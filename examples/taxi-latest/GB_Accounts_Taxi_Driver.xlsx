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4.xml" ContentType="application/vnd.openxmlformats-officedocument.spreadsheetml.worksheet+xml"/>
  <Override PartName="/xl/worksheets/sheet2.xml" ContentType="application/vnd.openxmlformats-officedocument.spreadsheetml.worksheet+xml"/>
  <Override PartName="/xl/worksheets/sheet25.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4.xml" ContentType="application/vnd.openxmlformats-officedocument.spreadsheetml.worksheet+xml"/>
  <Override PartName="/xl/worksheets/sheet19.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29.xml" ContentType="application/vnd.openxmlformats-officedocument.spreadsheetml.worksheet+xml"/>
  <Override PartName="/xl/worksheets/sheet24.xml" ContentType="application/vnd.openxmlformats-officedocument.spreadsheetml.worksheet+xml"/>
  <Override PartName="/xl/worksheets/sheet11.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10.xml" ContentType="application/vnd.openxmlformats-officedocument.spreadsheetml.worksheet+xml"/>
  <Override PartName="/xl/worksheets/sheet21.xml" ContentType="application/vnd.openxmlformats-officedocument.spreadsheetml.worksheet+xml"/>
  <Override PartName="/xl/worksheets/sheet20.xml" ContentType="application/vnd.openxmlformats-officedocument.spreadsheetml.worksheet+xml"/>
  <Override PartName="/xl/worksheets/sheet27.xml" ContentType="application/vnd.openxmlformats-officedocument.spreadsheetml.worksheet+xml"/>
  <Override PartName="/xl/worksheets/sheet22.xml" ContentType="application/vnd.openxmlformats-officedocument.spreadsheetml.worksheet+xml"/>
  <Override PartName="/xl/worksheets/sheet28.xml" ContentType="application/vnd.openxmlformats-officedocument.spreadsheetml.worksheet+xml"/>
  <Override PartName="/xl/worksheets/sheet9.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worksheets/sheet18.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26.xml" ContentType="application/vnd.openxmlformats-officedocument.spreadsheetml.worksheet+xml"/>
  <Override PartName="/xl/worksheets/sheet17.xml" ContentType="application/vnd.openxmlformats-officedocument.spreadsheetml.worksheet+xml"/>
  <Override PartName="/xl/worksheets/sheet12.xml" ContentType="application/vnd.openxmlformats-officedocument.spreadsheetml.worksheet+xml"/>
  <Override PartName="/xl/worksheets/sheet33.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me" sheetId="1" state="visible" r:id="rId3"/>
    <sheet name="Business Details" sheetId="2" state="visible" r:id="rId4"/>
    <sheet name="SE Short" sheetId="3" state="visible" r:id="rId5"/>
    <sheet name="Profit &amp; Loss Acc" sheetId="4" state="visible" r:id="rId6"/>
    <sheet name="VitalTax" sheetId="5" state="visible" r:id="rId7"/>
    <sheet name="Fixed Assets" sheetId="6" state="visible" r:id="rId8"/>
    <sheet name="Draft Tax calculation" sheetId="7" state="visible" r:id="rId9"/>
    <sheet name="Wages Forecast" sheetId="8" state="visible" r:id="rId10"/>
    <sheet name="SalesApr" sheetId="9" state="visible" r:id="rId11"/>
    <sheet name="PurchasesApr" sheetId="10" state="visible" r:id="rId12"/>
    <sheet name="SalesMay" sheetId="11" state="visible" r:id="rId13"/>
    <sheet name="PurchasesMay" sheetId="12" state="visible" r:id="rId14"/>
    <sheet name="SalesJun" sheetId="13" state="visible" r:id="rId15"/>
    <sheet name="PurchasesJun" sheetId="14" state="visible" r:id="rId16"/>
    <sheet name="SalesJul" sheetId="15" state="visible" r:id="rId17"/>
    <sheet name="PurchasesJul" sheetId="16" state="visible" r:id="rId18"/>
    <sheet name="SalesAug" sheetId="17" state="visible" r:id="rId19"/>
    <sheet name="PurchasesAug" sheetId="18" state="visible" r:id="rId20"/>
    <sheet name="SalesSep" sheetId="19" state="visible" r:id="rId21"/>
    <sheet name="PurchasesSep" sheetId="20" state="visible" r:id="rId22"/>
    <sheet name="SalesOct" sheetId="21" state="visible" r:id="rId23"/>
    <sheet name="PurchasesOct" sheetId="22" state="visible" r:id="rId24"/>
    <sheet name="SalesNov" sheetId="23" state="visible" r:id="rId25"/>
    <sheet name="PurchasesNov" sheetId="24" state="visible" r:id="rId26"/>
    <sheet name="SalesDec" sheetId="25" state="visible" r:id="rId27"/>
    <sheet name="PurchasesDec" sheetId="26" state="visible" r:id="rId28"/>
    <sheet name="SalesJan" sheetId="27" state="visible" r:id="rId29"/>
    <sheet name="PurchasesJan" sheetId="28" state="visible" r:id="rId30"/>
    <sheet name="SalesFeb" sheetId="29" state="visible" r:id="rId31"/>
    <sheet name="PurchasesFeb" sheetId="30" state="visible" r:id="rId32"/>
    <sheet name="SalesMar" sheetId="31" state="visible" r:id="rId33"/>
    <sheet name="PurchasesMar" sheetId="32" state="visible" r:id="rId34"/>
    <sheet name="Admin" sheetId="33" state="visible" r:id="rId35"/>
  </sheets>
  <definedNames>
    <definedName function="false" hidden="false" localSheetId="5" name="_xlnm.Print_Titles" vbProcedure="false">'Fixed Assets'!$1:$4</definedName>
    <definedName function="false" hidden="false" localSheetId="3" name="_xlnm.Print_Titles" vbProcedure="false">'Profit &amp; Loss Acc'!$2:$4</definedName>
    <definedName function="false" hidden="false" localSheetId="9" name="_xlnm.Print_Area" vbProcedure="false">PurchasesApr!$A$1:$U$68</definedName>
    <definedName function="false" hidden="false" localSheetId="9" name="_xlnm.Print_Titles" vbProcedure="false">PurchasesApr!$A:$A,PurchasesApr!$1:$4</definedName>
    <definedName function="false" hidden="false" localSheetId="17" name="_xlnm.Print_Area" vbProcedure="false">PurchasesAug!$A$1:$U$68</definedName>
    <definedName function="false" hidden="false" localSheetId="17" name="_xlnm.Print_Titles" vbProcedure="false">PurchasesAug!$A:$A,PurchasesAug!$1:$4</definedName>
    <definedName function="false" hidden="false" localSheetId="25" name="_xlnm.Print_Area" vbProcedure="false">PurchasesDec!$A$1:$U$68</definedName>
    <definedName function="false" hidden="false" localSheetId="25" name="_xlnm.Print_Titles" vbProcedure="false">PurchasesDec!$A:$A,PurchasesDec!$1:$4</definedName>
    <definedName function="false" hidden="false" localSheetId="29" name="_xlnm.Print_Area" vbProcedure="false">PurchasesFeb!$A$1:$U$68</definedName>
    <definedName function="false" hidden="false" localSheetId="29" name="_xlnm.Print_Titles" vbProcedure="false">PurchasesFeb!$A:$A,PurchasesFeb!$1:$4</definedName>
    <definedName function="false" hidden="false" localSheetId="27" name="_xlnm.Print_Area" vbProcedure="false">PurchasesJan!$A$1:$U$68</definedName>
    <definedName function="false" hidden="false" localSheetId="27" name="_xlnm.Print_Titles" vbProcedure="false">PurchasesJan!$A:$A,PurchasesJan!$1:$4</definedName>
    <definedName function="false" hidden="false" localSheetId="15" name="_xlnm.Print_Area" vbProcedure="false">PurchasesJul!$A$1:$U$68</definedName>
    <definedName function="false" hidden="false" localSheetId="15" name="_xlnm.Print_Titles" vbProcedure="false">PurchasesJul!$A:$A,PurchasesJul!$1:$4</definedName>
    <definedName function="false" hidden="false" localSheetId="13" name="_xlnm.Print_Area" vbProcedure="false">PurchasesJun!$A$1:$U$68</definedName>
    <definedName function="false" hidden="false" localSheetId="13" name="_xlnm.Print_Titles" vbProcedure="false">PurchasesJun!$A:$A,PurchasesJun!$1:$4</definedName>
    <definedName function="false" hidden="false" localSheetId="31" name="_xlnm.Print_Area" vbProcedure="false">PurchasesMar!$A$1:$U$68</definedName>
    <definedName function="false" hidden="false" localSheetId="31" name="_xlnm.Print_Titles" vbProcedure="false">PurchasesMar!$A:$A,PurchasesMar!$1:$4</definedName>
    <definedName function="false" hidden="false" localSheetId="11" name="_xlnm.Print_Area" vbProcedure="false">PurchasesMay!$A$1:$U$67</definedName>
    <definedName function="false" hidden="false" localSheetId="11" name="_xlnm.Print_Titles" vbProcedure="false">PurchasesMay!$A:$A,PurchasesMay!$1:$4</definedName>
    <definedName function="false" hidden="false" localSheetId="23" name="_xlnm.Print_Area" vbProcedure="false">PurchasesNov!$A$1:$U$68</definedName>
    <definedName function="false" hidden="false" localSheetId="23" name="_xlnm.Print_Titles" vbProcedure="false">PurchasesNov!$A:$A,PurchasesNov!$1:$4</definedName>
    <definedName function="false" hidden="false" localSheetId="21" name="_xlnm.Print_Area" vbProcedure="false">PurchasesOct!$A$1:$U$68</definedName>
    <definedName function="false" hidden="false" localSheetId="21" name="_xlnm.Print_Titles" vbProcedure="false">PurchasesOct!$A:$A,PurchasesOct!$1:$4</definedName>
    <definedName function="false" hidden="false" localSheetId="19" name="_xlnm.Print_Area" vbProcedure="false">PurchasesSep!$A$1:$U$68</definedName>
    <definedName function="false" hidden="false" localSheetId="19" name="_xlnm.Print_Titles" vbProcedure="false">PurchasesSep!$A:$A,PurchasesSep!$1:$4</definedName>
    <definedName function="false" hidden="false" localSheetId="8" name="_xlnm.Print_Titles" vbProcedure="false">SalesApr!$1:$3</definedName>
    <definedName function="false" hidden="false" localSheetId="16" name="_xlnm.Print_Titles" vbProcedure="false">SalesAug!$1:$3</definedName>
    <definedName function="false" hidden="false" localSheetId="24" name="_xlnm.Print_Titles" vbProcedure="false">SalesDec!$1:$3</definedName>
    <definedName function="false" hidden="false" localSheetId="28" name="_xlnm.Print_Titles" vbProcedure="false">SalesFeb!$1:$3</definedName>
    <definedName function="false" hidden="false" localSheetId="26" name="_xlnm.Print_Titles" vbProcedure="false">SalesJan!$1:$3</definedName>
    <definedName function="false" hidden="false" localSheetId="14" name="_xlnm.Print_Titles" vbProcedure="false">SalesJul!$1:$3</definedName>
    <definedName function="false" hidden="false" localSheetId="12" name="_xlnm.Print_Titles" vbProcedure="false">SalesJun!$1:$3</definedName>
    <definedName function="false" hidden="false" localSheetId="30" name="_xlnm.Print_Titles" vbProcedure="false">SalesMar!$1:$3</definedName>
    <definedName function="false" hidden="false" localSheetId="10" name="_xlnm.Print_Titles" vbProcedure="false">SalesMay!$1:$3</definedName>
    <definedName function="false" hidden="false" localSheetId="22" name="_xlnm.Print_Titles" vbProcedure="false">SalesNov!$1:$3</definedName>
    <definedName function="false" hidden="false" localSheetId="20" name="_xlnm.Print_Titles" vbProcedure="false">SalesOct!$1:$3</definedName>
    <definedName function="false" hidden="false" localSheetId="18" name="_xlnm.Print_Titles" vbProcedure="false">SalesSep!$1:$3</definedName>
    <definedName function="false" hidden="false" localSheetId="4" name="_xlnm.Print_Titles" vbProcedure="false">VitalTax!$2:$4</definedName>
    <definedName function="false" hidden="false" name="Annual_ConsolidatedExpenses" vbProcedure="false">VitalTax!$G$29</definedName>
    <definedName function="false" hidden="false" name="Annual_ExpenseAdminCosts" vbProcedure="false">VitalTax!$G$15</definedName>
    <definedName function="false" hidden="false" name="Annual_ExpenseAdminCostsDisallowable" vbProcedure="false">VitalTax!$G$42</definedName>
    <definedName function="false" hidden="false" name="Annual_ExpenseAdvertisingCosts" vbProcedure="false">VitalTax!$G$18</definedName>
    <definedName function="false" hidden="false" name="Annual_ExpenseAdvertisingCostsDisallowable" vbProcedure="false">VitalTax!$G$43</definedName>
    <definedName function="false" hidden="false" name="Annual_ExpenseBadDebt" vbProcedure="false">VitalTax!$G$20</definedName>
    <definedName function="false" hidden="false" name="Annual_ExpenseBadDebtDisallowable" vbProcedure="false">VitalTax!$G$47</definedName>
    <definedName function="false" hidden="false" name="Annual_ExpenseBusinessEntertainmentCosts" vbProcedure="false">VitalTax!$G$25</definedName>
    <definedName function="false" hidden="false" name="Annual_ExpenseBusinessEntertainmentCostsDisallowable" vbProcedure="false">VitalTax!$G$44</definedName>
    <definedName function="false" hidden="false" name="Annual_ExpenseCisPaymentsToSubcontractors" vbProcedure="false">VitalTax!$G$24</definedName>
    <definedName function="false" hidden="false" name="Annual_ExpenseCisPaymentsToSubcontractorsDisallowable" vbProcedure="false">VitalTax!$G$37</definedName>
    <definedName function="false" hidden="false" name="Annual_ExpenseCostOfGoodsBought" vbProcedure="false">VitalTax!$G$7</definedName>
    <definedName function="false" hidden="false" name="Annual_ExpenseCostOfGoodsBoughtDisallowable" vbProcedure="false">VitalTax!$G$36</definedName>
    <definedName function="false" hidden="false" name="Annual_ExpenseDepreciation" vbProcedure="false">VitalTax!$G$26</definedName>
    <definedName function="false" hidden="false" name="Annual_ExpenseDepreciationDisallowable" vbProcedure="false">VitalTax!$G$49</definedName>
    <definedName function="false" hidden="false" name="Annual_ExpenseFinancialCharges" vbProcedure="false">VitalTax!$G$16</definedName>
    <definedName function="false" hidden="false" name="Annual_ExpenseFinancialChargesDisallowable" vbProcedure="false">VitalTax!$G$46</definedName>
    <definedName function="false" hidden="false" name="Annual_ExpenseInterest" vbProcedure="false">VitalTax!$G$21</definedName>
    <definedName function="false" hidden="false" name="Annual_ExpenseInterestDisallowable" vbProcedure="false">VitalTax!$G$45</definedName>
    <definedName function="false" hidden="false" name="Annual_ExpenseMaintenanceCosts" vbProcedure="false">VitalTax!$G$14</definedName>
    <definedName function="false" hidden="false" name="Annual_ExpenseMaintenanceCostsDisallowable" vbProcedure="false">VitalTax!$G$41</definedName>
    <definedName function="false" hidden="false" name="Annual_ExpenseOther" vbProcedure="false">VitalTax!$G$22</definedName>
    <definedName function="false" hidden="false" name="Annual_ExpenseOtherDisallowable" vbProcedure="false">VitalTax!$G$50</definedName>
    <definedName function="false" hidden="false" name="Annual_ExpensePremisesRunningCosts" vbProcedure="false">VitalTax!$G$13</definedName>
    <definedName function="false" hidden="false" name="Annual_ExpensePremisesRunningCostsDisallowable" vbProcedure="false">VitalTax!$G$40</definedName>
    <definedName function="false" hidden="false" name="Annual_ExpenseProfessionalFees" vbProcedure="false">VitalTax!$G$19</definedName>
    <definedName function="false" hidden="false" name="Annual_ExpenseProfessionalFeesDisallowable" vbProcedure="false">VitalTax!$G$48</definedName>
    <definedName function="false" hidden="false" name="Annual_ExpenseStaffCosts" vbProcedure="false">VitalTax!$G$12</definedName>
    <definedName function="false" hidden="false" name="Annual_ExpenseStaffCostsDisallowable" vbProcedure="false">VitalTax!$G$38</definedName>
    <definedName function="false" hidden="false" name="Annual_ExpenseTravelCosts" vbProcedure="false">VitalTax!$G$17</definedName>
    <definedName function="false" hidden="false" name="Annual_ExpenseTravelCostsDisallowable" vbProcedure="false">VitalTax!$G$39</definedName>
    <definedName function="false" hidden="false" name="Annual_IncomeOther" vbProcedure="false">VitalTax!$G$6</definedName>
    <definedName function="false" hidden="false" name="Annual_IncomeTurnover" vbProcedure="false">VitalTax!$G$5</definedName>
    <definedName function="false" hidden="false" name="Q1_ConsolidatedExpenses" vbProcedure="false">VitalTax!$C$29</definedName>
    <definedName function="false" hidden="false" name="Q1_ExpenseAdminCosts" vbProcedure="false">VitalTax!$C$15</definedName>
    <definedName function="false" hidden="false" name="Q1_ExpenseAdminCostsDisallowable" vbProcedure="false">VitalTax!$C$42</definedName>
    <definedName function="false" hidden="false" name="Q1_ExpenseAdvertisingCosts" vbProcedure="false">VitalTax!$C$18</definedName>
    <definedName function="false" hidden="false" name="Q1_ExpenseAdvertisingCostsDisallowable" vbProcedure="false">VitalTax!$C$43</definedName>
    <definedName function="false" hidden="false" name="Q1_ExpenseBadDebt" vbProcedure="false">VitalTax!$C$20</definedName>
    <definedName function="false" hidden="false" name="Q1_ExpenseBadDebtDisallowable" vbProcedure="false">VitalTax!$C$47</definedName>
    <definedName function="false" hidden="false" name="Q1_ExpenseBusinessEntertainmentCosts" vbProcedure="false">VitalTax!$C$25</definedName>
    <definedName function="false" hidden="false" name="Q1_ExpenseBusinessEntertainmentCostsDisallowable" vbProcedure="false">VitalTax!$C$44</definedName>
    <definedName function="false" hidden="false" name="Q1_ExpenseCisPaymentsToSubcontractors" vbProcedure="false">VitalTax!$C$24</definedName>
    <definedName function="false" hidden="false" name="Q1_ExpenseCisPaymentsToSubcontractorsDisallowable" vbProcedure="false">VitalTax!$C$37</definedName>
    <definedName function="false" hidden="false" name="Q1_ExpenseCostOfGoodsBought" vbProcedure="false">VitalTax!$C$7</definedName>
    <definedName function="false" hidden="false" name="Q1_ExpenseCostOfGoodsBoughtDisallowable" vbProcedure="false">VitalTax!$C$36</definedName>
    <definedName function="false" hidden="false" name="Q1_ExpenseDepreciation" vbProcedure="false">VitalTax!$C$26</definedName>
    <definedName function="false" hidden="false" name="Q1_ExpenseDepreciationDisallowable" vbProcedure="false">VitalTax!$C$49</definedName>
    <definedName function="false" hidden="false" name="Q1_ExpenseFinancialCharges" vbProcedure="false">VitalTax!$C$16</definedName>
    <definedName function="false" hidden="false" name="Q1_ExpenseFinancialChargesDisallowable" vbProcedure="false">VitalTax!$C$46</definedName>
    <definedName function="false" hidden="false" name="Q1_ExpenseInterest" vbProcedure="false">VitalTax!$C$21</definedName>
    <definedName function="false" hidden="false" name="Q1_ExpenseInterestDisallowable" vbProcedure="false">VitalTax!$C$45</definedName>
    <definedName function="false" hidden="false" name="Q1_ExpenseMaintenanceCosts" vbProcedure="false">VitalTax!$C$14</definedName>
    <definedName function="false" hidden="false" name="Q1_ExpenseMaintenanceCostsDisallowable" vbProcedure="false">VitalTax!$C$41</definedName>
    <definedName function="false" hidden="false" name="Q1_ExpenseOther" vbProcedure="false">VitalTax!$C$22</definedName>
    <definedName function="false" hidden="false" name="Q1_ExpenseOtherDisallowable" vbProcedure="false">VitalTax!$C$50</definedName>
    <definedName function="false" hidden="false" name="Q1_ExpensePremisesRunningCosts" vbProcedure="false">VitalTax!$C$13</definedName>
    <definedName function="false" hidden="false" name="Q1_ExpensePremisesRunningCostsDisallowable" vbProcedure="false">VitalTax!$C$40</definedName>
    <definedName function="false" hidden="false" name="Q1_ExpenseProfessionalFees" vbProcedure="false">VitalTax!$C$19</definedName>
    <definedName function="false" hidden="false" name="Q1_ExpenseProfessionalFeesDisallowable" vbProcedure="false">VitalTax!$C$48</definedName>
    <definedName function="false" hidden="false" name="Q1_ExpenseStaffCosts" vbProcedure="false">VitalTax!$C$12</definedName>
    <definedName function="false" hidden="false" name="Q1_ExpenseStaffCostsDisallowable" vbProcedure="false">VitalTax!$C$38</definedName>
    <definedName function="false" hidden="false" name="Q1_ExpenseTravelCosts" vbProcedure="false">VitalTax!$C$17</definedName>
    <definedName function="false" hidden="false" name="Q1_ExpenseTravelCostsDisallowable" vbProcedure="false">VitalTax!$C$39</definedName>
    <definedName function="false" hidden="false" name="Q1_IncomeOther" vbProcedure="false">VitalTax!$C$6</definedName>
    <definedName function="false" hidden="false" name="Q1_IncomeTurnover" vbProcedure="false">VitalTax!$C$5</definedName>
    <definedName function="false" hidden="false" name="Q2_ConsolidatedExpenses" vbProcedure="false">VitalTax!$D$29</definedName>
    <definedName function="false" hidden="false" name="Q2_ExpenseAdminCosts" vbProcedure="false">VitalTax!$D$15</definedName>
    <definedName function="false" hidden="false" name="Q2_ExpenseAdminCostsDisallowable" vbProcedure="false">VitalTax!$D$42</definedName>
    <definedName function="false" hidden="false" name="Q2_ExpenseAdvertisingCosts" vbProcedure="false">VitalTax!$D$18</definedName>
    <definedName function="false" hidden="false" name="Q2_ExpenseAdvertisingCostsDisallowable" vbProcedure="false">VitalTax!$D$43</definedName>
    <definedName function="false" hidden="false" name="Q2_ExpenseBadDebt" vbProcedure="false">VitalTax!$D$20</definedName>
    <definedName function="false" hidden="false" name="Q2_ExpenseBadDebtDisallowable" vbProcedure="false">VitalTax!$D$47</definedName>
    <definedName function="false" hidden="false" name="Q2_ExpenseBusinessEntertainmentCosts" vbProcedure="false">VitalTax!$D$25</definedName>
    <definedName function="false" hidden="false" name="Q2_ExpenseBusinessEntertainmentCostsDisallowable" vbProcedure="false">VitalTax!$D$44</definedName>
    <definedName function="false" hidden="false" name="Q2_ExpenseCisPaymentsToSubcontractors" vbProcedure="false">VitalTax!$D$24</definedName>
    <definedName function="false" hidden="false" name="Q2_ExpenseCisPaymentsToSubcontractorsDisallowable" vbProcedure="false">VitalTax!$D$37</definedName>
    <definedName function="false" hidden="false" name="Q2_ExpenseCostOfGoodsBought" vbProcedure="false">VitalTax!$D$7</definedName>
    <definedName function="false" hidden="false" name="Q2_ExpenseCostOfGoodsBoughtDisallowable" vbProcedure="false">VitalTax!$D$36</definedName>
    <definedName function="false" hidden="false" name="Q2_ExpenseDepreciation" vbProcedure="false">VitalTax!$D$26</definedName>
    <definedName function="false" hidden="false" name="Q2_ExpenseDepreciationDisallowable" vbProcedure="false">VitalTax!$D$49</definedName>
    <definedName function="false" hidden="false" name="Q2_ExpenseFinancialCharges" vbProcedure="false">VitalTax!$D$16</definedName>
    <definedName function="false" hidden="false" name="Q2_ExpenseFinancialChargesDisallowable" vbProcedure="false">VitalTax!$D$46</definedName>
    <definedName function="false" hidden="false" name="Q2_ExpenseInterest" vbProcedure="false">VitalTax!$D$21</definedName>
    <definedName function="false" hidden="false" name="Q2_ExpenseInterestDisallowable" vbProcedure="false">VitalTax!$D$45</definedName>
    <definedName function="false" hidden="false" name="Q2_ExpenseMaintenanceCosts" vbProcedure="false">VitalTax!$D$14</definedName>
    <definedName function="false" hidden="false" name="Q2_ExpenseMaintenanceCostsDisallowable" vbProcedure="false">VitalTax!$D$41</definedName>
    <definedName function="false" hidden="false" name="Q2_ExpenseOther" vbProcedure="false">VitalTax!$D$22</definedName>
    <definedName function="false" hidden="false" name="Q2_ExpenseOtherDisallowable" vbProcedure="false">VitalTax!$D$50</definedName>
    <definedName function="false" hidden="false" name="Q2_ExpensePremisesRunningCosts" vbProcedure="false">VitalTax!$D$13</definedName>
    <definedName function="false" hidden="false" name="Q2_ExpensePremisesRunningCostsDisallowable" vbProcedure="false">VitalTax!$D$40</definedName>
    <definedName function="false" hidden="false" name="Q2_ExpenseProfessionalFees" vbProcedure="false">VitalTax!$D$19</definedName>
    <definedName function="false" hidden="false" name="Q2_ExpenseProfessionalFeesDisallowable" vbProcedure="false">VitalTax!$D$48</definedName>
    <definedName function="false" hidden="false" name="Q2_ExpenseStaffCosts" vbProcedure="false">VitalTax!$D$12</definedName>
    <definedName function="false" hidden="false" name="Q2_ExpenseStaffCostsDisallowable" vbProcedure="false">VitalTax!$D$38</definedName>
    <definedName function="false" hidden="false" name="Q2_ExpenseTravelCosts" vbProcedure="false">VitalTax!$D$17</definedName>
    <definedName function="false" hidden="false" name="Q2_ExpenseTravelCostsDisallowable" vbProcedure="false">VitalTax!$D$39</definedName>
    <definedName function="false" hidden="false" name="Q2_IncomeOther" vbProcedure="false">VitalTax!$D$6</definedName>
    <definedName function="false" hidden="false" name="Q2_IncomeTurnover" vbProcedure="false">VitalTax!$D$5</definedName>
    <definedName function="false" hidden="false" name="Q3_ConsolidatedExpenses" vbProcedure="false">VitalTax!$E$29</definedName>
    <definedName function="false" hidden="false" name="Q3_ExpenseAdminCosts" vbProcedure="false">VitalTax!$E$15</definedName>
    <definedName function="false" hidden="false" name="Q3_ExpenseAdminCostsDisallowable" vbProcedure="false">VitalTax!$E$42</definedName>
    <definedName function="false" hidden="false" name="Q3_ExpenseAdvertisingCosts" vbProcedure="false">VitalTax!$E$18</definedName>
    <definedName function="false" hidden="false" name="Q3_ExpenseAdvertisingCostsDisallowable" vbProcedure="false">VitalTax!$E$43</definedName>
    <definedName function="false" hidden="false" name="Q3_ExpenseBadDebt" vbProcedure="false">VitalTax!$E$20</definedName>
    <definedName function="false" hidden="false" name="Q3_ExpenseBadDebtDisallowable" vbProcedure="false">VitalTax!$E$47</definedName>
    <definedName function="false" hidden="false" name="Q3_ExpenseBusinessEntertainmentCosts" vbProcedure="false">VitalTax!$E$25</definedName>
    <definedName function="false" hidden="false" name="Q3_ExpenseBusinessEntertainmentCostsDisallowable" vbProcedure="false">VitalTax!$E$44</definedName>
    <definedName function="false" hidden="false" name="Q3_ExpenseCisPaymentsToSubcontractors" vbProcedure="false">VitalTax!$E$24</definedName>
    <definedName function="false" hidden="false" name="Q3_ExpenseCisPaymentsToSubcontractorsDisallowable" vbProcedure="false">VitalTax!$E$37</definedName>
    <definedName function="false" hidden="false" name="Q3_ExpenseCostOfGoodsBought" vbProcedure="false">VitalTax!$E$7</definedName>
    <definedName function="false" hidden="false" name="Q3_ExpenseCostOfGoodsBoughtDisallowable" vbProcedure="false">VitalTax!$E$36</definedName>
    <definedName function="false" hidden="false" name="Q3_ExpenseDepreciation" vbProcedure="false">VitalTax!$E$26</definedName>
    <definedName function="false" hidden="false" name="Q3_ExpenseDepreciationDisallowable" vbProcedure="false">VitalTax!$E$49</definedName>
    <definedName function="false" hidden="false" name="Q3_ExpenseFinancialCharges" vbProcedure="false">VitalTax!$E$16</definedName>
    <definedName function="false" hidden="false" name="Q3_ExpenseFinancialChargesDisallowable" vbProcedure="false">VitalTax!$E$46</definedName>
    <definedName function="false" hidden="false" name="Q3_ExpenseInterest" vbProcedure="false">VitalTax!$E$21</definedName>
    <definedName function="false" hidden="false" name="Q3_ExpenseInterestDisallowable" vbProcedure="false">VitalTax!$E$45</definedName>
    <definedName function="false" hidden="false" name="Q3_ExpenseMaintenanceCosts" vbProcedure="false">VitalTax!$E$14</definedName>
    <definedName function="false" hidden="false" name="Q3_ExpenseMaintenanceCostsDisallowable" vbProcedure="false">VitalTax!$E$41</definedName>
    <definedName function="false" hidden="false" name="Q3_ExpenseOther" vbProcedure="false">VitalTax!$E$22</definedName>
    <definedName function="false" hidden="false" name="Q3_ExpenseOtherDisallowable" vbProcedure="false">VitalTax!$E$50</definedName>
    <definedName function="false" hidden="false" name="Q3_ExpensePremisesRunningCosts" vbProcedure="false">VitalTax!$E$13</definedName>
    <definedName function="false" hidden="false" name="Q3_ExpensePremisesRunningCostsDisallowable" vbProcedure="false">VitalTax!$E$40</definedName>
    <definedName function="false" hidden="false" name="Q3_ExpenseProfessionalFees" vbProcedure="false">VitalTax!$E$19</definedName>
    <definedName function="false" hidden="false" name="Q3_ExpenseProfessionalFeesDisallowable" vbProcedure="false">VitalTax!$E$48</definedName>
    <definedName function="false" hidden="false" name="Q3_ExpenseStaffCosts" vbProcedure="false">VitalTax!$E$12</definedName>
    <definedName function="false" hidden="false" name="Q3_ExpenseStaffCostsDisallowable" vbProcedure="false">VitalTax!$E$38</definedName>
    <definedName function="false" hidden="false" name="Q3_ExpenseTravelCosts" vbProcedure="false">VitalTax!$E$17</definedName>
    <definedName function="false" hidden="false" name="Q3_ExpenseTravelCostsDisallowable" vbProcedure="false">VitalTax!$E$39</definedName>
    <definedName function="false" hidden="false" name="Q3_IncomeOther" vbProcedure="false">VitalTax!$E$6</definedName>
    <definedName function="false" hidden="false" name="Q3_IncomeTurnover" vbProcedure="false">VitalTax!$E$5</definedName>
    <definedName function="false" hidden="false" name="Q4_ConsolidatedExpenses" vbProcedure="false">VitalTax!$F$29</definedName>
    <definedName function="false" hidden="false" name="Q4_ExpenseAdminCosts" vbProcedure="false">VitalTax!$F$15</definedName>
    <definedName function="false" hidden="false" name="Q4_ExpenseAdminCostsDisallowable" vbProcedure="false">VitalTax!$F$42</definedName>
    <definedName function="false" hidden="false" name="Q4_ExpenseAdvertisingCosts" vbProcedure="false">VitalTax!$F$18</definedName>
    <definedName function="false" hidden="false" name="Q4_ExpenseAdvertisingCostsDisallowable" vbProcedure="false">VitalTax!$F$43</definedName>
    <definedName function="false" hidden="false" name="Q4_ExpenseBadDebt" vbProcedure="false">VitalTax!$F$20</definedName>
    <definedName function="false" hidden="false" name="Q4_ExpenseBadDebtDisallowable" vbProcedure="false">VitalTax!$F$47</definedName>
    <definedName function="false" hidden="false" name="Q4_ExpenseBusinessEntertainmentCosts" vbProcedure="false">VitalTax!$F$25</definedName>
    <definedName function="false" hidden="false" name="Q4_ExpenseBusinessEntertainmentCostsDisallowable" vbProcedure="false">VitalTax!$F$44</definedName>
    <definedName function="false" hidden="false" name="Q4_ExpenseCisPaymentsToSubcontractors" vbProcedure="false">VitalTax!$F$24</definedName>
    <definedName function="false" hidden="false" name="Q4_ExpenseCisPaymentsToSubcontractorsDisallowable" vbProcedure="false">VitalTax!$F$37</definedName>
    <definedName function="false" hidden="false" name="Q4_ExpenseCostOfGoodsBought" vbProcedure="false">VitalTax!$F$7</definedName>
    <definedName function="false" hidden="false" name="Q4_ExpenseCostOfGoodsBoughtDisallowable" vbProcedure="false">VitalTax!$F$36</definedName>
    <definedName function="false" hidden="false" name="Q4_ExpenseDepreciation" vbProcedure="false">VitalTax!$F$26</definedName>
    <definedName function="false" hidden="false" name="Q4_ExpenseDepreciationDisallowable" vbProcedure="false">VitalTax!$F$49</definedName>
    <definedName function="false" hidden="false" name="Q4_ExpenseFinancialCharges" vbProcedure="false">VitalTax!$F$16</definedName>
    <definedName function="false" hidden="false" name="Q4_ExpenseFinancialChargesDisallowable" vbProcedure="false">VitalTax!$F$46</definedName>
    <definedName function="false" hidden="false" name="Q4_ExpenseInterest" vbProcedure="false">VitalTax!$F$21</definedName>
    <definedName function="false" hidden="false" name="Q4_ExpenseInterestDisallowable" vbProcedure="false">VitalTax!$F$45</definedName>
    <definedName function="false" hidden="false" name="Q4_ExpenseMaintenanceCosts" vbProcedure="false">VitalTax!$F$14</definedName>
    <definedName function="false" hidden="false" name="Q4_ExpenseMaintenanceCostsDisallowable" vbProcedure="false">VitalTax!$F$41</definedName>
    <definedName function="false" hidden="false" name="Q4_ExpenseOther" vbProcedure="false">VitalTax!$F$22</definedName>
    <definedName function="false" hidden="false" name="Q4_ExpenseOtherDisallowable" vbProcedure="false">VitalTax!$F$50</definedName>
    <definedName function="false" hidden="false" name="Q4_ExpensePremisesRunningCosts" vbProcedure="false">VitalTax!$F$13</definedName>
    <definedName function="false" hidden="false" name="Q4_ExpensePremisesRunningCostsDisallowable" vbProcedure="false">VitalTax!$F$40</definedName>
    <definedName function="false" hidden="false" name="Q4_ExpenseProfessionalFees" vbProcedure="false">VitalTax!$F$19</definedName>
    <definedName function="false" hidden="false" name="Q4_ExpenseProfessionalFeesDisallowable" vbProcedure="false">VitalTax!$F$48</definedName>
    <definedName function="false" hidden="false" name="Q4_ExpenseStaffCosts" vbProcedure="false">VitalTax!$F$12</definedName>
    <definedName function="false" hidden="false" name="Q4_ExpenseStaffCostsDisallowable" vbProcedure="false">VitalTax!$F$38</definedName>
    <definedName function="false" hidden="false" name="Q4_ExpenseTravelCosts" vbProcedure="false">VitalTax!$F$17</definedName>
    <definedName function="false" hidden="false" name="Q4_ExpenseTravelCostsDisallowable" vbProcedure="false">VitalTax!$F$39</definedName>
    <definedName function="false" hidden="false" name="Q4_IncomeOther" vbProcedure="false">VitalTax!$F$6</definedName>
    <definedName function="false" hidden="false" name="Q4_IncomeTurnover" vbProcedure="false">VitalTax!$F$5</definedName>
    <definedName function="false" hidden="false" localSheetId="3" name="_xlnm_Print_Titles" vbProcedure="false">'Profit &amp; Loss Acc'!$2:$4</definedName>
    <definedName function="false" hidden="false" localSheetId="4" name="_xlnm_Print_Titles" vbProcedure="false">VitalTax!$2:$4</definedName>
    <definedName function="false" hidden="false" localSheetId="5" name="_xlnm_Print_Titles" vbProcedure="false">'Fixed Assets'!$1:$4</definedName>
    <definedName function="false" hidden="false" localSheetId="8" name="_xlnm_Print_Titles" vbProcedure="false">SalesApr!$1:$3</definedName>
    <definedName function="false" hidden="false" localSheetId="9" name="Excel_BuiltIn_Print_Titles" vbProcedure="false">(PurchasesApr!$A:$A,PurchasesApr!$1:$4)</definedName>
    <definedName function="false" hidden="false" localSheetId="9" name="_xlnm_Print_Area" vbProcedure="false">PurchasesApr!$A$1:$U$68</definedName>
    <definedName function="false" hidden="false" localSheetId="9" name="_xlnm_Print_Titles" vbProcedure="false">(PurchasesApr!$A:$A,PurchasesApr!$1:$4)</definedName>
    <definedName function="false" hidden="false" localSheetId="10" name="_xlnm_Print_Titles" vbProcedure="false">SalesMay!$1:$3</definedName>
    <definedName function="false" hidden="false" localSheetId="11" name="Excel_BuiltIn_Print_Titles" vbProcedure="false">(PurchasesMay!$A:$A,PurchasesMay!$1:$4)</definedName>
    <definedName function="false" hidden="false" localSheetId="11" name="_xlnm_Print_Area" vbProcedure="false">PurchasesMay!$A$1:$U$67</definedName>
    <definedName function="false" hidden="false" localSheetId="11" name="_xlnm_Print_Titles" vbProcedure="false">(PurchasesMay!$A:$A,PurchasesMay!$1:$4)</definedName>
    <definedName function="false" hidden="false" localSheetId="12" name="_xlnm_Print_Titles" vbProcedure="false">SalesJun!$1:$3</definedName>
    <definedName function="false" hidden="false" localSheetId="13" name="Excel_BuiltIn_Print_Titles" vbProcedure="false">(PurchasesJun!$A:$A,PurchasesJun!$1:$4)</definedName>
    <definedName function="false" hidden="false" localSheetId="13" name="_xlnm_Print_Area" vbProcedure="false">PurchasesJun!$A$1:$U$68</definedName>
    <definedName function="false" hidden="false" localSheetId="13" name="_xlnm_Print_Titles" vbProcedure="false">(PurchasesJun!$A:$A,PurchasesJun!$1:$4)</definedName>
    <definedName function="false" hidden="false" localSheetId="14" name="_xlnm_Print_Titles" vbProcedure="false">SalesJul!$1:$3</definedName>
    <definedName function="false" hidden="false" localSheetId="15" name="Excel_BuiltIn_Print_Titles" vbProcedure="false">(PurchasesJul!$A:$A,PurchasesJul!$1:$4)</definedName>
    <definedName function="false" hidden="false" localSheetId="15" name="_xlnm_Print_Area" vbProcedure="false">PurchasesJul!$A$1:$U$68</definedName>
    <definedName function="false" hidden="false" localSheetId="15" name="_xlnm_Print_Titles" vbProcedure="false">(PurchasesJul!$A:$A,PurchasesJul!$1:$4)</definedName>
    <definedName function="false" hidden="false" localSheetId="16" name="_xlnm_Print_Titles" vbProcedure="false">SalesAug!$1:$3</definedName>
    <definedName function="false" hidden="false" localSheetId="17" name="Excel_BuiltIn_Print_Titles" vbProcedure="false">(PurchasesAug!$A:$A,PurchasesAug!$1:$4)</definedName>
    <definedName function="false" hidden="false" localSheetId="17" name="_xlnm_Print_Area" vbProcedure="false">PurchasesAug!$A$1:$U$68</definedName>
    <definedName function="false" hidden="false" localSheetId="17" name="_xlnm_Print_Titles" vbProcedure="false">(PurchasesAug!$A:$A,PurchasesAug!$1:$4)</definedName>
    <definedName function="false" hidden="false" localSheetId="18" name="_xlnm_Print_Titles" vbProcedure="false">SalesSep!$1:$3</definedName>
    <definedName function="false" hidden="false" localSheetId="19" name="Excel_BuiltIn_Print_Titles" vbProcedure="false">(PurchasesSep!$A:$A,PurchasesSep!$1:$4)</definedName>
    <definedName function="false" hidden="false" localSheetId="19" name="_xlnm_Print_Area" vbProcedure="false">PurchasesSep!$A$1:$U$68</definedName>
    <definedName function="false" hidden="false" localSheetId="19" name="_xlnm_Print_Titles" vbProcedure="false">(PurchasesSep!$A:$A,PurchasesSep!$1:$4)</definedName>
    <definedName function="false" hidden="false" localSheetId="20" name="_xlnm_Print_Titles" vbProcedure="false">SalesOct!$1:$3</definedName>
    <definedName function="false" hidden="false" localSheetId="21" name="Excel_BuiltIn_Print_Titles" vbProcedure="false">(PurchasesOct!$A:$A,PurchasesOct!$1:$4)</definedName>
    <definedName function="false" hidden="false" localSheetId="21" name="_xlnm_Print_Area" vbProcedure="false">PurchasesOct!$A$1:$U$68</definedName>
    <definedName function="false" hidden="false" localSheetId="21" name="_xlnm_Print_Titles" vbProcedure="false">(PurchasesOct!$A:$A,PurchasesOct!$1:$4)</definedName>
    <definedName function="false" hidden="false" localSheetId="22" name="_xlnm_Print_Titles" vbProcedure="false">SalesNov!$1:$3</definedName>
    <definedName function="false" hidden="false" localSheetId="23" name="Excel_BuiltIn_Print_Titles" vbProcedure="false">(PurchasesNov!$A:$A,PurchasesNov!$1:$4)</definedName>
    <definedName function="false" hidden="false" localSheetId="23" name="_xlnm_Print_Area" vbProcedure="false">PurchasesNov!$A$1:$U$68</definedName>
    <definedName function="false" hidden="false" localSheetId="23" name="_xlnm_Print_Titles" vbProcedure="false">(PurchasesNov!$A:$A,PurchasesNov!$1:$4)</definedName>
    <definedName function="false" hidden="false" localSheetId="24" name="_xlnm_Print_Titles" vbProcedure="false">SalesDec!$1:$3</definedName>
    <definedName function="false" hidden="false" localSheetId="25" name="Excel_BuiltIn_Print_Titles" vbProcedure="false">(PurchasesDec!$A:$A,PurchasesDec!$1:$4)</definedName>
    <definedName function="false" hidden="false" localSheetId="25" name="_xlnm_Print_Area" vbProcedure="false">PurchasesDec!$A$1:$U$68</definedName>
    <definedName function="false" hidden="false" localSheetId="25" name="_xlnm_Print_Titles" vbProcedure="false">(PurchasesDec!$A:$A,PurchasesDec!$1:$4)</definedName>
    <definedName function="false" hidden="false" localSheetId="26" name="_xlnm_Print_Titles" vbProcedure="false">SalesJan!$1:$3</definedName>
    <definedName function="false" hidden="false" localSheetId="27" name="Excel_BuiltIn_Print_Titles" vbProcedure="false">(PurchasesJan!$A:$A,PurchasesJan!$1:$4)</definedName>
    <definedName function="false" hidden="false" localSheetId="27" name="_xlnm_Print_Area" vbProcedure="false">PurchasesJan!$A$1:$U$68</definedName>
    <definedName function="false" hidden="false" localSheetId="27" name="_xlnm_Print_Titles" vbProcedure="false">(PurchasesJan!$A:$A,PurchasesJan!$1:$4)</definedName>
    <definedName function="false" hidden="false" localSheetId="28" name="_xlnm_Print_Titles" vbProcedure="false">SalesFeb!$1:$3</definedName>
    <definedName function="false" hidden="false" localSheetId="29" name="Excel_BuiltIn_Print_Titles" vbProcedure="false">(PurchasesFeb!$A:$A,PurchasesFeb!$1:$4)</definedName>
    <definedName function="false" hidden="false" localSheetId="29" name="_xlnm_Print_Area" vbProcedure="false">PurchasesFeb!$A$1:$U$68</definedName>
    <definedName function="false" hidden="false" localSheetId="29" name="_xlnm_Print_Titles" vbProcedure="false">(PurchasesFeb!$A:$A,PurchasesFeb!$1:$4)</definedName>
    <definedName function="false" hidden="false" localSheetId="30" name="_xlnm_Print_Titles" vbProcedure="false">SalesMar!$1:$3</definedName>
    <definedName function="false" hidden="false" localSheetId="31" name="Excel_BuiltIn_Print_Titles" vbProcedure="false">(PurchasesMar!$A:$A,PurchasesMar!$1:$4)</definedName>
    <definedName function="false" hidden="false" localSheetId="31" name="_xlnm_Print_Area" vbProcedure="false">PurchasesMar!$A$1:$U$68</definedName>
    <definedName function="false" hidden="false" localSheetId="31" name="_xlnm_Print_Titles" vbProcedure="false">(PurchasesMar!$A:$A,PurchasesMar!$1:$4)</definedName>
  </definedNames>
  <calcPr iterateCount="100" refMode="A1" iterate="false" iterateDelta="0.0001"/>
  <extLst>
    <ext xmlns:loext="http://schemas.libreoffice.org/" uri="{7626C862-2A13-11E5-B345-FEFF819CDC9F}">
      <loext:extCalcPr stringRefSyntax="CalcA1"/>
    </ext>
  </extLst>
</workbook>
</file>

<file path=xl/sharedStrings.xml><?xml version="1.0" encoding="utf-8"?>
<sst xmlns="http://schemas.openxmlformats.org/spreadsheetml/2006/main" count="1098" uniqueCount="334">
  <si>
    <t xml:space="preserve">Taxi Driver Accounts</t>
  </si>
  <si>
    <t xml:space="preserve">Click a link below to navigate to the desired page.
To return to the home page click the Home tab. If you can't see the Home tab, you can scroll to it by clicking the |&lt; symbol (bottom left).</t>
  </si>
  <si>
    <t xml:space="preserve">Preparation</t>
  </si>
  <si>
    <t xml:space="preserve">Taxi Receipts</t>
  </si>
  <si>
    <t xml:space="preserve">Expenses</t>
  </si>
  <si>
    <t xml:space="preserve">Results</t>
  </si>
  <si>
    <t xml:space="preserve"> </t>
  </si>
  <si>
    <t xml:space="preserve">Copyright (C) 2006-2026 DIY Accounting Limited</t>
  </si>
  <si>
    <t xml:space="preserve">Licensed under the PolyForm Internal Use License 1.0.0 with an additional grant for accountants. Free to use, source available: https://spreadsheets.diyaccounting.co.uk</t>
  </si>
  <si>
    <r>
      <rPr>
        <b val="true"/>
        <sz val="9"/>
        <rFont val="Arial"/>
        <family val="2"/>
        <charset val="1"/>
      </rPr>
      <t xml:space="preserve">ENTER YOUR BUSINESS DETAILS </t>
    </r>
    <r>
      <rPr>
        <i val="true"/>
        <sz val="9"/>
        <rFont val="Arial"/>
        <family val="2"/>
        <charset val="1"/>
      </rPr>
      <t xml:space="preserve">- which are then transferred to the Self-employment Tax Return</t>
    </r>
  </si>
  <si>
    <t xml:space="preserve">Your name</t>
  </si>
  <si>
    <t xml:space="preserve">Your unique taxpayer reference (UTR)</t>
  </si>
  <si>
    <t xml:space="preserve">Basic Taxi Driver</t>
  </si>
  <si>
    <t xml:space="preserve">5566778899</t>
  </si>
  <si>
    <t xml:space="preserve">Description of business</t>
  </si>
  <si>
    <t xml:space="preserve">If you are a foster carer or adult placement carer, put 'X'</t>
  </si>
  <si>
    <t xml:space="preserve">Owner-driver private hire and taxi services</t>
  </si>
  <si>
    <r>
      <rPr>
        <sz val="8"/>
        <rFont val="Arial"/>
        <family val="2"/>
        <charset val="1"/>
      </rPr>
      <t xml:space="preserve">in the box - </t>
    </r>
    <r>
      <rPr>
        <i val="true"/>
        <sz val="8"/>
        <rFont val="Arial"/>
        <family val="2"/>
        <charset val="1"/>
      </rPr>
      <t xml:space="preserve">read page SESN 2 of the notes</t>
    </r>
  </si>
  <si>
    <t xml:space="preserve">If your business started sifter </t>
  </si>
  <si>
    <r>
      <rPr>
        <sz val="8"/>
        <rFont val="Arial"/>
        <family val="2"/>
        <charset val="1"/>
      </rPr>
      <t xml:space="preserve">enter the start date </t>
    </r>
    <r>
      <rPr>
        <i val="true"/>
        <sz val="8"/>
        <rFont val="Arial"/>
        <family val="2"/>
        <charset val="1"/>
      </rPr>
      <t xml:space="preserve">DD/MM/YYY</t>
    </r>
  </si>
  <si>
    <t xml:space="preserve">Postcode of your business</t>
  </si>
  <si>
    <t xml:space="preserve">DE1 2GH</t>
  </si>
  <si>
    <t xml:space="preserve">If your business ceased before</t>
  </si>
  <si>
    <t xml:space="preserve">If your business name, description, address or postcode</t>
  </si>
  <si>
    <t xml:space="preserve">enter the final date of trading</t>
  </si>
  <si>
    <t xml:space="preserve">have changed in the last 12 months, put 'X' in the box</t>
  </si>
  <si>
    <t xml:space="preserve">and give details in the 'Any other information' box of</t>
  </si>
  <si>
    <t xml:space="preserve">of your Tax Return</t>
  </si>
  <si>
    <r>
      <rPr>
        <sz val="8"/>
        <rFont val="Arial"/>
        <family val="2"/>
        <charset val="1"/>
      </rPr>
      <t xml:space="preserve">Date your books or accounts are made up to -</t>
    </r>
    <r>
      <rPr>
        <i val="true"/>
        <sz val="8"/>
        <rFont val="Arial"/>
        <family val="2"/>
        <charset val="1"/>
      </rPr>
      <t xml:space="preserve"> read</t>
    </r>
  </si>
  <si>
    <t xml:space="preserve">page SESN 2 of the notes</t>
  </si>
  <si>
    <r>
      <rPr>
        <b val="true"/>
        <sz val="8"/>
        <rFont val="Arial"/>
        <family val="2"/>
        <charset val="1"/>
      </rPr>
      <t xml:space="preserve">ENTER</t>
    </r>
    <r>
      <rPr>
        <sz val="8"/>
        <rFont val="Arial"/>
        <family val="2"/>
        <charset val="1"/>
      </rPr>
      <t xml:space="preserve">: Total losses brought forward from earlier years</t>
    </r>
  </si>
  <si>
    <r>
      <rPr>
        <b val="true"/>
        <sz val="8"/>
        <rFont val="Arial"/>
        <family val="2"/>
        <charset val="1"/>
      </rPr>
      <t xml:space="preserve">ENTER</t>
    </r>
    <r>
      <rPr>
        <sz val="8"/>
        <rFont val="Arial"/>
        <family val="2"/>
        <charset val="1"/>
      </rPr>
      <t xml:space="preserve">: Value of goods and services for your own use</t>
    </r>
  </si>
  <si>
    <t xml:space="preserve"> - read page SESN 7 of the notes</t>
  </si>
  <si>
    <t xml:space="preserve">£</t>
  </si>
  <si>
    <t xml:space="preserve">.</t>
  </si>
  <si>
    <t xml:space="preserve">Loss used this year</t>
  </si>
  <si>
    <t xml:space="preserve">Total loss carried forward to future years</t>
  </si>
  <si>
    <t xml:space="preserve">Calculated no entry required</t>
  </si>
  <si>
    <t xml:space="preserve">HM Revenue                  &amp; Customs</t>
  </si>
  <si>
    <t xml:space="preserve">COPY DETAILS TO HMRC FORM          Submit HMRC ONLINE by               31st January 2022</t>
  </si>
  <si>
    <t xml:space="preserve">Self-employment (short)</t>
  </si>
  <si>
    <t xml:space="preserve">Tax year </t>
  </si>
  <si>
    <t xml:space="preserve">to</t>
  </si>
  <si>
    <t xml:space="preserve">Business details</t>
  </si>
  <si>
    <r>
      <rPr>
        <sz val="8"/>
        <rFont val="Arial"/>
        <family val="2"/>
        <charset val="1"/>
      </rPr>
      <t xml:space="preserve">enter the start date </t>
    </r>
    <r>
      <rPr>
        <i val="true"/>
        <sz val="8"/>
        <rFont val="Arial"/>
        <family val="2"/>
        <charset val="1"/>
      </rPr>
      <t xml:space="preserve">DD/MM/YYYY</t>
    </r>
  </si>
  <si>
    <r>
      <rPr>
        <sz val="8"/>
        <rFont val="Arial"/>
        <family val="2"/>
        <charset val="1"/>
      </rPr>
      <t xml:space="preserve">Your turnover -</t>
    </r>
    <r>
      <rPr>
        <i val="true"/>
        <sz val="8"/>
        <rFont val="Arial"/>
        <family val="2"/>
        <charset val="1"/>
      </rPr>
      <t xml:space="preserve"> the takings, fees, sales or money earned</t>
    </r>
  </si>
  <si>
    <t xml:space="preserve">Any other business income not included in box 9</t>
  </si>
  <si>
    <t xml:space="preserve">by your business</t>
  </si>
  <si>
    <t xml:space="preserve"> - excluding Business Start-up Allowance</t>
  </si>
  <si>
    <t xml:space="preserve">Allowable business expenses</t>
  </si>
  <si>
    <r>
      <rPr>
        <sz val="8"/>
        <rFont val="Arial"/>
        <family val="2"/>
        <charset val="1"/>
      </rPr>
      <t xml:space="preserve">Read pages SESN 3 of the </t>
    </r>
    <r>
      <rPr>
        <i val="true"/>
        <sz val="8"/>
        <rFont val="Arial"/>
        <family val="2"/>
        <charset val="1"/>
      </rPr>
      <t xml:space="preserve">notes</t>
    </r>
    <r>
      <rPr>
        <sz val="8"/>
        <rFont val="Arial"/>
        <family val="2"/>
        <charset val="1"/>
      </rPr>
      <t xml:space="preserve"> to see which expenses are allowed for tax purposes. If your annual turnover was below the VAT threshold shown above</t>
    </r>
  </si>
  <si>
    <t xml:space="preserve">you may just put your total expenses in box 20, rather than filling in the whole section.</t>
  </si>
  <si>
    <t xml:space="preserve">Cost of goods bought for re-sale or goods used</t>
  </si>
  <si>
    <t xml:space="preserve">Accountancy, legal and other professional fees</t>
  </si>
  <si>
    <r>
      <rPr>
        <sz val="8"/>
        <rFont val="Arial"/>
        <family val="2"/>
        <charset val="1"/>
      </rPr>
      <t xml:space="preserve">Car, van and other travel expenses - </t>
    </r>
    <r>
      <rPr>
        <i val="true"/>
        <sz val="8"/>
        <rFont val="Arial"/>
        <family val="2"/>
        <charset val="1"/>
      </rPr>
      <t xml:space="preserve">after private</t>
    </r>
  </si>
  <si>
    <t xml:space="preserve">Interest and bank and credit card etc. financial charges</t>
  </si>
  <si>
    <t xml:space="preserve">use proportion</t>
  </si>
  <si>
    <t xml:space="preserve">Wages, salaries and other staff costs</t>
  </si>
  <si>
    <t xml:space="preserve">Telephone, fax, stationery and other office costs</t>
  </si>
  <si>
    <t xml:space="preserve">Rent, rates, power and insurance costs</t>
  </si>
  <si>
    <r>
      <rPr>
        <sz val="8"/>
        <rFont val="Arial"/>
        <family val="2"/>
        <charset val="1"/>
      </rPr>
      <t xml:space="preserve">Other allowable business expenses - </t>
    </r>
    <r>
      <rPr>
        <i val="true"/>
        <sz val="8"/>
        <rFont val="Arial"/>
        <family val="2"/>
        <charset val="1"/>
      </rPr>
      <t xml:space="preserve">client entertaining</t>
    </r>
  </si>
  <si>
    <t xml:space="preserve">costs are not an allowable expense</t>
  </si>
  <si>
    <t xml:space="preserve">Repairs and renewals of property and equipment</t>
  </si>
  <si>
    <r>
      <rPr>
        <sz val="8"/>
        <rFont val="Arial"/>
        <family val="2"/>
        <charset val="1"/>
      </rPr>
      <t xml:space="preserve">Total allowable expenses - </t>
    </r>
    <r>
      <rPr>
        <i val="true"/>
        <sz val="8"/>
        <rFont val="Arial"/>
        <family val="2"/>
        <charset val="1"/>
      </rPr>
      <t xml:space="preserve">total of boxes 11 to 19</t>
    </r>
  </si>
  <si>
    <t xml:space="preserve">Net profit or loss</t>
  </si>
  <si>
    <r>
      <rPr>
        <sz val="8"/>
        <rFont val="Arial"/>
        <family val="2"/>
        <charset val="1"/>
      </rPr>
      <t xml:space="preserve">Net profit -</t>
    </r>
    <r>
      <rPr>
        <i val="true"/>
        <sz val="8"/>
        <rFont val="Arial"/>
        <family val="2"/>
        <charset val="1"/>
      </rPr>
      <t xml:space="preserve"> if your business income is more then your</t>
    </r>
  </si>
  <si>
    <r>
      <rPr>
        <sz val="8"/>
        <rFont val="Arial"/>
        <family val="2"/>
        <charset val="1"/>
      </rPr>
      <t xml:space="preserve">Or, net loss -</t>
    </r>
    <r>
      <rPr>
        <i val="true"/>
        <sz val="8"/>
        <rFont val="Arial"/>
        <family val="2"/>
        <charset val="1"/>
      </rPr>
      <t xml:space="preserve"> if your expenses exceed your business</t>
    </r>
  </si>
  <si>
    <t xml:space="preserve">expenses (box 9 + box 10 minus box 20)</t>
  </si>
  <si>
    <t xml:space="preserve">income (box 9 + box 10 minus box 20 is negative)</t>
  </si>
  <si>
    <t xml:space="preserve">Tax allowances for vehicles and equipment (capital allowances)</t>
  </si>
  <si>
    <t xml:space="preserve">There are 'capital' tax allowances for vehicles and equipment used in your business (you should not have included the cost of</t>
  </si>
  <si>
    <r>
      <rPr>
        <sz val="8"/>
        <rFont val="Arial"/>
        <family val="2"/>
        <charset val="1"/>
      </rPr>
      <t xml:space="preserve">these in your business expenses)  Read pages SESN 3 to SEFN 6 of the </t>
    </r>
    <r>
      <rPr>
        <i val="true"/>
        <sz val="8"/>
        <rFont val="Arial"/>
        <family val="2"/>
        <charset val="1"/>
      </rPr>
      <t xml:space="preserve">notes</t>
    </r>
    <r>
      <rPr>
        <sz val="8"/>
        <rFont val="Arial"/>
        <family val="2"/>
        <charset val="1"/>
      </rPr>
      <t xml:space="preserve"> and use the example and Working Sheets to work out</t>
    </r>
  </si>
  <si>
    <t xml:space="preserve">your capital allowances.</t>
  </si>
  <si>
    <t xml:space="preserve">Annual Investment Allowance</t>
  </si>
  <si>
    <t xml:space="preserve">Other Capital Allowances</t>
  </si>
  <si>
    <t xml:space="preserve">Allowance of small balance of unrelieved</t>
  </si>
  <si>
    <t xml:space="preserve">Total balancing charges - where you have disposed of</t>
  </si>
  <si>
    <t xml:space="preserve">expenditure</t>
  </si>
  <si>
    <t xml:space="preserve">items for more than their value</t>
  </si>
  <si>
    <t xml:space="preserve">Calculating your taxable profits</t>
  </si>
  <si>
    <r>
      <rPr>
        <sz val="8"/>
        <rFont val="Arial"/>
        <family val="2"/>
        <charset val="1"/>
      </rPr>
      <t xml:space="preserve">Your taxable profit may not be the same as your net profit. Read page SESN 7 of the </t>
    </r>
    <r>
      <rPr>
        <i val="true"/>
        <sz val="8"/>
        <rFont val="Arial"/>
        <family val="2"/>
        <charset val="1"/>
      </rPr>
      <t xml:space="preserve">notes</t>
    </r>
    <r>
      <rPr>
        <sz val="8"/>
        <rFont val="Arial"/>
        <family val="2"/>
        <charset val="1"/>
      </rPr>
      <t xml:space="preserve"> to see if you need to make any</t>
    </r>
  </si>
  <si>
    <t xml:space="preserve">adjustments and fill in the boxes which apply to arrive at your taxable profit for the year.</t>
  </si>
  <si>
    <r>
      <rPr>
        <sz val="8"/>
        <rFont val="Arial"/>
        <family val="2"/>
        <charset val="1"/>
      </rPr>
      <t xml:space="preserve">Goods and services for your own use - </t>
    </r>
    <r>
      <rPr>
        <i val="true"/>
        <sz val="8"/>
        <rFont val="Arial"/>
        <family val="2"/>
        <charset val="1"/>
      </rPr>
      <t xml:space="preserve">read page</t>
    </r>
  </si>
  <si>
    <t xml:space="preserve">Loss brought forward from earlier years set-off against</t>
  </si>
  <si>
    <t xml:space="preserve">SESN 9 of the notes</t>
  </si>
  <si>
    <r>
      <rPr>
        <sz val="8"/>
        <rFont val="Arial"/>
        <family val="2"/>
        <charset val="1"/>
      </rPr>
      <t xml:space="preserve">this year's profits - </t>
    </r>
    <r>
      <rPr>
        <i val="true"/>
        <sz val="8"/>
        <rFont val="Arial"/>
        <family val="2"/>
        <charset val="1"/>
      </rPr>
      <t xml:space="preserve">up to the amount in box 28</t>
    </r>
  </si>
  <si>
    <t xml:space="preserve">Net business profit for tax purposes (if box 21 + box 26 +</t>
  </si>
  <si>
    <t xml:space="preserve">Any other business income not included in boxes 9 or 10</t>
  </si>
  <si>
    <t xml:space="preserve">box 27 minus boxes 22 to 25) is positive)</t>
  </si>
  <si>
    <t xml:space="preserve"> - for example, Business Start-up Allowance</t>
  </si>
  <si>
    <t xml:space="preserve">Total taxable profits or net business loss</t>
  </si>
  <si>
    <t xml:space="preserve">Total taxable profits from this business</t>
  </si>
  <si>
    <t xml:space="preserve">Net business loss for tax purposes (if boxes 22 to 25</t>
  </si>
  <si>
    <t xml:space="preserve">if box 28 + box 30 minus box 29 is positive</t>
  </si>
  <si>
    <t xml:space="preserve">minus (box 21 + box 26 + box 27) is positive)</t>
  </si>
  <si>
    <t xml:space="preserve">Losses, Class 4 NICs and deductions</t>
  </si>
  <si>
    <r>
      <rPr>
        <sz val="8"/>
        <rFont val="Arial"/>
        <family val="2"/>
        <charset val="1"/>
      </rPr>
      <t xml:space="preserve">If you have made a loss for tax purposes (box 32), read page SESN 7 of the </t>
    </r>
    <r>
      <rPr>
        <i val="true"/>
        <sz val="8"/>
        <rFont val="Arial"/>
        <family val="2"/>
        <charset val="1"/>
      </rPr>
      <t xml:space="preserve">notes</t>
    </r>
    <r>
      <rPr>
        <sz val="8"/>
        <rFont val="Arial"/>
        <family val="2"/>
        <charset val="1"/>
      </rPr>
      <t xml:space="preserve"> and fill in boxes 33 to 35 as appropriate.</t>
    </r>
  </si>
  <si>
    <t xml:space="preserve">Loss from this tax year set-off against other income</t>
  </si>
  <si>
    <t xml:space="preserve">for </t>
  </si>
  <si>
    <t xml:space="preserve">choose to pay Class 2 NICs voluntarily, put 'X' in the box</t>
  </si>
  <si>
    <t xml:space="preserve">Loss to be carried back to previous year(s) and set-off</t>
  </si>
  <si>
    <t xml:space="preserve">If you are exempt from paying Class 4 NICs, put 'X' in the</t>
  </si>
  <si>
    <t xml:space="preserve">against income (or capital gains)</t>
  </si>
  <si>
    <r>
      <rPr>
        <sz val="8"/>
        <rFont val="Arial"/>
        <family val="2"/>
        <charset val="1"/>
      </rPr>
      <t xml:space="preserve">box - </t>
    </r>
    <r>
      <rPr>
        <i val="true"/>
        <sz val="8"/>
        <rFont val="Arial"/>
        <family val="2"/>
        <charset val="1"/>
      </rPr>
      <t xml:space="preserve">read page SESN 10 of the notes</t>
    </r>
  </si>
  <si>
    <t xml:space="preserve">Total loss to carry forward after all other set-offs</t>
  </si>
  <si>
    <t xml:space="preserve">Deductions on payment and deduction statements from</t>
  </si>
  <si>
    <t xml:space="preserve"> - including unused losses brought forward</t>
  </si>
  <si>
    <r>
      <rPr>
        <sz val="8"/>
        <rFont val="Arial"/>
        <family val="2"/>
        <charset val="1"/>
      </rPr>
      <t xml:space="preserve">contractors -</t>
    </r>
    <r>
      <rPr>
        <i val="true"/>
        <sz val="8"/>
        <rFont val="Arial"/>
        <family val="2"/>
        <charset val="1"/>
      </rPr>
      <t xml:space="preserve"> construction industry subcontractors only</t>
    </r>
  </si>
  <si>
    <t xml:space="preserve">Profit &amp; Loss account automatically updates with the most tax efficient option</t>
  </si>
  <si>
    <t xml:space="preserve">Enter mileage and vehicle expenses on the sales and expenses sheet and the formula will automatically select the best option</t>
  </si>
  <si>
    <t xml:space="preserve">Profit &amp; Loss Account</t>
  </si>
  <si>
    <t xml:space="preserve">TOTAL</t>
  </si>
  <si>
    <t xml:space="preserve">Sales Turnover</t>
  </si>
  <si>
    <t xml:space="preserve">Fuel &amp; Oil Expenses</t>
  </si>
  <si>
    <t xml:space="preserve">Car Hire/Vehicle Leasing</t>
  </si>
  <si>
    <t xml:space="preserve">Repairs, servicing and parts</t>
  </si>
  <si>
    <t xml:space="preserve">Road tax and insurance</t>
  </si>
  <si>
    <t xml:space="preserve">Capital Allowances</t>
  </si>
  <si>
    <t xml:space="preserve">Mileage Allowance</t>
  </si>
  <si>
    <t xml:space="preserve">Cost of Sales</t>
  </si>
  <si>
    <t xml:space="preserve">Gross Profit</t>
  </si>
  <si>
    <t xml:space="preserve">Employee costs</t>
  </si>
  <si>
    <t xml:space="preserve">Premises costs</t>
  </si>
  <si>
    <t xml:space="preserve">General admin expenses</t>
  </si>
  <si>
    <t xml:space="preserve">Advertising &amp; promotion</t>
  </si>
  <si>
    <t xml:space="preserve">Legal &amp; professional</t>
  </si>
  <si>
    <t xml:space="preserve">Interest</t>
  </si>
  <si>
    <t xml:space="preserve">Other finance charges</t>
  </si>
  <si>
    <t xml:space="preserve">Other expenses</t>
  </si>
  <si>
    <t xml:space="preserve">Total Expenses</t>
  </si>
  <si>
    <t xml:space="preserve">Net Profit/Loss</t>
  </si>
  <si>
    <t xml:space="preserve">Any Other Business Income</t>
  </si>
  <si>
    <t xml:space="preserve">Financial Business Health Check</t>
  </si>
  <si>
    <t xml:space="preserve">Forecast Profit</t>
  </si>
  <si>
    <t xml:space="preserve">Drawings Week 1</t>
  </si>
  <si>
    <t xml:space="preserve">Drawings Week 2</t>
  </si>
  <si>
    <t xml:space="preserve">Drawings Week 3</t>
  </si>
  <si>
    <t xml:space="preserve">Drawings Week 4</t>
  </si>
  <si>
    <t xml:space="preserve">Income Tax &amp; NI Liability</t>
  </si>
  <si>
    <t xml:space="preserve">Financial Health Check</t>
  </si>
  <si>
    <t xml:space="preserve">VitalTax summary</t>
  </si>
  <si>
    <t xml:space="preserve">Q1</t>
  </si>
  <si>
    <t xml:space="preserve">Q2</t>
  </si>
  <si>
    <t xml:space="preserve">Q3</t>
  </si>
  <si>
    <t xml:space="preserve">Q4</t>
  </si>
  <si>
    <t xml:space="preserve">Annual</t>
  </si>
  <si>
    <t xml:space="preserve">Notes</t>
  </si>
  <si>
    <t xml:space="preserve">Turnover</t>
  </si>
  <si>
    <t xml:space="preserve">Other income</t>
  </si>
  <si>
    <t xml:space="preserve">Cost of goods bought</t>
  </si>
  <si>
    <t xml:space="preserve">Allowable expenses</t>
  </si>
  <si>
    <t xml:space="preserve">Staff costs</t>
  </si>
  <si>
    <t xml:space="preserve">Premises running costs</t>
  </si>
  <si>
    <t xml:space="preserve">Maintenance</t>
  </si>
  <si>
    <t xml:space="preserve">Admin</t>
  </si>
  <si>
    <t xml:space="preserve">Financial charges</t>
  </si>
  <si>
    <t xml:space="preserve">Travel</t>
  </si>
  <si>
    <t xml:space="preserve">Advertising</t>
  </si>
  <si>
    <t xml:space="preserve">Professional</t>
  </si>
  <si>
    <t xml:space="preserve">Bad debt</t>
  </si>
  <si>
    <t xml:space="preserve">Not captured in DIY Accounting</t>
  </si>
  <si>
    <t xml:space="preserve">Other</t>
  </si>
  <si>
    <t xml:space="preserve">CIS payment to subcontractors</t>
  </si>
  <si>
    <t xml:space="preserve">Business entertainment</t>
  </si>
  <si>
    <t xml:space="preserve">Depreciation</t>
  </si>
  <si>
    <t xml:space="preserve">Total allowable expenses </t>
  </si>
  <si>
    <t xml:space="preserve">Disallowable expenses</t>
  </si>
  <si>
    <t xml:space="preserve">Travel </t>
  </si>
  <si>
    <t xml:space="preserve">Financial charges </t>
  </si>
  <si>
    <t xml:space="preserve">Bad debt </t>
  </si>
  <si>
    <t xml:space="preserve">Date     Asset Purchased</t>
  </si>
  <si>
    <t xml:space="preserve">TOTAL FIXED ASSETS AT</t>
  </si>
  <si>
    <t xml:space="preserve">Enter % Personal use of vehicles</t>
  </si>
  <si>
    <t xml:space="preserve">Date     Asset or Vehicle    Sold</t>
  </si>
  <si>
    <t xml:space="preserve">Asset Description</t>
  </si>
  <si>
    <t xml:space="preserve">Purchase Reference</t>
  </si>
  <si>
    <t xml:space="preserve">Original Cost</t>
  </si>
  <si>
    <t xml:space="preserve">W Down Net Value</t>
  </si>
  <si>
    <t xml:space="preserve">W Down Allowance</t>
  </si>
  <si>
    <t xml:space="preserve">Sales      Value</t>
  </si>
  <si>
    <t xml:space="preserve">Capital Allowance</t>
  </si>
  <si>
    <t xml:space="preserve">Balancing Charge</t>
  </si>
  <si>
    <t xml:space="preserve">Fixed Assets including Commercial vehicles bought before</t>
  </si>
  <si>
    <t xml:space="preserve">Fixed Assets incl Commercial vehicles bght before</t>
  </si>
  <si>
    <t xml:space="preserve">Vehicles under £12,000 bought before</t>
  </si>
  <si>
    <t xml:space="preserve">Sub total Vehicles under £12000 purchased before</t>
  </si>
  <si>
    <t xml:space="preserve">Vehicles over £12,000 bought before</t>
  </si>
  <si>
    <t xml:space="preserve">Sub total Vehicles over £12000 purchased before</t>
  </si>
  <si>
    <t xml:space="preserve">FIXED ASSETS EXISTING at</t>
  </si>
  <si>
    <t xml:space="preserve">Fixed Assets including Commercial vehicles bought after</t>
  </si>
  <si>
    <t xml:space="preserve">Fixed Assets incl Commercial vehicles bght after</t>
  </si>
  <si>
    <t xml:space="preserve">Vehicles under £12,000 bought after</t>
  </si>
  <si>
    <t xml:space="preserve">Taxi vehicle</t>
  </si>
  <si>
    <t xml:space="preserve">VEH-0601</t>
  </si>
  <si>
    <t xml:space="preserve">Sub total Vehicles under £12000 purchased after</t>
  </si>
  <si>
    <t xml:space="preserve">Vehicles over £12,000 bought after</t>
  </si>
  <si>
    <t xml:space="preserve">Sub total Vehicles over £12000 purchased after</t>
  </si>
  <si>
    <t xml:space="preserve">FIXED ASSET ADDITIONS </t>
  </si>
  <si>
    <t xml:space="preserve">TAXATION CALCULATION </t>
  </si>
  <si>
    <t xml:space="preserve">This section an indication and for your information only</t>
  </si>
  <si>
    <t xml:space="preserve">Profit from Self employment</t>
  </si>
  <si>
    <t xml:space="preserve">Minus Personal Allowance</t>
  </si>
  <si>
    <t xml:space="preserve">Total income on which tax is due</t>
  </si>
  <si>
    <t xml:space="preserve">Income Tax first band</t>
  </si>
  <si>
    <t xml:space="preserve">Income Tax second band</t>
  </si>
  <si>
    <t xml:space="preserve">Income Tax third band</t>
  </si>
  <si>
    <t xml:space="preserve">Income Tax payable</t>
  </si>
  <si>
    <t xml:space="preserve">Amounts Payable by</t>
  </si>
  <si>
    <t xml:space="preserve">Class 4 NI Contribution Lower - Upper profits</t>
  </si>
  <si>
    <t xml:space="preserve">Class 4 NI Contribution Upper profits</t>
  </si>
  <si>
    <t xml:space="preserve">TOTAL Income Tax &amp; NI Liability</t>
  </si>
  <si>
    <t xml:space="preserve">FUTURE TAX LIABILITY (if over £500)</t>
  </si>
  <si>
    <t xml:space="preserve">This section for your information only</t>
  </si>
  <si>
    <t xml:space="preserve">Due Date</t>
  </si>
  <si>
    <t xml:space="preserve">Amount Payable</t>
  </si>
  <si>
    <t xml:space="preserve">Tax &amp; NI Assessment</t>
  </si>
  <si>
    <t xml:space="preserve">Previous Year</t>
  </si>
  <si>
    <t xml:space="preserve">50% Payable</t>
  </si>
  <si>
    <t xml:space="preserve">NOTES:</t>
  </si>
  <si>
    <t xml:space="preserve">Working Tax Credit</t>
  </si>
  <si>
    <t xml:space="preserve">Not taxable and not added to self employment income for tax purposes</t>
  </si>
  <si>
    <t xml:space="preserve">Pension Entitlement</t>
  </si>
  <si>
    <t xml:space="preserve">To receive Full Pension entitlement NI has to be paid 44 years out of 49 years (16 - 65)</t>
  </si>
  <si>
    <t xml:space="preserve">UK residents aged 60 - 65 get 5 years bonus.</t>
  </si>
  <si>
    <t xml:space="preserve">To confirm current NI / Pension entitlement years the helpline number is 0845 3000 168</t>
  </si>
  <si>
    <t xml:space="preserve">ACTUAL                          Profit and Loss Account</t>
  </si>
  <si>
    <t xml:space="preserve">Total Year</t>
  </si>
  <si>
    <t xml:space="preserve">Investment Grants</t>
  </si>
  <si>
    <t xml:space="preserve">General Expenses</t>
  </si>
  <si>
    <t xml:space="preserve">Profit (Loss) before Tax</t>
  </si>
  <si>
    <t xml:space="preserve">FORECAST                   Profit and Loss Account</t>
  </si>
  <si>
    <t xml:space="preserve">FORECAST TAX CALCULATION</t>
  </si>
  <si>
    <t xml:space="preserve">Profit before Tax</t>
  </si>
  <si>
    <t xml:space="preserve">Personal Allowance</t>
  </si>
  <si>
    <t xml:space="preserve">Profit after Allowance</t>
  </si>
  <si>
    <t xml:space="preserve">Tax at standard rate</t>
  </si>
  <si>
    <t xml:space="preserve">Tax at higher rate</t>
  </si>
  <si>
    <t xml:space="preserve">Tax at additional rate</t>
  </si>
  <si>
    <t xml:space="preserve">National Insurance</t>
  </si>
  <si>
    <t xml:space="preserve">TAX &amp; NI LIABILITY</t>
  </si>
  <si>
    <t xml:space="preserve">Sales      Date</t>
  </si>
  <si>
    <t xml:space="preserve">Day</t>
  </si>
  <si>
    <t xml:space="preserve">Total for Month</t>
  </si>
  <si>
    <t xml:space="preserve">Customer Name (rental/other income)</t>
  </si>
  <si>
    <t xml:space="preserve">Sales Mileage</t>
  </si>
  <si>
    <t xml:space="preserve">Gross takings including tips</t>
  </si>
  <si>
    <t xml:space="preserve">Other Income (start up grants)</t>
  </si>
  <si>
    <t xml:space="preserve">Rental due</t>
  </si>
  <si>
    <t xml:space="preserve">Any other income</t>
  </si>
  <si>
    <t xml:space="preserve">Mileage to date</t>
  </si>
  <si>
    <t xml:space="preserve">Mileage expenses to date</t>
  </si>
  <si>
    <t xml:space="preserve">Purchase Reference / Invoice Number</t>
  </si>
  <si>
    <t xml:space="preserve"> Enter Expense Code Letter</t>
  </si>
  <si>
    <t xml:space="preserve">Mileage</t>
  </si>
  <si>
    <t xml:space="preserve">Total Purchase Value incl Vat</t>
  </si>
  <si>
    <t xml:space="preserve">Vehicle expenses to date</t>
  </si>
  <si>
    <t xml:space="preserve">Employee Costs</t>
  </si>
  <si>
    <t xml:space="preserve">Premises Costs</t>
  </si>
  <si>
    <t xml:space="preserve">General Admin Tel Postage Stationery Radio hire</t>
  </si>
  <si>
    <t xml:space="preserve">Advertising &amp;   Promotion</t>
  </si>
  <si>
    <t xml:space="preserve">Legal &amp; Professional incl Council Taxi Licence Costs</t>
  </si>
  <si>
    <t xml:space="preserve">Bank Business Account Interest</t>
  </si>
  <si>
    <t xml:space="preserve">Bank Charges &amp; Other Leasing</t>
  </si>
  <si>
    <t xml:space="preserve">Other Expenses incl valet costs</t>
  </si>
  <si>
    <t xml:space="preserve">Fixed Assets Motor Vehicles</t>
  </si>
  <si>
    <t xml:space="preserve">Purchase Date</t>
  </si>
  <si>
    <t xml:space="preserve">Supplier</t>
  </si>
  <si>
    <t xml:space="preserve">Car Hire &amp; Vehicle Leasing costs</t>
  </si>
  <si>
    <t xml:space="preserve">D</t>
  </si>
  <si>
    <t xml:space="preserve">H</t>
  </si>
  <si>
    <t xml:space="preserve">R</t>
  </si>
  <si>
    <t xml:space="preserve">T</t>
  </si>
  <si>
    <t xml:space="preserve">E</t>
  </si>
  <si>
    <t xml:space="preserve">P</t>
  </si>
  <si>
    <t xml:space="preserve">G</t>
  </si>
  <si>
    <t xml:space="preserve">A</t>
  </si>
  <si>
    <t xml:space="preserve">L</t>
  </si>
  <si>
    <t xml:space="preserve">I</t>
  </si>
  <si>
    <t xml:space="preserve">B</t>
  </si>
  <si>
    <t xml:space="preserve">O</t>
  </si>
  <si>
    <t xml:space="preserve">F</t>
  </si>
  <si>
    <t xml:space="preserve">DVLA</t>
  </si>
  <si>
    <t xml:space="preserve">t</t>
  </si>
  <si>
    <t xml:space="preserve">Council</t>
  </si>
  <si>
    <t xml:space="preserve">l</t>
  </si>
  <si>
    <t xml:space="preserve">Insurance Co</t>
  </si>
  <si>
    <t xml:space="preserve">Shell</t>
  </si>
  <si>
    <t xml:space="preserve">d</t>
  </si>
  <si>
    <t xml:space="preserve">Vodafone</t>
  </si>
  <si>
    <t xml:space="preserve">g</t>
  </si>
  <si>
    <t xml:space="preserve">Advertising &amp; Promotion</t>
  </si>
  <si>
    <t xml:space="preserve">Car Dealer</t>
  </si>
  <si>
    <t xml:space="preserve">f</t>
  </si>
  <si>
    <t xml:space="preserve">Start-up grant</t>
  </si>
  <si>
    <t xml:space="preserve">Accountant</t>
  </si>
  <si>
    <t xml:space="preserve">Dates</t>
  </si>
  <si>
    <t xml:space="preserve">Capital Tax Allowances </t>
  </si>
  <si>
    <t xml:space="preserve">Income Tax Rates</t>
  </si>
  <si>
    <t xml:space="preserve">Personal allowance</t>
  </si>
  <si>
    <t xml:space="preserve">Writing down allowance</t>
  </si>
  <si>
    <t xml:space="preserve">Personal allowance taper threshold</t>
  </si>
  <si>
    <t xml:space="preserve">Basic rate applicable on taxable income up to higher rate</t>
  </si>
  <si>
    <t xml:space="preserve">%</t>
  </si>
  <si>
    <t xml:space="preserve">Allowances restricted on Motor vehicles</t>
  </si>
  <si>
    <t xml:space="preserve">Higher rate applicable on taxable income over higher rate</t>
  </si>
  <si>
    <t xml:space="preserve">Additional rate applicable above the higher rate limit</t>
  </si>
  <si>
    <t xml:space="preserve">Taxable Bands Allowances</t>
  </si>
  <si>
    <t xml:space="preserve">Start Level</t>
  </si>
  <si>
    <t xml:space="preserve"> End Level</t>
  </si>
  <si>
    <t xml:space="preserve"> Tax Band </t>
  </si>
  <si>
    <t xml:space="preserve">Depreciation Rates Applied</t>
  </si>
  <si>
    <t xml:space="preserve">Basic rate</t>
  </si>
  <si>
    <t xml:space="preserve">Higher rate</t>
  </si>
  <si>
    <t xml:space="preserve">Land &amp; Property</t>
  </si>
  <si>
    <t xml:space="preserve">Additional rate</t>
  </si>
  <si>
    <t xml:space="preserve">Plant &amp; Machinery</t>
  </si>
  <si>
    <t xml:space="preserve">National Insurance rates</t>
  </si>
  <si>
    <t xml:space="preserve">Fixtures &amp; Fittings</t>
  </si>
  <si>
    <t xml:space="preserve">Computer Equipment</t>
  </si>
  <si>
    <t xml:space="preserve">NI Class 2 rate</t>
  </si>
  <si>
    <t xml:space="preserve">Above Lower Profits Threshold (LPT)</t>
  </si>
  <si>
    <t xml:space="preserve">Motor Vehicles</t>
  </si>
  <si>
    <t xml:space="preserve">Mileage Allowances</t>
  </si>
  <si>
    <t xml:space="preserve">Miles</t>
  </si>
  <si>
    <t xml:space="preserve">p per mile</t>
  </si>
  <si>
    <t xml:space="preserve">NI Class 4 rate between lower profits and upper profits limit</t>
  </si>
  <si>
    <t xml:space="preserve">NIC class 4 lower limit</t>
  </si>
  <si>
    <t xml:space="preserve">Higher rate allowance up to</t>
  </si>
  <si>
    <t xml:space="preserve">Lower rate allowance over</t>
  </si>
  <si>
    <t xml:space="preserve">NI Class 4 rate above upper profits limit</t>
  </si>
  <si>
    <t xml:space="preserve">NIC class 4 upper limit</t>
  </si>
  <si>
    <t xml:space="preserve">2026-27</t>
  </si>
  <si>
    <t xml:space="preserve">2027-28</t>
  </si>
  <si>
    <t xml:space="preserve">VAT Threshold</t>
  </si>
</sst>
</file>

<file path=xl/styles.xml><?xml version="1.0" encoding="utf-8"?>
<styleSheet xmlns="http://schemas.openxmlformats.org/spreadsheetml/2006/main">
  <numFmts count="17">
    <numFmt numFmtId="164" formatCode="General"/>
    <numFmt numFmtId="165" formatCode="mmm\-yy"/>
    <numFmt numFmtId="166" formatCode="[$-F800]dddd&quot;, &quot;mmmm\ dd&quot;, &quot;yyyy"/>
    <numFmt numFmtId="167" formatCode="dd/mm/yyyy;@"/>
    <numFmt numFmtId="168" formatCode="#,##0"/>
    <numFmt numFmtId="169" formatCode="0"/>
    <numFmt numFmtId="170" formatCode="dd\-mmm\-yy"/>
    <numFmt numFmtId="171" formatCode="#,##0_ ;[RED]\-#,##0\ "/>
    <numFmt numFmtId="172" formatCode="#,##0.00_ ;[RED]\-#,##0.00\ "/>
    <numFmt numFmtId="173" formatCode="0.00"/>
    <numFmt numFmtId="174" formatCode="#,##0.00"/>
    <numFmt numFmtId="175" formatCode="0%"/>
    <numFmt numFmtId="176" formatCode="dd/mm/yyyy"/>
    <numFmt numFmtId="177" formatCode="0.00_ ;[RED]\-0.00\ "/>
    <numFmt numFmtId="178" formatCode="0_ ;[RED]\-0\ "/>
    <numFmt numFmtId="179" formatCode="dddd"/>
    <numFmt numFmtId="180" formatCode="0.00%"/>
  </numFmts>
  <fonts count="40">
    <font>
      <sz val="10"/>
      <name val="Arial"/>
      <family val="0"/>
      <charset val="1"/>
    </font>
    <font>
      <sz val="10"/>
      <name val="Arial"/>
      <family val="0"/>
    </font>
    <font>
      <sz val="10"/>
      <name val="Arial"/>
      <family val="0"/>
    </font>
    <font>
      <sz val="10"/>
      <name val="Arial"/>
      <family val="0"/>
    </font>
    <font>
      <sz val="10"/>
      <name val="Arial"/>
      <family val="2"/>
      <charset val="1"/>
    </font>
    <font>
      <b val="true"/>
      <sz val="10"/>
      <name val="Arial"/>
      <family val="2"/>
      <charset val="1"/>
    </font>
    <font>
      <i val="true"/>
      <sz val="10"/>
      <name val="Arial"/>
      <family val="2"/>
      <charset val="1"/>
    </font>
    <font>
      <u val="single"/>
      <sz val="10"/>
      <color rgb="FF0000FF"/>
      <name val="Arial"/>
      <family val="2"/>
      <charset val="1"/>
    </font>
    <font>
      <sz val="9"/>
      <name val="Arial"/>
      <family val="2"/>
      <charset val="1"/>
    </font>
    <font>
      <b val="true"/>
      <sz val="9"/>
      <name val="Arial"/>
      <family val="2"/>
      <charset val="1"/>
    </font>
    <font>
      <i val="true"/>
      <sz val="9"/>
      <name val="Arial"/>
      <family val="2"/>
      <charset val="1"/>
    </font>
    <font>
      <sz val="8"/>
      <name val="Arial"/>
      <family val="2"/>
      <charset val="1"/>
    </font>
    <font>
      <b val="true"/>
      <sz val="11"/>
      <name val="Arial"/>
      <family val="2"/>
      <charset val="1"/>
    </font>
    <font>
      <i val="true"/>
      <sz val="8"/>
      <name val="Arial"/>
      <family val="2"/>
      <charset val="1"/>
    </font>
    <font>
      <sz val="14"/>
      <name val="Arial"/>
      <family val="2"/>
      <charset val="1"/>
    </font>
    <font>
      <b val="true"/>
      <sz val="8"/>
      <name val="Arial"/>
      <family val="2"/>
      <charset val="1"/>
    </font>
    <font>
      <sz val="10"/>
      <color rgb="FF3366FF"/>
      <name val="Arial"/>
      <family val="2"/>
      <charset val="1"/>
    </font>
    <font>
      <b val="true"/>
      <sz val="12"/>
      <name val="Arial"/>
      <family val="2"/>
      <charset val="1"/>
    </font>
    <font>
      <i val="true"/>
      <sz val="8"/>
      <color rgb="FF0000FF"/>
      <name val="Arial"/>
      <family val="2"/>
      <charset val="1"/>
    </font>
    <font>
      <b val="true"/>
      <sz val="14"/>
      <color rgb="FF333399"/>
      <name val="Arial"/>
      <family val="2"/>
      <charset val="1"/>
    </font>
    <font>
      <b val="true"/>
      <sz val="8"/>
      <color rgb="FFFF6600"/>
      <name val="Arial"/>
      <family val="2"/>
      <charset val="1"/>
    </font>
    <font>
      <b val="true"/>
      <sz val="16"/>
      <color rgb="FF333399"/>
      <name val="Arial"/>
      <family val="2"/>
      <charset val="1"/>
    </font>
    <font>
      <b val="true"/>
      <sz val="10"/>
      <color rgb="FF333399"/>
      <name val="Arial"/>
      <family val="2"/>
      <charset val="1"/>
    </font>
    <font>
      <sz val="12"/>
      <name val="Arial"/>
      <family val="2"/>
      <charset val="1"/>
    </font>
    <font>
      <sz val="11"/>
      <color rgb="FF3366FF"/>
      <name val="Arial"/>
      <family val="2"/>
      <charset val="1"/>
    </font>
    <font>
      <sz val="10"/>
      <name val="Times New Roman"/>
      <family val="1"/>
      <charset val="1"/>
    </font>
    <font>
      <sz val="9"/>
      <color rgb="FF000080"/>
      <name val="Times New Roman"/>
      <family val="1"/>
      <charset val="1"/>
    </font>
    <font>
      <sz val="10"/>
      <color rgb="FFFF0000"/>
      <name val="Times New Roman"/>
      <family val="1"/>
      <charset val="1"/>
    </font>
    <font>
      <b val="true"/>
      <sz val="8"/>
      <color rgb="FFFF0000"/>
      <name val="Arial"/>
      <family val="2"/>
      <charset val="1"/>
    </font>
    <font>
      <b val="true"/>
      <sz val="10"/>
      <color rgb="FF000080"/>
      <name val="Times New Roman"/>
      <family val="1"/>
      <charset val="1"/>
    </font>
    <font>
      <b val="true"/>
      <sz val="10"/>
      <color rgb="FFFF0000"/>
      <name val="Times New Roman"/>
      <family val="1"/>
      <charset val="1"/>
    </font>
    <font>
      <b val="true"/>
      <sz val="10"/>
      <name val="Times New Roman"/>
      <family val="1"/>
      <charset val="1"/>
    </font>
    <font>
      <sz val="9"/>
      <name val="Times New Roman"/>
      <family val="1"/>
      <charset val="1"/>
    </font>
    <font>
      <b val="true"/>
      <sz val="9"/>
      <name val="Times New Roman"/>
      <family val="1"/>
      <charset val="1"/>
    </font>
    <font>
      <b val="true"/>
      <i val="true"/>
      <sz val="9"/>
      <name val="Times New Roman"/>
      <family val="1"/>
      <charset val="1"/>
    </font>
    <font>
      <sz val="10"/>
      <color rgb="FF0000FF"/>
      <name val="Times New Roman"/>
      <family val="1"/>
      <charset val="1"/>
    </font>
    <font>
      <b val="true"/>
      <sz val="10"/>
      <color rgb="FF0000FF"/>
      <name val="Times New Roman"/>
      <family val="1"/>
      <charset val="1"/>
    </font>
    <font>
      <b val="true"/>
      <i val="true"/>
      <sz val="10"/>
      <name val="Times New Roman"/>
      <family val="1"/>
      <charset val="1"/>
    </font>
    <font>
      <sz val="9"/>
      <color rgb="FF0000FF"/>
      <name val="Times New Roman"/>
      <family val="1"/>
      <charset val="1"/>
    </font>
    <font>
      <b val="true"/>
      <sz val="9"/>
      <color rgb="FFFF0000"/>
      <name val="Arial"/>
      <family val="2"/>
      <charset val="1"/>
    </font>
  </fonts>
  <fills count="7">
    <fill>
      <patternFill patternType="none"/>
    </fill>
    <fill>
      <patternFill patternType="gray125"/>
    </fill>
    <fill>
      <patternFill patternType="solid">
        <fgColor rgb="FFFFFF99"/>
        <bgColor rgb="FFFFFFCC"/>
      </patternFill>
    </fill>
    <fill>
      <patternFill patternType="solid">
        <fgColor rgb="FFFFFFCC"/>
        <bgColor rgb="FFFFFFFF"/>
      </patternFill>
    </fill>
    <fill>
      <patternFill patternType="solid">
        <fgColor rgb="FFFF9900"/>
        <bgColor rgb="FFFFCC00"/>
      </patternFill>
    </fill>
    <fill>
      <patternFill patternType="solid">
        <fgColor rgb="FFCCFFCC"/>
        <bgColor rgb="FFCCFFFF"/>
      </patternFill>
    </fill>
    <fill>
      <patternFill patternType="solid">
        <fgColor rgb="FFCCFFFF"/>
        <bgColor rgb="FFCCFFFF"/>
      </patternFill>
    </fill>
  </fills>
  <borders count="51">
    <border diagonalUp="false" diagonalDown="false">
      <left/>
      <right/>
      <top/>
      <bottom/>
      <diagonal/>
    </border>
    <border diagonalUp="false" diagonalDown="false">
      <left style="thin">
        <color rgb="FF00CCFF"/>
      </left>
      <right style="thin">
        <color rgb="FF00CCFF"/>
      </right>
      <top style="thin">
        <color rgb="FF00CCFF"/>
      </top>
      <bottom style="thin">
        <color rgb="FF00CCFF"/>
      </bottom>
      <diagonal/>
    </border>
    <border diagonalUp="false" diagonalDown="false">
      <left style="thin">
        <color rgb="FF00CCFF"/>
      </left>
      <right/>
      <top style="thin">
        <color rgb="FF00CCFF"/>
      </top>
      <bottom/>
      <diagonal/>
    </border>
    <border diagonalUp="false" diagonalDown="false">
      <left/>
      <right/>
      <top style="thin">
        <color rgb="FF00CCFF"/>
      </top>
      <bottom/>
      <diagonal/>
    </border>
    <border diagonalUp="false" diagonalDown="false">
      <left/>
      <right style="thin">
        <color rgb="FF00CCFF"/>
      </right>
      <top style="thin">
        <color rgb="FF00CCFF"/>
      </top>
      <bottom/>
      <diagonal/>
    </border>
    <border diagonalUp="false" diagonalDown="false">
      <left style="thin">
        <color rgb="FF00CCFF"/>
      </left>
      <right/>
      <top/>
      <bottom/>
      <diagonal/>
    </border>
    <border diagonalUp="false" diagonalDown="false">
      <left/>
      <right style="thin">
        <color rgb="FF00CCFF"/>
      </right>
      <top/>
      <bottom/>
      <diagonal/>
    </border>
    <border diagonalUp="false" diagonalDown="false">
      <left style="thin">
        <color rgb="FF99CCFF"/>
      </left>
      <right style="thin">
        <color rgb="FF99CCFF"/>
      </right>
      <top style="thin">
        <color rgb="FF99CCFF"/>
      </top>
      <bottom style="thin">
        <color rgb="FF99CCFF"/>
      </bottom>
      <diagonal/>
    </border>
    <border diagonalUp="false" diagonalDown="false">
      <left/>
      <right style="thin">
        <color rgb="FF99CCFF"/>
      </right>
      <top/>
      <bottom/>
      <diagonal/>
    </border>
    <border diagonalUp="false" diagonalDown="false">
      <left style="thin">
        <color rgb="FF99CCFF"/>
      </left>
      <right/>
      <top/>
      <bottom/>
      <diagonal/>
    </border>
    <border diagonalUp="false" diagonalDown="false">
      <left style="thin">
        <color rgb="FF99CCFF"/>
      </left>
      <right/>
      <top/>
      <bottom style="thin">
        <color rgb="FF99CCFF"/>
      </bottom>
      <diagonal/>
    </border>
    <border diagonalUp="false" diagonalDown="false">
      <left/>
      <right/>
      <top/>
      <bottom style="thin">
        <color rgb="FF99CCFF"/>
      </bottom>
      <diagonal/>
    </border>
    <border diagonalUp="false" diagonalDown="false">
      <left/>
      <right style="thin">
        <color rgb="FF99CCFF"/>
      </right>
      <top/>
      <bottom style="thin">
        <color rgb="FF99CCFF"/>
      </bottom>
      <diagonal/>
    </border>
    <border diagonalUp="false" diagonalDown="false">
      <left/>
      <right/>
      <top/>
      <bottom style="thin">
        <color rgb="FF00CCFF"/>
      </bottom>
      <diagonal/>
    </border>
    <border diagonalUp="false" diagonalDown="false">
      <left style="thin">
        <color rgb="FF00CCFF"/>
      </left>
      <right/>
      <top/>
      <bottom style="thin">
        <color rgb="FF00CCFF"/>
      </bottom>
      <diagonal/>
    </border>
    <border diagonalUp="false" diagonalDown="false">
      <left/>
      <right style="thin">
        <color rgb="FF00CCFF"/>
      </right>
      <top/>
      <bottom style="thin">
        <color rgb="FF00CCFF"/>
      </bottom>
      <diagonal/>
    </border>
    <border diagonalUp="false" diagonalDown="false">
      <left/>
      <right/>
      <top style="thin">
        <color rgb="FF00CCFF"/>
      </top>
      <bottom style="thin">
        <color rgb="FF99CCFF"/>
      </bottom>
      <diagonal/>
    </border>
    <border diagonalUp="false" diagonalDown="false">
      <left style="thin">
        <color rgb="FF99CCFF"/>
      </left>
      <right/>
      <top style="thin">
        <color rgb="FF99CCFF"/>
      </top>
      <bottom/>
      <diagonal/>
    </border>
    <border diagonalUp="false" diagonalDown="false">
      <left/>
      <right/>
      <top style="thin">
        <color rgb="FF99CCFF"/>
      </top>
      <bottom/>
      <diagonal/>
    </border>
    <border diagonalUp="false" diagonalDown="false">
      <left/>
      <right style="thin">
        <color rgb="FF99CCFF"/>
      </right>
      <top style="thin">
        <color rgb="FF99CCFF"/>
      </top>
      <bottom/>
      <diagonal/>
    </border>
    <border diagonalUp="false" diagonalDown="false">
      <left/>
      <right/>
      <top style="thin">
        <color rgb="FF99CCFF"/>
      </top>
      <bottom style="thin">
        <color rgb="FF99CCFF"/>
      </bottom>
      <diagonal/>
    </border>
    <border diagonalUp="false" diagonalDown="false">
      <left style="thin"/>
      <right style="thin"/>
      <top style="thin"/>
      <bottom style="thin"/>
      <diagonal/>
    </border>
    <border diagonalUp="false" diagonalDown="false">
      <left/>
      <right/>
      <top style="thin"/>
      <bottom style="thin"/>
      <diagonal/>
    </border>
    <border diagonalUp="false" diagonalDown="false">
      <left style="medium"/>
      <right style="medium"/>
      <top style="medium"/>
      <bottom style="medium"/>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thin"/>
      <right/>
      <top/>
      <bottom/>
      <diagonal/>
    </border>
    <border diagonalUp="false" diagonalDown="false">
      <left/>
      <right style="thin"/>
      <top/>
      <bottom/>
      <diagonal/>
    </border>
    <border diagonalUp="false" diagonalDown="false">
      <left/>
      <right/>
      <top/>
      <bottom style="thin"/>
      <diagonal/>
    </border>
    <border diagonalUp="false" diagonalDown="false">
      <left style="thin"/>
      <right/>
      <top/>
      <bottom style="thin"/>
      <diagonal/>
    </border>
    <border diagonalUp="false" diagonalDown="false">
      <left/>
      <right style="thin"/>
      <top/>
      <bottom style="thin"/>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right style="medium"/>
      <top/>
      <bottom/>
      <diagonal/>
    </border>
    <border diagonalUp="false" diagonalDown="false">
      <left style="medium"/>
      <right/>
      <top/>
      <bottom/>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style="thin"/>
      <right style="thin"/>
      <top style="medium"/>
      <bottom/>
      <diagonal/>
    </border>
    <border diagonalUp="false" diagonalDown="false">
      <left/>
      <right/>
      <top style="thin"/>
      <bottom/>
      <diagonal/>
    </border>
    <border diagonalUp="false" diagonalDown="false">
      <left/>
      <right/>
      <top style="medium"/>
      <bottom style="medium"/>
      <diagonal/>
    </border>
    <border diagonalUp="false" diagonalDown="false">
      <left style="thin"/>
      <right style="thin"/>
      <top/>
      <bottom/>
      <diagonal/>
    </border>
    <border diagonalUp="false" diagonalDown="false">
      <left style="thin"/>
      <right style="thin"/>
      <top/>
      <bottom style="medium"/>
      <diagonal/>
    </border>
    <border diagonalUp="false" diagonalDown="false">
      <left style="thin"/>
      <right style="medium"/>
      <top style="thin"/>
      <bottom style="thin"/>
      <diagonal/>
    </border>
    <border diagonalUp="false" diagonalDown="false">
      <left/>
      <right/>
      <top style="thin"/>
      <bottom style="medium"/>
      <diagonal/>
    </border>
    <border diagonalUp="false" diagonalDown="false">
      <left/>
      <right style="medium"/>
      <top style="thin"/>
      <bottom style="medium"/>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7"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cellStyleXfs>
  <cellXfs count="422">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center"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6" fillId="2" borderId="0" xfId="0" applyFont="true" applyBorder="true" applyAlignment="true" applyProtection="false">
      <alignment horizontal="left" vertical="bottom" textRotation="0" wrapText="tru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7" fillId="2" borderId="0" xfId="20" applyFont="true" applyBorder="true" applyAlignment="true" applyProtection="true">
      <alignment horizontal="general" vertical="bottom" textRotation="0" wrapText="false" indent="0" shrinkToFit="false"/>
      <protection locked="true" hidden="false"/>
    </xf>
    <xf numFmtId="165" fontId="7" fillId="2" borderId="0" xfId="20" applyFont="tru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left" vertical="center" textRotation="0" wrapText="false" indent="1" shrinkToFit="false"/>
      <protection locked="true" hidden="false"/>
    </xf>
    <xf numFmtId="164" fontId="8" fillId="3" borderId="2" xfId="0" applyFont="true" applyBorder="true" applyAlignment="false" applyProtection="false">
      <alignment horizontal="general" vertical="bottom" textRotation="0" wrapText="false" indent="0" shrinkToFit="false"/>
      <protection locked="true" hidden="false"/>
    </xf>
    <xf numFmtId="164" fontId="8" fillId="3" borderId="3" xfId="0" applyFont="true" applyBorder="true" applyAlignment="false" applyProtection="false">
      <alignment horizontal="general" vertical="bottom" textRotation="0" wrapText="false" indent="0" shrinkToFit="false"/>
      <protection locked="true" hidden="false"/>
    </xf>
    <xf numFmtId="164" fontId="8" fillId="3" borderId="4" xfId="0" applyFont="true" applyBorder="true" applyAlignment="false" applyProtection="false">
      <alignment horizontal="general" vertical="bottom" textRotation="0" wrapText="false" indent="0" shrinkToFit="false"/>
      <protection locked="true" hidden="false"/>
    </xf>
    <xf numFmtId="164" fontId="8" fillId="3" borderId="5" xfId="0" applyFont="true" applyBorder="tru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11" fillId="3" borderId="0" xfId="0" applyFont="true" applyBorder="false" applyAlignment="false" applyProtection="false">
      <alignment horizontal="general" vertical="bottom" textRotation="0" wrapText="false" indent="0" shrinkToFit="false"/>
      <protection locked="true" hidden="false"/>
    </xf>
    <xf numFmtId="164" fontId="11" fillId="3" borderId="6" xfId="0" applyFont="true" applyBorder="true" applyAlignment="false" applyProtection="false">
      <alignment horizontal="general" vertical="bottom" textRotation="0" wrapText="false" indent="0" shrinkToFit="false"/>
      <protection locked="true" hidden="false"/>
    </xf>
    <xf numFmtId="164" fontId="8" fillId="0" borderId="7" xfId="0" applyFont="true" applyBorder="true" applyAlignment="true" applyProtection="false">
      <alignment horizontal="general" vertical="center" textRotation="0" wrapText="false" indent="0" shrinkToFit="false"/>
      <protection locked="true" hidden="false"/>
    </xf>
    <xf numFmtId="164" fontId="12" fillId="0" borderId="7" xfId="0" applyFont="true" applyBorder="true" applyAlignment="true" applyProtection="false">
      <alignment horizontal="center" vertical="center" textRotation="0" wrapText="false" indent="0" shrinkToFit="false"/>
      <protection locked="true" hidden="false"/>
    </xf>
    <xf numFmtId="164" fontId="8" fillId="3" borderId="6" xfId="0" applyFont="true" applyBorder="true" applyAlignment="false" applyProtection="false">
      <alignment horizontal="general" vertical="bottom" textRotation="0" wrapText="false" indent="0" shrinkToFit="false"/>
      <protection locked="true" hidden="false"/>
    </xf>
    <xf numFmtId="164" fontId="11" fillId="0" borderId="7" xfId="0" applyFont="true" applyBorder="true" applyAlignment="false" applyProtection="false">
      <alignment horizontal="general" vertical="bottom" textRotation="0" wrapText="false" indent="0" shrinkToFit="false"/>
      <protection locked="true" hidden="false"/>
    </xf>
    <xf numFmtId="166" fontId="11"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11" fillId="3" borderId="8" xfId="0" applyFont="true" applyBorder="true" applyAlignment="false" applyProtection="false">
      <alignment horizontal="general" vertical="bottom" textRotation="0" wrapText="false" indent="0" shrinkToFit="false"/>
      <protection locked="true" hidden="false"/>
    </xf>
    <xf numFmtId="164" fontId="8" fillId="3" borderId="9" xfId="0" applyFont="true" applyBorder="true" applyAlignment="false" applyProtection="false">
      <alignment horizontal="general" vertical="bottom" textRotation="0" wrapText="false" indent="0" shrinkToFit="false"/>
      <protection locked="true" hidden="false"/>
    </xf>
    <xf numFmtId="164" fontId="11" fillId="3" borderId="0" xfId="0" applyFont="true" applyBorder="false" applyAlignment="true" applyProtection="false">
      <alignment horizontal="general" vertical="center" textRotation="0" wrapText="false" indent="0" shrinkToFit="false"/>
      <protection locked="true" hidden="false"/>
    </xf>
    <xf numFmtId="164" fontId="8" fillId="3" borderId="0" xfId="0" applyFont="true" applyBorder="false" applyAlignment="true" applyProtection="false">
      <alignment horizontal="general" vertical="center" textRotation="0" wrapText="false" indent="0" shrinkToFit="false"/>
      <protection locked="true" hidden="false"/>
    </xf>
    <xf numFmtId="164" fontId="8" fillId="3" borderId="8" xfId="0" applyFont="tru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true" applyProtection="false">
      <alignment horizontal="center" vertical="bottom" textRotation="0" wrapText="false" indent="0" shrinkToFit="false"/>
      <protection locked="true" hidden="false"/>
    </xf>
    <xf numFmtId="166" fontId="11" fillId="3" borderId="0" xfId="0" applyFont="true" applyBorder="true" applyAlignment="true" applyProtection="false">
      <alignment horizontal="left" vertical="bottom" textRotation="0" wrapText="false" indent="0" shrinkToFit="false"/>
      <protection locked="true" hidden="false"/>
    </xf>
    <xf numFmtId="164" fontId="11" fillId="3" borderId="0" xfId="0" applyFont="true" applyBorder="true" applyAlignment="true" applyProtection="false">
      <alignment horizontal="general" vertical="center" textRotation="0" wrapText="false" indent="0" shrinkToFit="false"/>
      <protection locked="true" hidden="false"/>
    </xf>
    <xf numFmtId="164" fontId="11" fillId="3" borderId="8" xfId="0" applyFont="true" applyBorder="true" applyAlignment="true" applyProtection="false">
      <alignment horizontal="general" vertical="center" textRotation="0" wrapText="false" indent="0" shrinkToFit="false"/>
      <protection locked="true" hidden="false"/>
    </xf>
    <xf numFmtId="167" fontId="12" fillId="0" borderId="7" xfId="0" applyFont="true" applyBorder="true" applyAlignment="true" applyProtection="false">
      <alignment horizontal="center" vertical="center" textRotation="0" wrapText="false" indent="0" shrinkToFit="false"/>
      <protection locked="true" hidden="false"/>
    </xf>
    <xf numFmtId="164" fontId="8" fillId="0" borderId="7" xfId="0" applyFont="true" applyBorder="true" applyAlignment="true" applyProtection="false">
      <alignment horizontal="right" vertical="bottom" textRotation="0" wrapText="false" indent="0" shrinkToFit="false"/>
      <protection locked="true" hidden="false"/>
    </xf>
    <xf numFmtId="164" fontId="8" fillId="0" borderId="7" xfId="0" applyFont="true" applyBorder="true" applyAlignment="true" applyProtection="false">
      <alignment horizontal="left" vertical="bottom" textRotation="0" wrapText="false" indent="0" shrinkToFit="false"/>
      <protection locked="true" hidden="false"/>
    </xf>
    <xf numFmtId="164" fontId="13" fillId="3" borderId="0" xfId="0" applyFont="true" applyBorder="false" applyAlignment="false" applyProtection="false">
      <alignment horizontal="general" vertical="bottom" textRotation="0" wrapText="false" indent="0" shrinkToFit="false"/>
      <protection locked="true" hidden="false"/>
    </xf>
    <xf numFmtId="164" fontId="14" fillId="0" borderId="7" xfId="0" applyFont="true" applyBorder="true" applyAlignment="true" applyProtection="false">
      <alignment horizontal="center" vertical="bottom" textRotation="0" wrapText="false" indent="0" shrinkToFit="false"/>
      <protection locked="true" hidden="false"/>
    </xf>
    <xf numFmtId="164" fontId="13" fillId="3" borderId="0" xfId="0" applyFont="true" applyBorder="false" applyAlignment="true" applyProtection="false">
      <alignment horizontal="general" vertical="center" textRotation="0" wrapText="false" indent="0" shrinkToFit="false"/>
      <protection locked="true" hidden="false"/>
    </xf>
    <xf numFmtId="164" fontId="15" fillId="3" borderId="0" xfId="0" applyFont="true" applyBorder="false" applyAlignment="false" applyProtection="false">
      <alignment horizontal="general" vertical="bottom" textRotation="0" wrapText="false" indent="0" shrinkToFit="false"/>
      <protection locked="true" hidden="false"/>
    </xf>
    <xf numFmtId="164" fontId="16" fillId="3" borderId="7" xfId="0" applyFont="true" applyBorder="true" applyAlignment="true" applyProtection="false">
      <alignment horizontal="center" vertical="center" textRotation="0" wrapText="false" indent="0" shrinkToFit="false"/>
      <protection locked="true" hidden="false"/>
    </xf>
    <xf numFmtId="168" fontId="12" fillId="0" borderId="7" xfId="0" applyFont="true" applyBorder="true" applyAlignment="true" applyProtection="false">
      <alignment horizontal="general" vertical="center" textRotation="0" wrapText="false" indent="0" shrinkToFit="false"/>
      <protection locked="true" hidden="false"/>
    </xf>
    <xf numFmtId="164" fontId="17" fillId="3" borderId="0" xfId="0" applyFont="true" applyBorder="false" applyAlignment="true" applyProtection="false">
      <alignment horizontal="center" vertical="center" textRotation="0" wrapText="false" indent="0" shrinkToFit="false"/>
      <protection locked="true" hidden="false"/>
    </xf>
    <xf numFmtId="169" fontId="16" fillId="3" borderId="7" xfId="0" applyFont="true" applyBorder="true" applyAlignment="true" applyProtection="false">
      <alignment horizontal="center" vertical="center" textRotation="0" wrapText="false" indent="0" shrinkToFit="false"/>
      <protection locked="true" hidden="false"/>
    </xf>
    <xf numFmtId="164" fontId="16" fillId="3" borderId="0" xfId="0" applyFont="true" applyBorder="false" applyAlignment="true" applyProtection="false">
      <alignment horizontal="center" vertical="center" textRotation="0" wrapText="false" indent="0" shrinkToFit="false"/>
      <protection locked="true" hidden="false"/>
    </xf>
    <xf numFmtId="168" fontId="12" fillId="3" borderId="0" xfId="0" applyFont="true" applyBorder="false" applyAlignment="true" applyProtection="false">
      <alignment horizontal="general" vertical="center" textRotation="0" wrapText="false" indent="0" shrinkToFit="false"/>
      <protection locked="true" hidden="false"/>
    </xf>
    <xf numFmtId="169" fontId="16" fillId="3" borderId="0" xfId="0" applyFont="true" applyBorder="false" applyAlignment="true" applyProtection="false">
      <alignment horizontal="center" vertical="center" textRotation="0" wrapText="false" indent="0" shrinkToFit="false"/>
      <protection locked="true" hidden="false"/>
    </xf>
    <xf numFmtId="164" fontId="8" fillId="3" borderId="8" xfId="0" applyFont="true" applyBorder="tru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general" vertical="center" textRotation="0" wrapText="false" indent="0" shrinkToFit="false"/>
      <protection locked="true" hidden="false"/>
    </xf>
    <xf numFmtId="164" fontId="18" fillId="3" borderId="0" xfId="0" applyFont="true" applyBorder="false" applyAlignment="true" applyProtection="false">
      <alignment horizontal="general" vertical="center" textRotation="0" wrapText="false" indent="0" shrinkToFit="false"/>
      <protection locked="true" hidden="false"/>
    </xf>
    <xf numFmtId="168" fontId="12" fillId="3" borderId="7" xfId="0" applyFont="true" applyBorder="true" applyAlignment="true" applyProtection="false">
      <alignment horizontal="general" vertical="center" textRotation="0" wrapText="false" indent="0" shrinkToFit="false"/>
      <protection locked="true" hidden="false"/>
    </xf>
    <xf numFmtId="164" fontId="8" fillId="3" borderId="10" xfId="0" applyFont="true" applyBorder="true" applyAlignment="false" applyProtection="false">
      <alignment horizontal="general" vertical="bottom" textRotation="0" wrapText="false" indent="0" shrinkToFit="false"/>
      <protection locked="true" hidden="false"/>
    </xf>
    <xf numFmtId="164" fontId="8" fillId="3" borderId="11" xfId="0" applyFont="true" applyBorder="true" applyAlignment="false" applyProtection="false">
      <alignment horizontal="general" vertical="bottom" textRotation="0" wrapText="false" indent="0" shrinkToFit="false"/>
      <protection locked="true" hidden="false"/>
    </xf>
    <xf numFmtId="164" fontId="8" fillId="3" borderId="12"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true">
      <alignment horizontal="general" vertical="bottom" textRotation="0" wrapText="false" indent="0" shrinkToFit="false"/>
      <protection locked="true" hidden="true"/>
    </xf>
    <xf numFmtId="164" fontId="19" fillId="0" borderId="0" xfId="0" applyFont="true" applyBorder="true" applyAlignment="true" applyProtection="true">
      <alignment horizontal="center" vertical="center" textRotation="0" wrapText="true" indent="0" shrinkToFit="false"/>
      <protection locked="true" hidden="true"/>
    </xf>
    <xf numFmtId="164" fontId="20" fillId="0" borderId="0" xfId="0" applyFont="true" applyBorder="true" applyAlignment="true" applyProtection="true">
      <alignment horizontal="center" vertical="center" textRotation="0" wrapText="true" indent="0" shrinkToFit="false"/>
      <protection locked="true" hidden="true"/>
    </xf>
    <xf numFmtId="164" fontId="21" fillId="0" borderId="0" xfId="0" applyFont="true" applyBorder="true" applyAlignment="true" applyProtection="true">
      <alignment horizontal="left" vertical="center" textRotation="0" wrapText="true" indent="1" shrinkToFit="false"/>
      <protection locked="true" hidden="true"/>
    </xf>
    <xf numFmtId="164" fontId="22" fillId="0" borderId="0" xfId="0" applyFont="true" applyBorder="true" applyAlignment="true" applyProtection="true">
      <alignment horizontal="right" vertical="center" textRotation="0" wrapText="false" indent="0" shrinkToFit="false"/>
      <protection locked="true" hidden="true"/>
    </xf>
    <xf numFmtId="166" fontId="22" fillId="0" borderId="0" xfId="0" applyFont="true" applyBorder="true" applyAlignment="true" applyProtection="true">
      <alignment horizontal="center" vertical="center" textRotation="0" wrapText="false" indent="0" shrinkToFit="false"/>
      <protection locked="true" hidden="true"/>
    </xf>
    <xf numFmtId="164" fontId="22" fillId="0" borderId="0" xfId="0" applyFont="true" applyBorder="false" applyAlignment="true" applyProtection="true">
      <alignment horizontal="center" vertical="center" textRotation="0" wrapText="false" indent="0" shrinkToFit="false"/>
      <protection locked="true" hidden="true"/>
    </xf>
    <xf numFmtId="164" fontId="8" fillId="4" borderId="0" xfId="0" applyFont="true" applyBorder="true" applyAlignment="false" applyProtection="true">
      <alignment horizontal="general" vertical="bottom" textRotation="0" wrapText="false" indent="0" shrinkToFit="false"/>
      <protection locked="true" hidden="true"/>
    </xf>
    <xf numFmtId="164" fontId="8" fillId="0" borderId="13" xfId="0" applyFont="true" applyBorder="true" applyAlignment="false" applyProtection="true">
      <alignment horizontal="general" vertical="bottom" textRotation="0" wrapText="false" indent="0" shrinkToFit="false"/>
      <protection locked="true" hidden="true"/>
    </xf>
    <xf numFmtId="164" fontId="8" fillId="3" borderId="2" xfId="0" applyFont="true" applyBorder="true" applyAlignment="false" applyProtection="true">
      <alignment horizontal="general" vertical="bottom" textRotation="0" wrapText="false" indent="0" shrinkToFit="false"/>
      <protection locked="true" hidden="true"/>
    </xf>
    <xf numFmtId="164" fontId="8" fillId="3" borderId="3" xfId="0" applyFont="true" applyBorder="true" applyAlignment="false" applyProtection="true">
      <alignment horizontal="general" vertical="bottom" textRotation="0" wrapText="false" indent="0" shrinkToFit="false"/>
      <protection locked="true" hidden="true"/>
    </xf>
    <xf numFmtId="164" fontId="8" fillId="3" borderId="4" xfId="0" applyFont="true" applyBorder="true" applyAlignment="false" applyProtection="true">
      <alignment horizontal="general" vertical="bottom" textRotation="0" wrapText="false" indent="0" shrinkToFit="false"/>
      <protection locked="true" hidden="true"/>
    </xf>
    <xf numFmtId="164" fontId="8" fillId="3" borderId="5" xfId="0" applyFont="true" applyBorder="true" applyAlignment="false" applyProtection="true">
      <alignment horizontal="general" vertical="bottom" textRotation="0" wrapText="false" indent="0" shrinkToFit="false"/>
      <protection locked="true" hidden="true"/>
    </xf>
    <xf numFmtId="164" fontId="8" fillId="3" borderId="0" xfId="0" applyFont="true" applyBorder="false" applyAlignment="false" applyProtection="true">
      <alignment horizontal="general" vertical="bottom" textRotation="0" wrapText="false" indent="0" shrinkToFit="false"/>
      <protection locked="true" hidden="true"/>
    </xf>
    <xf numFmtId="164" fontId="11" fillId="3" borderId="0" xfId="0" applyFont="true" applyBorder="false" applyAlignment="false" applyProtection="true">
      <alignment horizontal="general" vertical="bottom" textRotation="0" wrapText="false" indent="0" shrinkToFit="false"/>
      <protection locked="true" hidden="true"/>
    </xf>
    <xf numFmtId="164" fontId="11" fillId="3" borderId="6" xfId="0" applyFont="true" applyBorder="true" applyAlignment="false" applyProtection="true">
      <alignment horizontal="general" vertical="bottom" textRotation="0" wrapText="false" indent="0" shrinkToFit="false"/>
      <protection locked="true" hidden="true"/>
    </xf>
    <xf numFmtId="164" fontId="12" fillId="0" borderId="7" xfId="0" applyFont="true" applyBorder="true" applyAlignment="true" applyProtection="true">
      <alignment horizontal="general" vertical="center" textRotation="0" wrapText="false" indent="0" shrinkToFit="false"/>
      <protection locked="true" hidden="true"/>
    </xf>
    <xf numFmtId="164" fontId="12" fillId="3" borderId="0" xfId="0" applyFont="true" applyBorder="false" applyAlignment="false" applyProtection="true">
      <alignment horizontal="general" vertical="bottom" textRotation="0" wrapText="false" indent="0" shrinkToFit="false"/>
      <protection locked="true" hidden="true"/>
    </xf>
    <xf numFmtId="164" fontId="12" fillId="0" borderId="7" xfId="0" applyFont="true" applyBorder="true" applyAlignment="true" applyProtection="true">
      <alignment horizontal="center" vertical="center" textRotation="0" wrapText="false" indent="0" shrinkToFit="false"/>
      <protection locked="true" hidden="true"/>
    </xf>
    <xf numFmtId="164" fontId="8" fillId="3" borderId="6" xfId="0" applyFont="true" applyBorder="true" applyAlignment="false" applyProtection="true">
      <alignment horizontal="general" vertical="bottom" textRotation="0" wrapText="false" indent="0" shrinkToFit="false"/>
      <protection locked="true" hidden="true"/>
    </xf>
    <xf numFmtId="164" fontId="8" fillId="3" borderId="14" xfId="0" applyFont="true" applyBorder="true" applyAlignment="false" applyProtection="true">
      <alignment horizontal="general" vertical="bottom" textRotation="0" wrapText="false" indent="0" shrinkToFit="false"/>
      <protection locked="true" hidden="true"/>
    </xf>
    <xf numFmtId="164" fontId="8" fillId="3" borderId="13" xfId="0" applyFont="true" applyBorder="true" applyAlignment="false" applyProtection="true">
      <alignment horizontal="general" vertical="bottom" textRotation="0" wrapText="false" indent="0" shrinkToFit="false"/>
      <protection locked="true" hidden="true"/>
    </xf>
    <xf numFmtId="164" fontId="8" fillId="3" borderId="15" xfId="0" applyFont="true" applyBorder="true" applyAlignment="false" applyProtection="true">
      <alignment horizontal="general" vertical="bottom" textRotation="0" wrapText="false" indent="0" shrinkToFit="false"/>
      <protection locked="true" hidden="true"/>
    </xf>
    <xf numFmtId="164" fontId="23" fillId="0" borderId="16" xfId="0" applyFont="true" applyBorder="true" applyAlignment="true" applyProtection="true">
      <alignment horizontal="general" vertical="center" textRotation="0" wrapText="false" indent="0" shrinkToFit="false"/>
      <protection locked="true" hidden="true"/>
    </xf>
    <xf numFmtId="164" fontId="8" fillId="3" borderId="17" xfId="0" applyFont="true" applyBorder="true" applyAlignment="false" applyProtection="true">
      <alignment horizontal="general" vertical="bottom" textRotation="0" wrapText="false" indent="0" shrinkToFit="false"/>
      <protection locked="true" hidden="true"/>
    </xf>
    <xf numFmtId="164" fontId="8" fillId="3" borderId="18" xfId="0" applyFont="true" applyBorder="true" applyAlignment="false" applyProtection="true">
      <alignment horizontal="general" vertical="bottom" textRotation="0" wrapText="false" indent="0" shrinkToFit="false"/>
      <protection locked="true" hidden="true"/>
    </xf>
    <xf numFmtId="164" fontId="8" fillId="3" borderId="19" xfId="0" applyFont="true" applyBorder="true" applyAlignment="false" applyProtection="true">
      <alignment horizontal="general" vertical="bottom" textRotation="0" wrapText="false" indent="0" shrinkToFit="false"/>
      <protection locked="true" hidden="true"/>
    </xf>
    <xf numFmtId="164" fontId="11" fillId="0" borderId="7" xfId="0" applyFont="true" applyBorder="true" applyAlignment="false" applyProtection="true">
      <alignment horizontal="general" vertical="bottom" textRotation="0" wrapText="false" indent="0" shrinkToFit="false"/>
      <protection locked="true" hidden="true"/>
    </xf>
    <xf numFmtId="166" fontId="11" fillId="3" borderId="0" xfId="0" applyFont="true" applyBorder="false" applyAlignment="false" applyProtection="true">
      <alignment horizontal="general" vertical="bottom" textRotation="0" wrapText="false" indent="0" shrinkToFit="false"/>
      <protection locked="true" hidden="true"/>
    </xf>
    <xf numFmtId="164" fontId="0" fillId="3" borderId="0" xfId="0" applyFont="false" applyBorder="false" applyAlignment="false" applyProtection="true">
      <alignment horizontal="general" vertical="bottom" textRotation="0" wrapText="false" indent="0" shrinkToFit="false"/>
      <protection locked="true" hidden="true"/>
    </xf>
    <xf numFmtId="164" fontId="11" fillId="3" borderId="8" xfId="0" applyFont="true" applyBorder="true" applyAlignment="false" applyProtection="true">
      <alignment horizontal="general" vertical="bottom" textRotation="0" wrapText="false" indent="0" shrinkToFit="false"/>
      <protection locked="true" hidden="true"/>
    </xf>
    <xf numFmtId="164" fontId="8" fillId="3" borderId="9" xfId="0" applyFont="true" applyBorder="true" applyAlignment="false" applyProtection="true">
      <alignment horizontal="general" vertical="bottom" textRotation="0" wrapText="false" indent="0" shrinkToFit="false"/>
      <protection locked="true" hidden="true"/>
    </xf>
    <xf numFmtId="164" fontId="11" fillId="3" borderId="0" xfId="0" applyFont="true" applyBorder="false" applyAlignment="true" applyProtection="true">
      <alignment horizontal="general" vertical="center" textRotation="0" wrapText="false" indent="0" shrinkToFit="false"/>
      <protection locked="true" hidden="true"/>
    </xf>
    <xf numFmtId="164" fontId="8" fillId="3" borderId="0" xfId="0" applyFont="true" applyBorder="false" applyAlignment="true" applyProtection="true">
      <alignment horizontal="general" vertical="center" textRotation="0" wrapText="false" indent="0" shrinkToFit="false"/>
      <protection locked="true" hidden="true"/>
    </xf>
    <xf numFmtId="164" fontId="8" fillId="3" borderId="8" xfId="0" applyFont="true" applyBorder="true" applyAlignment="false" applyProtection="true">
      <alignment horizontal="general" vertical="bottom" textRotation="0" wrapText="false" indent="0" shrinkToFit="false"/>
      <protection locked="true" hidden="true"/>
    </xf>
    <xf numFmtId="164" fontId="12" fillId="0" borderId="7" xfId="0" applyFont="true" applyBorder="true" applyAlignment="true" applyProtection="true">
      <alignment horizontal="center" vertical="bottom" textRotation="0" wrapText="false" indent="0" shrinkToFit="false"/>
      <protection locked="true" hidden="true"/>
    </xf>
    <xf numFmtId="166" fontId="11" fillId="3" borderId="0" xfId="0" applyFont="true" applyBorder="true" applyAlignment="true" applyProtection="true">
      <alignment horizontal="left" vertical="bottom" textRotation="0" wrapText="false" indent="0" shrinkToFit="false"/>
      <protection locked="true" hidden="true"/>
    </xf>
    <xf numFmtId="164" fontId="11" fillId="3" borderId="0" xfId="0" applyFont="true" applyBorder="true" applyAlignment="true" applyProtection="true">
      <alignment horizontal="general" vertical="center" textRotation="0" wrapText="false" indent="0" shrinkToFit="false"/>
      <protection locked="true" hidden="true"/>
    </xf>
    <xf numFmtId="164" fontId="11" fillId="3" borderId="8" xfId="0" applyFont="true" applyBorder="true" applyAlignment="true" applyProtection="true">
      <alignment horizontal="general" vertical="center" textRotation="0" wrapText="false" indent="0" shrinkToFit="false"/>
      <protection locked="true" hidden="true"/>
    </xf>
    <xf numFmtId="167" fontId="12" fillId="0" borderId="7" xfId="0" applyFont="true" applyBorder="true" applyAlignment="true" applyProtection="true">
      <alignment horizontal="center" vertical="center" textRotation="0" wrapText="false" indent="0" shrinkToFit="false"/>
      <protection locked="true" hidden="true"/>
    </xf>
    <xf numFmtId="164" fontId="12" fillId="0" borderId="7" xfId="0" applyFont="true" applyBorder="true" applyAlignment="true" applyProtection="true">
      <alignment horizontal="right" vertical="bottom" textRotation="0" wrapText="false" indent="0" shrinkToFit="false"/>
      <protection locked="true" hidden="true"/>
    </xf>
    <xf numFmtId="164" fontId="12" fillId="0" borderId="7" xfId="0" applyFont="true" applyBorder="true" applyAlignment="true" applyProtection="true">
      <alignment horizontal="left" vertical="bottom" textRotation="0" wrapText="false" indent="0" shrinkToFit="false"/>
      <protection locked="true" hidden="true"/>
    </xf>
    <xf numFmtId="164" fontId="13" fillId="3" borderId="0" xfId="0" applyFont="true" applyBorder="false" applyAlignment="false" applyProtection="true">
      <alignment horizontal="general" vertical="bottom" textRotation="0" wrapText="false" indent="0" shrinkToFit="false"/>
      <protection locked="true" hidden="true"/>
    </xf>
    <xf numFmtId="164" fontId="13" fillId="3" borderId="0" xfId="0" applyFont="true" applyBorder="false" applyAlignment="true" applyProtection="true">
      <alignment horizontal="general" vertical="center" textRotation="0" wrapText="false" indent="0" shrinkToFit="false"/>
      <protection locked="true" hidden="true"/>
    </xf>
    <xf numFmtId="164" fontId="8" fillId="3" borderId="10" xfId="0" applyFont="true" applyBorder="true" applyAlignment="false" applyProtection="true">
      <alignment horizontal="general" vertical="bottom" textRotation="0" wrapText="false" indent="0" shrinkToFit="false"/>
      <protection locked="true" hidden="true"/>
    </xf>
    <xf numFmtId="164" fontId="8" fillId="3" borderId="11" xfId="0" applyFont="true" applyBorder="true" applyAlignment="false" applyProtection="true">
      <alignment horizontal="general" vertical="bottom" textRotation="0" wrapText="false" indent="0" shrinkToFit="false"/>
      <protection locked="true" hidden="true"/>
    </xf>
    <xf numFmtId="164" fontId="8" fillId="3" borderId="12" xfId="0" applyFont="true" applyBorder="true" applyAlignment="false" applyProtection="true">
      <alignment horizontal="general" vertical="bottom" textRotation="0" wrapText="false" indent="0" shrinkToFit="false"/>
      <protection locked="true" hidden="true"/>
    </xf>
    <xf numFmtId="164" fontId="23" fillId="0" borderId="20" xfId="0" applyFont="true" applyBorder="true" applyAlignment="true" applyProtection="true">
      <alignment horizontal="general" vertical="center" textRotation="0" wrapText="false" indent="0" shrinkToFit="false"/>
      <protection locked="true" hidden="true"/>
    </xf>
    <xf numFmtId="164" fontId="16" fillId="3" borderId="7" xfId="0" applyFont="true" applyBorder="true" applyAlignment="true" applyProtection="true">
      <alignment horizontal="center" vertical="center" textRotation="0" wrapText="false" indent="0" shrinkToFit="false"/>
      <protection locked="true" hidden="true"/>
    </xf>
    <xf numFmtId="168" fontId="12" fillId="0" borderId="7" xfId="0" applyFont="true" applyBorder="true" applyAlignment="true" applyProtection="true">
      <alignment horizontal="general" vertical="center" textRotation="0" wrapText="false" indent="0" shrinkToFit="false"/>
      <protection locked="true" hidden="true"/>
    </xf>
    <xf numFmtId="164" fontId="17" fillId="3" borderId="0" xfId="0" applyFont="true" applyBorder="false" applyAlignment="true" applyProtection="true">
      <alignment horizontal="center" vertical="center" textRotation="0" wrapText="false" indent="0" shrinkToFit="false"/>
      <protection locked="true" hidden="true"/>
    </xf>
    <xf numFmtId="169" fontId="16" fillId="3" borderId="7" xfId="0" applyFont="true" applyBorder="true" applyAlignment="true" applyProtection="true">
      <alignment horizontal="center" vertical="center" textRotation="0" wrapText="false" indent="0" shrinkToFit="false"/>
      <protection locked="true" hidden="true"/>
    </xf>
    <xf numFmtId="169" fontId="24" fillId="3" borderId="9" xfId="0" applyFont="true" applyBorder="true" applyAlignment="true" applyProtection="true">
      <alignment horizontal="center" vertical="center" textRotation="0" wrapText="false" indent="0" shrinkToFit="false"/>
      <protection locked="true" hidden="true"/>
    </xf>
    <xf numFmtId="169" fontId="24" fillId="3" borderId="0" xfId="0" applyFont="true" applyBorder="false" applyAlignment="true" applyProtection="true">
      <alignment horizontal="center" vertical="center" textRotation="0" wrapText="false" indent="0" shrinkToFit="false"/>
      <protection locked="true" hidden="true"/>
    </xf>
    <xf numFmtId="164" fontId="23" fillId="0" borderId="18" xfId="0" applyFont="true" applyBorder="true" applyAlignment="true" applyProtection="true">
      <alignment horizontal="general" vertical="center" textRotation="0" wrapText="false" indent="0" shrinkToFit="false"/>
      <protection locked="true" hidden="true"/>
    </xf>
    <xf numFmtId="164" fontId="11" fillId="0" borderId="0" xfId="0" applyFont="true" applyBorder="true" applyAlignment="true" applyProtection="true">
      <alignment horizontal="general" vertical="center" textRotation="0" wrapText="false" indent="0" shrinkToFit="false"/>
      <protection locked="true" hidden="true"/>
    </xf>
    <xf numFmtId="164" fontId="4" fillId="0" borderId="0" xfId="0" applyFont="true" applyBorder="false" applyAlignment="false" applyProtection="true">
      <alignment horizontal="general" vertical="bottom" textRotation="0" wrapText="false" indent="0" shrinkToFit="false"/>
      <protection locked="true" hidden="true"/>
    </xf>
    <xf numFmtId="164" fontId="11" fillId="0" borderId="11" xfId="0" applyFont="true" applyBorder="true" applyAlignment="true" applyProtection="true">
      <alignment horizontal="general" vertical="center" textRotation="0" wrapText="false" indent="0" shrinkToFit="false"/>
      <protection locked="true" hidden="true"/>
    </xf>
    <xf numFmtId="164" fontId="11" fillId="3" borderId="9" xfId="0" applyFont="true" applyBorder="true" applyAlignment="false" applyProtection="true">
      <alignment horizontal="general" vertical="bottom" textRotation="0" wrapText="false" indent="0" shrinkToFit="false"/>
      <protection locked="true" hidden="true"/>
    </xf>
    <xf numFmtId="164" fontId="23" fillId="0" borderId="11" xfId="0" applyFont="true" applyBorder="true" applyAlignment="true" applyProtection="true">
      <alignment horizontal="general" vertical="center" textRotation="0" wrapText="false" indent="0" shrinkToFit="false"/>
      <protection locked="true" hidden="true"/>
    </xf>
    <xf numFmtId="164" fontId="8" fillId="3" borderId="8" xfId="0" applyFont="true" applyBorder="true" applyAlignment="true" applyProtection="true">
      <alignment horizontal="center" vertical="bottom" textRotation="0" wrapText="false" indent="0" shrinkToFit="false"/>
      <protection locked="true" hidden="true"/>
    </xf>
    <xf numFmtId="168" fontId="8" fillId="0" borderId="0" xfId="0" applyFont="true" applyBorder="false" applyAlignment="false" applyProtection="true">
      <alignment horizontal="general" vertical="bottom" textRotation="0" wrapText="false" indent="0" shrinkToFit="false"/>
      <protection locked="true" hidden="true"/>
    </xf>
    <xf numFmtId="164" fontId="23" fillId="0" borderId="0" xfId="0" applyFont="true" applyBorder="true" applyAlignment="true" applyProtection="true">
      <alignment horizontal="general" vertical="center" textRotation="0" wrapText="false" indent="0" shrinkToFit="false"/>
      <protection locked="true" hidden="true"/>
    </xf>
    <xf numFmtId="164" fontId="10" fillId="3" borderId="0" xfId="0" applyFont="true" applyBorder="false" applyAlignment="false" applyProtection="true">
      <alignment horizontal="general" vertical="bottom" textRotation="0" wrapText="false" indent="0" shrinkToFit="false"/>
      <protection locked="true" hidden="true"/>
    </xf>
    <xf numFmtId="164" fontId="12" fillId="3" borderId="0" xfId="0" applyFont="true" applyBorder="false" applyAlignment="true" applyProtection="true">
      <alignment horizontal="general" vertical="center" textRotation="0" wrapText="false" indent="0" shrinkToFit="false"/>
      <protection locked="true" hidden="true"/>
    </xf>
    <xf numFmtId="164" fontId="11" fillId="3" borderId="11" xfId="0" applyFont="true" applyBorder="true" applyAlignment="false" applyProtection="true">
      <alignment horizontal="general" vertical="bottom" textRotation="0" wrapText="false" indent="0" shrinkToFit="false"/>
      <protection locked="true" hidden="true"/>
    </xf>
    <xf numFmtId="170" fontId="11" fillId="3" borderId="0" xfId="0" applyFont="true" applyBorder="true" applyAlignment="false" applyProtection="true">
      <alignment horizontal="general" vertical="bottom" textRotation="0" wrapText="false" indent="0" shrinkToFit="false"/>
      <protection locked="true" hidden="true"/>
    </xf>
    <xf numFmtId="164" fontId="24" fillId="3" borderId="11" xfId="0" applyFont="true" applyBorder="true" applyAlignment="true" applyProtection="true">
      <alignment horizontal="center" vertical="center" textRotation="0" wrapText="false" indent="0" shrinkToFit="false"/>
      <protection locked="true" hidden="true"/>
    </xf>
    <xf numFmtId="164" fontId="12" fillId="3" borderId="11" xfId="0" applyFont="true" applyBorder="true" applyAlignment="true" applyProtection="true">
      <alignment horizontal="general" vertical="center" textRotation="0" wrapText="false" indent="0" shrinkToFit="false"/>
      <protection locked="true" hidden="true"/>
    </xf>
    <xf numFmtId="164" fontId="17" fillId="3" borderId="11" xfId="0" applyFont="true" applyBorder="true" applyAlignment="true" applyProtection="true">
      <alignment horizontal="center" vertical="center" textRotation="0" wrapText="false" indent="0" shrinkToFit="false"/>
      <protection locked="true" hidden="true"/>
    </xf>
    <xf numFmtId="169" fontId="24" fillId="3" borderId="11" xfId="0" applyFont="true" applyBorder="true" applyAlignment="true" applyProtection="true">
      <alignment horizontal="center" vertical="center" textRotation="0" wrapText="false" indent="0" shrinkToFit="false"/>
      <protection locked="true" hidden="true"/>
    </xf>
    <xf numFmtId="164" fontId="25" fillId="0" borderId="0" xfId="0" applyFont="true" applyBorder="false" applyAlignment="false" applyProtection="true">
      <alignment horizontal="general" vertical="bottom" textRotation="0" wrapText="false" indent="0" shrinkToFit="false"/>
      <protection locked="true" hidden="true"/>
    </xf>
    <xf numFmtId="171" fontId="25" fillId="0" borderId="0" xfId="0" applyFont="true" applyBorder="false" applyAlignment="true" applyProtection="true">
      <alignment horizontal="center" vertical="bottom" textRotation="0" wrapText="false" indent="0" shrinkToFit="false"/>
      <protection locked="true" hidden="true"/>
    </xf>
    <xf numFmtId="164" fontId="25" fillId="0" borderId="0" xfId="22" applyFont="true" applyBorder="false" applyAlignment="false" applyProtection="true">
      <alignment horizontal="general" vertical="bottom" textRotation="0" wrapText="false" indent="0" shrinkToFit="false"/>
      <protection locked="true" hidden="true"/>
    </xf>
    <xf numFmtId="164" fontId="26" fillId="5" borderId="21" xfId="0" applyFont="true" applyBorder="true" applyAlignment="true" applyProtection="true">
      <alignment horizontal="left" vertical="center" textRotation="0" wrapText="true" indent="1" shrinkToFit="false"/>
      <protection locked="true" hidden="true"/>
    </xf>
    <xf numFmtId="171" fontId="27" fillId="3" borderId="22" xfId="0" applyFont="true" applyBorder="true" applyAlignment="true" applyProtection="true">
      <alignment horizontal="center" vertical="center" textRotation="0" wrapText="false" indent="0" shrinkToFit="false"/>
      <protection locked="true" hidden="true"/>
    </xf>
    <xf numFmtId="172" fontId="28" fillId="3" borderId="23" xfId="0" applyFont="true" applyBorder="true" applyAlignment="true" applyProtection="false">
      <alignment horizontal="center" vertical="center" textRotation="0" wrapText="true" indent="0" shrinkToFit="false"/>
      <protection locked="true" hidden="false"/>
    </xf>
    <xf numFmtId="172" fontId="29" fillId="3" borderId="23" xfId="0" applyFont="true" applyBorder="true" applyAlignment="true" applyProtection="false">
      <alignment horizontal="center" vertical="center" textRotation="0" wrapText="true" indent="0" shrinkToFit="false"/>
      <protection locked="true" hidden="false"/>
    </xf>
    <xf numFmtId="172" fontId="30" fillId="3" borderId="23" xfId="0" applyFont="true" applyBorder="true" applyAlignment="true" applyProtection="false">
      <alignment horizontal="center" vertical="center" textRotation="0" wrapText="true" indent="0" shrinkToFit="false"/>
      <protection locked="true" hidden="false"/>
    </xf>
    <xf numFmtId="164" fontId="27" fillId="3" borderId="0" xfId="0" applyFont="true" applyBorder="false" applyAlignment="true" applyProtection="false">
      <alignment horizontal="center" vertical="center" textRotation="0" wrapText="false" indent="0" shrinkToFit="false"/>
      <protection locked="true" hidden="false"/>
    </xf>
    <xf numFmtId="164" fontId="25" fillId="3" borderId="0" xfId="0" applyFont="true" applyBorder="false" applyAlignment="false" applyProtection="true">
      <alignment horizontal="general" vertical="bottom" textRotation="0" wrapText="false" indent="0" shrinkToFit="false"/>
      <protection locked="true" hidden="true"/>
    </xf>
    <xf numFmtId="165" fontId="25" fillId="0" borderId="0" xfId="22" applyFont="true" applyBorder="false" applyAlignment="true" applyProtection="true">
      <alignment horizontal="center" vertical="bottom" textRotation="0" wrapText="false" indent="0" shrinkToFit="false"/>
      <protection locked="true" hidden="true"/>
    </xf>
    <xf numFmtId="164" fontId="8" fillId="3" borderId="21" xfId="0" applyFont="true" applyBorder="true" applyAlignment="true" applyProtection="true">
      <alignment horizontal="center" vertical="center" textRotation="0" wrapText="true" indent="0" shrinkToFit="false"/>
      <protection locked="true" hidden="true"/>
    </xf>
    <xf numFmtId="165" fontId="8" fillId="3" borderId="24" xfId="0" applyFont="true" applyBorder="true" applyAlignment="true" applyProtection="true">
      <alignment horizontal="center" vertical="center" textRotation="0" wrapText="true" indent="0" shrinkToFit="false"/>
      <protection locked="true" hidden="true"/>
    </xf>
    <xf numFmtId="165" fontId="8" fillId="3" borderId="21" xfId="0" applyFont="true" applyBorder="true" applyAlignment="true" applyProtection="true">
      <alignment horizontal="center" vertical="center" textRotation="0" wrapText="true" indent="0" shrinkToFit="false"/>
      <protection locked="true" hidden="true"/>
    </xf>
    <xf numFmtId="165" fontId="8" fillId="3" borderId="0" xfId="0" applyFont="true" applyBorder="false" applyAlignment="true" applyProtection="true">
      <alignment horizontal="center" vertical="bottom" textRotation="0" wrapText="false" indent="0" shrinkToFit="false"/>
      <protection locked="true" hidden="true"/>
    </xf>
    <xf numFmtId="165" fontId="8" fillId="0" borderId="0" xfId="0" applyFont="true" applyBorder="false" applyAlignment="true" applyProtection="true">
      <alignment horizontal="center" vertical="bottom" textRotation="0" wrapText="false" indent="0" shrinkToFit="false"/>
      <protection locked="true" hidden="true"/>
    </xf>
    <xf numFmtId="164" fontId="8" fillId="3" borderId="25" xfId="0" applyFont="true" applyBorder="true" applyAlignment="true" applyProtection="true">
      <alignment horizontal="center" vertical="center" textRotation="0" wrapText="true" indent="0" shrinkToFit="false"/>
      <protection locked="true" hidden="true"/>
    </xf>
    <xf numFmtId="164" fontId="27" fillId="0" borderId="0" xfId="22" applyFont="true" applyBorder="false" applyAlignment="true" applyProtection="true">
      <alignment horizontal="center" vertical="bottom" textRotation="0" wrapText="false" indent="0" shrinkToFit="false"/>
      <protection locked="true" hidden="true"/>
    </xf>
    <xf numFmtId="164" fontId="25" fillId="3" borderId="0" xfId="0" applyFont="true" applyBorder="false" applyAlignment="true" applyProtection="true">
      <alignment horizontal="left" vertical="bottom" textRotation="0" wrapText="false" indent="1" shrinkToFit="false"/>
      <protection locked="true" hidden="true"/>
    </xf>
    <xf numFmtId="171" fontId="27" fillId="3" borderId="0" xfId="0" applyFont="true" applyBorder="false" applyAlignment="true" applyProtection="true">
      <alignment horizontal="center" vertical="bottom" textRotation="0" wrapText="false" indent="0" shrinkToFit="false"/>
      <protection locked="true" hidden="true"/>
    </xf>
    <xf numFmtId="164" fontId="27" fillId="3" borderId="0" xfId="0" applyFont="true" applyBorder="false" applyAlignment="true" applyProtection="true">
      <alignment horizontal="center" vertical="bottom" textRotation="0" wrapText="false" indent="0" shrinkToFit="false"/>
      <protection locked="true" hidden="true"/>
    </xf>
    <xf numFmtId="164" fontId="27" fillId="0" borderId="0" xfId="0" applyFont="true" applyBorder="false" applyAlignment="true" applyProtection="true">
      <alignment horizontal="center" vertical="bottom" textRotation="0" wrapText="false" indent="0" shrinkToFit="false"/>
      <protection locked="true" hidden="true"/>
    </xf>
    <xf numFmtId="164" fontId="31" fillId="3" borderId="0" xfId="0" applyFont="true" applyBorder="false" applyAlignment="true" applyProtection="true">
      <alignment horizontal="right" vertical="center" textRotation="0" wrapText="true" indent="1" shrinkToFit="false"/>
      <protection locked="true" hidden="true"/>
    </xf>
    <xf numFmtId="171" fontId="25" fillId="3" borderId="26" xfId="0" applyFont="true" applyBorder="true" applyAlignment="true" applyProtection="true">
      <alignment horizontal="center" vertical="bottom" textRotation="0" wrapText="false" indent="0" shrinkToFit="false"/>
      <protection locked="true" hidden="true"/>
    </xf>
    <xf numFmtId="171" fontId="25" fillId="3" borderId="21" xfId="0" applyFont="true" applyBorder="true" applyAlignment="true" applyProtection="true">
      <alignment horizontal="center" vertical="bottom" textRotation="0" wrapText="false" indent="0" shrinkToFit="false"/>
      <protection locked="true" hidden="true"/>
    </xf>
    <xf numFmtId="171" fontId="25" fillId="3" borderId="27" xfId="0" applyFont="true" applyBorder="true" applyAlignment="true" applyProtection="true">
      <alignment horizontal="center" vertical="bottom" textRotation="0" wrapText="false" indent="0" shrinkToFit="false"/>
      <protection locked="true" hidden="true"/>
    </xf>
    <xf numFmtId="171" fontId="25" fillId="0" borderId="28" xfId="0" applyFont="true" applyBorder="true" applyAlignment="true" applyProtection="true">
      <alignment horizontal="center" vertical="bottom" textRotation="0" wrapText="false" indent="0" shrinkToFit="false"/>
      <protection locked="true" hidden="true"/>
    </xf>
    <xf numFmtId="171" fontId="25" fillId="0" borderId="29" xfId="0" applyFont="true" applyBorder="true" applyAlignment="true" applyProtection="true">
      <alignment horizontal="center" vertical="bottom" textRotation="0" wrapText="false" indent="0" shrinkToFit="false"/>
      <protection locked="true" hidden="true"/>
    </xf>
    <xf numFmtId="173" fontId="25" fillId="0" borderId="0" xfId="22" applyFont="true" applyBorder="false" applyAlignment="false" applyProtection="true">
      <alignment horizontal="general" vertical="bottom" textRotation="0" wrapText="false" indent="0" shrinkToFit="false"/>
      <protection locked="true" hidden="true"/>
    </xf>
    <xf numFmtId="164" fontId="25" fillId="3" borderId="0" xfId="0" applyFont="true" applyBorder="false" applyAlignment="true" applyProtection="false">
      <alignment horizontal="left" vertical="bottom" textRotation="0" wrapText="false" indent="1" shrinkToFit="false"/>
      <protection locked="true" hidden="false"/>
    </xf>
    <xf numFmtId="171" fontId="25" fillId="0" borderId="30" xfId="0" applyFont="true" applyBorder="true" applyAlignment="true" applyProtection="true">
      <alignment horizontal="center" vertical="bottom" textRotation="0" wrapText="false" indent="0" shrinkToFit="false"/>
      <protection locked="true" hidden="true"/>
    </xf>
    <xf numFmtId="171" fontId="25" fillId="0" borderId="31" xfId="0" applyFont="true" applyBorder="true" applyAlignment="true" applyProtection="true">
      <alignment horizontal="center" vertical="bottom" textRotation="0" wrapText="false" indent="0" shrinkToFit="false"/>
      <protection locked="true" hidden="true"/>
    </xf>
    <xf numFmtId="171" fontId="25" fillId="0" borderId="32" xfId="0" applyFont="true" applyBorder="true" applyAlignment="true" applyProtection="true">
      <alignment horizontal="center" vertical="bottom" textRotation="0" wrapText="false" indent="0" shrinkToFit="false"/>
      <protection locked="true" hidden="true"/>
    </xf>
    <xf numFmtId="164" fontId="31" fillId="3" borderId="0" xfId="0" applyFont="true" applyBorder="false" applyAlignment="true" applyProtection="true">
      <alignment horizontal="right" vertical="center" textRotation="0" wrapText="false" indent="1" shrinkToFit="false"/>
      <protection locked="true" hidden="true"/>
    </xf>
    <xf numFmtId="164" fontId="32" fillId="3" borderId="0" xfId="0" applyFont="true" applyBorder="false" applyAlignment="true" applyProtection="true">
      <alignment horizontal="left" vertical="bottom" textRotation="0" wrapText="false" indent="1" shrinkToFit="false"/>
      <protection locked="true" hidden="true"/>
    </xf>
    <xf numFmtId="171" fontId="25" fillId="0" borderId="25" xfId="0" applyFont="true" applyBorder="true" applyAlignment="true" applyProtection="true">
      <alignment horizontal="center" vertical="bottom" textRotation="0" wrapText="false" indent="0" shrinkToFit="false"/>
      <protection locked="true" hidden="true"/>
    </xf>
    <xf numFmtId="168" fontId="32" fillId="3" borderId="33" xfId="0" applyFont="true" applyBorder="true" applyAlignment="false" applyProtection="false">
      <alignment horizontal="general" vertical="bottom" textRotation="0" wrapText="false" indent="0" shrinkToFit="false"/>
      <protection locked="true" hidden="false"/>
    </xf>
    <xf numFmtId="171" fontId="32" fillId="3" borderId="34" xfId="0" applyFont="true" applyBorder="true" applyAlignment="false" applyProtection="false">
      <alignment horizontal="general" vertical="bottom" textRotation="0" wrapText="false" indent="0" shrinkToFit="false"/>
      <protection locked="true" hidden="false"/>
    </xf>
    <xf numFmtId="164" fontId="32" fillId="3" borderId="35" xfId="0" applyFont="true" applyBorder="true" applyAlignment="false" applyProtection="false">
      <alignment horizontal="general" vertical="bottom" textRotation="0" wrapText="fals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64" fontId="33" fillId="3" borderId="36" xfId="0" applyFont="true" applyBorder="true" applyAlignment="true" applyProtection="false">
      <alignment horizontal="left" vertical="bottom" textRotation="0" wrapText="false" indent="1" shrinkToFit="false"/>
      <protection locked="true" hidden="false"/>
    </xf>
    <xf numFmtId="168" fontId="32" fillId="3" borderId="37" xfId="0" applyFont="true" applyBorder="true" applyAlignment="false" applyProtection="false">
      <alignment horizontal="general" vertical="bottom" textRotation="0" wrapText="false" indent="0" shrinkToFit="false"/>
      <protection locked="true" hidden="false"/>
    </xf>
    <xf numFmtId="164" fontId="32" fillId="3" borderId="37" xfId="0" applyFont="true" applyBorder="true" applyAlignment="false" applyProtection="false">
      <alignment horizontal="general" vertical="bottom" textRotation="0" wrapText="false" indent="0" shrinkToFit="false"/>
      <protection locked="true" hidden="false"/>
    </xf>
    <xf numFmtId="164" fontId="32" fillId="3" borderId="38" xfId="0" applyFont="true" applyBorder="true" applyAlignment="false" applyProtection="false">
      <alignment horizontal="general" vertical="bottom" textRotation="0" wrapText="false" indent="0" shrinkToFit="false"/>
      <protection locked="true" hidden="false"/>
    </xf>
    <xf numFmtId="164" fontId="33" fillId="3" borderId="23" xfId="0" applyFont="true" applyBorder="true" applyAlignment="true" applyProtection="false">
      <alignment horizontal="left" vertical="bottom" textRotation="0" wrapText="false" indent="1" shrinkToFit="false"/>
      <protection locked="true" hidden="false"/>
    </xf>
    <xf numFmtId="171" fontId="33" fillId="3" borderId="23" xfId="0" applyFont="true" applyBorder="true" applyAlignment="false" applyProtection="false">
      <alignment horizontal="general" vertical="bottom" textRotation="0" wrapText="false" indent="0" shrinkToFit="false"/>
      <protection locked="true" hidden="false"/>
    </xf>
    <xf numFmtId="171" fontId="32" fillId="3" borderId="0" xfId="0" applyFont="true" applyBorder="false" applyAlignment="false" applyProtection="false">
      <alignment horizontal="general" vertical="bottom" textRotation="0" wrapText="false" indent="0" shrinkToFit="false"/>
      <protection locked="true" hidden="false"/>
    </xf>
    <xf numFmtId="164" fontId="32" fillId="3" borderId="39" xfId="0" applyFont="true" applyBorder="true" applyAlignment="false" applyProtection="false">
      <alignment horizontal="general" vertical="bottom" textRotation="0" wrapText="false" indent="0" shrinkToFit="false"/>
      <protection locked="true" hidden="false"/>
    </xf>
    <xf numFmtId="164" fontId="32" fillId="3" borderId="40" xfId="0" applyFont="true" applyBorder="true" applyAlignment="true" applyProtection="false">
      <alignment horizontal="left" vertical="bottom" textRotation="0" wrapText="false" indent="1" shrinkToFit="false"/>
      <protection locked="true" hidden="false"/>
    </xf>
    <xf numFmtId="171" fontId="32" fillId="3" borderId="0" xfId="0" applyFont="true" applyBorder="false" applyAlignment="true" applyProtection="false">
      <alignment horizontal="center" vertical="bottom" textRotation="0" wrapText="false" indent="0" shrinkToFit="false"/>
      <protection locked="true" hidden="false"/>
    </xf>
    <xf numFmtId="171" fontId="32" fillId="0" borderId="21" xfId="0" applyFont="true" applyBorder="true" applyAlignment="false" applyProtection="false">
      <alignment horizontal="general" vertical="bottom" textRotation="0" wrapText="false" indent="0" shrinkToFit="false"/>
      <protection locked="true" hidden="false"/>
    </xf>
    <xf numFmtId="171" fontId="32" fillId="3" borderId="27" xfId="0" applyFont="true" applyBorder="true" applyAlignment="false" applyProtection="false">
      <alignment horizontal="general" vertical="bottom" textRotation="0" wrapText="false" indent="0" shrinkToFit="false"/>
      <protection locked="true" hidden="false"/>
    </xf>
    <xf numFmtId="168" fontId="32" fillId="3" borderId="34" xfId="0" applyFont="true" applyBorder="true" applyAlignment="false" applyProtection="false">
      <alignment horizontal="general" vertical="bottom" textRotation="0" wrapText="false" indent="0" shrinkToFit="false"/>
      <protection locked="true" hidden="false"/>
    </xf>
    <xf numFmtId="164" fontId="32" fillId="3" borderId="34"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72" fontId="25" fillId="0" borderId="0" xfId="0" applyFont="true" applyBorder="false" applyAlignment="false" applyProtection="false">
      <alignment horizontal="general" vertical="bottom" textRotation="0" wrapText="false" indent="0" shrinkToFit="false"/>
      <protection locked="true" hidden="false"/>
    </xf>
    <xf numFmtId="164" fontId="25" fillId="3" borderId="0" xfId="22" applyFont="true" applyBorder="false" applyAlignment="false" applyProtection="true">
      <alignment horizontal="general" vertical="bottom" textRotation="0" wrapText="false" indent="0" shrinkToFit="false"/>
      <protection locked="true" hidden="true"/>
    </xf>
    <xf numFmtId="164" fontId="31" fillId="3" borderId="21" xfId="22" applyFont="true" applyBorder="true" applyAlignment="true" applyProtection="true">
      <alignment horizontal="center" vertical="center" textRotation="0" wrapText="false" indent="0" shrinkToFit="false"/>
      <protection locked="true" hidden="true"/>
    </xf>
    <xf numFmtId="171" fontId="25" fillId="0" borderId="0" xfId="22" applyFont="true" applyBorder="false" applyAlignment="false" applyProtection="true">
      <alignment horizontal="general" vertical="bottom" textRotation="0" wrapText="false" indent="0" shrinkToFit="false"/>
      <protection locked="true" hidden="true"/>
    </xf>
    <xf numFmtId="174" fontId="25" fillId="0" borderId="0" xfId="22" applyFont="true" applyBorder="false" applyAlignment="false" applyProtection="true">
      <alignment horizontal="general" vertical="bottom" textRotation="0" wrapText="false" indent="0" shrinkToFit="false"/>
      <protection locked="true" hidden="true"/>
    </xf>
    <xf numFmtId="164" fontId="31" fillId="3" borderId="0" xfId="22" applyFont="true" applyBorder="false" applyAlignment="false" applyProtection="true">
      <alignment horizontal="general" vertical="bottom" textRotation="0" wrapText="false" indent="0" shrinkToFit="false"/>
      <protection locked="true" hidden="true"/>
    </xf>
    <xf numFmtId="171" fontId="31" fillId="0" borderId="22" xfId="22" applyFont="true" applyBorder="true" applyAlignment="false" applyProtection="true">
      <alignment horizontal="general" vertical="bottom" textRotation="0" wrapText="false" indent="0" shrinkToFit="false"/>
      <protection locked="true" hidden="true"/>
    </xf>
    <xf numFmtId="164" fontId="25" fillId="3" borderId="22" xfId="22" applyFont="true" applyBorder="true" applyAlignment="false" applyProtection="true">
      <alignment horizontal="general" vertical="bottom" textRotation="0" wrapText="false" indent="0" shrinkToFit="false"/>
      <protection locked="true" hidden="true"/>
    </xf>
    <xf numFmtId="171" fontId="25" fillId="0" borderId="0" xfId="22" applyFont="true" applyBorder="false" applyAlignment="true" applyProtection="true">
      <alignment horizontal="center" vertical="bottom" textRotation="0" wrapText="false" indent="0" shrinkToFit="false"/>
      <protection locked="true" hidden="true"/>
    </xf>
    <xf numFmtId="170" fontId="32" fillId="0" borderId="0" xfId="0" applyFont="true" applyBorder="false" applyAlignment="false" applyProtection="false">
      <alignment horizontal="general" vertical="bottom" textRotation="0" wrapText="false" indent="0" shrinkToFit="false"/>
      <protection locked="true" hidden="false"/>
    </xf>
    <xf numFmtId="172" fontId="32" fillId="0" borderId="0" xfId="0" applyFont="true" applyBorder="false" applyAlignment="false" applyProtection="false">
      <alignment horizontal="general" vertical="bottom" textRotation="0" wrapText="false" indent="0" shrinkToFit="false"/>
      <protection locked="true" hidden="false"/>
    </xf>
    <xf numFmtId="175" fontId="32" fillId="0" borderId="0" xfId="0" applyFont="true" applyBorder="false" applyAlignment="true" applyProtection="false">
      <alignment horizontal="center" vertical="bottom" textRotation="0" wrapText="false" indent="0" shrinkToFit="false"/>
      <protection locked="true" hidden="false"/>
    </xf>
    <xf numFmtId="174" fontId="32" fillId="0" borderId="0" xfId="0" applyFont="true" applyBorder="false" applyAlignment="false" applyProtection="false">
      <alignment horizontal="general" vertical="bottom" textRotation="0" wrapText="false" indent="0" shrinkToFit="false"/>
      <protection locked="true" hidden="false"/>
    </xf>
    <xf numFmtId="172" fontId="32" fillId="0" borderId="0" xfId="0" applyFont="true" applyBorder="false" applyAlignment="true" applyProtection="false">
      <alignment horizontal="center" vertical="bottom" textRotation="0" wrapText="false" indent="0" shrinkToFit="false"/>
      <protection locked="true" hidden="false"/>
    </xf>
    <xf numFmtId="170" fontId="32" fillId="3" borderId="26" xfId="0" applyFont="true" applyBorder="true" applyAlignment="true" applyProtection="false">
      <alignment horizontal="center" vertical="center" textRotation="0" wrapText="true" indent="0" shrinkToFit="false"/>
      <protection locked="true" hidden="false"/>
    </xf>
    <xf numFmtId="164" fontId="9" fillId="3" borderId="41" xfId="0" applyFont="true" applyBorder="true" applyAlignment="true" applyProtection="false">
      <alignment horizontal="right" vertical="center" textRotation="0" wrapText="false" indent="0" shrinkToFit="false"/>
      <protection locked="true" hidden="false"/>
    </xf>
    <xf numFmtId="166" fontId="9" fillId="3" borderId="42" xfId="0" applyFont="true" applyBorder="true" applyAlignment="true" applyProtection="false">
      <alignment horizontal="center" vertical="center" textRotation="0" wrapText="false" indent="0" shrinkToFit="false"/>
      <protection locked="true" hidden="false"/>
    </xf>
    <xf numFmtId="172" fontId="33" fillId="3" borderId="27" xfId="0" applyFont="true" applyBorder="true" applyAlignment="true" applyProtection="false">
      <alignment horizontal="center" vertical="bottom" textRotation="0" wrapText="false" indent="0" shrinkToFit="false"/>
      <protection locked="true" hidden="false"/>
    </xf>
    <xf numFmtId="172" fontId="33" fillId="3" borderId="0" xfId="0" applyFont="true" applyBorder="true" applyAlignment="true" applyProtection="false">
      <alignment horizontal="center" vertical="bottom" textRotation="0" wrapText="false" indent="0" shrinkToFit="false"/>
      <protection locked="true" hidden="false"/>
    </xf>
    <xf numFmtId="175" fontId="32" fillId="3" borderId="21" xfId="0" applyFont="true" applyBorder="true" applyAlignment="true" applyProtection="false">
      <alignment horizontal="center" vertical="center" textRotation="0" wrapText="true" indent="0" shrinkToFit="false"/>
      <protection locked="true" hidden="false"/>
    </xf>
    <xf numFmtId="174" fontId="33" fillId="3" borderId="43" xfId="0" applyFont="true" applyBorder="true" applyAlignment="true" applyProtection="false">
      <alignment horizontal="center" vertical="bottom" textRotation="0" wrapText="false" indent="0" shrinkToFit="false"/>
      <protection locked="true" hidden="false"/>
    </xf>
    <xf numFmtId="172" fontId="33" fillId="3" borderId="21" xfId="0" applyFont="true" applyBorder="true" applyAlignment="true" applyProtection="false">
      <alignment horizontal="center" vertical="bottom" textRotation="0" wrapText="false" indent="0" shrinkToFit="false"/>
      <protection locked="true" hidden="false"/>
    </xf>
    <xf numFmtId="170" fontId="32" fillId="3" borderId="21" xfId="0" applyFont="true" applyBorder="true" applyAlignment="true" applyProtection="false">
      <alignment horizontal="center" vertical="center" textRotation="0" wrapText="tru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76" fontId="32" fillId="3" borderId="25" xfId="0" applyFont="true" applyBorder="true" applyAlignment="true" applyProtection="false">
      <alignment horizontal="center" vertical="center" textRotation="0" wrapText="true" indent="0" shrinkToFit="false"/>
      <protection locked="true" hidden="false"/>
    </xf>
    <xf numFmtId="164" fontId="32" fillId="3" borderId="25" xfId="0" applyFont="true" applyBorder="true" applyAlignment="true" applyProtection="false">
      <alignment horizontal="center" vertical="center" textRotation="0" wrapText="true" indent="0" shrinkToFit="false"/>
      <protection locked="true" hidden="false"/>
    </xf>
    <xf numFmtId="172" fontId="32" fillId="3" borderId="21" xfId="0" applyFont="true" applyBorder="true" applyAlignment="true" applyProtection="false">
      <alignment horizontal="center" vertical="center" textRotation="0" wrapText="true" indent="0" shrinkToFit="false"/>
      <protection locked="true" hidden="false"/>
    </xf>
    <xf numFmtId="170" fontId="11" fillId="3" borderId="21" xfId="0" applyFont="true" applyBorder="true" applyAlignment="true" applyProtection="false">
      <alignment horizontal="center" vertical="center" textRotation="0" wrapText="true" indent="0" shrinkToFit="false"/>
      <protection locked="true" hidden="false"/>
    </xf>
    <xf numFmtId="175" fontId="33" fillId="3" borderId="21" xfId="0" applyFont="true" applyBorder="true" applyAlignment="true" applyProtection="false">
      <alignment horizontal="center" vertical="bottom" textRotation="0" wrapText="false" indent="0" shrinkToFit="false"/>
      <protection locked="true" hidden="false"/>
    </xf>
    <xf numFmtId="176" fontId="32" fillId="0" borderId="0" xfId="0" applyFont="true" applyBorder="false" applyAlignment="false" applyProtection="false">
      <alignment horizontal="general" vertical="bottom" textRotation="0" wrapText="false" indent="0" shrinkToFit="false"/>
      <protection locked="true" hidden="false"/>
    </xf>
    <xf numFmtId="170" fontId="32" fillId="3" borderId="0" xfId="0" applyFont="true" applyBorder="false" applyAlignment="true" applyProtection="false">
      <alignment horizontal="center" vertical="bottom" textRotation="0" wrapText="false" indent="0" shrinkToFit="false"/>
      <protection locked="true" hidden="false"/>
    </xf>
    <xf numFmtId="175" fontId="32" fillId="3" borderId="0" xfId="0" applyFont="true" applyBorder="false" applyAlignment="false" applyProtection="false">
      <alignment horizontal="general" vertical="bottom" textRotation="0" wrapText="false" indent="0" shrinkToFit="false"/>
      <protection locked="true" hidden="false"/>
    </xf>
    <xf numFmtId="175" fontId="32" fillId="3" borderId="44" xfId="0" applyFont="true" applyBorder="true" applyAlignment="true" applyProtection="false">
      <alignment horizontal="center" vertical="bottom" textRotation="0" wrapText="false" indent="0" shrinkToFit="false"/>
      <protection locked="true" hidden="false"/>
    </xf>
    <xf numFmtId="164" fontId="0" fillId="3" borderId="44" xfId="0" applyFont="false" applyBorder="true" applyAlignment="false" applyProtection="false">
      <alignment horizontal="general" vertical="bottom" textRotation="0" wrapText="false" indent="0" shrinkToFit="false"/>
      <protection locked="true" hidden="false"/>
    </xf>
    <xf numFmtId="172" fontId="32" fillId="3" borderId="0" xfId="0" applyFont="true" applyBorder="false" applyAlignment="true" applyProtection="false">
      <alignment horizontal="center" vertical="bottom" textRotation="0" wrapText="false" indent="0" shrinkToFit="false"/>
      <protection locked="true" hidden="false"/>
    </xf>
    <xf numFmtId="175" fontId="32" fillId="3" borderId="0" xfId="0" applyFont="true" applyBorder="false" applyAlignment="true" applyProtection="false">
      <alignment horizontal="center"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72" fontId="32" fillId="3" borderId="0" xfId="0" applyFont="true" applyBorder="false" applyAlignment="false" applyProtection="false">
      <alignment horizontal="general" vertical="bottom" textRotation="0" wrapText="false" indent="0" shrinkToFit="false"/>
      <protection locked="true" hidden="false"/>
    </xf>
    <xf numFmtId="175" fontId="32" fillId="0" borderId="0" xfId="0" applyFont="true" applyBorder="false" applyAlignment="false" applyProtection="false">
      <alignment horizontal="general" vertical="bottom" textRotation="0" wrapText="false" indent="0" shrinkToFit="false"/>
      <protection locked="true" hidden="false"/>
    </xf>
    <xf numFmtId="164" fontId="8" fillId="5" borderId="41" xfId="0" applyFont="true" applyBorder="true" applyAlignment="true" applyProtection="false">
      <alignment horizontal="right" vertical="center" textRotation="0" wrapText="false" indent="0" shrinkToFit="false"/>
      <protection locked="true" hidden="false"/>
    </xf>
    <xf numFmtId="170" fontId="8" fillId="5" borderId="42" xfId="0" applyFont="true" applyBorder="true" applyAlignment="true" applyProtection="false">
      <alignment horizontal="left" vertical="bottom" textRotation="0" wrapText="false" indent="0" shrinkToFit="false"/>
      <protection locked="true" hidden="false"/>
    </xf>
    <xf numFmtId="164" fontId="0" fillId="3" borderId="0" xfId="0" applyFont="false" applyBorder="false" applyAlignment="true" applyProtection="false">
      <alignment horizontal="general" vertical="center" textRotation="0" wrapText="false" indent="0" shrinkToFit="false"/>
      <protection locked="true" hidden="false"/>
    </xf>
    <xf numFmtId="164" fontId="0" fillId="3" borderId="0" xfId="0" applyFont="false" applyBorder="false" applyAlignment="true" applyProtection="false">
      <alignment horizontal="center" vertical="center" textRotation="0" wrapText="false" indent="0" shrinkToFit="false"/>
      <protection locked="true" hidden="false"/>
    </xf>
    <xf numFmtId="170" fontId="32" fillId="3" borderId="0" xfId="0" applyFont="true" applyBorder="false" applyAlignment="false" applyProtection="false">
      <alignment horizontal="general" vertical="bottom" textRotation="0" wrapText="false" indent="0" shrinkToFit="false"/>
      <protection locked="true" hidden="false"/>
    </xf>
    <xf numFmtId="170" fontId="32" fillId="0" borderId="25" xfId="0" applyFont="true" applyBorder="true" applyAlignment="false" applyProtection="false">
      <alignment horizontal="general" vertical="bottom" textRotation="0" wrapText="false" indent="0" shrinkToFit="false"/>
      <protection locked="true" hidden="false"/>
    </xf>
    <xf numFmtId="164" fontId="32" fillId="0" borderId="25" xfId="0" applyFont="true" applyBorder="true" applyAlignment="false" applyProtection="false">
      <alignment horizontal="general" vertical="bottom" textRotation="0" wrapText="false" indent="0" shrinkToFit="false"/>
      <protection locked="true" hidden="false"/>
    </xf>
    <xf numFmtId="172" fontId="32" fillId="0" borderId="25" xfId="0" applyFont="true" applyBorder="true" applyAlignment="false" applyProtection="false">
      <alignment horizontal="general" vertical="bottom" textRotation="0" wrapText="false" indent="0" shrinkToFit="false"/>
      <protection locked="true" hidden="false"/>
    </xf>
    <xf numFmtId="171" fontId="32" fillId="0" borderId="21" xfId="0" applyFont="true" applyBorder="true" applyAlignment="true" applyProtection="false">
      <alignment horizontal="center" vertical="bottom" textRotation="0" wrapText="false" indent="0" shrinkToFit="false"/>
      <protection locked="true" hidden="false"/>
    </xf>
    <xf numFmtId="171" fontId="32" fillId="3" borderId="0" xfId="0" applyFont="true" applyBorder="false" applyAlignment="true" applyProtection="false">
      <alignment horizontal="center" vertical="center" textRotation="0" wrapText="false" indent="0" shrinkToFit="false"/>
      <protection locked="true" hidden="false"/>
    </xf>
    <xf numFmtId="170" fontId="32" fillId="0" borderId="21" xfId="0" applyFont="true" applyBorder="true" applyAlignment="false" applyProtection="false">
      <alignment horizontal="general" vertical="bottom" textRotation="0" wrapText="false" indent="0" shrinkToFit="false"/>
      <protection locked="true" hidden="false"/>
    </xf>
    <xf numFmtId="172" fontId="32" fillId="0" borderId="21" xfId="0" applyFont="true" applyBorder="true" applyAlignment="false" applyProtection="false">
      <alignment horizontal="general" vertical="bottom" textRotation="0" wrapText="false" indent="0" shrinkToFit="false"/>
      <protection locked="true" hidden="false"/>
    </xf>
    <xf numFmtId="164" fontId="32" fillId="0" borderId="21" xfId="0" applyFont="true" applyBorder="true" applyAlignment="false" applyProtection="false">
      <alignment horizontal="general" vertical="bottom" textRotation="0" wrapText="false" indent="0" shrinkToFit="false"/>
      <protection locked="true" hidden="false"/>
    </xf>
    <xf numFmtId="170" fontId="32" fillId="0" borderId="24" xfId="0" applyFont="true" applyBorder="true" applyAlignment="false" applyProtection="false">
      <alignment horizontal="general" vertical="bottom" textRotation="0" wrapText="false" indent="0" shrinkToFit="false"/>
      <protection locked="true" hidden="false"/>
    </xf>
    <xf numFmtId="164" fontId="32" fillId="0" borderId="24" xfId="0" applyFont="true" applyBorder="true" applyAlignment="false" applyProtection="false">
      <alignment horizontal="general" vertical="bottom" textRotation="0" wrapText="false" indent="0" shrinkToFit="false"/>
      <protection locked="true" hidden="false"/>
    </xf>
    <xf numFmtId="172" fontId="32" fillId="0" borderId="24" xfId="0" applyFont="true" applyBorder="true" applyAlignment="false" applyProtection="false">
      <alignment horizontal="general" vertical="bottom" textRotation="0" wrapText="false" indent="0" shrinkToFit="false"/>
      <protection locked="true" hidden="false"/>
    </xf>
    <xf numFmtId="164" fontId="32" fillId="5" borderId="41" xfId="0" applyFont="true" applyBorder="true" applyAlignment="true" applyProtection="false">
      <alignment horizontal="right" vertical="center" textRotation="0" wrapText="false" indent="0" shrinkToFit="false"/>
      <protection locked="true" hidden="false"/>
    </xf>
    <xf numFmtId="170" fontId="32" fillId="5" borderId="45" xfId="0" applyFont="true" applyBorder="true" applyAlignment="true" applyProtection="false">
      <alignment horizontal="left" vertical="bottom" textRotation="0" wrapText="false" indent="0" shrinkToFit="false"/>
      <protection locked="true" hidden="false"/>
    </xf>
    <xf numFmtId="172" fontId="32" fillId="3" borderId="21" xfId="0" applyFont="true" applyBorder="true" applyAlignment="false" applyProtection="false">
      <alignment horizontal="general" vertical="bottom" textRotation="0" wrapText="false" indent="0" shrinkToFit="false"/>
      <protection locked="true" hidden="false"/>
    </xf>
    <xf numFmtId="171" fontId="32" fillId="3" borderId="21" xfId="0" applyFont="true" applyBorder="true" applyAlignment="true" applyProtection="false">
      <alignment horizontal="center" vertical="bottom" textRotation="0" wrapText="false" indent="0" shrinkToFit="false"/>
      <protection locked="true" hidden="false"/>
    </xf>
    <xf numFmtId="172" fontId="32" fillId="3" borderId="21" xfId="0" applyFont="true" applyBorder="true" applyAlignment="true" applyProtection="false">
      <alignment horizontal="center" vertical="bottom" textRotation="0" wrapText="false" indent="0" shrinkToFit="false"/>
      <protection locked="true" hidden="false"/>
    </xf>
    <xf numFmtId="164" fontId="32" fillId="3" borderId="0" xfId="0" applyFont="true" applyBorder="false" applyAlignment="false" applyProtection="false">
      <alignment horizontal="general" vertical="bottom" textRotation="0" wrapText="false" indent="0" shrinkToFit="false"/>
      <protection locked="true" hidden="false"/>
    </xf>
    <xf numFmtId="164" fontId="8" fillId="5" borderId="42" xfId="0" applyFont="true" applyBorder="true" applyAlignment="true" applyProtection="false">
      <alignment horizontal="left" vertical="bottom" textRotation="0" wrapText="false" indent="0" shrinkToFit="false"/>
      <protection locked="true" hidden="false"/>
    </xf>
    <xf numFmtId="175" fontId="32" fillId="0" borderId="21" xfId="0" applyFont="true" applyBorder="true" applyAlignment="true" applyProtection="false">
      <alignment horizontal="center" vertical="bottom" textRotation="0" wrapText="false" indent="0" shrinkToFit="false"/>
      <protection locked="true" hidden="false"/>
    </xf>
    <xf numFmtId="164" fontId="32" fillId="5" borderId="41" xfId="0" applyFont="true" applyBorder="true" applyAlignment="true" applyProtection="false">
      <alignment horizontal="right" vertical="center" textRotation="0" wrapText="true" indent="0" shrinkToFit="false"/>
      <protection locked="true" hidden="false"/>
    </xf>
    <xf numFmtId="170" fontId="32" fillId="5" borderId="42" xfId="0" applyFont="true" applyBorder="true" applyAlignment="true" applyProtection="false">
      <alignment horizontal="left" vertical="bottom" textRotation="0" wrapText="false" indent="0" shrinkToFit="false"/>
      <protection locked="true" hidden="false"/>
    </xf>
    <xf numFmtId="172" fontId="32" fillId="3" borderId="27" xfId="0" applyFont="true" applyBorder="true" applyAlignment="false" applyProtection="false">
      <alignment horizontal="general" vertical="bottom" textRotation="0" wrapText="false" indent="0" shrinkToFit="false"/>
      <protection locked="true" hidden="false"/>
    </xf>
    <xf numFmtId="164" fontId="9" fillId="5" borderId="41" xfId="0" applyFont="true" applyBorder="true" applyAlignment="true" applyProtection="false">
      <alignment horizontal="right" vertical="center" textRotation="0" wrapText="false" indent="0" shrinkToFit="false"/>
      <protection locked="true" hidden="false"/>
    </xf>
    <xf numFmtId="166" fontId="9" fillId="5" borderId="42" xfId="0" applyFont="true" applyBorder="true" applyAlignment="true" applyProtection="false">
      <alignment horizontal="center" vertical="center" textRotation="0" wrapText="false" indent="0" shrinkToFit="false"/>
      <protection locked="true" hidden="false"/>
    </xf>
    <xf numFmtId="172" fontId="32" fillId="3" borderId="23" xfId="0" applyFont="true" applyBorder="true" applyAlignment="false" applyProtection="false">
      <alignment horizontal="general" vertical="bottom" textRotation="0" wrapText="false" indent="0" shrinkToFit="false"/>
      <protection locked="true" hidden="false"/>
    </xf>
    <xf numFmtId="171" fontId="32" fillId="3" borderId="23" xfId="0" applyFont="true" applyBorder="true" applyAlignment="true" applyProtection="false">
      <alignment horizontal="center" vertical="bottom" textRotation="0" wrapText="false" indent="0" shrinkToFit="false"/>
      <protection locked="true" hidden="false"/>
    </xf>
    <xf numFmtId="172" fontId="32" fillId="3" borderId="23" xfId="0" applyFont="true" applyBorder="true" applyAlignment="true" applyProtection="false">
      <alignment horizontal="center" vertical="bottom" textRotation="0" wrapText="false" indent="0" shrinkToFit="false"/>
      <protection locked="true" hidden="false"/>
    </xf>
    <xf numFmtId="170" fontId="9" fillId="3" borderId="0" xfId="0" applyFont="true" applyBorder="false" applyAlignment="true" applyProtection="false">
      <alignment horizontal="center" vertical="bottom" textRotation="0" wrapText="true" indent="0" shrinkToFit="false"/>
      <protection locked="true" hidden="false"/>
    </xf>
    <xf numFmtId="164" fontId="34" fillId="3" borderId="0" xfId="0" applyFont="true" applyBorder="false" applyAlignment="true" applyProtection="false">
      <alignment horizontal="center" vertical="bottom" textRotation="0" wrapText="true" indent="0" shrinkToFit="false"/>
      <protection locked="true" hidden="false"/>
    </xf>
    <xf numFmtId="164" fontId="9" fillId="3" borderId="0" xfId="0" applyFont="true" applyBorder="false" applyAlignment="true" applyProtection="false">
      <alignment horizontal="center" vertical="bottom" textRotation="0" wrapText="true" indent="0" shrinkToFit="false"/>
      <protection locked="true" hidden="false"/>
    </xf>
    <xf numFmtId="164" fontId="8" fillId="6" borderId="41" xfId="0" applyFont="true" applyBorder="true" applyAlignment="true" applyProtection="false">
      <alignment horizontal="right" vertical="center" textRotation="0" wrapText="false" indent="0" shrinkToFit="false"/>
      <protection locked="true" hidden="false"/>
    </xf>
    <xf numFmtId="170" fontId="8" fillId="6" borderId="42" xfId="0" applyFont="true" applyBorder="true" applyAlignment="true" applyProtection="false">
      <alignment horizontal="left" vertical="bottom" textRotation="0" wrapText="false" indent="0" shrinkToFit="false"/>
      <protection locked="true" hidden="false"/>
    </xf>
    <xf numFmtId="164" fontId="33" fillId="0" borderId="25" xfId="0" applyFont="true" applyBorder="true" applyAlignment="false" applyProtection="false">
      <alignment horizontal="general" vertical="bottom" textRotation="0" wrapText="false" indent="0" shrinkToFit="false"/>
      <protection locked="true" hidden="false"/>
    </xf>
    <xf numFmtId="172" fontId="32" fillId="3" borderId="0" xfId="0" applyFont="true" applyBorder="false" applyAlignment="true" applyProtection="false">
      <alignment horizontal="center" vertical="center" textRotation="0" wrapText="false" indent="0" shrinkToFit="false"/>
      <protection locked="true" hidden="false"/>
    </xf>
    <xf numFmtId="164" fontId="33" fillId="0" borderId="21" xfId="0" applyFont="true" applyBorder="true" applyAlignment="false" applyProtection="false">
      <alignment horizontal="general" vertical="bottom" textRotation="0" wrapText="false" indent="0" shrinkToFit="false"/>
      <protection locked="true" hidden="false"/>
    </xf>
    <xf numFmtId="164" fontId="33" fillId="0" borderId="24" xfId="0" applyFont="true" applyBorder="true" applyAlignment="false" applyProtection="false">
      <alignment horizontal="general" vertical="bottom" textRotation="0" wrapText="false" indent="0" shrinkToFit="false"/>
      <protection locked="true" hidden="false"/>
    </xf>
    <xf numFmtId="164" fontId="32" fillId="6" borderId="41" xfId="0" applyFont="true" applyBorder="true" applyAlignment="true" applyProtection="false">
      <alignment horizontal="right" vertical="center" textRotation="0" wrapText="false" indent="0" shrinkToFit="false"/>
      <protection locked="true" hidden="false"/>
    </xf>
    <xf numFmtId="170" fontId="32" fillId="6" borderId="45" xfId="0" applyFont="true" applyBorder="true" applyAlignment="true" applyProtection="false">
      <alignment horizontal="left" vertical="bottom" textRotation="0" wrapText="false" indent="0" shrinkToFit="false"/>
      <protection locked="true" hidden="false"/>
    </xf>
    <xf numFmtId="164" fontId="33" fillId="3" borderId="0" xfId="0" applyFont="true" applyBorder="false" applyAlignment="false" applyProtection="false">
      <alignment horizontal="general" vertical="bottom" textRotation="0" wrapText="false" indent="0" shrinkToFit="false"/>
      <protection locked="true" hidden="false"/>
    </xf>
    <xf numFmtId="164" fontId="8" fillId="6" borderId="42" xfId="0" applyFont="true" applyBorder="true" applyAlignment="true" applyProtection="false">
      <alignment horizontal="left" vertical="bottom" textRotation="0" wrapText="false" indent="0" shrinkToFit="false"/>
      <protection locked="true" hidden="false"/>
    </xf>
    <xf numFmtId="164" fontId="32" fillId="6" borderId="41" xfId="0" applyFont="true" applyBorder="true" applyAlignment="true" applyProtection="false">
      <alignment horizontal="right" vertical="center" textRotation="0" wrapText="true" indent="0" shrinkToFit="false"/>
      <protection locked="true" hidden="false"/>
    </xf>
    <xf numFmtId="170" fontId="32" fillId="6" borderId="42" xfId="0" applyFont="true" applyBorder="true" applyAlignment="true" applyProtection="false">
      <alignment horizontal="left" vertical="bottom" textRotation="0" wrapText="false" indent="0" shrinkToFit="false"/>
      <protection locked="true" hidden="false"/>
    </xf>
    <xf numFmtId="172" fontId="32" fillId="3" borderId="26" xfId="0" applyFont="true" applyBorder="true" applyAlignment="false" applyProtection="false">
      <alignment horizontal="general" vertical="bottom" textRotation="0" wrapText="false" indent="0" shrinkToFit="false"/>
      <protection locked="true" hidden="false"/>
    </xf>
    <xf numFmtId="164" fontId="9" fillId="6" borderId="41" xfId="0" applyFont="true" applyBorder="true" applyAlignment="true" applyProtection="false">
      <alignment horizontal="right" vertical="center" textRotation="0" wrapText="false" indent="0" shrinkToFit="false"/>
      <protection locked="true" hidden="false"/>
    </xf>
    <xf numFmtId="164" fontId="5" fillId="6" borderId="42" xfId="0" applyFont="true" applyBorder="true" applyAlignment="true" applyProtection="false">
      <alignment horizontal="center" vertical="center" textRotation="0" wrapText="false" indent="0" shrinkToFit="false"/>
      <protection locked="true" hidden="false"/>
    </xf>
    <xf numFmtId="174" fontId="32" fillId="3" borderId="0" xfId="0" applyFont="true" applyBorder="false" applyAlignment="false" applyProtection="false">
      <alignment horizontal="general" vertical="bottom" textRotation="0" wrapText="false" indent="0" shrinkToFit="false"/>
      <protection locked="true" hidden="false"/>
    </xf>
    <xf numFmtId="173" fontId="25" fillId="0" borderId="0" xfId="0" applyFont="true" applyBorder="false" applyAlignment="true" applyProtection="true">
      <alignment horizontal="center" vertical="bottom" textRotation="0" wrapText="false" indent="0" shrinkToFit="false"/>
      <protection locked="true" hidden="true"/>
    </xf>
    <xf numFmtId="172" fontId="25" fillId="0" borderId="0" xfId="0" applyFont="true" applyBorder="false" applyAlignment="true" applyProtection="true">
      <alignment horizontal="center" vertical="bottom" textRotation="0" wrapText="false" indent="0" shrinkToFit="false"/>
      <protection locked="true" hidden="true"/>
    </xf>
    <xf numFmtId="169" fontId="25" fillId="0" borderId="0" xfId="0" applyFont="true" applyBorder="false" applyAlignment="false" applyProtection="true">
      <alignment horizontal="general" vertical="bottom" textRotation="0" wrapText="false" indent="0" shrinkToFit="false"/>
      <protection locked="true" hidden="true"/>
    </xf>
    <xf numFmtId="173" fontId="25" fillId="3" borderId="0" xfId="0" applyFont="true" applyBorder="false" applyAlignment="true" applyProtection="true">
      <alignment horizontal="center" vertical="bottom" textRotation="0" wrapText="false" indent="0" shrinkToFit="false"/>
      <protection locked="true" hidden="true"/>
    </xf>
    <xf numFmtId="172" fontId="25" fillId="3" borderId="0" xfId="0" applyFont="true" applyBorder="false" applyAlignment="true" applyProtection="true">
      <alignment horizontal="center" vertical="bottom" textRotation="0" wrapText="false" indent="0" shrinkToFit="false"/>
      <protection locked="true" hidden="true"/>
    </xf>
    <xf numFmtId="169" fontId="25" fillId="3" borderId="0" xfId="0" applyFont="true" applyBorder="false" applyAlignment="false" applyProtection="true">
      <alignment horizontal="general" vertical="bottom" textRotation="0" wrapText="false" indent="0" shrinkToFit="false"/>
      <protection locked="true" hidden="true"/>
    </xf>
    <xf numFmtId="164" fontId="5" fillId="3" borderId="41" xfId="0" applyFont="true" applyBorder="true" applyAlignment="true" applyProtection="true">
      <alignment horizontal="left" vertical="center" textRotation="0" wrapText="true" indent="1" shrinkToFit="false"/>
      <protection locked="true" hidden="true"/>
    </xf>
    <xf numFmtId="164" fontId="5" fillId="3" borderId="42" xfId="0" applyFont="true" applyBorder="true" applyAlignment="true" applyProtection="false">
      <alignment horizontal="left" vertical="center" textRotation="0" wrapText="true" indent="1" shrinkToFit="false"/>
      <protection locked="true" hidden="false"/>
    </xf>
    <xf numFmtId="173" fontId="25" fillId="3" borderId="27" xfId="0" applyFont="true" applyBorder="true" applyAlignment="true" applyProtection="true">
      <alignment horizontal="center" vertical="center" textRotation="0" wrapText="true" indent="0" shrinkToFit="false"/>
      <protection locked="true" hidden="true"/>
    </xf>
    <xf numFmtId="171" fontId="25" fillId="3" borderId="0" xfId="0" applyFont="true" applyBorder="false" applyAlignment="true" applyProtection="true">
      <alignment horizontal="center" vertical="bottom" textRotation="0" wrapText="false" indent="0" shrinkToFit="false"/>
      <protection locked="true" hidden="true"/>
    </xf>
    <xf numFmtId="164" fontId="0" fillId="3" borderId="0" xfId="0" applyFont="false" applyBorder="false" applyAlignment="true" applyProtection="false">
      <alignment horizontal="left" vertical="center" textRotation="0" wrapText="true" indent="1" shrinkToFit="false"/>
      <protection locked="true" hidden="false"/>
    </xf>
    <xf numFmtId="177" fontId="25" fillId="3" borderId="0" xfId="0" applyFont="true" applyBorder="false" applyAlignment="true" applyProtection="true">
      <alignment horizontal="center" vertical="bottom" textRotation="0" wrapText="false" indent="0" shrinkToFit="false"/>
      <protection locked="true" hidden="true"/>
    </xf>
    <xf numFmtId="164" fontId="25" fillId="3" borderId="21" xfId="0" applyFont="true" applyBorder="true" applyAlignment="true" applyProtection="true">
      <alignment horizontal="left" vertical="center" textRotation="0" wrapText="false" indent="1" shrinkToFit="false"/>
      <protection locked="true" hidden="true"/>
    </xf>
    <xf numFmtId="172" fontId="25" fillId="0" borderId="21" xfId="0" applyFont="true" applyBorder="true" applyAlignment="true" applyProtection="true">
      <alignment horizontal="center" vertical="bottom" textRotation="0" wrapText="false" indent="0" shrinkToFit="false"/>
      <protection locked="true" hidden="true"/>
    </xf>
    <xf numFmtId="172" fontId="25" fillId="0" borderId="0" xfId="0" applyFont="true" applyBorder="false" applyAlignment="false" applyProtection="true">
      <alignment horizontal="general" vertical="bottom" textRotation="0" wrapText="false" indent="0" shrinkToFit="false"/>
      <protection locked="true" hidden="true"/>
    </xf>
    <xf numFmtId="178" fontId="25" fillId="3" borderId="0" xfId="0" applyFont="true" applyBorder="false" applyAlignment="true" applyProtection="true">
      <alignment horizontal="center" vertical="bottom" textRotation="0" wrapText="false" indent="0" shrinkToFit="false"/>
      <protection locked="true" hidden="true"/>
    </xf>
    <xf numFmtId="175" fontId="25" fillId="3" borderId="0" xfId="0" applyFont="true" applyBorder="false" applyAlignment="true" applyProtection="true">
      <alignment horizontal="center" vertical="bottom" textRotation="0" wrapText="false" indent="0" shrinkToFit="false"/>
      <protection locked="true" hidden="true"/>
    </xf>
    <xf numFmtId="164" fontId="35" fillId="0" borderId="0" xfId="0" applyFont="true" applyBorder="false" applyAlignment="false" applyProtection="true">
      <alignment horizontal="general" vertical="bottom" textRotation="0" wrapText="false" indent="0" shrinkToFit="false"/>
      <protection locked="true" hidden="true"/>
    </xf>
    <xf numFmtId="164" fontId="25" fillId="3" borderId="23" xfId="0" applyFont="true" applyBorder="true" applyAlignment="true" applyProtection="true">
      <alignment horizontal="left" vertical="center" textRotation="0" wrapText="false" indent="1" shrinkToFit="false"/>
      <protection locked="true" hidden="true"/>
    </xf>
    <xf numFmtId="164" fontId="25" fillId="3" borderId="0" xfId="0" applyFont="true" applyBorder="false" applyAlignment="true" applyProtection="true">
      <alignment horizontal="left" vertical="center" textRotation="0" wrapText="false" indent="1" shrinkToFit="false"/>
      <protection locked="true" hidden="true"/>
    </xf>
    <xf numFmtId="164" fontId="5" fillId="3" borderId="0" xfId="0" applyFont="true" applyBorder="false" applyAlignment="true" applyProtection="false">
      <alignment horizontal="left" vertical="center" textRotation="0" wrapText="false" indent="1" shrinkToFit="false"/>
      <protection locked="true" hidden="false"/>
    </xf>
    <xf numFmtId="172" fontId="31" fillId="0" borderId="23" xfId="0" applyFont="true" applyBorder="true" applyAlignment="true" applyProtection="true">
      <alignment horizontal="center" vertical="bottom" textRotation="0" wrapText="false" indent="0" shrinkToFit="false"/>
      <protection locked="true" hidden="true"/>
    </xf>
    <xf numFmtId="169" fontId="36" fillId="3" borderId="0" xfId="0" applyFont="true" applyBorder="false" applyAlignment="true" applyProtection="true">
      <alignment horizontal="center" vertical="bottom" textRotation="0" wrapText="false" indent="0" shrinkToFit="false"/>
      <protection locked="true" hidden="true"/>
    </xf>
    <xf numFmtId="171" fontId="31" fillId="3" borderId="0" xfId="0" applyFont="true" applyBorder="false" applyAlignment="true" applyProtection="true">
      <alignment horizontal="center" vertical="bottom" textRotation="0" wrapText="false" indent="0" shrinkToFit="false"/>
      <protection locked="true" hidden="true"/>
    </xf>
    <xf numFmtId="164" fontId="37" fillId="3" borderId="0" xfId="0" applyFont="true" applyBorder="false" applyAlignment="true" applyProtection="true">
      <alignment horizontal="right" vertical="bottom" textRotation="0" wrapText="false" indent="0" shrinkToFit="false"/>
      <protection locked="true" hidden="true"/>
    </xf>
    <xf numFmtId="166" fontId="37" fillId="3" borderId="0" xfId="0" applyFont="true" applyBorder="true" applyAlignment="true" applyProtection="true">
      <alignment horizontal="left" vertical="bottom" textRotation="0" wrapText="false" indent="0" shrinkToFit="false"/>
      <protection locked="true" hidden="true"/>
    </xf>
    <xf numFmtId="170" fontId="25" fillId="3" borderId="0" xfId="0" applyFont="true" applyBorder="false" applyAlignment="true" applyProtection="true">
      <alignment horizontal="center" vertical="bottom" textRotation="0" wrapText="false" indent="0" shrinkToFit="false"/>
      <protection locked="true" hidden="true"/>
    </xf>
    <xf numFmtId="172" fontId="31" fillId="3" borderId="0" xfId="0" applyFont="true" applyBorder="false" applyAlignment="true" applyProtection="true">
      <alignment horizontal="center" vertical="bottom" textRotation="0" wrapText="false" indent="0" shrinkToFit="false"/>
      <protection locked="true" hidden="true"/>
    </xf>
    <xf numFmtId="164" fontId="25" fillId="3" borderId="23" xfId="0" applyFont="true" applyBorder="true" applyAlignment="true" applyProtection="true">
      <alignment horizontal="left" vertical="bottom" textRotation="0" wrapText="false" indent="1" shrinkToFit="false"/>
      <protection locked="true" hidden="true"/>
    </xf>
    <xf numFmtId="172" fontId="25" fillId="3" borderId="21" xfId="0" applyFont="true" applyBorder="true" applyAlignment="true" applyProtection="true">
      <alignment horizontal="center" vertical="bottom" textRotation="0" wrapText="false" indent="0" shrinkToFit="false"/>
      <protection locked="true" hidden="true"/>
    </xf>
    <xf numFmtId="164" fontId="31" fillId="3" borderId="23" xfId="0" applyFont="true" applyBorder="true" applyAlignment="true" applyProtection="true">
      <alignment horizontal="left" vertical="bottom" textRotation="0" wrapText="false" indent="1" shrinkToFit="false"/>
      <protection locked="true" hidden="true"/>
    </xf>
    <xf numFmtId="164" fontId="31" fillId="3" borderId="0" xfId="0" applyFont="true" applyBorder="false" applyAlignment="true" applyProtection="true">
      <alignment horizontal="center" vertical="bottom" textRotation="0" wrapText="false" indent="0" shrinkToFit="false"/>
      <protection locked="true" hidden="true"/>
    </xf>
    <xf numFmtId="164" fontId="25" fillId="3" borderId="41" xfId="0" applyFont="true" applyBorder="true" applyAlignment="true" applyProtection="true">
      <alignment horizontal="left" vertical="center" textRotation="0" wrapText="false" indent="1" shrinkToFit="false"/>
      <protection locked="true" hidden="true"/>
    </xf>
    <xf numFmtId="171" fontId="25" fillId="3" borderId="23" xfId="0" applyFont="true" applyBorder="true" applyAlignment="true" applyProtection="true">
      <alignment horizontal="center" vertical="center" textRotation="0" wrapText="true" indent="0" shrinkToFit="false"/>
      <protection locked="true" hidden="true"/>
    </xf>
    <xf numFmtId="164" fontId="25" fillId="3" borderId="0" xfId="0" applyFont="true" applyBorder="false" applyAlignment="true" applyProtection="true">
      <alignment horizontal="center" vertical="bottom" textRotation="0" wrapText="false" indent="0" shrinkToFit="false"/>
      <protection locked="true" hidden="true"/>
    </xf>
    <xf numFmtId="173" fontId="25" fillId="3" borderId="21" xfId="0" applyFont="true" applyBorder="true" applyAlignment="true" applyProtection="true">
      <alignment horizontal="center" vertical="bottom" textRotation="0" wrapText="true" indent="0" shrinkToFit="false"/>
      <protection locked="true" hidden="true"/>
    </xf>
    <xf numFmtId="172" fontId="25" fillId="3" borderId="21" xfId="0" applyFont="true" applyBorder="true" applyAlignment="true" applyProtection="true">
      <alignment horizontal="center" vertical="bottom" textRotation="0" wrapText="true" indent="0" shrinkToFit="false"/>
      <protection locked="true" hidden="true"/>
    </xf>
    <xf numFmtId="169" fontId="25" fillId="3" borderId="0" xfId="0" applyFont="true" applyBorder="false" applyAlignment="true" applyProtection="true">
      <alignment horizontal="center" vertical="bottom" textRotation="0" wrapText="false" indent="0" shrinkToFit="false"/>
      <protection locked="true" hidden="true"/>
    </xf>
    <xf numFmtId="164" fontId="25" fillId="0" borderId="0" xfId="0" applyFont="true" applyBorder="false" applyAlignment="true" applyProtection="true">
      <alignment horizontal="center" vertical="bottom" textRotation="0" wrapText="false" indent="0" shrinkToFit="false"/>
      <protection locked="true" hidden="true"/>
    </xf>
    <xf numFmtId="170" fontId="25" fillId="3" borderId="0" xfId="0" applyFont="true" applyBorder="false" applyAlignment="true" applyProtection="true">
      <alignment horizontal="left" vertical="bottom" textRotation="0" wrapText="false" indent="1" shrinkToFit="false"/>
      <protection locked="true" hidden="true"/>
    </xf>
    <xf numFmtId="173" fontId="25" fillId="3" borderId="21" xfId="0" applyFont="true" applyBorder="true" applyAlignment="true" applyProtection="true">
      <alignment horizontal="center" vertical="bottom" textRotation="0" wrapText="false" indent="0" shrinkToFit="false"/>
      <protection locked="true" hidden="true"/>
    </xf>
    <xf numFmtId="170" fontId="25" fillId="3" borderId="21" xfId="0" applyFont="true" applyBorder="true" applyAlignment="true" applyProtection="true">
      <alignment horizontal="center" vertical="bottom" textRotation="0" wrapText="false" indent="0" shrinkToFit="false"/>
      <protection locked="true" hidden="true"/>
    </xf>
    <xf numFmtId="164" fontId="32" fillId="3" borderId="21" xfId="0" applyFont="true" applyBorder="true" applyAlignment="true" applyProtection="true">
      <alignment horizontal="left" vertical="bottom" textRotation="0" wrapText="false" indent="1" shrinkToFit="false"/>
      <protection locked="true" hidden="true"/>
    </xf>
    <xf numFmtId="164" fontId="33" fillId="3" borderId="0" xfId="0" applyFont="true" applyBorder="false" applyAlignment="true" applyProtection="true">
      <alignment horizontal="left" vertical="bottom" textRotation="0" wrapText="false" indent="1" shrinkToFit="false"/>
      <protection locked="true" hidden="true"/>
    </xf>
    <xf numFmtId="172" fontId="31" fillId="3" borderId="0" xfId="0" applyFont="true" applyBorder="false" applyAlignment="false" applyProtection="true">
      <alignment horizontal="general" vertical="bottom" textRotation="0" wrapText="false" indent="0" shrinkToFit="false"/>
      <protection locked="true" hidden="true"/>
    </xf>
    <xf numFmtId="171" fontId="25" fillId="3" borderId="0" xfId="0" applyFont="true" applyBorder="false" applyAlignment="false" applyProtection="true">
      <alignment horizontal="general" vertical="bottom" textRotation="0" wrapText="false" indent="0" shrinkToFit="false"/>
      <protection locked="true" hidden="true"/>
    </xf>
    <xf numFmtId="170" fontId="32" fillId="3" borderId="0" xfId="0" applyFont="true" applyBorder="false" applyAlignment="true" applyProtection="true">
      <alignment horizontal="left" vertical="bottom" textRotation="0" wrapText="false" indent="1" shrinkToFit="false"/>
      <protection locked="true" hidden="true"/>
    </xf>
    <xf numFmtId="170" fontId="25" fillId="3" borderId="0" xfId="0" applyFont="true" applyBorder="false" applyAlignment="false" applyProtection="true">
      <alignment horizontal="general" vertical="bottom" textRotation="0" wrapText="false" indent="0" shrinkToFit="false"/>
      <protection locked="true" hidden="true"/>
    </xf>
    <xf numFmtId="170" fontId="33" fillId="3" borderId="0" xfId="0" applyFont="true" applyBorder="false" applyAlignment="true" applyProtection="true">
      <alignment horizontal="left" vertical="bottom" textRotation="0" wrapText="false" indent="1" shrinkToFit="false"/>
      <protection locked="true" hidden="true"/>
    </xf>
    <xf numFmtId="172" fontId="25" fillId="3" borderId="0" xfId="0" applyFont="true" applyBorder="false" applyAlignment="false" applyProtection="true">
      <alignment horizontal="general" vertical="bottom" textRotation="0" wrapText="false" indent="0" shrinkToFit="false"/>
      <protection locked="true" hidden="true"/>
    </xf>
    <xf numFmtId="168" fontId="32" fillId="3" borderId="0" xfId="0" applyFont="true" applyBorder="false" applyAlignment="false" applyProtection="false">
      <alignment horizontal="general" vertical="bottom" textRotation="0" wrapText="false" indent="0" shrinkToFit="false"/>
      <protection locked="true" hidden="false"/>
    </xf>
    <xf numFmtId="168" fontId="33" fillId="3" borderId="41" xfId="0" applyFont="true" applyBorder="true" applyAlignment="true" applyProtection="false">
      <alignment horizontal="center" vertical="center" textRotation="0" wrapText="true" indent="0" shrinkToFit="false"/>
      <protection locked="true" hidden="false"/>
    </xf>
    <xf numFmtId="164" fontId="32" fillId="3" borderId="46" xfId="0" applyFont="true" applyBorder="true" applyAlignment="true" applyProtection="false">
      <alignment horizontal="center" vertical="center" textRotation="0" wrapText="true" indent="0" shrinkToFit="false"/>
      <protection locked="true" hidden="false"/>
    </xf>
    <xf numFmtId="165" fontId="25" fillId="3" borderId="27" xfId="0" applyFont="true" applyBorder="true" applyAlignment="true" applyProtection="true">
      <alignment horizontal="center" vertical="center" textRotation="0" wrapText="true" indent="0" shrinkToFit="false"/>
      <protection locked="true" hidden="true"/>
    </xf>
    <xf numFmtId="165" fontId="25" fillId="3" borderId="21" xfId="0" applyFont="true" applyBorder="true" applyAlignment="true" applyProtection="true">
      <alignment horizontal="center" vertical="center" textRotation="0" wrapText="true" indent="0" shrinkToFit="false"/>
      <protection locked="true" hidden="true"/>
    </xf>
    <xf numFmtId="170" fontId="32" fillId="3" borderId="47" xfId="0" applyFont="true" applyBorder="true" applyAlignment="true" applyProtection="false">
      <alignment horizontal="center" vertical="center" textRotation="0" wrapText="true" indent="0" shrinkToFit="false"/>
      <protection locked="true" hidden="false"/>
    </xf>
    <xf numFmtId="168" fontId="32" fillId="3" borderId="32" xfId="0" applyFont="true" applyBorder="true" applyAlignment="true" applyProtection="false">
      <alignment horizontal="center" vertical="bottom" textRotation="0" wrapText="false" indent="0" shrinkToFit="false"/>
      <protection locked="true" hidden="false"/>
    </xf>
    <xf numFmtId="168" fontId="32" fillId="3" borderId="21" xfId="0" applyFont="true" applyBorder="true" applyAlignment="true" applyProtection="false">
      <alignment horizontal="center" vertical="bottom" textRotation="0" wrapText="false" indent="0" shrinkToFit="false"/>
      <protection locked="true" hidden="false"/>
    </xf>
    <xf numFmtId="168" fontId="32" fillId="3" borderId="26" xfId="0" applyFont="true" applyBorder="true" applyAlignment="true" applyProtection="false">
      <alignment horizontal="center" vertical="bottom" textRotation="0" wrapText="false" indent="0" shrinkToFit="false"/>
      <protection locked="true" hidden="false"/>
    </xf>
    <xf numFmtId="168" fontId="33" fillId="3" borderId="0" xfId="0" applyFont="true" applyBorder="false" applyAlignment="true" applyProtection="false">
      <alignment horizontal="right" vertical="bottom" textRotation="0" wrapText="false" indent="1" shrinkToFit="false"/>
      <protection locked="true" hidden="false"/>
    </xf>
    <xf numFmtId="168" fontId="32" fillId="3" borderId="0" xfId="0" applyFont="true" applyBorder="false" applyAlignment="true" applyProtection="false">
      <alignment horizontal="left" vertical="bottom" textRotation="0" wrapText="false" indent="1" shrinkToFit="false"/>
      <protection locked="true" hidden="false"/>
    </xf>
    <xf numFmtId="171" fontId="32" fillId="0" borderId="0" xfId="0" applyFont="true" applyBorder="false" applyAlignment="false" applyProtection="false">
      <alignment horizontal="general" vertical="bottom" textRotation="0" wrapText="false" indent="0" shrinkToFit="false"/>
      <protection locked="true" hidden="false"/>
    </xf>
    <xf numFmtId="168" fontId="33" fillId="3" borderId="0" xfId="0" applyFont="true" applyBorder="false" applyAlignment="true" applyProtection="false">
      <alignment horizontal="left" vertical="bottom" textRotation="0" wrapText="false" indent="1" shrinkToFit="false"/>
      <protection locked="true" hidden="false"/>
    </xf>
    <xf numFmtId="171" fontId="33" fillId="3" borderId="0" xfId="0" applyFont="true" applyBorder="false" applyAlignment="false" applyProtection="false">
      <alignment horizontal="general" vertical="bottom" textRotation="0" wrapText="false" indent="0" shrinkToFit="false"/>
      <protection locked="true" hidden="false"/>
    </xf>
    <xf numFmtId="168" fontId="33" fillId="3" borderId="0" xfId="0" applyFont="true" applyBorder="false" applyAlignment="false" applyProtection="false">
      <alignment horizontal="general" vertical="bottom" textRotation="0" wrapText="false" indent="0" shrinkToFit="false"/>
      <protection locked="true" hidden="false"/>
    </xf>
    <xf numFmtId="168" fontId="33" fillId="3" borderId="23" xfId="0" applyFont="true" applyBorder="true" applyAlignment="true" applyProtection="false">
      <alignment horizontal="center" vertical="center" textRotation="0" wrapText="true" indent="0" shrinkToFit="false"/>
      <protection locked="true" hidden="false"/>
    </xf>
    <xf numFmtId="165" fontId="32" fillId="3" borderId="21" xfId="0" applyFont="true" applyBorder="true" applyAlignment="true" applyProtection="false">
      <alignment horizontal="center" vertical="center" textRotation="0" wrapText="true" indent="0" shrinkToFit="false"/>
      <protection locked="true" hidden="false"/>
    </xf>
    <xf numFmtId="168" fontId="32" fillId="3" borderId="27" xfId="0" applyFont="true" applyBorder="true" applyAlignment="true" applyProtection="false">
      <alignment horizontal="center" vertical="bottom" textRotation="0" wrapText="false" indent="0" shrinkToFit="false"/>
      <protection locked="true" hidden="false"/>
    </xf>
    <xf numFmtId="164" fontId="32" fillId="3" borderId="23" xfId="0" applyFont="true" applyBorder="true" applyAlignment="true" applyProtection="false">
      <alignment horizontal="left" vertical="bottom" textRotation="0" wrapText="true" indent="1" shrinkToFit="false"/>
      <protection locked="true" hidden="false"/>
    </xf>
    <xf numFmtId="168" fontId="32" fillId="3" borderId="40" xfId="0" applyFont="true" applyBorder="true" applyAlignment="true" applyProtection="false">
      <alignment horizontal="left" vertical="bottom" textRotation="0" wrapText="false" indent="1" shrinkToFit="false"/>
      <protection locked="true" hidden="false"/>
    </xf>
    <xf numFmtId="171" fontId="32" fillId="3" borderId="39" xfId="0" applyFont="true" applyBorder="true" applyAlignment="false" applyProtection="false">
      <alignment horizontal="general" vertical="bottom" textRotation="0" wrapText="false" indent="0" shrinkToFit="false"/>
      <protection locked="true" hidden="false"/>
    </xf>
    <xf numFmtId="164" fontId="38" fillId="3" borderId="0" xfId="0" applyFont="true" applyBorder="false" applyAlignment="false" applyProtection="false">
      <alignment horizontal="general" vertical="bottom" textRotation="0" wrapText="false" indent="0" shrinkToFit="false"/>
      <protection locked="true" hidden="false"/>
    </xf>
    <xf numFmtId="171" fontId="33" fillId="3" borderId="48" xfId="0" applyFont="true" applyBorder="true" applyAlignment="false" applyProtection="false">
      <alignment horizontal="general" vertical="bottom" textRotation="0" wrapText="false" indent="0" shrinkToFit="false"/>
      <protection locked="true" hidden="false"/>
    </xf>
    <xf numFmtId="164" fontId="32" fillId="3" borderId="33" xfId="0" applyFont="true" applyBorder="true" applyAlignment="false" applyProtection="false">
      <alignment horizontal="general" vertical="bottom" textRotation="0" wrapText="false" indent="0" shrinkToFit="false"/>
      <protection locked="true" hidden="false"/>
    </xf>
    <xf numFmtId="170" fontId="25" fillId="0" borderId="0" xfId="0" applyFont="true" applyBorder="false" applyAlignment="false" applyProtection="false">
      <alignment horizontal="general" vertical="bottom" textRotation="0" wrapText="false" indent="0" shrinkToFit="false"/>
      <protection locked="true" hidden="false"/>
    </xf>
    <xf numFmtId="179" fontId="25" fillId="0" borderId="0" xfId="0" applyFont="true" applyBorder="false" applyAlignment="false" applyProtection="false">
      <alignment horizontal="general" vertical="bottom" textRotation="0" wrapText="false" indent="0" shrinkToFit="false"/>
      <protection locked="true" hidden="false"/>
    </xf>
    <xf numFmtId="171" fontId="25" fillId="0" borderId="0" xfId="0" applyFont="true" applyBorder="false" applyAlignment="true" applyProtection="false">
      <alignment horizontal="center" vertical="bottom" textRotation="0" wrapText="false" indent="0" shrinkToFit="false"/>
      <protection locked="true" hidden="false"/>
    </xf>
    <xf numFmtId="172" fontId="25" fillId="0" borderId="0" xfId="0" applyFont="true" applyBorder="false" applyAlignment="true" applyProtection="false">
      <alignment horizontal="center" vertical="bottom" textRotation="0" wrapText="false" indent="0" shrinkToFit="false"/>
      <protection locked="true" hidden="false"/>
    </xf>
    <xf numFmtId="170" fontId="25" fillId="3" borderId="21" xfId="0" applyFont="true" applyBorder="true" applyAlignment="true" applyProtection="false">
      <alignment horizontal="center" vertical="center" textRotation="0" wrapText="true" indent="0" shrinkToFit="false"/>
      <protection locked="true" hidden="false"/>
    </xf>
    <xf numFmtId="179" fontId="25" fillId="3" borderId="21" xfId="0" applyFont="true" applyBorder="true" applyAlignment="true" applyProtection="false">
      <alignment horizontal="center" vertical="center" textRotation="0" wrapText="true" indent="0" shrinkToFit="false"/>
      <protection locked="true" hidden="false"/>
    </xf>
    <xf numFmtId="172" fontId="31" fillId="3" borderId="21" xfId="0" applyFont="true" applyBorder="true" applyAlignment="true" applyProtection="false">
      <alignment horizontal="center" vertical="bottom" textRotation="0" wrapText="false" indent="0" shrinkToFit="false"/>
      <protection locked="true" hidden="false"/>
    </xf>
    <xf numFmtId="171" fontId="31" fillId="3" borderId="21" xfId="0" applyFont="true" applyBorder="true" applyAlignment="true" applyProtection="false">
      <alignment horizontal="center" vertical="bottom" textRotation="0" wrapText="false" indent="0" shrinkToFit="false"/>
      <protection locked="true" hidden="false"/>
    </xf>
    <xf numFmtId="172" fontId="31" fillId="0" borderId="0" xfId="0" applyFont="true" applyBorder="false" applyAlignment="false" applyProtection="false">
      <alignment horizontal="general" vertical="bottom" textRotation="0" wrapText="false" indent="0" shrinkToFit="false"/>
      <protection locked="true" hidden="false"/>
    </xf>
    <xf numFmtId="172" fontId="25" fillId="3" borderId="21" xfId="0" applyFont="true" applyBorder="true" applyAlignment="true" applyProtection="false">
      <alignment horizontal="center" vertical="center" textRotation="0" wrapText="true" indent="0" shrinkToFit="false"/>
      <protection locked="true" hidden="false"/>
    </xf>
    <xf numFmtId="171" fontId="25" fillId="3" borderId="21" xfId="0" applyFont="true" applyBorder="true" applyAlignment="true" applyProtection="false">
      <alignment horizontal="center" vertical="center" textRotation="0" wrapText="true" indent="0" shrinkToFit="false"/>
      <protection locked="true" hidden="false"/>
    </xf>
    <xf numFmtId="172" fontId="25" fillId="0" borderId="0" xfId="0" applyFont="true" applyBorder="false" applyAlignment="true" applyProtection="false">
      <alignment horizontal="center" vertical="center" textRotation="0" wrapText="true" indent="0" shrinkToFit="false"/>
      <protection locked="true" hidden="false"/>
    </xf>
    <xf numFmtId="170" fontId="25" fillId="0" borderId="36" xfId="0" applyFont="true" applyBorder="true" applyAlignment="false" applyProtection="false">
      <alignment horizontal="general" vertical="bottom" textRotation="0" wrapText="false" indent="0" shrinkToFit="false"/>
      <protection locked="true" hidden="false"/>
    </xf>
    <xf numFmtId="179" fontId="25" fillId="0" borderId="37" xfId="0" applyFont="true" applyBorder="true" applyAlignment="false" applyProtection="false">
      <alignment horizontal="general" vertical="bottom" textRotation="0" wrapText="false" indent="0" shrinkToFit="false"/>
      <protection locked="true" hidden="false"/>
    </xf>
    <xf numFmtId="172" fontId="25" fillId="0" borderId="37" xfId="0" applyFont="true" applyBorder="true" applyAlignment="false" applyProtection="false">
      <alignment horizontal="general" vertical="bottom" textRotation="0" wrapText="false" indent="0" shrinkToFit="false"/>
      <protection locked="true" hidden="false"/>
    </xf>
    <xf numFmtId="171" fontId="25" fillId="0" borderId="37" xfId="0" applyFont="true" applyBorder="true" applyAlignment="true" applyProtection="false">
      <alignment horizontal="center" vertical="bottom" textRotation="0" wrapText="false" indent="0" shrinkToFit="false"/>
      <protection locked="true" hidden="false"/>
    </xf>
    <xf numFmtId="172" fontId="25" fillId="0" borderId="37" xfId="0" applyFont="true" applyBorder="true" applyAlignment="true" applyProtection="false">
      <alignment horizontal="center" vertical="bottom" textRotation="0" wrapText="false" indent="0" shrinkToFit="false"/>
      <protection locked="true" hidden="false"/>
    </xf>
    <xf numFmtId="172" fontId="25" fillId="0" borderId="38" xfId="0" applyFont="true" applyBorder="true" applyAlignment="false" applyProtection="false">
      <alignment horizontal="general" vertical="bottom" textRotation="0" wrapText="false" indent="0" shrinkToFit="false"/>
      <protection locked="true" hidden="false"/>
    </xf>
    <xf numFmtId="170" fontId="25" fillId="0" borderId="40" xfId="0" applyFont="true" applyBorder="true" applyAlignment="false" applyProtection="false">
      <alignment horizontal="general" vertical="bottom" textRotation="0" wrapText="false" indent="0" shrinkToFit="false"/>
      <protection locked="true" hidden="false"/>
    </xf>
    <xf numFmtId="172" fontId="25" fillId="0" borderId="39" xfId="0" applyFont="true" applyBorder="true" applyAlignment="false" applyProtection="false">
      <alignment horizontal="general" vertical="bottom" textRotation="0" wrapText="false" indent="0" shrinkToFit="false"/>
      <protection locked="true" hidden="false"/>
    </xf>
    <xf numFmtId="170" fontId="25" fillId="0" borderId="33" xfId="0" applyFont="true" applyBorder="true" applyAlignment="false" applyProtection="false">
      <alignment horizontal="general" vertical="bottom" textRotation="0" wrapText="false" indent="0" shrinkToFit="false"/>
      <protection locked="true" hidden="false"/>
    </xf>
    <xf numFmtId="179" fontId="25" fillId="0" borderId="34" xfId="0" applyFont="true" applyBorder="true" applyAlignment="false" applyProtection="false">
      <alignment horizontal="general" vertical="bottom" textRotation="0" wrapText="false" indent="0" shrinkToFit="false"/>
      <protection locked="true" hidden="false"/>
    </xf>
    <xf numFmtId="172" fontId="25" fillId="0" borderId="34" xfId="0" applyFont="true" applyBorder="true" applyAlignment="false" applyProtection="false">
      <alignment horizontal="general" vertical="bottom" textRotation="0" wrapText="false" indent="0" shrinkToFit="false"/>
      <protection locked="true" hidden="false"/>
    </xf>
    <xf numFmtId="171" fontId="25" fillId="0" borderId="34" xfId="0" applyFont="true" applyBorder="true" applyAlignment="true" applyProtection="false">
      <alignment horizontal="center" vertical="bottom" textRotation="0" wrapText="false" indent="0" shrinkToFit="false"/>
      <protection locked="true" hidden="false"/>
    </xf>
    <xf numFmtId="172" fontId="25" fillId="0" borderId="49" xfId="0" applyFont="true" applyBorder="true" applyAlignment="false" applyProtection="false">
      <alignment horizontal="general" vertical="bottom" textRotation="0" wrapText="false" indent="0" shrinkToFit="false"/>
      <protection locked="true" hidden="false"/>
    </xf>
    <xf numFmtId="172" fontId="25" fillId="0" borderId="50" xfId="0" applyFont="true" applyBorder="true" applyAlignment="false" applyProtection="false">
      <alignment horizontal="general" vertical="bottom" textRotation="0" wrapText="false" indent="0" shrinkToFit="false"/>
      <protection locked="true" hidden="false"/>
    </xf>
    <xf numFmtId="170" fontId="25" fillId="0" borderId="0" xfId="0" applyFont="true" applyBorder="false" applyAlignment="true" applyProtection="false">
      <alignment horizontal="center" vertical="bottom" textRotation="0" wrapText="false" indent="0" shrinkToFit="false"/>
      <protection locked="true" hidden="false"/>
    </xf>
    <xf numFmtId="164" fontId="25" fillId="0" borderId="0" xfId="0" applyFont="true" applyBorder="false" applyAlignment="true" applyProtection="false">
      <alignment horizontal="center" vertical="bottom" textRotation="0" wrapText="false" indent="0" shrinkToFit="false"/>
      <protection locked="true" hidden="false"/>
    </xf>
    <xf numFmtId="172" fontId="25" fillId="0" borderId="0" xfId="0" applyFont="true" applyBorder="false" applyAlignment="true" applyProtection="false">
      <alignment horizontal="right" vertical="bottom" textRotation="0" wrapText="false" indent="0" shrinkToFit="false"/>
      <protection locked="true" hidden="false"/>
    </xf>
    <xf numFmtId="172" fontId="32" fillId="3" borderId="21" xfId="0" applyFont="true" applyBorder="true" applyAlignment="true" applyProtection="false">
      <alignment horizontal="center" vertical="center" textRotation="0" wrapText="false" indent="0" shrinkToFit="false"/>
      <protection locked="true" hidden="false"/>
    </xf>
    <xf numFmtId="172" fontId="33" fillId="3" borderId="21" xfId="0" applyFont="true" applyBorder="true" applyAlignment="true" applyProtection="false">
      <alignment horizontal="center" vertical="center" textRotation="0" wrapText="true" indent="0" shrinkToFit="false"/>
      <protection locked="true" hidden="false"/>
    </xf>
    <xf numFmtId="164" fontId="39" fillId="3" borderId="21" xfId="0" applyFont="true" applyBorder="true" applyAlignment="true" applyProtection="false">
      <alignment horizontal="center" vertical="center" textRotation="0" wrapText="true" indent="0" shrinkToFit="false"/>
      <protection locked="true" hidden="false"/>
    </xf>
    <xf numFmtId="172" fontId="33" fillId="5" borderId="21" xfId="0" applyFont="true" applyBorder="true" applyAlignment="true" applyProtection="false">
      <alignment horizontal="center" vertical="bottom" textRotation="0" wrapText="false" indent="0" shrinkToFit="false"/>
      <protection locked="true" hidden="false"/>
    </xf>
    <xf numFmtId="172" fontId="32" fillId="5" borderId="21" xfId="0" applyFont="true" applyBorder="true" applyAlignment="false" applyProtection="false">
      <alignment horizontal="general" vertical="bottom" textRotation="0" wrapText="false" indent="0" shrinkToFit="false"/>
      <protection locked="true" hidden="false"/>
    </xf>
    <xf numFmtId="164" fontId="32" fillId="3" borderId="21" xfId="0" applyFont="true" applyBorder="true" applyAlignment="true" applyProtection="false">
      <alignment horizontal="center" vertical="center" textRotation="0" wrapText="true" indent="0" shrinkToFit="false"/>
      <protection locked="true" hidden="false"/>
    </xf>
    <xf numFmtId="172" fontId="33" fillId="3" borderId="26" xfId="0" applyFont="true" applyBorder="true" applyAlignment="true" applyProtection="false">
      <alignment horizontal="center" vertical="center" textRotation="0" wrapText="true" indent="0" shrinkToFit="false"/>
      <protection locked="true" hidden="false"/>
    </xf>
    <xf numFmtId="172" fontId="33" fillId="3" borderId="27" xfId="0" applyFont="true" applyBorder="true" applyAlignment="true" applyProtection="false">
      <alignment horizontal="center" vertical="center" textRotation="0" wrapText="true" indent="0" shrinkToFit="false"/>
      <protection locked="true" hidden="false"/>
    </xf>
    <xf numFmtId="172" fontId="32" fillId="5" borderId="21" xfId="0" applyFont="true" applyBorder="true" applyAlignment="true" applyProtection="false">
      <alignment horizontal="center" vertical="center" textRotation="0" wrapText="true" indent="0" shrinkToFit="false"/>
      <protection locked="true" hidden="false"/>
    </xf>
    <xf numFmtId="164" fontId="32" fillId="5" borderId="21" xfId="0" applyFont="true" applyBorder="true" applyAlignment="true" applyProtection="false">
      <alignment horizontal="center" vertical="center" textRotation="0" wrapText="true" indent="0" shrinkToFit="false"/>
      <protection locked="true" hidden="false"/>
    </xf>
    <xf numFmtId="170" fontId="32" fillId="3" borderId="24" xfId="0" applyFont="true" applyBorder="true" applyAlignment="true" applyProtection="false">
      <alignment horizontal="center" vertical="center" textRotation="0" wrapText="true" indent="0" shrinkToFit="false"/>
      <protection locked="true" hidden="false"/>
    </xf>
    <xf numFmtId="164" fontId="32" fillId="0" borderId="0" xfId="0" applyFont="true" applyBorder="false" applyAlignment="true" applyProtection="false">
      <alignment horizontal="center" vertical="center" textRotation="0" wrapText="false" indent="0" shrinkToFit="false"/>
      <protection locked="true" hidden="false"/>
    </xf>
    <xf numFmtId="170" fontId="32" fillId="3" borderId="21" xfId="0" applyFont="true" applyBorder="true" applyAlignment="true" applyProtection="false">
      <alignment horizontal="center" vertical="bottom" textRotation="0" wrapText="false" indent="0" shrinkToFit="false"/>
      <protection locked="true" hidden="false"/>
    </xf>
    <xf numFmtId="172" fontId="33" fillId="5" borderId="21" xfId="0" applyFont="true" applyBorder="true" applyAlignment="true" applyProtection="false">
      <alignment horizontal="center" vertical="center" textRotation="0" wrapText="true" indent="0" shrinkToFit="false"/>
      <protection locked="true" hidden="false"/>
    </xf>
    <xf numFmtId="164" fontId="33" fillId="0" borderId="0" xfId="0" applyFont="true" applyBorder="false" applyAlignment="true" applyProtection="false">
      <alignment horizontal="center" vertical="center" textRotation="0" wrapText="false" indent="0" shrinkToFit="false"/>
      <protection locked="true" hidden="false"/>
    </xf>
    <xf numFmtId="164" fontId="25" fillId="0" borderId="0" xfId="0" applyFont="true" applyBorder="false" applyAlignment="true" applyProtection="false">
      <alignment horizontal="left" vertical="bottom" textRotation="0" wrapText="false" indent="0" shrinkToFit="false"/>
      <protection locked="true" hidden="false"/>
    </xf>
    <xf numFmtId="171" fontId="25" fillId="3" borderId="21" xfId="0" applyFont="true" applyBorder="true" applyAlignment="true" applyProtection="false">
      <alignment horizontal="center" vertical="bottom" textRotation="0" wrapText="false" indent="0" shrinkToFit="false"/>
      <protection locked="true" hidden="false"/>
    </xf>
    <xf numFmtId="172" fontId="25" fillId="3" borderId="21" xfId="0" applyFont="true" applyBorder="true" applyAlignment="true" applyProtection="false">
      <alignment horizontal="center" vertical="center" textRotation="0" wrapText="false" indent="0" shrinkToFit="false"/>
      <protection locked="true" hidden="false"/>
    </xf>
    <xf numFmtId="172" fontId="31" fillId="3" borderId="21" xfId="0" applyFont="true" applyBorder="true" applyAlignment="true" applyProtection="false">
      <alignment horizontal="center" vertical="center" textRotation="0" wrapText="true" indent="0" shrinkToFit="false"/>
      <protection locked="true" hidden="false"/>
    </xf>
    <xf numFmtId="172" fontId="31" fillId="5" borderId="21" xfId="0" applyFont="true" applyBorder="true" applyAlignment="true" applyProtection="false">
      <alignment horizontal="center" vertical="bottom" textRotation="0" wrapText="false" indent="0" shrinkToFit="false"/>
      <protection locked="true" hidden="false"/>
    </xf>
    <xf numFmtId="172" fontId="25" fillId="5" borderId="21" xfId="0" applyFont="true" applyBorder="true" applyAlignment="false" applyProtection="false">
      <alignment horizontal="general" vertical="bottom" textRotation="0" wrapText="false" indent="0" shrinkToFit="false"/>
      <protection locked="true" hidden="false"/>
    </xf>
    <xf numFmtId="172" fontId="25" fillId="3" borderId="21" xfId="0" applyFont="true" applyBorder="true" applyAlignment="true" applyProtection="false">
      <alignment horizontal="center" vertical="bottom" textRotation="0" wrapText="false" indent="0" shrinkToFit="false"/>
      <protection locked="true" hidden="false"/>
    </xf>
    <xf numFmtId="170" fontId="11" fillId="0" borderId="0" xfId="0" applyFont="true" applyBorder="false" applyAlignment="true" applyProtection="true">
      <alignment horizontal="center" vertical="bottom" textRotation="0" wrapText="false" indent="0" shrinkToFit="false"/>
      <protection locked="true" hidden="true"/>
    </xf>
    <xf numFmtId="164" fontId="8" fillId="0" borderId="0" xfId="0" applyFont="true" applyBorder="false" applyAlignment="true" applyProtection="true">
      <alignment horizontal="center" vertical="bottom" textRotation="0" wrapText="false" indent="0" shrinkToFit="false"/>
      <protection locked="true" hidden="true"/>
    </xf>
    <xf numFmtId="170" fontId="11" fillId="3" borderId="34" xfId="0" applyFont="true" applyBorder="true" applyAlignment="true" applyProtection="true">
      <alignment horizontal="center" vertical="bottom" textRotation="0" wrapText="false" indent="0" shrinkToFit="false"/>
      <protection locked="true" hidden="true"/>
    </xf>
    <xf numFmtId="164" fontId="9" fillId="3" borderId="0" xfId="0" applyFont="true" applyBorder="true" applyAlignment="true" applyProtection="true">
      <alignment horizontal="center" vertical="bottom" textRotation="0" wrapText="false" indent="0" shrinkToFit="false"/>
      <protection locked="true" hidden="true"/>
    </xf>
    <xf numFmtId="164" fontId="9" fillId="3" borderId="0" xfId="0" applyFont="true" applyBorder="false" applyAlignment="true" applyProtection="true">
      <alignment horizontal="center" vertical="bottom" textRotation="0" wrapText="false" indent="0" shrinkToFit="false"/>
      <protection locked="true" hidden="true"/>
    </xf>
    <xf numFmtId="170" fontId="11" fillId="0" borderId="46" xfId="0" applyFont="true" applyBorder="true" applyAlignment="true" applyProtection="true">
      <alignment horizontal="center" vertical="bottom" textRotation="0" wrapText="false" indent="0" shrinkToFit="false"/>
      <protection locked="true" hidden="true"/>
    </xf>
    <xf numFmtId="164" fontId="9" fillId="0" borderId="21" xfId="0" applyFont="true" applyBorder="true" applyAlignment="true" applyProtection="true">
      <alignment horizontal="left" vertical="bottom" textRotation="0" wrapText="false" indent="1" shrinkToFit="false"/>
      <protection locked="true" hidden="true"/>
    </xf>
    <xf numFmtId="170" fontId="9" fillId="0" borderId="21" xfId="0" applyFont="true" applyBorder="true" applyAlignment="true" applyProtection="true">
      <alignment horizontal="center" vertical="bottom" textRotation="0" wrapText="false" indent="0" shrinkToFit="false"/>
      <protection locked="true" hidden="true"/>
    </xf>
    <xf numFmtId="164" fontId="9" fillId="0" borderId="21" xfId="0" applyFont="true" applyBorder="true" applyAlignment="true" applyProtection="true">
      <alignment horizontal="left" vertical="center" textRotation="0" wrapText="false" indent="1" shrinkToFit="false"/>
      <protection locked="true" hidden="true"/>
    </xf>
    <xf numFmtId="164" fontId="9" fillId="0" borderId="21" xfId="0" applyFont="true" applyBorder="true" applyAlignment="true" applyProtection="true">
      <alignment horizontal="center" vertical="bottom" textRotation="0" wrapText="false" indent="0" shrinkToFit="false"/>
      <protection locked="true" hidden="true"/>
    </xf>
    <xf numFmtId="164" fontId="8" fillId="3" borderId="0" xfId="0" applyFont="true" applyBorder="false" applyAlignment="true" applyProtection="true">
      <alignment horizontal="center" vertical="bottom" textRotation="0" wrapText="false" indent="0" shrinkToFit="false"/>
      <protection locked="true" hidden="true"/>
    </xf>
    <xf numFmtId="164" fontId="9" fillId="3" borderId="0" xfId="0" applyFont="true" applyBorder="false" applyAlignment="true" applyProtection="true">
      <alignment horizontal="center" vertical="center" textRotation="0" wrapText="false" indent="0" shrinkToFit="false"/>
      <protection locked="true" hidden="true"/>
    </xf>
    <xf numFmtId="170" fontId="11" fillId="0" borderId="23" xfId="0" applyFont="true" applyBorder="true" applyAlignment="true" applyProtection="true">
      <alignment horizontal="center" vertical="bottom" textRotation="0" wrapText="false" indent="0" shrinkToFit="false"/>
      <protection locked="true" hidden="true"/>
    </xf>
    <xf numFmtId="164" fontId="8" fillId="3" borderId="0" xfId="0" applyFont="true" applyBorder="true" applyAlignment="false" applyProtection="true">
      <alignment horizontal="general" vertical="bottom" textRotation="0" wrapText="false" indent="0" shrinkToFit="false"/>
      <protection locked="true" hidden="true"/>
    </xf>
    <xf numFmtId="175" fontId="8" fillId="0" borderId="21" xfId="0" applyFont="true" applyBorder="true" applyAlignment="true" applyProtection="true">
      <alignment horizontal="center" vertical="bottom" textRotation="0" wrapText="false" indent="0" shrinkToFit="false"/>
      <protection locked="true" hidden="true"/>
    </xf>
    <xf numFmtId="169" fontId="8" fillId="0" borderId="21" xfId="0" applyFont="true" applyBorder="true" applyAlignment="true" applyProtection="true">
      <alignment horizontal="center" vertical="bottom" textRotation="0" wrapText="false" indent="0" shrinkToFit="false"/>
      <protection locked="true" hidden="true"/>
    </xf>
    <xf numFmtId="164" fontId="8" fillId="0" borderId="21" xfId="0" applyFont="true" applyBorder="true" applyAlignment="true" applyProtection="true">
      <alignment horizontal="center" vertical="bottom" textRotation="0" wrapText="false" indent="0" shrinkToFit="false"/>
      <protection locked="true" hidden="true"/>
    </xf>
    <xf numFmtId="164" fontId="8" fillId="3" borderId="0" xfId="0" applyFont="true" applyBorder="false" applyAlignment="true" applyProtection="true">
      <alignment horizontal="center" vertical="center" textRotation="0" wrapText="true" indent="0" shrinkToFit="false"/>
      <protection locked="true" hidden="true"/>
    </xf>
    <xf numFmtId="164" fontId="8" fillId="3" borderId="0" xfId="0" applyFont="true" applyBorder="false" applyAlignment="true" applyProtection="true">
      <alignment horizontal="center" vertical="bottom" textRotation="0" wrapText="true" indent="0" shrinkToFit="false"/>
      <protection locked="true" hidden="true"/>
    </xf>
    <xf numFmtId="175" fontId="8" fillId="3" borderId="0" xfId="0" applyFont="true" applyBorder="false" applyAlignment="true" applyProtection="true">
      <alignment horizontal="center" vertical="bottom" textRotation="0" wrapText="false" indent="0" shrinkToFit="false"/>
      <protection locked="true" hidden="true"/>
    </xf>
    <xf numFmtId="173" fontId="8" fillId="0" borderId="21" xfId="0" applyFont="true" applyBorder="true" applyAlignment="true" applyProtection="true">
      <alignment horizontal="center" vertical="bottom" textRotation="0" wrapText="false" indent="0" shrinkToFit="false"/>
      <protection locked="true" hidden="true"/>
    </xf>
    <xf numFmtId="173" fontId="8" fillId="3" borderId="0" xfId="0" applyFont="true" applyBorder="false" applyAlignment="true" applyProtection="true">
      <alignment horizontal="center" vertical="bottom" textRotation="0" wrapText="false" indent="0" shrinkToFit="false"/>
      <protection locked="true" hidden="true"/>
    </xf>
    <xf numFmtId="164" fontId="8" fillId="3" borderId="0" xfId="0" applyFont="true" applyBorder="true" applyAlignment="true" applyProtection="true">
      <alignment horizontal="general" vertical="bottom" textRotation="0" wrapText="true" indent="0" shrinkToFit="false"/>
      <protection locked="true" hidden="true"/>
    </xf>
    <xf numFmtId="164" fontId="8" fillId="3" borderId="0" xfId="0" applyFont="true" applyBorder="true" applyAlignment="true" applyProtection="true">
      <alignment horizontal="left" vertical="center" textRotation="0" wrapText="true" indent="1" shrinkToFit="false"/>
      <protection locked="true" hidden="true"/>
    </xf>
    <xf numFmtId="180" fontId="8" fillId="0" borderId="21" xfId="0" applyFont="true" applyBorder="true" applyAlignment="true" applyProtection="true">
      <alignment horizontal="center" vertical="bottom" textRotation="0" wrapText="false" indent="0" shrinkToFit="false"/>
      <protection locked="true" hidden="true"/>
    </xf>
    <xf numFmtId="164" fontId="8" fillId="3" borderId="0" xfId="0" applyFont="true" applyBorder="false" applyAlignment="true" applyProtection="true">
      <alignment horizontal="general" vertical="bottom" textRotation="0" wrapText="true" indent="0" shrinkToFit="false"/>
      <protection locked="true" hidden="true"/>
    </xf>
    <xf numFmtId="170" fontId="11" fillId="3" borderId="0" xfId="0" applyFont="true" applyBorder="false" applyAlignment="true" applyProtection="true">
      <alignment horizontal="center" vertical="bottom" textRotation="0" wrapText="false" indent="0" shrinkToFit="false"/>
      <protection locked="true" hidden="tru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Normal 2" xfId="21"/>
    <cellStyle name="Normal 3" xfId="22"/>
    <cellStyle name="*unknown*" xfId="20" builtinId="8"/>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IW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82421875" defaultRowHeight="12.75" customHeight="false" zeroHeight="false" outlineLevelRow="0" outlineLevelCol="0"/>
  <cols>
    <col collapsed="false" customWidth="true" hidden="false" outlineLevel="0" max="1" min="1" style="0" width="3.49"/>
    <col collapsed="false" customWidth="true" hidden="false" outlineLevel="0" max="2" min="2" style="0" width="16.99"/>
    <col collapsed="false" customWidth="true" hidden="false" outlineLevel="0" max="5" min="3" style="0" width="23.15"/>
  </cols>
  <sheetData>
    <row r="2" customFormat="false" ht="12.75" hidden="false" customHeight="false" outlineLevel="0" collapsed="false">
      <c r="B2" s="1" t="s">
        <v>0</v>
      </c>
      <c r="C2" s="1"/>
      <c r="D2" s="1"/>
      <c r="E2" s="1"/>
    </row>
    <row r="3" customFormat="false" ht="15" hidden="false" customHeight="true" outlineLevel="0" collapsed="false">
      <c r="B3" s="2"/>
      <c r="C3" s="3"/>
      <c r="D3" s="3"/>
      <c r="E3" s="3"/>
    </row>
    <row r="4" customFormat="false" ht="54.75" hidden="false" customHeight="true" outlineLevel="0" collapsed="false">
      <c r="A4" s="4"/>
      <c r="B4" s="5" t="s">
        <v>1</v>
      </c>
      <c r="C4" s="5"/>
      <c r="D4" s="5"/>
      <c r="E4" s="5"/>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c r="EU4" s="4"/>
      <c r="EV4" s="4"/>
      <c r="EW4" s="4"/>
      <c r="EX4" s="4"/>
      <c r="EY4" s="4"/>
      <c r="EZ4" s="4"/>
      <c r="FA4" s="4"/>
      <c r="FB4" s="4"/>
      <c r="FC4" s="4"/>
      <c r="FD4" s="4"/>
      <c r="FE4" s="4"/>
      <c r="FF4" s="4"/>
      <c r="FG4" s="4"/>
      <c r="FH4" s="4"/>
      <c r="FI4" s="4"/>
      <c r="FJ4" s="4"/>
      <c r="FK4" s="4"/>
      <c r="FL4" s="4"/>
      <c r="FM4" s="4"/>
      <c r="FN4" s="4"/>
      <c r="FO4" s="4"/>
      <c r="FP4" s="4"/>
      <c r="FQ4" s="4"/>
      <c r="FR4" s="4"/>
      <c r="FS4" s="4"/>
      <c r="FT4" s="4"/>
      <c r="FU4" s="4"/>
      <c r="FV4" s="4"/>
      <c r="FW4" s="4"/>
      <c r="FX4" s="4"/>
      <c r="FY4" s="4"/>
      <c r="FZ4" s="4"/>
      <c r="GA4" s="4"/>
      <c r="GB4" s="4"/>
      <c r="GC4" s="4"/>
      <c r="GD4" s="4"/>
      <c r="GE4" s="4"/>
      <c r="GF4" s="4"/>
      <c r="GG4" s="4"/>
      <c r="GH4" s="4"/>
      <c r="GI4" s="4"/>
      <c r="GJ4" s="4"/>
      <c r="GK4" s="4"/>
      <c r="GL4" s="4"/>
      <c r="GM4" s="4"/>
      <c r="GN4" s="4"/>
      <c r="GO4" s="4"/>
      <c r="GP4" s="4"/>
      <c r="GQ4" s="4"/>
      <c r="GR4" s="4"/>
      <c r="GS4" s="4"/>
      <c r="GT4" s="4"/>
      <c r="GU4" s="4"/>
      <c r="GV4" s="4"/>
      <c r="GW4" s="4"/>
      <c r="GX4" s="4"/>
      <c r="GY4" s="4"/>
      <c r="GZ4" s="4"/>
      <c r="HA4" s="4"/>
      <c r="HB4" s="4"/>
      <c r="HC4" s="4"/>
      <c r="HD4" s="4"/>
      <c r="HE4" s="4"/>
      <c r="HF4" s="4"/>
      <c r="HG4" s="4"/>
      <c r="HH4" s="4"/>
      <c r="HI4" s="4"/>
      <c r="HJ4" s="4"/>
      <c r="HK4" s="4"/>
      <c r="HL4" s="4"/>
      <c r="HM4" s="4"/>
      <c r="HN4" s="4"/>
      <c r="HO4" s="4"/>
      <c r="HP4" s="4"/>
      <c r="HQ4" s="4"/>
      <c r="HR4" s="4"/>
      <c r="HS4" s="4"/>
      <c r="HT4" s="4"/>
      <c r="HU4" s="4"/>
      <c r="HV4" s="4"/>
      <c r="HW4" s="4"/>
      <c r="HX4" s="4"/>
      <c r="HY4" s="4"/>
      <c r="HZ4" s="4"/>
      <c r="IA4" s="4"/>
      <c r="IB4" s="4"/>
      <c r="IC4" s="4"/>
      <c r="ID4" s="4"/>
      <c r="IE4" s="4"/>
      <c r="IF4" s="4"/>
      <c r="IG4" s="4"/>
      <c r="IH4" s="4"/>
      <c r="II4" s="4"/>
      <c r="IJ4" s="4"/>
      <c r="IK4" s="4"/>
      <c r="IL4" s="4"/>
      <c r="IM4" s="4"/>
      <c r="IN4" s="4"/>
      <c r="IO4" s="4"/>
      <c r="IP4" s="4"/>
      <c r="IQ4" s="4"/>
      <c r="IR4" s="4"/>
      <c r="IS4" s="4"/>
      <c r="IT4" s="4"/>
      <c r="IU4" s="4"/>
      <c r="IV4" s="4"/>
      <c r="IW4" s="4"/>
    </row>
    <row r="5" customFormat="false" ht="15" hidden="false" customHeight="true" outlineLevel="0" collapsed="false">
      <c r="B5" s="3"/>
      <c r="C5" s="3"/>
      <c r="D5" s="3"/>
      <c r="E5" s="3"/>
    </row>
    <row r="6" customFormat="false" ht="12.75" hidden="false" customHeight="false" outlineLevel="0" collapsed="false">
      <c r="B6" s="6" t="s">
        <v>2</v>
      </c>
      <c r="C6" s="6" t="s">
        <v>3</v>
      </c>
      <c r="D6" s="6" t="s">
        <v>4</v>
      </c>
      <c r="E6" s="6" t="s">
        <v>5</v>
      </c>
    </row>
    <row r="7" customFormat="false" ht="12.75" hidden="false" customHeight="false" outlineLevel="0" collapsed="false">
      <c r="B7" s="3"/>
      <c r="C7" s="3"/>
      <c r="D7" s="3"/>
      <c r="E7" s="3"/>
    </row>
    <row r="8" customFormat="false" ht="12.75" hidden="false" customHeight="false" outlineLevel="0" collapsed="false">
      <c r="B8" s="7" t="str">
        <f aca="false">HYPERLINK("#'Business Details'!C5","Business Details")</f>
        <v>Business Details</v>
      </c>
      <c r="C8" s="8" t="str">
        <f aca="false">HYPERLINK("#'SalesApr'!E5","SalesApr")</f>
        <v>SalesApr</v>
      </c>
      <c r="D8" s="8" t="str">
        <f aca="false">HYPERLINK("#'PurchasesApr'!A5","PurchasesApr")</f>
        <v>PurchasesApr</v>
      </c>
      <c r="E8" s="7" t="str">
        <f aca="false">HYPERLINK("#'SE Short'!C8","SE Short")</f>
        <v>SE Short</v>
      </c>
      <c r="G8" s="0" t="s">
        <v>6</v>
      </c>
    </row>
    <row r="9" customFormat="false" ht="12.75" hidden="false" customHeight="false" outlineLevel="0" collapsed="false">
      <c r="B9" s="7" t="str">
        <f aca="false">HYPERLINK("#'Fixed Assets'!A7","Fixed Assets")</f>
        <v>Fixed Assets</v>
      </c>
      <c r="C9" s="8" t="str">
        <f aca="false">HYPERLINK("#'SalesMay'!E5","SalesMay")</f>
        <v>SalesMay</v>
      </c>
      <c r="D9" s="8" t="str">
        <f aca="false">HYPERLINK("#'PurchasesMay'!A5","PurchasesMay")</f>
        <v>PurchasesMay</v>
      </c>
      <c r="E9" s="7" t="str">
        <f aca="false">HYPERLINK("#'Profit &amp; Loss Acc'!A1","Profit &amp; Loss Acc")</f>
        <v>Profit &amp; Loss Acc</v>
      </c>
    </row>
    <row r="10" customFormat="false" ht="12.75" hidden="false" customHeight="false" outlineLevel="0" collapsed="false">
      <c r="B10" s="7"/>
      <c r="C10" s="8" t="str">
        <f aca="false">HYPERLINK("#'SalesJun'!E5","SalesJun")</f>
        <v>SalesJun</v>
      </c>
      <c r="D10" s="8" t="str">
        <f aca="false">HYPERLINK("#'PurchasesJun'!A5","PurchasesJun")</f>
        <v>PurchasesJun</v>
      </c>
      <c r="E10" s="7" t="str">
        <f aca="false">HYPERLINK("#'Draft Tax calculation'!D2","Draft Tax Calculation")</f>
        <v>Draft Tax Calculation</v>
      </c>
    </row>
    <row r="11" customFormat="false" ht="12.75" hidden="false" customHeight="false" outlineLevel="0" collapsed="false">
      <c r="B11" s="8"/>
      <c r="C11" s="8" t="str">
        <f aca="false">HYPERLINK("#'SalesJul'!E5","SalesJul")</f>
        <v>SalesJul</v>
      </c>
      <c r="D11" s="8" t="str">
        <f aca="false">HYPERLINK("#'PurchasesJul'!A5","PurchasesJul")</f>
        <v>PurchasesJul</v>
      </c>
      <c r="E11" s="7"/>
    </row>
    <row r="12" customFormat="false" ht="12.75" hidden="false" customHeight="false" outlineLevel="0" collapsed="false">
      <c r="B12" s="8"/>
      <c r="C12" s="8" t="str">
        <f aca="false">HYPERLINK("#'SalesAug'!E5","SalesAug")</f>
        <v>SalesAug</v>
      </c>
      <c r="D12" s="8" t="str">
        <f aca="false">HYPERLINK("#'PurchasesAug'!A5","PurchasesAug")</f>
        <v>PurchasesAug</v>
      </c>
      <c r="E12" s="7"/>
    </row>
    <row r="13" customFormat="false" ht="12.75" hidden="false" customHeight="false" outlineLevel="0" collapsed="false">
      <c r="B13" s="8"/>
      <c r="C13" s="8" t="str">
        <f aca="false">HYPERLINK("#'SalesSep'!E5","SalesSep")</f>
        <v>SalesSep</v>
      </c>
      <c r="D13" s="8" t="str">
        <f aca="false">HYPERLINK("#'PurchasesSep'!A5","PurchasesSep")</f>
        <v>PurchasesSep</v>
      </c>
      <c r="E13" s="7"/>
    </row>
    <row r="14" customFormat="false" ht="12.75" hidden="false" customHeight="false" outlineLevel="0" collapsed="false">
      <c r="B14" s="8"/>
      <c r="C14" s="8" t="str">
        <f aca="false">HYPERLINK("#'SalesOct'!E5","SalesOct")</f>
        <v>SalesOct</v>
      </c>
      <c r="D14" s="8" t="str">
        <f aca="false">HYPERLINK("#'PurchasesOct'!A5","PurchasesOct")</f>
        <v>PurchasesOct</v>
      </c>
      <c r="E14" s="7"/>
    </row>
    <row r="15" customFormat="false" ht="12.75" hidden="false" customHeight="false" outlineLevel="0" collapsed="false">
      <c r="B15" s="8"/>
      <c r="C15" s="8" t="str">
        <f aca="false">HYPERLINK("#'SalesNov'!E5","SalesNov")</f>
        <v>SalesNov</v>
      </c>
      <c r="D15" s="8" t="str">
        <f aca="false">HYPERLINK("#'PurchasesNov'!A5","PurchasesNov")</f>
        <v>PurchasesNov</v>
      </c>
      <c r="E15" s="7"/>
    </row>
    <row r="16" customFormat="false" ht="12.75" hidden="false" customHeight="false" outlineLevel="0" collapsed="false">
      <c r="B16" s="8"/>
      <c r="C16" s="8" t="str">
        <f aca="false">HYPERLINK("#'SalesDec'!E5","SalesDec")</f>
        <v>SalesDec</v>
      </c>
      <c r="D16" s="8" t="str">
        <f aca="false">HYPERLINK("#'PurchasesDec'!A5","PurchasesDec")</f>
        <v>PurchasesDec</v>
      </c>
      <c r="E16" s="7"/>
    </row>
    <row r="17" customFormat="false" ht="12.75" hidden="false" customHeight="false" outlineLevel="0" collapsed="false">
      <c r="B17" s="8"/>
      <c r="C17" s="8" t="str">
        <f aca="false">HYPERLINK("#'SalesJan'!E5","SalesJan")</f>
        <v>SalesJan</v>
      </c>
      <c r="D17" s="8" t="str">
        <f aca="false">HYPERLINK("#'PurchasesJan'!A5","PurchasesJan")</f>
        <v>PurchasesJan</v>
      </c>
      <c r="E17" s="3"/>
    </row>
    <row r="18" customFormat="false" ht="12.75" hidden="false" customHeight="false" outlineLevel="0" collapsed="false">
      <c r="B18" s="8"/>
      <c r="C18" s="8" t="str">
        <f aca="false">HYPERLINK("#'SalesFeb'!E5","SalesFeb")</f>
        <v>SalesFeb</v>
      </c>
      <c r="D18" s="8" t="str">
        <f aca="false">HYPERLINK("#'PurchasesFeb'!A5","PurchasesFeb")</f>
        <v>PurchasesFeb</v>
      </c>
      <c r="E18" s="3"/>
    </row>
    <row r="19" customFormat="false" ht="12.75" hidden="false" customHeight="false" outlineLevel="0" collapsed="false">
      <c r="B19" s="8"/>
      <c r="C19" s="8" t="str">
        <f aca="false">HYPERLINK("#'SalesMar'!E5","SalesMar")</f>
        <v>SalesMar</v>
      </c>
      <c r="D19" s="8" t="str">
        <f aca="false">HYPERLINK("#'PurchasesMar'!A5","PurchasesMar")</f>
        <v>PurchasesMar</v>
      </c>
      <c r="E19" s="3"/>
    </row>
    <row r="20" customFormat="false" ht="12.75" hidden="false" customHeight="false" outlineLevel="0" collapsed="false">
      <c r="B20" s="3"/>
      <c r="C20" s="3"/>
      <c r="D20" s="3"/>
      <c r="E20" s="3"/>
    </row>
    <row r="22" customFormat="false" ht="12.75" hidden="false" customHeight="true" outlineLevel="0" collapsed="false">
      <c r="B22" s="5" t="s">
        <v>7</v>
      </c>
      <c r="C22" s="5"/>
      <c r="D22" s="5"/>
      <c r="E22" s="5"/>
    </row>
    <row r="23" customFormat="false" ht="23.85" hidden="false" customHeight="true" outlineLevel="0" collapsed="false">
      <c r="B23" s="5" t="s">
        <v>8</v>
      </c>
      <c r="C23" s="5"/>
      <c r="D23" s="5"/>
      <c r="E23" s="5"/>
    </row>
  </sheetData>
  <mergeCells count="4">
    <mergeCell ref="B2:E2"/>
    <mergeCell ref="B4:E4"/>
    <mergeCell ref="B22:E22"/>
    <mergeCell ref="B23:E2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customHeight="false" zeroHeight="false" outlineLevelRow="0" outlineLevelCol="0"/>
  <cols>
    <col collapsed="false" customWidth="true" hidden="false" outlineLevel="0" max="1" min="1" style="9" width="3.66"/>
    <col collapsed="false" customWidth="true" hidden="false" outlineLevel="0" max="2" min="2" style="9" width="0.82"/>
    <col collapsed="false" customWidth="true" hidden="false" outlineLevel="0" max="3" min="3" style="9" width="3.66"/>
    <col collapsed="false" customWidth="true" hidden="false" outlineLevel="0" max="4" min="4" style="9" width="4.66"/>
    <col collapsed="false" customWidth="true" hidden="false" outlineLevel="0" max="5" min="5" style="9" width="1.66"/>
    <col collapsed="false" customWidth="true" hidden="false" outlineLevel="0" max="6" min="6" style="9" width="10.66"/>
    <col collapsed="false" customWidth="true" hidden="false" outlineLevel="0" max="7" min="7" style="9" width="1.66"/>
    <col collapsed="false" customWidth="true" hidden="false" outlineLevel="0" max="9" min="8" style="9" width="2.5"/>
    <col collapsed="false" customWidth="true" hidden="false" outlineLevel="0" max="11" min="10" style="9" width="6.66"/>
    <col collapsed="false" customWidth="true" hidden="false" outlineLevel="0" max="12" min="12" style="9" width="3.66"/>
    <col collapsed="false" customWidth="true" hidden="false" outlineLevel="0" max="13" min="13" style="9" width="0.82"/>
    <col collapsed="false" customWidth="true" hidden="false" outlineLevel="0" max="15" min="14" style="9" width="3.66"/>
    <col collapsed="false" customWidth="true" hidden="false" outlineLevel="0" max="17" min="16" style="9" width="6.66"/>
    <col collapsed="false" customWidth="true" hidden="false" outlineLevel="0" max="18" min="18" style="9" width="1.66"/>
    <col collapsed="false" customWidth="true" hidden="false" outlineLevel="0" max="20" min="19" style="9" width="2.5"/>
    <col collapsed="false" customWidth="true" hidden="false" outlineLevel="0" max="21" min="21" style="9" width="2.66"/>
    <col collapsed="false" customWidth="true" hidden="false" outlineLevel="0" max="22" min="22" style="9" width="7.66"/>
    <col collapsed="false" customWidth="true" hidden="false" outlineLevel="0" max="23" min="23" style="9" width="4.66"/>
    <col collapsed="false" customWidth="false" hidden="false" outlineLevel="0" max="257" min="24" style="9" width="9.15"/>
  </cols>
  <sheetData>
    <row r="1" customFormat="false" ht="15.75" hidden="false" customHeight="true" outlineLevel="0" collapsed="false">
      <c r="A1" s="10" t="s">
        <v>9</v>
      </c>
      <c r="B1" s="10"/>
      <c r="C1" s="10"/>
      <c r="D1" s="10"/>
      <c r="E1" s="10"/>
      <c r="F1" s="10"/>
      <c r="G1" s="10"/>
      <c r="H1" s="10"/>
      <c r="I1" s="10"/>
      <c r="J1" s="10"/>
      <c r="K1" s="10"/>
      <c r="L1" s="10"/>
      <c r="M1" s="10"/>
      <c r="N1" s="10"/>
      <c r="O1" s="10"/>
      <c r="P1" s="10"/>
      <c r="Q1" s="10"/>
      <c r="R1" s="10"/>
      <c r="S1" s="10"/>
      <c r="T1" s="10"/>
      <c r="U1" s="10"/>
      <c r="V1" s="10"/>
      <c r="W1" s="10"/>
    </row>
    <row r="2" customFormat="false" ht="3.75" hidden="false" customHeight="true" outlineLevel="0" collapsed="false">
      <c r="A2" s="11"/>
      <c r="B2" s="12"/>
      <c r="C2" s="12"/>
      <c r="D2" s="12"/>
      <c r="E2" s="12"/>
      <c r="F2" s="12"/>
      <c r="G2" s="12"/>
      <c r="H2" s="12"/>
      <c r="I2" s="12"/>
      <c r="J2" s="12"/>
      <c r="K2" s="12"/>
      <c r="L2" s="12"/>
      <c r="M2" s="12"/>
      <c r="N2" s="12"/>
      <c r="O2" s="12"/>
      <c r="P2" s="12"/>
      <c r="Q2" s="12"/>
      <c r="R2" s="12"/>
      <c r="S2" s="12"/>
      <c r="T2" s="12"/>
      <c r="U2" s="12"/>
      <c r="V2" s="12"/>
      <c r="W2" s="13"/>
    </row>
    <row r="3" customFormat="false" ht="12" hidden="false" customHeight="false" outlineLevel="0" collapsed="false">
      <c r="A3" s="14"/>
      <c r="B3" s="15"/>
      <c r="C3" s="16" t="s">
        <v>10</v>
      </c>
      <c r="D3" s="16"/>
      <c r="E3" s="16"/>
      <c r="F3" s="15"/>
      <c r="G3" s="15"/>
      <c r="H3" s="15"/>
      <c r="I3" s="15"/>
      <c r="J3" s="15"/>
      <c r="K3" s="15"/>
      <c r="L3" s="15"/>
      <c r="M3" s="15"/>
      <c r="N3" s="16" t="s">
        <v>11</v>
      </c>
      <c r="O3" s="16"/>
      <c r="P3" s="16"/>
      <c r="Q3" s="16"/>
      <c r="R3" s="16"/>
      <c r="S3" s="16"/>
      <c r="T3" s="16"/>
      <c r="U3" s="16"/>
      <c r="V3" s="16"/>
      <c r="W3" s="17"/>
    </row>
    <row r="4" customFormat="false" ht="7.5" hidden="false" customHeight="true" outlineLevel="0" collapsed="false">
      <c r="A4" s="14"/>
      <c r="B4" s="15"/>
      <c r="C4" s="16"/>
      <c r="D4" s="16"/>
      <c r="E4" s="16"/>
      <c r="F4" s="15"/>
      <c r="G4" s="15"/>
      <c r="H4" s="15"/>
      <c r="I4" s="15"/>
      <c r="J4" s="15"/>
      <c r="K4" s="15"/>
      <c r="L4" s="15"/>
      <c r="M4" s="15"/>
      <c r="N4" s="16"/>
      <c r="O4" s="16"/>
      <c r="P4" s="16"/>
      <c r="Q4" s="16"/>
      <c r="R4" s="16"/>
      <c r="S4" s="16"/>
      <c r="T4" s="16"/>
      <c r="U4" s="16"/>
      <c r="V4" s="16"/>
      <c r="W4" s="17"/>
    </row>
    <row r="5" customFormat="false" ht="15" hidden="false" customHeight="true" outlineLevel="0" collapsed="false">
      <c r="A5" s="14"/>
      <c r="B5" s="15"/>
      <c r="C5" s="18" t="s">
        <v>12</v>
      </c>
      <c r="D5" s="18"/>
      <c r="E5" s="18"/>
      <c r="F5" s="18"/>
      <c r="G5" s="18"/>
      <c r="H5" s="18"/>
      <c r="I5" s="18"/>
      <c r="J5" s="18"/>
      <c r="K5" s="15"/>
      <c r="L5" s="15"/>
      <c r="M5" s="15"/>
      <c r="N5" s="15"/>
      <c r="O5" s="19" t="s">
        <v>13</v>
      </c>
      <c r="P5" s="19"/>
      <c r="Q5" s="15"/>
      <c r="R5" s="19"/>
      <c r="S5" s="19"/>
      <c r="T5" s="19"/>
      <c r="U5" s="19"/>
      <c r="V5" s="15"/>
      <c r="W5" s="20"/>
    </row>
    <row r="6" customFormat="false" ht="6" hidden="false" customHeight="true" outlineLevel="0" collapsed="false">
      <c r="A6" s="14"/>
      <c r="B6" s="15"/>
      <c r="C6" s="15"/>
      <c r="D6" s="15"/>
      <c r="E6" s="15"/>
      <c r="F6" s="15"/>
      <c r="G6" s="15"/>
      <c r="H6" s="15"/>
      <c r="I6" s="15"/>
      <c r="J6" s="15"/>
      <c r="K6" s="15"/>
      <c r="L6" s="15"/>
      <c r="M6" s="15"/>
      <c r="N6" s="15"/>
      <c r="O6" s="15"/>
      <c r="P6" s="15"/>
      <c r="Q6" s="15"/>
      <c r="R6" s="15"/>
      <c r="S6" s="15"/>
      <c r="T6" s="15"/>
      <c r="U6" s="15"/>
      <c r="V6" s="15"/>
      <c r="W6" s="20"/>
    </row>
    <row r="7" customFormat="false" ht="12.65" hidden="false" customHeight="false" outlineLevel="0" collapsed="false">
      <c r="A7" s="21" t="n">
        <v>1</v>
      </c>
      <c r="B7" s="15"/>
      <c r="C7" s="16" t="s">
        <v>14</v>
      </c>
      <c r="D7" s="16"/>
      <c r="E7" s="16"/>
      <c r="F7" s="15"/>
      <c r="G7" s="15"/>
      <c r="H7" s="15"/>
      <c r="I7" s="15"/>
      <c r="J7" s="15"/>
      <c r="K7" s="15"/>
      <c r="L7" s="21" t="n">
        <v>4</v>
      </c>
      <c r="M7" s="15"/>
      <c r="N7" s="16" t="s">
        <v>15</v>
      </c>
      <c r="O7" s="16"/>
      <c r="P7" s="16"/>
      <c r="Q7" s="16"/>
      <c r="R7" s="22"/>
      <c r="S7" s="23"/>
      <c r="T7" s="23"/>
      <c r="U7" s="23"/>
      <c r="V7" s="16"/>
      <c r="W7" s="24"/>
    </row>
    <row r="8" customFormat="false" ht="15" hidden="false" customHeight="true" outlineLevel="0" collapsed="false">
      <c r="A8" s="25"/>
      <c r="B8" s="15"/>
      <c r="C8" s="18" t="s">
        <v>16</v>
      </c>
      <c r="D8" s="18"/>
      <c r="E8" s="18"/>
      <c r="F8" s="18"/>
      <c r="G8" s="18"/>
      <c r="H8" s="18"/>
      <c r="I8" s="18"/>
      <c r="J8" s="18"/>
      <c r="K8" s="15"/>
      <c r="L8" s="15"/>
      <c r="M8" s="15"/>
      <c r="N8" s="26" t="s">
        <v>17</v>
      </c>
      <c r="O8" s="16"/>
      <c r="P8" s="16"/>
      <c r="Q8" s="16"/>
      <c r="R8" s="16"/>
      <c r="S8" s="16"/>
      <c r="T8" s="16"/>
      <c r="U8" s="16"/>
      <c r="V8" s="16"/>
      <c r="W8" s="24"/>
    </row>
    <row r="9" customFormat="false" ht="7.5" hidden="false" customHeight="true" outlineLevel="0" collapsed="false">
      <c r="A9" s="25"/>
      <c r="B9" s="15"/>
      <c r="C9" s="15"/>
      <c r="D9" s="15"/>
      <c r="E9" s="15"/>
      <c r="F9" s="15"/>
      <c r="G9" s="15"/>
      <c r="H9" s="15"/>
      <c r="I9" s="15"/>
      <c r="J9" s="15"/>
      <c r="K9" s="15"/>
      <c r="L9" s="15"/>
      <c r="M9" s="15"/>
      <c r="N9" s="27"/>
      <c r="O9" s="27"/>
      <c r="P9" s="27"/>
      <c r="Q9" s="27"/>
      <c r="R9" s="15"/>
      <c r="S9" s="15"/>
      <c r="T9" s="15"/>
      <c r="U9" s="15"/>
      <c r="V9" s="15"/>
      <c r="W9" s="28"/>
    </row>
    <row r="10" customFormat="false" ht="15" hidden="false" customHeight="true" outlineLevel="0" collapsed="false">
      <c r="A10" s="25"/>
      <c r="B10" s="15"/>
      <c r="C10" s="18"/>
      <c r="D10" s="18"/>
      <c r="E10" s="18"/>
      <c r="F10" s="18"/>
      <c r="G10" s="18"/>
      <c r="H10" s="18"/>
      <c r="I10" s="18"/>
      <c r="J10" s="18"/>
      <c r="K10" s="15"/>
      <c r="L10" s="15"/>
      <c r="M10" s="15"/>
      <c r="N10" s="29"/>
      <c r="O10" s="27"/>
      <c r="P10" s="27"/>
      <c r="Q10" s="27"/>
      <c r="R10" s="15"/>
      <c r="S10" s="15"/>
      <c r="T10" s="15"/>
      <c r="U10" s="15"/>
      <c r="V10" s="15"/>
      <c r="W10" s="28"/>
    </row>
    <row r="11" customFormat="false" ht="7.5" hidden="false" customHeight="true" outlineLevel="0" collapsed="false">
      <c r="A11" s="25"/>
      <c r="B11" s="15"/>
      <c r="C11" s="15"/>
      <c r="D11" s="15"/>
      <c r="E11" s="15"/>
      <c r="F11" s="15"/>
      <c r="G11" s="15"/>
      <c r="H11" s="15"/>
      <c r="I11" s="15"/>
      <c r="J11" s="15"/>
      <c r="K11" s="15"/>
      <c r="L11" s="15"/>
      <c r="M11" s="15"/>
      <c r="N11" s="15"/>
      <c r="O11" s="15"/>
      <c r="P11" s="15"/>
      <c r="Q11" s="15"/>
      <c r="R11" s="15"/>
      <c r="S11" s="15"/>
      <c r="T11" s="15"/>
      <c r="U11" s="15"/>
      <c r="V11" s="15"/>
      <c r="W11" s="28"/>
    </row>
    <row r="12" customFormat="false" ht="15" hidden="false" customHeight="true" outlineLevel="0" collapsed="false">
      <c r="A12" s="25"/>
      <c r="B12" s="15"/>
      <c r="C12" s="18"/>
      <c r="D12" s="18"/>
      <c r="E12" s="18"/>
      <c r="F12" s="18"/>
      <c r="G12" s="18"/>
      <c r="H12" s="18"/>
      <c r="I12" s="18"/>
      <c r="J12" s="18"/>
      <c r="K12" s="15"/>
      <c r="L12" s="21" t="n">
        <v>5</v>
      </c>
      <c r="M12" s="15"/>
      <c r="N12" s="16" t="s">
        <v>18</v>
      </c>
      <c r="O12" s="16"/>
      <c r="P12" s="16"/>
      <c r="Q12" s="16"/>
      <c r="R12" s="22"/>
      <c r="S12" s="30" t="n">
        <f aca="false">Admin!B4</f>
        <v>46118</v>
      </c>
      <c r="T12" s="30"/>
      <c r="U12" s="30"/>
      <c r="V12" s="30"/>
      <c r="W12" s="24"/>
    </row>
    <row r="13" customFormat="false" ht="11.25" hidden="false" customHeight="true" outlineLevel="0" collapsed="false">
      <c r="A13" s="25"/>
      <c r="B13" s="15"/>
      <c r="C13" s="15"/>
      <c r="D13" s="15"/>
      <c r="E13" s="15"/>
      <c r="F13" s="15"/>
      <c r="G13" s="15"/>
      <c r="H13" s="15"/>
      <c r="I13" s="15"/>
      <c r="J13" s="15"/>
      <c r="K13" s="15"/>
      <c r="L13" s="15"/>
      <c r="M13" s="15"/>
      <c r="N13" s="31" t="s">
        <v>19</v>
      </c>
      <c r="O13" s="31"/>
      <c r="P13" s="31"/>
      <c r="Q13" s="31"/>
      <c r="R13" s="31"/>
      <c r="S13" s="31"/>
      <c r="T13" s="31"/>
      <c r="U13" s="31"/>
      <c r="V13" s="31"/>
      <c r="W13" s="32"/>
    </row>
    <row r="14" customFormat="false" ht="7.5" hidden="false" customHeight="true" outlineLevel="0" collapsed="false">
      <c r="A14" s="25"/>
      <c r="B14" s="15"/>
      <c r="C14" s="15"/>
      <c r="D14" s="15"/>
      <c r="E14" s="15"/>
      <c r="F14" s="15"/>
      <c r="G14" s="15"/>
      <c r="H14" s="15"/>
      <c r="I14" s="15"/>
      <c r="J14" s="15"/>
      <c r="K14" s="15"/>
      <c r="L14" s="15"/>
      <c r="M14" s="15"/>
      <c r="N14" s="15"/>
      <c r="O14" s="15"/>
      <c r="P14" s="15"/>
      <c r="Q14" s="15"/>
      <c r="R14" s="15"/>
      <c r="S14" s="15"/>
      <c r="T14" s="15"/>
      <c r="U14" s="15"/>
      <c r="V14" s="15"/>
      <c r="W14" s="28"/>
    </row>
    <row r="15" customFormat="false" ht="13.5" hidden="false" customHeight="false" outlineLevel="0" collapsed="false">
      <c r="A15" s="21" t="n">
        <v>2</v>
      </c>
      <c r="B15" s="15"/>
      <c r="C15" s="16" t="s">
        <v>20</v>
      </c>
      <c r="D15" s="16"/>
      <c r="E15" s="16"/>
      <c r="F15" s="15"/>
      <c r="G15" s="15"/>
      <c r="H15" s="15"/>
      <c r="I15" s="15"/>
      <c r="J15" s="15"/>
      <c r="K15" s="15"/>
      <c r="L15" s="15"/>
      <c r="M15" s="15"/>
      <c r="N15" s="33"/>
      <c r="O15" s="33"/>
      <c r="P15" s="33"/>
      <c r="Q15" s="33"/>
      <c r="R15" s="16"/>
      <c r="S15" s="16"/>
      <c r="T15" s="16"/>
      <c r="U15" s="16"/>
      <c r="V15" s="16"/>
      <c r="W15" s="24"/>
    </row>
    <row r="16" customFormat="false" ht="6" hidden="false" customHeight="true" outlineLevel="0" collapsed="false">
      <c r="A16" s="25"/>
      <c r="B16" s="15"/>
      <c r="C16" s="15"/>
      <c r="D16" s="15"/>
      <c r="E16" s="15"/>
      <c r="F16" s="15"/>
      <c r="G16" s="15"/>
      <c r="H16" s="15"/>
      <c r="I16" s="15"/>
      <c r="J16" s="15"/>
      <c r="K16" s="15"/>
      <c r="L16" s="15"/>
      <c r="M16" s="15"/>
      <c r="N16" s="15"/>
      <c r="O16" s="15"/>
      <c r="P16" s="15"/>
      <c r="Q16" s="15"/>
      <c r="R16" s="15"/>
      <c r="S16" s="15"/>
      <c r="T16" s="15"/>
      <c r="U16" s="15"/>
      <c r="V16" s="15"/>
      <c r="W16" s="28"/>
    </row>
    <row r="17" customFormat="false" ht="15" hidden="false" customHeight="true" outlineLevel="0" collapsed="false">
      <c r="A17" s="25"/>
      <c r="B17" s="15"/>
      <c r="C17" s="34" t="s">
        <v>21</v>
      </c>
      <c r="D17" s="34"/>
      <c r="E17" s="15"/>
      <c r="F17" s="35"/>
      <c r="G17" s="15"/>
      <c r="H17" s="15"/>
      <c r="I17" s="15"/>
      <c r="J17" s="15"/>
      <c r="K17" s="15"/>
      <c r="L17" s="15"/>
      <c r="M17" s="15"/>
      <c r="N17" s="16"/>
      <c r="O17" s="16"/>
      <c r="P17" s="16"/>
      <c r="Q17" s="16"/>
      <c r="R17" s="16"/>
      <c r="S17" s="16"/>
      <c r="T17" s="16"/>
      <c r="U17" s="16"/>
      <c r="V17" s="16"/>
      <c r="W17" s="24"/>
    </row>
    <row r="18" customFormat="false" ht="12" hidden="false" customHeight="false" outlineLevel="0" collapsed="false">
      <c r="A18" s="25"/>
      <c r="B18" s="15"/>
      <c r="C18" s="15"/>
      <c r="D18" s="15"/>
      <c r="E18" s="15"/>
      <c r="F18" s="15"/>
      <c r="G18" s="15"/>
      <c r="H18" s="15"/>
      <c r="I18" s="15"/>
      <c r="J18" s="15"/>
      <c r="K18" s="15"/>
      <c r="L18" s="21" t="n">
        <v>6</v>
      </c>
      <c r="M18" s="16"/>
      <c r="N18" s="16" t="s">
        <v>22</v>
      </c>
      <c r="O18" s="36"/>
      <c r="P18" s="16"/>
      <c r="Q18" s="16"/>
      <c r="R18" s="16"/>
      <c r="S18" s="30" t="n">
        <f aca="false">Admin!B17</f>
        <v>46482</v>
      </c>
      <c r="T18" s="30"/>
      <c r="U18" s="30"/>
      <c r="V18" s="30"/>
      <c r="W18" s="24"/>
    </row>
    <row r="19" customFormat="false" ht="12" hidden="false" customHeight="false" outlineLevel="0" collapsed="false">
      <c r="A19" s="21" t="n">
        <v>3</v>
      </c>
      <c r="B19" s="15"/>
      <c r="C19" s="16" t="s">
        <v>23</v>
      </c>
      <c r="D19" s="15"/>
      <c r="E19" s="15"/>
      <c r="F19" s="15"/>
      <c r="G19" s="15"/>
      <c r="H19" s="15"/>
      <c r="I19" s="15"/>
      <c r="J19" s="15"/>
      <c r="K19" s="15"/>
      <c r="L19" s="15"/>
      <c r="M19" s="16"/>
      <c r="N19" s="26" t="s">
        <v>24</v>
      </c>
      <c r="O19" s="27"/>
      <c r="P19" s="27"/>
      <c r="Q19" s="27"/>
      <c r="R19" s="15"/>
      <c r="S19" s="15"/>
      <c r="T19" s="15"/>
      <c r="U19" s="15"/>
      <c r="V19" s="15"/>
      <c r="W19" s="28"/>
    </row>
    <row r="20" customFormat="false" ht="12" hidden="false" customHeight="false" outlineLevel="0" collapsed="false">
      <c r="A20" s="25"/>
      <c r="B20" s="15"/>
      <c r="C20" s="16" t="s">
        <v>25</v>
      </c>
      <c r="D20" s="15"/>
      <c r="E20" s="15"/>
      <c r="F20" s="15"/>
      <c r="G20" s="15"/>
      <c r="H20" s="15"/>
      <c r="I20" s="15"/>
      <c r="J20" s="15"/>
      <c r="K20" s="15"/>
      <c r="L20" s="15"/>
      <c r="M20" s="15"/>
      <c r="N20" s="27"/>
      <c r="O20" s="27"/>
      <c r="P20" s="27"/>
      <c r="Q20" s="27"/>
      <c r="R20" s="15"/>
      <c r="S20" s="15"/>
      <c r="T20" s="15"/>
      <c r="U20" s="15"/>
      <c r="V20" s="15"/>
      <c r="W20" s="28"/>
    </row>
    <row r="21" customFormat="false" ht="13.5" hidden="false" customHeight="false" outlineLevel="0" collapsed="false">
      <c r="A21" s="25"/>
      <c r="B21" s="15"/>
      <c r="C21" s="26" t="s">
        <v>26</v>
      </c>
      <c r="D21" s="27"/>
      <c r="E21" s="27"/>
      <c r="F21" s="27"/>
      <c r="G21" s="27"/>
      <c r="H21" s="27"/>
      <c r="I21" s="27"/>
      <c r="J21" s="27"/>
      <c r="K21" s="27"/>
      <c r="L21" s="15"/>
      <c r="M21" s="15"/>
      <c r="N21" s="33"/>
      <c r="O21" s="33"/>
      <c r="P21" s="33"/>
      <c r="Q21" s="33"/>
      <c r="R21" s="15"/>
      <c r="S21" s="15"/>
      <c r="T21" s="15"/>
      <c r="U21" s="15"/>
      <c r="V21" s="15"/>
      <c r="W21" s="28"/>
    </row>
    <row r="22" customFormat="false" ht="9.75" hidden="false" customHeight="true" outlineLevel="0" collapsed="false">
      <c r="A22" s="25"/>
      <c r="B22" s="15"/>
      <c r="C22" s="26" t="s">
        <v>27</v>
      </c>
      <c r="D22" s="15"/>
      <c r="E22" s="15"/>
      <c r="F22" s="15"/>
      <c r="G22" s="15"/>
      <c r="H22" s="15"/>
      <c r="I22" s="15"/>
      <c r="J22" s="15"/>
      <c r="K22" s="15"/>
      <c r="L22" s="15"/>
      <c r="M22" s="15"/>
      <c r="N22" s="27"/>
      <c r="O22" s="27"/>
      <c r="P22" s="27"/>
      <c r="Q22" s="27"/>
      <c r="R22" s="15"/>
      <c r="S22" s="15"/>
      <c r="T22" s="15"/>
      <c r="U22" s="15"/>
      <c r="V22" s="15"/>
      <c r="W22" s="28"/>
    </row>
    <row r="23" customFormat="false" ht="12" hidden="false" customHeight="false" outlineLevel="0" collapsed="false">
      <c r="A23" s="25"/>
      <c r="B23" s="15"/>
      <c r="C23" s="27"/>
      <c r="D23" s="15"/>
      <c r="E23" s="15"/>
      <c r="F23" s="15"/>
      <c r="G23" s="15"/>
      <c r="H23" s="15"/>
      <c r="I23" s="15"/>
      <c r="J23" s="15"/>
      <c r="K23" s="15"/>
      <c r="L23" s="21" t="n">
        <v>7</v>
      </c>
      <c r="M23" s="15"/>
      <c r="N23" s="26" t="s">
        <v>28</v>
      </c>
      <c r="O23" s="27"/>
      <c r="P23" s="27"/>
      <c r="Q23" s="27"/>
      <c r="R23" s="15"/>
      <c r="S23" s="15"/>
      <c r="T23" s="15"/>
      <c r="U23" s="15"/>
      <c r="V23" s="15"/>
      <c r="W23" s="28"/>
    </row>
    <row r="24" customFormat="false" ht="15" hidden="false" customHeight="true" outlineLevel="0" collapsed="false">
      <c r="A24" s="25"/>
      <c r="B24" s="15"/>
      <c r="C24" s="37"/>
      <c r="D24" s="15"/>
      <c r="E24" s="15"/>
      <c r="F24" s="15"/>
      <c r="G24" s="15"/>
      <c r="H24" s="15"/>
      <c r="I24" s="15"/>
      <c r="J24" s="15"/>
      <c r="K24" s="15"/>
      <c r="L24" s="15"/>
      <c r="M24" s="15"/>
      <c r="N24" s="38" t="s">
        <v>29</v>
      </c>
      <c r="O24" s="27"/>
      <c r="P24" s="27"/>
      <c r="Q24" s="27"/>
      <c r="R24" s="15"/>
      <c r="S24" s="15"/>
      <c r="T24" s="15"/>
      <c r="U24" s="15"/>
      <c r="V24" s="15"/>
      <c r="W24" s="28"/>
    </row>
    <row r="25" customFormat="false" ht="15" hidden="false" customHeight="true" outlineLevel="0" collapsed="false">
      <c r="A25" s="25"/>
      <c r="B25" s="15"/>
      <c r="C25" s="15"/>
      <c r="D25" s="15"/>
      <c r="E25" s="15"/>
      <c r="F25" s="15"/>
      <c r="G25" s="15"/>
      <c r="H25" s="15"/>
      <c r="I25" s="15"/>
      <c r="J25" s="15"/>
      <c r="K25" s="15"/>
      <c r="L25" s="15"/>
      <c r="M25" s="15"/>
      <c r="N25" s="33" t="n">
        <f aca="false">Admin!B17</f>
        <v>46482</v>
      </c>
      <c r="O25" s="33"/>
      <c r="P25" s="33"/>
      <c r="Q25" s="33"/>
      <c r="R25" s="15"/>
      <c r="S25" s="15"/>
      <c r="T25" s="15"/>
      <c r="U25" s="15"/>
      <c r="V25" s="15"/>
      <c r="W25" s="28"/>
    </row>
    <row r="26" customFormat="false" ht="12" hidden="false" customHeight="true" outlineLevel="0" collapsed="false">
      <c r="A26" s="25"/>
      <c r="B26" s="15"/>
      <c r="C26" s="15"/>
      <c r="D26" s="15"/>
      <c r="E26" s="15"/>
      <c r="F26" s="15"/>
      <c r="G26" s="15"/>
      <c r="H26" s="15"/>
      <c r="I26" s="15"/>
      <c r="J26" s="15"/>
      <c r="K26" s="15"/>
      <c r="L26" s="15"/>
      <c r="M26" s="15"/>
      <c r="N26" s="38"/>
      <c r="O26" s="27"/>
      <c r="P26" s="27"/>
      <c r="Q26" s="27"/>
      <c r="R26" s="15"/>
      <c r="S26" s="15"/>
      <c r="T26" s="15"/>
      <c r="U26" s="15"/>
      <c r="V26" s="15"/>
      <c r="W26" s="28"/>
    </row>
    <row r="27" customFormat="false" ht="12" hidden="false" customHeight="false" outlineLevel="0" collapsed="false">
      <c r="A27" s="21" t="n">
        <v>26</v>
      </c>
      <c r="B27" s="15"/>
      <c r="C27" s="39" t="s">
        <v>30</v>
      </c>
      <c r="D27" s="15"/>
      <c r="E27" s="15"/>
      <c r="F27" s="15"/>
      <c r="G27" s="15"/>
      <c r="H27" s="15"/>
      <c r="I27" s="15"/>
      <c r="J27" s="15"/>
      <c r="K27" s="15"/>
      <c r="L27" s="21" t="n">
        <v>24</v>
      </c>
      <c r="M27" s="15"/>
      <c r="N27" s="39" t="s">
        <v>31</v>
      </c>
      <c r="O27" s="16"/>
      <c r="P27" s="16"/>
      <c r="Q27" s="16"/>
      <c r="R27" s="16"/>
      <c r="S27" s="16"/>
      <c r="T27" s="16"/>
      <c r="U27" s="16"/>
      <c r="V27" s="16"/>
      <c r="W27" s="28"/>
    </row>
    <row r="28" customFormat="false" ht="12" hidden="false" customHeight="true" outlineLevel="0" collapsed="false">
      <c r="A28" s="16"/>
      <c r="B28" s="15"/>
      <c r="C28" s="15"/>
      <c r="D28" s="15"/>
      <c r="E28" s="15"/>
      <c r="F28" s="15"/>
      <c r="G28" s="15"/>
      <c r="H28" s="15"/>
      <c r="I28" s="15"/>
      <c r="J28" s="15"/>
      <c r="K28" s="15"/>
      <c r="L28" s="16"/>
      <c r="M28" s="15"/>
      <c r="N28" s="36" t="s">
        <v>32</v>
      </c>
      <c r="O28" s="16"/>
      <c r="P28" s="16"/>
      <c r="Q28" s="16"/>
      <c r="R28" s="16"/>
      <c r="S28" s="16"/>
      <c r="T28" s="16"/>
      <c r="U28" s="16"/>
      <c r="V28" s="16"/>
      <c r="W28" s="28"/>
    </row>
    <row r="29" customFormat="false" ht="15" hidden="false" customHeight="true" outlineLevel="0" collapsed="false">
      <c r="A29" s="15"/>
      <c r="B29" s="15"/>
      <c r="C29" s="40" t="s">
        <v>33</v>
      </c>
      <c r="D29" s="41"/>
      <c r="E29" s="41"/>
      <c r="F29" s="41"/>
      <c r="G29" s="42" t="s">
        <v>34</v>
      </c>
      <c r="H29" s="43" t="n">
        <v>0</v>
      </c>
      <c r="I29" s="43" t="n">
        <v>0</v>
      </c>
      <c r="J29" s="15"/>
      <c r="K29" s="15"/>
      <c r="L29" s="16"/>
      <c r="M29" s="15"/>
      <c r="N29" s="40" t="s">
        <v>33</v>
      </c>
      <c r="O29" s="41"/>
      <c r="P29" s="41"/>
      <c r="Q29" s="41"/>
      <c r="R29" s="42" t="s">
        <v>34</v>
      </c>
      <c r="S29" s="43" t="n">
        <v>0</v>
      </c>
      <c r="T29" s="43" t="n">
        <v>0</v>
      </c>
      <c r="U29" s="16"/>
      <c r="V29" s="16"/>
      <c r="W29" s="28"/>
    </row>
    <row r="30" customFormat="false" ht="7.5" hidden="false" customHeight="true" outlineLevel="0" collapsed="false">
      <c r="A30" s="15"/>
      <c r="B30" s="15"/>
      <c r="C30" s="44"/>
      <c r="D30" s="45"/>
      <c r="E30" s="45"/>
      <c r="F30" s="45"/>
      <c r="G30" s="42"/>
      <c r="H30" s="46"/>
      <c r="I30" s="46"/>
      <c r="J30" s="15"/>
      <c r="K30" s="15"/>
      <c r="L30" s="15"/>
      <c r="M30" s="15"/>
      <c r="N30" s="15"/>
      <c r="O30" s="15"/>
      <c r="P30" s="15"/>
      <c r="Q30" s="15"/>
      <c r="R30" s="15"/>
      <c r="S30" s="15"/>
      <c r="T30" s="15"/>
      <c r="U30" s="15"/>
      <c r="V30" s="15"/>
      <c r="W30" s="28"/>
    </row>
    <row r="31" customFormat="false" ht="12" hidden="false" customHeight="true" outlineLevel="0" collapsed="false">
      <c r="A31" s="27"/>
      <c r="B31" s="27"/>
      <c r="C31" s="26" t="s">
        <v>35</v>
      </c>
      <c r="D31" s="45"/>
      <c r="E31" s="45"/>
      <c r="F31" s="45"/>
      <c r="G31" s="42"/>
      <c r="H31" s="46"/>
      <c r="I31" s="46"/>
      <c r="J31" s="27"/>
      <c r="K31" s="27"/>
      <c r="L31" s="27"/>
      <c r="M31" s="27"/>
      <c r="N31" s="26" t="s">
        <v>36</v>
      </c>
      <c r="O31" s="27"/>
      <c r="P31" s="27"/>
      <c r="Q31" s="27"/>
      <c r="R31" s="27"/>
      <c r="S31" s="27"/>
      <c r="T31" s="27"/>
      <c r="U31" s="27"/>
      <c r="V31" s="27"/>
      <c r="W31" s="47"/>
      <c r="X31" s="48"/>
      <c r="Y31" s="48"/>
      <c r="Z31" s="48"/>
      <c r="AA31" s="48"/>
      <c r="AB31" s="48"/>
      <c r="AC31" s="48"/>
      <c r="AD31" s="48"/>
      <c r="AE31" s="48"/>
      <c r="AF31" s="48"/>
      <c r="AG31" s="48"/>
      <c r="AH31" s="48"/>
      <c r="AI31" s="48"/>
      <c r="AJ31" s="48"/>
      <c r="AK31" s="48"/>
      <c r="AL31" s="48"/>
      <c r="AM31" s="48"/>
      <c r="AN31" s="48"/>
      <c r="AO31" s="48"/>
      <c r="AP31" s="48"/>
      <c r="AQ31" s="48"/>
      <c r="AR31" s="48"/>
      <c r="AS31" s="48"/>
      <c r="AT31" s="48"/>
      <c r="AU31" s="48"/>
      <c r="AV31" s="48"/>
      <c r="AW31" s="48"/>
      <c r="AX31" s="48"/>
      <c r="AY31" s="48"/>
      <c r="AZ31" s="48"/>
      <c r="BA31" s="48"/>
      <c r="BB31" s="48"/>
      <c r="BC31" s="48"/>
      <c r="BD31" s="48"/>
      <c r="BE31" s="48"/>
      <c r="BF31" s="48"/>
      <c r="BG31" s="48"/>
      <c r="BH31" s="48"/>
      <c r="BI31" s="48"/>
      <c r="BJ31" s="48"/>
      <c r="BK31" s="48"/>
      <c r="BL31" s="48"/>
      <c r="BM31" s="48"/>
      <c r="BN31" s="48"/>
      <c r="BO31" s="48"/>
      <c r="BP31" s="48"/>
      <c r="BQ31" s="48"/>
      <c r="BR31" s="48"/>
      <c r="BS31" s="48"/>
      <c r="BT31" s="48"/>
      <c r="BU31" s="48"/>
      <c r="BV31" s="48"/>
      <c r="BW31" s="48"/>
      <c r="BX31" s="48"/>
      <c r="BY31" s="48"/>
      <c r="BZ31" s="48"/>
      <c r="CA31" s="48"/>
      <c r="CB31" s="48"/>
      <c r="CC31" s="48"/>
      <c r="CD31" s="48"/>
      <c r="CE31" s="48"/>
      <c r="CF31" s="48"/>
      <c r="CG31" s="48"/>
      <c r="CH31" s="48"/>
      <c r="CI31" s="48"/>
      <c r="CJ31" s="48"/>
      <c r="CK31" s="48"/>
      <c r="CL31" s="48"/>
      <c r="CM31" s="48"/>
      <c r="CN31" s="48"/>
      <c r="CO31" s="48"/>
      <c r="CP31" s="48"/>
      <c r="CQ31" s="48"/>
      <c r="CR31" s="48"/>
      <c r="CS31" s="48"/>
      <c r="CT31" s="48"/>
      <c r="CU31" s="48"/>
      <c r="CV31" s="48"/>
      <c r="CW31" s="48"/>
      <c r="CX31" s="48"/>
      <c r="CY31" s="48"/>
      <c r="CZ31" s="48"/>
      <c r="DA31" s="48"/>
      <c r="DB31" s="48"/>
      <c r="DC31" s="48"/>
      <c r="DD31" s="48"/>
      <c r="DE31" s="48"/>
      <c r="DF31" s="48"/>
      <c r="DG31" s="48"/>
      <c r="DH31" s="48"/>
      <c r="DI31" s="48"/>
      <c r="DJ31" s="48"/>
      <c r="DK31" s="48"/>
      <c r="DL31" s="48"/>
      <c r="DM31" s="48"/>
      <c r="DN31" s="48"/>
      <c r="DO31" s="48"/>
      <c r="DP31" s="48"/>
      <c r="DQ31" s="48"/>
      <c r="DR31" s="48"/>
      <c r="DS31" s="48"/>
      <c r="DT31" s="48"/>
      <c r="DU31" s="48"/>
      <c r="DV31" s="48"/>
      <c r="DW31" s="48"/>
      <c r="DX31" s="48"/>
      <c r="DY31" s="48"/>
      <c r="DZ31" s="48"/>
      <c r="EA31" s="48"/>
      <c r="EB31" s="48"/>
      <c r="EC31" s="48"/>
      <c r="ED31" s="48"/>
      <c r="EE31" s="48"/>
      <c r="EF31" s="48"/>
      <c r="EG31" s="48"/>
      <c r="EH31" s="48"/>
      <c r="EI31" s="48"/>
      <c r="EJ31" s="48"/>
      <c r="EK31" s="48"/>
      <c r="EL31" s="48"/>
      <c r="EM31" s="48"/>
      <c r="EN31" s="48"/>
      <c r="EO31" s="48"/>
      <c r="EP31" s="48"/>
      <c r="EQ31" s="48"/>
      <c r="ER31" s="48"/>
      <c r="ES31" s="48"/>
      <c r="ET31" s="48"/>
      <c r="EU31" s="48"/>
      <c r="EV31" s="48"/>
      <c r="EW31" s="48"/>
      <c r="EX31" s="48"/>
      <c r="EY31" s="48"/>
      <c r="EZ31" s="48"/>
      <c r="FA31" s="48"/>
      <c r="FB31" s="48"/>
      <c r="FC31" s="48"/>
      <c r="FD31" s="48"/>
      <c r="FE31" s="48"/>
      <c r="FF31" s="48"/>
      <c r="FG31" s="48"/>
      <c r="FH31" s="48"/>
      <c r="FI31" s="48"/>
      <c r="FJ31" s="48"/>
      <c r="FK31" s="48"/>
      <c r="FL31" s="48"/>
      <c r="FM31" s="48"/>
      <c r="FN31" s="48"/>
      <c r="FO31" s="48"/>
      <c r="FP31" s="48"/>
      <c r="FQ31" s="48"/>
      <c r="FR31" s="48"/>
      <c r="FS31" s="48"/>
      <c r="FT31" s="48"/>
      <c r="FU31" s="48"/>
      <c r="FV31" s="48"/>
      <c r="FW31" s="48"/>
      <c r="FX31" s="48"/>
      <c r="FY31" s="48"/>
      <c r="FZ31" s="48"/>
      <c r="GA31" s="48"/>
      <c r="GB31" s="48"/>
      <c r="GC31" s="48"/>
      <c r="GD31" s="48"/>
      <c r="GE31" s="48"/>
      <c r="GF31" s="48"/>
      <c r="GG31" s="48"/>
      <c r="GH31" s="48"/>
      <c r="GI31" s="48"/>
      <c r="GJ31" s="48"/>
      <c r="GK31" s="48"/>
      <c r="GL31" s="48"/>
      <c r="GM31" s="48"/>
      <c r="GN31" s="48"/>
      <c r="GO31" s="48"/>
      <c r="GP31" s="48"/>
      <c r="GQ31" s="48"/>
      <c r="GR31" s="48"/>
      <c r="GS31" s="48"/>
      <c r="GT31" s="48"/>
      <c r="GU31" s="48"/>
      <c r="GV31" s="48"/>
      <c r="GW31" s="48"/>
      <c r="GX31" s="48"/>
      <c r="GY31" s="48"/>
      <c r="GZ31" s="48"/>
      <c r="HA31" s="48"/>
      <c r="HB31" s="48"/>
      <c r="HC31" s="48"/>
      <c r="HD31" s="48"/>
      <c r="HE31" s="48"/>
      <c r="HF31" s="48"/>
      <c r="HG31" s="48"/>
      <c r="HH31" s="48"/>
      <c r="HI31" s="48"/>
      <c r="HJ31" s="48"/>
      <c r="HK31" s="48"/>
      <c r="HL31" s="48"/>
      <c r="HM31" s="48"/>
      <c r="HN31" s="48"/>
      <c r="HO31" s="48"/>
      <c r="HP31" s="48"/>
      <c r="HQ31" s="48"/>
      <c r="HR31" s="48"/>
      <c r="HS31" s="48"/>
      <c r="HT31" s="48"/>
      <c r="HU31" s="48"/>
      <c r="HV31" s="48"/>
      <c r="HW31" s="48"/>
      <c r="HX31" s="48"/>
      <c r="HY31" s="48"/>
      <c r="HZ31" s="48"/>
      <c r="IA31" s="48"/>
      <c r="IB31" s="48"/>
      <c r="IC31" s="48"/>
      <c r="ID31" s="48"/>
      <c r="IE31" s="48"/>
      <c r="IF31" s="48"/>
      <c r="IG31" s="48"/>
      <c r="IH31" s="48"/>
      <c r="II31" s="48"/>
      <c r="IJ31" s="48"/>
      <c r="IK31" s="48"/>
      <c r="IL31" s="48"/>
      <c r="IM31" s="48"/>
      <c r="IN31" s="48"/>
      <c r="IO31" s="48"/>
      <c r="IP31" s="48"/>
      <c r="IQ31" s="48"/>
      <c r="IR31" s="48"/>
      <c r="IS31" s="48"/>
      <c r="IT31" s="48"/>
      <c r="IU31" s="48"/>
      <c r="IV31" s="48"/>
      <c r="IW31" s="48"/>
    </row>
    <row r="32" customFormat="false" ht="12" hidden="false" customHeight="true" outlineLevel="0" collapsed="false">
      <c r="A32" s="27"/>
      <c r="B32" s="27"/>
      <c r="C32" s="49" t="s">
        <v>37</v>
      </c>
      <c r="D32" s="45"/>
      <c r="E32" s="45"/>
      <c r="F32" s="45"/>
      <c r="G32" s="42"/>
      <c r="H32" s="46"/>
      <c r="I32" s="46"/>
      <c r="J32" s="27"/>
      <c r="K32" s="27"/>
      <c r="L32" s="27"/>
      <c r="M32" s="27"/>
      <c r="N32" s="49" t="s">
        <v>37</v>
      </c>
      <c r="O32" s="45"/>
      <c r="P32" s="45"/>
      <c r="Q32" s="45"/>
      <c r="R32" s="42"/>
      <c r="S32" s="46"/>
      <c r="T32" s="46"/>
      <c r="U32" s="27"/>
      <c r="V32" s="27"/>
      <c r="W32" s="47"/>
      <c r="X32" s="48"/>
      <c r="Y32" s="48"/>
      <c r="Z32" s="48"/>
      <c r="AA32" s="48"/>
      <c r="AB32" s="48"/>
      <c r="AC32" s="48"/>
      <c r="AD32" s="48"/>
      <c r="AE32" s="48"/>
      <c r="AF32" s="48"/>
      <c r="AG32" s="48"/>
      <c r="AH32" s="48"/>
      <c r="AI32" s="48"/>
      <c r="AJ32" s="48"/>
      <c r="AK32" s="48"/>
      <c r="AL32" s="48"/>
      <c r="AM32" s="48"/>
      <c r="AN32" s="48"/>
      <c r="AO32" s="48"/>
      <c r="AP32" s="48"/>
      <c r="AQ32" s="48"/>
      <c r="AR32" s="48"/>
      <c r="AS32" s="48"/>
      <c r="AT32" s="48"/>
      <c r="AU32" s="48"/>
      <c r="AV32" s="48"/>
      <c r="AW32" s="48"/>
      <c r="AX32" s="48"/>
      <c r="AY32" s="48"/>
      <c r="AZ32" s="48"/>
      <c r="BA32" s="48"/>
      <c r="BB32" s="48"/>
      <c r="BC32" s="48"/>
      <c r="BD32" s="48"/>
      <c r="BE32" s="48"/>
      <c r="BF32" s="48"/>
      <c r="BG32" s="48"/>
      <c r="BH32" s="48"/>
      <c r="BI32" s="48"/>
      <c r="BJ32" s="48"/>
      <c r="BK32" s="48"/>
      <c r="BL32" s="48"/>
      <c r="BM32" s="48"/>
      <c r="BN32" s="48"/>
      <c r="BO32" s="48"/>
      <c r="BP32" s="48"/>
      <c r="BQ32" s="48"/>
      <c r="BR32" s="48"/>
      <c r="BS32" s="48"/>
      <c r="BT32" s="48"/>
      <c r="BU32" s="48"/>
      <c r="BV32" s="48"/>
      <c r="BW32" s="48"/>
      <c r="BX32" s="48"/>
      <c r="BY32" s="48"/>
      <c r="BZ32" s="48"/>
      <c r="CA32" s="48"/>
      <c r="CB32" s="48"/>
      <c r="CC32" s="48"/>
      <c r="CD32" s="48"/>
      <c r="CE32" s="48"/>
      <c r="CF32" s="48"/>
      <c r="CG32" s="48"/>
      <c r="CH32" s="48"/>
      <c r="CI32" s="48"/>
      <c r="CJ32" s="48"/>
      <c r="CK32" s="48"/>
      <c r="CL32" s="48"/>
      <c r="CM32" s="48"/>
      <c r="CN32" s="48"/>
      <c r="CO32" s="48"/>
      <c r="CP32" s="48"/>
      <c r="CQ32" s="48"/>
      <c r="CR32" s="48"/>
      <c r="CS32" s="48"/>
      <c r="CT32" s="48"/>
      <c r="CU32" s="48"/>
      <c r="CV32" s="48"/>
      <c r="CW32" s="48"/>
      <c r="CX32" s="48"/>
      <c r="CY32" s="48"/>
      <c r="CZ32" s="48"/>
      <c r="DA32" s="48"/>
      <c r="DB32" s="48"/>
      <c r="DC32" s="48"/>
      <c r="DD32" s="48"/>
      <c r="DE32" s="48"/>
      <c r="DF32" s="48"/>
      <c r="DG32" s="48"/>
      <c r="DH32" s="48"/>
      <c r="DI32" s="48"/>
      <c r="DJ32" s="48"/>
      <c r="DK32" s="48"/>
      <c r="DL32" s="48"/>
      <c r="DM32" s="48"/>
      <c r="DN32" s="48"/>
      <c r="DO32" s="48"/>
      <c r="DP32" s="48"/>
      <c r="DQ32" s="48"/>
      <c r="DR32" s="48"/>
      <c r="DS32" s="48"/>
      <c r="DT32" s="48"/>
      <c r="DU32" s="48"/>
      <c r="DV32" s="48"/>
      <c r="DW32" s="48"/>
      <c r="DX32" s="48"/>
      <c r="DY32" s="48"/>
      <c r="DZ32" s="48"/>
      <c r="EA32" s="48"/>
      <c r="EB32" s="48"/>
      <c r="EC32" s="48"/>
      <c r="ED32" s="48"/>
      <c r="EE32" s="48"/>
      <c r="EF32" s="48"/>
      <c r="EG32" s="48"/>
      <c r="EH32" s="48"/>
      <c r="EI32" s="48"/>
      <c r="EJ32" s="48"/>
      <c r="EK32" s="48"/>
      <c r="EL32" s="48"/>
      <c r="EM32" s="48"/>
      <c r="EN32" s="48"/>
      <c r="EO32" s="48"/>
      <c r="EP32" s="48"/>
      <c r="EQ32" s="48"/>
      <c r="ER32" s="48"/>
      <c r="ES32" s="48"/>
      <c r="ET32" s="48"/>
      <c r="EU32" s="48"/>
      <c r="EV32" s="48"/>
      <c r="EW32" s="48"/>
      <c r="EX32" s="48"/>
      <c r="EY32" s="48"/>
      <c r="EZ32" s="48"/>
      <c r="FA32" s="48"/>
      <c r="FB32" s="48"/>
      <c r="FC32" s="48"/>
      <c r="FD32" s="48"/>
      <c r="FE32" s="48"/>
      <c r="FF32" s="48"/>
      <c r="FG32" s="48"/>
      <c r="FH32" s="48"/>
      <c r="FI32" s="48"/>
      <c r="FJ32" s="48"/>
      <c r="FK32" s="48"/>
      <c r="FL32" s="48"/>
      <c r="FM32" s="48"/>
      <c r="FN32" s="48"/>
      <c r="FO32" s="48"/>
      <c r="FP32" s="48"/>
      <c r="FQ32" s="48"/>
      <c r="FR32" s="48"/>
      <c r="FS32" s="48"/>
      <c r="FT32" s="48"/>
      <c r="FU32" s="48"/>
      <c r="FV32" s="48"/>
      <c r="FW32" s="48"/>
      <c r="FX32" s="48"/>
      <c r="FY32" s="48"/>
      <c r="FZ32" s="48"/>
      <c r="GA32" s="48"/>
      <c r="GB32" s="48"/>
      <c r="GC32" s="48"/>
      <c r="GD32" s="48"/>
      <c r="GE32" s="48"/>
      <c r="GF32" s="48"/>
      <c r="GG32" s="48"/>
      <c r="GH32" s="48"/>
      <c r="GI32" s="48"/>
      <c r="GJ32" s="48"/>
      <c r="GK32" s="48"/>
      <c r="GL32" s="48"/>
      <c r="GM32" s="48"/>
      <c r="GN32" s="48"/>
      <c r="GO32" s="48"/>
      <c r="GP32" s="48"/>
      <c r="GQ32" s="48"/>
      <c r="GR32" s="48"/>
      <c r="GS32" s="48"/>
      <c r="GT32" s="48"/>
      <c r="GU32" s="48"/>
      <c r="GV32" s="48"/>
      <c r="GW32" s="48"/>
      <c r="GX32" s="48"/>
      <c r="GY32" s="48"/>
      <c r="GZ32" s="48"/>
      <c r="HA32" s="48"/>
      <c r="HB32" s="48"/>
      <c r="HC32" s="48"/>
      <c r="HD32" s="48"/>
      <c r="HE32" s="48"/>
      <c r="HF32" s="48"/>
      <c r="HG32" s="48"/>
      <c r="HH32" s="48"/>
      <c r="HI32" s="48"/>
      <c r="HJ32" s="48"/>
      <c r="HK32" s="48"/>
      <c r="HL32" s="48"/>
      <c r="HM32" s="48"/>
      <c r="HN32" s="48"/>
      <c r="HO32" s="48"/>
      <c r="HP32" s="48"/>
      <c r="HQ32" s="48"/>
      <c r="HR32" s="48"/>
      <c r="HS32" s="48"/>
      <c r="HT32" s="48"/>
      <c r="HU32" s="48"/>
      <c r="HV32" s="48"/>
      <c r="HW32" s="48"/>
      <c r="HX32" s="48"/>
      <c r="HY32" s="48"/>
      <c r="HZ32" s="48"/>
      <c r="IA32" s="48"/>
      <c r="IB32" s="48"/>
      <c r="IC32" s="48"/>
      <c r="ID32" s="48"/>
      <c r="IE32" s="48"/>
      <c r="IF32" s="48"/>
      <c r="IG32" s="48"/>
      <c r="IH32" s="48"/>
      <c r="II32" s="48"/>
      <c r="IJ32" s="48"/>
      <c r="IK32" s="48"/>
      <c r="IL32" s="48"/>
      <c r="IM32" s="48"/>
      <c r="IN32" s="48"/>
      <c r="IO32" s="48"/>
      <c r="IP32" s="48"/>
      <c r="IQ32" s="48"/>
      <c r="IR32" s="48"/>
      <c r="IS32" s="48"/>
      <c r="IT32" s="48"/>
      <c r="IU32" s="48"/>
      <c r="IV32" s="48"/>
      <c r="IW32" s="48"/>
    </row>
    <row r="33" customFormat="false" ht="3.75" hidden="false" customHeight="true" outlineLevel="0" collapsed="false">
      <c r="A33" s="25"/>
      <c r="B33" s="15"/>
      <c r="C33" s="15"/>
      <c r="D33" s="15"/>
      <c r="E33" s="15"/>
      <c r="F33" s="15"/>
      <c r="G33" s="15"/>
      <c r="H33" s="15"/>
      <c r="I33" s="15"/>
      <c r="J33" s="15"/>
      <c r="K33" s="15"/>
      <c r="L33" s="15"/>
      <c r="M33" s="15"/>
      <c r="N33" s="27"/>
      <c r="O33" s="27"/>
      <c r="P33" s="27"/>
      <c r="Q33" s="27"/>
      <c r="R33" s="15"/>
      <c r="S33" s="15"/>
      <c r="T33" s="15"/>
      <c r="U33" s="15"/>
      <c r="V33" s="15"/>
      <c r="W33" s="28"/>
    </row>
    <row r="34" customFormat="false" ht="15" hidden="false" customHeight="true" outlineLevel="0" collapsed="false">
      <c r="A34" s="15"/>
      <c r="B34" s="15"/>
      <c r="C34" s="40" t="s">
        <v>33</v>
      </c>
      <c r="D34" s="50" t="n">
        <f aca="false">'SE Short'!O94</f>
        <v>0</v>
      </c>
      <c r="E34" s="50"/>
      <c r="F34" s="50"/>
      <c r="G34" s="42" t="s">
        <v>34</v>
      </c>
      <c r="H34" s="43" t="n">
        <v>0</v>
      </c>
      <c r="I34" s="43" t="n">
        <v>0</v>
      </c>
      <c r="J34" s="15"/>
      <c r="K34" s="15"/>
      <c r="L34" s="15"/>
      <c r="M34" s="15"/>
      <c r="N34" s="40" t="s">
        <v>33</v>
      </c>
      <c r="O34" s="50" t="n">
        <f aca="false">D29-D34+'SE Short'!O106</f>
        <v>0</v>
      </c>
      <c r="P34" s="50"/>
      <c r="Q34" s="50"/>
      <c r="R34" s="42" t="s">
        <v>34</v>
      </c>
      <c r="S34" s="43" t="n">
        <v>0</v>
      </c>
      <c r="T34" s="43" t="n">
        <v>0</v>
      </c>
      <c r="U34" s="15"/>
      <c r="V34" s="15"/>
      <c r="W34" s="28"/>
    </row>
    <row r="35" customFormat="false" ht="7.5" hidden="false" customHeight="true" outlineLevel="0" collapsed="false">
      <c r="A35" s="51"/>
      <c r="B35" s="52"/>
      <c r="C35" s="52"/>
      <c r="D35" s="52"/>
      <c r="E35" s="52"/>
      <c r="F35" s="52"/>
      <c r="G35" s="52"/>
      <c r="H35" s="52"/>
      <c r="I35" s="52"/>
      <c r="J35" s="52"/>
      <c r="K35" s="52"/>
      <c r="L35" s="52"/>
      <c r="M35" s="52"/>
      <c r="N35" s="52"/>
      <c r="O35" s="52"/>
      <c r="P35" s="52"/>
      <c r="Q35" s="52"/>
      <c r="R35" s="52"/>
      <c r="S35" s="52"/>
      <c r="T35" s="52"/>
      <c r="U35" s="52"/>
      <c r="V35" s="52"/>
      <c r="W35" s="53"/>
    </row>
  </sheetData>
  <mergeCells count="18">
    <mergeCell ref="A1:W1"/>
    <mergeCell ref="C5:J5"/>
    <mergeCell ref="O5:P5"/>
    <mergeCell ref="R5:U5"/>
    <mergeCell ref="C8:J8"/>
    <mergeCell ref="C10:J10"/>
    <mergeCell ref="C12:J12"/>
    <mergeCell ref="S12:V12"/>
    <mergeCell ref="N13:V13"/>
    <mergeCell ref="N15:Q15"/>
    <mergeCell ref="C17:D17"/>
    <mergeCell ref="S18:V18"/>
    <mergeCell ref="N21:Q21"/>
    <mergeCell ref="N25:Q25"/>
    <mergeCell ref="D29:F29"/>
    <mergeCell ref="O29:Q29"/>
    <mergeCell ref="D34:F34"/>
    <mergeCell ref="O34:Q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1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customHeight="false" zeroHeight="false" outlineLevelRow="0" outlineLevelCol="0"/>
  <cols>
    <col collapsed="false" customWidth="true" hidden="false" outlineLevel="0" max="1" min="1" style="54" width="3.66"/>
    <col collapsed="false" customWidth="true" hidden="false" outlineLevel="0" max="2" min="2" style="54" width="0.82"/>
    <col collapsed="false" customWidth="true" hidden="false" outlineLevel="0" max="3" min="3" style="54" width="3.66"/>
    <col collapsed="false" customWidth="true" hidden="false" outlineLevel="0" max="4" min="4" style="54" width="4.66"/>
    <col collapsed="false" customWidth="true" hidden="false" outlineLevel="0" max="5" min="5" style="54" width="1.66"/>
    <col collapsed="false" customWidth="true" hidden="false" outlineLevel="0" max="6" min="6" style="54" width="10.66"/>
    <col collapsed="false" customWidth="true" hidden="false" outlineLevel="0" max="7" min="7" style="54" width="1.66"/>
    <col collapsed="false" customWidth="true" hidden="false" outlineLevel="0" max="9" min="8" style="54" width="2.5"/>
    <col collapsed="false" customWidth="true" hidden="false" outlineLevel="0" max="11" min="10" style="54" width="6.66"/>
    <col collapsed="false" customWidth="true" hidden="false" outlineLevel="0" max="12" min="12" style="54" width="3.66"/>
    <col collapsed="false" customWidth="true" hidden="false" outlineLevel="0" max="13" min="13" style="54" width="0.82"/>
    <col collapsed="false" customWidth="true" hidden="false" outlineLevel="0" max="15" min="14" style="54" width="3.66"/>
    <col collapsed="false" customWidth="true" hidden="false" outlineLevel="0" max="17" min="16" style="54" width="6.66"/>
    <col collapsed="false" customWidth="true" hidden="false" outlineLevel="0" max="18" min="18" style="54" width="1.66"/>
    <col collapsed="false" customWidth="true" hidden="false" outlineLevel="0" max="19" min="19" style="54" width="2.5"/>
    <col collapsed="false" customWidth="true" hidden="false" outlineLevel="0" max="20" min="20" style="54" width="12.15"/>
    <col collapsed="false" customWidth="true" hidden="false" outlineLevel="0" max="21" min="21" style="54" width="2.66"/>
    <col collapsed="false" customWidth="true" hidden="false" outlineLevel="0" max="22" min="22" style="54" width="7.66"/>
    <col collapsed="false" customWidth="true" hidden="false" outlineLevel="0" max="23" min="23" style="54" width="14.82"/>
    <col collapsed="false" customWidth="false" hidden="false" outlineLevel="0" max="257" min="24" style="54" width="9.15"/>
  </cols>
  <sheetData>
    <row r="1" customFormat="false" ht="30" hidden="false" customHeight="true" outlineLevel="0" collapsed="false">
      <c r="A1" s="55" t="s">
        <v>38</v>
      </c>
      <c r="B1" s="55"/>
      <c r="C1" s="55"/>
      <c r="D1" s="55"/>
      <c r="E1" s="55"/>
      <c r="F1" s="55"/>
      <c r="G1" s="56" t="s">
        <v>39</v>
      </c>
      <c r="H1" s="56"/>
      <c r="I1" s="56"/>
      <c r="J1" s="56"/>
      <c r="K1" s="56"/>
      <c r="L1" s="56"/>
      <c r="M1" s="56"/>
      <c r="N1" s="56"/>
      <c r="O1" s="57" t="s">
        <v>40</v>
      </c>
      <c r="P1" s="57"/>
      <c r="Q1" s="57"/>
      <c r="R1" s="57"/>
      <c r="S1" s="57"/>
      <c r="T1" s="57"/>
      <c r="U1" s="57"/>
      <c r="V1" s="57"/>
      <c r="W1" s="57"/>
    </row>
    <row r="2" customFormat="false" ht="30" hidden="false" customHeight="true" outlineLevel="0" collapsed="false">
      <c r="A2" s="55"/>
      <c r="B2" s="55"/>
      <c r="C2" s="55"/>
      <c r="D2" s="55"/>
      <c r="E2" s="55"/>
      <c r="F2" s="55"/>
      <c r="G2" s="56"/>
      <c r="H2" s="56"/>
      <c r="I2" s="56"/>
      <c r="J2" s="56"/>
      <c r="K2" s="56"/>
      <c r="L2" s="56"/>
      <c r="M2" s="56"/>
      <c r="N2" s="56"/>
      <c r="O2" s="58" t="s">
        <v>41</v>
      </c>
      <c r="P2" s="58"/>
      <c r="Q2" s="59" t="n">
        <f aca="false">Admin!B4</f>
        <v>46118</v>
      </c>
      <c r="R2" s="59"/>
      <c r="S2" s="59"/>
      <c r="T2" s="59"/>
      <c r="U2" s="60" t="s">
        <v>42</v>
      </c>
      <c r="V2" s="59" t="n">
        <f aca="false">Admin!B17</f>
        <v>46482</v>
      </c>
      <c r="W2" s="59"/>
    </row>
    <row r="3" customFormat="false" ht="8.25" hidden="false" customHeight="true" outlineLevel="0" collapsed="false">
      <c r="A3" s="61"/>
      <c r="B3" s="61"/>
      <c r="C3" s="61"/>
      <c r="D3" s="61"/>
      <c r="E3" s="61"/>
      <c r="F3" s="61"/>
      <c r="G3" s="61"/>
      <c r="H3" s="61"/>
      <c r="I3" s="61"/>
      <c r="J3" s="61"/>
      <c r="K3" s="61"/>
      <c r="L3" s="61"/>
      <c r="M3" s="61"/>
      <c r="N3" s="61"/>
      <c r="O3" s="61"/>
      <c r="P3" s="61"/>
      <c r="Q3" s="61"/>
      <c r="R3" s="61"/>
      <c r="S3" s="61"/>
      <c r="T3" s="61"/>
      <c r="U3" s="61"/>
      <c r="V3" s="61"/>
      <c r="W3" s="61"/>
    </row>
    <row r="4" customFormat="false" ht="9.75" hidden="false" customHeight="true" outlineLevel="0" collapsed="false">
      <c r="A4" s="62"/>
      <c r="B4" s="62"/>
      <c r="C4" s="62"/>
      <c r="D4" s="62"/>
      <c r="E4" s="62"/>
      <c r="F4" s="62"/>
      <c r="G4" s="62"/>
      <c r="H4" s="62"/>
      <c r="I4" s="62"/>
      <c r="J4" s="62"/>
      <c r="K4" s="62"/>
      <c r="L4" s="62"/>
      <c r="M4" s="62"/>
      <c r="N4" s="62"/>
      <c r="O4" s="62"/>
      <c r="P4" s="62"/>
      <c r="Q4" s="62"/>
      <c r="R4" s="62"/>
      <c r="S4" s="62"/>
      <c r="T4" s="62"/>
      <c r="U4" s="62"/>
      <c r="V4" s="62"/>
      <c r="W4" s="62"/>
    </row>
    <row r="5" customFormat="false" ht="6" hidden="false" customHeight="true" outlineLevel="0" collapsed="false">
      <c r="A5" s="63"/>
      <c r="B5" s="64"/>
      <c r="C5" s="64"/>
      <c r="D5" s="64"/>
      <c r="E5" s="64"/>
      <c r="F5" s="64"/>
      <c r="G5" s="64"/>
      <c r="H5" s="64"/>
      <c r="I5" s="64"/>
      <c r="J5" s="64"/>
      <c r="K5" s="64"/>
      <c r="L5" s="64"/>
      <c r="M5" s="64"/>
      <c r="N5" s="64"/>
      <c r="O5" s="64"/>
      <c r="P5" s="64"/>
      <c r="Q5" s="64"/>
      <c r="R5" s="64"/>
      <c r="S5" s="64"/>
      <c r="T5" s="64"/>
      <c r="U5" s="64"/>
      <c r="V5" s="64"/>
      <c r="W5" s="65"/>
    </row>
    <row r="6" customFormat="false" ht="12" hidden="false" customHeight="false" outlineLevel="0" collapsed="false">
      <c r="A6" s="66"/>
      <c r="B6" s="67"/>
      <c r="C6" s="68" t="s">
        <v>10</v>
      </c>
      <c r="D6" s="68"/>
      <c r="E6" s="68"/>
      <c r="F6" s="67"/>
      <c r="G6" s="67"/>
      <c r="H6" s="67"/>
      <c r="I6" s="67"/>
      <c r="J6" s="67"/>
      <c r="K6" s="67"/>
      <c r="L6" s="67"/>
      <c r="M6" s="67"/>
      <c r="N6" s="68" t="s">
        <v>11</v>
      </c>
      <c r="O6" s="68"/>
      <c r="P6" s="68"/>
      <c r="Q6" s="68"/>
      <c r="R6" s="68"/>
      <c r="S6" s="68"/>
      <c r="T6" s="68"/>
      <c r="U6" s="68"/>
      <c r="V6" s="68"/>
      <c r="W6" s="69"/>
    </row>
    <row r="7" customFormat="false" ht="7.5" hidden="false" customHeight="true" outlineLevel="0" collapsed="false">
      <c r="A7" s="66"/>
      <c r="B7" s="67"/>
      <c r="C7" s="68"/>
      <c r="D7" s="68"/>
      <c r="E7" s="68"/>
      <c r="F7" s="67"/>
      <c r="G7" s="67"/>
      <c r="H7" s="67"/>
      <c r="I7" s="67"/>
      <c r="J7" s="67"/>
      <c r="K7" s="67"/>
      <c r="L7" s="67"/>
      <c r="M7" s="67"/>
      <c r="N7" s="68"/>
      <c r="O7" s="68"/>
      <c r="P7" s="68"/>
      <c r="Q7" s="68"/>
      <c r="R7" s="68"/>
      <c r="S7" s="68"/>
      <c r="T7" s="68"/>
      <c r="U7" s="68"/>
      <c r="V7" s="68"/>
      <c r="W7" s="69"/>
    </row>
    <row r="8" customFormat="false" ht="15" hidden="false" customHeight="true" outlineLevel="0" collapsed="false">
      <c r="A8" s="66"/>
      <c r="B8" s="67"/>
      <c r="C8" s="70" t="str">
        <f aca="false">IF('Business Details'!C5&gt;0,'Business Details'!C5," ")</f>
        <v>Basic Taxi Driver</v>
      </c>
      <c r="D8" s="70"/>
      <c r="E8" s="70"/>
      <c r="F8" s="70"/>
      <c r="G8" s="70"/>
      <c r="H8" s="70"/>
      <c r="I8" s="70"/>
      <c r="J8" s="70"/>
      <c r="K8" s="71"/>
      <c r="L8" s="71"/>
      <c r="M8" s="71"/>
      <c r="N8" s="71"/>
      <c r="O8" s="72" t="str">
        <f aca="false">IF('Business Details'!O5&gt;0,'Business Details'!O5," ")</f>
        <v>5566778899</v>
      </c>
      <c r="P8" s="72"/>
      <c r="Q8" s="71"/>
      <c r="R8" s="72" t="str">
        <f aca="false">IF('Business Details'!R5&gt;0,'Business Details'!R5," ")</f>
        <v> </v>
      </c>
      <c r="S8" s="72"/>
      <c r="T8" s="72"/>
      <c r="U8" s="72"/>
      <c r="V8" s="67"/>
      <c r="W8" s="73"/>
    </row>
    <row r="9" customFormat="false" ht="6" hidden="false" customHeight="true" outlineLevel="0" collapsed="false">
      <c r="A9" s="74"/>
      <c r="B9" s="75"/>
      <c r="C9" s="75"/>
      <c r="D9" s="75"/>
      <c r="E9" s="75"/>
      <c r="F9" s="75"/>
      <c r="G9" s="75"/>
      <c r="H9" s="75"/>
      <c r="I9" s="75"/>
      <c r="J9" s="75"/>
      <c r="K9" s="75"/>
      <c r="L9" s="75"/>
      <c r="M9" s="75"/>
      <c r="N9" s="75"/>
      <c r="O9" s="75"/>
      <c r="P9" s="75"/>
      <c r="Q9" s="75"/>
      <c r="R9" s="75"/>
      <c r="S9" s="75"/>
      <c r="T9" s="75"/>
      <c r="U9" s="75"/>
      <c r="V9" s="75"/>
      <c r="W9" s="76"/>
    </row>
    <row r="10" customFormat="false" ht="24.75" hidden="false" customHeight="true" outlineLevel="0" collapsed="false">
      <c r="A10" s="77" t="s">
        <v>43</v>
      </c>
      <c r="B10" s="77"/>
      <c r="C10" s="77"/>
      <c r="D10" s="77"/>
      <c r="E10" s="77"/>
      <c r="F10" s="77"/>
      <c r="G10" s="77"/>
      <c r="H10" s="77"/>
      <c r="I10" s="77"/>
      <c r="J10" s="77"/>
      <c r="K10" s="77"/>
      <c r="L10" s="77"/>
      <c r="M10" s="77"/>
      <c r="N10" s="77"/>
      <c r="O10" s="77"/>
      <c r="P10" s="77"/>
      <c r="Q10" s="77"/>
      <c r="R10" s="77"/>
      <c r="S10" s="77"/>
      <c r="T10" s="77"/>
      <c r="U10" s="77"/>
      <c r="V10" s="77"/>
      <c r="W10" s="77"/>
    </row>
    <row r="11" customFormat="false" ht="7.5" hidden="false" customHeight="true" outlineLevel="0" collapsed="false">
      <c r="A11" s="78"/>
      <c r="B11" s="79"/>
      <c r="C11" s="79"/>
      <c r="D11" s="79"/>
      <c r="E11" s="79"/>
      <c r="F11" s="79"/>
      <c r="G11" s="79"/>
      <c r="H11" s="79"/>
      <c r="I11" s="79"/>
      <c r="J11" s="79"/>
      <c r="K11" s="79"/>
      <c r="L11" s="79"/>
      <c r="M11" s="79"/>
      <c r="N11" s="79"/>
      <c r="O11" s="79"/>
      <c r="P11" s="79"/>
      <c r="Q11" s="79"/>
      <c r="R11" s="79"/>
      <c r="S11" s="79"/>
      <c r="T11" s="79"/>
      <c r="U11" s="79"/>
      <c r="V11" s="79"/>
      <c r="W11" s="80"/>
    </row>
    <row r="12" customFormat="false" ht="12.65" hidden="false" customHeight="false" outlineLevel="0" collapsed="false">
      <c r="A12" s="81" t="n">
        <v>1</v>
      </c>
      <c r="B12" s="67"/>
      <c r="C12" s="68" t="s">
        <v>14</v>
      </c>
      <c r="D12" s="68"/>
      <c r="E12" s="68"/>
      <c r="F12" s="67"/>
      <c r="G12" s="67"/>
      <c r="H12" s="67"/>
      <c r="I12" s="67"/>
      <c r="J12" s="67"/>
      <c r="K12" s="67"/>
      <c r="L12" s="81" t="n">
        <v>4</v>
      </c>
      <c r="M12" s="67"/>
      <c r="N12" s="68" t="s">
        <v>15</v>
      </c>
      <c r="O12" s="68"/>
      <c r="P12" s="68"/>
      <c r="Q12" s="68"/>
      <c r="R12" s="82"/>
      <c r="S12" s="83"/>
      <c r="T12" s="83"/>
      <c r="U12" s="83"/>
      <c r="V12" s="68"/>
      <c r="W12" s="84"/>
    </row>
    <row r="13" customFormat="false" ht="15" hidden="false" customHeight="true" outlineLevel="0" collapsed="false">
      <c r="A13" s="85"/>
      <c r="B13" s="67"/>
      <c r="C13" s="70" t="str">
        <f aca="false">IF('Business Details'!C8&gt;0,'Business Details'!C8," ")</f>
        <v>Owner-driver private hire and taxi services</v>
      </c>
      <c r="D13" s="70"/>
      <c r="E13" s="70"/>
      <c r="F13" s="70"/>
      <c r="G13" s="70"/>
      <c r="H13" s="70"/>
      <c r="I13" s="70"/>
      <c r="J13" s="70"/>
      <c r="K13" s="67"/>
      <c r="L13" s="67"/>
      <c r="M13" s="67"/>
      <c r="N13" s="86" t="s">
        <v>17</v>
      </c>
      <c r="O13" s="68"/>
      <c r="P13" s="68"/>
      <c r="Q13" s="68"/>
      <c r="R13" s="68"/>
      <c r="S13" s="68"/>
      <c r="T13" s="68"/>
      <c r="U13" s="68"/>
      <c r="V13" s="68"/>
      <c r="W13" s="84"/>
    </row>
    <row r="14" customFormat="false" ht="7.5" hidden="false" customHeight="true" outlineLevel="0" collapsed="false">
      <c r="A14" s="85"/>
      <c r="B14" s="67"/>
      <c r="C14" s="71"/>
      <c r="D14" s="71"/>
      <c r="E14" s="71"/>
      <c r="F14" s="71"/>
      <c r="G14" s="71"/>
      <c r="H14" s="71"/>
      <c r="I14" s="71"/>
      <c r="J14" s="71"/>
      <c r="K14" s="67"/>
      <c r="L14" s="67"/>
      <c r="M14" s="67"/>
      <c r="N14" s="87"/>
      <c r="O14" s="87"/>
      <c r="P14" s="87"/>
      <c r="Q14" s="87"/>
      <c r="R14" s="67"/>
      <c r="S14" s="67"/>
      <c r="T14" s="67"/>
      <c r="U14" s="67"/>
      <c r="V14" s="67"/>
      <c r="W14" s="88"/>
    </row>
    <row r="15" customFormat="false" ht="15" hidden="false" customHeight="true" outlineLevel="0" collapsed="false">
      <c r="A15" s="85"/>
      <c r="B15" s="67"/>
      <c r="C15" s="70" t="str">
        <f aca="false">IF('Business Details'!C10&gt;0,'Business Details'!C10," ")</f>
        <v> </v>
      </c>
      <c r="D15" s="70"/>
      <c r="E15" s="70"/>
      <c r="F15" s="70"/>
      <c r="G15" s="70"/>
      <c r="H15" s="70"/>
      <c r="I15" s="70"/>
      <c r="J15" s="70"/>
      <c r="K15" s="67"/>
      <c r="L15" s="67"/>
      <c r="M15" s="67"/>
      <c r="N15" s="89"/>
      <c r="O15" s="87"/>
      <c r="P15" s="87"/>
      <c r="Q15" s="87"/>
      <c r="R15" s="67"/>
      <c r="S15" s="67"/>
      <c r="T15" s="67"/>
      <c r="U15" s="67"/>
      <c r="V15" s="67"/>
      <c r="W15" s="88"/>
    </row>
    <row r="16" customFormat="false" ht="7.5" hidden="false" customHeight="true" outlineLevel="0" collapsed="false">
      <c r="A16" s="85"/>
      <c r="B16" s="67"/>
      <c r="C16" s="71"/>
      <c r="D16" s="71"/>
      <c r="E16" s="71"/>
      <c r="F16" s="71"/>
      <c r="G16" s="71"/>
      <c r="H16" s="71"/>
      <c r="I16" s="71"/>
      <c r="J16" s="71"/>
      <c r="K16" s="67"/>
      <c r="L16" s="67"/>
      <c r="M16" s="67"/>
      <c r="N16" s="67"/>
      <c r="O16" s="67"/>
      <c r="P16" s="67"/>
      <c r="Q16" s="67"/>
      <c r="R16" s="67"/>
      <c r="S16" s="67"/>
      <c r="T16" s="67"/>
      <c r="U16" s="67"/>
      <c r="V16" s="67"/>
      <c r="W16" s="88"/>
    </row>
    <row r="17" customFormat="false" ht="15" hidden="false" customHeight="true" outlineLevel="0" collapsed="false">
      <c r="A17" s="85"/>
      <c r="B17" s="67"/>
      <c r="C17" s="70" t="str">
        <f aca="false">IF('Business Details'!C12&gt;0,'Business Details'!C12," ")</f>
        <v> </v>
      </c>
      <c r="D17" s="70"/>
      <c r="E17" s="70"/>
      <c r="F17" s="70"/>
      <c r="G17" s="70"/>
      <c r="H17" s="70"/>
      <c r="I17" s="70"/>
      <c r="J17" s="70"/>
      <c r="K17" s="67"/>
      <c r="L17" s="81" t="n">
        <v>5</v>
      </c>
      <c r="M17" s="67"/>
      <c r="N17" s="68" t="s">
        <v>18</v>
      </c>
      <c r="O17" s="68"/>
      <c r="P17" s="68"/>
      <c r="Q17" s="68"/>
      <c r="R17" s="82"/>
      <c r="S17" s="90" t="n">
        <f aca="false">Admin!B4</f>
        <v>46118</v>
      </c>
      <c r="T17" s="90"/>
      <c r="U17" s="90"/>
      <c r="V17" s="90"/>
      <c r="W17" s="84"/>
    </row>
    <row r="18" customFormat="false" ht="12" hidden="false" customHeight="true" outlineLevel="0" collapsed="false">
      <c r="A18" s="85"/>
      <c r="B18" s="67"/>
      <c r="C18" s="67"/>
      <c r="D18" s="67"/>
      <c r="E18" s="67"/>
      <c r="F18" s="67"/>
      <c r="G18" s="67"/>
      <c r="H18" s="67"/>
      <c r="I18" s="67"/>
      <c r="J18" s="67"/>
      <c r="K18" s="67"/>
      <c r="L18" s="67"/>
      <c r="M18" s="67"/>
      <c r="N18" s="91" t="s">
        <v>44</v>
      </c>
      <c r="O18" s="91"/>
      <c r="P18" s="91"/>
      <c r="Q18" s="91"/>
      <c r="R18" s="91"/>
      <c r="S18" s="91"/>
      <c r="T18" s="91"/>
      <c r="U18" s="91"/>
      <c r="V18" s="91"/>
      <c r="W18" s="92"/>
    </row>
    <row r="19" customFormat="false" ht="7.5" hidden="false" customHeight="true" outlineLevel="0" collapsed="false">
      <c r="A19" s="85"/>
      <c r="B19" s="67"/>
      <c r="C19" s="67"/>
      <c r="D19" s="67"/>
      <c r="E19" s="67"/>
      <c r="F19" s="67"/>
      <c r="G19" s="67"/>
      <c r="H19" s="67"/>
      <c r="I19" s="67"/>
      <c r="J19" s="67"/>
      <c r="K19" s="67"/>
      <c r="L19" s="67"/>
      <c r="M19" s="67"/>
      <c r="N19" s="67"/>
      <c r="O19" s="67"/>
      <c r="P19" s="67"/>
      <c r="Q19" s="67"/>
      <c r="R19" s="67"/>
      <c r="S19" s="67"/>
      <c r="T19" s="67"/>
      <c r="U19" s="67"/>
      <c r="V19" s="67"/>
      <c r="W19" s="88"/>
    </row>
    <row r="20" customFormat="false" ht="13.5" hidden="false" customHeight="false" outlineLevel="0" collapsed="false">
      <c r="A20" s="81" t="n">
        <v>2</v>
      </c>
      <c r="B20" s="67"/>
      <c r="C20" s="68" t="s">
        <v>20</v>
      </c>
      <c r="D20" s="68"/>
      <c r="E20" s="68"/>
      <c r="F20" s="67"/>
      <c r="G20" s="67"/>
      <c r="H20" s="67"/>
      <c r="I20" s="67"/>
      <c r="J20" s="67"/>
      <c r="K20" s="67"/>
      <c r="L20" s="67"/>
      <c r="M20" s="67"/>
      <c r="N20" s="93" t="str">
        <f aca="false">IF('Business Details'!N15&gt;0,'Business Details'!N15," ")</f>
        <v> </v>
      </c>
      <c r="O20" s="93"/>
      <c r="P20" s="93"/>
      <c r="Q20" s="93"/>
      <c r="R20" s="68"/>
      <c r="S20" s="68"/>
      <c r="T20" s="68"/>
      <c r="U20" s="68"/>
      <c r="V20" s="68"/>
      <c r="W20" s="84"/>
    </row>
    <row r="21" customFormat="false" ht="7.5" hidden="false" customHeight="true" outlineLevel="0" collapsed="false">
      <c r="A21" s="85"/>
      <c r="B21" s="67"/>
      <c r="C21" s="67"/>
      <c r="D21" s="67"/>
      <c r="E21" s="67"/>
      <c r="F21" s="67"/>
      <c r="G21" s="67"/>
      <c r="H21" s="67"/>
      <c r="I21" s="67"/>
      <c r="J21" s="67"/>
      <c r="K21" s="67"/>
      <c r="L21" s="67"/>
      <c r="M21" s="67"/>
      <c r="N21" s="67"/>
      <c r="O21" s="67"/>
      <c r="P21" s="67"/>
      <c r="Q21" s="67"/>
      <c r="R21" s="67"/>
      <c r="S21" s="67"/>
      <c r="T21" s="67"/>
      <c r="U21" s="67"/>
      <c r="V21" s="67"/>
      <c r="W21" s="88"/>
    </row>
    <row r="22" customFormat="false" ht="15" hidden="false" customHeight="true" outlineLevel="0" collapsed="false">
      <c r="A22" s="85"/>
      <c r="B22" s="67"/>
      <c r="C22" s="94" t="str">
        <f aca="false">IF('Business Details'!C17&gt;0,'Business Details'!C17," ")</f>
        <v>DE1 2GH</v>
      </c>
      <c r="D22" s="94"/>
      <c r="E22" s="71"/>
      <c r="F22" s="95" t="str">
        <f aca="false">IF('Business Details'!F17&gt;0,'Business Details'!F17," ")</f>
        <v> </v>
      </c>
      <c r="G22" s="67"/>
      <c r="H22" s="67"/>
      <c r="I22" s="67"/>
      <c r="J22" s="67"/>
      <c r="K22" s="67"/>
      <c r="L22" s="67"/>
      <c r="M22" s="67"/>
      <c r="N22" s="68"/>
      <c r="O22" s="68"/>
      <c r="P22" s="68"/>
      <c r="Q22" s="68"/>
      <c r="R22" s="68"/>
      <c r="S22" s="68"/>
      <c r="T22" s="68"/>
      <c r="U22" s="68"/>
      <c r="V22" s="68"/>
      <c r="W22" s="84"/>
    </row>
    <row r="23" customFormat="false" ht="12" hidden="false" customHeight="false" outlineLevel="0" collapsed="false">
      <c r="A23" s="85"/>
      <c r="B23" s="67"/>
      <c r="C23" s="67"/>
      <c r="D23" s="67"/>
      <c r="E23" s="67"/>
      <c r="F23" s="67"/>
      <c r="G23" s="67"/>
      <c r="H23" s="67"/>
      <c r="I23" s="67"/>
      <c r="J23" s="67"/>
      <c r="K23" s="67"/>
      <c r="L23" s="81" t="n">
        <v>6</v>
      </c>
      <c r="M23" s="68"/>
      <c r="N23" s="68" t="s">
        <v>22</v>
      </c>
      <c r="O23" s="96"/>
      <c r="P23" s="68"/>
      <c r="Q23" s="68"/>
      <c r="R23" s="68"/>
      <c r="S23" s="90" t="n">
        <f aca="false">Admin!B17</f>
        <v>46482</v>
      </c>
      <c r="T23" s="90"/>
      <c r="U23" s="90"/>
      <c r="V23" s="90"/>
      <c r="W23" s="84"/>
    </row>
    <row r="24" customFormat="false" ht="12" hidden="false" customHeight="false" outlineLevel="0" collapsed="false">
      <c r="A24" s="81" t="n">
        <v>3</v>
      </c>
      <c r="B24" s="67"/>
      <c r="C24" s="68" t="s">
        <v>23</v>
      </c>
      <c r="D24" s="67"/>
      <c r="E24" s="67"/>
      <c r="F24" s="67"/>
      <c r="G24" s="67"/>
      <c r="H24" s="67"/>
      <c r="I24" s="67"/>
      <c r="J24" s="67"/>
      <c r="K24" s="67"/>
      <c r="L24" s="67"/>
      <c r="M24" s="68"/>
      <c r="N24" s="86" t="s">
        <v>24</v>
      </c>
      <c r="O24" s="87"/>
      <c r="P24" s="87"/>
      <c r="Q24" s="87"/>
      <c r="R24" s="67"/>
      <c r="S24" s="67"/>
      <c r="T24" s="67"/>
      <c r="U24" s="67"/>
      <c r="V24" s="67"/>
      <c r="W24" s="88"/>
    </row>
    <row r="25" customFormat="false" ht="12" hidden="false" customHeight="false" outlineLevel="0" collapsed="false">
      <c r="A25" s="85"/>
      <c r="B25" s="67"/>
      <c r="C25" s="68" t="s">
        <v>25</v>
      </c>
      <c r="D25" s="67"/>
      <c r="E25" s="67"/>
      <c r="F25" s="67"/>
      <c r="G25" s="67"/>
      <c r="H25" s="67"/>
      <c r="I25" s="67"/>
      <c r="J25" s="67"/>
      <c r="K25" s="67"/>
      <c r="L25" s="67"/>
      <c r="M25" s="67"/>
      <c r="N25" s="87"/>
      <c r="O25" s="87"/>
      <c r="P25" s="87"/>
      <c r="Q25" s="87"/>
      <c r="R25" s="67"/>
      <c r="S25" s="67"/>
      <c r="T25" s="67"/>
      <c r="U25" s="67"/>
      <c r="V25" s="67"/>
      <c r="W25" s="88"/>
    </row>
    <row r="26" customFormat="false" ht="13.5" hidden="false" customHeight="false" outlineLevel="0" collapsed="false">
      <c r="A26" s="85"/>
      <c r="B26" s="67"/>
      <c r="C26" s="86" t="s">
        <v>26</v>
      </c>
      <c r="D26" s="87"/>
      <c r="E26" s="87"/>
      <c r="F26" s="87"/>
      <c r="G26" s="87"/>
      <c r="H26" s="87"/>
      <c r="I26" s="87"/>
      <c r="J26" s="87"/>
      <c r="K26" s="87"/>
      <c r="L26" s="67"/>
      <c r="M26" s="67"/>
      <c r="N26" s="93" t="str">
        <f aca="false">IF('Business Details'!N21&gt;0,'Business Details'!N21," ")</f>
        <v> </v>
      </c>
      <c r="O26" s="93"/>
      <c r="P26" s="93"/>
      <c r="Q26" s="93"/>
      <c r="R26" s="67"/>
      <c r="S26" s="67"/>
      <c r="T26" s="67"/>
      <c r="U26" s="67"/>
      <c r="V26" s="67"/>
      <c r="W26" s="88"/>
    </row>
    <row r="27" customFormat="false" ht="12" hidden="false" customHeight="false" outlineLevel="0" collapsed="false">
      <c r="A27" s="85"/>
      <c r="B27" s="67"/>
      <c r="C27" s="86" t="s">
        <v>27</v>
      </c>
      <c r="D27" s="67"/>
      <c r="E27" s="67"/>
      <c r="F27" s="67"/>
      <c r="G27" s="67"/>
      <c r="H27" s="67"/>
      <c r="I27" s="67"/>
      <c r="J27" s="67"/>
      <c r="K27" s="67"/>
      <c r="L27" s="67"/>
      <c r="M27" s="67"/>
      <c r="N27" s="87"/>
      <c r="O27" s="87"/>
      <c r="P27" s="87"/>
      <c r="Q27" s="87"/>
      <c r="R27" s="67"/>
      <c r="S27" s="67"/>
      <c r="T27" s="67"/>
      <c r="U27" s="67"/>
      <c r="V27" s="67"/>
      <c r="W27" s="88"/>
    </row>
    <row r="28" customFormat="false" ht="12" hidden="false" customHeight="false" outlineLevel="0" collapsed="false">
      <c r="A28" s="85"/>
      <c r="B28" s="67"/>
      <c r="C28" s="87"/>
      <c r="D28" s="67"/>
      <c r="E28" s="67"/>
      <c r="F28" s="67"/>
      <c r="G28" s="67"/>
      <c r="H28" s="67"/>
      <c r="I28" s="67"/>
      <c r="J28" s="67"/>
      <c r="K28" s="67"/>
      <c r="L28" s="81" t="n">
        <v>7</v>
      </c>
      <c r="M28" s="67"/>
      <c r="N28" s="86" t="s">
        <v>28</v>
      </c>
      <c r="O28" s="87"/>
      <c r="P28" s="87"/>
      <c r="Q28" s="87"/>
      <c r="R28" s="67"/>
      <c r="S28" s="67"/>
      <c r="T28" s="67"/>
      <c r="U28" s="67"/>
      <c r="V28" s="67"/>
      <c r="W28" s="88"/>
    </row>
    <row r="29" customFormat="false" ht="15" hidden="false" customHeight="true" outlineLevel="0" collapsed="false">
      <c r="A29" s="85"/>
      <c r="B29" s="67"/>
      <c r="C29" s="89" t="str">
        <f aca="false">IF('Business Details'!C24="x","x"," ")</f>
        <v> </v>
      </c>
      <c r="D29" s="67"/>
      <c r="E29" s="67"/>
      <c r="F29" s="67"/>
      <c r="G29" s="67"/>
      <c r="H29" s="67"/>
      <c r="I29" s="67"/>
      <c r="J29" s="67"/>
      <c r="K29" s="67"/>
      <c r="L29" s="67"/>
      <c r="M29" s="67"/>
      <c r="N29" s="97" t="s">
        <v>29</v>
      </c>
      <c r="O29" s="87"/>
      <c r="P29" s="87"/>
      <c r="Q29" s="87"/>
      <c r="R29" s="67"/>
      <c r="S29" s="67"/>
      <c r="T29" s="67"/>
      <c r="U29" s="67"/>
      <c r="V29" s="67"/>
      <c r="W29" s="88"/>
    </row>
    <row r="30" customFormat="false" ht="7.5" hidden="false" customHeight="true" outlineLevel="0" collapsed="false">
      <c r="A30" s="85"/>
      <c r="B30" s="67"/>
      <c r="C30" s="67"/>
      <c r="D30" s="67"/>
      <c r="E30" s="67"/>
      <c r="F30" s="67"/>
      <c r="G30" s="67"/>
      <c r="H30" s="67"/>
      <c r="I30" s="67"/>
      <c r="J30" s="67"/>
      <c r="K30" s="67"/>
      <c r="L30" s="67"/>
      <c r="M30" s="67"/>
      <c r="N30" s="97"/>
      <c r="O30" s="87"/>
      <c r="P30" s="87"/>
      <c r="Q30" s="87"/>
      <c r="R30" s="67"/>
      <c r="S30" s="67"/>
      <c r="T30" s="67"/>
      <c r="U30" s="67"/>
      <c r="V30" s="67"/>
      <c r="W30" s="88"/>
    </row>
    <row r="31" customFormat="false" ht="13.5" hidden="false" customHeight="false" outlineLevel="0" collapsed="false">
      <c r="A31" s="85"/>
      <c r="B31" s="67"/>
      <c r="C31" s="67"/>
      <c r="D31" s="67"/>
      <c r="E31" s="67"/>
      <c r="F31" s="67"/>
      <c r="G31" s="67"/>
      <c r="H31" s="67"/>
      <c r="I31" s="67"/>
      <c r="J31" s="67"/>
      <c r="K31" s="67"/>
      <c r="L31" s="67"/>
      <c r="M31" s="67"/>
      <c r="N31" s="93" t="n">
        <f aca="false">Admin!B17</f>
        <v>46482</v>
      </c>
      <c r="O31" s="93"/>
      <c r="P31" s="93"/>
      <c r="Q31" s="93"/>
      <c r="R31" s="67"/>
      <c r="S31" s="67"/>
      <c r="T31" s="67"/>
      <c r="U31" s="67"/>
      <c r="V31" s="67"/>
      <c r="W31" s="88"/>
    </row>
    <row r="32" customFormat="false" ht="7.5" hidden="false" customHeight="true" outlineLevel="0" collapsed="false">
      <c r="A32" s="98"/>
      <c r="B32" s="99"/>
      <c r="C32" s="99"/>
      <c r="D32" s="99"/>
      <c r="E32" s="99"/>
      <c r="F32" s="99"/>
      <c r="G32" s="99"/>
      <c r="H32" s="99"/>
      <c r="I32" s="99"/>
      <c r="J32" s="99"/>
      <c r="K32" s="99"/>
      <c r="L32" s="99"/>
      <c r="M32" s="99"/>
      <c r="N32" s="99"/>
      <c r="O32" s="99"/>
      <c r="P32" s="99"/>
      <c r="Q32" s="99"/>
      <c r="R32" s="99"/>
      <c r="S32" s="99"/>
      <c r="T32" s="99"/>
      <c r="U32" s="99"/>
      <c r="V32" s="99"/>
      <c r="W32" s="100"/>
    </row>
    <row r="33" customFormat="false" ht="24.75" hidden="false" customHeight="true" outlineLevel="0" collapsed="false">
      <c r="A33" s="101" t="str">
        <f aca="false">"Business income - if your annual turnover was below £"&amp;Admin!F26&amp;" VAT threshold"</f>
        <v>Business income - if your annual turnover was below £90000 VAT threshold</v>
      </c>
      <c r="B33" s="101"/>
      <c r="C33" s="101"/>
      <c r="D33" s="101"/>
      <c r="E33" s="101"/>
      <c r="F33" s="101"/>
      <c r="G33" s="101"/>
      <c r="H33" s="101"/>
      <c r="I33" s="101"/>
      <c r="J33" s="101"/>
      <c r="K33" s="101"/>
      <c r="L33" s="101"/>
      <c r="M33" s="101"/>
      <c r="N33" s="101"/>
      <c r="O33" s="101"/>
      <c r="P33" s="101"/>
      <c r="Q33" s="101"/>
      <c r="R33" s="101"/>
      <c r="S33" s="101"/>
      <c r="T33" s="101"/>
      <c r="U33" s="101"/>
      <c r="V33" s="101"/>
      <c r="W33" s="101"/>
    </row>
    <row r="34" customFormat="false" ht="7.5" hidden="false" customHeight="true" outlineLevel="0" collapsed="false">
      <c r="A34" s="78"/>
      <c r="B34" s="79"/>
      <c r="C34" s="79"/>
      <c r="D34" s="79"/>
      <c r="E34" s="79"/>
      <c r="F34" s="79"/>
      <c r="G34" s="79"/>
      <c r="H34" s="79"/>
      <c r="I34" s="79"/>
      <c r="J34" s="79"/>
      <c r="K34" s="79"/>
      <c r="L34" s="79"/>
      <c r="M34" s="79"/>
      <c r="N34" s="79"/>
      <c r="O34" s="79"/>
      <c r="P34" s="79"/>
      <c r="Q34" s="79"/>
      <c r="R34" s="79"/>
      <c r="S34" s="79"/>
      <c r="T34" s="79"/>
      <c r="U34" s="79"/>
      <c r="V34" s="79"/>
      <c r="W34" s="80"/>
    </row>
    <row r="35" customFormat="false" ht="12" hidden="false" customHeight="false" outlineLevel="0" collapsed="false">
      <c r="A35" s="81" t="n">
        <v>9</v>
      </c>
      <c r="B35" s="67"/>
      <c r="C35" s="68" t="s">
        <v>45</v>
      </c>
      <c r="D35" s="68"/>
      <c r="E35" s="68"/>
      <c r="F35" s="68"/>
      <c r="G35" s="68"/>
      <c r="H35" s="68"/>
      <c r="I35" s="68"/>
      <c r="J35" s="68"/>
      <c r="K35" s="68"/>
      <c r="L35" s="81" t="n">
        <v>10</v>
      </c>
      <c r="M35" s="67"/>
      <c r="N35" s="68" t="s">
        <v>46</v>
      </c>
      <c r="O35" s="68"/>
      <c r="P35" s="68"/>
      <c r="Q35" s="68"/>
      <c r="R35" s="68"/>
      <c r="S35" s="68"/>
      <c r="T35" s="68"/>
      <c r="U35" s="68"/>
      <c r="V35" s="68"/>
      <c r="W35" s="84"/>
    </row>
    <row r="36" customFormat="false" ht="12" hidden="false" customHeight="false" outlineLevel="0" collapsed="false">
      <c r="A36" s="85"/>
      <c r="B36" s="67"/>
      <c r="C36" s="96" t="s">
        <v>47</v>
      </c>
      <c r="D36" s="67"/>
      <c r="E36" s="67"/>
      <c r="F36" s="67"/>
      <c r="G36" s="67"/>
      <c r="H36" s="67"/>
      <c r="I36" s="67"/>
      <c r="J36" s="67"/>
      <c r="K36" s="67"/>
      <c r="L36" s="67"/>
      <c r="M36" s="67"/>
      <c r="N36" s="96" t="s">
        <v>48</v>
      </c>
      <c r="O36" s="67"/>
      <c r="P36" s="67"/>
      <c r="Q36" s="67"/>
      <c r="R36" s="67"/>
      <c r="S36" s="67"/>
      <c r="T36" s="67"/>
      <c r="U36" s="67"/>
      <c r="V36" s="67"/>
      <c r="W36" s="88"/>
    </row>
    <row r="37" customFormat="false" ht="6" hidden="false" customHeight="true" outlineLevel="0" collapsed="false">
      <c r="A37" s="85"/>
      <c r="B37" s="67"/>
      <c r="C37" s="67"/>
      <c r="D37" s="67"/>
      <c r="E37" s="67"/>
      <c r="F37" s="67"/>
      <c r="G37" s="67"/>
      <c r="H37" s="67"/>
      <c r="I37" s="67"/>
      <c r="J37" s="67"/>
      <c r="K37" s="67"/>
      <c r="L37" s="67"/>
      <c r="M37" s="67"/>
      <c r="N37" s="67"/>
      <c r="O37" s="67"/>
      <c r="P37" s="67"/>
      <c r="Q37" s="67"/>
      <c r="R37" s="67"/>
      <c r="S37" s="67"/>
      <c r="T37" s="67"/>
      <c r="U37" s="67"/>
      <c r="V37" s="67"/>
      <c r="W37" s="88"/>
    </row>
    <row r="38" customFormat="false" ht="15" hidden="false" customHeight="false" outlineLevel="0" collapsed="false">
      <c r="A38" s="85"/>
      <c r="B38" s="67"/>
      <c r="C38" s="102" t="s">
        <v>33</v>
      </c>
      <c r="D38" s="103" t="n">
        <f aca="false">'Profit &amp; Loss Acc'!B5</f>
        <v>36045</v>
      </c>
      <c r="E38" s="103"/>
      <c r="F38" s="103"/>
      <c r="G38" s="104" t="s">
        <v>34</v>
      </c>
      <c r="H38" s="105" t="n">
        <v>0</v>
      </c>
      <c r="I38" s="105" t="n">
        <v>0</v>
      </c>
      <c r="J38" s="67"/>
      <c r="K38" s="67"/>
      <c r="L38" s="67"/>
      <c r="M38" s="67"/>
      <c r="N38" s="102" t="s">
        <v>33</v>
      </c>
      <c r="O38" s="103"/>
      <c r="P38" s="103"/>
      <c r="Q38" s="103"/>
      <c r="R38" s="104" t="s">
        <v>34</v>
      </c>
      <c r="S38" s="105" t="n">
        <v>0</v>
      </c>
      <c r="T38" s="105" t="n">
        <v>0</v>
      </c>
      <c r="U38" s="106"/>
      <c r="V38" s="107"/>
      <c r="W38" s="88"/>
    </row>
    <row r="39" customFormat="false" ht="7.5" hidden="false" customHeight="true" outlineLevel="0" collapsed="false">
      <c r="A39" s="98"/>
      <c r="B39" s="99"/>
      <c r="C39" s="99"/>
      <c r="D39" s="99"/>
      <c r="E39" s="99"/>
      <c r="F39" s="99"/>
      <c r="G39" s="99"/>
      <c r="H39" s="99"/>
      <c r="I39" s="99"/>
      <c r="J39" s="99"/>
      <c r="K39" s="99"/>
      <c r="L39" s="99"/>
      <c r="M39" s="99"/>
      <c r="N39" s="99"/>
      <c r="O39" s="99"/>
      <c r="P39" s="99"/>
      <c r="Q39" s="99"/>
      <c r="R39" s="99"/>
      <c r="S39" s="99"/>
      <c r="T39" s="99"/>
      <c r="U39" s="99"/>
      <c r="V39" s="99"/>
      <c r="W39" s="100"/>
    </row>
    <row r="40" customFormat="false" ht="24.75" hidden="false" customHeight="true" outlineLevel="0" collapsed="false">
      <c r="A40" s="108" t="s">
        <v>49</v>
      </c>
      <c r="B40" s="108"/>
      <c r="C40" s="108"/>
      <c r="D40" s="108"/>
      <c r="E40" s="108"/>
      <c r="F40" s="108"/>
      <c r="G40" s="108"/>
      <c r="H40" s="108"/>
      <c r="I40" s="108"/>
      <c r="J40" s="108"/>
      <c r="K40" s="108"/>
      <c r="L40" s="108"/>
      <c r="M40" s="108"/>
      <c r="N40" s="108"/>
      <c r="O40" s="108"/>
      <c r="P40" s="108"/>
      <c r="Q40" s="108"/>
      <c r="R40" s="108"/>
      <c r="S40" s="108"/>
      <c r="T40" s="108"/>
      <c r="U40" s="108"/>
      <c r="V40" s="108"/>
      <c r="W40" s="108"/>
    </row>
    <row r="41" customFormat="false" ht="13.5" hidden="false" customHeight="true" outlineLevel="0" collapsed="false">
      <c r="A41" s="109" t="s">
        <v>50</v>
      </c>
      <c r="B41" s="109"/>
      <c r="C41" s="109"/>
      <c r="D41" s="109"/>
      <c r="E41" s="109"/>
      <c r="F41" s="109"/>
      <c r="G41" s="109"/>
      <c r="H41" s="109"/>
      <c r="I41" s="109"/>
      <c r="J41" s="109"/>
      <c r="K41" s="109"/>
      <c r="L41" s="109"/>
      <c r="M41" s="109"/>
      <c r="N41" s="109"/>
      <c r="O41" s="109"/>
      <c r="P41" s="109"/>
      <c r="Q41" s="109"/>
      <c r="R41" s="109"/>
      <c r="S41" s="109"/>
      <c r="T41" s="109"/>
      <c r="U41" s="109"/>
      <c r="V41" s="109"/>
      <c r="W41" s="109"/>
      <c r="X41" s="110"/>
      <c r="Y41" s="110"/>
      <c r="Z41" s="110"/>
      <c r="AA41" s="110"/>
      <c r="AB41" s="110"/>
      <c r="AC41" s="110"/>
      <c r="AD41" s="110"/>
      <c r="AE41" s="110"/>
      <c r="AF41" s="110"/>
      <c r="AG41" s="110"/>
      <c r="AH41" s="110"/>
      <c r="AI41" s="110"/>
      <c r="AJ41" s="110"/>
      <c r="AK41" s="110"/>
      <c r="AL41" s="110"/>
      <c r="AM41" s="110"/>
      <c r="AN41" s="110"/>
      <c r="AO41" s="110"/>
      <c r="AP41" s="110"/>
      <c r="AQ41" s="110"/>
      <c r="AR41" s="110"/>
      <c r="AS41" s="110"/>
      <c r="AT41" s="110"/>
      <c r="AU41" s="110"/>
      <c r="AV41" s="110"/>
      <c r="AW41" s="110"/>
      <c r="AX41" s="110"/>
      <c r="AY41" s="110"/>
      <c r="AZ41" s="110"/>
      <c r="BA41" s="110"/>
      <c r="BB41" s="110"/>
      <c r="BC41" s="110"/>
      <c r="BD41" s="110"/>
      <c r="BE41" s="110"/>
      <c r="BF41" s="110"/>
      <c r="BG41" s="110"/>
      <c r="BH41" s="110"/>
      <c r="BI41" s="110"/>
      <c r="BJ41" s="110"/>
      <c r="BK41" s="110"/>
      <c r="BL41" s="110"/>
      <c r="BM41" s="110"/>
      <c r="BN41" s="110"/>
      <c r="BO41" s="110"/>
      <c r="BP41" s="110"/>
      <c r="BQ41" s="110"/>
      <c r="BR41" s="110"/>
      <c r="BS41" s="110"/>
      <c r="BT41" s="110"/>
      <c r="BU41" s="110"/>
      <c r="BV41" s="110"/>
      <c r="BW41" s="110"/>
      <c r="BX41" s="110"/>
      <c r="BY41" s="110"/>
      <c r="BZ41" s="110"/>
      <c r="CA41" s="110"/>
      <c r="CB41" s="110"/>
      <c r="CC41" s="110"/>
      <c r="CD41" s="110"/>
      <c r="CE41" s="110"/>
      <c r="CF41" s="110"/>
      <c r="CG41" s="110"/>
      <c r="CH41" s="110"/>
      <c r="CI41" s="110"/>
      <c r="CJ41" s="110"/>
      <c r="CK41" s="110"/>
      <c r="CL41" s="110"/>
      <c r="CM41" s="110"/>
      <c r="CN41" s="110"/>
      <c r="CO41" s="110"/>
      <c r="CP41" s="110"/>
      <c r="CQ41" s="110"/>
      <c r="CR41" s="110"/>
      <c r="CS41" s="110"/>
      <c r="CT41" s="110"/>
      <c r="CU41" s="110"/>
      <c r="CV41" s="110"/>
      <c r="CW41" s="110"/>
      <c r="CX41" s="110"/>
      <c r="CY41" s="110"/>
      <c r="CZ41" s="110"/>
      <c r="DA41" s="110"/>
      <c r="DB41" s="110"/>
      <c r="DC41" s="110"/>
      <c r="DD41" s="110"/>
      <c r="DE41" s="110"/>
      <c r="DF41" s="110"/>
      <c r="DG41" s="110"/>
      <c r="DH41" s="110"/>
      <c r="DI41" s="110"/>
      <c r="DJ41" s="110"/>
      <c r="DK41" s="110"/>
      <c r="DL41" s="110"/>
      <c r="DM41" s="110"/>
      <c r="DN41" s="110"/>
      <c r="DO41" s="110"/>
      <c r="DP41" s="110"/>
      <c r="DQ41" s="110"/>
      <c r="DR41" s="110"/>
      <c r="DS41" s="110"/>
      <c r="DT41" s="110"/>
      <c r="DU41" s="110"/>
      <c r="DV41" s="110"/>
      <c r="DW41" s="110"/>
      <c r="DX41" s="110"/>
      <c r="DY41" s="110"/>
      <c r="DZ41" s="110"/>
      <c r="EA41" s="110"/>
      <c r="EB41" s="110"/>
      <c r="EC41" s="110"/>
      <c r="ED41" s="110"/>
      <c r="EE41" s="110"/>
      <c r="EF41" s="110"/>
      <c r="EG41" s="110"/>
      <c r="EH41" s="110"/>
      <c r="EI41" s="110"/>
      <c r="EJ41" s="110"/>
      <c r="EK41" s="110"/>
      <c r="EL41" s="110"/>
      <c r="EM41" s="110"/>
      <c r="EN41" s="110"/>
      <c r="EO41" s="110"/>
      <c r="EP41" s="110"/>
      <c r="EQ41" s="110"/>
      <c r="ER41" s="110"/>
      <c r="ES41" s="110"/>
      <c r="ET41" s="110"/>
      <c r="EU41" s="110"/>
      <c r="EV41" s="110"/>
      <c r="EW41" s="110"/>
      <c r="EX41" s="110"/>
      <c r="EY41" s="110"/>
      <c r="EZ41" s="110"/>
      <c r="FA41" s="110"/>
      <c r="FB41" s="110"/>
      <c r="FC41" s="110"/>
      <c r="FD41" s="110"/>
      <c r="FE41" s="110"/>
      <c r="FF41" s="110"/>
      <c r="FG41" s="110"/>
      <c r="FH41" s="110"/>
      <c r="FI41" s="110"/>
      <c r="FJ41" s="110"/>
      <c r="FK41" s="110"/>
      <c r="FL41" s="110"/>
      <c r="FM41" s="110"/>
      <c r="FN41" s="110"/>
      <c r="FO41" s="110"/>
      <c r="FP41" s="110"/>
      <c r="FQ41" s="110"/>
      <c r="FR41" s="110"/>
      <c r="FS41" s="110"/>
      <c r="FT41" s="110"/>
      <c r="FU41" s="110"/>
      <c r="FV41" s="110"/>
      <c r="FW41" s="110"/>
      <c r="FX41" s="110"/>
      <c r="FY41" s="110"/>
      <c r="FZ41" s="110"/>
      <c r="GA41" s="110"/>
      <c r="GB41" s="110"/>
      <c r="GC41" s="110"/>
      <c r="GD41" s="110"/>
      <c r="GE41" s="110"/>
      <c r="GF41" s="110"/>
      <c r="GG41" s="110"/>
      <c r="GH41" s="110"/>
      <c r="GI41" s="110"/>
      <c r="GJ41" s="110"/>
      <c r="GK41" s="110"/>
      <c r="GL41" s="110"/>
      <c r="GM41" s="110"/>
      <c r="GN41" s="110"/>
      <c r="GO41" s="110"/>
      <c r="GP41" s="110"/>
      <c r="GQ41" s="110"/>
      <c r="GR41" s="110"/>
      <c r="GS41" s="110"/>
      <c r="GT41" s="110"/>
      <c r="GU41" s="110"/>
      <c r="GV41" s="110"/>
      <c r="GW41" s="110"/>
      <c r="GX41" s="110"/>
      <c r="GY41" s="110"/>
      <c r="GZ41" s="110"/>
      <c r="HA41" s="110"/>
      <c r="HB41" s="110"/>
      <c r="HC41" s="110"/>
      <c r="HD41" s="110"/>
      <c r="HE41" s="110"/>
      <c r="HF41" s="110"/>
      <c r="HG41" s="110"/>
      <c r="HH41" s="110"/>
      <c r="HI41" s="110"/>
      <c r="HJ41" s="110"/>
      <c r="HK41" s="110"/>
      <c r="HL41" s="110"/>
      <c r="HM41" s="110"/>
      <c r="HN41" s="110"/>
      <c r="HO41" s="110"/>
      <c r="HP41" s="110"/>
      <c r="HQ41" s="110"/>
      <c r="HR41" s="110"/>
      <c r="HS41" s="110"/>
      <c r="HT41" s="110"/>
      <c r="HU41" s="110"/>
      <c r="HV41" s="110"/>
      <c r="HW41" s="110"/>
      <c r="HX41" s="110"/>
      <c r="HY41" s="110"/>
      <c r="HZ41" s="110"/>
      <c r="IA41" s="110"/>
      <c r="IB41" s="110"/>
      <c r="IC41" s="110"/>
      <c r="ID41" s="110"/>
      <c r="IE41" s="110"/>
      <c r="IF41" s="110"/>
      <c r="IG41" s="110"/>
      <c r="IH41" s="110"/>
      <c r="II41" s="110"/>
      <c r="IJ41" s="110"/>
      <c r="IK41" s="110"/>
      <c r="IL41" s="110"/>
      <c r="IM41" s="110"/>
      <c r="IN41" s="110"/>
      <c r="IO41" s="110"/>
      <c r="IP41" s="110"/>
      <c r="IQ41" s="110"/>
      <c r="IR41" s="110"/>
      <c r="IS41" s="110"/>
      <c r="IT41" s="110"/>
      <c r="IU41" s="110"/>
      <c r="IV41" s="110"/>
      <c r="IW41" s="110"/>
    </row>
    <row r="42" customFormat="false" ht="13.5" hidden="false" customHeight="true" outlineLevel="0" collapsed="false">
      <c r="A42" s="111" t="s">
        <v>51</v>
      </c>
      <c r="B42" s="111"/>
      <c r="C42" s="111"/>
      <c r="D42" s="111"/>
      <c r="E42" s="111"/>
      <c r="F42" s="111"/>
      <c r="G42" s="111"/>
      <c r="H42" s="111"/>
      <c r="I42" s="111"/>
      <c r="J42" s="111"/>
      <c r="K42" s="111"/>
      <c r="L42" s="111"/>
      <c r="M42" s="111"/>
      <c r="N42" s="111"/>
      <c r="O42" s="111"/>
      <c r="P42" s="111"/>
      <c r="Q42" s="111"/>
      <c r="R42" s="111"/>
      <c r="S42" s="111"/>
      <c r="T42" s="111"/>
      <c r="U42" s="111"/>
      <c r="V42" s="111"/>
      <c r="W42" s="111"/>
      <c r="X42" s="110"/>
      <c r="Y42" s="110"/>
      <c r="Z42" s="110"/>
      <c r="AA42" s="110"/>
      <c r="AB42" s="110"/>
      <c r="AC42" s="110"/>
      <c r="AD42" s="110"/>
      <c r="AE42" s="110"/>
      <c r="AF42" s="110"/>
      <c r="AG42" s="110"/>
      <c r="AH42" s="110"/>
      <c r="AI42" s="110"/>
      <c r="AJ42" s="110"/>
      <c r="AK42" s="110"/>
      <c r="AL42" s="110"/>
      <c r="AM42" s="110"/>
      <c r="AN42" s="110"/>
      <c r="AO42" s="110"/>
      <c r="AP42" s="110"/>
      <c r="AQ42" s="110"/>
      <c r="AR42" s="110"/>
      <c r="AS42" s="110"/>
      <c r="AT42" s="110"/>
      <c r="AU42" s="110"/>
      <c r="AV42" s="110"/>
      <c r="AW42" s="110"/>
      <c r="AX42" s="110"/>
      <c r="AY42" s="110"/>
      <c r="AZ42" s="110"/>
      <c r="BA42" s="110"/>
      <c r="BB42" s="110"/>
      <c r="BC42" s="110"/>
      <c r="BD42" s="110"/>
      <c r="BE42" s="110"/>
      <c r="BF42" s="110"/>
      <c r="BG42" s="110"/>
      <c r="BH42" s="110"/>
      <c r="BI42" s="110"/>
      <c r="BJ42" s="110"/>
      <c r="BK42" s="110"/>
      <c r="BL42" s="110"/>
      <c r="BM42" s="110"/>
      <c r="BN42" s="110"/>
      <c r="BO42" s="110"/>
      <c r="BP42" s="110"/>
      <c r="BQ42" s="110"/>
      <c r="BR42" s="110"/>
      <c r="BS42" s="110"/>
      <c r="BT42" s="110"/>
      <c r="BU42" s="110"/>
      <c r="BV42" s="110"/>
      <c r="BW42" s="110"/>
      <c r="BX42" s="110"/>
      <c r="BY42" s="110"/>
      <c r="BZ42" s="110"/>
      <c r="CA42" s="110"/>
      <c r="CB42" s="110"/>
      <c r="CC42" s="110"/>
      <c r="CD42" s="110"/>
      <c r="CE42" s="110"/>
      <c r="CF42" s="110"/>
      <c r="CG42" s="110"/>
      <c r="CH42" s="110"/>
      <c r="CI42" s="110"/>
      <c r="CJ42" s="110"/>
      <c r="CK42" s="110"/>
      <c r="CL42" s="110"/>
      <c r="CM42" s="110"/>
      <c r="CN42" s="110"/>
      <c r="CO42" s="110"/>
      <c r="CP42" s="110"/>
      <c r="CQ42" s="110"/>
      <c r="CR42" s="110"/>
      <c r="CS42" s="110"/>
      <c r="CT42" s="110"/>
      <c r="CU42" s="110"/>
      <c r="CV42" s="110"/>
      <c r="CW42" s="110"/>
      <c r="CX42" s="110"/>
      <c r="CY42" s="110"/>
      <c r="CZ42" s="110"/>
      <c r="DA42" s="110"/>
      <c r="DB42" s="110"/>
      <c r="DC42" s="110"/>
      <c r="DD42" s="110"/>
      <c r="DE42" s="110"/>
      <c r="DF42" s="110"/>
      <c r="DG42" s="110"/>
      <c r="DH42" s="110"/>
      <c r="DI42" s="110"/>
      <c r="DJ42" s="110"/>
      <c r="DK42" s="110"/>
      <c r="DL42" s="110"/>
      <c r="DM42" s="110"/>
      <c r="DN42" s="110"/>
      <c r="DO42" s="110"/>
      <c r="DP42" s="110"/>
      <c r="DQ42" s="110"/>
      <c r="DR42" s="110"/>
      <c r="DS42" s="110"/>
      <c r="DT42" s="110"/>
      <c r="DU42" s="110"/>
      <c r="DV42" s="110"/>
      <c r="DW42" s="110"/>
      <c r="DX42" s="110"/>
      <c r="DY42" s="110"/>
      <c r="DZ42" s="110"/>
      <c r="EA42" s="110"/>
      <c r="EB42" s="110"/>
      <c r="EC42" s="110"/>
      <c r="ED42" s="110"/>
      <c r="EE42" s="110"/>
      <c r="EF42" s="110"/>
      <c r="EG42" s="110"/>
      <c r="EH42" s="110"/>
      <c r="EI42" s="110"/>
      <c r="EJ42" s="110"/>
      <c r="EK42" s="110"/>
      <c r="EL42" s="110"/>
      <c r="EM42" s="110"/>
      <c r="EN42" s="110"/>
      <c r="EO42" s="110"/>
      <c r="EP42" s="110"/>
      <c r="EQ42" s="110"/>
      <c r="ER42" s="110"/>
      <c r="ES42" s="110"/>
      <c r="ET42" s="110"/>
      <c r="EU42" s="110"/>
      <c r="EV42" s="110"/>
      <c r="EW42" s="110"/>
      <c r="EX42" s="110"/>
      <c r="EY42" s="110"/>
      <c r="EZ42" s="110"/>
      <c r="FA42" s="110"/>
      <c r="FB42" s="110"/>
      <c r="FC42" s="110"/>
      <c r="FD42" s="110"/>
      <c r="FE42" s="110"/>
      <c r="FF42" s="110"/>
      <c r="FG42" s="110"/>
      <c r="FH42" s="110"/>
      <c r="FI42" s="110"/>
      <c r="FJ42" s="110"/>
      <c r="FK42" s="110"/>
      <c r="FL42" s="110"/>
      <c r="FM42" s="110"/>
      <c r="FN42" s="110"/>
      <c r="FO42" s="110"/>
      <c r="FP42" s="110"/>
      <c r="FQ42" s="110"/>
      <c r="FR42" s="110"/>
      <c r="FS42" s="110"/>
      <c r="FT42" s="110"/>
      <c r="FU42" s="110"/>
      <c r="FV42" s="110"/>
      <c r="FW42" s="110"/>
      <c r="FX42" s="110"/>
      <c r="FY42" s="110"/>
      <c r="FZ42" s="110"/>
      <c r="GA42" s="110"/>
      <c r="GB42" s="110"/>
      <c r="GC42" s="110"/>
      <c r="GD42" s="110"/>
      <c r="GE42" s="110"/>
      <c r="GF42" s="110"/>
      <c r="GG42" s="110"/>
      <c r="GH42" s="110"/>
      <c r="GI42" s="110"/>
      <c r="GJ42" s="110"/>
      <c r="GK42" s="110"/>
      <c r="GL42" s="110"/>
      <c r="GM42" s="110"/>
      <c r="GN42" s="110"/>
      <c r="GO42" s="110"/>
      <c r="GP42" s="110"/>
      <c r="GQ42" s="110"/>
      <c r="GR42" s="110"/>
      <c r="GS42" s="110"/>
      <c r="GT42" s="110"/>
      <c r="GU42" s="110"/>
      <c r="GV42" s="110"/>
      <c r="GW42" s="110"/>
      <c r="GX42" s="110"/>
      <c r="GY42" s="110"/>
      <c r="GZ42" s="110"/>
      <c r="HA42" s="110"/>
      <c r="HB42" s="110"/>
      <c r="HC42" s="110"/>
      <c r="HD42" s="110"/>
      <c r="HE42" s="110"/>
      <c r="HF42" s="110"/>
      <c r="HG42" s="110"/>
      <c r="HH42" s="110"/>
      <c r="HI42" s="110"/>
      <c r="HJ42" s="110"/>
      <c r="HK42" s="110"/>
      <c r="HL42" s="110"/>
      <c r="HM42" s="110"/>
      <c r="HN42" s="110"/>
      <c r="HO42" s="110"/>
      <c r="HP42" s="110"/>
      <c r="HQ42" s="110"/>
      <c r="HR42" s="110"/>
      <c r="HS42" s="110"/>
      <c r="HT42" s="110"/>
      <c r="HU42" s="110"/>
      <c r="HV42" s="110"/>
      <c r="HW42" s="110"/>
      <c r="HX42" s="110"/>
      <c r="HY42" s="110"/>
      <c r="HZ42" s="110"/>
      <c r="IA42" s="110"/>
      <c r="IB42" s="110"/>
      <c r="IC42" s="110"/>
      <c r="ID42" s="110"/>
      <c r="IE42" s="110"/>
      <c r="IF42" s="110"/>
      <c r="IG42" s="110"/>
      <c r="IH42" s="110"/>
      <c r="II42" s="110"/>
      <c r="IJ42" s="110"/>
      <c r="IK42" s="110"/>
      <c r="IL42" s="110"/>
      <c r="IM42" s="110"/>
      <c r="IN42" s="110"/>
      <c r="IO42" s="110"/>
      <c r="IP42" s="110"/>
      <c r="IQ42" s="110"/>
      <c r="IR42" s="110"/>
      <c r="IS42" s="110"/>
      <c r="IT42" s="110"/>
      <c r="IU42" s="110"/>
      <c r="IV42" s="110"/>
      <c r="IW42" s="110"/>
    </row>
    <row r="43" customFormat="false" ht="7.5" hidden="false" customHeight="true" outlineLevel="0" collapsed="false">
      <c r="A43" s="78"/>
      <c r="B43" s="79"/>
      <c r="C43" s="79"/>
      <c r="D43" s="79"/>
      <c r="E43" s="79"/>
      <c r="F43" s="79"/>
      <c r="G43" s="79"/>
      <c r="H43" s="79"/>
      <c r="I43" s="79"/>
      <c r="J43" s="79"/>
      <c r="K43" s="79"/>
      <c r="L43" s="79"/>
      <c r="M43" s="79"/>
      <c r="N43" s="79"/>
      <c r="O43" s="79"/>
      <c r="P43" s="79"/>
      <c r="Q43" s="79"/>
      <c r="R43" s="79"/>
      <c r="S43" s="79"/>
      <c r="T43" s="79"/>
      <c r="U43" s="79"/>
      <c r="V43" s="79"/>
      <c r="W43" s="80"/>
    </row>
    <row r="44" customFormat="false" ht="12" hidden="false" customHeight="false" outlineLevel="0" collapsed="false">
      <c r="A44" s="81" t="n">
        <v>11</v>
      </c>
      <c r="B44" s="67"/>
      <c r="C44" s="68" t="s">
        <v>52</v>
      </c>
      <c r="D44" s="68"/>
      <c r="E44" s="68"/>
      <c r="F44" s="68"/>
      <c r="G44" s="68"/>
      <c r="H44" s="68"/>
      <c r="I44" s="68"/>
      <c r="J44" s="68"/>
      <c r="K44" s="68"/>
      <c r="L44" s="81" t="n">
        <v>16</v>
      </c>
      <c r="M44" s="67"/>
      <c r="N44" s="68" t="s">
        <v>53</v>
      </c>
      <c r="O44" s="67"/>
      <c r="P44" s="67"/>
      <c r="Q44" s="67"/>
      <c r="R44" s="67"/>
      <c r="S44" s="67"/>
      <c r="T44" s="67"/>
      <c r="U44" s="67"/>
      <c r="V44" s="67"/>
      <c r="W44" s="88"/>
    </row>
    <row r="45" customFormat="false" ht="6" hidden="false" customHeight="true" outlineLevel="0" collapsed="false">
      <c r="A45" s="112"/>
      <c r="B45" s="67"/>
      <c r="C45" s="68"/>
      <c r="D45" s="68"/>
      <c r="E45" s="68"/>
      <c r="F45" s="68"/>
      <c r="G45" s="68"/>
      <c r="H45" s="68"/>
      <c r="I45" s="68"/>
      <c r="J45" s="68"/>
      <c r="K45" s="68"/>
      <c r="L45" s="68"/>
      <c r="M45" s="67"/>
      <c r="N45" s="67"/>
      <c r="O45" s="67"/>
      <c r="P45" s="67"/>
      <c r="Q45" s="67"/>
      <c r="R45" s="67"/>
      <c r="S45" s="67"/>
      <c r="T45" s="67"/>
      <c r="U45" s="67"/>
      <c r="V45" s="67"/>
      <c r="W45" s="88"/>
    </row>
    <row r="46" customFormat="false" ht="15" hidden="false" customHeight="false" outlineLevel="0" collapsed="false">
      <c r="A46" s="85"/>
      <c r="B46" s="67"/>
      <c r="C46" s="102" t="s">
        <v>33</v>
      </c>
      <c r="D46" s="103" t="str">
        <f aca="false">IF(('Profit &amp; Loss Acc'!B5&lt;Admin!F26)," ",'Profit &amp; Loss Acc'!B12-'Profit &amp; Loss Acc'!B10)</f>
        <v> </v>
      </c>
      <c r="E46" s="103"/>
      <c r="F46" s="103"/>
      <c r="G46" s="104" t="s">
        <v>34</v>
      </c>
      <c r="H46" s="105" t="n">
        <v>0</v>
      </c>
      <c r="I46" s="105" t="n">
        <v>0</v>
      </c>
      <c r="J46" s="67"/>
      <c r="K46" s="67"/>
      <c r="L46" s="67"/>
      <c r="M46" s="67"/>
      <c r="N46" s="102" t="s">
        <v>33</v>
      </c>
      <c r="O46" s="103" t="str">
        <f aca="false">IF(('Profit &amp; Loss Acc'!B5&lt;Admin!F26)," ",'Profit &amp; Loss Acc'!B18)</f>
        <v> </v>
      </c>
      <c r="P46" s="103"/>
      <c r="Q46" s="103"/>
      <c r="R46" s="104" t="s">
        <v>34</v>
      </c>
      <c r="S46" s="105" t="n">
        <v>0</v>
      </c>
      <c r="T46" s="105" t="n">
        <v>0</v>
      </c>
      <c r="U46" s="67"/>
      <c r="V46" s="67"/>
      <c r="W46" s="88"/>
    </row>
    <row r="47" customFormat="false" ht="12" hidden="false" customHeight="false" outlineLevel="0" collapsed="false">
      <c r="A47" s="85"/>
      <c r="B47" s="67"/>
      <c r="C47" s="67"/>
      <c r="D47" s="67"/>
      <c r="E47" s="67"/>
      <c r="F47" s="67"/>
      <c r="G47" s="67"/>
      <c r="H47" s="67"/>
      <c r="I47" s="67"/>
      <c r="J47" s="67"/>
      <c r="K47" s="67"/>
      <c r="L47" s="67"/>
      <c r="M47" s="67"/>
      <c r="N47" s="67"/>
      <c r="O47" s="67"/>
      <c r="P47" s="67"/>
      <c r="Q47" s="67"/>
      <c r="R47" s="67"/>
      <c r="S47" s="67"/>
      <c r="T47" s="67"/>
      <c r="U47" s="67"/>
      <c r="V47" s="67"/>
      <c r="W47" s="88"/>
    </row>
    <row r="48" customFormat="false" ht="12" hidden="false" customHeight="false" outlineLevel="0" collapsed="false">
      <c r="A48" s="81" t="n">
        <v>12</v>
      </c>
      <c r="B48" s="67"/>
      <c r="C48" s="68" t="s">
        <v>54</v>
      </c>
      <c r="D48" s="68"/>
      <c r="E48" s="68"/>
      <c r="F48" s="68"/>
      <c r="G48" s="68"/>
      <c r="H48" s="68"/>
      <c r="I48" s="68"/>
      <c r="J48" s="68"/>
      <c r="K48" s="68"/>
      <c r="L48" s="81" t="n">
        <v>17</v>
      </c>
      <c r="M48" s="67"/>
      <c r="N48" s="68" t="s">
        <v>55</v>
      </c>
      <c r="O48" s="67"/>
      <c r="P48" s="67"/>
      <c r="Q48" s="67"/>
      <c r="R48" s="67"/>
      <c r="S48" s="67"/>
      <c r="T48" s="67"/>
      <c r="U48" s="67"/>
      <c r="V48" s="67"/>
      <c r="W48" s="88"/>
    </row>
    <row r="49" customFormat="false" ht="12.75" hidden="false" customHeight="true" outlineLevel="0" collapsed="false">
      <c r="A49" s="85"/>
      <c r="B49" s="67"/>
      <c r="C49" s="96" t="s">
        <v>56</v>
      </c>
      <c r="D49" s="67"/>
      <c r="E49" s="67"/>
      <c r="F49" s="67"/>
      <c r="G49" s="67"/>
      <c r="H49" s="67"/>
      <c r="I49" s="67"/>
      <c r="J49" s="67"/>
      <c r="K49" s="67"/>
      <c r="L49" s="67"/>
      <c r="M49" s="67"/>
      <c r="N49" s="67"/>
      <c r="O49" s="67"/>
      <c r="P49" s="67"/>
      <c r="Q49" s="67"/>
      <c r="R49" s="67"/>
      <c r="S49" s="67"/>
      <c r="T49" s="67"/>
      <c r="U49" s="67"/>
      <c r="V49" s="67"/>
      <c r="W49" s="88"/>
    </row>
    <row r="50" customFormat="false" ht="6" hidden="false" customHeight="true" outlineLevel="0" collapsed="false">
      <c r="A50" s="112"/>
      <c r="B50" s="67"/>
      <c r="C50" s="68"/>
      <c r="D50" s="68"/>
      <c r="E50" s="68"/>
      <c r="F50" s="68"/>
      <c r="G50" s="68"/>
      <c r="H50" s="68"/>
      <c r="I50" s="68"/>
      <c r="J50" s="68"/>
      <c r="K50" s="68"/>
      <c r="L50" s="68"/>
      <c r="M50" s="67"/>
      <c r="N50" s="67"/>
      <c r="O50" s="67"/>
      <c r="P50" s="67"/>
      <c r="Q50" s="67"/>
      <c r="R50" s="67"/>
      <c r="S50" s="67"/>
      <c r="T50" s="67"/>
      <c r="U50" s="67"/>
      <c r="V50" s="67"/>
      <c r="W50" s="88"/>
    </row>
    <row r="51" customFormat="false" ht="15" hidden="false" customHeight="false" outlineLevel="0" collapsed="false">
      <c r="A51" s="85"/>
      <c r="B51" s="67"/>
      <c r="C51" s="102" t="s">
        <v>33</v>
      </c>
      <c r="D51" s="103"/>
      <c r="E51" s="103"/>
      <c r="F51" s="103"/>
      <c r="G51" s="104" t="s">
        <v>34</v>
      </c>
      <c r="H51" s="105" t="n">
        <v>0</v>
      </c>
      <c r="I51" s="105" t="n">
        <v>0</v>
      </c>
      <c r="J51" s="67"/>
      <c r="K51" s="67"/>
      <c r="L51" s="67"/>
      <c r="M51" s="67"/>
      <c r="N51" s="102" t="s">
        <v>33</v>
      </c>
      <c r="O51" s="103" t="str">
        <f aca="false">IF(('Profit &amp; Loss Acc'!B5&lt;Admin!F26)," ",'Profit &amp; Loss Acc'!B19+'Profit &amp; Loss Acc'!B20)</f>
        <v> </v>
      </c>
      <c r="P51" s="103"/>
      <c r="Q51" s="103"/>
      <c r="R51" s="104" t="s">
        <v>34</v>
      </c>
      <c r="S51" s="105" t="n">
        <v>0</v>
      </c>
      <c r="T51" s="105" t="n">
        <v>0</v>
      </c>
      <c r="U51" s="67"/>
      <c r="V51" s="67"/>
      <c r="W51" s="88"/>
    </row>
    <row r="52" customFormat="false" ht="12.75" hidden="false" customHeight="true" outlineLevel="0" collapsed="false">
      <c r="A52" s="85"/>
      <c r="B52" s="67"/>
      <c r="C52" s="67"/>
      <c r="D52" s="67"/>
      <c r="E52" s="67"/>
      <c r="F52" s="67"/>
      <c r="G52" s="67"/>
      <c r="H52" s="67"/>
      <c r="I52" s="67"/>
      <c r="J52" s="67"/>
      <c r="K52" s="67"/>
      <c r="L52" s="67"/>
      <c r="M52" s="67"/>
      <c r="N52" s="67"/>
      <c r="O52" s="67"/>
      <c r="P52" s="67"/>
      <c r="Q52" s="67"/>
      <c r="R52" s="67"/>
      <c r="S52" s="67"/>
      <c r="T52" s="67"/>
      <c r="U52" s="67"/>
      <c r="V52" s="67"/>
      <c r="W52" s="88"/>
    </row>
    <row r="53" customFormat="false" ht="12" hidden="false" customHeight="false" outlineLevel="0" collapsed="false">
      <c r="A53" s="81" t="n">
        <v>13</v>
      </c>
      <c r="B53" s="67"/>
      <c r="C53" s="68" t="s">
        <v>57</v>
      </c>
      <c r="D53" s="68"/>
      <c r="E53" s="68"/>
      <c r="F53" s="68"/>
      <c r="G53" s="68"/>
      <c r="H53" s="68"/>
      <c r="I53" s="68"/>
      <c r="J53" s="68"/>
      <c r="K53" s="68"/>
      <c r="L53" s="81" t="n">
        <v>18</v>
      </c>
      <c r="M53" s="67"/>
      <c r="N53" s="68" t="s">
        <v>58</v>
      </c>
      <c r="O53" s="67"/>
      <c r="P53" s="67"/>
      <c r="Q53" s="67"/>
      <c r="R53" s="67"/>
      <c r="S53" s="67"/>
      <c r="T53" s="67"/>
      <c r="U53" s="67"/>
      <c r="V53" s="67"/>
      <c r="W53" s="88"/>
    </row>
    <row r="54" customFormat="false" ht="6" hidden="false" customHeight="true" outlineLevel="0" collapsed="false">
      <c r="A54" s="112"/>
      <c r="B54" s="67"/>
      <c r="C54" s="68"/>
      <c r="D54" s="68"/>
      <c r="E54" s="68"/>
      <c r="F54" s="68"/>
      <c r="G54" s="68"/>
      <c r="H54" s="68"/>
      <c r="I54" s="68"/>
      <c r="J54" s="68"/>
      <c r="K54" s="68"/>
      <c r="L54" s="68"/>
      <c r="M54" s="67"/>
      <c r="N54" s="67"/>
      <c r="O54" s="67"/>
      <c r="P54" s="67"/>
      <c r="Q54" s="67"/>
      <c r="R54" s="67"/>
      <c r="S54" s="67"/>
      <c r="T54" s="67"/>
      <c r="U54" s="67"/>
      <c r="V54" s="67"/>
      <c r="W54" s="88"/>
    </row>
    <row r="55" customFormat="false" ht="15" hidden="false" customHeight="false" outlineLevel="0" collapsed="false">
      <c r="A55" s="85"/>
      <c r="B55" s="67"/>
      <c r="C55" s="102" t="s">
        <v>33</v>
      </c>
      <c r="D55" s="103" t="str">
        <f aca="false">IF(('Profit &amp; Loss Acc'!B5&lt;Admin!F26)," ",'Profit &amp; Loss Acc'!B14)</f>
        <v> </v>
      </c>
      <c r="E55" s="103"/>
      <c r="F55" s="103"/>
      <c r="G55" s="104" t="s">
        <v>34</v>
      </c>
      <c r="H55" s="105" t="n">
        <v>0</v>
      </c>
      <c r="I55" s="105" t="n">
        <v>0</v>
      </c>
      <c r="J55" s="67"/>
      <c r="K55" s="67"/>
      <c r="L55" s="67"/>
      <c r="M55" s="67"/>
      <c r="N55" s="102" t="s">
        <v>33</v>
      </c>
      <c r="O55" s="103" t="str">
        <f aca="false">IF(('Profit &amp; Loss Acc'!B5&lt;Admin!F26)," ",'Profit &amp; Loss Acc'!B16)</f>
        <v> </v>
      </c>
      <c r="P55" s="103"/>
      <c r="Q55" s="103"/>
      <c r="R55" s="104" t="s">
        <v>34</v>
      </c>
      <c r="S55" s="105" t="n">
        <v>0</v>
      </c>
      <c r="T55" s="105" t="n">
        <v>0</v>
      </c>
      <c r="U55" s="67"/>
      <c r="V55" s="67"/>
      <c r="W55" s="88"/>
    </row>
    <row r="56" customFormat="false" ht="12" hidden="false" customHeight="false" outlineLevel="0" collapsed="false">
      <c r="A56" s="85"/>
      <c r="B56" s="67"/>
      <c r="C56" s="67"/>
      <c r="D56" s="67"/>
      <c r="E56" s="67"/>
      <c r="F56" s="67"/>
      <c r="G56" s="67"/>
      <c r="H56" s="67"/>
      <c r="I56" s="67"/>
      <c r="J56" s="67"/>
      <c r="K56" s="67"/>
      <c r="L56" s="67"/>
      <c r="M56" s="67"/>
      <c r="N56" s="67"/>
      <c r="O56" s="67"/>
      <c r="P56" s="67"/>
      <c r="Q56" s="67"/>
      <c r="R56" s="67"/>
      <c r="S56" s="67"/>
      <c r="T56" s="67"/>
      <c r="U56" s="67"/>
      <c r="V56" s="67"/>
      <c r="W56" s="88"/>
    </row>
    <row r="57" customFormat="false" ht="12" hidden="false" customHeight="false" outlineLevel="0" collapsed="false">
      <c r="A57" s="81" t="n">
        <v>14</v>
      </c>
      <c r="B57" s="67"/>
      <c r="C57" s="68" t="s">
        <v>59</v>
      </c>
      <c r="D57" s="68"/>
      <c r="E57" s="68"/>
      <c r="F57" s="68"/>
      <c r="G57" s="68"/>
      <c r="H57" s="68"/>
      <c r="I57" s="68"/>
      <c r="J57" s="68"/>
      <c r="K57" s="68"/>
      <c r="L57" s="81" t="n">
        <v>19</v>
      </c>
      <c r="M57" s="67"/>
      <c r="N57" s="68" t="s">
        <v>60</v>
      </c>
      <c r="O57" s="67"/>
      <c r="P57" s="67"/>
      <c r="Q57" s="67"/>
      <c r="R57" s="67"/>
      <c r="S57" s="67"/>
      <c r="T57" s="67"/>
      <c r="U57" s="67"/>
      <c r="V57" s="67"/>
      <c r="W57" s="88"/>
    </row>
    <row r="58" customFormat="false" ht="12" hidden="false" customHeight="false" outlineLevel="0" collapsed="false">
      <c r="A58" s="85"/>
      <c r="B58" s="67"/>
      <c r="C58" s="67"/>
      <c r="D58" s="67"/>
      <c r="E58" s="67"/>
      <c r="F58" s="67"/>
      <c r="G58" s="67"/>
      <c r="H58" s="67"/>
      <c r="I58" s="67"/>
      <c r="J58" s="67"/>
      <c r="K58" s="67"/>
      <c r="L58" s="67"/>
      <c r="M58" s="67"/>
      <c r="N58" s="96" t="s">
        <v>61</v>
      </c>
      <c r="O58" s="67"/>
      <c r="P58" s="67"/>
      <c r="Q58" s="67"/>
      <c r="R58" s="67"/>
      <c r="S58" s="67"/>
      <c r="T58" s="67"/>
      <c r="U58" s="67"/>
      <c r="V58" s="67"/>
      <c r="W58" s="88"/>
    </row>
    <row r="59" customFormat="false" ht="6" hidden="false" customHeight="true" outlineLevel="0" collapsed="false">
      <c r="A59" s="112"/>
      <c r="B59" s="67"/>
      <c r="C59" s="68"/>
      <c r="D59" s="68"/>
      <c r="E59" s="68"/>
      <c r="F59" s="68"/>
      <c r="G59" s="68"/>
      <c r="H59" s="68"/>
      <c r="I59" s="68"/>
      <c r="J59" s="68"/>
      <c r="K59" s="68"/>
      <c r="L59" s="68"/>
      <c r="M59" s="67"/>
      <c r="N59" s="67"/>
      <c r="O59" s="67"/>
      <c r="P59" s="67"/>
      <c r="Q59" s="67"/>
      <c r="R59" s="67"/>
      <c r="S59" s="67"/>
      <c r="T59" s="67"/>
      <c r="U59" s="67"/>
      <c r="V59" s="67"/>
      <c r="W59" s="88"/>
    </row>
    <row r="60" customFormat="false" ht="15" hidden="false" customHeight="false" outlineLevel="0" collapsed="false">
      <c r="A60" s="85"/>
      <c r="B60" s="67"/>
      <c r="C60" s="102" t="s">
        <v>33</v>
      </c>
      <c r="D60" s="103" t="str">
        <f aca="false">IF(('Profit &amp; Loss Acc'!B5&lt;Admin!F26)," ",'Profit &amp; Loss Acc'!B15)</f>
        <v> </v>
      </c>
      <c r="E60" s="103"/>
      <c r="F60" s="103"/>
      <c r="G60" s="104" t="s">
        <v>34</v>
      </c>
      <c r="H60" s="105" t="n">
        <v>0</v>
      </c>
      <c r="I60" s="105" t="n">
        <v>0</v>
      </c>
      <c r="J60" s="67"/>
      <c r="K60" s="67"/>
      <c r="L60" s="67"/>
      <c r="M60" s="67"/>
      <c r="N60" s="102" t="s">
        <v>33</v>
      </c>
      <c r="O60" s="103" t="str">
        <f aca="false">IF(('Profit &amp; Loss Acc'!B5&lt;Admin!F26)," ",'Profit &amp; Loss Acc'!B17+'Profit &amp; Loss Acc'!B21)</f>
        <v> </v>
      </c>
      <c r="P60" s="103"/>
      <c r="Q60" s="103"/>
      <c r="R60" s="104" t="s">
        <v>34</v>
      </c>
      <c r="S60" s="105" t="n">
        <v>0</v>
      </c>
      <c r="T60" s="105" t="n">
        <v>0</v>
      </c>
      <c r="U60" s="67"/>
      <c r="V60" s="67"/>
      <c r="W60" s="88"/>
    </row>
    <row r="61" customFormat="false" ht="12" hidden="false" customHeight="false" outlineLevel="0" collapsed="false">
      <c r="A61" s="85"/>
      <c r="B61" s="67"/>
      <c r="C61" s="67"/>
      <c r="D61" s="67"/>
      <c r="E61" s="67"/>
      <c r="F61" s="67"/>
      <c r="G61" s="67"/>
      <c r="H61" s="67"/>
      <c r="I61" s="67"/>
      <c r="J61" s="67"/>
      <c r="K61" s="67"/>
      <c r="L61" s="67"/>
      <c r="M61" s="67"/>
      <c r="N61" s="67"/>
      <c r="O61" s="67"/>
      <c r="P61" s="67"/>
      <c r="Q61" s="67"/>
      <c r="R61" s="67"/>
      <c r="S61" s="67"/>
      <c r="T61" s="67"/>
      <c r="U61" s="67"/>
      <c r="V61" s="67"/>
      <c r="W61" s="88"/>
    </row>
    <row r="62" customFormat="false" ht="12" hidden="false" customHeight="false" outlineLevel="0" collapsed="false">
      <c r="A62" s="81" t="n">
        <v>15</v>
      </c>
      <c r="B62" s="67"/>
      <c r="C62" s="68" t="s">
        <v>62</v>
      </c>
      <c r="D62" s="68"/>
      <c r="E62" s="68"/>
      <c r="F62" s="68"/>
      <c r="G62" s="68"/>
      <c r="H62" s="68"/>
      <c r="I62" s="68"/>
      <c r="J62" s="68"/>
      <c r="K62" s="68"/>
      <c r="L62" s="81" t="n">
        <v>20</v>
      </c>
      <c r="M62" s="67"/>
      <c r="N62" s="68" t="s">
        <v>63</v>
      </c>
      <c r="O62" s="67"/>
      <c r="P62" s="67"/>
      <c r="Q62" s="67"/>
      <c r="R62" s="67"/>
      <c r="S62" s="67"/>
      <c r="T62" s="67"/>
      <c r="U62" s="67"/>
      <c r="V62" s="67"/>
      <c r="W62" s="88"/>
    </row>
    <row r="63" customFormat="false" ht="6" hidden="false" customHeight="true" outlineLevel="0" collapsed="false">
      <c r="A63" s="112"/>
      <c r="B63" s="67"/>
      <c r="C63" s="68"/>
      <c r="D63" s="68"/>
      <c r="E63" s="68"/>
      <c r="F63" s="68"/>
      <c r="G63" s="68"/>
      <c r="H63" s="68"/>
      <c r="I63" s="68"/>
      <c r="J63" s="68"/>
      <c r="K63" s="68"/>
      <c r="L63" s="68"/>
      <c r="M63" s="67"/>
      <c r="N63" s="67"/>
      <c r="O63" s="67"/>
      <c r="P63" s="67"/>
      <c r="Q63" s="67"/>
      <c r="R63" s="67"/>
      <c r="S63" s="67"/>
      <c r="T63" s="67"/>
      <c r="U63" s="67"/>
      <c r="V63" s="67"/>
      <c r="W63" s="88"/>
    </row>
    <row r="64" customFormat="false" ht="15" hidden="false" customHeight="false" outlineLevel="0" collapsed="false">
      <c r="A64" s="85"/>
      <c r="B64" s="67"/>
      <c r="C64" s="102" t="s">
        <v>33</v>
      </c>
      <c r="D64" s="103"/>
      <c r="E64" s="103"/>
      <c r="F64" s="103"/>
      <c r="G64" s="104" t="s">
        <v>34</v>
      </c>
      <c r="H64" s="105" t="n">
        <v>0</v>
      </c>
      <c r="I64" s="105" t="n">
        <v>0</v>
      </c>
      <c r="J64" s="67"/>
      <c r="K64" s="67"/>
      <c r="L64" s="67"/>
      <c r="M64" s="67"/>
      <c r="N64" s="102" t="s">
        <v>33</v>
      </c>
      <c r="O64" s="103" t="n">
        <f aca="false">'Profit &amp; Loss Acc'!B12+'Profit &amp; Loss Acc'!B22-'Profit &amp; Loss Acc'!B10</f>
        <v>6360</v>
      </c>
      <c r="P64" s="103"/>
      <c r="Q64" s="103"/>
      <c r="R64" s="104" t="s">
        <v>34</v>
      </c>
      <c r="S64" s="105" t="n">
        <v>0</v>
      </c>
      <c r="T64" s="105" t="n">
        <v>0</v>
      </c>
      <c r="U64" s="67"/>
      <c r="V64" s="67"/>
      <c r="W64" s="88"/>
    </row>
    <row r="65" customFormat="false" ht="7.5" hidden="false" customHeight="true" outlineLevel="0" collapsed="false">
      <c r="A65" s="98"/>
      <c r="B65" s="99"/>
      <c r="C65" s="99"/>
      <c r="D65" s="99"/>
      <c r="E65" s="99"/>
      <c r="F65" s="99"/>
      <c r="G65" s="99"/>
      <c r="H65" s="99"/>
      <c r="I65" s="99"/>
      <c r="J65" s="99"/>
      <c r="K65" s="99"/>
      <c r="L65" s="99"/>
      <c r="M65" s="99"/>
      <c r="N65" s="99"/>
      <c r="O65" s="99"/>
      <c r="P65" s="99"/>
      <c r="Q65" s="99"/>
      <c r="R65" s="99"/>
      <c r="S65" s="99"/>
      <c r="T65" s="99"/>
      <c r="U65" s="99"/>
      <c r="V65" s="99"/>
      <c r="W65" s="100"/>
    </row>
    <row r="66" customFormat="false" ht="24.75" hidden="false" customHeight="true" outlineLevel="0" collapsed="false">
      <c r="A66" s="113" t="s">
        <v>64</v>
      </c>
      <c r="B66" s="113"/>
      <c r="C66" s="113"/>
      <c r="D66" s="113"/>
      <c r="E66" s="113"/>
      <c r="F66" s="113"/>
      <c r="G66" s="113"/>
      <c r="H66" s="113"/>
      <c r="I66" s="113"/>
      <c r="J66" s="113"/>
      <c r="K66" s="113"/>
      <c r="L66" s="113"/>
      <c r="M66" s="113"/>
      <c r="N66" s="113"/>
      <c r="O66" s="113"/>
      <c r="P66" s="113"/>
      <c r="Q66" s="113"/>
      <c r="R66" s="113"/>
      <c r="S66" s="113"/>
      <c r="T66" s="113"/>
      <c r="U66" s="113"/>
      <c r="V66" s="113"/>
      <c r="W66" s="113"/>
    </row>
    <row r="67" customFormat="false" ht="7.5" hidden="false" customHeight="true" outlineLevel="0" collapsed="false">
      <c r="A67" s="78"/>
      <c r="B67" s="79"/>
      <c r="C67" s="79"/>
      <c r="D67" s="79"/>
      <c r="E67" s="79"/>
      <c r="F67" s="79"/>
      <c r="G67" s="79"/>
      <c r="H67" s="79"/>
      <c r="I67" s="79"/>
      <c r="J67" s="79"/>
      <c r="K67" s="79"/>
      <c r="L67" s="79"/>
      <c r="M67" s="79"/>
      <c r="N67" s="79"/>
      <c r="O67" s="79"/>
      <c r="P67" s="79"/>
      <c r="Q67" s="79"/>
      <c r="R67" s="79"/>
      <c r="S67" s="79"/>
      <c r="T67" s="79"/>
      <c r="U67" s="79"/>
      <c r="V67" s="79"/>
      <c r="W67" s="80"/>
    </row>
    <row r="68" customFormat="false" ht="12" hidden="false" customHeight="false" outlineLevel="0" collapsed="false">
      <c r="A68" s="81" t="n">
        <v>21</v>
      </c>
      <c r="B68" s="67"/>
      <c r="C68" s="68" t="s">
        <v>65</v>
      </c>
      <c r="D68" s="68"/>
      <c r="E68" s="68"/>
      <c r="F68" s="68"/>
      <c r="G68" s="68"/>
      <c r="H68" s="68"/>
      <c r="I68" s="68"/>
      <c r="J68" s="68"/>
      <c r="K68" s="68"/>
      <c r="L68" s="81" t="n">
        <v>22</v>
      </c>
      <c r="M68" s="67"/>
      <c r="N68" s="68" t="s">
        <v>66</v>
      </c>
      <c r="O68" s="67"/>
      <c r="P68" s="67"/>
      <c r="Q68" s="67"/>
      <c r="R68" s="67"/>
      <c r="S68" s="67"/>
      <c r="T68" s="67"/>
      <c r="U68" s="67"/>
      <c r="V68" s="67"/>
      <c r="W68" s="88"/>
    </row>
    <row r="69" customFormat="false" ht="12" hidden="false" customHeight="false" outlineLevel="0" collapsed="false">
      <c r="A69" s="85"/>
      <c r="B69" s="67"/>
      <c r="C69" s="96" t="s">
        <v>67</v>
      </c>
      <c r="D69" s="68"/>
      <c r="E69" s="68"/>
      <c r="F69" s="68"/>
      <c r="G69" s="68"/>
      <c r="H69" s="68"/>
      <c r="I69" s="68"/>
      <c r="J69" s="68"/>
      <c r="K69" s="68"/>
      <c r="L69" s="67"/>
      <c r="M69" s="67"/>
      <c r="N69" s="96" t="s">
        <v>68</v>
      </c>
      <c r="O69" s="67"/>
      <c r="P69" s="67"/>
      <c r="Q69" s="67"/>
      <c r="R69" s="67"/>
      <c r="S69" s="67"/>
      <c r="T69" s="67"/>
      <c r="U69" s="67"/>
      <c r="V69" s="67"/>
      <c r="W69" s="88"/>
    </row>
    <row r="70" customFormat="false" ht="6" hidden="false" customHeight="true" outlineLevel="0" collapsed="false">
      <c r="A70" s="112"/>
      <c r="B70" s="67"/>
      <c r="C70" s="68"/>
      <c r="D70" s="68"/>
      <c r="E70" s="68"/>
      <c r="F70" s="68"/>
      <c r="G70" s="68"/>
      <c r="H70" s="68"/>
      <c r="I70" s="68"/>
      <c r="J70" s="68"/>
      <c r="K70" s="68"/>
      <c r="L70" s="68"/>
      <c r="M70" s="67"/>
      <c r="N70" s="67"/>
      <c r="O70" s="67"/>
      <c r="P70" s="67"/>
      <c r="Q70" s="67"/>
      <c r="R70" s="67"/>
      <c r="S70" s="67"/>
      <c r="T70" s="67"/>
      <c r="U70" s="67"/>
      <c r="V70" s="67"/>
      <c r="W70" s="88"/>
    </row>
    <row r="71" customFormat="false" ht="15" hidden="false" customHeight="false" outlineLevel="0" collapsed="false">
      <c r="A71" s="85"/>
      <c r="B71" s="67"/>
      <c r="C71" s="102" t="s">
        <v>33</v>
      </c>
      <c r="D71" s="103" t="n">
        <f aca="false">IF((D38+O38-O64)&gt;=0,D38+O38-O64,0)</f>
        <v>29685</v>
      </c>
      <c r="E71" s="103"/>
      <c r="F71" s="103"/>
      <c r="G71" s="104" t="s">
        <v>34</v>
      </c>
      <c r="H71" s="105" t="n">
        <v>0</v>
      </c>
      <c r="I71" s="105" t="n">
        <v>0</v>
      </c>
      <c r="J71" s="67"/>
      <c r="K71" s="67"/>
      <c r="L71" s="67"/>
      <c r="M71" s="67"/>
      <c r="N71" s="102" t="s">
        <v>33</v>
      </c>
      <c r="O71" s="103" t="n">
        <f aca="false">IF((D38+O38-O64)&lt;0,-D38-O38+O64,0)</f>
        <v>0</v>
      </c>
      <c r="P71" s="103"/>
      <c r="Q71" s="103"/>
      <c r="R71" s="104" t="s">
        <v>34</v>
      </c>
      <c r="S71" s="105" t="n">
        <v>0</v>
      </c>
      <c r="T71" s="105" t="n">
        <v>0</v>
      </c>
      <c r="U71" s="67"/>
      <c r="V71" s="67"/>
      <c r="W71" s="114"/>
      <c r="Y71" s="115"/>
      <c r="Z71" s="115"/>
    </row>
    <row r="72" customFormat="false" ht="7.5" hidden="false" customHeight="true" outlineLevel="0" collapsed="false">
      <c r="A72" s="98"/>
      <c r="B72" s="99"/>
      <c r="C72" s="99"/>
      <c r="D72" s="99"/>
      <c r="E72" s="99"/>
      <c r="F72" s="99"/>
      <c r="G72" s="99"/>
      <c r="H72" s="99"/>
      <c r="I72" s="99"/>
      <c r="J72" s="99"/>
      <c r="K72" s="99"/>
      <c r="L72" s="99"/>
      <c r="M72" s="99"/>
      <c r="N72" s="99"/>
      <c r="O72" s="99"/>
      <c r="P72" s="99"/>
      <c r="Q72" s="99"/>
      <c r="R72" s="99"/>
      <c r="S72" s="99"/>
      <c r="T72" s="99"/>
      <c r="U72" s="99"/>
      <c r="V72" s="99"/>
      <c r="W72" s="100"/>
    </row>
    <row r="73" customFormat="false" ht="24.75" hidden="false" customHeight="true" outlineLevel="0" collapsed="false">
      <c r="A73" s="116" t="s">
        <v>69</v>
      </c>
      <c r="B73" s="116"/>
      <c r="C73" s="116"/>
      <c r="D73" s="116"/>
      <c r="E73" s="116"/>
      <c r="F73" s="116"/>
      <c r="G73" s="116"/>
      <c r="H73" s="116"/>
      <c r="I73" s="116"/>
      <c r="J73" s="116"/>
      <c r="K73" s="116"/>
      <c r="L73" s="116"/>
      <c r="M73" s="116"/>
      <c r="N73" s="116"/>
      <c r="O73" s="116"/>
      <c r="P73" s="116"/>
      <c r="Q73" s="116"/>
      <c r="R73" s="116"/>
      <c r="S73" s="116"/>
      <c r="T73" s="116"/>
      <c r="U73" s="116"/>
      <c r="V73" s="116"/>
      <c r="W73" s="116"/>
      <c r="Y73" s="115"/>
      <c r="Z73" s="115"/>
    </row>
    <row r="74" customFormat="false" ht="13.5" hidden="false" customHeight="true" outlineLevel="0" collapsed="false">
      <c r="A74" s="109" t="s">
        <v>70</v>
      </c>
      <c r="B74" s="109"/>
      <c r="C74" s="109"/>
      <c r="D74" s="109"/>
      <c r="E74" s="109"/>
      <c r="F74" s="109"/>
      <c r="G74" s="109"/>
      <c r="H74" s="109"/>
      <c r="I74" s="109"/>
      <c r="J74" s="109"/>
      <c r="K74" s="109"/>
      <c r="L74" s="109"/>
      <c r="M74" s="109"/>
      <c r="N74" s="109"/>
      <c r="O74" s="109"/>
      <c r="P74" s="109"/>
      <c r="Q74" s="109"/>
      <c r="R74" s="109"/>
      <c r="S74" s="109"/>
      <c r="T74" s="109"/>
      <c r="U74" s="109"/>
      <c r="V74" s="109"/>
      <c r="W74" s="109"/>
    </row>
    <row r="75" customFormat="false" ht="13.5" hidden="false" customHeight="true" outlineLevel="0" collapsed="false">
      <c r="A75" s="109" t="s">
        <v>71</v>
      </c>
      <c r="B75" s="109"/>
      <c r="C75" s="109"/>
      <c r="D75" s="109"/>
      <c r="E75" s="109"/>
      <c r="F75" s="109"/>
      <c r="G75" s="109"/>
      <c r="H75" s="109"/>
      <c r="I75" s="109"/>
      <c r="J75" s="109"/>
      <c r="K75" s="109"/>
      <c r="L75" s="109"/>
      <c r="M75" s="109"/>
      <c r="N75" s="109"/>
      <c r="O75" s="109"/>
      <c r="P75" s="109"/>
      <c r="Q75" s="109"/>
      <c r="R75" s="109"/>
      <c r="S75" s="109"/>
      <c r="T75" s="109"/>
      <c r="U75" s="109"/>
      <c r="V75" s="109"/>
      <c r="W75" s="109"/>
      <c r="Y75" s="115"/>
      <c r="Z75" s="115"/>
    </row>
    <row r="76" customFormat="false" ht="13.5" hidden="false" customHeight="true" outlineLevel="0" collapsed="false">
      <c r="A76" s="109" t="s">
        <v>72</v>
      </c>
      <c r="B76" s="109"/>
      <c r="C76" s="109"/>
      <c r="D76" s="109"/>
      <c r="E76" s="109"/>
      <c r="F76" s="109"/>
      <c r="G76" s="109"/>
      <c r="H76" s="109"/>
      <c r="I76" s="109"/>
      <c r="J76" s="109"/>
      <c r="K76" s="109"/>
      <c r="L76" s="109"/>
      <c r="M76" s="109"/>
      <c r="N76" s="109"/>
      <c r="O76" s="109"/>
      <c r="P76" s="109"/>
      <c r="Q76" s="109"/>
      <c r="R76" s="109"/>
      <c r="S76" s="109"/>
      <c r="T76" s="109"/>
      <c r="U76" s="109"/>
      <c r="V76" s="109"/>
      <c r="W76" s="109"/>
    </row>
    <row r="77" customFormat="false" ht="7.5" hidden="false" customHeight="true" outlineLevel="0" collapsed="false">
      <c r="A77" s="78"/>
      <c r="B77" s="79"/>
      <c r="C77" s="79"/>
      <c r="D77" s="79"/>
      <c r="E77" s="79"/>
      <c r="F77" s="79"/>
      <c r="G77" s="79"/>
      <c r="H77" s="79"/>
      <c r="I77" s="79"/>
      <c r="J77" s="79"/>
      <c r="K77" s="79"/>
      <c r="L77" s="79"/>
      <c r="M77" s="79"/>
      <c r="N77" s="79"/>
      <c r="O77" s="79"/>
      <c r="P77" s="79"/>
      <c r="Q77" s="79"/>
      <c r="R77" s="79"/>
      <c r="S77" s="79"/>
      <c r="T77" s="79"/>
      <c r="U77" s="79"/>
      <c r="V77" s="79"/>
      <c r="W77" s="80"/>
    </row>
    <row r="78" customFormat="false" ht="12" hidden="false" customHeight="false" outlineLevel="0" collapsed="false">
      <c r="A78" s="81" t="n">
        <v>23</v>
      </c>
      <c r="B78" s="67"/>
      <c r="C78" s="68" t="s">
        <v>73</v>
      </c>
      <c r="D78" s="68"/>
      <c r="E78" s="68"/>
      <c r="F78" s="68"/>
      <c r="G78" s="68"/>
      <c r="H78" s="68"/>
      <c r="I78" s="68"/>
      <c r="J78" s="68"/>
      <c r="K78" s="68"/>
      <c r="L78" s="81" t="n">
        <v>25</v>
      </c>
      <c r="M78" s="67"/>
      <c r="N78" s="68" t="s">
        <v>74</v>
      </c>
      <c r="O78" s="67"/>
      <c r="P78" s="67"/>
      <c r="Q78" s="67"/>
      <c r="R78" s="67"/>
      <c r="S78" s="67"/>
      <c r="T78" s="67"/>
      <c r="U78" s="67"/>
      <c r="V78" s="67"/>
      <c r="W78" s="88"/>
    </row>
    <row r="79" customFormat="false" ht="12" hidden="false" customHeight="false" outlineLevel="0" collapsed="false">
      <c r="A79" s="112"/>
      <c r="B79" s="67"/>
      <c r="C79" s="68"/>
      <c r="D79" s="68"/>
      <c r="E79" s="68"/>
      <c r="F79" s="68"/>
      <c r="G79" s="68"/>
      <c r="H79" s="68"/>
      <c r="I79" s="68"/>
      <c r="J79" s="68"/>
      <c r="K79" s="68"/>
      <c r="L79" s="67"/>
      <c r="M79" s="67"/>
      <c r="N79" s="67"/>
      <c r="O79" s="67"/>
      <c r="P79" s="67"/>
      <c r="Q79" s="67"/>
      <c r="R79" s="67"/>
      <c r="S79" s="117"/>
      <c r="T79" s="117"/>
      <c r="U79" s="117"/>
      <c r="V79" s="117"/>
      <c r="W79" s="88"/>
    </row>
    <row r="80" customFormat="false" ht="15" hidden="false" customHeight="true" outlineLevel="0" collapsed="false">
      <c r="A80" s="112"/>
      <c r="B80" s="67"/>
      <c r="C80" s="102" t="s">
        <v>33</v>
      </c>
      <c r="D80" s="103" t="n">
        <f aca="false">IF(('Fixed Assets'!I1)&gt;0,'Fixed Assets'!I1,0)</f>
        <v>0</v>
      </c>
      <c r="E80" s="103"/>
      <c r="F80" s="103"/>
      <c r="G80" s="104" t="s">
        <v>34</v>
      </c>
      <c r="H80" s="105" t="n">
        <v>0</v>
      </c>
      <c r="I80" s="105" t="n">
        <v>0</v>
      </c>
      <c r="J80" s="68"/>
      <c r="K80" s="68"/>
      <c r="L80" s="68"/>
      <c r="M80" s="67"/>
      <c r="N80" s="102" t="s">
        <v>33</v>
      </c>
      <c r="O80" s="103" t="n">
        <f aca="false">IF(('Fixed Assets'!J1+'Fixed Assets'!P1)&gt;0,'Fixed Assets'!J1+'Fixed Assets'!P1,0)</f>
        <v>1120</v>
      </c>
      <c r="P80" s="103"/>
      <c r="Q80" s="103"/>
      <c r="R80" s="104" t="s">
        <v>34</v>
      </c>
      <c r="S80" s="105" t="n">
        <v>0</v>
      </c>
      <c r="T80" s="105" t="n">
        <v>0</v>
      </c>
      <c r="U80" s="67"/>
      <c r="V80" s="67"/>
      <c r="W80" s="88"/>
    </row>
    <row r="81" customFormat="false" ht="6" hidden="false" customHeight="true" outlineLevel="0" collapsed="false">
      <c r="A81" s="112"/>
      <c r="B81" s="67"/>
      <c r="C81" s="68"/>
      <c r="D81" s="68"/>
      <c r="E81" s="68"/>
      <c r="F81" s="68"/>
      <c r="G81" s="68"/>
      <c r="H81" s="68"/>
      <c r="I81" s="68"/>
      <c r="J81" s="68"/>
      <c r="K81" s="68"/>
      <c r="L81" s="68"/>
      <c r="M81" s="67"/>
      <c r="N81" s="67"/>
      <c r="O81" s="67"/>
      <c r="P81" s="67"/>
      <c r="Q81" s="67"/>
      <c r="R81" s="67"/>
      <c r="S81" s="67"/>
      <c r="T81" s="67"/>
      <c r="U81" s="67"/>
      <c r="V81" s="67"/>
      <c r="W81" s="88"/>
    </row>
    <row r="82" customFormat="false" ht="12" hidden="false" customHeight="false" outlineLevel="0" collapsed="false">
      <c r="A82" s="81" t="n">
        <v>24</v>
      </c>
      <c r="B82" s="67"/>
      <c r="C82" s="68" t="s">
        <v>75</v>
      </c>
      <c r="D82" s="67"/>
      <c r="E82" s="67"/>
      <c r="F82" s="67"/>
      <c r="G82" s="67"/>
      <c r="H82" s="67"/>
      <c r="I82" s="67"/>
      <c r="J82" s="67"/>
      <c r="K82" s="67"/>
      <c r="L82" s="81" t="n">
        <v>26</v>
      </c>
      <c r="M82" s="67"/>
      <c r="N82" s="68" t="s">
        <v>76</v>
      </c>
      <c r="O82" s="67"/>
      <c r="P82" s="67"/>
      <c r="Q82" s="67"/>
      <c r="R82" s="67"/>
      <c r="S82" s="67"/>
      <c r="T82" s="67"/>
      <c r="U82" s="67"/>
      <c r="V82" s="67"/>
      <c r="W82" s="88"/>
    </row>
    <row r="83" customFormat="false" ht="11.25" hidden="false" customHeight="true" outlineLevel="0" collapsed="false">
      <c r="A83" s="85"/>
      <c r="B83" s="67"/>
      <c r="C83" s="68" t="s">
        <v>77</v>
      </c>
      <c r="D83" s="67"/>
      <c r="E83" s="67"/>
      <c r="F83" s="67"/>
      <c r="G83" s="67"/>
      <c r="H83" s="67"/>
      <c r="I83" s="67"/>
      <c r="J83" s="67"/>
      <c r="K83" s="67"/>
      <c r="L83" s="68"/>
      <c r="M83" s="67"/>
      <c r="N83" s="68" t="s">
        <v>78</v>
      </c>
      <c r="O83" s="117"/>
      <c r="P83" s="117"/>
      <c r="Q83" s="117"/>
      <c r="R83" s="117"/>
      <c r="S83" s="99"/>
      <c r="T83" s="99"/>
      <c r="U83" s="99"/>
      <c r="V83" s="99"/>
      <c r="W83" s="100"/>
    </row>
    <row r="84" customFormat="false" ht="6" hidden="false" customHeight="true" outlineLevel="0" collapsed="false">
      <c r="A84" s="112"/>
      <c r="B84" s="67"/>
      <c r="C84" s="68"/>
      <c r="D84" s="68"/>
      <c r="E84" s="68"/>
      <c r="F84" s="68"/>
      <c r="G84" s="68"/>
      <c r="H84" s="68"/>
      <c r="I84" s="68"/>
      <c r="J84" s="68"/>
      <c r="K84" s="68"/>
      <c r="L84" s="68"/>
      <c r="M84" s="67"/>
      <c r="N84" s="67"/>
      <c r="O84" s="67"/>
      <c r="P84" s="67"/>
      <c r="Q84" s="67"/>
      <c r="R84" s="67"/>
      <c r="S84" s="67"/>
      <c r="T84" s="67"/>
      <c r="U84" s="67"/>
      <c r="V84" s="67"/>
      <c r="W84" s="88"/>
    </row>
    <row r="85" customFormat="false" ht="15" hidden="false" customHeight="false" outlineLevel="0" collapsed="false">
      <c r="A85" s="112"/>
      <c r="B85" s="67"/>
      <c r="C85" s="102" t="s">
        <v>33</v>
      </c>
      <c r="D85" s="103" t="n">
        <f aca="false">IF(('Fixed Assets'!K1+'Fixed Assets'!J1)&lt;1000,'Fixed Assets'!K1,0)</f>
        <v>0</v>
      </c>
      <c r="E85" s="103"/>
      <c r="F85" s="103"/>
      <c r="G85" s="104" t="s">
        <v>34</v>
      </c>
      <c r="H85" s="105" t="n">
        <v>0</v>
      </c>
      <c r="I85" s="105" t="n">
        <v>0</v>
      </c>
      <c r="J85" s="68"/>
      <c r="K85" s="68"/>
      <c r="L85" s="67"/>
      <c r="M85" s="67"/>
      <c r="N85" s="102" t="s">
        <v>33</v>
      </c>
      <c r="O85" s="103" t="n">
        <f aca="false">IF('Fixed Assets'!Q1&gt;0,'Fixed Assets'!Q1,0)</f>
        <v>0</v>
      </c>
      <c r="P85" s="103"/>
      <c r="Q85" s="103"/>
      <c r="R85" s="104" t="s">
        <v>34</v>
      </c>
      <c r="S85" s="105" t="n">
        <v>0</v>
      </c>
      <c r="T85" s="105" t="n">
        <v>0</v>
      </c>
      <c r="U85" s="67"/>
      <c r="V85" s="67"/>
      <c r="W85" s="88"/>
    </row>
    <row r="86" customFormat="false" ht="7.5" hidden="false" customHeight="true" outlineLevel="0" collapsed="false">
      <c r="A86" s="98"/>
      <c r="B86" s="99"/>
      <c r="C86" s="99"/>
      <c r="D86" s="99"/>
      <c r="E86" s="99"/>
      <c r="F86" s="99"/>
      <c r="G86" s="99"/>
      <c r="H86" s="99"/>
      <c r="I86" s="99"/>
      <c r="J86" s="99"/>
      <c r="K86" s="99"/>
      <c r="L86" s="99"/>
      <c r="M86" s="99"/>
      <c r="N86" s="99"/>
      <c r="O86" s="99"/>
      <c r="P86" s="99"/>
      <c r="Q86" s="99"/>
      <c r="R86" s="99"/>
      <c r="S86" s="99"/>
      <c r="T86" s="99"/>
      <c r="U86" s="99"/>
      <c r="V86" s="99"/>
      <c r="W86" s="100"/>
    </row>
    <row r="87" customFormat="false" ht="24.75" hidden="false" customHeight="true" outlineLevel="0" collapsed="false">
      <c r="A87" s="108" t="s">
        <v>79</v>
      </c>
      <c r="B87" s="108"/>
      <c r="C87" s="108"/>
      <c r="D87" s="108"/>
      <c r="E87" s="108"/>
      <c r="F87" s="108"/>
      <c r="G87" s="108"/>
      <c r="H87" s="108"/>
      <c r="I87" s="108"/>
      <c r="J87" s="108"/>
      <c r="K87" s="108"/>
      <c r="L87" s="108"/>
      <c r="M87" s="108"/>
      <c r="N87" s="108"/>
      <c r="O87" s="108"/>
      <c r="P87" s="108"/>
      <c r="Q87" s="108"/>
      <c r="R87" s="108"/>
      <c r="S87" s="108"/>
      <c r="T87" s="108"/>
      <c r="U87" s="108"/>
      <c r="V87" s="108"/>
      <c r="W87" s="108"/>
    </row>
    <row r="88" customFormat="false" ht="15.75" hidden="false" customHeight="true" outlineLevel="0" collapsed="false">
      <c r="A88" s="109" t="s">
        <v>80</v>
      </c>
      <c r="B88" s="109"/>
      <c r="C88" s="109"/>
      <c r="D88" s="109"/>
      <c r="E88" s="109"/>
      <c r="F88" s="109"/>
      <c r="G88" s="109"/>
      <c r="H88" s="109"/>
      <c r="I88" s="109"/>
      <c r="J88" s="109"/>
      <c r="K88" s="109"/>
      <c r="L88" s="109"/>
      <c r="M88" s="109"/>
      <c r="N88" s="109"/>
      <c r="O88" s="109"/>
      <c r="P88" s="109"/>
      <c r="Q88" s="109"/>
      <c r="R88" s="109"/>
      <c r="S88" s="109"/>
      <c r="T88" s="109"/>
      <c r="U88" s="109"/>
      <c r="V88" s="109"/>
      <c r="W88" s="109"/>
    </row>
    <row r="89" customFormat="false" ht="15.75" hidden="false" customHeight="true" outlineLevel="0" collapsed="false">
      <c r="A89" s="109" t="s">
        <v>81</v>
      </c>
      <c r="B89" s="109"/>
      <c r="C89" s="109"/>
      <c r="D89" s="109"/>
      <c r="E89" s="109"/>
      <c r="F89" s="109"/>
      <c r="G89" s="109"/>
      <c r="H89" s="109"/>
      <c r="I89" s="109"/>
      <c r="J89" s="109"/>
      <c r="K89" s="109"/>
      <c r="L89" s="109"/>
      <c r="M89" s="109"/>
      <c r="N89" s="109"/>
      <c r="O89" s="109"/>
      <c r="P89" s="109"/>
      <c r="Q89" s="109"/>
      <c r="R89" s="109"/>
      <c r="S89" s="109"/>
      <c r="T89" s="109"/>
      <c r="U89" s="109"/>
      <c r="V89" s="109"/>
      <c r="W89" s="109"/>
    </row>
    <row r="90" customFormat="false" ht="7.5" hidden="false" customHeight="true" outlineLevel="0" collapsed="false">
      <c r="A90" s="78"/>
      <c r="B90" s="79"/>
      <c r="C90" s="79"/>
      <c r="D90" s="79"/>
      <c r="E90" s="79"/>
      <c r="F90" s="79"/>
      <c r="G90" s="79"/>
      <c r="H90" s="79"/>
      <c r="I90" s="79"/>
      <c r="J90" s="79"/>
      <c r="K90" s="79"/>
      <c r="L90" s="79"/>
      <c r="M90" s="79"/>
      <c r="N90" s="79"/>
      <c r="O90" s="79"/>
      <c r="P90" s="79"/>
      <c r="Q90" s="79"/>
      <c r="R90" s="79"/>
      <c r="S90" s="79"/>
      <c r="T90" s="79"/>
      <c r="U90" s="79"/>
      <c r="V90" s="79"/>
      <c r="W90" s="80"/>
    </row>
    <row r="91" customFormat="false" ht="12" hidden="false" customHeight="false" outlineLevel="0" collapsed="false">
      <c r="A91" s="81" t="n">
        <v>27</v>
      </c>
      <c r="B91" s="67"/>
      <c r="C91" s="68" t="s">
        <v>82</v>
      </c>
      <c r="D91" s="68"/>
      <c r="E91" s="68"/>
      <c r="F91" s="68"/>
      <c r="G91" s="68"/>
      <c r="H91" s="68"/>
      <c r="I91" s="68"/>
      <c r="J91" s="68"/>
      <c r="K91" s="68"/>
      <c r="L91" s="81" t="n">
        <v>29</v>
      </c>
      <c r="M91" s="67"/>
      <c r="N91" s="68" t="s">
        <v>83</v>
      </c>
      <c r="O91" s="67"/>
      <c r="P91" s="67"/>
      <c r="Q91" s="67"/>
      <c r="R91" s="67"/>
      <c r="S91" s="67"/>
      <c r="T91" s="67"/>
      <c r="U91" s="67"/>
      <c r="V91" s="67"/>
      <c r="W91" s="88"/>
    </row>
    <row r="92" customFormat="false" ht="12" hidden="false" customHeight="false" outlineLevel="0" collapsed="false">
      <c r="A92" s="68"/>
      <c r="B92" s="67"/>
      <c r="C92" s="96" t="s">
        <v>84</v>
      </c>
      <c r="D92" s="68"/>
      <c r="E92" s="68"/>
      <c r="F92" s="68"/>
      <c r="G92" s="68"/>
      <c r="H92" s="68"/>
      <c r="I92" s="68"/>
      <c r="J92" s="68"/>
      <c r="K92" s="68"/>
      <c r="L92" s="68"/>
      <c r="M92" s="67"/>
      <c r="N92" s="68" t="s">
        <v>85</v>
      </c>
      <c r="O92" s="117"/>
      <c r="P92" s="117"/>
      <c r="Q92" s="117"/>
      <c r="R92" s="117"/>
      <c r="S92" s="117"/>
      <c r="T92" s="117"/>
      <c r="U92" s="117"/>
      <c r="V92" s="117"/>
      <c r="W92" s="88"/>
    </row>
    <row r="93" customFormat="false" ht="6" hidden="false" customHeight="true" outlineLevel="0" collapsed="false">
      <c r="A93" s="68"/>
      <c r="B93" s="67"/>
      <c r="C93" s="68"/>
      <c r="D93" s="68"/>
      <c r="E93" s="68"/>
      <c r="F93" s="68"/>
      <c r="G93" s="68"/>
      <c r="H93" s="68"/>
      <c r="I93" s="68"/>
      <c r="J93" s="68"/>
      <c r="K93" s="68"/>
      <c r="L93" s="68"/>
      <c r="M93" s="67"/>
      <c r="N93" s="67"/>
      <c r="O93" s="67"/>
      <c r="P93" s="67"/>
      <c r="Q93" s="67"/>
      <c r="R93" s="67"/>
      <c r="S93" s="67"/>
      <c r="T93" s="67"/>
      <c r="U93" s="67"/>
      <c r="V93" s="67"/>
      <c r="W93" s="88"/>
    </row>
    <row r="94" customFormat="false" ht="15" hidden="false" customHeight="false" outlineLevel="0" collapsed="false">
      <c r="A94" s="67"/>
      <c r="B94" s="67"/>
      <c r="C94" s="102" t="s">
        <v>33</v>
      </c>
      <c r="D94" s="103" t="n">
        <f aca="false">'Business Details'!O29</f>
        <v>0</v>
      </c>
      <c r="E94" s="103"/>
      <c r="F94" s="103"/>
      <c r="G94" s="104" t="s">
        <v>34</v>
      </c>
      <c r="H94" s="105" t="n">
        <v>0</v>
      </c>
      <c r="I94" s="105" t="n">
        <v>0</v>
      </c>
      <c r="J94" s="67"/>
      <c r="K94" s="67"/>
      <c r="L94" s="67"/>
      <c r="M94" s="67"/>
      <c r="N94" s="102" t="s">
        <v>33</v>
      </c>
      <c r="O94" s="103" t="n">
        <f aca="false">IF(O106&gt;0,0,IF('Business Details'!D29=0,0,IF(D99&gt;'Business Details'!D29,'Business Details'!D29,D99)))</f>
        <v>0</v>
      </c>
      <c r="P94" s="103"/>
      <c r="Q94" s="103"/>
      <c r="R94" s="104" t="s">
        <v>34</v>
      </c>
      <c r="S94" s="105" t="n">
        <v>0</v>
      </c>
      <c r="T94" s="105" t="n">
        <v>0</v>
      </c>
      <c r="U94" s="67"/>
      <c r="V94" s="67"/>
      <c r="W94" s="88"/>
    </row>
    <row r="95" customFormat="false" ht="12" hidden="false" customHeight="false" outlineLevel="0" collapsed="false">
      <c r="A95" s="67"/>
      <c r="B95" s="67"/>
      <c r="C95" s="67"/>
      <c r="D95" s="67"/>
      <c r="E95" s="67"/>
      <c r="F95" s="67"/>
      <c r="G95" s="67"/>
      <c r="H95" s="67"/>
      <c r="I95" s="67"/>
      <c r="J95" s="67"/>
      <c r="K95" s="67"/>
      <c r="L95" s="67"/>
      <c r="M95" s="67"/>
      <c r="N95" s="67"/>
      <c r="O95" s="67"/>
      <c r="P95" s="67"/>
      <c r="Q95" s="67"/>
      <c r="R95" s="67"/>
      <c r="S95" s="67"/>
      <c r="T95" s="67"/>
      <c r="U95" s="67"/>
      <c r="V95" s="67"/>
      <c r="W95" s="88"/>
    </row>
    <row r="96" customFormat="false" ht="12" hidden="false" customHeight="false" outlineLevel="0" collapsed="false">
      <c r="A96" s="81" t="n">
        <v>28</v>
      </c>
      <c r="B96" s="67"/>
      <c r="C96" s="68" t="s">
        <v>86</v>
      </c>
      <c r="D96" s="68"/>
      <c r="E96" s="68"/>
      <c r="F96" s="68"/>
      <c r="G96" s="68"/>
      <c r="H96" s="68"/>
      <c r="I96" s="68"/>
      <c r="J96" s="68"/>
      <c r="K96" s="68"/>
      <c r="L96" s="81" t="n">
        <v>30</v>
      </c>
      <c r="M96" s="67"/>
      <c r="N96" s="68" t="s">
        <v>87</v>
      </c>
      <c r="O96" s="67"/>
      <c r="P96" s="67"/>
      <c r="Q96" s="67"/>
      <c r="R96" s="67"/>
      <c r="S96" s="67"/>
      <c r="T96" s="67"/>
      <c r="U96" s="67"/>
      <c r="V96" s="67"/>
      <c r="W96" s="88"/>
    </row>
    <row r="97" customFormat="false" ht="12" hidden="false" customHeight="true" outlineLevel="0" collapsed="false">
      <c r="A97" s="112"/>
      <c r="B97" s="67"/>
      <c r="C97" s="68" t="s">
        <v>88</v>
      </c>
      <c r="D97" s="68"/>
      <c r="E97" s="68"/>
      <c r="F97" s="68"/>
      <c r="G97" s="68"/>
      <c r="H97" s="68"/>
      <c r="I97" s="68"/>
      <c r="J97" s="68"/>
      <c r="K97" s="68"/>
      <c r="L97" s="68"/>
      <c r="M97" s="67"/>
      <c r="N97" s="96" t="s">
        <v>89</v>
      </c>
      <c r="O97" s="67"/>
      <c r="P97" s="67"/>
      <c r="Q97" s="67"/>
      <c r="R97" s="67"/>
      <c r="S97" s="67"/>
      <c r="T97" s="67"/>
      <c r="U97" s="67"/>
      <c r="V97" s="67"/>
      <c r="W97" s="88"/>
    </row>
    <row r="98" customFormat="false" ht="6" hidden="false" customHeight="true" outlineLevel="0" collapsed="false">
      <c r="A98" s="112"/>
      <c r="B98" s="67"/>
      <c r="C98" s="68"/>
      <c r="D98" s="68"/>
      <c r="E98" s="68"/>
      <c r="F98" s="68"/>
      <c r="G98" s="68"/>
      <c r="H98" s="68"/>
      <c r="I98" s="68"/>
      <c r="J98" s="68"/>
      <c r="K98" s="68"/>
      <c r="L98" s="68"/>
      <c r="M98" s="67"/>
      <c r="N98" s="67"/>
      <c r="O98" s="67"/>
      <c r="P98" s="67"/>
      <c r="Q98" s="67"/>
      <c r="R98" s="67"/>
      <c r="S98" s="67"/>
      <c r="T98" s="67"/>
      <c r="U98" s="67"/>
      <c r="V98" s="67"/>
      <c r="W98" s="88"/>
    </row>
    <row r="99" customFormat="false" ht="15" hidden="false" customHeight="false" outlineLevel="0" collapsed="false">
      <c r="A99" s="85"/>
      <c r="B99" s="67"/>
      <c r="C99" s="102" t="s">
        <v>33</v>
      </c>
      <c r="D99" s="103" t="n">
        <f aca="false">IF((D71+O85+D94-O71-D80-D85-O80)&gt;0,D71+O85+D94-O71-D80-D85-O80,0)</f>
        <v>28565</v>
      </c>
      <c r="E99" s="103"/>
      <c r="F99" s="103"/>
      <c r="G99" s="104" t="s">
        <v>34</v>
      </c>
      <c r="H99" s="105" t="n">
        <v>0</v>
      </c>
      <c r="I99" s="105" t="n">
        <v>0</v>
      </c>
      <c r="J99" s="67"/>
      <c r="K99" s="67"/>
      <c r="L99" s="68"/>
      <c r="M99" s="67"/>
      <c r="N99" s="102" t="s">
        <v>33</v>
      </c>
      <c r="O99" s="103" t="n">
        <f aca="false">'Profit &amp; Loss Acc'!B24</f>
        <v>500</v>
      </c>
      <c r="P99" s="103"/>
      <c r="Q99" s="103"/>
      <c r="R99" s="104" t="s">
        <v>34</v>
      </c>
      <c r="S99" s="105" t="n">
        <v>0</v>
      </c>
      <c r="T99" s="105" t="n">
        <v>0</v>
      </c>
      <c r="U99" s="67"/>
      <c r="V99" s="67"/>
      <c r="W99" s="88"/>
      <c r="Y99" s="115"/>
      <c r="Z99" s="115"/>
    </row>
    <row r="100" customFormat="false" ht="12" hidden="false" customHeight="true" outlineLevel="0" collapsed="false">
      <c r="A100" s="98"/>
      <c r="B100" s="99"/>
      <c r="C100" s="99"/>
      <c r="D100" s="99"/>
      <c r="E100" s="99"/>
      <c r="F100" s="99"/>
      <c r="G100" s="99"/>
      <c r="H100" s="99"/>
      <c r="I100" s="99"/>
      <c r="J100" s="99"/>
      <c r="K100" s="99"/>
      <c r="L100" s="99"/>
      <c r="M100" s="99"/>
      <c r="N100" s="99"/>
      <c r="O100" s="99"/>
      <c r="P100" s="99"/>
      <c r="Q100" s="99"/>
      <c r="R100" s="99"/>
      <c r="S100" s="99"/>
      <c r="T100" s="99"/>
      <c r="U100" s="99"/>
      <c r="V100" s="99"/>
      <c r="W100" s="100"/>
    </row>
    <row r="101" customFormat="false" ht="24.75" hidden="false" customHeight="true" outlineLevel="0" collapsed="false">
      <c r="A101" s="116" t="s">
        <v>90</v>
      </c>
      <c r="B101" s="116"/>
      <c r="C101" s="116"/>
      <c r="D101" s="116"/>
      <c r="E101" s="116"/>
      <c r="F101" s="116"/>
      <c r="G101" s="116"/>
      <c r="H101" s="116"/>
      <c r="I101" s="116"/>
      <c r="J101" s="116"/>
      <c r="K101" s="116"/>
      <c r="L101" s="116"/>
      <c r="M101" s="116"/>
      <c r="N101" s="116"/>
      <c r="O101" s="116"/>
      <c r="P101" s="116"/>
      <c r="Q101" s="116"/>
      <c r="R101" s="116"/>
      <c r="S101" s="116"/>
      <c r="T101" s="116"/>
      <c r="U101" s="116"/>
      <c r="V101" s="116"/>
      <c r="W101" s="116"/>
    </row>
    <row r="102" customFormat="false" ht="7.5" hidden="false" customHeight="true" outlineLevel="0" collapsed="false">
      <c r="A102" s="78"/>
      <c r="B102" s="79"/>
      <c r="C102" s="79"/>
      <c r="D102" s="79"/>
      <c r="E102" s="79"/>
      <c r="F102" s="79"/>
      <c r="G102" s="79"/>
      <c r="H102" s="79"/>
      <c r="I102" s="79"/>
      <c r="J102" s="79"/>
      <c r="K102" s="79"/>
      <c r="L102" s="79"/>
      <c r="M102" s="79"/>
      <c r="N102" s="79"/>
      <c r="O102" s="79"/>
      <c r="P102" s="79"/>
      <c r="Q102" s="79"/>
      <c r="R102" s="79"/>
      <c r="S102" s="79"/>
      <c r="T102" s="79"/>
      <c r="U102" s="79"/>
      <c r="V102" s="79"/>
      <c r="W102" s="80"/>
    </row>
    <row r="103" customFormat="false" ht="12" hidden="false" customHeight="false" outlineLevel="0" collapsed="false">
      <c r="A103" s="81" t="n">
        <v>31</v>
      </c>
      <c r="B103" s="67"/>
      <c r="C103" s="68" t="s">
        <v>91</v>
      </c>
      <c r="D103" s="68"/>
      <c r="E103" s="68"/>
      <c r="F103" s="68"/>
      <c r="G103" s="68"/>
      <c r="H103" s="68"/>
      <c r="I103" s="68"/>
      <c r="J103" s="68"/>
      <c r="K103" s="68"/>
      <c r="L103" s="81" t="n">
        <v>32</v>
      </c>
      <c r="M103" s="67"/>
      <c r="N103" s="68" t="s">
        <v>92</v>
      </c>
      <c r="O103" s="67"/>
      <c r="P103" s="67"/>
      <c r="Q103" s="67"/>
      <c r="R103" s="67"/>
      <c r="S103" s="67"/>
      <c r="T103" s="67"/>
      <c r="U103" s="67"/>
      <c r="V103" s="67"/>
      <c r="W103" s="88"/>
    </row>
    <row r="104" customFormat="false" ht="12" hidden="false" customHeight="true" outlineLevel="0" collapsed="false">
      <c r="A104" s="85"/>
      <c r="B104" s="67"/>
      <c r="C104" s="86" t="s">
        <v>93</v>
      </c>
      <c r="D104" s="118"/>
      <c r="E104" s="118"/>
      <c r="F104" s="118"/>
      <c r="G104" s="104"/>
      <c r="H104" s="107"/>
      <c r="I104" s="107"/>
      <c r="J104" s="67"/>
      <c r="K104" s="67"/>
      <c r="L104" s="68"/>
      <c r="M104" s="67"/>
      <c r="N104" s="68" t="s">
        <v>94</v>
      </c>
      <c r="O104" s="67"/>
      <c r="P104" s="67"/>
      <c r="Q104" s="67"/>
      <c r="R104" s="67"/>
      <c r="S104" s="67"/>
      <c r="T104" s="67"/>
      <c r="U104" s="67"/>
      <c r="V104" s="67"/>
      <c r="W104" s="88"/>
    </row>
    <row r="105" customFormat="false" ht="6" hidden="false" customHeight="true" outlineLevel="0" collapsed="false">
      <c r="A105" s="112"/>
      <c r="B105" s="67"/>
      <c r="C105" s="68"/>
      <c r="D105" s="68"/>
      <c r="E105" s="68"/>
      <c r="F105" s="68"/>
      <c r="G105" s="68"/>
      <c r="H105" s="68"/>
      <c r="I105" s="68"/>
      <c r="J105" s="68"/>
      <c r="K105" s="68"/>
      <c r="L105" s="68"/>
      <c r="M105" s="67"/>
      <c r="N105" s="67"/>
      <c r="O105" s="67"/>
      <c r="P105" s="67"/>
      <c r="Q105" s="67"/>
      <c r="R105" s="67"/>
      <c r="S105" s="67"/>
      <c r="T105" s="67"/>
      <c r="U105" s="67"/>
      <c r="V105" s="67"/>
      <c r="W105" s="88"/>
    </row>
    <row r="106" customFormat="false" ht="15" hidden="false" customHeight="false" outlineLevel="0" collapsed="false">
      <c r="A106" s="112"/>
      <c r="B106" s="67"/>
      <c r="C106" s="102" t="s">
        <v>33</v>
      </c>
      <c r="D106" s="103" t="n">
        <f aca="false">IF((D99+O99-O94)&gt;0,D99+O99-O94,0)</f>
        <v>29065</v>
      </c>
      <c r="E106" s="103"/>
      <c r="F106" s="103"/>
      <c r="G106" s="104" t="s">
        <v>34</v>
      </c>
      <c r="H106" s="105" t="n">
        <v>0</v>
      </c>
      <c r="I106" s="105" t="n">
        <v>0</v>
      </c>
      <c r="J106" s="68"/>
      <c r="K106" s="68"/>
      <c r="L106" s="68"/>
      <c r="M106" s="67"/>
      <c r="N106" s="102" t="s">
        <v>33</v>
      </c>
      <c r="O106" s="103" t="n">
        <f aca="false">IF((O71+D80+D85+O80-D71-O85-D94)&gt;=0,O71+D80+D85+O80-D71-O85-D94,0)</f>
        <v>0</v>
      </c>
      <c r="P106" s="103"/>
      <c r="Q106" s="103"/>
      <c r="R106" s="104" t="s">
        <v>34</v>
      </c>
      <c r="S106" s="105" t="n">
        <v>0</v>
      </c>
      <c r="T106" s="105" t="n">
        <v>0</v>
      </c>
      <c r="U106" s="67"/>
      <c r="V106" s="67"/>
      <c r="W106" s="88"/>
    </row>
    <row r="107" customFormat="false" ht="6" hidden="false" customHeight="true" outlineLevel="0" collapsed="false">
      <c r="A107" s="98"/>
      <c r="B107" s="99"/>
      <c r="C107" s="99"/>
      <c r="D107" s="99"/>
      <c r="E107" s="99"/>
      <c r="F107" s="99"/>
      <c r="G107" s="99"/>
      <c r="H107" s="99"/>
      <c r="I107" s="99"/>
      <c r="J107" s="99"/>
      <c r="K107" s="99"/>
      <c r="L107" s="99"/>
      <c r="M107" s="99"/>
      <c r="N107" s="119"/>
      <c r="O107" s="99"/>
      <c r="P107" s="99"/>
      <c r="Q107" s="99"/>
      <c r="R107" s="99"/>
      <c r="S107" s="99"/>
      <c r="T107" s="99"/>
      <c r="U107" s="99"/>
      <c r="V107" s="99"/>
      <c r="W107" s="100"/>
    </row>
    <row r="108" customFormat="false" ht="24.75" hidden="false" customHeight="true" outlineLevel="0" collapsed="false">
      <c r="A108" s="108" t="s">
        <v>95</v>
      </c>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row>
    <row r="109" customFormat="false" ht="15.75" hidden="false" customHeight="true" outlineLevel="0" collapsed="false">
      <c r="A109" s="109" t="s">
        <v>96</v>
      </c>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row>
    <row r="110" customFormat="false" ht="7.5" hidden="false" customHeight="true" outlineLevel="0" collapsed="false">
      <c r="A110" s="78"/>
      <c r="B110" s="79"/>
      <c r="C110" s="79"/>
      <c r="D110" s="79"/>
      <c r="E110" s="79"/>
      <c r="F110" s="79"/>
      <c r="G110" s="79"/>
      <c r="H110" s="79"/>
      <c r="I110" s="79"/>
      <c r="J110" s="79"/>
      <c r="K110" s="79"/>
      <c r="L110" s="79"/>
      <c r="M110" s="79"/>
      <c r="N110" s="79"/>
      <c r="O110" s="79"/>
      <c r="P110" s="79"/>
      <c r="Q110" s="79"/>
      <c r="R110" s="79"/>
      <c r="S110" s="79"/>
      <c r="T110" s="79"/>
      <c r="U110" s="79"/>
      <c r="V110" s="79"/>
      <c r="W110" s="80"/>
    </row>
    <row r="111" customFormat="false" ht="12" hidden="false" customHeight="false" outlineLevel="0" collapsed="false">
      <c r="A111" s="81" t="n">
        <v>33</v>
      </c>
      <c r="B111" s="67"/>
      <c r="C111" s="68" t="s">
        <v>97</v>
      </c>
      <c r="D111" s="68"/>
      <c r="E111" s="68"/>
      <c r="F111" s="68"/>
      <c r="G111" s="68"/>
      <c r="H111" s="68"/>
      <c r="I111" s="68"/>
      <c r="J111" s="68"/>
      <c r="K111" s="68"/>
      <c r="L111" s="81" t="n">
        <v>36</v>
      </c>
      <c r="M111" s="67"/>
      <c r="N111" s="68" t="str">
        <f aca="false">"If your total profits for "&amp;Admin!G2&amp;" are less than £"&amp;TEXT(Admin!N16,"#,##0")&amp;" and you"</f>
        <v>If your total profits for 2026-27 are less than £7,105 and you</v>
      </c>
      <c r="O111" s="67"/>
      <c r="P111" s="67"/>
      <c r="Q111" s="67"/>
      <c r="R111" s="67"/>
      <c r="S111" s="67"/>
      <c r="T111" s="67"/>
      <c r="U111" s="67"/>
      <c r="V111" s="67"/>
      <c r="W111" s="88"/>
    </row>
    <row r="112" customFormat="false" ht="12" hidden="false" customHeight="false" outlineLevel="0" collapsed="false">
      <c r="A112" s="112"/>
      <c r="B112" s="67"/>
      <c r="C112" s="68" t="s">
        <v>98</v>
      </c>
      <c r="D112" s="120" t="str">
        <f aca="false">Admin!G$2</f>
        <v>2026-27</v>
      </c>
      <c r="E112" s="120"/>
      <c r="F112" s="120"/>
      <c r="G112" s="68"/>
      <c r="H112" s="68"/>
      <c r="I112" s="68"/>
      <c r="J112" s="68"/>
      <c r="K112" s="68"/>
      <c r="L112" s="68"/>
      <c r="M112" s="67"/>
      <c r="N112" s="68" t="s">
        <v>99</v>
      </c>
      <c r="O112" s="117"/>
      <c r="P112" s="117"/>
      <c r="Q112" s="117"/>
      <c r="R112" s="117"/>
      <c r="S112" s="117"/>
      <c r="T112" s="117"/>
      <c r="U112" s="117"/>
      <c r="V112" s="117"/>
      <c r="W112" s="88"/>
    </row>
    <row r="113" customFormat="false" ht="6" hidden="false" customHeight="true" outlineLevel="0" collapsed="false">
      <c r="A113" s="112"/>
      <c r="B113" s="67"/>
      <c r="C113" s="68"/>
      <c r="D113" s="68"/>
      <c r="E113" s="68"/>
      <c r="F113" s="68"/>
      <c r="G113" s="68"/>
      <c r="H113" s="68"/>
      <c r="I113" s="68"/>
      <c r="J113" s="68"/>
      <c r="K113" s="68"/>
      <c r="L113" s="68"/>
      <c r="M113" s="67"/>
      <c r="N113" s="67"/>
      <c r="O113" s="67"/>
      <c r="P113" s="67"/>
      <c r="Q113" s="67"/>
      <c r="R113" s="67"/>
      <c r="S113" s="67"/>
      <c r="T113" s="67"/>
      <c r="U113" s="67"/>
      <c r="V113" s="67"/>
      <c r="W113" s="88"/>
    </row>
    <row r="114" customFormat="false" ht="15" hidden="false" customHeight="false" outlineLevel="0" collapsed="false">
      <c r="A114" s="85"/>
      <c r="B114" s="67"/>
      <c r="C114" s="102" t="s">
        <v>33</v>
      </c>
      <c r="D114" s="103"/>
      <c r="E114" s="103"/>
      <c r="F114" s="103"/>
      <c r="G114" s="104" t="s">
        <v>34</v>
      </c>
      <c r="H114" s="105" t="n">
        <v>0</v>
      </c>
      <c r="I114" s="105" t="n">
        <v>0</v>
      </c>
      <c r="J114" s="67"/>
      <c r="K114" s="67"/>
      <c r="L114" s="67"/>
      <c r="M114" s="67"/>
      <c r="N114" s="81"/>
      <c r="O114" s="118"/>
      <c r="P114" s="118"/>
      <c r="Q114" s="118"/>
      <c r="R114" s="104"/>
      <c r="S114" s="107"/>
      <c r="T114" s="107"/>
      <c r="U114" s="67"/>
      <c r="V114" s="67"/>
      <c r="W114" s="88"/>
    </row>
    <row r="115" customFormat="false" ht="12" hidden="false" customHeight="false" outlineLevel="0" collapsed="false">
      <c r="A115" s="85"/>
      <c r="B115" s="67"/>
      <c r="C115" s="67"/>
      <c r="D115" s="67"/>
      <c r="E115" s="67"/>
      <c r="F115" s="67"/>
      <c r="G115" s="67"/>
      <c r="H115" s="67"/>
      <c r="I115" s="67"/>
      <c r="J115" s="67"/>
      <c r="K115" s="67"/>
      <c r="L115" s="67"/>
      <c r="M115" s="67"/>
      <c r="N115" s="67"/>
      <c r="O115" s="67"/>
      <c r="P115" s="67"/>
      <c r="Q115" s="67"/>
      <c r="R115" s="67"/>
      <c r="S115" s="67"/>
      <c r="T115" s="67"/>
      <c r="U115" s="67"/>
      <c r="V115" s="67"/>
      <c r="W115" s="88"/>
    </row>
    <row r="116" customFormat="false" ht="12" hidden="false" customHeight="false" outlineLevel="0" collapsed="false">
      <c r="A116" s="81" t="n">
        <v>34</v>
      </c>
      <c r="B116" s="67"/>
      <c r="C116" s="68" t="s">
        <v>100</v>
      </c>
      <c r="D116" s="68"/>
      <c r="E116" s="68"/>
      <c r="F116" s="68"/>
      <c r="G116" s="68"/>
      <c r="H116" s="68"/>
      <c r="I116" s="68"/>
      <c r="J116" s="68"/>
      <c r="K116" s="68"/>
      <c r="L116" s="81" t="n">
        <v>37</v>
      </c>
      <c r="M116" s="67"/>
      <c r="N116" s="68" t="s">
        <v>101</v>
      </c>
      <c r="O116" s="67"/>
      <c r="P116" s="67"/>
      <c r="Q116" s="67"/>
      <c r="R116" s="120"/>
      <c r="S116" s="120"/>
      <c r="T116" s="120"/>
      <c r="U116" s="68"/>
      <c r="V116" s="67"/>
      <c r="W116" s="88"/>
    </row>
    <row r="117" customFormat="false" ht="12" hidden="false" customHeight="true" outlineLevel="0" collapsed="false">
      <c r="A117" s="112"/>
      <c r="B117" s="67"/>
      <c r="C117" s="68" t="s">
        <v>102</v>
      </c>
      <c r="D117" s="68"/>
      <c r="E117" s="68"/>
      <c r="F117" s="68"/>
      <c r="G117" s="68"/>
      <c r="H117" s="68"/>
      <c r="I117" s="68"/>
      <c r="J117" s="68"/>
      <c r="K117" s="68"/>
      <c r="L117" s="68"/>
      <c r="M117" s="67"/>
      <c r="N117" s="68" t="s">
        <v>103</v>
      </c>
      <c r="O117" s="67"/>
      <c r="P117" s="67"/>
      <c r="Q117" s="67"/>
      <c r="R117" s="67"/>
      <c r="S117" s="67"/>
      <c r="T117" s="67"/>
      <c r="U117" s="67"/>
      <c r="V117" s="67"/>
      <c r="W117" s="88"/>
    </row>
    <row r="118" customFormat="false" ht="12" hidden="false" customHeight="true" outlineLevel="0" collapsed="false">
      <c r="A118" s="112"/>
      <c r="B118" s="67"/>
      <c r="C118" s="68"/>
      <c r="D118" s="68"/>
      <c r="E118" s="68"/>
      <c r="F118" s="68"/>
      <c r="G118" s="68"/>
      <c r="H118" s="68"/>
      <c r="I118" s="68"/>
      <c r="J118" s="68"/>
      <c r="K118" s="68"/>
      <c r="L118" s="68"/>
      <c r="M118" s="67"/>
      <c r="N118" s="97"/>
      <c r="O118" s="67"/>
      <c r="P118" s="67"/>
      <c r="Q118" s="67"/>
      <c r="R118" s="67"/>
      <c r="S118" s="67"/>
      <c r="T118" s="67"/>
      <c r="U118" s="67"/>
      <c r="V118" s="67"/>
      <c r="W118" s="88"/>
    </row>
    <row r="119" customFormat="false" ht="15" hidden="false" customHeight="false" outlineLevel="0" collapsed="false">
      <c r="A119" s="85"/>
      <c r="B119" s="67"/>
      <c r="C119" s="102" t="s">
        <v>33</v>
      </c>
      <c r="D119" s="103"/>
      <c r="E119" s="103"/>
      <c r="F119" s="103"/>
      <c r="G119" s="104" t="s">
        <v>34</v>
      </c>
      <c r="H119" s="105" t="n">
        <v>0</v>
      </c>
      <c r="I119" s="105" t="n">
        <v>0</v>
      </c>
      <c r="J119" s="67"/>
      <c r="K119" s="67"/>
      <c r="L119" s="68"/>
      <c r="M119" s="67"/>
      <c r="N119" s="81"/>
      <c r="O119" s="67"/>
      <c r="P119" s="67"/>
      <c r="Q119" s="67"/>
      <c r="R119" s="67"/>
      <c r="S119" s="67"/>
      <c r="T119" s="67"/>
      <c r="U119" s="67"/>
      <c r="V119" s="67"/>
      <c r="W119" s="88"/>
    </row>
    <row r="120" customFormat="false" ht="12" hidden="false" customHeight="false" outlineLevel="0" collapsed="false">
      <c r="A120" s="81" t="n">
        <v>35</v>
      </c>
      <c r="B120" s="67"/>
      <c r="C120" s="68" t="s">
        <v>104</v>
      </c>
      <c r="D120" s="68"/>
      <c r="E120" s="68"/>
      <c r="F120" s="68"/>
      <c r="G120" s="68"/>
      <c r="H120" s="68"/>
      <c r="I120" s="68"/>
      <c r="J120" s="68"/>
      <c r="K120" s="68"/>
      <c r="L120" s="81" t="n">
        <v>38</v>
      </c>
      <c r="M120" s="67"/>
      <c r="N120" s="68" t="s">
        <v>105</v>
      </c>
      <c r="O120" s="67"/>
      <c r="P120" s="67"/>
      <c r="Q120" s="67"/>
      <c r="R120" s="67"/>
      <c r="S120" s="67"/>
      <c r="T120" s="67"/>
      <c r="U120" s="67"/>
      <c r="V120" s="67"/>
      <c r="W120" s="88"/>
    </row>
    <row r="121" customFormat="false" ht="12" hidden="false" customHeight="true" outlineLevel="0" collapsed="false">
      <c r="A121" s="112"/>
      <c r="B121" s="67"/>
      <c r="C121" s="96" t="s">
        <v>106</v>
      </c>
      <c r="D121" s="68"/>
      <c r="E121" s="68"/>
      <c r="F121" s="68"/>
      <c r="G121" s="68"/>
      <c r="H121" s="68"/>
      <c r="I121" s="68"/>
      <c r="J121" s="68"/>
      <c r="K121" s="68"/>
      <c r="L121" s="68"/>
      <c r="M121" s="67"/>
      <c r="N121" s="68" t="s">
        <v>107</v>
      </c>
      <c r="O121" s="67"/>
      <c r="P121" s="67"/>
      <c r="Q121" s="67"/>
      <c r="R121" s="67"/>
      <c r="S121" s="67"/>
      <c r="T121" s="67"/>
      <c r="U121" s="67"/>
      <c r="V121" s="67"/>
      <c r="W121" s="88"/>
    </row>
    <row r="122" customFormat="false" ht="6" hidden="false" customHeight="true" outlineLevel="0" collapsed="false">
      <c r="A122" s="112"/>
      <c r="B122" s="67"/>
      <c r="C122" s="68"/>
      <c r="D122" s="68"/>
      <c r="E122" s="68"/>
      <c r="F122" s="68"/>
      <c r="G122" s="68"/>
      <c r="H122" s="68"/>
      <c r="I122" s="68"/>
      <c r="J122" s="68"/>
      <c r="K122" s="68"/>
      <c r="L122" s="68"/>
      <c r="M122" s="67"/>
      <c r="N122" s="67"/>
      <c r="O122" s="67"/>
      <c r="P122" s="67"/>
      <c r="Q122" s="67"/>
      <c r="R122" s="67"/>
      <c r="S122" s="67"/>
      <c r="T122" s="67"/>
      <c r="U122" s="67"/>
      <c r="V122" s="67"/>
      <c r="W122" s="88"/>
    </row>
    <row r="123" customFormat="false" ht="15" hidden="false" customHeight="false" outlineLevel="0" collapsed="false">
      <c r="A123" s="85"/>
      <c r="B123" s="67"/>
      <c r="C123" s="102" t="s">
        <v>33</v>
      </c>
      <c r="D123" s="103" t="n">
        <f aca="false">'Business Details'!O34</f>
        <v>0</v>
      </c>
      <c r="E123" s="103"/>
      <c r="F123" s="103"/>
      <c r="G123" s="104" t="s">
        <v>34</v>
      </c>
      <c r="H123" s="105" t="n">
        <v>0</v>
      </c>
      <c r="I123" s="105" t="n">
        <v>0</v>
      </c>
      <c r="J123" s="67"/>
      <c r="K123" s="67"/>
      <c r="L123" s="68"/>
      <c r="M123" s="67"/>
      <c r="N123" s="102" t="s">
        <v>33</v>
      </c>
      <c r="O123" s="103" t="n">
        <v>0</v>
      </c>
      <c r="P123" s="103"/>
      <c r="Q123" s="103"/>
      <c r="R123" s="104" t="s">
        <v>34</v>
      </c>
      <c r="S123" s="105" t="n">
        <v>0</v>
      </c>
      <c r="T123" s="105" t="n">
        <v>0</v>
      </c>
      <c r="U123" s="67"/>
      <c r="V123" s="67"/>
      <c r="W123" s="88"/>
    </row>
    <row r="124" customFormat="false" ht="12" hidden="false" customHeight="true" outlineLevel="0" collapsed="false">
      <c r="A124" s="98"/>
      <c r="B124" s="99"/>
      <c r="C124" s="99"/>
      <c r="D124" s="99"/>
      <c r="E124" s="99"/>
      <c r="F124" s="99"/>
      <c r="G124" s="99"/>
      <c r="H124" s="99"/>
      <c r="I124" s="99"/>
      <c r="J124" s="99"/>
      <c r="K124" s="99"/>
      <c r="L124" s="119"/>
      <c r="M124" s="99"/>
      <c r="N124" s="121"/>
      <c r="O124" s="122"/>
      <c r="P124" s="122"/>
      <c r="Q124" s="122"/>
      <c r="R124" s="123"/>
      <c r="S124" s="124"/>
      <c r="T124" s="124"/>
      <c r="U124" s="99"/>
      <c r="V124" s="99"/>
      <c r="W124" s="100"/>
    </row>
  </sheetData>
  <mergeCells count="67">
    <mergeCell ref="A1:F2"/>
    <mergeCell ref="G1:N2"/>
    <mergeCell ref="O1:W1"/>
    <mergeCell ref="O2:P2"/>
    <mergeCell ref="Q2:T2"/>
    <mergeCell ref="V2:W2"/>
    <mergeCell ref="A3:W3"/>
    <mergeCell ref="A4:W4"/>
    <mergeCell ref="C8:J8"/>
    <mergeCell ref="O8:P8"/>
    <mergeCell ref="R8:U8"/>
    <mergeCell ref="A10:W10"/>
    <mergeCell ref="C13:J13"/>
    <mergeCell ref="C15:J15"/>
    <mergeCell ref="C17:J17"/>
    <mergeCell ref="S17:V17"/>
    <mergeCell ref="N18:V18"/>
    <mergeCell ref="N20:Q20"/>
    <mergeCell ref="C22:D22"/>
    <mergeCell ref="S23:V23"/>
    <mergeCell ref="N26:Q26"/>
    <mergeCell ref="N31:Q31"/>
    <mergeCell ref="A33:W33"/>
    <mergeCell ref="D38:F38"/>
    <mergeCell ref="O38:Q38"/>
    <mergeCell ref="A40:W40"/>
    <mergeCell ref="A41:W41"/>
    <mergeCell ref="A42:W42"/>
    <mergeCell ref="D46:F46"/>
    <mergeCell ref="O46:Q46"/>
    <mergeCell ref="D51:F51"/>
    <mergeCell ref="O51:Q51"/>
    <mergeCell ref="D55:F55"/>
    <mergeCell ref="O55:Q55"/>
    <mergeCell ref="D60:F60"/>
    <mergeCell ref="O60:Q60"/>
    <mergeCell ref="D64:F64"/>
    <mergeCell ref="O64:Q64"/>
    <mergeCell ref="A66:W66"/>
    <mergeCell ref="D71:F71"/>
    <mergeCell ref="O71:Q71"/>
    <mergeCell ref="A73:W73"/>
    <mergeCell ref="A74:W74"/>
    <mergeCell ref="A75:W75"/>
    <mergeCell ref="A76:W76"/>
    <mergeCell ref="D80:F80"/>
    <mergeCell ref="O80:Q80"/>
    <mergeCell ref="D85:F85"/>
    <mergeCell ref="O85:Q85"/>
    <mergeCell ref="A87:W87"/>
    <mergeCell ref="A88:W88"/>
    <mergeCell ref="A89:W89"/>
    <mergeCell ref="D94:F94"/>
    <mergeCell ref="O94:Q94"/>
    <mergeCell ref="D99:F99"/>
    <mergeCell ref="O99:Q99"/>
    <mergeCell ref="A101:W101"/>
    <mergeCell ref="D106:F106"/>
    <mergeCell ref="O106:Q106"/>
    <mergeCell ref="A108:W108"/>
    <mergeCell ref="A109:W109"/>
    <mergeCell ref="D112:F112"/>
    <mergeCell ref="D114:F114"/>
    <mergeCell ref="R116:T116"/>
    <mergeCell ref="D119:F119"/>
    <mergeCell ref="D123:F123"/>
    <mergeCell ref="O123:Q123"/>
  </mergeCells>
  <printOptions headings="false" gridLines="false" gridLinesSet="true" horizontalCentered="true" verticalCentered="true"/>
  <pageMargins left="0.39375" right="0.39375" top="0.196527777777778" bottom="0.1965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rowBreaks count="1" manualBreakCount="1">
    <brk id="65" man="true" max="16383" min="0"/>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customHeight="false" zeroHeight="false" outlineLevelRow="0" outlineLevelCol="0"/>
  <cols>
    <col collapsed="false" customWidth="true" hidden="false" outlineLevel="0" max="1" min="1" style="125" width="24.5"/>
    <col collapsed="false" customWidth="true" hidden="false" outlineLevel="0" max="2" min="2" style="126" width="8.66"/>
    <col collapsed="false" customWidth="true" hidden="false" outlineLevel="0" max="3" min="3" style="126" width="10.82"/>
    <col collapsed="false" customWidth="true" hidden="false" outlineLevel="0" max="8" min="4" style="126" width="8.33"/>
    <col collapsed="false" customWidth="true" hidden="false" outlineLevel="0" max="9" min="9" style="126" width="11.32"/>
    <col collapsed="false" customWidth="true" hidden="false" outlineLevel="0" max="10" min="10" style="126" width="8.66"/>
    <col collapsed="false" customWidth="true" hidden="false" outlineLevel="0" max="14" min="11" style="126" width="8.33"/>
    <col collapsed="false" customWidth="true" hidden="false" outlineLevel="0" max="15" min="15" style="125" width="1.66"/>
    <col collapsed="false" customWidth="false" hidden="false" outlineLevel="0" max="16" min="16" style="125" width="9.15"/>
    <col collapsed="false" customWidth="false" hidden="false" outlineLevel="0" max="17" min="17" style="127" width="9.15"/>
    <col collapsed="false" customWidth="false" hidden="false" outlineLevel="0" max="27" min="27" style="127" width="9.15"/>
    <col collapsed="false" customWidth="false" hidden="false" outlineLevel="0" max="257" min="28" style="125" width="9.15"/>
  </cols>
  <sheetData>
    <row r="1" customFormat="false" ht="42" hidden="false" customHeight="true" outlineLevel="0" collapsed="false">
      <c r="A1" s="128" t="s">
        <v>108</v>
      </c>
      <c r="B1" s="129" t="n">
        <f aca="false">ROUND(PurchasesMar!$A$2,0)</f>
        <v>0</v>
      </c>
      <c r="C1" s="130" t="str">
        <f aca="false">IF(B1&gt;J1,"MILEAGE ALLOWANCE"," ")</f>
        <v> </v>
      </c>
      <c r="D1" s="131" t="str">
        <f aca="false">IF(J1&gt;=B1,"CABSMART                                                                          MOST TAX EFFICIENT OPTION IS  &gt; &gt; &gt; &gt;","CABSMART                                                                            &lt; &lt; &lt; &lt;  MOST TAX EFFICIENT OPTION IS")</f>
        <v>CABSMART                                                                          MOST TAX EFFICIENT OPTION IS  &gt; &gt; &gt; &gt;</v>
      </c>
      <c r="E1" s="131"/>
      <c r="F1" s="131"/>
      <c r="G1" s="131"/>
      <c r="H1" s="131"/>
      <c r="I1" s="132" t="str">
        <f aca="false">IF(J1&gt;=B1,"VEHICLE EXPENSES"," ")</f>
        <v>VEHICLE EXPENSES</v>
      </c>
      <c r="J1" s="133" t="n">
        <f aca="false">ROUND(PurchasesMar!$I$2+'Fixed Assets'!I1-'Fixed Assets'!I15-'Fixed Assets'!I44+'Fixed Assets'!J1-'Fixed Assets'!J15-'Fixed Assets'!J44+'Fixed Assets'!P1-'Fixed Assets'!P15-'Fixed Assets'!P44-'Fixed Assets'!Q1+'Fixed Assets'!Q15+'Fixed Assets'!Q44,0)</f>
        <v>6100</v>
      </c>
      <c r="K1" s="128" t="s">
        <v>109</v>
      </c>
      <c r="L1" s="128"/>
      <c r="M1" s="128"/>
      <c r="N1" s="128"/>
      <c r="O1" s="134"/>
      <c r="Q1" s="135"/>
      <c r="AA1" s="135"/>
    </row>
    <row r="2" customFormat="false" ht="12.75" hidden="false" customHeight="true" outlineLevel="0" collapsed="false">
      <c r="A2" s="136" t="s">
        <v>110</v>
      </c>
      <c r="B2" s="137" t="s">
        <v>111</v>
      </c>
      <c r="C2" s="138" t="n">
        <f aca="false">Admin!B$5</f>
        <v>46142</v>
      </c>
      <c r="D2" s="138" t="n">
        <f aca="false">Admin!B$6</f>
        <v>46173</v>
      </c>
      <c r="E2" s="138" t="n">
        <f aca="false">Admin!B$7</f>
        <v>46203</v>
      </c>
      <c r="F2" s="138" t="n">
        <f aca="false">Admin!B$8</f>
        <v>46234</v>
      </c>
      <c r="G2" s="138" t="n">
        <f aca="false">Admin!B$9</f>
        <v>46265</v>
      </c>
      <c r="H2" s="138" t="n">
        <f aca="false">Admin!B$10</f>
        <v>46295</v>
      </c>
      <c r="I2" s="138" t="n">
        <f aca="false">Admin!B$11</f>
        <v>46326</v>
      </c>
      <c r="J2" s="138" t="n">
        <f aca="false">Admin!B$12</f>
        <v>46356</v>
      </c>
      <c r="K2" s="138" t="n">
        <f aca="false">Admin!B$13</f>
        <v>46387</v>
      </c>
      <c r="L2" s="138" t="n">
        <f aca="false">Admin!B$14</f>
        <v>46418</v>
      </c>
      <c r="M2" s="138" t="n">
        <f aca="false">Admin!B$15</f>
        <v>46446</v>
      </c>
      <c r="N2" s="138" t="n">
        <f aca="false">Admin!B$16</f>
        <v>46477</v>
      </c>
      <c r="O2" s="139"/>
      <c r="P2" s="140"/>
      <c r="R2" s="140"/>
      <c r="S2" s="140"/>
      <c r="T2" s="140"/>
      <c r="U2" s="140"/>
      <c r="V2" s="140"/>
      <c r="W2" s="140"/>
      <c r="X2" s="140"/>
      <c r="Y2" s="140"/>
      <c r="Z2" s="140"/>
      <c r="AB2" s="140"/>
      <c r="AC2" s="140"/>
      <c r="AD2" s="140"/>
      <c r="AE2" s="140"/>
      <c r="AF2" s="140"/>
      <c r="AG2" s="140"/>
      <c r="AH2" s="140"/>
      <c r="AI2" s="140"/>
      <c r="AJ2" s="140"/>
      <c r="AK2" s="140"/>
      <c r="AL2" s="140"/>
      <c r="AM2" s="140"/>
      <c r="AN2" s="140"/>
      <c r="AO2" s="140"/>
      <c r="AP2" s="140"/>
      <c r="AQ2" s="140"/>
      <c r="AR2" s="140"/>
      <c r="AS2" s="140"/>
      <c r="AT2" s="140"/>
      <c r="AU2" s="140"/>
      <c r="AV2" s="140"/>
      <c r="AW2" s="140"/>
      <c r="AX2" s="140"/>
      <c r="AY2" s="140"/>
      <c r="AZ2" s="140"/>
      <c r="BA2" s="140"/>
      <c r="BB2" s="140"/>
      <c r="BC2" s="140"/>
      <c r="BD2" s="140"/>
      <c r="BE2" s="140"/>
      <c r="BF2" s="140"/>
      <c r="BG2" s="140"/>
      <c r="BH2" s="140"/>
      <c r="BI2" s="140"/>
      <c r="BJ2" s="140"/>
      <c r="BK2" s="140"/>
      <c r="BL2" s="140"/>
      <c r="BM2" s="140"/>
      <c r="BN2" s="140"/>
      <c r="BO2" s="140"/>
      <c r="BP2" s="140"/>
      <c r="BQ2" s="140"/>
      <c r="BR2" s="140"/>
      <c r="BS2" s="140"/>
      <c r="BT2" s="140"/>
      <c r="BU2" s="140"/>
      <c r="BV2" s="140"/>
      <c r="BW2" s="140"/>
      <c r="BX2" s="140"/>
      <c r="BY2" s="140"/>
      <c r="BZ2" s="140"/>
      <c r="CA2" s="140"/>
      <c r="CB2" s="140"/>
      <c r="CC2" s="140"/>
      <c r="CD2" s="140"/>
      <c r="CE2" s="140"/>
      <c r="CF2" s="140"/>
      <c r="CG2" s="140"/>
      <c r="CH2" s="140"/>
      <c r="CI2" s="140"/>
      <c r="CJ2" s="140"/>
      <c r="CK2" s="140"/>
      <c r="CL2" s="140"/>
      <c r="CM2" s="140"/>
      <c r="CN2" s="140"/>
      <c r="CO2" s="140"/>
      <c r="CP2" s="140"/>
      <c r="CQ2" s="140"/>
      <c r="CR2" s="140"/>
      <c r="CS2" s="140"/>
      <c r="CT2" s="140"/>
      <c r="CU2" s="140"/>
      <c r="CV2" s="140"/>
      <c r="CW2" s="140"/>
      <c r="CX2" s="140"/>
      <c r="CY2" s="140"/>
      <c r="CZ2" s="140"/>
      <c r="DA2" s="140"/>
      <c r="DB2" s="140"/>
      <c r="DC2" s="140"/>
      <c r="DD2" s="140"/>
      <c r="DE2" s="140"/>
      <c r="DF2" s="140"/>
      <c r="DG2" s="140"/>
      <c r="DH2" s="140"/>
      <c r="DI2" s="140"/>
      <c r="DJ2" s="140"/>
      <c r="DK2" s="140"/>
      <c r="DL2" s="140"/>
      <c r="DM2" s="140"/>
      <c r="DN2" s="140"/>
      <c r="DO2" s="140"/>
      <c r="DP2" s="140"/>
      <c r="DQ2" s="140"/>
      <c r="DR2" s="140"/>
      <c r="DS2" s="140"/>
      <c r="DT2" s="140"/>
      <c r="DU2" s="140"/>
      <c r="DV2" s="140"/>
      <c r="DW2" s="140"/>
      <c r="DX2" s="140"/>
      <c r="DY2" s="140"/>
      <c r="DZ2" s="140"/>
      <c r="EA2" s="140"/>
      <c r="EB2" s="140"/>
      <c r="EC2" s="140"/>
      <c r="ED2" s="140"/>
      <c r="EE2" s="140"/>
      <c r="EF2" s="140"/>
      <c r="EG2" s="140"/>
      <c r="EH2" s="140"/>
      <c r="EI2" s="140"/>
      <c r="EJ2" s="140"/>
      <c r="EK2" s="140"/>
      <c r="EL2" s="140"/>
      <c r="EM2" s="140"/>
      <c r="EN2" s="140"/>
      <c r="EO2" s="140"/>
      <c r="EP2" s="140"/>
      <c r="EQ2" s="140"/>
      <c r="ER2" s="140"/>
      <c r="ES2" s="140"/>
      <c r="ET2" s="140"/>
      <c r="EU2" s="140"/>
      <c r="EV2" s="140"/>
      <c r="EW2" s="140"/>
      <c r="EX2" s="140"/>
      <c r="EY2" s="140"/>
      <c r="EZ2" s="140"/>
      <c r="FA2" s="140"/>
      <c r="FB2" s="140"/>
      <c r="FC2" s="140"/>
      <c r="FD2" s="140"/>
      <c r="FE2" s="140"/>
      <c r="FF2" s="140"/>
      <c r="FG2" s="140"/>
      <c r="FH2" s="140"/>
      <c r="FI2" s="140"/>
      <c r="FJ2" s="140"/>
      <c r="FK2" s="140"/>
      <c r="FL2" s="140"/>
      <c r="FM2" s="140"/>
      <c r="FN2" s="140"/>
      <c r="FO2" s="140"/>
      <c r="FP2" s="140"/>
      <c r="FQ2" s="140"/>
      <c r="FR2" s="140"/>
      <c r="FS2" s="140"/>
      <c r="FT2" s="140"/>
      <c r="FU2" s="140"/>
      <c r="FV2" s="140"/>
      <c r="FW2" s="140"/>
      <c r="FX2" s="140"/>
      <c r="FY2" s="140"/>
      <c r="FZ2" s="140"/>
      <c r="GA2" s="140"/>
      <c r="GB2" s="140"/>
      <c r="GC2" s="140"/>
      <c r="GD2" s="140"/>
      <c r="GE2" s="140"/>
      <c r="GF2" s="140"/>
      <c r="GG2" s="140"/>
      <c r="GH2" s="140"/>
      <c r="GI2" s="140"/>
      <c r="GJ2" s="140"/>
      <c r="GK2" s="140"/>
      <c r="GL2" s="140"/>
      <c r="GM2" s="140"/>
      <c r="GN2" s="140"/>
      <c r="GO2" s="140"/>
      <c r="GP2" s="140"/>
      <c r="GQ2" s="140"/>
      <c r="GR2" s="140"/>
      <c r="GS2" s="140"/>
      <c r="GT2" s="140"/>
      <c r="GU2" s="140"/>
      <c r="GV2" s="140"/>
      <c r="GW2" s="140"/>
      <c r="GX2" s="140"/>
      <c r="GY2" s="140"/>
      <c r="GZ2" s="140"/>
      <c r="HA2" s="140"/>
      <c r="HB2" s="140"/>
      <c r="HC2" s="140"/>
      <c r="HD2" s="140"/>
      <c r="HE2" s="140"/>
      <c r="HF2" s="140"/>
      <c r="HG2" s="140"/>
      <c r="HH2" s="140"/>
      <c r="HI2" s="140"/>
      <c r="HJ2" s="140"/>
      <c r="HK2" s="140"/>
      <c r="HL2" s="140"/>
      <c r="HM2" s="140"/>
      <c r="HN2" s="140"/>
      <c r="HO2" s="140"/>
      <c r="HP2" s="140"/>
      <c r="HQ2" s="140"/>
      <c r="HR2" s="140"/>
      <c r="HS2" s="140"/>
      <c r="HT2" s="140"/>
      <c r="HU2" s="140"/>
      <c r="HV2" s="140"/>
      <c r="HW2" s="140"/>
      <c r="HX2" s="140"/>
      <c r="HY2" s="140"/>
      <c r="HZ2" s="140"/>
      <c r="IA2" s="140"/>
      <c r="IB2" s="140"/>
      <c r="IC2" s="140"/>
      <c r="ID2" s="140"/>
      <c r="IE2" s="140"/>
      <c r="IF2" s="140"/>
      <c r="IG2" s="140"/>
      <c r="IH2" s="140"/>
      <c r="II2" s="140"/>
      <c r="IJ2" s="140"/>
      <c r="IK2" s="140"/>
      <c r="IL2" s="140"/>
      <c r="IM2" s="140"/>
      <c r="IN2" s="140"/>
      <c r="IO2" s="140"/>
      <c r="IP2" s="140"/>
      <c r="IQ2" s="140"/>
      <c r="IR2" s="140"/>
      <c r="IS2" s="140"/>
      <c r="IT2" s="140"/>
      <c r="IU2" s="140"/>
      <c r="IV2" s="140"/>
      <c r="IW2" s="140"/>
    </row>
    <row r="3" customFormat="false" ht="12.75" hidden="false" customHeight="false" outlineLevel="0" collapsed="false">
      <c r="A3" s="136"/>
      <c r="B3" s="141" t="str">
        <f aca="false">Admin!G$2</f>
        <v>2026-27</v>
      </c>
      <c r="C3" s="138"/>
      <c r="D3" s="138"/>
      <c r="E3" s="138"/>
      <c r="F3" s="138"/>
      <c r="G3" s="138"/>
      <c r="H3" s="138"/>
      <c r="I3" s="138"/>
      <c r="J3" s="138"/>
      <c r="K3" s="138"/>
      <c r="L3" s="138"/>
      <c r="M3" s="138"/>
      <c r="N3" s="138"/>
      <c r="O3" s="67"/>
      <c r="P3" s="54"/>
      <c r="Q3" s="142"/>
      <c r="R3" s="54"/>
      <c r="S3" s="54"/>
      <c r="T3" s="54"/>
      <c r="U3" s="54"/>
      <c r="V3" s="54"/>
      <c r="W3" s="54"/>
      <c r="X3" s="54"/>
      <c r="Y3" s="54"/>
      <c r="Z3" s="54"/>
      <c r="AA3" s="142"/>
      <c r="AB3" s="54"/>
      <c r="AC3" s="54"/>
      <c r="AD3" s="54"/>
      <c r="AE3" s="54"/>
      <c r="AF3" s="54"/>
      <c r="AG3" s="54"/>
      <c r="AH3" s="54"/>
      <c r="AI3" s="54"/>
      <c r="AJ3" s="54"/>
      <c r="AK3" s="54"/>
      <c r="AL3" s="54"/>
      <c r="AM3" s="54"/>
      <c r="AN3" s="54"/>
      <c r="AO3" s="54"/>
      <c r="AP3" s="54"/>
      <c r="AQ3" s="54"/>
      <c r="AR3" s="54"/>
      <c r="AS3" s="54"/>
      <c r="AT3" s="54"/>
      <c r="AU3" s="54"/>
      <c r="AV3" s="54"/>
      <c r="AW3" s="54"/>
      <c r="AX3" s="54"/>
      <c r="AY3" s="54"/>
      <c r="AZ3" s="54"/>
      <c r="BA3" s="54"/>
      <c r="BB3" s="54"/>
      <c r="BC3" s="54"/>
      <c r="BD3" s="54"/>
      <c r="BE3" s="54"/>
      <c r="BF3" s="54"/>
      <c r="BG3" s="54"/>
      <c r="BH3" s="54"/>
      <c r="BI3" s="54"/>
      <c r="BJ3" s="54"/>
      <c r="BK3" s="54"/>
      <c r="BL3" s="54"/>
      <c r="BM3" s="54"/>
      <c r="BN3" s="54"/>
      <c r="BO3" s="54"/>
      <c r="BP3" s="54"/>
      <c r="BQ3" s="54"/>
      <c r="BR3" s="54"/>
      <c r="BS3" s="54"/>
      <c r="BT3" s="54"/>
      <c r="BU3" s="54"/>
      <c r="BV3" s="54"/>
      <c r="BW3" s="54"/>
      <c r="BX3" s="54"/>
      <c r="BY3" s="54"/>
      <c r="BZ3" s="54"/>
      <c r="CA3" s="54"/>
      <c r="CB3" s="54"/>
      <c r="CC3" s="54"/>
      <c r="CD3" s="54"/>
      <c r="CE3" s="54"/>
      <c r="CF3" s="54"/>
      <c r="CG3" s="54"/>
      <c r="CH3" s="54"/>
      <c r="CI3" s="54"/>
      <c r="CJ3" s="54"/>
      <c r="CK3" s="54"/>
      <c r="CL3" s="54"/>
      <c r="CM3" s="54"/>
      <c r="CN3" s="54"/>
      <c r="CO3" s="54"/>
      <c r="CP3" s="54"/>
      <c r="CQ3" s="54"/>
      <c r="CR3" s="54"/>
      <c r="CS3" s="54"/>
      <c r="CT3" s="54"/>
      <c r="CU3" s="54"/>
      <c r="CV3" s="54"/>
      <c r="CW3" s="54"/>
      <c r="CX3" s="54"/>
      <c r="CY3" s="54"/>
      <c r="CZ3" s="54"/>
      <c r="DA3" s="54"/>
      <c r="DB3" s="54"/>
      <c r="DC3" s="54"/>
      <c r="DD3" s="54"/>
      <c r="DE3" s="54"/>
      <c r="DF3" s="54"/>
      <c r="DG3" s="54"/>
      <c r="DH3" s="54"/>
      <c r="DI3" s="54"/>
      <c r="DJ3" s="54"/>
      <c r="DK3" s="54"/>
      <c r="DL3" s="54"/>
      <c r="DM3" s="54"/>
      <c r="DN3" s="54"/>
      <c r="DO3" s="54"/>
      <c r="DP3" s="54"/>
      <c r="DQ3" s="54"/>
      <c r="DR3" s="54"/>
      <c r="DS3" s="54"/>
      <c r="DT3" s="54"/>
      <c r="DU3" s="54"/>
      <c r="DV3" s="54"/>
      <c r="DW3" s="54"/>
      <c r="DX3" s="54"/>
      <c r="DY3" s="54"/>
      <c r="DZ3" s="54"/>
      <c r="EA3" s="54"/>
      <c r="EB3" s="54"/>
      <c r="EC3" s="54"/>
      <c r="ED3" s="54"/>
      <c r="EE3" s="54"/>
      <c r="EF3" s="54"/>
      <c r="EG3" s="54"/>
      <c r="EH3" s="54"/>
      <c r="EI3" s="54"/>
      <c r="EJ3" s="54"/>
      <c r="EK3" s="54"/>
      <c r="EL3" s="54"/>
      <c r="EM3" s="54"/>
      <c r="EN3" s="54"/>
      <c r="EO3" s="54"/>
      <c r="EP3" s="54"/>
      <c r="EQ3" s="54"/>
      <c r="ER3" s="54"/>
      <c r="ES3" s="54"/>
      <c r="ET3" s="54"/>
      <c r="EU3" s="54"/>
      <c r="EV3" s="54"/>
      <c r="EW3" s="54"/>
      <c r="EX3" s="54"/>
      <c r="EY3" s="54"/>
      <c r="EZ3" s="54"/>
      <c r="FA3" s="54"/>
      <c r="FB3" s="54"/>
      <c r="FC3" s="54"/>
      <c r="FD3" s="54"/>
      <c r="FE3" s="54"/>
      <c r="FF3" s="54"/>
      <c r="FG3" s="54"/>
      <c r="FH3" s="54"/>
      <c r="FI3" s="54"/>
      <c r="FJ3" s="54"/>
      <c r="FK3" s="54"/>
      <c r="FL3" s="54"/>
      <c r="FM3" s="54"/>
      <c r="FN3" s="54"/>
      <c r="FO3" s="54"/>
      <c r="FP3" s="54"/>
      <c r="FQ3" s="54"/>
      <c r="FR3" s="54"/>
      <c r="FS3" s="54"/>
      <c r="FT3" s="54"/>
      <c r="FU3" s="54"/>
      <c r="FV3" s="54"/>
      <c r="FW3" s="54"/>
      <c r="FX3" s="54"/>
      <c r="FY3" s="54"/>
      <c r="FZ3" s="54"/>
      <c r="GA3" s="54"/>
      <c r="GB3" s="54"/>
      <c r="GC3" s="54"/>
      <c r="GD3" s="54"/>
      <c r="GE3" s="54"/>
      <c r="GF3" s="54"/>
      <c r="GG3" s="54"/>
      <c r="GH3" s="54"/>
      <c r="GI3" s="54"/>
      <c r="GJ3" s="54"/>
      <c r="GK3" s="54"/>
      <c r="GL3" s="54"/>
      <c r="GM3" s="54"/>
      <c r="GN3" s="54"/>
      <c r="GO3" s="54"/>
      <c r="GP3" s="54"/>
      <c r="GQ3" s="54"/>
      <c r="GR3" s="54"/>
      <c r="GS3" s="54"/>
      <c r="GT3" s="54"/>
      <c r="GU3" s="54"/>
      <c r="GV3" s="54"/>
      <c r="GW3" s="54"/>
      <c r="GX3" s="54"/>
      <c r="GY3" s="54"/>
      <c r="GZ3" s="54"/>
      <c r="HA3" s="54"/>
      <c r="HB3" s="54"/>
      <c r="HC3" s="54"/>
      <c r="HD3" s="54"/>
      <c r="HE3" s="54"/>
      <c r="HF3" s="54"/>
      <c r="HG3" s="54"/>
      <c r="HH3" s="54"/>
      <c r="HI3" s="54"/>
      <c r="HJ3" s="54"/>
      <c r="HK3" s="54"/>
      <c r="HL3" s="54"/>
      <c r="HM3" s="54"/>
      <c r="HN3" s="54"/>
      <c r="HO3" s="54"/>
      <c r="HP3" s="54"/>
      <c r="HQ3" s="54"/>
      <c r="HR3" s="54"/>
      <c r="HS3" s="54"/>
      <c r="HT3" s="54"/>
      <c r="HU3" s="54"/>
      <c r="HV3" s="54"/>
      <c r="HW3" s="54"/>
      <c r="HX3" s="54"/>
      <c r="HY3" s="54"/>
      <c r="HZ3" s="54"/>
      <c r="IA3" s="54"/>
      <c r="IB3" s="54"/>
      <c r="IC3" s="54"/>
      <c r="ID3" s="54"/>
      <c r="IE3" s="54"/>
      <c r="IF3" s="54"/>
      <c r="IG3" s="54"/>
      <c r="IH3" s="54"/>
      <c r="II3" s="54"/>
      <c r="IJ3" s="54"/>
      <c r="IK3" s="54"/>
      <c r="IL3" s="54"/>
      <c r="IM3" s="54"/>
      <c r="IN3" s="54"/>
      <c r="IO3" s="54"/>
      <c r="IP3" s="54"/>
      <c r="IQ3" s="54"/>
      <c r="IR3" s="54"/>
      <c r="IS3" s="54"/>
      <c r="IT3" s="54"/>
      <c r="IU3" s="54"/>
      <c r="IV3" s="54"/>
      <c r="IW3" s="54"/>
    </row>
    <row r="4" customFormat="false" ht="13.5" hidden="false" customHeight="true" outlineLevel="0" collapsed="false">
      <c r="A4" s="143" t="str">
        <f aca="false">IF(B4=" "," ","Purchase analysis errors")</f>
        <v> </v>
      </c>
      <c r="B4" s="144" t="str">
        <f aca="false">IF((SUM(C4:N4)&gt;1),ROUND(SUM(C4:N4),0)," ")</f>
        <v> </v>
      </c>
      <c r="C4" s="144" t="str">
        <f aca="false">IF((PurchasesApr!$D$1&lt;&gt;0),PurchasesApr!$D$1," ")</f>
        <v> </v>
      </c>
      <c r="D4" s="144" t="str">
        <f aca="false">IF((PurchasesMay!$D$1&lt;&gt;0),PurchasesMay!$D$1," ")</f>
        <v> </v>
      </c>
      <c r="E4" s="144" t="str">
        <f aca="false">IF((PurchasesJun!$D$1&lt;&gt;0),PurchasesJun!$D$1," ")</f>
        <v> </v>
      </c>
      <c r="F4" s="144" t="str">
        <f aca="false">IF((PurchasesJul!$D$1&lt;&gt;0),PurchasesJul!$D$1," ")</f>
        <v> </v>
      </c>
      <c r="G4" s="144" t="str">
        <f aca="false">IF((PurchasesAug!$D$1&lt;&gt;0),PurchasesAug!$D$1," ")</f>
        <v> </v>
      </c>
      <c r="H4" s="144" t="str">
        <f aca="false">IF((PurchasesSep!$D$1&lt;&gt;0),PurchasesSep!$D$1," ")</f>
        <v> </v>
      </c>
      <c r="I4" s="144" t="str">
        <f aca="false">IF((PurchasesOct!$D$1&lt;&gt;0),PurchasesOct!$D$1," ")</f>
        <v> </v>
      </c>
      <c r="J4" s="144" t="str">
        <f aca="false">IF((PurchasesNov!$D$1&lt;&gt;0),PurchasesNov!$D$1," ")</f>
        <v> </v>
      </c>
      <c r="K4" s="144" t="str">
        <f aca="false">IF((PurchasesDec!$D$1&lt;&gt;0),PurchasesDec!$D$1," ")</f>
        <v> </v>
      </c>
      <c r="L4" s="144" t="str">
        <f aca="false">IF((PurchasesJan!$D$1&lt;&gt;0),PurchasesJan!$D$1," ")</f>
        <v> </v>
      </c>
      <c r="M4" s="144" t="str">
        <f aca="false">IF((PurchasesFeb!$D$1&lt;&gt;0),PurchasesFeb!$D$1," ")</f>
        <v> </v>
      </c>
      <c r="N4" s="144" t="str">
        <f aca="false">IF((PurchasesMar!$D$1&lt;&gt;0),PurchasesMar!$D$1," ")</f>
        <v> </v>
      </c>
      <c r="O4" s="145"/>
      <c r="P4" s="146"/>
      <c r="R4" s="146"/>
      <c r="S4" s="146"/>
      <c r="T4" s="146"/>
      <c r="U4" s="146"/>
      <c r="V4" s="146"/>
      <c r="W4" s="146"/>
      <c r="X4" s="146"/>
      <c r="Y4" s="146"/>
      <c r="Z4" s="146"/>
      <c r="AB4" s="146"/>
      <c r="AC4" s="146"/>
      <c r="AD4" s="146"/>
      <c r="AE4" s="146"/>
      <c r="AF4" s="146"/>
      <c r="AG4" s="146"/>
      <c r="AH4" s="146"/>
      <c r="AI4" s="146"/>
      <c r="AJ4" s="146"/>
      <c r="AK4" s="146"/>
      <c r="AL4" s="146"/>
      <c r="AM4" s="146"/>
      <c r="AN4" s="146"/>
      <c r="AO4" s="146"/>
      <c r="AP4" s="146"/>
      <c r="AQ4" s="146"/>
      <c r="AR4" s="146"/>
      <c r="AS4" s="146"/>
      <c r="AT4" s="146"/>
      <c r="AU4" s="146"/>
      <c r="AV4" s="146"/>
      <c r="AW4" s="146"/>
      <c r="AX4" s="146"/>
      <c r="AY4" s="146"/>
      <c r="AZ4" s="146"/>
      <c r="BA4" s="146"/>
      <c r="BB4" s="146"/>
      <c r="BC4" s="146"/>
      <c r="BD4" s="146"/>
      <c r="BE4" s="146"/>
      <c r="BF4" s="146"/>
      <c r="BG4" s="146"/>
      <c r="BH4" s="146"/>
      <c r="BI4" s="146"/>
      <c r="BJ4" s="146"/>
      <c r="BK4" s="146"/>
      <c r="BL4" s="146"/>
      <c r="BM4" s="146"/>
      <c r="BN4" s="146"/>
      <c r="BO4" s="146"/>
      <c r="BP4" s="146"/>
      <c r="BQ4" s="146"/>
      <c r="BR4" s="146"/>
      <c r="BS4" s="146"/>
      <c r="BT4" s="146"/>
      <c r="BU4" s="146"/>
      <c r="BV4" s="146"/>
      <c r="BW4" s="146"/>
      <c r="BX4" s="146"/>
      <c r="BY4" s="146"/>
      <c r="BZ4" s="146"/>
      <c r="CA4" s="146"/>
      <c r="CB4" s="146"/>
      <c r="CC4" s="146"/>
      <c r="CD4" s="146"/>
      <c r="CE4" s="146"/>
      <c r="CF4" s="146"/>
      <c r="CG4" s="146"/>
      <c r="CH4" s="146"/>
      <c r="CI4" s="146"/>
      <c r="CJ4" s="146"/>
      <c r="CK4" s="146"/>
      <c r="CL4" s="146"/>
      <c r="CM4" s="146"/>
      <c r="CN4" s="146"/>
      <c r="CO4" s="146"/>
      <c r="CP4" s="146"/>
      <c r="CQ4" s="146"/>
      <c r="CR4" s="146"/>
      <c r="CS4" s="146"/>
      <c r="CT4" s="146"/>
      <c r="CU4" s="146"/>
      <c r="CV4" s="146"/>
      <c r="CW4" s="146"/>
      <c r="CX4" s="146"/>
      <c r="CY4" s="146"/>
      <c r="CZ4" s="146"/>
      <c r="DA4" s="146"/>
      <c r="DB4" s="146"/>
      <c r="DC4" s="146"/>
      <c r="DD4" s="146"/>
      <c r="DE4" s="146"/>
      <c r="DF4" s="146"/>
      <c r="DG4" s="146"/>
      <c r="DH4" s="146"/>
      <c r="DI4" s="146"/>
      <c r="DJ4" s="146"/>
      <c r="DK4" s="146"/>
      <c r="DL4" s="146"/>
      <c r="DM4" s="146"/>
      <c r="DN4" s="146"/>
      <c r="DO4" s="146"/>
      <c r="DP4" s="146"/>
      <c r="DQ4" s="146"/>
      <c r="DR4" s="146"/>
      <c r="DS4" s="146"/>
      <c r="DT4" s="146"/>
      <c r="DU4" s="146"/>
      <c r="DV4" s="146"/>
      <c r="DW4" s="146"/>
      <c r="DX4" s="146"/>
      <c r="DY4" s="146"/>
      <c r="DZ4" s="146"/>
      <c r="EA4" s="146"/>
      <c r="EB4" s="146"/>
      <c r="EC4" s="146"/>
      <c r="ED4" s="146"/>
      <c r="EE4" s="146"/>
      <c r="EF4" s="146"/>
      <c r="EG4" s="146"/>
      <c r="EH4" s="146"/>
      <c r="EI4" s="146"/>
      <c r="EJ4" s="146"/>
      <c r="EK4" s="146"/>
      <c r="EL4" s="146"/>
      <c r="EM4" s="146"/>
      <c r="EN4" s="146"/>
      <c r="EO4" s="146"/>
      <c r="EP4" s="146"/>
      <c r="EQ4" s="146"/>
      <c r="ER4" s="146"/>
      <c r="ES4" s="146"/>
      <c r="ET4" s="146"/>
      <c r="EU4" s="146"/>
      <c r="EV4" s="146"/>
      <c r="EW4" s="146"/>
      <c r="EX4" s="146"/>
      <c r="EY4" s="146"/>
      <c r="EZ4" s="146"/>
      <c r="FA4" s="146"/>
      <c r="FB4" s="146"/>
      <c r="FC4" s="146"/>
      <c r="FD4" s="146"/>
      <c r="FE4" s="146"/>
      <c r="FF4" s="146"/>
      <c r="FG4" s="146"/>
      <c r="FH4" s="146"/>
      <c r="FI4" s="146"/>
      <c r="FJ4" s="146"/>
      <c r="FK4" s="146"/>
      <c r="FL4" s="146"/>
      <c r="FM4" s="146"/>
      <c r="FN4" s="146"/>
      <c r="FO4" s="146"/>
      <c r="FP4" s="146"/>
      <c r="FQ4" s="146"/>
      <c r="FR4" s="146"/>
      <c r="FS4" s="146"/>
      <c r="FT4" s="146"/>
      <c r="FU4" s="146"/>
      <c r="FV4" s="146"/>
      <c r="FW4" s="146"/>
      <c r="FX4" s="146"/>
      <c r="FY4" s="146"/>
      <c r="FZ4" s="146"/>
      <c r="GA4" s="146"/>
      <c r="GB4" s="146"/>
      <c r="GC4" s="146"/>
      <c r="GD4" s="146"/>
      <c r="GE4" s="146"/>
      <c r="GF4" s="146"/>
      <c r="GG4" s="146"/>
      <c r="GH4" s="146"/>
      <c r="GI4" s="146"/>
      <c r="GJ4" s="146"/>
      <c r="GK4" s="146"/>
      <c r="GL4" s="146"/>
      <c r="GM4" s="146"/>
      <c r="GN4" s="146"/>
      <c r="GO4" s="146"/>
      <c r="GP4" s="146"/>
      <c r="GQ4" s="146"/>
      <c r="GR4" s="146"/>
      <c r="GS4" s="146"/>
      <c r="GT4" s="146"/>
      <c r="GU4" s="146"/>
      <c r="GV4" s="146"/>
      <c r="GW4" s="146"/>
      <c r="GX4" s="146"/>
      <c r="GY4" s="146"/>
      <c r="GZ4" s="146"/>
      <c r="HA4" s="146"/>
      <c r="HB4" s="146"/>
      <c r="HC4" s="146"/>
      <c r="HD4" s="146"/>
      <c r="HE4" s="146"/>
      <c r="HF4" s="146"/>
      <c r="HG4" s="146"/>
      <c r="HH4" s="146"/>
      <c r="HI4" s="146"/>
      <c r="HJ4" s="146"/>
      <c r="HK4" s="146"/>
      <c r="HL4" s="146"/>
      <c r="HM4" s="146"/>
      <c r="HN4" s="146"/>
      <c r="HO4" s="146"/>
      <c r="HP4" s="146"/>
      <c r="HQ4" s="146"/>
      <c r="HR4" s="146"/>
      <c r="HS4" s="146"/>
      <c r="HT4" s="146"/>
      <c r="HU4" s="146"/>
      <c r="HV4" s="146"/>
      <c r="HW4" s="146"/>
      <c r="HX4" s="146"/>
      <c r="HY4" s="146"/>
      <c r="HZ4" s="146"/>
      <c r="IA4" s="146"/>
      <c r="IB4" s="146"/>
      <c r="IC4" s="146"/>
      <c r="ID4" s="146"/>
      <c r="IE4" s="146"/>
      <c r="IF4" s="146"/>
      <c r="IG4" s="146"/>
      <c r="IH4" s="146"/>
      <c r="II4" s="146"/>
      <c r="IJ4" s="146"/>
      <c r="IK4" s="146"/>
      <c r="IL4" s="146"/>
      <c r="IM4" s="146"/>
      <c r="IN4" s="146"/>
      <c r="IO4" s="146"/>
      <c r="IP4" s="146"/>
      <c r="IQ4" s="146"/>
      <c r="IR4" s="146"/>
      <c r="IS4" s="146"/>
      <c r="IT4" s="146"/>
      <c r="IU4" s="146"/>
      <c r="IV4" s="146"/>
      <c r="IW4" s="146"/>
    </row>
    <row r="5" customFormat="false" ht="12.75" hidden="false" customHeight="false" outlineLevel="0" collapsed="false">
      <c r="A5" s="147" t="s">
        <v>112</v>
      </c>
      <c r="B5" s="148" t="n">
        <f aca="false">ROUNDDOWN(SUM(C5:N5),0)</f>
        <v>36045</v>
      </c>
      <c r="C5" s="149" t="n">
        <f aca="false">SalesApr!$E$1</f>
        <v>3045</v>
      </c>
      <c r="D5" s="149" t="n">
        <f aca="false">SalesMay!$E$1</f>
        <v>3000</v>
      </c>
      <c r="E5" s="149" t="n">
        <f aca="false">SalesJun!$E$1</f>
        <v>3000</v>
      </c>
      <c r="F5" s="150" t="n">
        <f aca="false">SalesJul!$E$1</f>
        <v>3000</v>
      </c>
      <c r="G5" s="149" t="n">
        <f aca="false">SalesAug!$E$1</f>
        <v>3000</v>
      </c>
      <c r="H5" s="149" t="n">
        <f aca="false">SalesSep!$E$1</f>
        <v>3000</v>
      </c>
      <c r="I5" s="150" t="n">
        <f aca="false">SalesOct!$E$1</f>
        <v>3000</v>
      </c>
      <c r="J5" s="149" t="n">
        <f aca="false">SalesNov!$E$1</f>
        <v>3000</v>
      </c>
      <c r="K5" s="149" t="n">
        <f aca="false">SalesDec!$E$1</f>
        <v>3000</v>
      </c>
      <c r="L5" s="150" t="n">
        <f aca="false">SalesJan!$E$1</f>
        <v>3000</v>
      </c>
      <c r="M5" s="149" t="n">
        <f aca="false">SalesFeb!$E$1</f>
        <v>3000</v>
      </c>
      <c r="N5" s="149" t="n">
        <f aca="false">SalesMar!$E$1</f>
        <v>3000</v>
      </c>
      <c r="O5" s="134"/>
    </row>
    <row r="6" customFormat="false" ht="12.75" hidden="false" customHeight="false" outlineLevel="0" collapsed="false">
      <c r="A6" s="143" t="s">
        <v>113</v>
      </c>
      <c r="B6" s="126" t="n">
        <f aca="false">ROUNDUP(SUM(C6:N6),0)</f>
        <v>3600</v>
      </c>
      <c r="C6" s="151" t="n">
        <f aca="false">IF((C1="mileage allowance"),0,(PurchasesApr!$G$1))</f>
        <v>300</v>
      </c>
      <c r="D6" s="126" t="n">
        <f aca="false">IF((C1="mileage allowance"),0,(PurchasesMay!$G$1))</f>
        <v>300</v>
      </c>
      <c r="E6" s="152" t="n">
        <f aca="false">IF((C1="mileage allowance"),0,(PurchasesJun!$G$1))</f>
        <v>300</v>
      </c>
      <c r="F6" s="126" t="n">
        <f aca="false">IF((C1="mileage allowance"),0,(PurchasesJul!$G$1))</f>
        <v>300</v>
      </c>
      <c r="G6" s="126" t="n">
        <f aca="false">IF((C1="mileage allowance"),0,(PurchasesAug!$G$1))</f>
        <v>300</v>
      </c>
      <c r="H6" s="152" t="n">
        <f aca="false">IF((C1="mileage allowance"),0,(PurchasesSep!$G$1))</f>
        <v>300</v>
      </c>
      <c r="I6" s="126" t="n">
        <f aca="false">IF((C1="mileage allowance"),0,(PurchasesOct!$G$1))</f>
        <v>300</v>
      </c>
      <c r="J6" s="126" t="n">
        <f aca="false">IF((C1="mileage allowance"),0,(PurchasesNov!$G$1))</f>
        <v>300</v>
      </c>
      <c r="K6" s="152" t="n">
        <f aca="false">IF((C1="mileage allowance"),0,(PurchasesDec!$G$1))</f>
        <v>300</v>
      </c>
      <c r="L6" s="126" t="n">
        <f aca="false">IF((C1="mileage allowance"),0,(PurchasesJan!$G$1))</f>
        <v>300</v>
      </c>
      <c r="M6" s="126" t="n">
        <f aca="false">IF((C1="mileage allowance"),0,(PurchasesFeb!$G$1))</f>
        <v>300</v>
      </c>
      <c r="N6" s="152" t="n">
        <f aca="false">IF((C1="mileage allowance"),0,(PurchasesMar!$G$1))</f>
        <v>300</v>
      </c>
      <c r="O6" s="134"/>
    </row>
    <row r="7" customFormat="false" ht="12.75" hidden="false" customHeight="false" outlineLevel="0" collapsed="false">
      <c r="A7" s="143" t="s">
        <v>114</v>
      </c>
      <c r="B7" s="126" t="n">
        <f aca="false">ROUNDUP(SUM(C7:N7),0)</f>
        <v>0</v>
      </c>
      <c r="C7" s="151" t="n">
        <f aca="false">IF((C1="mileage allowance"),0,(PurchasesApr!$H$1))</f>
        <v>0</v>
      </c>
      <c r="D7" s="126" t="n">
        <f aca="false">IF((C1="mileage allowance"),0,(PurchasesMay!$H$1))</f>
        <v>0</v>
      </c>
      <c r="E7" s="152" t="n">
        <f aca="false">IF((C1="mileage allowance"),0,(PurchasesJun!$H$1))</f>
        <v>0</v>
      </c>
      <c r="F7" s="126" t="n">
        <f aca="false">IF((C1="mileage allowance"),0,(PurchasesJul!$H$1))</f>
        <v>0</v>
      </c>
      <c r="G7" s="126" t="n">
        <f aca="false">IF((C1="mileage allowance"),0,(PurchasesAug!$H$1))</f>
        <v>0</v>
      </c>
      <c r="H7" s="152" t="n">
        <f aca="false">IF((C1="mileage allowance"),0,(PurchasesSep!$H$1))</f>
        <v>0</v>
      </c>
      <c r="I7" s="126" t="n">
        <f aca="false">IF((C1="mileage allowance"),0,(PurchasesOct!$H$1))</f>
        <v>0</v>
      </c>
      <c r="J7" s="126" t="n">
        <f aca="false">IF((C1="mileage allowance"),0,(PurchasesNov!$H$1))</f>
        <v>0</v>
      </c>
      <c r="K7" s="152" t="n">
        <f aca="false">IF((C1="mileage allowance"),0,(PurchasesDec!$H$1))</f>
        <v>0</v>
      </c>
      <c r="L7" s="126" t="n">
        <f aca="false">IF((C1="mileage allowance"),0,(PurchasesJan!$H$1))</f>
        <v>0</v>
      </c>
      <c r="M7" s="126" t="n">
        <f aca="false">IF((C1="mileage allowance"),0,(PurchasesFeb!$H$1))</f>
        <v>0</v>
      </c>
      <c r="N7" s="152" t="n">
        <f aca="false">IF((C1="mileage allowance"),0,(PurchasesMar!$H$1))</f>
        <v>0</v>
      </c>
      <c r="O7" s="134"/>
      <c r="Q7" s="153"/>
      <c r="AA7" s="153"/>
    </row>
    <row r="8" customFormat="false" ht="12.75" hidden="false" customHeight="false" outlineLevel="0" collapsed="false">
      <c r="A8" s="143" t="s">
        <v>115</v>
      </c>
      <c r="B8" s="126" t="n">
        <f aca="false">ROUNDUP(SUM(C8:N8),0)</f>
        <v>0</v>
      </c>
      <c r="C8" s="151" t="n">
        <f aca="false">IF((C1="mileage allowance"),0,(PurchasesApr!$I$1))</f>
        <v>0</v>
      </c>
      <c r="D8" s="126" t="n">
        <f aca="false">IF((C1="mileage allowance"),0,(PurchasesMay!$I$1))</f>
        <v>0</v>
      </c>
      <c r="E8" s="152" t="n">
        <f aca="false">IF((C1="mileage allowance"),0,(PurchasesJun!$I$1))</f>
        <v>0</v>
      </c>
      <c r="F8" s="126" t="n">
        <f aca="false">IF((C1="mileage allowance"),0,(PurchasesJul!$I$1))</f>
        <v>0</v>
      </c>
      <c r="G8" s="126" t="n">
        <f aca="false">IF((C1="mileage allowance"),0,(PurchasesAug!$I$1))</f>
        <v>0</v>
      </c>
      <c r="H8" s="152" t="n">
        <f aca="false">IF((C1="mileage allowance"),0,(PurchasesSep!$I$1))</f>
        <v>0</v>
      </c>
      <c r="I8" s="126" t="n">
        <f aca="false">IF((C1="mileage allowance"),0,(PurchasesOct!$I$1))</f>
        <v>0</v>
      </c>
      <c r="J8" s="126" t="n">
        <f aca="false">IF((C1="mileage allowance"),0,(PurchasesNov!$I$1))</f>
        <v>0</v>
      </c>
      <c r="K8" s="152" t="n">
        <f aca="false">IF((C1="mileage allowance"),0,(PurchasesDec!$I$1))</f>
        <v>0</v>
      </c>
      <c r="L8" s="126" t="n">
        <f aca="false">IF((C1="mileage allowance"),0,(PurchasesJan!$I$1))</f>
        <v>0</v>
      </c>
      <c r="M8" s="126" t="n">
        <f aca="false">IF((C1="mileage allowance"),0,(PurchasesFeb!$I$1))</f>
        <v>0</v>
      </c>
      <c r="N8" s="152" t="n">
        <f aca="false">IF((C1="mileage allowance"),0,(PurchasesMar!$I$1))</f>
        <v>0</v>
      </c>
      <c r="O8" s="134"/>
    </row>
    <row r="9" customFormat="false" ht="12.75" hidden="false" customHeight="false" outlineLevel="0" collapsed="false">
      <c r="A9" s="143" t="s">
        <v>116</v>
      </c>
      <c r="B9" s="126" t="n">
        <f aca="false">ROUNDUP(SUM(C9:N9),0)</f>
        <v>1380</v>
      </c>
      <c r="C9" s="151" t="n">
        <f aca="false">IF((C1="mileage allowance"),0,(PurchasesApr!$J$1))</f>
        <v>1380</v>
      </c>
      <c r="D9" s="126" t="n">
        <f aca="false">IF((C1="mileage allowance"),0,(PurchasesMay!$J$1))</f>
        <v>0</v>
      </c>
      <c r="E9" s="152" t="n">
        <f aca="false">IF((C1="mileage allowance"),0,(PurchasesJun!$J$1))</f>
        <v>0</v>
      </c>
      <c r="F9" s="126" t="n">
        <f aca="false">IF((C1="mileage allowance"),0,(PurchasesJul!$J$1))</f>
        <v>0</v>
      </c>
      <c r="G9" s="126" t="n">
        <f aca="false">IF((C1="mileage allowance"),0,(PurchasesAug!$J$1))</f>
        <v>0</v>
      </c>
      <c r="H9" s="152" t="n">
        <f aca="false">IF((C1="mileage allowance"),0,(PurchasesSep!$J$1))</f>
        <v>0</v>
      </c>
      <c r="I9" s="126" t="n">
        <f aca="false">IF((C1="mileage allowance"),0,(PurchasesOct!$J$1))</f>
        <v>0</v>
      </c>
      <c r="J9" s="126" t="n">
        <f aca="false">IF((C1="mileage allowance"),0,(PurchasesNov!$J$1))</f>
        <v>0</v>
      </c>
      <c r="K9" s="152" t="n">
        <f aca="false">IF((C1="mileage allowance"),0,(PurchasesDec!$J$1))</f>
        <v>0</v>
      </c>
      <c r="L9" s="126" t="n">
        <f aca="false">IF((C1="mileage allowance"),0,(PurchasesJan!$J$1))</f>
        <v>0</v>
      </c>
      <c r="M9" s="126" t="n">
        <f aca="false">IF((C1="mileage allowance"),0,(PurchasesFeb!$J$1))</f>
        <v>0</v>
      </c>
      <c r="N9" s="152" t="n">
        <f aca="false">IF((C1="mileage allowance"),0,(PurchasesMar!$J$1))</f>
        <v>0</v>
      </c>
      <c r="O9" s="134"/>
    </row>
    <row r="10" customFormat="false" ht="12.75" hidden="false" customHeight="false" outlineLevel="0" collapsed="false">
      <c r="A10" s="154" t="s">
        <v>117</v>
      </c>
      <c r="B10" s="126" t="n">
        <f aca="false">IF((C1="mileage allowance"),0,('Fixed Assets'!I1+'Fixed Assets'!J1+'Fixed Assets'!P1-'Fixed Assets'!Q1))</f>
        <v>1120</v>
      </c>
      <c r="C10" s="151" t="n">
        <f aca="false">B10/12</f>
        <v>93.3333333333333</v>
      </c>
      <c r="D10" s="126" t="n">
        <f aca="false">B10/12</f>
        <v>93.3333333333333</v>
      </c>
      <c r="E10" s="152" t="n">
        <f aca="false">B10/12</f>
        <v>93.3333333333333</v>
      </c>
      <c r="F10" s="126" t="n">
        <f aca="false">B10/12</f>
        <v>93.3333333333333</v>
      </c>
      <c r="G10" s="126" t="n">
        <f aca="false">B10/12</f>
        <v>93.3333333333333</v>
      </c>
      <c r="H10" s="152" t="n">
        <f aca="false">B10/12</f>
        <v>93.3333333333333</v>
      </c>
      <c r="I10" s="126" t="n">
        <f aca="false">B10/12</f>
        <v>93.3333333333333</v>
      </c>
      <c r="J10" s="126" t="n">
        <f aca="false">B10/12</f>
        <v>93.3333333333333</v>
      </c>
      <c r="K10" s="152" t="n">
        <f aca="false">B10/12</f>
        <v>93.3333333333333</v>
      </c>
      <c r="L10" s="126" t="n">
        <f aca="false">B10/12</f>
        <v>93.3333333333333</v>
      </c>
      <c r="M10" s="126" t="n">
        <f aca="false">B10/12</f>
        <v>93.3333333333333</v>
      </c>
      <c r="N10" s="152" t="n">
        <f aca="false">B10/12</f>
        <v>93.3333333333333</v>
      </c>
      <c r="O10" s="134"/>
    </row>
    <row r="11" customFormat="false" ht="12.75" hidden="false" customHeight="false" outlineLevel="0" collapsed="false">
      <c r="A11" s="143" t="s">
        <v>118</v>
      </c>
      <c r="B11" s="155" t="n">
        <f aca="false">ROUNDUP(SUM(C11:N11),0)</f>
        <v>0</v>
      </c>
      <c r="C11" s="156" t="n">
        <f aca="false">IF((C1="mileage allowance"),(PurchasesApr!$U$1),0)</f>
        <v>0</v>
      </c>
      <c r="D11" s="155" t="n">
        <f aca="false">IF((C1="mileage allowance"),(PurchasesMay!$U$1),0)</f>
        <v>0</v>
      </c>
      <c r="E11" s="157" t="n">
        <f aca="false">IF((C1="mileage allowance"),(PurchasesJun!$U$1),0)</f>
        <v>0</v>
      </c>
      <c r="F11" s="155" t="n">
        <f aca="false">IF((C1="mileage allowance"),(PurchasesJul!$U$1),0)</f>
        <v>0</v>
      </c>
      <c r="G11" s="155" t="n">
        <f aca="false">IF((C1="mileage allowance"),(PurchasesAug!$U$1),0)</f>
        <v>0</v>
      </c>
      <c r="H11" s="157" t="n">
        <f aca="false">IF((C1="mileage allowance"),(PurchasesSep!$U$1),0)</f>
        <v>0</v>
      </c>
      <c r="I11" s="155" t="n">
        <f aca="false">IF((C1="mileage allowance"),(PurchasesOct!$U$1),0)</f>
        <v>0</v>
      </c>
      <c r="J11" s="155" t="n">
        <f aca="false">IF((C1="mileage allowance"),(PurchasesNov!$U$1),0)</f>
        <v>0</v>
      </c>
      <c r="K11" s="157" t="n">
        <f aca="false">IF((C1="mileage allowance"),(PurchasesDec!$U$1),0)</f>
        <v>0</v>
      </c>
      <c r="L11" s="155" t="n">
        <f aca="false">IF((C1="mileage allowance"),(PurchasesJan!$U$1),0)</f>
        <v>0</v>
      </c>
      <c r="M11" s="155" t="n">
        <f aca="false">IF((C1="mileage allowance"),(PurchasesFeb!$U$1),0)</f>
        <v>0</v>
      </c>
      <c r="N11" s="157" t="n">
        <f aca="false">IF((C1="mileage allowance"),(PurchasesMar!$U$1),0)</f>
        <v>0</v>
      </c>
      <c r="O11" s="134"/>
    </row>
    <row r="12" customFormat="false" ht="12.75" hidden="false" customHeight="false" outlineLevel="0" collapsed="false">
      <c r="A12" s="158" t="s">
        <v>119</v>
      </c>
      <c r="B12" s="148" t="n">
        <f aca="false">ROUNDUP(SUM(B6:B11),0)</f>
        <v>6100</v>
      </c>
      <c r="C12" s="149" t="n">
        <f aca="false">SUM(C6:C11)</f>
        <v>1773.33333333333</v>
      </c>
      <c r="D12" s="149" t="n">
        <f aca="false">SUM(D6:D11)</f>
        <v>393.333333333333</v>
      </c>
      <c r="E12" s="149" t="n">
        <f aca="false">SUM(E6:E11)</f>
        <v>393.333333333333</v>
      </c>
      <c r="F12" s="150" t="n">
        <f aca="false">SUM(F6:F11)</f>
        <v>393.333333333333</v>
      </c>
      <c r="G12" s="149" t="n">
        <f aca="false">SUM(G6:G11)</f>
        <v>393.333333333333</v>
      </c>
      <c r="H12" s="149" t="n">
        <f aca="false">SUM(H6:H11)</f>
        <v>393.333333333333</v>
      </c>
      <c r="I12" s="150" t="n">
        <f aca="false">SUM(I6:I11)</f>
        <v>393.333333333333</v>
      </c>
      <c r="J12" s="149" t="n">
        <f aca="false">SUM(J6:J11)</f>
        <v>393.333333333333</v>
      </c>
      <c r="K12" s="149" t="n">
        <f aca="false">SUM(K6:K11)</f>
        <v>393.333333333333</v>
      </c>
      <c r="L12" s="150" t="n">
        <f aca="false">SUM(L6:L11)</f>
        <v>393.333333333333</v>
      </c>
      <c r="M12" s="149" t="n">
        <f aca="false">SUM(M6:M11)</f>
        <v>393.333333333333</v>
      </c>
      <c r="N12" s="149" t="n">
        <f aca="false">SUM(N6:N11)</f>
        <v>393.333333333333</v>
      </c>
      <c r="O12" s="134"/>
    </row>
    <row r="13" customFormat="false" ht="12.75" hidden="false" customHeight="false" outlineLevel="0" collapsed="false">
      <c r="A13" s="158" t="s">
        <v>120</v>
      </c>
      <c r="B13" s="148" t="n">
        <f aca="false">ROUNDUP(B5-B12,0)</f>
        <v>29945</v>
      </c>
      <c r="C13" s="149" t="n">
        <f aca="false">C5-C12</f>
        <v>1271.66666666667</v>
      </c>
      <c r="D13" s="149" t="n">
        <f aca="false">D5-D12</f>
        <v>2606.66666666667</v>
      </c>
      <c r="E13" s="149" t="n">
        <f aca="false">E5-E12</f>
        <v>2606.66666666667</v>
      </c>
      <c r="F13" s="150" t="n">
        <f aca="false">F5-F12</f>
        <v>2606.66666666667</v>
      </c>
      <c r="G13" s="149" t="n">
        <f aca="false">G5-G12</f>
        <v>2606.66666666667</v>
      </c>
      <c r="H13" s="149" t="n">
        <f aca="false">H5-H12</f>
        <v>2606.66666666667</v>
      </c>
      <c r="I13" s="150" t="n">
        <f aca="false">I5-I12</f>
        <v>2606.66666666667</v>
      </c>
      <c r="J13" s="149" t="n">
        <f aca="false">J5-J12</f>
        <v>2606.66666666667</v>
      </c>
      <c r="K13" s="149" t="n">
        <f aca="false">K5-K12</f>
        <v>2606.66666666667</v>
      </c>
      <c r="L13" s="150" t="n">
        <f aca="false">L5-L12</f>
        <v>2606.66666666667</v>
      </c>
      <c r="M13" s="149" t="n">
        <f aca="false">M5-M12</f>
        <v>2606.66666666667</v>
      </c>
      <c r="N13" s="149" t="n">
        <f aca="false">N5-N12</f>
        <v>2606.66666666667</v>
      </c>
      <c r="O13" s="134"/>
    </row>
    <row r="14" customFormat="false" ht="12.75" hidden="false" customHeight="false" outlineLevel="0" collapsed="false">
      <c r="A14" s="143" t="s">
        <v>121</v>
      </c>
      <c r="B14" s="126" t="n">
        <f aca="false">ROUNDUP(SUM(C14:N14),0)</f>
        <v>0</v>
      </c>
      <c r="C14" s="151" t="n">
        <f aca="false">PurchasesApr!$K$1</f>
        <v>0</v>
      </c>
      <c r="D14" s="126" t="n">
        <f aca="false">PurchasesMay!$K$1</f>
        <v>0</v>
      </c>
      <c r="E14" s="152" t="n">
        <f aca="false">PurchasesJun!$K$1</f>
        <v>0</v>
      </c>
      <c r="F14" s="126" t="n">
        <f aca="false">PurchasesJul!$K$1</f>
        <v>0</v>
      </c>
      <c r="G14" s="126" t="n">
        <f aca="false">PurchasesAug!$K$1</f>
        <v>0</v>
      </c>
      <c r="H14" s="152" t="n">
        <f aca="false">PurchasesSep!$K$1</f>
        <v>0</v>
      </c>
      <c r="I14" s="126" t="n">
        <f aca="false">PurchasesOct!$K$1</f>
        <v>0</v>
      </c>
      <c r="J14" s="126" t="n">
        <f aca="false">PurchasesNov!$K$1</f>
        <v>0</v>
      </c>
      <c r="K14" s="152" t="n">
        <f aca="false">PurchasesDec!$K$1</f>
        <v>0</v>
      </c>
      <c r="L14" s="126" t="n">
        <f aca="false">PurchasesJan!$K$1</f>
        <v>0</v>
      </c>
      <c r="M14" s="126" t="n">
        <f aca="false">PurchasesFeb!$K$1</f>
        <v>0</v>
      </c>
      <c r="N14" s="152" t="n">
        <f aca="false">PurchasesMar!$K$1</f>
        <v>0</v>
      </c>
      <c r="O14" s="134"/>
    </row>
    <row r="15" customFormat="false" ht="12.75" hidden="false" customHeight="false" outlineLevel="0" collapsed="false">
      <c r="A15" s="143" t="s">
        <v>122</v>
      </c>
      <c r="B15" s="126" t="n">
        <f aca="false">ROUNDUP(SUM(C15:N15),0)</f>
        <v>0</v>
      </c>
      <c r="C15" s="151" t="n">
        <f aca="false">PurchasesApr!$L$1</f>
        <v>0</v>
      </c>
      <c r="D15" s="126" t="n">
        <f aca="false">PurchasesMay!$L$1</f>
        <v>0</v>
      </c>
      <c r="E15" s="152" t="n">
        <f aca="false">PurchasesJun!$L$1</f>
        <v>0</v>
      </c>
      <c r="F15" s="126" t="n">
        <f aca="false">PurchasesJul!$L$1</f>
        <v>0</v>
      </c>
      <c r="G15" s="126" t="n">
        <f aca="false">PurchasesAug!$L$1</f>
        <v>0</v>
      </c>
      <c r="H15" s="152" t="n">
        <f aca="false">PurchasesSep!$L$1</f>
        <v>0</v>
      </c>
      <c r="I15" s="126" t="n">
        <f aca="false">PurchasesOct!$L$1</f>
        <v>0</v>
      </c>
      <c r="J15" s="126" t="n">
        <f aca="false">PurchasesNov!$L$1</f>
        <v>0</v>
      </c>
      <c r="K15" s="152" t="n">
        <f aca="false">PurchasesDec!$L$1</f>
        <v>0</v>
      </c>
      <c r="L15" s="126" t="n">
        <f aca="false">PurchasesJan!$L$1</f>
        <v>0</v>
      </c>
      <c r="M15" s="126" t="n">
        <f aca="false">PurchasesFeb!$L$1</f>
        <v>0</v>
      </c>
      <c r="N15" s="152" t="n">
        <f aca="false">PurchasesMar!$L$1</f>
        <v>0</v>
      </c>
      <c r="O15" s="134"/>
    </row>
    <row r="16" customFormat="false" ht="12.75" hidden="false" customHeight="false" outlineLevel="0" collapsed="false">
      <c r="A16" s="143" t="s">
        <v>123</v>
      </c>
      <c r="B16" s="126" t="n">
        <f aca="false">ROUNDUP(SUM(C16:N16),0)</f>
        <v>480</v>
      </c>
      <c r="C16" s="151" t="n">
        <f aca="false">PurchasesApr!$M$1</f>
        <v>120</v>
      </c>
      <c r="D16" s="126" t="n">
        <f aca="false">PurchasesMay!$M$1</f>
        <v>0</v>
      </c>
      <c r="E16" s="152" t="n">
        <f aca="false">PurchasesJun!$M$1</f>
        <v>0</v>
      </c>
      <c r="F16" s="126" t="n">
        <f aca="false">PurchasesJul!$M$1</f>
        <v>120</v>
      </c>
      <c r="G16" s="126" t="n">
        <f aca="false">PurchasesAug!$M$1</f>
        <v>0</v>
      </c>
      <c r="H16" s="152" t="n">
        <f aca="false">PurchasesSep!$M$1</f>
        <v>0</v>
      </c>
      <c r="I16" s="126" t="n">
        <f aca="false">PurchasesOct!$M$1</f>
        <v>120</v>
      </c>
      <c r="J16" s="126" t="n">
        <f aca="false">PurchasesNov!$M$1</f>
        <v>0</v>
      </c>
      <c r="K16" s="152" t="n">
        <f aca="false">PurchasesDec!$M$1</f>
        <v>0</v>
      </c>
      <c r="L16" s="126" t="n">
        <f aca="false">PurchasesJan!$M$1</f>
        <v>120</v>
      </c>
      <c r="M16" s="126" t="n">
        <f aca="false">PurchasesFeb!$M$1</f>
        <v>0</v>
      </c>
      <c r="N16" s="152" t="n">
        <f aca="false">PurchasesMar!$M$1</f>
        <v>0</v>
      </c>
      <c r="O16" s="134"/>
    </row>
    <row r="17" customFormat="false" ht="12.75" hidden="false" customHeight="false" outlineLevel="0" collapsed="false">
      <c r="A17" s="143" t="s">
        <v>124</v>
      </c>
      <c r="B17" s="126" t="n">
        <f aca="false">ROUNDUP(SUM(C17:N17),0)</f>
        <v>0</v>
      </c>
      <c r="C17" s="151" t="n">
        <f aca="false">PurchasesApr!$N$1</f>
        <v>0</v>
      </c>
      <c r="D17" s="126" t="n">
        <f aca="false">PurchasesMay!$N$1</f>
        <v>0</v>
      </c>
      <c r="E17" s="152" t="n">
        <f aca="false">PurchasesJun!$N$1</f>
        <v>0</v>
      </c>
      <c r="F17" s="126" t="n">
        <f aca="false">PurchasesJul!$N$1</f>
        <v>0</v>
      </c>
      <c r="G17" s="126" t="n">
        <f aca="false">PurchasesAug!$N$1</f>
        <v>0</v>
      </c>
      <c r="H17" s="152" t="n">
        <f aca="false">PurchasesSep!$N$1</f>
        <v>0</v>
      </c>
      <c r="I17" s="126" t="n">
        <f aca="false">PurchasesOct!$N$1</f>
        <v>0</v>
      </c>
      <c r="J17" s="126" t="n">
        <f aca="false">PurchasesNov!$N$1</f>
        <v>0</v>
      </c>
      <c r="K17" s="152" t="n">
        <f aca="false">PurchasesDec!$N$1</f>
        <v>0</v>
      </c>
      <c r="L17" s="126" t="n">
        <f aca="false">PurchasesJan!$N$1</f>
        <v>0</v>
      </c>
      <c r="M17" s="126" t="n">
        <f aca="false">PurchasesFeb!$N$1</f>
        <v>0</v>
      </c>
      <c r="N17" s="152" t="n">
        <f aca="false">PurchasesMar!$N$1</f>
        <v>0</v>
      </c>
      <c r="O17" s="134"/>
    </row>
    <row r="18" customFormat="false" ht="12.75" hidden="false" customHeight="false" outlineLevel="0" collapsed="false">
      <c r="A18" s="143" t="s">
        <v>125</v>
      </c>
      <c r="B18" s="126" t="n">
        <f aca="false">ROUNDUP(SUM(C18:N18),0)</f>
        <v>900</v>
      </c>
      <c r="C18" s="151" t="n">
        <f aca="false">PurchasesApr!$O$1</f>
        <v>400</v>
      </c>
      <c r="D18" s="126" t="n">
        <f aca="false">PurchasesMay!$O$1</f>
        <v>0</v>
      </c>
      <c r="E18" s="152" t="n">
        <f aca="false">PurchasesJun!$O$1</f>
        <v>0</v>
      </c>
      <c r="F18" s="126" t="n">
        <f aca="false">PurchasesJul!$O$1</f>
        <v>0</v>
      </c>
      <c r="G18" s="126" t="n">
        <f aca="false">PurchasesAug!$O$1</f>
        <v>0</v>
      </c>
      <c r="H18" s="152" t="n">
        <f aca="false">PurchasesSep!$O$1</f>
        <v>0</v>
      </c>
      <c r="I18" s="126" t="n">
        <f aca="false">PurchasesOct!$O$1</f>
        <v>0</v>
      </c>
      <c r="J18" s="126" t="n">
        <f aca="false">PurchasesNov!$O$1</f>
        <v>0</v>
      </c>
      <c r="K18" s="152" t="n">
        <f aca="false">PurchasesDec!$O$1</f>
        <v>0</v>
      </c>
      <c r="L18" s="126" t="n">
        <f aca="false">PurchasesJan!$O$1</f>
        <v>500</v>
      </c>
      <c r="M18" s="126" t="n">
        <f aca="false">PurchasesFeb!$O$1</f>
        <v>0</v>
      </c>
      <c r="N18" s="152" t="n">
        <f aca="false">PurchasesMar!$O$1</f>
        <v>0</v>
      </c>
      <c r="O18" s="134"/>
    </row>
    <row r="19" customFormat="false" ht="12.75" hidden="false" customHeight="false" outlineLevel="0" collapsed="false">
      <c r="A19" s="143" t="s">
        <v>126</v>
      </c>
      <c r="B19" s="126" t="n">
        <f aca="false">ROUNDUP(SUM(C19:N19),0)</f>
        <v>0</v>
      </c>
      <c r="C19" s="151" t="n">
        <f aca="false">PurchasesApr!$P$1</f>
        <v>0</v>
      </c>
      <c r="D19" s="126" t="n">
        <f aca="false">PurchasesMay!$P$1</f>
        <v>0</v>
      </c>
      <c r="E19" s="152" t="n">
        <f aca="false">PurchasesJun!$P$1</f>
        <v>0</v>
      </c>
      <c r="F19" s="126" t="n">
        <f aca="false">PurchasesJul!$P$1</f>
        <v>0</v>
      </c>
      <c r="G19" s="126" t="n">
        <f aca="false">PurchasesAug!$P$1</f>
        <v>0</v>
      </c>
      <c r="H19" s="152" t="n">
        <f aca="false">PurchasesSep!$P$1</f>
        <v>0</v>
      </c>
      <c r="I19" s="126" t="n">
        <f aca="false">PurchasesOct!$P$1</f>
        <v>0</v>
      </c>
      <c r="J19" s="126" t="n">
        <f aca="false">PurchasesNov!$P$1</f>
        <v>0</v>
      </c>
      <c r="K19" s="152" t="n">
        <f aca="false">PurchasesDec!$P$1</f>
        <v>0</v>
      </c>
      <c r="L19" s="126" t="n">
        <f aca="false">PurchasesJan!$P$1</f>
        <v>0</v>
      </c>
      <c r="M19" s="126" t="n">
        <f aca="false">PurchasesFeb!$P$1</f>
        <v>0</v>
      </c>
      <c r="N19" s="152" t="n">
        <f aca="false">PurchasesMar!$P$1</f>
        <v>0</v>
      </c>
      <c r="O19" s="134"/>
    </row>
    <row r="20" customFormat="false" ht="12.75" hidden="false" customHeight="false" outlineLevel="0" collapsed="false">
      <c r="A20" s="143" t="s">
        <v>127</v>
      </c>
      <c r="B20" s="126" t="n">
        <f aca="false">ROUNDUP(SUM(C20:N20),0)</f>
        <v>0</v>
      </c>
      <c r="C20" s="151" t="n">
        <f aca="false">PurchasesApr!$Q$1</f>
        <v>0</v>
      </c>
      <c r="D20" s="126" t="n">
        <f aca="false">PurchasesMay!$Q$1</f>
        <v>0</v>
      </c>
      <c r="E20" s="152" t="n">
        <f aca="false">PurchasesJun!$Q$1</f>
        <v>0</v>
      </c>
      <c r="F20" s="126" t="n">
        <f aca="false">PurchasesJul!$Q$1</f>
        <v>0</v>
      </c>
      <c r="G20" s="126" t="n">
        <f aca="false">PurchasesAug!$Q$1</f>
        <v>0</v>
      </c>
      <c r="H20" s="152" t="n">
        <f aca="false">PurchasesSep!$Q$1</f>
        <v>0</v>
      </c>
      <c r="I20" s="126" t="n">
        <f aca="false">PurchasesOct!$Q$1</f>
        <v>0</v>
      </c>
      <c r="J20" s="126" t="n">
        <f aca="false">PurchasesNov!$Q$1</f>
        <v>0</v>
      </c>
      <c r="K20" s="152" t="n">
        <f aca="false">PurchasesDec!$Q$1</f>
        <v>0</v>
      </c>
      <c r="L20" s="126" t="n">
        <f aca="false">PurchasesJan!$Q$1</f>
        <v>0</v>
      </c>
      <c r="M20" s="126" t="n">
        <f aca="false">PurchasesFeb!$Q$1</f>
        <v>0</v>
      </c>
      <c r="N20" s="152" t="n">
        <f aca="false">PurchasesMar!$Q$1</f>
        <v>0</v>
      </c>
      <c r="O20" s="134"/>
    </row>
    <row r="21" customFormat="false" ht="12.75" hidden="false" customHeight="false" outlineLevel="0" collapsed="false">
      <c r="A21" s="143" t="s">
        <v>128</v>
      </c>
      <c r="B21" s="126" t="n">
        <f aca="false">ROUNDUP(SUM(C21:N21),0)</f>
        <v>0</v>
      </c>
      <c r="C21" s="151" t="n">
        <f aca="false">PurchasesApr!$R$1</f>
        <v>0</v>
      </c>
      <c r="D21" s="126" t="n">
        <f aca="false">PurchasesMay!$R$1</f>
        <v>0</v>
      </c>
      <c r="E21" s="152" t="n">
        <f aca="false">PurchasesJun!$R$1</f>
        <v>0</v>
      </c>
      <c r="F21" s="126" t="n">
        <f aca="false">PurchasesJul!$R$1</f>
        <v>0</v>
      </c>
      <c r="G21" s="126" t="n">
        <f aca="false">PurchasesAug!$R$1</f>
        <v>0</v>
      </c>
      <c r="H21" s="152" t="n">
        <f aca="false">PurchasesSep!$R$1</f>
        <v>0</v>
      </c>
      <c r="I21" s="126" t="n">
        <f aca="false">PurchasesOct!$R$1</f>
        <v>0</v>
      </c>
      <c r="J21" s="126" t="n">
        <f aca="false">PurchasesNov!$R$1</f>
        <v>0</v>
      </c>
      <c r="K21" s="152" t="n">
        <f aca="false">PurchasesDec!$R$1</f>
        <v>0</v>
      </c>
      <c r="L21" s="126" t="n">
        <f aca="false">PurchasesJan!$R$1</f>
        <v>0</v>
      </c>
      <c r="M21" s="126" t="n">
        <f aca="false">PurchasesFeb!$R$1</f>
        <v>0</v>
      </c>
      <c r="N21" s="152" t="n">
        <f aca="false">PurchasesMar!$R$1</f>
        <v>0</v>
      </c>
      <c r="O21" s="134"/>
    </row>
    <row r="22" customFormat="false" ht="12.75" hidden="false" customHeight="false" outlineLevel="0" collapsed="false">
      <c r="A22" s="158" t="s">
        <v>129</v>
      </c>
      <c r="B22" s="148" t="n">
        <f aca="false">ROUNDUP(SUM(B14:B21),0)</f>
        <v>1380</v>
      </c>
      <c r="C22" s="149" t="n">
        <f aca="false">SUM(C14:C21)</f>
        <v>520</v>
      </c>
      <c r="D22" s="149" t="n">
        <f aca="false">SUM(D14:D21)</f>
        <v>0</v>
      </c>
      <c r="E22" s="149" t="n">
        <f aca="false">SUM(E14:E21)</f>
        <v>0</v>
      </c>
      <c r="F22" s="150" t="n">
        <f aca="false">SUM(F14:F21)</f>
        <v>120</v>
      </c>
      <c r="G22" s="149" t="n">
        <f aca="false">SUM(G14:G21)</f>
        <v>0</v>
      </c>
      <c r="H22" s="149" t="n">
        <f aca="false">SUM(H14:H21)</f>
        <v>0</v>
      </c>
      <c r="I22" s="150" t="n">
        <f aca="false">SUM(I14:I21)</f>
        <v>120</v>
      </c>
      <c r="J22" s="149" t="n">
        <f aca="false">SUM(J14:J21)</f>
        <v>0</v>
      </c>
      <c r="K22" s="149" t="n">
        <f aca="false">SUM(K14:K21)</f>
        <v>0</v>
      </c>
      <c r="L22" s="150" t="n">
        <f aca="false">SUM(L14:L21)</f>
        <v>620</v>
      </c>
      <c r="M22" s="149" t="n">
        <f aca="false">SUM(M14:M21)</f>
        <v>0</v>
      </c>
      <c r="N22" s="149" t="n">
        <f aca="false">SUM(N14:N21)</f>
        <v>0</v>
      </c>
      <c r="O22" s="134"/>
    </row>
    <row r="23" customFormat="false" ht="12.75" hidden="false" customHeight="false" outlineLevel="0" collapsed="false">
      <c r="A23" s="158" t="s">
        <v>130</v>
      </c>
      <c r="B23" s="148" t="n">
        <f aca="false">ROUNDDOWN((B13-B22),0)</f>
        <v>28565</v>
      </c>
      <c r="C23" s="149" t="n">
        <f aca="false">C13-C22</f>
        <v>751.666666666667</v>
      </c>
      <c r="D23" s="149" t="n">
        <f aca="false">D13-D22</f>
        <v>2606.66666666667</v>
      </c>
      <c r="E23" s="149" t="n">
        <f aca="false">E13-E22</f>
        <v>2606.66666666667</v>
      </c>
      <c r="F23" s="150" t="n">
        <f aca="false">F13-F22</f>
        <v>2486.66666666667</v>
      </c>
      <c r="G23" s="149" t="n">
        <f aca="false">G13-G22</f>
        <v>2606.66666666667</v>
      </c>
      <c r="H23" s="149" t="n">
        <f aca="false">H13-H22</f>
        <v>2606.66666666667</v>
      </c>
      <c r="I23" s="150" t="n">
        <f aca="false">I13-I22</f>
        <v>2486.66666666667</v>
      </c>
      <c r="J23" s="149" t="n">
        <f aca="false">J13-J22</f>
        <v>2606.66666666667</v>
      </c>
      <c r="K23" s="149" t="n">
        <f aca="false">K13-K22</f>
        <v>2606.66666666667</v>
      </c>
      <c r="L23" s="150" t="n">
        <f aca="false">L13-L22</f>
        <v>1986.66666666667</v>
      </c>
      <c r="M23" s="149" t="n">
        <f aca="false">M13-M22</f>
        <v>2606.66666666667</v>
      </c>
      <c r="N23" s="149" t="n">
        <f aca="false">N13-N22</f>
        <v>2606.66666666667</v>
      </c>
      <c r="O23" s="134"/>
    </row>
    <row r="24" customFormat="false" ht="12.75" hidden="false" customHeight="false" outlineLevel="0" collapsed="false">
      <c r="A24" s="159" t="s">
        <v>131</v>
      </c>
      <c r="B24" s="156" t="n">
        <f aca="false">ROUNDDOWN(SUM(C24:N24),0)</f>
        <v>500</v>
      </c>
      <c r="C24" s="160" t="n">
        <f aca="false">SalesApr!$F$1</f>
        <v>0</v>
      </c>
      <c r="D24" s="160" t="n">
        <f aca="false">SalesMay!$F$1</f>
        <v>0</v>
      </c>
      <c r="E24" s="160" t="n">
        <f aca="false">SalesJun!$F$1</f>
        <v>0</v>
      </c>
      <c r="F24" s="157" t="n">
        <f aca="false">SalesJul!$F$1</f>
        <v>0</v>
      </c>
      <c r="G24" s="160" t="n">
        <f aca="false">SalesAug!$F$1</f>
        <v>0</v>
      </c>
      <c r="H24" s="160" t="n">
        <f aca="false">SalesSep!$F$1</f>
        <v>500</v>
      </c>
      <c r="I24" s="157" t="n">
        <f aca="false">SalesOct!$F$1</f>
        <v>0</v>
      </c>
      <c r="J24" s="160" t="n">
        <f aca="false">SalesNov!$F$1</f>
        <v>0</v>
      </c>
      <c r="K24" s="160" t="n">
        <f aca="false">SalesDec!$F$1</f>
        <v>0</v>
      </c>
      <c r="L24" s="157" t="n">
        <f aca="false">SalesJan!$F$1</f>
        <v>0</v>
      </c>
      <c r="M24" s="160" t="n">
        <f aca="false">SalesFeb!$F$1</f>
        <v>0</v>
      </c>
      <c r="N24" s="160" t="n">
        <f aca="false">SalesMar!$F$1</f>
        <v>0</v>
      </c>
      <c r="O24" s="134"/>
    </row>
    <row r="25" customFormat="false" ht="12.75" hidden="false" customHeight="true" outlineLevel="0" collapsed="false">
      <c r="A25" s="161"/>
      <c r="B25" s="162"/>
      <c r="C25" s="162"/>
      <c r="D25" s="162"/>
      <c r="E25" s="162"/>
      <c r="F25" s="162"/>
      <c r="G25" s="162"/>
      <c r="H25" s="162"/>
      <c r="I25" s="162"/>
      <c r="J25" s="162"/>
      <c r="K25" s="162"/>
      <c r="L25" s="162"/>
      <c r="M25" s="162"/>
      <c r="N25" s="162"/>
      <c r="O25" s="163"/>
      <c r="P25" s="164"/>
      <c r="R25" s="164"/>
      <c r="S25" s="164"/>
      <c r="T25" s="164"/>
      <c r="U25" s="164"/>
      <c r="V25" s="164"/>
      <c r="W25" s="164"/>
      <c r="X25" s="164"/>
      <c r="Y25" s="164"/>
      <c r="Z25" s="164"/>
      <c r="AB25" s="164"/>
      <c r="AC25" s="164"/>
      <c r="AD25" s="164"/>
      <c r="AE25" s="164"/>
      <c r="AF25" s="164"/>
      <c r="AG25" s="164"/>
      <c r="AH25" s="164"/>
      <c r="AI25" s="164"/>
      <c r="AJ25" s="164"/>
      <c r="AK25" s="164"/>
      <c r="AL25" s="164"/>
      <c r="AM25" s="164"/>
      <c r="AN25" s="164"/>
      <c r="AO25" s="164"/>
      <c r="AP25" s="164"/>
      <c r="AQ25" s="164"/>
      <c r="AR25" s="164"/>
      <c r="AS25" s="164"/>
      <c r="AT25" s="164"/>
      <c r="AU25" s="164"/>
      <c r="AV25" s="164"/>
      <c r="AW25" s="164"/>
      <c r="AX25" s="164"/>
      <c r="AY25" s="164"/>
      <c r="AZ25" s="164"/>
      <c r="BA25" s="164"/>
      <c r="BB25" s="164"/>
      <c r="BC25" s="164"/>
      <c r="BD25" s="164"/>
      <c r="BE25" s="164"/>
      <c r="BF25" s="164"/>
      <c r="BG25" s="164"/>
      <c r="BH25" s="164"/>
      <c r="BI25" s="164"/>
      <c r="BJ25" s="164"/>
      <c r="BK25" s="164"/>
      <c r="BL25" s="164"/>
      <c r="BM25" s="164"/>
      <c r="BN25" s="164"/>
      <c r="BO25" s="164"/>
      <c r="BP25" s="164"/>
      <c r="BQ25" s="164"/>
      <c r="BR25" s="164"/>
      <c r="BS25" s="164"/>
      <c r="BT25" s="164"/>
      <c r="BU25" s="164"/>
      <c r="BV25" s="164"/>
      <c r="BW25" s="164"/>
      <c r="BX25" s="164"/>
      <c r="BY25" s="164"/>
      <c r="BZ25" s="164"/>
      <c r="CA25" s="164"/>
      <c r="CB25" s="164"/>
      <c r="CC25" s="164"/>
      <c r="CD25" s="164"/>
      <c r="CE25" s="164"/>
      <c r="CF25" s="164"/>
      <c r="CG25" s="164"/>
      <c r="CH25" s="164"/>
      <c r="CI25" s="164"/>
      <c r="CJ25" s="164"/>
      <c r="CK25" s="164"/>
      <c r="CL25" s="164"/>
      <c r="CM25" s="164"/>
      <c r="CN25" s="164"/>
      <c r="CO25" s="164"/>
      <c r="CP25" s="164"/>
      <c r="CQ25" s="164"/>
      <c r="CR25" s="164"/>
      <c r="CS25" s="164"/>
      <c r="CT25" s="164"/>
      <c r="CU25" s="164"/>
      <c r="CV25" s="164"/>
      <c r="CW25" s="164"/>
      <c r="CX25" s="164"/>
      <c r="CY25" s="164"/>
      <c r="CZ25" s="164"/>
      <c r="DA25" s="164"/>
      <c r="DB25" s="164"/>
      <c r="DC25" s="164"/>
      <c r="DD25" s="164"/>
      <c r="DE25" s="164"/>
      <c r="DF25" s="164"/>
      <c r="DG25" s="164"/>
      <c r="DH25" s="164"/>
      <c r="DI25" s="164"/>
      <c r="DJ25" s="164"/>
      <c r="DK25" s="164"/>
      <c r="DL25" s="164"/>
      <c r="DM25" s="164"/>
      <c r="DN25" s="164"/>
      <c r="DO25" s="164"/>
      <c r="DP25" s="164"/>
      <c r="DQ25" s="164"/>
      <c r="DR25" s="164"/>
      <c r="DS25" s="164"/>
      <c r="DT25" s="164"/>
      <c r="DU25" s="164"/>
      <c r="DV25" s="164"/>
      <c r="DW25" s="164"/>
      <c r="DX25" s="164"/>
      <c r="DY25" s="164"/>
      <c r="DZ25" s="164"/>
      <c r="EA25" s="164"/>
      <c r="EB25" s="164"/>
      <c r="EC25" s="164"/>
      <c r="ED25" s="164"/>
      <c r="EE25" s="164"/>
      <c r="EF25" s="164"/>
      <c r="EG25" s="164"/>
      <c r="EH25" s="164"/>
      <c r="EI25" s="164"/>
      <c r="EJ25" s="164"/>
      <c r="EK25" s="164"/>
      <c r="EL25" s="164"/>
      <c r="EM25" s="164"/>
      <c r="EN25" s="164"/>
      <c r="EO25" s="164"/>
      <c r="EP25" s="164"/>
      <c r="EQ25" s="164"/>
      <c r="ER25" s="164"/>
      <c r="ES25" s="164"/>
      <c r="ET25" s="164"/>
      <c r="EU25" s="164"/>
      <c r="EV25" s="164"/>
      <c r="EW25" s="164"/>
      <c r="EX25" s="164"/>
      <c r="EY25" s="164"/>
      <c r="EZ25" s="164"/>
      <c r="FA25" s="164"/>
      <c r="FB25" s="164"/>
      <c r="FC25" s="164"/>
      <c r="FD25" s="164"/>
      <c r="FE25" s="164"/>
      <c r="FF25" s="164"/>
      <c r="FG25" s="164"/>
      <c r="FH25" s="164"/>
      <c r="FI25" s="164"/>
      <c r="FJ25" s="164"/>
      <c r="FK25" s="164"/>
      <c r="FL25" s="164"/>
      <c r="FM25" s="164"/>
      <c r="FN25" s="164"/>
      <c r="FO25" s="164"/>
      <c r="FP25" s="164"/>
      <c r="FQ25" s="164"/>
      <c r="FR25" s="164"/>
      <c r="FS25" s="164"/>
      <c r="FT25" s="164"/>
      <c r="FU25" s="164"/>
      <c r="FV25" s="164"/>
      <c r="FW25" s="164"/>
      <c r="FX25" s="164"/>
      <c r="FY25" s="164"/>
      <c r="FZ25" s="164"/>
      <c r="GA25" s="164"/>
      <c r="GB25" s="164"/>
      <c r="GC25" s="164"/>
      <c r="GD25" s="164"/>
      <c r="GE25" s="164"/>
      <c r="GF25" s="164"/>
      <c r="GG25" s="164"/>
      <c r="GH25" s="164"/>
      <c r="GI25" s="164"/>
      <c r="GJ25" s="164"/>
      <c r="GK25" s="164"/>
      <c r="GL25" s="164"/>
      <c r="GM25" s="164"/>
      <c r="GN25" s="164"/>
      <c r="GO25" s="164"/>
      <c r="GP25" s="164"/>
      <c r="GQ25" s="164"/>
      <c r="GR25" s="164"/>
      <c r="GS25" s="164"/>
      <c r="GT25" s="164"/>
      <c r="GU25" s="164"/>
      <c r="GV25" s="164"/>
      <c r="GW25" s="164"/>
      <c r="GX25" s="164"/>
      <c r="GY25" s="164"/>
      <c r="GZ25" s="164"/>
      <c r="HA25" s="164"/>
      <c r="HB25" s="164"/>
      <c r="HC25" s="164"/>
      <c r="HD25" s="164"/>
      <c r="HE25" s="164"/>
      <c r="HF25" s="164"/>
      <c r="HG25" s="164"/>
      <c r="HH25" s="164"/>
      <c r="HI25" s="164"/>
      <c r="HJ25" s="164"/>
      <c r="HK25" s="164"/>
      <c r="HL25" s="164"/>
      <c r="HM25" s="164"/>
      <c r="HN25" s="164"/>
      <c r="HO25" s="164"/>
      <c r="HP25" s="164"/>
      <c r="HQ25" s="164"/>
      <c r="HR25" s="164"/>
      <c r="HS25" s="164"/>
      <c r="HT25" s="164"/>
      <c r="HU25" s="164"/>
      <c r="HV25" s="164"/>
      <c r="HW25" s="164"/>
      <c r="HX25" s="164"/>
      <c r="HY25" s="164"/>
      <c r="HZ25" s="164"/>
      <c r="IA25" s="164"/>
      <c r="IB25" s="164"/>
      <c r="IC25" s="164"/>
      <c r="ID25" s="164"/>
      <c r="IE25" s="164"/>
      <c r="IF25" s="164"/>
      <c r="IG25" s="164"/>
      <c r="IH25" s="164"/>
      <c r="II25" s="164"/>
      <c r="IJ25" s="164"/>
      <c r="IK25" s="164"/>
      <c r="IL25" s="164"/>
      <c r="IM25" s="164"/>
      <c r="IN25" s="164"/>
      <c r="IO25" s="164"/>
      <c r="IP25" s="164"/>
      <c r="IQ25" s="164"/>
      <c r="IR25" s="164"/>
      <c r="IS25" s="164"/>
      <c r="IT25" s="164"/>
      <c r="IU25" s="164"/>
      <c r="IV25" s="164"/>
      <c r="IW25" s="164"/>
    </row>
    <row r="26" customFormat="false" ht="12.75" hidden="false" customHeight="false" outlineLevel="0" collapsed="false">
      <c r="A26" s="165" t="s">
        <v>132</v>
      </c>
      <c r="B26" s="166"/>
      <c r="C26" s="167"/>
      <c r="D26" s="167"/>
      <c r="E26" s="167"/>
      <c r="F26" s="167"/>
      <c r="G26" s="167"/>
      <c r="H26" s="167"/>
      <c r="I26" s="167"/>
      <c r="J26" s="167"/>
      <c r="K26" s="167"/>
      <c r="L26" s="167"/>
      <c r="M26" s="167"/>
      <c r="N26" s="167"/>
      <c r="O26" s="168"/>
      <c r="P26" s="164"/>
      <c r="R26" s="164"/>
      <c r="S26" s="164"/>
      <c r="T26" s="164"/>
      <c r="U26" s="164"/>
      <c r="V26" s="164"/>
      <c r="W26" s="164"/>
      <c r="X26" s="164"/>
      <c r="Y26" s="164"/>
      <c r="Z26" s="164"/>
      <c r="AB26" s="164"/>
      <c r="AC26" s="164"/>
      <c r="AD26" s="164"/>
      <c r="AE26" s="164"/>
      <c r="AF26" s="164"/>
      <c r="AG26" s="164"/>
      <c r="AH26" s="164"/>
      <c r="AI26" s="164"/>
      <c r="AJ26" s="164"/>
      <c r="AK26" s="164"/>
      <c r="AL26" s="164"/>
      <c r="AM26" s="164"/>
      <c r="AN26" s="164"/>
      <c r="AO26" s="164"/>
      <c r="AP26" s="164"/>
      <c r="AQ26" s="164"/>
      <c r="AR26" s="164"/>
      <c r="AS26" s="164"/>
      <c r="AT26" s="164"/>
      <c r="AU26" s="164"/>
      <c r="AV26" s="164"/>
      <c r="AW26" s="164"/>
      <c r="AX26" s="164"/>
      <c r="AY26" s="164"/>
      <c r="AZ26" s="164"/>
      <c r="BA26" s="164"/>
      <c r="BB26" s="164"/>
      <c r="BC26" s="164"/>
      <c r="BD26" s="164"/>
      <c r="BE26" s="164"/>
      <c r="BF26" s="164"/>
      <c r="BG26" s="164"/>
      <c r="BH26" s="164"/>
      <c r="BI26" s="164"/>
      <c r="BJ26" s="164"/>
      <c r="BK26" s="164"/>
      <c r="BL26" s="164"/>
      <c r="BM26" s="164"/>
      <c r="BN26" s="164"/>
      <c r="BO26" s="164"/>
      <c r="BP26" s="164"/>
      <c r="BQ26" s="164"/>
      <c r="BR26" s="164"/>
      <c r="BS26" s="164"/>
      <c r="BT26" s="164"/>
      <c r="BU26" s="164"/>
      <c r="BV26" s="164"/>
      <c r="BW26" s="164"/>
      <c r="BX26" s="164"/>
      <c r="BY26" s="164"/>
      <c r="BZ26" s="164"/>
      <c r="CA26" s="164"/>
      <c r="CB26" s="164"/>
      <c r="CC26" s="164"/>
      <c r="CD26" s="164"/>
      <c r="CE26" s="164"/>
      <c r="CF26" s="164"/>
      <c r="CG26" s="164"/>
      <c r="CH26" s="164"/>
      <c r="CI26" s="164"/>
      <c r="CJ26" s="164"/>
      <c r="CK26" s="164"/>
      <c r="CL26" s="164"/>
      <c r="CM26" s="164"/>
      <c r="CN26" s="164"/>
      <c r="CO26" s="164"/>
      <c r="CP26" s="164"/>
      <c r="CQ26" s="164"/>
      <c r="CR26" s="164"/>
      <c r="CS26" s="164"/>
      <c r="CT26" s="164"/>
      <c r="CU26" s="164"/>
      <c r="CV26" s="164"/>
      <c r="CW26" s="164"/>
      <c r="CX26" s="164"/>
      <c r="CY26" s="164"/>
      <c r="CZ26" s="164"/>
      <c r="DA26" s="164"/>
      <c r="DB26" s="164"/>
      <c r="DC26" s="164"/>
      <c r="DD26" s="164"/>
      <c r="DE26" s="164"/>
      <c r="DF26" s="164"/>
      <c r="DG26" s="164"/>
      <c r="DH26" s="164"/>
      <c r="DI26" s="164"/>
      <c r="DJ26" s="164"/>
      <c r="DK26" s="164"/>
      <c r="DL26" s="164"/>
      <c r="DM26" s="164"/>
      <c r="DN26" s="164"/>
      <c r="DO26" s="164"/>
      <c r="DP26" s="164"/>
      <c r="DQ26" s="164"/>
      <c r="DR26" s="164"/>
      <c r="DS26" s="164"/>
      <c r="DT26" s="164"/>
      <c r="DU26" s="164"/>
      <c r="DV26" s="164"/>
      <c r="DW26" s="164"/>
      <c r="DX26" s="164"/>
      <c r="DY26" s="164"/>
      <c r="DZ26" s="164"/>
      <c r="EA26" s="164"/>
      <c r="EB26" s="164"/>
      <c r="EC26" s="164"/>
      <c r="ED26" s="164"/>
      <c r="EE26" s="164"/>
      <c r="EF26" s="164"/>
      <c r="EG26" s="164"/>
      <c r="EH26" s="164"/>
      <c r="EI26" s="164"/>
      <c r="EJ26" s="164"/>
      <c r="EK26" s="164"/>
      <c r="EL26" s="164"/>
      <c r="EM26" s="164"/>
      <c r="EN26" s="164"/>
      <c r="EO26" s="164"/>
      <c r="EP26" s="164"/>
      <c r="EQ26" s="164"/>
      <c r="ER26" s="164"/>
      <c r="ES26" s="164"/>
      <c r="ET26" s="164"/>
      <c r="EU26" s="164"/>
      <c r="EV26" s="164"/>
      <c r="EW26" s="164"/>
      <c r="EX26" s="164"/>
      <c r="EY26" s="164"/>
      <c r="EZ26" s="164"/>
      <c r="FA26" s="164"/>
      <c r="FB26" s="164"/>
      <c r="FC26" s="164"/>
      <c r="FD26" s="164"/>
      <c r="FE26" s="164"/>
      <c r="FF26" s="164"/>
      <c r="FG26" s="164"/>
      <c r="FH26" s="164"/>
      <c r="FI26" s="164"/>
      <c r="FJ26" s="164"/>
      <c r="FK26" s="164"/>
      <c r="FL26" s="164"/>
      <c r="FM26" s="164"/>
      <c r="FN26" s="164"/>
      <c r="FO26" s="164"/>
      <c r="FP26" s="164"/>
      <c r="FQ26" s="164"/>
      <c r="FR26" s="164"/>
      <c r="FS26" s="164"/>
      <c r="FT26" s="164"/>
      <c r="FU26" s="164"/>
      <c r="FV26" s="164"/>
      <c r="FW26" s="164"/>
      <c r="FX26" s="164"/>
      <c r="FY26" s="164"/>
      <c r="FZ26" s="164"/>
      <c r="GA26" s="164"/>
      <c r="GB26" s="164"/>
      <c r="GC26" s="164"/>
      <c r="GD26" s="164"/>
      <c r="GE26" s="164"/>
      <c r="GF26" s="164"/>
      <c r="GG26" s="164"/>
      <c r="GH26" s="164"/>
      <c r="GI26" s="164"/>
      <c r="GJ26" s="164"/>
      <c r="GK26" s="164"/>
      <c r="GL26" s="164"/>
      <c r="GM26" s="164"/>
      <c r="GN26" s="164"/>
      <c r="GO26" s="164"/>
      <c r="GP26" s="164"/>
      <c r="GQ26" s="164"/>
      <c r="GR26" s="164"/>
      <c r="GS26" s="164"/>
      <c r="GT26" s="164"/>
      <c r="GU26" s="164"/>
      <c r="GV26" s="164"/>
      <c r="GW26" s="164"/>
      <c r="GX26" s="164"/>
      <c r="GY26" s="164"/>
      <c r="GZ26" s="164"/>
      <c r="HA26" s="164"/>
      <c r="HB26" s="164"/>
      <c r="HC26" s="164"/>
      <c r="HD26" s="164"/>
      <c r="HE26" s="164"/>
      <c r="HF26" s="164"/>
      <c r="HG26" s="164"/>
      <c r="HH26" s="164"/>
      <c r="HI26" s="164"/>
      <c r="HJ26" s="164"/>
      <c r="HK26" s="164"/>
      <c r="HL26" s="164"/>
      <c r="HM26" s="164"/>
      <c r="HN26" s="164"/>
      <c r="HO26" s="164"/>
      <c r="HP26" s="164"/>
      <c r="HQ26" s="164"/>
      <c r="HR26" s="164"/>
      <c r="HS26" s="164"/>
      <c r="HT26" s="164"/>
      <c r="HU26" s="164"/>
      <c r="HV26" s="164"/>
      <c r="HW26" s="164"/>
      <c r="HX26" s="164"/>
      <c r="HY26" s="164"/>
      <c r="HZ26" s="164"/>
      <c r="IA26" s="164"/>
      <c r="IB26" s="164"/>
      <c r="IC26" s="164"/>
      <c r="ID26" s="164"/>
      <c r="IE26" s="164"/>
      <c r="IF26" s="164"/>
      <c r="IG26" s="164"/>
      <c r="IH26" s="164"/>
      <c r="II26" s="164"/>
      <c r="IJ26" s="164"/>
      <c r="IK26" s="164"/>
      <c r="IL26" s="164"/>
      <c r="IM26" s="164"/>
      <c r="IN26" s="164"/>
      <c r="IO26" s="164"/>
      <c r="IP26" s="164"/>
      <c r="IQ26" s="164"/>
      <c r="IR26" s="164"/>
      <c r="IS26" s="164"/>
      <c r="IT26" s="164"/>
      <c r="IU26" s="164"/>
      <c r="IV26" s="164"/>
      <c r="IW26" s="164"/>
    </row>
    <row r="27" customFormat="false" ht="12.75" hidden="false" customHeight="false" outlineLevel="0" collapsed="false">
      <c r="A27" s="169" t="s">
        <v>133</v>
      </c>
      <c r="B27" s="170" t="n">
        <f aca="false">SUM(C27:N27)</f>
        <v>29065</v>
      </c>
      <c r="C27" s="171" t="n">
        <f aca="false">'Wages Forecast'!D30</f>
        <v>751.666666666667</v>
      </c>
      <c r="D27" s="171" t="n">
        <f aca="false">'Wages Forecast'!E30</f>
        <v>2606.66666666667</v>
      </c>
      <c r="E27" s="171" t="n">
        <f aca="false">'Wages Forecast'!F30</f>
        <v>2606.66666666667</v>
      </c>
      <c r="F27" s="171" t="n">
        <f aca="false">'Wages Forecast'!G30</f>
        <v>2486.66666666667</v>
      </c>
      <c r="G27" s="171" t="n">
        <f aca="false">'Wages Forecast'!H30</f>
        <v>2606.66666666667</v>
      </c>
      <c r="H27" s="171" t="n">
        <f aca="false">'Wages Forecast'!I30</f>
        <v>3106.66666666667</v>
      </c>
      <c r="I27" s="171" t="n">
        <f aca="false">'Wages Forecast'!J30</f>
        <v>2486.66666666667</v>
      </c>
      <c r="J27" s="171" t="n">
        <f aca="false">'Wages Forecast'!K30</f>
        <v>2606.66666666667</v>
      </c>
      <c r="K27" s="171" t="n">
        <f aca="false">'Wages Forecast'!L30</f>
        <v>2606.66666666667</v>
      </c>
      <c r="L27" s="171" t="n">
        <f aca="false">'Wages Forecast'!M30</f>
        <v>1986.66666666667</v>
      </c>
      <c r="M27" s="171" t="n">
        <f aca="false">'Wages Forecast'!N30</f>
        <v>2606.66666666667</v>
      </c>
      <c r="N27" s="171" t="n">
        <f aca="false">'Wages Forecast'!O30</f>
        <v>2606.66666666667</v>
      </c>
      <c r="O27" s="172"/>
      <c r="P27" s="164"/>
      <c r="R27" s="164"/>
      <c r="S27" s="164"/>
      <c r="T27" s="164"/>
      <c r="U27" s="164"/>
      <c r="V27" s="164"/>
      <c r="W27" s="164"/>
      <c r="X27" s="164"/>
      <c r="Y27" s="164"/>
      <c r="Z27" s="164"/>
      <c r="AB27" s="164"/>
      <c r="AC27" s="164"/>
      <c r="AD27" s="164"/>
      <c r="AE27" s="164"/>
      <c r="AF27" s="164"/>
      <c r="AG27" s="164"/>
      <c r="AH27" s="164"/>
      <c r="AI27" s="164"/>
      <c r="AJ27" s="164"/>
      <c r="AK27" s="164"/>
      <c r="AL27" s="164"/>
      <c r="AM27" s="164"/>
      <c r="AN27" s="164"/>
      <c r="AO27" s="164"/>
      <c r="AP27" s="164"/>
      <c r="AQ27" s="164"/>
      <c r="AR27" s="164"/>
      <c r="AS27" s="164"/>
      <c r="AT27" s="164"/>
      <c r="AU27" s="164"/>
      <c r="AV27" s="164"/>
      <c r="AW27" s="164"/>
      <c r="AX27" s="164"/>
      <c r="AY27" s="164"/>
      <c r="AZ27" s="164"/>
      <c r="BA27" s="164"/>
      <c r="BB27" s="164"/>
      <c r="BC27" s="164"/>
      <c r="BD27" s="164"/>
      <c r="BE27" s="164"/>
      <c r="BF27" s="164"/>
      <c r="BG27" s="164"/>
      <c r="BH27" s="164"/>
      <c r="BI27" s="164"/>
      <c r="BJ27" s="164"/>
      <c r="BK27" s="164"/>
      <c r="BL27" s="164"/>
      <c r="BM27" s="164"/>
      <c r="BN27" s="164"/>
      <c r="BO27" s="164"/>
      <c r="BP27" s="164"/>
      <c r="BQ27" s="164"/>
      <c r="BR27" s="164"/>
      <c r="BS27" s="164"/>
      <c r="BT27" s="164"/>
      <c r="BU27" s="164"/>
      <c r="BV27" s="164"/>
      <c r="BW27" s="164"/>
      <c r="BX27" s="164"/>
      <c r="BY27" s="164"/>
      <c r="BZ27" s="164"/>
      <c r="CA27" s="164"/>
      <c r="CB27" s="164"/>
      <c r="CC27" s="164"/>
      <c r="CD27" s="164"/>
      <c r="CE27" s="164"/>
      <c r="CF27" s="164"/>
      <c r="CG27" s="164"/>
      <c r="CH27" s="164"/>
      <c r="CI27" s="164"/>
      <c r="CJ27" s="164"/>
      <c r="CK27" s="164"/>
      <c r="CL27" s="164"/>
      <c r="CM27" s="164"/>
      <c r="CN27" s="164"/>
      <c r="CO27" s="164"/>
      <c r="CP27" s="164"/>
      <c r="CQ27" s="164"/>
      <c r="CR27" s="164"/>
      <c r="CS27" s="164"/>
      <c r="CT27" s="164"/>
      <c r="CU27" s="164"/>
      <c r="CV27" s="164"/>
      <c r="CW27" s="164"/>
      <c r="CX27" s="164"/>
      <c r="CY27" s="164"/>
      <c r="CZ27" s="164"/>
      <c r="DA27" s="164"/>
      <c r="DB27" s="164"/>
      <c r="DC27" s="164"/>
      <c r="DD27" s="164"/>
      <c r="DE27" s="164"/>
      <c r="DF27" s="164"/>
      <c r="DG27" s="164"/>
      <c r="DH27" s="164"/>
      <c r="DI27" s="164"/>
      <c r="DJ27" s="164"/>
      <c r="DK27" s="164"/>
      <c r="DL27" s="164"/>
      <c r="DM27" s="164"/>
      <c r="DN27" s="164"/>
      <c r="DO27" s="164"/>
      <c r="DP27" s="164"/>
      <c r="DQ27" s="164"/>
      <c r="DR27" s="164"/>
      <c r="DS27" s="164"/>
      <c r="DT27" s="164"/>
      <c r="DU27" s="164"/>
      <c r="DV27" s="164"/>
      <c r="DW27" s="164"/>
      <c r="DX27" s="164"/>
      <c r="DY27" s="164"/>
      <c r="DZ27" s="164"/>
      <c r="EA27" s="164"/>
      <c r="EB27" s="164"/>
      <c r="EC27" s="164"/>
      <c r="ED27" s="164"/>
      <c r="EE27" s="164"/>
      <c r="EF27" s="164"/>
      <c r="EG27" s="164"/>
      <c r="EH27" s="164"/>
      <c r="EI27" s="164"/>
      <c r="EJ27" s="164"/>
      <c r="EK27" s="164"/>
      <c r="EL27" s="164"/>
      <c r="EM27" s="164"/>
      <c r="EN27" s="164"/>
      <c r="EO27" s="164"/>
      <c r="EP27" s="164"/>
      <c r="EQ27" s="164"/>
      <c r="ER27" s="164"/>
      <c r="ES27" s="164"/>
      <c r="ET27" s="164"/>
      <c r="EU27" s="164"/>
      <c r="EV27" s="164"/>
      <c r="EW27" s="164"/>
      <c r="EX27" s="164"/>
      <c r="EY27" s="164"/>
      <c r="EZ27" s="164"/>
      <c r="FA27" s="164"/>
      <c r="FB27" s="164"/>
      <c r="FC27" s="164"/>
      <c r="FD27" s="164"/>
      <c r="FE27" s="164"/>
      <c r="FF27" s="164"/>
      <c r="FG27" s="164"/>
      <c r="FH27" s="164"/>
      <c r="FI27" s="164"/>
      <c r="FJ27" s="164"/>
      <c r="FK27" s="164"/>
      <c r="FL27" s="164"/>
      <c r="FM27" s="164"/>
      <c r="FN27" s="164"/>
      <c r="FO27" s="164"/>
      <c r="FP27" s="164"/>
      <c r="FQ27" s="164"/>
      <c r="FR27" s="164"/>
      <c r="FS27" s="164"/>
      <c r="FT27" s="164"/>
      <c r="FU27" s="164"/>
      <c r="FV27" s="164"/>
      <c r="FW27" s="164"/>
      <c r="FX27" s="164"/>
      <c r="FY27" s="164"/>
      <c r="FZ27" s="164"/>
      <c r="GA27" s="164"/>
      <c r="GB27" s="164"/>
      <c r="GC27" s="164"/>
      <c r="GD27" s="164"/>
      <c r="GE27" s="164"/>
      <c r="GF27" s="164"/>
      <c r="GG27" s="164"/>
      <c r="GH27" s="164"/>
      <c r="GI27" s="164"/>
      <c r="GJ27" s="164"/>
      <c r="GK27" s="164"/>
      <c r="GL27" s="164"/>
      <c r="GM27" s="164"/>
      <c r="GN27" s="164"/>
      <c r="GO27" s="164"/>
      <c r="GP27" s="164"/>
      <c r="GQ27" s="164"/>
      <c r="GR27" s="164"/>
      <c r="GS27" s="164"/>
      <c r="GT27" s="164"/>
      <c r="GU27" s="164"/>
      <c r="GV27" s="164"/>
      <c r="GW27" s="164"/>
      <c r="GX27" s="164"/>
      <c r="GY27" s="164"/>
      <c r="GZ27" s="164"/>
      <c r="HA27" s="164"/>
      <c r="HB27" s="164"/>
      <c r="HC27" s="164"/>
      <c r="HD27" s="164"/>
      <c r="HE27" s="164"/>
      <c r="HF27" s="164"/>
      <c r="HG27" s="164"/>
      <c r="HH27" s="164"/>
      <c r="HI27" s="164"/>
      <c r="HJ27" s="164"/>
      <c r="HK27" s="164"/>
      <c r="HL27" s="164"/>
      <c r="HM27" s="164"/>
      <c r="HN27" s="164"/>
      <c r="HO27" s="164"/>
      <c r="HP27" s="164"/>
      <c r="HQ27" s="164"/>
      <c r="HR27" s="164"/>
      <c r="HS27" s="164"/>
      <c r="HT27" s="164"/>
      <c r="HU27" s="164"/>
      <c r="HV27" s="164"/>
      <c r="HW27" s="164"/>
      <c r="HX27" s="164"/>
      <c r="HY27" s="164"/>
      <c r="HZ27" s="164"/>
      <c r="IA27" s="164"/>
      <c r="IB27" s="164"/>
      <c r="IC27" s="164"/>
      <c r="ID27" s="164"/>
      <c r="IE27" s="164"/>
      <c r="IF27" s="164"/>
      <c r="IG27" s="164"/>
      <c r="IH27" s="164"/>
      <c r="II27" s="164"/>
      <c r="IJ27" s="164"/>
      <c r="IK27" s="164"/>
      <c r="IL27" s="164"/>
      <c r="IM27" s="164"/>
      <c r="IN27" s="164"/>
      <c r="IO27" s="164"/>
      <c r="IP27" s="164"/>
      <c r="IQ27" s="164"/>
      <c r="IR27" s="164"/>
      <c r="IS27" s="164"/>
      <c r="IT27" s="164"/>
      <c r="IU27" s="164"/>
      <c r="IV27" s="164"/>
      <c r="IW27" s="164"/>
    </row>
    <row r="28" customFormat="false" ht="12.75" hidden="false" customHeight="false" outlineLevel="0" collapsed="false">
      <c r="A28" s="173" t="s">
        <v>134</v>
      </c>
      <c r="B28" s="174" t="n">
        <f aca="false">SUM(C28:N28)</f>
        <v>0</v>
      </c>
      <c r="C28" s="175"/>
      <c r="D28" s="175"/>
      <c r="E28" s="175"/>
      <c r="F28" s="175"/>
      <c r="G28" s="175"/>
      <c r="H28" s="175"/>
      <c r="I28" s="175"/>
      <c r="J28" s="175"/>
      <c r="K28" s="175"/>
      <c r="L28" s="175"/>
      <c r="M28" s="175"/>
      <c r="N28" s="175"/>
      <c r="O28" s="172"/>
      <c r="P28" s="164"/>
      <c r="R28" s="164"/>
      <c r="S28" s="164"/>
      <c r="T28" s="164"/>
      <c r="U28" s="164"/>
      <c r="V28" s="164"/>
      <c r="W28" s="164"/>
      <c r="X28" s="164"/>
      <c r="Y28" s="164"/>
      <c r="Z28" s="164"/>
      <c r="AB28" s="164"/>
      <c r="AC28" s="164"/>
      <c r="AD28" s="164"/>
      <c r="AE28" s="164"/>
      <c r="AF28" s="164"/>
      <c r="AG28" s="164"/>
      <c r="AH28" s="164"/>
      <c r="AI28" s="164"/>
      <c r="AJ28" s="164"/>
      <c r="AK28" s="164"/>
      <c r="AL28" s="164"/>
      <c r="AM28" s="164"/>
      <c r="AN28" s="164"/>
      <c r="AO28" s="164"/>
      <c r="AP28" s="164"/>
      <c r="AQ28" s="164"/>
      <c r="AR28" s="164"/>
      <c r="AS28" s="164"/>
      <c r="AT28" s="164"/>
      <c r="AU28" s="164"/>
      <c r="AV28" s="164"/>
      <c r="AW28" s="164"/>
      <c r="AX28" s="164"/>
      <c r="AY28" s="164"/>
      <c r="AZ28" s="164"/>
      <c r="BA28" s="164"/>
      <c r="BB28" s="164"/>
      <c r="BC28" s="164"/>
      <c r="BD28" s="164"/>
      <c r="BE28" s="164"/>
      <c r="BF28" s="164"/>
      <c r="BG28" s="164"/>
      <c r="BH28" s="164"/>
      <c r="BI28" s="164"/>
      <c r="BJ28" s="164"/>
      <c r="BK28" s="164"/>
      <c r="BL28" s="164"/>
      <c r="BM28" s="164"/>
      <c r="BN28" s="164"/>
      <c r="BO28" s="164"/>
      <c r="BP28" s="164"/>
      <c r="BQ28" s="164"/>
      <c r="BR28" s="164"/>
      <c r="BS28" s="164"/>
      <c r="BT28" s="164"/>
      <c r="BU28" s="164"/>
      <c r="BV28" s="164"/>
      <c r="BW28" s="164"/>
      <c r="BX28" s="164"/>
      <c r="BY28" s="164"/>
      <c r="BZ28" s="164"/>
      <c r="CA28" s="164"/>
      <c r="CB28" s="164"/>
      <c r="CC28" s="164"/>
      <c r="CD28" s="164"/>
      <c r="CE28" s="164"/>
      <c r="CF28" s="164"/>
      <c r="CG28" s="164"/>
      <c r="CH28" s="164"/>
      <c r="CI28" s="164"/>
      <c r="CJ28" s="164"/>
      <c r="CK28" s="164"/>
      <c r="CL28" s="164"/>
      <c r="CM28" s="164"/>
      <c r="CN28" s="164"/>
      <c r="CO28" s="164"/>
      <c r="CP28" s="164"/>
      <c r="CQ28" s="164"/>
      <c r="CR28" s="164"/>
      <c r="CS28" s="164"/>
      <c r="CT28" s="164"/>
      <c r="CU28" s="164"/>
      <c r="CV28" s="164"/>
      <c r="CW28" s="164"/>
      <c r="CX28" s="164"/>
      <c r="CY28" s="164"/>
      <c r="CZ28" s="164"/>
      <c r="DA28" s="164"/>
      <c r="DB28" s="164"/>
      <c r="DC28" s="164"/>
      <c r="DD28" s="164"/>
      <c r="DE28" s="164"/>
      <c r="DF28" s="164"/>
      <c r="DG28" s="164"/>
      <c r="DH28" s="164"/>
      <c r="DI28" s="164"/>
      <c r="DJ28" s="164"/>
      <c r="DK28" s="164"/>
      <c r="DL28" s="164"/>
      <c r="DM28" s="164"/>
      <c r="DN28" s="164"/>
      <c r="DO28" s="164"/>
      <c r="DP28" s="164"/>
      <c r="DQ28" s="164"/>
      <c r="DR28" s="164"/>
      <c r="DS28" s="164"/>
      <c r="DT28" s="164"/>
      <c r="DU28" s="164"/>
      <c r="DV28" s="164"/>
      <c r="DW28" s="164"/>
      <c r="DX28" s="164"/>
      <c r="DY28" s="164"/>
      <c r="DZ28" s="164"/>
      <c r="EA28" s="164"/>
      <c r="EB28" s="164"/>
      <c r="EC28" s="164"/>
      <c r="ED28" s="164"/>
      <c r="EE28" s="164"/>
      <c r="EF28" s="164"/>
      <c r="EG28" s="164"/>
      <c r="EH28" s="164"/>
      <c r="EI28" s="164"/>
      <c r="EJ28" s="164"/>
      <c r="EK28" s="164"/>
      <c r="EL28" s="164"/>
      <c r="EM28" s="164"/>
      <c r="EN28" s="164"/>
      <c r="EO28" s="164"/>
      <c r="EP28" s="164"/>
      <c r="EQ28" s="164"/>
      <c r="ER28" s="164"/>
      <c r="ES28" s="164"/>
      <c r="ET28" s="164"/>
      <c r="EU28" s="164"/>
      <c r="EV28" s="164"/>
      <c r="EW28" s="164"/>
      <c r="EX28" s="164"/>
      <c r="EY28" s="164"/>
      <c r="EZ28" s="164"/>
      <c r="FA28" s="164"/>
      <c r="FB28" s="164"/>
      <c r="FC28" s="164"/>
      <c r="FD28" s="164"/>
      <c r="FE28" s="164"/>
      <c r="FF28" s="164"/>
      <c r="FG28" s="164"/>
      <c r="FH28" s="164"/>
      <c r="FI28" s="164"/>
      <c r="FJ28" s="164"/>
      <c r="FK28" s="164"/>
      <c r="FL28" s="164"/>
      <c r="FM28" s="164"/>
      <c r="FN28" s="164"/>
      <c r="FO28" s="164"/>
      <c r="FP28" s="164"/>
      <c r="FQ28" s="164"/>
      <c r="FR28" s="164"/>
      <c r="FS28" s="164"/>
      <c r="FT28" s="164"/>
      <c r="FU28" s="164"/>
      <c r="FV28" s="164"/>
      <c r="FW28" s="164"/>
      <c r="FX28" s="164"/>
      <c r="FY28" s="164"/>
      <c r="FZ28" s="164"/>
      <c r="GA28" s="164"/>
      <c r="GB28" s="164"/>
      <c r="GC28" s="164"/>
      <c r="GD28" s="164"/>
      <c r="GE28" s="164"/>
      <c r="GF28" s="164"/>
      <c r="GG28" s="164"/>
      <c r="GH28" s="164"/>
      <c r="GI28" s="164"/>
      <c r="GJ28" s="164"/>
      <c r="GK28" s="164"/>
      <c r="GL28" s="164"/>
      <c r="GM28" s="164"/>
      <c r="GN28" s="164"/>
      <c r="GO28" s="164"/>
      <c r="GP28" s="164"/>
      <c r="GQ28" s="164"/>
      <c r="GR28" s="164"/>
      <c r="GS28" s="164"/>
      <c r="GT28" s="164"/>
      <c r="GU28" s="164"/>
      <c r="GV28" s="164"/>
      <c r="GW28" s="164"/>
      <c r="GX28" s="164"/>
      <c r="GY28" s="164"/>
      <c r="GZ28" s="164"/>
      <c r="HA28" s="164"/>
      <c r="HB28" s="164"/>
      <c r="HC28" s="164"/>
      <c r="HD28" s="164"/>
      <c r="HE28" s="164"/>
      <c r="HF28" s="164"/>
      <c r="HG28" s="164"/>
      <c r="HH28" s="164"/>
      <c r="HI28" s="164"/>
      <c r="HJ28" s="164"/>
      <c r="HK28" s="164"/>
      <c r="HL28" s="164"/>
      <c r="HM28" s="164"/>
      <c r="HN28" s="164"/>
      <c r="HO28" s="164"/>
      <c r="HP28" s="164"/>
      <c r="HQ28" s="164"/>
      <c r="HR28" s="164"/>
      <c r="HS28" s="164"/>
      <c r="HT28" s="164"/>
      <c r="HU28" s="164"/>
      <c r="HV28" s="164"/>
      <c r="HW28" s="164"/>
      <c r="HX28" s="164"/>
      <c r="HY28" s="164"/>
      <c r="HZ28" s="164"/>
      <c r="IA28" s="164"/>
      <c r="IB28" s="164"/>
      <c r="IC28" s="164"/>
      <c r="ID28" s="164"/>
      <c r="IE28" s="164"/>
      <c r="IF28" s="164"/>
      <c r="IG28" s="164"/>
      <c r="IH28" s="164"/>
      <c r="II28" s="164"/>
      <c r="IJ28" s="164"/>
      <c r="IK28" s="164"/>
      <c r="IL28" s="164"/>
      <c r="IM28" s="164"/>
      <c r="IN28" s="164"/>
      <c r="IO28" s="164"/>
      <c r="IP28" s="164"/>
      <c r="IQ28" s="164"/>
      <c r="IR28" s="164"/>
      <c r="IS28" s="164"/>
      <c r="IT28" s="164"/>
      <c r="IU28" s="164"/>
      <c r="IV28" s="164"/>
      <c r="IW28" s="164"/>
    </row>
    <row r="29" customFormat="false" ht="12.75" hidden="false" customHeight="false" outlineLevel="0" collapsed="false">
      <c r="A29" s="173" t="s">
        <v>135</v>
      </c>
      <c r="B29" s="174" t="n">
        <f aca="false">SUM(C29:N29)</f>
        <v>0</v>
      </c>
      <c r="C29" s="175"/>
      <c r="D29" s="175"/>
      <c r="E29" s="175"/>
      <c r="F29" s="175"/>
      <c r="G29" s="175"/>
      <c r="H29" s="175"/>
      <c r="I29" s="175"/>
      <c r="J29" s="175"/>
      <c r="K29" s="175"/>
      <c r="L29" s="175"/>
      <c r="M29" s="175"/>
      <c r="N29" s="175"/>
      <c r="O29" s="172"/>
      <c r="P29" s="164"/>
      <c r="R29" s="164"/>
      <c r="S29" s="164"/>
      <c r="T29" s="164"/>
      <c r="U29" s="164"/>
      <c r="V29" s="164"/>
      <c r="W29" s="164"/>
      <c r="X29" s="164"/>
      <c r="Y29" s="164"/>
      <c r="Z29" s="164"/>
      <c r="AB29" s="164"/>
      <c r="AC29" s="164"/>
      <c r="AD29" s="164"/>
      <c r="AE29" s="164"/>
      <c r="AF29" s="164"/>
      <c r="AG29" s="164"/>
      <c r="AH29" s="164"/>
      <c r="AI29" s="164"/>
      <c r="AJ29" s="164"/>
      <c r="AK29" s="164"/>
      <c r="AL29" s="164"/>
      <c r="AM29" s="164"/>
      <c r="AN29" s="164"/>
      <c r="AO29" s="164"/>
      <c r="AP29" s="164"/>
      <c r="AQ29" s="164"/>
      <c r="AR29" s="164"/>
      <c r="AS29" s="164"/>
      <c r="AT29" s="164"/>
      <c r="AU29" s="164"/>
      <c r="AV29" s="164"/>
      <c r="AW29" s="164"/>
      <c r="AX29" s="164"/>
      <c r="AY29" s="164"/>
      <c r="AZ29" s="164"/>
      <c r="BA29" s="164"/>
      <c r="BB29" s="164"/>
      <c r="BC29" s="164"/>
      <c r="BD29" s="164"/>
      <c r="BE29" s="164"/>
      <c r="BF29" s="164"/>
      <c r="BG29" s="164"/>
      <c r="BH29" s="164"/>
      <c r="BI29" s="164"/>
      <c r="BJ29" s="164"/>
      <c r="BK29" s="164"/>
      <c r="BL29" s="164"/>
      <c r="BM29" s="164"/>
      <c r="BN29" s="164"/>
      <c r="BO29" s="164"/>
      <c r="BP29" s="164"/>
      <c r="BQ29" s="164"/>
      <c r="BR29" s="164"/>
      <c r="BS29" s="164"/>
      <c r="BT29" s="164"/>
      <c r="BU29" s="164"/>
      <c r="BV29" s="164"/>
      <c r="BW29" s="164"/>
      <c r="BX29" s="164"/>
      <c r="BY29" s="164"/>
      <c r="BZ29" s="164"/>
      <c r="CA29" s="164"/>
      <c r="CB29" s="164"/>
      <c r="CC29" s="164"/>
      <c r="CD29" s="164"/>
      <c r="CE29" s="164"/>
      <c r="CF29" s="164"/>
      <c r="CG29" s="164"/>
      <c r="CH29" s="164"/>
      <c r="CI29" s="164"/>
      <c r="CJ29" s="164"/>
      <c r="CK29" s="164"/>
      <c r="CL29" s="164"/>
      <c r="CM29" s="164"/>
      <c r="CN29" s="164"/>
      <c r="CO29" s="164"/>
      <c r="CP29" s="164"/>
      <c r="CQ29" s="164"/>
      <c r="CR29" s="164"/>
      <c r="CS29" s="164"/>
      <c r="CT29" s="164"/>
      <c r="CU29" s="164"/>
      <c r="CV29" s="164"/>
      <c r="CW29" s="164"/>
      <c r="CX29" s="164"/>
      <c r="CY29" s="164"/>
      <c r="CZ29" s="164"/>
      <c r="DA29" s="164"/>
      <c r="DB29" s="164"/>
      <c r="DC29" s="164"/>
      <c r="DD29" s="164"/>
      <c r="DE29" s="164"/>
      <c r="DF29" s="164"/>
      <c r="DG29" s="164"/>
      <c r="DH29" s="164"/>
      <c r="DI29" s="164"/>
      <c r="DJ29" s="164"/>
      <c r="DK29" s="164"/>
      <c r="DL29" s="164"/>
      <c r="DM29" s="164"/>
      <c r="DN29" s="164"/>
      <c r="DO29" s="164"/>
      <c r="DP29" s="164"/>
      <c r="DQ29" s="164"/>
      <c r="DR29" s="164"/>
      <c r="DS29" s="164"/>
      <c r="DT29" s="164"/>
      <c r="DU29" s="164"/>
      <c r="DV29" s="164"/>
      <c r="DW29" s="164"/>
      <c r="DX29" s="164"/>
      <c r="DY29" s="164"/>
      <c r="DZ29" s="164"/>
      <c r="EA29" s="164"/>
      <c r="EB29" s="164"/>
      <c r="EC29" s="164"/>
      <c r="ED29" s="164"/>
      <c r="EE29" s="164"/>
      <c r="EF29" s="164"/>
      <c r="EG29" s="164"/>
      <c r="EH29" s="164"/>
      <c r="EI29" s="164"/>
      <c r="EJ29" s="164"/>
      <c r="EK29" s="164"/>
      <c r="EL29" s="164"/>
      <c r="EM29" s="164"/>
      <c r="EN29" s="164"/>
      <c r="EO29" s="164"/>
      <c r="EP29" s="164"/>
      <c r="EQ29" s="164"/>
      <c r="ER29" s="164"/>
      <c r="ES29" s="164"/>
      <c r="ET29" s="164"/>
      <c r="EU29" s="164"/>
      <c r="EV29" s="164"/>
      <c r="EW29" s="164"/>
      <c r="EX29" s="164"/>
      <c r="EY29" s="164"/>
      <c r="EZ29" s="164"/>
      <c r="FA29" s="164"/>
      <c r="FB29" s="164"/>
      <c r="FC29" s="164"/>
      <c r="FD29" s="164"/>
      <c r="FE29" s="164"/>
      <c r="FF29" s="164"/>
      <c r="FG29" s="164"/>
      <c r="FH29" s="164"/>
      <c r="FI29" s="164"/>
      <c r="FJ29" s="164"/>
      <c r="FK29" s="164"/>
      <c r="FL29" s="164"/>
      <c r="FM29" s="164"/>
      <c r="FN29" s="164"/>
      <c r="FO29" s="164"/>
      <c r="FP29" s="164"/>
      <c r="FQ29" s="164"/>
      <c r="FR29" s="164"/>
      <c r="FS29" s="164"/>
      <c r="FT29" s="164"/>
      <c r="FU29" s="164"/>
      <c r="FV29" s="164"/>
      <c r="FW29" s="164"/>
      <c r="FX29" s="164"/>
      <c r="FY29" s="164"/>
      <c r="FZ29" s="164"/>
      <c r="GA29" s="164"/>
      <c r="GB29" s="164"/>
      <c r="GC29" s="164"/>
      <c r="GD29" s="164"/>
      <c r="GE29" s="164"/>
      <c r="GF29" s="164"/>
      <c r="GG29" s="164"/>
      <c r="GH29" s="164"/>
      <c r="GI29" s="164"/>
      <c r="GJ29" s="164"/>
      <c r="GK29" s="164"/>
      <c r="GL29" s="164"/>
      <c r="GM29" s="164"/>
      <c r="GN29" s="164"/>
      <c r="GO29" s="164"/>
      <c r="GP29" s="164"/>
      <c r="GQ29" s="164"/>
      <c r="GR29" s="164"/>
      <c r="GS29" s="164"/>
      <c r="GT29" s="164"/>
      <c r="GU29" s="164"/>
      <c r="GV29" s="164"/>
      <c r="GW29" s="164"/>
      <c r="GX29" s="164"/>
      <c r="GY29" s="164"/>
      <c r="GZ29" s="164"/>
      <c r="HA29" s="164"/>
      <c r="HB29" s="164"/>
      <c r="HC29" s="164"/>
      <c r="HD29" s="164"/>
      <c r="HE29" s="164"/>
      <c r="HF29" s="164"/>
      <c r="HG29" s="164"/>
      <c r="HH29" s="164"/>
      <c r="HI29" s="164"/>
      <c r="HJ29" s="164"/>
      <c r="HK29" s="164"/>
      <c r="HL29" s="164"/>
      <c r="HM29" s="164"/>
      <c r="HN29" s="164"/>
      <c r="HO29" s="164"/>
      <c r="HP29" s="164"/>
      <c r="HQ29" s="164"/>
      <c r="HR29" s="164"/>
      <c r="HS29" s="164"/>
      <c r="HT29" s="164"/>
      <c r="HU29" s="164"/>
      <c r="HV29" s="164"/>
      <c r="HW29" s="164"/>
      <c r="HX29" s="164"/>
      <c r="HY29" s="164"/>
      <c r="HZ29" s="164"/>
      <c r="IA29" s="164"/>
      <c r="IB29" s="164"/>
      <c r="IC29" s="164"/>
      <c r="ID29" s="164"/>
      <c r="IE29" s="164"/>
      <c r="IF29" s="164"/>
      <c r="IG29" s="164"/>
      <c r="IH29" s="164"/>
      <c r="II29" s="164"/>
      <c r="IJ29" s="164"/>
      <c r="IK29" s="164"/>
      <c r="IL29" s="164"/>
      <c r="IM29" s="164"/>
      <c r="IN29" s="164"/>
      <c r="IO29" s="164"/>
      <c r="IP29" s="164"/>
      <c r="IQ29" s="164"/>
      <c r="IR29" s="164"/>
      <c r="IS29" s="164"/>
      <c r="IT29" s="164"/>
      <c r="IU29" s="164"/>
      <c r="IV29" s="164"/>
      <c r="IW29" s="164"/>
    </row>
    <row r="30" customFormat="false" ht="12.75" hidden="false" customHeight="false" outlineLevel="0" collapsed="false">
      <c r="A30" s="173" t="s">
        <v>136</v>
      </c>
      <c r="B30" s="174" t="n">
        <f aca="false">SUM(C30:N30)</f>
        <v>0</v>
      </c>
      <c r="C30" s="175"/>
      <c r="D30" s="175"/>
      <c r="E30" s="175"/>
      <c r="F30" s="175"/>
      <c r="G30" s="175"/>
      <c r="H30" s="175"/>
      <c r="I30" s="175"/>
      <c r="J30" s="175"/>
      <c r="K30" s="175"/>
      <c r="L30" s="175"/>
      <c r="M30" s="175"/>
      <c r="N30" s="175"/>
      <c r="O30" s="172"/>
      <c r="P30" s="164"/>
      <c r="R30" s="164"/>
      <c r="S30" s="164"/>
      <c r="T30" s="164"/>
      <c r="U30" s="164"/>
      <c r="V30" s="164"/>
      <c r="W30" s="164"/>
      <c r="X30" s="164"/>
      <c r="Y30" s="164"/>
      <c r="Z30" s="164"/>
      <c r="AB30" s="164"/>
      <c r="AC30" s="164"/>
      <c r="AD30" s="164"/>
      <c r="AE30" s="164"/>
      <c r="AF30" s="164"/>
      <c r="AG30" s="164"/>
      <c r="AH30" s="164"/>
      <c r="AI30" s="164"/>
      <c r="AJ30" s="164"/>
      <c r="AK30" s="164"/>
      <c r="AL30" s="164"/>
      <c r="AM30" s="164"/>
      <c r="AN30" s="164"/>
      <c r="AO30" s="164"/>
      <c r="AP30" s="164"/>
      <c r="AQ30" s="164"/>
      <c r="AR30" s="164"/>
      <c r="AS30" s="164"/>
      <c r="AT30" s="164"/>
      <c r="AU30" s="164"/>
      <c r="AV30" s="164"/>
      <c r="AW30" s="164"/>
      <c r="AX30" s="164"/>
      <c r="AY30" s="164"/>
      <c r="AZ30" s="164"/>
      <c r="BA30" s="164"/>
      <c r="BB30" s="164"/>
      <c r="BC30" s="164"/>
      <c r="BD30" s="164"/>
      <c r="BE30" s="164"/>
      <c r="BF30" s="164"/>
      <c r="BG30" s="164"/>
      <c r="BH30" s="164"/>
      <c r="BI30" s="164"/>
      <c r="BJ30" s="164"/>
      <c r="BK30" s="164"/>
      <c r="BL30" s="164"/>
      <c r="BM30" s="164"/>
      <c r="BN30" s="164"/>
      <c r="BO30" s="164"/>
      <c r="BP30" s="164"/>
      <c r="BQ30" s="164"/>
      <c r="BR30" s="164"/>
      <c r="BS30" s="164"/>
      <c r="BT30" s="164"/>
      <c r="BU30" s="164"/>
      <c r="BV30" s="164"/>
      <c r="BW30" s="164"/>
      <c r="BX30" s="164"/>
      <c r="BY30" s="164"/>
      <c r="BZ30" s="164"/>
      <c r="CA30" s="164"/>
      <c r="CB30" s="164"/>
      <c r="CC30" s="164"/>
      <c r="CD30" s="164"/>
      <c r="CE30" s="164"/>
      <c r="CF30" s="164"/>
      <c r="CG30" s="164"/>
      <c r="CH30" s="164"/>
      <c r="CI30" s="164"/>
      <c r="CJ30" s="164"/>
      <c r="CK30" s="164"/>
      <c r="CL30" s="164"/>
      <c r="CM30" s="164"/>
      <c r="CN30" s="164"/>
      <c r="CO30" s="164"/>
      <c r="CP30" s="164"/>
      <c r="CQ30" s="164"/>
      <c r="CR30" s="164"/>
      <c r="CS30" s="164"/>
      <c r="CT30" s="164"/>
      <c r="CU30" s="164"/>
      <c r="CV30" s="164"/>
      <c r="CW30" s="164"/>
      <c r="CX30" s="164"/>
      <c r="CY30" s="164"/>
      <c r="CZ30" s="164"/>
      <c r="DA30" s="164"/>
      <c r="DB30" s="164"/>
      <c r="DC30" s="164"/>
      <c r="DD30" s="164"/>
      <c r="DE30" s="164"/>
      <c r="DF30" s="164"/>
      <c r="DG30" s="164"/>
      <c r="DH30" s="164"/>
      <c r="DI30" s="164"/>
      <c r="DJ30" s="164"/>
      <c r="DK30" s="164"/>
      <c r="DL30" s="164"/>
      <c r="DM30" s="164"/>
      <c r="DN30" s="164"/>
      <c r="DO30" s="164"/>
      <c r="DP30" s="164"/>
      <c r="DQ30" s="164"/>
      <c r="DR30" s="164"/>
      <c r="DS30" s="164"/>
      <c r="DT30" s="164"/>
      <c r="DU30" s="164"/>
      <c r="DV30" s="164"/>
      <c r="DW30" s="164"/>
      <c r="DX30" s="164"/>
      <c r="DY30" s="164"/>
      <c r="DZ30" s="164"/>
      <c r="EA30" s="164"/>
      <c r="EB30" s="164"/>
      <c r="EC30" s="164"/>
      <c r="ED30" s="164"/>
      <c r="EE30" s="164"/>
      <c r="EF30" s="164"/>
      <c r="EG30" s="164"/>
      <c r="EH30" s="164"/>
      <c r="EI30" s="164"/>
      <c r="EJ30" s="164"/>
      <c r="EK30" s="164"/>
      <c r="EL30" s="164"/>
      <c r="EM30" s="164"/>
      <c r="EN30" s="164"/>
      <c r="EO30" s="164"/>
      <c r="EP30" s="164"/>
      <c r="EQ30" s="164"/>
      <c r="ER30" s="164"/>
      <c r="ES30" s="164"/>
      <c r="ET30" s="164"/>
      <c r="EU30" s="164"/>
      <c r="EV30" s="164"/>
      <c r="EW30" s="164"/>
      <c r="EX30" s="164"/>
      <c r="EY30" s="164"/>
      <c r="EZ30" s="164"/>
      <c r="FA30" s="164"/>
      <c r="FB30" s="164"/>
      <c r="FC30" s="164"/>
      <c r="FD30" s="164"/>
      <c r="FE30" s="164"/>
      <c r="FF30" s="164"/>
      <c r="FG30" s="164"/>
      <c r="FH30" s="164"/>
      <c r="FI30" s="164"/>
      <c r="FJ30" s="164"/>
      <c r="FK30" s="164"/>
      <c r="FL30" s="164"/>
      <c r="FM30" s="164"/>
      <c r="FN30" s="164"/>
      <c r="FO30" s="164"/>
      <c r="FP30" s="164"/>
      <c r="FQ30" s="164"/>
      <c r="FR30" s="164"/>
      <c r="FS30" s="164"/>
      <c r="FT30" s="164"/>
      <c r="FU30" s="164"/>
      <c r="FV30" s="164"/>
      <c r="FW30" s="164"/>
      <c r="FX30" s="164"/>
      <c r="FY30" s="164"/>
      <c r="FZ30" s="164"/>
      <c r="GA30" s="164"/>
      <c r="GB30" s="164"/>
      <c r="GC30" s="164"/>
      <c r="GD30" s="164"/>
      <c r="GE30" s="164"/>
      <c r="GF30" s="164"/>
      <c r="GG30" s="164"/>
      <c r="GH30" s="164"/>
      <c r="GI30" s="164"/>
      <c r="GJ30" s="164"/>
      <c r="GK30" s="164"/>
      <c r="GL30" s="164"/>
      <c r="GM30" s="164"/>
      <c r="GN30" s="164"/>
      <c r="GO30" s="164"/>
      <c r="GP30" s="164"/>
      <c r="GQ30" s="164"/>
      <c r="GR30" s="164"/>
      <c r="GS30" s="164"/>
      <c r="GT30" s="164"/>
      <c r="GU30" s="164"/>
      <c r="GV30" s="164"/>
      <c r="GW30" s="164"/>
      <c r="GX30" s="164"/>
      <c r="GY30" s="164"/>
      <c r="GZ30" s="164"/>
      <c r="HA30" s="164"/>
      <c r="HB30" s="164"/>
      <c r="HC30" s="164"/>
      <c r="HD30" s="164"/>
      <c r="HE30" s="164"/>
      <c r="HF30" s="164"/>
      <c r="HG30" s="164"/>
      <c r="HH30" s="164"/>
      <c r="HI30" s="164"/>
      <c r="HJ30" s="164"/>
      <c r="HK30" s="164"/>
      <c r="HL30" s="164"/>
      <c r="HM30" s="164"/>
      <c r="HN30" s="164"/>
      <c r="HO30" s="164"/>
      <c r="HP30" s="164"/>
      <c r="HQ30" s="164"/>
      <c r="HR30" s="164"/>
      <c r="HS30" s="164"/>
      <c r="HT30" s="164"/>
      <c r="HU30" s="164"/>
      <c r="HV30" s="164"/>
      <c r="HW30" s="164"/>
      <c r="HX30" s="164"/>
      <c r="HY30" s="164"/>
      <c r="HZ30" s="164"/>
      <c r="IA30" s="164"/>
      <c r="IB30" s="164"/>
      <c r="IC30" s="164"/>
      <c r="ID30" s="164"/>
      <c r="IE30" s="164"/>
      <c r="IF30" s="164"/>
      <c r="IG30" s="164"/>
      <c r="IH30" s="164"/>
      <c r="II30" s="164"/>
      <c r="IJ30" s="164"/>
      <c r="IK30" s="164"/>
      <c r="IL30" s="164"/>
      <c r="IM30" s="164"/>
      <c r="IN30" s="164"/>
      <c r="IO30" s="164"/>
      <c r="IP30" s="164"/>
      <c r="IQ30" s="164"/>
      <c r="IR30" s="164"/>
      <c r="IS30" s="164"/>
      <c r="IT30" s="164"/>
      <c r="IU30" s="164"/>
      <c r="IV30" s="164"/>
      <c r="IW30" s="164"/>
    </row>
    <row r="31" customFormat="false" ht="12.75" hidden="false" customHeight="false" outlineLevel="0" collapsed="false">
      <c r="A31" s="173" t="s">
        <v>137</v>
      </c>
      <c r="B31" s="174" t="n">
        <f aca="false">SUM(C31:N31)</f>
        <v>0</v>
      </c>
      <c r="C31" s="175"/>
      <c r="D31" s="175"/>
      <c r="E31" s="175"/>
      <c r="F31" s="175"/>
      <c r="G31" s="175"/>
      <c r="H31" s="175"/>
      <c r="I31" s="175"/>
      <c r="J31" s="175"/>
      <c r="K31" s="175"/>
      <c r="L31" s="175"/>
      <c r="M31" s="175"/>
      <c r="N31" s="175"/>
      <c r="O31" s="172"/>
      <c r="P31" s="164"/>
      <c r="R31" s="164"/>
      <c r="S31" s="164"/>
      <c r="T31" s="164"/>
      <c r="U31" s="164"/>
      <c r="V31" s="164"/>
      <c r="W31" s="164"/>
      <c r="X31" s="164"/>
      <c r="Y31" s="164"/>
      <c r="Z31" s="164"/>
      <c r="AB31" s="164"/>
      <c r="AC31" s="164"/>
      <c r="AD31" s="164"/>
      <c r="AE31" s="164"/>
      <c r="AF31" s="164"/>
      <c r="AG31" s="164"/>
      <c r="AH31" s="164"/>
      <c r="AI31" s="164"/>
      <c r="AJ31" s="164"/>
      <c r="AK31" s="164"/>
      <c r="AL31" s="164"/>
      <c r="AM31" s="164"/>
      <c r="AN31" s="164"/>
      <c r="AO31" s="164"/>
      <c r="AP31" s="164"/>
      <c r="AQ31" s="164"/>
      <c r="AR31" s="164"/>
      <c r="AS31" s="164"/>
      <c r="AT31" s="164"/>
      <c r="AU31" s="164"/>
      <c r="AV31" s="164"/>
      <c r="AW31" s="164"/>
      <c r="AX31" s="164"/>
      <c r="AY31" s="164"/>
      <c r="AZ31" s="164"/>
      <c r="BA31" s="164"/>
      <c r="BB31" s="164"/>
      <c r="BC31" s="164"/>
      <c r="BD31" s="164"/>
      <c r="BE31" s="164"/>
      <c r="BF31" s="164"/>
      <c r="BG31" s="164"/>
      <c r="BH31" s="164"/>
      <c r="BI31" s="164"/>
      <c r="BJ31" s="164"/>
      <c r="BK31" s="164"/>
      <c r="BL31" s="164"/>
      <c r="BM31" s="164"/>
      <c r="BN31" s="164"/>
      <c r="BO31" s="164"/>
      <c r="BP31" s="164"/>
      <c r="BQ31" s="164"/>
      <c r="BR31" s="164"/>
      <c r="BS31" s="164"/>
      <c r="BT31" s="164"/>
      <c r="BU31" s="164"/>
      <c r="BV31" s="164"/>
      <c r="BW31" s="164"/>
      <c r="BX31" s="164"/>
      <c r="BY31" s="164"/>
      <c r="BZ31" s="164"/>
      <c r="CA31" s="164"/>
      <c r="CB31" s="164"/>
      <c r="CC31" s="164"/>
      <c r="CD31" s="164"/>
      <c r="CE31" s="164"/>
      <c r="CF31" s="164"/>
      <c r="CG31" s="164"/>
      <c r="CH31" s="164"/>
      <c r="CI31" s="164"/>
      <c r="CJ31" s="164"/>
      <c r="CK31" s="164"/>
      <c r="CL31" s="164"/>
      <c r="CM31" s="164"/>
      <c r="CN31" s="164"/>
      <c r="CO31" s="164"/>
      <c r="CP31" s="164"/>
      <c r="CQ31" s="164"/>
      <c r="CR31" s="164"/>
      <c r="CS31" s="164"/>
      <c r="CT31" s="164"/>
      <c r="CU31" s="164"/>
      <c r="CV31" s="164"/>
      <c r="CW31" s="164"/>
      <c r="CX31" s="164"/>
      <c r="CY31" s="164"/>
      <c r="CZ31" s="164"/>
      <c r="DA31" s="164"/>
      <c r="DB31" s="164"/>
      <c r="DC31" s="164"/>
      <c r="DD31" s="164"/>
      <c r="DE31" s="164"/>
      <c r="DF31" s="164"/>
      <c r="DG31" s="164"/>
      <c r="DH31" s="164"/>
      <c r="DI31" s="164"/>
      <c r="DJ31" s="164"/>
      <c r="DK31" s="164"/>
      <c r="DL31" s="164"/>
      <c r="DM31" s="164"/>
      <c r="DN31" s="164"/>
      <c r="DO31" s="164"/>
      <c r="DP31" s="164"/>
      <c r="DQ31" s="164"/>
      <c r="DR31" s="164"/>
      <c r="DS31" s="164"/>
      <c r="DT31" s="164"/>
      <c r="DU31" s="164"/>
      <c r="DV31" s="164"/>
      <c r="DW31" s="164"/>
      <c r="DX31" s="164"/>
      <c r="DY31" s="164"/>
      <c r="DZ31" s="164"/>
      <c r="EA31" s="164"/>
      <c r="EB31" s="164"/>
      <c r="EC31" s="164"/>
      <c r="ED31" s="164"/>
      <c r="EE31" s="164"/>
      <c r="EF31" s="164"/>
      <c r="EG31" s="164"/>
      <c r="EH31" s="164"/>
      <c r="EI31" s="164"/>
      <c r="EJ31" s="164"/>
      <c r="EK31" s="164"/>
      <c r="EL31" s="164"/>
      <c r="EM31" s="164"/>
      <c r="EN31" s="164"/>
      <c r="EO31" s="164"/>
      <c r="EP31" s="164"/>
      <c r="EQ31" s="164"/>
      <c r="ER31" s="164"/>
      <c r="ES31" s="164"/>
      <c r="ET31" s="164"/>
      <c r="EU31" s="164"/>
      <c r="EV31" s="164"/>
      <c r="EW31" s="164"/>
      <c r="EX31" s="164"/>
      <c r="EY31" s="164"/>
      <c r="EZ31" s="164"/>
      <c r="FA31" s="164"/>
      <c r="FB31" s="164"/>
      <c r="FC31" s="164"/>
      <c r="FD31" s="164"/>
      <c r="FE31" s="164"/>
      <c r="FF31" s="164"/>
      <c r="FG31" s="164"/>
      <c r="FH31" s="164"/>
      <c r="FI31" s="164"/>
      <c r="FJ31" s="164"/>
      <c r="FK31" s="164"/>
      <c r="FL31" s="164"/>
      <c r="FM31" s="164"/>
      <c r="FN31" s="164"/>
      <c r="FO31" s="164"/>
      <c r="FP31" s="164"/>
      <c r="FQ31" s="164"/>
      <c r="FR31" s="164"/>
      <c r="FS31" s="164"/>
      <c r="FT31" s="164"/>
      <c r="FU31" s="164"/>
      <c r="FV31" s="164"/>
      <c r="FW31" s="164"/>
      <c r="FX31" s="164"/>
      <c r="FY31" s="164"/>
      <c r="FZ31" s="164"/>
      <c r="GA31" s="164"/>
      <c r="GB31" s="164"/>
      <c r="GC31" s="164"/>
      <c r="GD31" s="164"/>
      <c r="GE31" s="164"/>
      <c r="GF31" s="164"/>
      <c r="GG31" s="164"/>
      <c r="GH31" s="164"/>
      <c r="GI31" s="164"/>
      <c r="GJ31" s="164"/>
      <c r="GK31" s="164"/>
      <c r="GL31" s="164"/>
      <c r="GM31" s="164"/>
      <c r="GN31" s="164"/>
      <c r="GO31" s="164"/>
      <c r="GP31" s="164"/>
      <c r="GQ31" s="164"/>
      <c r="GR31" s="164"/>
      <c r="GS31" s="164"/>
      <c r="GT31" s="164"/>
      <c r="GU31" s="164"/>
      <c r="GV31" s="164"/>
      <c r="GW31" s="164"/>
      <c r="GX31" s="164"/>
      <c r="GY31" s="164"/>
      <c r="GZ31" s="164"/>
      <c r="HA31" s="164"/>
      <c r="HB31" s="164"/>
      <c r="HC31" s="164"/>
      <c r="HD31" s="164"/>
      <c r="HE31" s="164"/>
      <c r="HF31" s="164"/>
      <c r="HG31" s="164"/>
      <c r="HH31" s="164"/>
      <c r="HI31" s="164"/>
      <c r="HJ31" s="164"/>
      <c r="HK31" s="164"/>
      <c r="HL31" s="164"/>
      <c r="HM31" s="164"/>
      <c r="HN31" s="164"/>
      <c r="HO31" s="164"/>
      <c r="HP31" s="164"/>
      <c r="HQ31" s="164"/>
      <c r="HR31" s="164"/>
      <c r="HS31" s="164"/>
      <c r="HT31" s="164"/>
      <c r="HU31" s="164"/>
      <c r="HV31" s="164"/>
      <c r="HW31" s="164"/>
      <c r="HX31" s="164"/>
      <c r="HY31" s="164"/>
      <c r="HZ31" s="164"/>
      <c r="IA31" s="164"/>
      <c r="IB31" s="164"/>
      <c r="IC31" s="164"/>
      <c r="ID31" s="164"/>
      <c r="IE31" s="164"/>
      <c r="IF31" s="164"/>
      <c r="IG31" s="164"/>
      <c r="IH31" s="164"/>
      <c r="II31" s="164"/>
      <c r="IJ31" s="164"/>
      <c r="IK31" s="164"/>
      <c r="IL31" s="164"/>
      <c r="IM31" s="164"/>
      <c r="IN31" s="164"/>
      <c r="IO31" s="164"/>
      <c r="IP31" s="164"/>
      <c r="IQ31" s="164"/>
      <c r="IR31" s="164"/>
      <c r="IS31" s="164"/>
      <c r="IT31" s="164"/>
      <c r="IU31" s="164"/>
      <c r="IV31" s="164"/>
      <c r="IW31" s="164"/>
    </row>
    <row r="32" customFormat="false" ht="12.75" hidden="false" customHeight="false" outlineLevel="0" collapsed="false">
      <c r="A32" s="173" t="s">
        <v>138</v>
      </c>
      <c r="B32" s="174" t="n">
        <f aca="false">SUM(C32:N32)</f>
        <v>4288.7</v>
      </c>
      <c r="C32" s="171" t="n">
        <f aca="false">'Wages Forecast'!C$41/12</f>
        <v>357.391666666667</v>
      </c>
      <c r="D32" s="171" t="n">
        <f aca="false">'Wages Forecast'!C$41/12</f>
        <v>357.391666666667</v>
      </c>
      <c r="E32" s="171" t="n">
        <f aca="false">'Wages Forecast'!C$41/12</f>
        <v>357.391666666667</v>
      </c>
      <c r="F32" s="171" t="n">
        <f aca="false">'Wages Forecast'!C$41/12</f>
        <v>357.391666666667</v>
      </c>
      <c r="G32" s="171" t="n">
        <f aca="false">'Wages Forecast'!C$41/12</f>
        <v>357.391666666667</v>
      </c>
      <c r="H32" s="171" t="n">
        <f aca="false">'Wages Forecast'!C$41/12</f>
        <v>357.391666666667</v>
      </c>
      <c r="I32" s="171" t="n">
        <f aca="false">'Wages Forecast'!C$41/12</f>
        <v>357.391666666667</v>
      </c>
      <c r="J32" s="171" t="n">
        <f aca="false">'Wages Forecast'!C$41/12</f>
        <v>357.391666666667</v>
      </c>
      <c r="K32" s="171" t="n">
        <f aca="false">'Wages Forecast'!C$41/12</f>
        <v>357.391666666667</v>
      </c>
      <c r="L32" s="171" t="n">
        <f aca="false">'Wages Forecast'!C$41/12</f>
        <v>357.391666666667</v>
      </c>
      <c r="M32" s="171" t="n">
        <f aca="false">'Wages Forecast'!C$41/12</f>
        <v>357.391666666667</v>
      </c>
      <c r="N32" s="171" t="n">
        <f aca="false">'Wages Forecast'!C$41/12</f>
        <v>357.391666666667</v>
      </c>
      <c r="O32" s="172"/>
      <c r="P32" s="164"/>
      <c r="R32" s="164"/>
      <c r="S32" s="164"/>
      <c r="T32" s="164"/>
      <c r="U32" s="164"/>
      <c r="V32" s="164"/>
      <c r="W32" s="164"/>
      <c r="X32" s="164"/>
      <c r="Y32" s="164"/>
      <c r="Z32" s="164"/>
      <c r="AB32" s="164"/>
      <c r="AC32" s="164"/>
      <c r="AD32" s="164"/>
      <c r="AE32" s="164"/>
      <c r="AF32" s="164"/>
      <c r="AG32" s="164"/>
      <c r="AH32" s="164"/>
      <c r="AI32" s="164"/>
      <c r="AJ32" s="164"/>
      <c r="AK32" s="164"/>
      <c r="AL32" s="164"/>
      <c r="AM32" s="164"/>
      <c r="AN32" s="164"/>
      <c r="AO32" s="164"/>
      <c r="AP32" s="164"/>
      <c r="AQ32" s="164"/>
      <c r="AR32" s="164"/>
      <c r="AS32" s="164"/>
      <c r="AT32" s="164"/>
      <c r="AU32" s="164"/>
      <c r="AV32" s="164"/>
      <c r="AW32" s="164"/>
      <c r="AX32" s="164"/>
      <c r="AY32" s="164"/>
      <c r="AZ32" s="164"/>
      <c r="BA32" s="164"/>
      <c r="BB32" s="164"/>
      <c r="BC32" s="164"/>
      <c r="BD32" s="164"/>
      <c r="BE32" s="164"/>
      <c r="BF32" s="164"/>
      <c r="BG32" s="164"/>
      <c r="BH32" s="164"/>
      <c r="BI32" s="164"/>
      <c r="BJ32" s="164"/>
      <c r="BK32" s="164"/>
      <c r="BL32" s="164"/>
      <c r="BM32" s="164"/>
      <c r="BN32" s="164"/>
      <c r="BO32" s="164"/>
      <c r="BP32" s="164"/>
      <c r="BQ32" s="164"/>
      <c r="BR32" s="164"/>
      <c r="BS32" s="164"/>
      <c r="BT32" s="164"/>
      <c r="BU32" s="164"/>
      <c r="BV32" s="164"/>
      <c r="BW32" s="164"/>
      <c r="BX32" s="164"/>
      <c r="BY32" s="164"/>
      <c r="BZ32" s="164"/>
      <c r="CA32" s="164"/>
      <c r="CB32" s="164"/>
      <c r="CC32" s="164"/>
      <c r="CD32" s="164"/>
      <c r="CE32" s="164"/>
      <c r="CF32" s="164"/>
      <c r="CG32" s="164"/>
      <c r="CH32" s="164"/>
      <c r="CI32" s="164"/>
      <c r="CJ32" s="164"/>
      <c r="CK32" s="164"/>
      <c r="CL32" s="164"/>
      <c r="CM32" s="164"/>
      <c r="CN32" s="164"/>
      <c r="CO32" s="164"/>
      <c r="CP32" s="164"/>
      <c r="CQ32" s="164"/>
      <c r="CR32" s="164"/>
      <c r="CS32" s="164"/>
      <c r="CT32" s="164"/>
      <c r="CU32" s="164"/>
      <c r="CV32" s="164"/>
      <c r="CW32" s="164"/>
      <c r="CX32" s="164"/>
      <c r="CY32" s="164"/>
      <c r="CZ32" s="164"/>
      <c r="DA32" s="164"/>
      <c r="DB32" s="164"/>
      <c r="DC32" s="164"/>
      <c r="DD32" s="164"/>
      <c r="DE32" s="164"/>
      <c r="DF32" s="164"/>
      <c r="DG32" s="164"/>
      <c r="DH32" s="164"/>
      <c r="DI32" s="164"/>
      <c r="DJ32" s="164"/>
      <c r="DK32" s="164"/>
      <c r="DL32" s="164"/>
      <c r="DM32" s="164"/>
      <c r="DN32" s="164"/>
      <c r="DO32" s="164"/>
      <c r="DP32" s="164"/>
      <c r="DQ32" s="164"/>
      <c r="DR32" s="164"/>
      <c r="DS32" s="164"/>
      <c r="DT32" s="164"/>
      <c r="DU32" s="164"/>
      <c r="DV32" s="164"/>
      <c r="DW32" s="164"/>
      <c r="DX32" s="164"/>
      <c r="DY32" s="164"/>
      <c r="DZ32" s="164"/>
      <c r="EA32" s="164"/>
      <c r="EB32" s="164"/>
      <c r="EC32" s="164"/>
      <c r="ED32" s="164"/>
      <c r="EE32" s="164"/>
      <c r="EF32" s="164"/>
      <c r="EG32" s="164"/>
      <c r="EH32" s="164"/>
      <c r="EI32" s="164"/>
      <c r="EJ32" s="164"/>
      <c r="EK32" s="164"/>
      <c r="EL32" s="164"/>
      <c r="EM32" s="164"/>
      <c r="EN32" s="164"/>
      <c r="EO32" s="164"/>
      <c r="EP32" s="164"/>
      <c r="EQ32" s="164"/>
      <c r="ER32" s="164"/>
      <c r="ES32" s="164"/>
      <c r="ET32" s="164"/>
      <c r="EU32" s="164"/>
      <c r="EV32" s="164"/>
      <c r="EW32" s="164"/>
      <c r="EX32" s="164"/>
      <c r="EY32" s="164"/>
      <c r="EZ32" s="164"/>
      <c r="FA32" s="164"/>
      <c r="FB32" s="164"/>
      <c r="FC32" s="164"/>
      <c r="FD32" s="164"/>
      <c r="FE32" s="164"/>
      <c r="FF32" s="164"/>
      <c r="FG32" s="164"/>
      <c r="FH32" s="164"/>
      <c r="FI32" s="164"/>
      <c r="FJ32" s="164"/>
      <c r="FK32" s="164"/>
      <c r="FL32" s="164"/>
      <c r="FM32" s="164"/>
      <c r="FN32" s="164"/>
      <c r="FO32" s="164"/>
      <c r="FP32" s="164"/>
      <c r="FQ32" s="164"/>
      <c r="FR32" s="164"/>
      <c r="FS32" s="164"/>
      <c r="FT32" s="164"/>
      <c r="FU32" s="164"/>
      <c r="FV32" s="164"/>
      <c r="FW32" s="164"/>
      <c r="FX32" s="164"/>
      <c r="FY32" s="164"/>
      <c r="FZ32" s="164"/>
      <c r="GA32" s="164"/>
      <c r="GB32" s="164"/>
      <c r="GC32" s="164"/>
      <c r="GD32" s="164"/>
      <c r="GE32" s="164"/>
      <c r="GF32" s="164"/>
      <c r="GG32" s="164"/>
      <c r="GH32" s="164"/>
      <c r="GI32" s="164"/>
      <c r="GJ32" s="164"/>
      <c r="GK32" s="164"/>
      <c r="GL32" s="164"/>
      <c r="GM32" s="164"/>
      <c r="GN32" s="164"/>
      <c r="GO32" s="164"/>
      <c r="GP32" s="164"/>
      <c r="GQ32" s="164"/>
      <c r="GR32" s="164"/>
      <c r="GS32" s="164"/>
      <c r="GT32" s="164"/>
      <c r="GU32" s="164"/>
      <c r="GV32" s="164"/>
      <c r="GW32" s="164"/>
      <c r="GX32" s="164"/>
      <c r="GY32" s="164"/>
      <c r="GZ32" s="164"/>
      <c r="HA32" s="164"/>
      <c r="HB32" s="164"/>
      <c r="HC32" s="164"/>
      <c r="HD32" s="164"/>
      <c r="HE32" s="164"/>
      <c r="HF32" s="164"/>
      <c r="HG32" s="164"/>
      <c r="HH32" s="164"/>
      <c r="HI32" s="164"/>
      <c r="HJ32" s="164"/>
      <c r="HK32" s="164"/>
      <c r="HL32" s="164"/>
      <c r="HM32" s="164"/>
      <c r="HN32" s="164"/>
      <c r="HO32" s="164"/>
      <c r="HP32" s="164"/>
      <c r="HQ32" s="164"/>
      <c r="HR32" s="164"/>
      <c r="HS32" s="164"/>
      <c r="HT32" s="164"/>
      <c r="HU32" s="164"/>
      <c r="HV32" s="164"/>
      <c r="HW32" s="164"/>
      <c r="HX32" s="164"/>
      <c r="HY32" s="164"/>
      <c r="HZ32" s="164"/>
      <c r="IA32" s="164"/>
      <c r="IB32" s="164"/>
      <c r="IC32" s="164"/>
      <c r="ID32" s="164"/>
      <c r="IE32" s="164"/>
      <c r="IF32" s="164"/>
      <c r="IG32" s="164"/>
      <c r="IH32" s="164"/>
      <c r="II32" s="164"/>
      <c r="IJ32" s="164"/>
      <c r="IK32" s="164"/>
      <c r="IL32" s="164"/>
      <c r="IM32" s="164"/>
      <c r="IN32" s="164"/>
      <c r="IO32" s="164"/>
      <c r="IP32" s="164"/>
      <c r="IQ32" s="164"/>
      <c r="IR32" s="164"/>
      <c r="IS32" s="164"/>
      <c r="IT32" s="164"/>
      <c r="IU32" s="164"/>
      <c r="IV32" s="164"/>
      <c r="IW32" s="164"/>
    </row>
    <row r="33" customFormat="false" ht="12.75" hidden="false" customHeight="false" outlineLevel="0" collapsed="false">
      <c r="A33" s="169" t="s">
        <v>139</v>
      </c>
      <c r="B33" s="170" t="n">
        <f aca="false">SUM(C33:N33)</f>
        <v>24776.3</v>
      </c>
      <c r="C33" s="176" t="n">
        <f aca="false">C27-SUM(C28:C31)-C32</f>
        <v>394.275</v>
      </c>
      <c r="D33" s="176" t="n">
        <f aca="false">D27-SUM(D28:D31)-D32</f>
        <v>2249.275</v>
      </c>
      <c r="E33" s="176" t="n">
        <f aca="false">E27-SUM(E28:E31)-E32</f>
        <v>2249.275</v>
      </c>
      <c r="F33" s="176" t="n">
        <f aca="false">F27-SUM(F28:F31)-F32</f>
        <v>2129.275</v>
      </c>
      <c r="G33" s="176" t="n">
        <f aca="false">G27-SUM(G28:G31)-G32</f>
        <v>2249.275</v>
      </c>
      <c r="H33" s="176" t="n">
        <f aca="false">H27-SUM(H28:H31)-H32</f>
        <v>2749.275</v>
      </c>
      <c r="I33" s="176" t="n">
        <f aca="false">I27-SUM(I28:I31)-I32</f>
        <v>2129.275</v>
      </c>
      <c r="J33" s="176" t="n">
        <f aca="false">J27-SUM(J28:J31)-J32</f>
        <v>2249.275</v>
      </c>
      <c r="K33" s="176" t="n">
        <f aca="false">K27-SUM(K28:K31)-K32</f>
        <v>2249.275</v>
      </c>
      <c r="L33" s="176" t="n">
        <f aca="false">L27-SUM(L28:L31)-L32</f>
        <v>1629.275</v>
      </c>
      <c r="M33" s="176" t="n">
        <f aca="false">M27-SUM(M28:M31)-M32</f>
        <v>2249.275</v>
      </c>
      <c r="N33" s="176" t="n">
        <f aca="false">N27-SUM(N28:N31)-N32</f>
        <v>2249.275</v>
      </c>
      <c r="O33" s="172"/>
      <c r="P33" s="164"/>
      <c r="R33" s="164"/>
      <c r="S33" s="164"/>
      <c r="T33" s="164"/>
      <c r="U33" s="164"/>
      <c r="V33" s="164"/>
      <c r="W33" s="164"/>
      <c r="X33" s="164"/>
      <c r="Y33" s="164"/>
      <c r="Z33" s="164"/>
      <c r="AB33" s="164"/>
      <c r="AC33" s="164"/>
      <c r="AD33" s="164"/>
      <c r="AE33" s="164"/>
      <c r="AF33" s="164"/>
      <c r="AG33" s="164"/>
      <c r="AH33" s="164"/>
      <c r="AI33" s="164"/>
      <c r="AJ33" s="164"/>
      <c r="AK33" s="164"/>
      <c r="AL33" s="164"/>
      <c r="AM33" s="164"/>
      <c r="AN33" s="164"/>
      <c r="AO33" s="164"/>
      <c r="AP33" s="164"/>
      <c r="AQ33" s="164"/>
      <c r="AR33" s="164"/>
      <c r="AS33" s="164"/>
      <c r="AT33" s="164"/>
      <c r="AU33" s="164"/>
      <c r="AV33" s="164"/>
      <c r="AW33" s="164"/>
      <c r="AX33" s="164"/>
      <c r="AY33" s="164"/>
      <c r="AZ33" s="164"/>
      <c r="BA33" s="164"/>
      <c r="BB33" s="164"/>
      <c r="BC33" s="164"/>
      <c r="BD33" s="164"/>
      <c r="BE33" s="164"/>
      <c r="BF33" s="164"/>
      <c r="BG33" s="164"/>
      <c r="BH33" s="164"/>
      <c r="BI33" s="164"/>
      <c r="BJ33" s="164"/>
      <c r="BK33" s="164"/>
      <c r="BL33" s="164"/>
      <c r="BM33" s="164"/>
      <c r="BN33" s="164"/>
      <c r="BO33" s="164"/>
      <c r="BP33" s="164"/>
      <c r="BQ33" s="164"/>
      <c r="BR33" s="164"/>
      <c r="BS33" s="164"/>
      <c r="BT33" s="164"/>
      <c r="BU33" s="164"/>
      <c r="BV33" s="164"/>
      <c r="BW33" s="164"/>
      <c r="BX33" s="164"/>
      <c r="BY33" s="164"/>
      <c r="BZ33" s="164"/>
      <c r="CA33" s="164"/>
      <c r="CB33" s="164"/>
      <c r="CC33" s="164"/>
      <c r="CD33" s="164"/>
      <c r="CE33" s="164"/>
      <c r="CF33" s="164"/>
      <c r="CG33" s="164"/>
      <c r="CH33" s="164"/>
      <c r="CI33" s="164"/>
      <c r="CJ33" s="164"/>
      <c r="CK33" s="164"/>
      <c r="CL33" s="164"/>
      <c r="CM33" s="164"/>
      <c r="CN33" s="164"/>
      <c r="CO33" s="164"/>
      <c r="CP33" s="164"/>
      <c r="CQ33" s="164"/>
      <c r="CR33" s="164"/>
      <c r="CS33" s="164"/>
      <c r="CT33" s="164"/>
      <c r="CU33" s="164"/>
      <c r="CV33" s="164"/>
      <c r="CW33" s="164"/>
      <c r="CX33" s="164"/>
      <c r="CY33" s="164"/>
      <c r="CZ33" s="164"/>
      <c r="DA33" s="164"/>
      <c r="DB33" s="164"/>
      <c r="DC33" s="164"/>
      <c r="DD33" s="164"/>
      <c r="DE33" s="164"/>
      <c r="DF33" s="164"/>
      <c r="DG33" s="164"/>
      <c r="DH33" s="164"/>
      <c r="DI33" s="164"/>
      <c r="DJ33" s="164"/>
      <c r="DK33" s="164"/>
      <c r="DL33" s="164"/>
      <c r="DM33" s="164"/>
      <c r="DN33" s="164"/>
      <c r="DO33" s="164"/>
      <c r="DP33" s="164"/>
      <c r="DQ33" s="164"/>
      <c r="DR33" s="164"/>
      <c r="DS33" s="164"/>
      <c r="DT33" s="164"/>
      <c r="DU33" s="164"/>
      <c r="DV33" s="164"/>
      <c r="DW33" s="164"/>
      <c r="DX33" s="164"/>
      <c r="DY33" s="164"/>
      <c r="DZ33" s="164"/>
      <c r="EA33" s="164"/>
      <c r="EB33" s="164"/>
      <c r="EC33" s="164"/>
      <c r="ED33" s="164"/>
      <c r="EE33" s="164"/>
      <c r="EF33" s="164"/>
      <c r="EG33" s="164"/>
      <c r="EH33" s="164"/>
      <c r="EI33" s="164"/>
      <c r="EJ33" s="164"/>
      <c r="EK33" s="164"/>
      <c r="EL33" s="164"/>
      <c r="EM33" s="164"/>
      <c r="EN33" s="164"/>
      <c r="EO33" s="164"/>
      <c r="EP33" s="164"/>
      <c r="EQ33" s="164"/>
      <c r="ER33" s="164"/>
      <c r="ES33" s="164"/>
      <c r="ET33" s="164"/>
      <c r="EU33" s="164"/>
      <c r="EV33" s="164"/>
      <c r="EW33" s="164"/>
      <c r="EX33" s="164"/>
      <c r="EY33" s="164"/>
      <c r="EZ33" s="164"/>
      <c r="FA33" s="164"/>
      <c r="FB33" s="164"/>
      <c r="FC33" s="164"/>
      <c r="FD33" s="164"/>
      <c r="FE33" s="164"/>
      <c r="FF33" s="164"/>
      <c r="FG33" s="164"/>
      <c r="FH33" s="164"/>
      <c r="FI33" s="164"/>
      <c r="FJ33" s="164"/>
      <c r="FK33" s="164"/>
      <c r="FL33" s="164"/>
      <c r="FM33" s="164"/>
      <c r="FN33" s="164"/>
      <c r="FO33" s="164"/>
      <c r="FP33" s="164"/>
      <c r="FQ33" s="164"/>
      <c r="FR33" s="164"/>
      <c r="FS33" s="164"/>
      <c r="FT33" s="164"/>
      <c r="FU33" s="164"/>
      <c r="FV33" s="164"/>
      <c r="FW33" s="164"/>
      <c r="FX33" s="164"/>
      <c r="FY33" s="164"/>
      <c r="FZ33" s="164"/>
      <c r="GA33" s="164"/>
      <c r="GB33" s="164"/>
      <c r="GC33" s="164"/>
      <c r="GD33" s="164"/>
      <c r="GE33" s="164"/>
      <c r="GF33" s="164"/>
      <c r="GG33" s="164"/>
      <c r="GH33" s="164"/>
      <c r="GI33" s="164"/>
      <c r="GJ33" s="164"/>
      <c r="GK33" s="164"/>
      <c r="GL33" s="164"/>
      <c r="GM33" s="164"/>
      <c r="GN33" s="164"/>
      <c r="GO33" s="164"/>
      <c r="GP33" s="164"/>
      <c r="GQ33" s="164"/>
      <c r="GR33" s="164"/>
      <c r="GS33" s="164"/>
      <c r="GT33" s="164"/>
      <c r="GU33" s="164"/>
      <c r="GV33" s="164"/>
      <c r="GW33" s="164"/>
      <c r="GX33" s="164"/>
      <c r="GY33" s="164"/>
      <c r="GZ33" s="164"/>
      <c r="HA33" s="164"/>
      <c r="HB33" s="164"/>
      <c r="HC33" s="164"/>
      <c r="HD33" s="164"/>
      <c r="HE33" s="164"/>
      <c r="HF33" s="164"/>
      <c r="HG33" s="164"/>
      <c r="HH33" s="164"/>
      <c r="HI33" s="164"/>
      <c r="HJ33" s="164"/>
      <c r="HK33" s="164"/>
      <c r="HL33" s="164"/>
      <c r="HM33" s="164"/>
      <c r="HN33" s="164"/>
      <c r="HO33" s="164"/>
      <c r="HP33" s="164"/>
      <c r="HQ33" s="164"/>
      <c r="HR33" s="164"/>
      <c r="HS33" s="164"/>
      <c r="HT33" s="164"/>
      <c r="HU33" s="164"/>
      <c r="HV33" s="164"/>
      <c r="HW33" s="164"/>
      <c r="HX33" s="164"/>
      <c r="HY33" s="164"/>
      <c r="HZ33" s="164"/>
      <c r="IA33" s="164"/>
      <c r="IB33" s="164"/>
      <c r="IC33" s="164"/>
      <c r="ID33" s="164"/>
      <c r="IE33" s="164"/>
      <c r="IF33" s="164"/>
      <c r="IG33" s="164"/>
      <c r="IH33" s="164"/>
      <c r="II33" s="164"/>
      <c r="IJ33" s="164"/>
      <c r="IK33" s="164"/>
      <c r="IL33" s="164"/>
      <c r="IM33" s="164"/>
      <c r="IN33" s="164"/>
      <c r="IO33" s="164"/>
      <c r="IP33" s="164"/>
      <c r="IQ33" s="164"/>
      <c r="IR33" s="164"/>
      <c r="IS33" s="164"/>
      <c r="IT33" s="164"/>
      <c r="IU33" s="164"/>
      <c r="IV33" s="164"/>
      <c r="IW33" s="164"/>
    </row>
    <row r="34" customFormat="false" ht="6" hidden="false" customHeight="true" outlineLevel="0" collapsed="false">
      <c r="A34" s="161"/>
      <c r="B34" s="177"/>
      <c r="C34" s="178"/>
      <c r="D34" s="178"/>
      <c r="E34" s="178"/>
      <c r="F34" s="178"/>
      <c r="G34" s="178"/>
      <c r="H34" s="178"/>
      <c r="I34" s="178"/>
      <c r="J34" s="178"/>
      <c r="K34" s="178"/>
      <c r="L34" s="178"/>
      <c r="M34" s="178"/>
      <c r="N34" s="178"/>
      <c r="O34" s="163"/>
      <c r="P34" s="164"/>
      <c r="R34" s="164"/>
      <c r="S34" s="164"/>
      <c r="T34" s="164"/>
      <c r="U34" s="164"/>
      <c r="V34" s="164"/>
      <c r="W34" s="164"/>
      <c r="X34" s="164"/>
      <c r="Y34" s="164"/>
      <c r="Z34" s="164"/>
      <c r="AB34" s="164"/>
      <c r="AC34" s="164"/>
      <c r="AD34" s="164"/>
      <c r="AE34" s="164"/>
      <c r="AF34" s="164"/>
      <c r="AG34" s="164"/>
      <c r="AH34" s="164"/>
      <c r="AI34" s="164"/>
      <c r="AJ34" s="164"/>
      <c r="AK34" s="164"/>
      <c r="AL34" s="164"/>
      <c r="AM34" s="164"/>
      <c r="AN34" s="164"/>
      <c r="AO34" s="164"/>
      <c r="AP34" s="164"/>
      <c r="AQ34" s="164"/>
      <c r="AR34" s="164"/>
      <c r="AS34" s="164"/>
      <c r="AT34" s="164"/>
      <c r="AU34" s="164"/>
      <c r="AV34" s="164"/>
      <c r="AW34" s="164"/>
      <c r="AX34" s="164"/>
      <c r="AY34" s="164"/>
      <c r="AZ34" s="164"/>
      <c r="BA34" s="164"/>
      <c r="BB34" s="164"/>
      <c r="BC34" s="164"/>
      <c r="BD34" s="164"/>
      <c r="BE34" s="164"/>
      <c r="BF34" s="164"/>
      <c r="BG34" s="164"/>
      <c r="BH34" s="164"/>
      <c r="BI34" s="164"/>
      <c r="BJ34" s="164"/>
      <c r="BK34" s="164"/>
      <c r="BL34" s="164"/>
      <c r="BM34" s="164"/>
      <c r="BN34" s="164"/>
      <c r="BO34" s="164"/>
      <c r="BP34" s="164"/>
      <c r="BQ34" s="164"/>
      <c r="BR34" s="164"/>
      <c r="BS34" s="164"/>
      <c r="BT34" s="164"/>
      <c r="BU34" s="164"/>
      <c r="BV34" s="164"/>
      <c r="BW34" s="164"/>
      <c r="BX34" s="164"/>
      <c r="BY34" s="164"/>
      <c r="BZ34" s="164"/>
      <c r="CA34" s="164"/>
      <c r="CB34" s="164"/>
      <c r="CC34" s="164"/>
      <c r="CD34" s="164"/>
      <c r="CE34" s="164"/>
      <c r="CF34" s="164"/>
      <c r="CG34" s="164"/>
      <c r="CH34" s="164"/>
      <c r="CI34" s="164"/>
      <c r="CJ34" s="164"/>
      <c r="CK34" s="164"/>
      <c r="CL34" s="164"/>
      <c r="CM34" s="164"/>
      <c r="CN34" s="164"/>
      <c r="CO34" s="164"/>
      <c r="CP34" s="164"/>
      <c r="CQ34" s="164"/>
      <c r="CR34" s="164"/>
      <c r="CS34" s="164"/>
      <c r="CT34" s="164"/>
      <c r="CU34" s="164"/>
      <c r="CV34" s="164"/>
      <c r="CW34" s="164"/>
      <c r="CX34" s="164"/>
      <c r="CY34" s="164"/>
      <c r="CZ34" s="164"/>
      <c r="DA34" s="164"/>
      <c r="DB34" s="164"/>
      <c r="DC34" s="164"/>
      <c r="DD34" s="164"/>
      <c r="DE34" s="164"/>
      <c r="DF34" s="164"/>
      <c r="DG34" s="164"/>
      <c r="DH34" s="164"/>
      <c r="DI34" s="164"/>
      <c r="DJ34" s="164"/>
      <c r="DK34" s="164"/>
      <c r="DL34" s="164"/>
      <c r="DM34" s="164"/>
      <c r="DN34" s="164"/>
      <c r="DO34" s="164"/>
      <c r="DP34" s="164"/>
      <c r="DQ34" s="164"/>
      <c r="DR34" s="164"/>
      <c r="DS34" s="164"/>
      <c r="DT34" s="164"/>
      <c r="DU34" s="164"/>
      <c r="DV34" s="164"/>
      <c r="DW34" s="164"/>
      <c r="DX34" s="164"/>
      <c r="DY34" s="164"/>
      <c r="DZ34" s="164"/>
      <c r="EA34" s="164"/>
      <c r="EB34" s="164"/>
      <c r="EC34" s="164"/>
      <c r="ED34" s="164"/>
      <c r="EE34" s="164"/>
      <c r="EF34" s="164"/>
      <c r="EG34" s="164"/>
      <c r="EH34" s="164"/>
      <c r="EI34" s="164"/>
      <c r="EJ34" s="164"/>
      <c r="EK34" s="164"/>
      <c r="EL34" s="164"/>
      <c r="EM34" s="164"/>
      <c r="EN34" s="164"/>
      <c r="EO34" s="164"/>
      <c r="EP34" s="164"/>
      <c r="EQ34" s="164"/>
      <c r="ER34" s="164"/>
      <c r="ES34" s="164"/>
      <c r="ET34" s="164"/>
      <c r="EU34" s="164"/>
      <c r="EV34" s="164"/>
      <c r="EW34" s="164"/>
      <c r="EX34" s="164"/>
      <c r="EY34" s="164"/>
      <c r="EZ34" s="164"/>
      <c r="FA34" s="164"/>
      <c r="FB34" s="164"/>
      <c r="FC34" s="164"/>
      <c r="FD34" s="164"/>
      <c r="FE34" s="164"/>
      <c r="FF34" s="164"/>
      <c r="FG34" s="164"/>
      <c r="FH34" s="164"/>
      <c r="FI34" s="164"/>
      <c r="FJ34" s="164"/>
      <c r="FK34" s="164"/>
      <c r="FL34" s="164"/>
      <c r="FM34" s="164"/>
      <c r="FN34" s="164"/>
      <c r="FO34" s="164"/>
      <c r="FP34" s="164"/>
      <c r="FQ34" s="164"/>
      <c r="FR34" s="164"/>
      <c r="FS34" s="164"/>
      <c r="FT34" s="164"/>
      <c r="FU34" s="164"/>
      <c r="FV34" s="164"/>
      <c r="FW34" s="164"/>
      <c r="FX34" s="164"/>
      <c r="FY34" s="164"/>
      <c r="FZ34" s="164"/>
      <c r="GA34" s="164"/>
      <c r="GB34" s="164"/>
      <c r="GC34" s="164"/>
      <c r="GD34" s="164"/>
      <c r="GE34" s="164"/>
      <c r="GF34" s="164"/>
      <c r="GG34" s="164"/>
      <c r="GH34" s="164"/>
      <c r="GI34" s="164"/>
      <c r="GJ34" s="164"/>
      <c r="GK34" s="164"/>
      <c r="GL34" s="164"/>
      <c r="GM34" s="164"/>
      <c r="GN34" s="164"/>
      <c r="GO34" s="164"/>
      <c r="GP34" s="164"/>
      <c r="GQ34" s="164"/>
      <c r="GR34" s="164"/>
      <c r="GS34" s="164"/>
      <c r="GT34" s="164"/>
      <c r="GU34" s="164"/>
      <c r="GV34" s="164"/>
      <c r="GW34" s="164"/>
      <c r="GX34" s="164"/>
      <c r="GY34" s="164"/>
      <c r="GZ34" s="164"/>
      <c r="HA34" s="164"/>
      <c r="HB34" s="164"/>
      <c r="HC34" s="164"/>
      <c r="HD34" s="164"/>
      <c r="HE34" s="164"/>
      <c r="HF34" s="164"/>
      <c r="HG34" s="164"/>
      <c r="HH34" s="164"/>
      <c r="HI34" s="164"/>
      <c r="HJ34" s="164"/>
      <c r="HK34" s="164"/>
      <c r="HL34" s="164"/>
      <c r="HM34" s="164"/>
      <c r="HN34" s="164"/>
      <c r="HO34" s="164"/>
      <c r="HP34" s="164"/>
      <c r="HQ34" s="164"/>
      <c r="HR34" s="164"/>
      <c r="HS34" s="164"/>
      <c r="HT34" s="164"/>
      <c r="HU34" s="164"/>
      <c r="HV34" s="164"/>
      <c r="HW34" s="164"/>
      <c r="HX34" s="164"/>
      <c r="HY34" s="164"/>
      <c r="HZ34" s="164"/>
      <c r="IA34" s="164"/>
      <c r="IB34" s="164"/>
      <c r="IC34" s="164"/>
      <c r="ID34" s="164"/>
      <c r="IE34" s="164"/>
      <c r="IF34" s="164"/>
      <c r="IG34" s="164"/>
      <c r="IH34" s="164"/>
      <c r="II34" s="164"/>
      <c r="IJ34" s="164"/>
      <c r="IK34" s="164"/>
      <c r="IL34" s="164"/>
      <c r="IM34" s="164"/>
      <c r="IN34" s="164"/>
      <c r="IO34" s="164"/>
      <c r="IP34" s="164"/>
      <c r="IQ34" s="164"/>
      <c r="IR34" s="164"/>
      <c r="IS34" s="164"/>
      <c r="IT34" s="164"/>
      <c r="IU34" s="164"/>
      <c r="IV34" s="164"/>
      <c r="IW34" s="164"/>
    </row>
    <row r="35" customFormat="false" ht="12.75" hidden="false" customHeight="false" outlineLevel="0" collapsed="false">
      <c r="A35" s="179"/>
      <c r="B35" s="180"/>
      <c r="C35" s="180"/>
      <c r="D35" s="180"/>
      <c r="E35" s="180"/>
      <c r="F35" s="180"/>
      <c r="G35" s="180"/>
      <c r="H35" s="180"/>
      <c r="I35" s="180"/>
      <c r="J35" s="180"/>
      <c r="K35" s="180"/>
      <c r="L35" s="180"/>
      <c r="M35" s="180"/>
      <c r="N35" s="180"/>
      <c r="O35" s="180"/>
      <c r="P35" s="179"/>
      <c r="R35" s="179"/>
      <c r="S35" s="179"/>
      <c r="T35" s="179"/>
      <c r="U35" s="179"/>
      <c r="V35" s="179"/>
      <c r="W35" s="179"/>
      <c r="X35" s="179"/>
      <c r="Y35" s="179"/>
      <c r="Z35" s="179"/>
      <c r="AB35" s="179"/>
      <c r="AC35" s="179"/>
      <c r="AD35" s="179"/>
      <c r="AE35" s="179"/>
      <c r="AF35" s="179"/>
      <c r="AG35" s="179"/>
      <c r="AH35" s="179"/>
      <c r="AI35" s="179"/>
      <c r="AJ35" s="179"/>
      <c r="AK35" s="179"/>
      <c r="AL35" s="179"/>
      <c r="AM35" s="179"/>
      <c r="AN35" s="179"/>
      <c r="AO35" s="179"/>
      <c r="AP35" s="179"/>
      <c r="AQ35" s="179"/>
      <c r="AR35" s="179"/>
      <c r="AS35" s="179"/>
      <c r="AT35" s="179"/>
      <c r="AU35" s="179"/>
      <c r="AV35" s="179"/>
      <c r="AW35" s="179"/>
      <c r="AX35" s="179"/>
      <c r="AY35" s="179"/>
      <c r="AZ35" s="179"/>
      <c r="BA35" s="179"/>
      <c r="BB35" s="179"/>
      <c r="BC35" s="179"/>
      <c r="BD35" s="179"/>
      <c r="BE35" s="179"/>
      <c r="BF35" s="179"/>
      <c r="BG35" s="179"/>
      <c r="BH35" s="179"/>
      <c r="BI35" s="179"/>
      <c r="BJ35" s="179"/>
      <c r="BK35" s="179"/>
      <c r="BL35" s="179"/>
      <c r="BM35" s="179"/>
      <c r="BN35" s="179"/>
      <c r="BO35" s="179"/>
      <c r="BP35" s="179"/>
      <c r="BQ35" s="179"/>
      <c r="BR35" s="179"/>
      <c r="BS35" s="179"/>
      <c r="BT35" s="179"/>
      <c r="BU35" s="179"/>
      <c r="BV35" s="179"/>
      <c r="BW35" s="179"/>
      <c r="BX35" s="179"/>
      <c r="BY35" s="179"/>
      <c r="BZ35" s="179"/>
      <c r="CA35" s="179"/>
      <c r="CB35" s="179"/>
      <c r="CC35" s="179"/>
      <c r="CD35" s="179"/>
      <c r="CE35" s="179"/>
      <c r="CF35" s="179"/>
      <c r="CG35" s="179"/>
      <c r="CH35" s="179"/>
      <c r="CI35" s="179"/>
      <c r="CJ35" s="179"/>
      <c r="CK35" s="179"/>
      <c r="CL35" s="179"/>
      <c r="CM35" s="179"/>
      <c r="CN35" s="179"/>
      <c r="CO35" s="179"/>
      <c r="CP35" s="179"/>
      <c r="CQ35" s="179"/>
      <c r="CR35" s="179"/>
      <c r="CS35" s="179"/>
      <c r="CT35" s="179"/>
      <c r="CU35" s="179"/>
      <c r="CV35" s="179"/>
      <c r="CW35" s="179"/>
      <c r="CX35" s="179"/>
      <c r="CY35" s="179"/>
      <c r="CZ35" s="179"/>
      <c r="DA35" s="179"/>
      <c r="DB35" s="179"/>
      <c r="DC35" s="179"/>
      <c r="DD35" s="179"/>
      <c r="DE35" s="179"/>
      <c r="DF35" s="179"/>
      <c r="DG35" s="179"/>
      <c r="DH35" s="179"/>
      <c r="DI35" s="179"/>
      <c r="DJ35" s="179"/>
      <c r="DK35" s="179"/>
      <c r="DL35" s="179"/>
      <c r="DM35" s="179"/>
      <c r="DN35" s="179"/>
      <c r="DO35" s="179"/>
      <c r="DP35" s="179"/>
      <c r="DQ35" s="179"/>
      <c r="DR35" s="179"/>
      <c r="DS35" s="179"/>
      <c r="DT35" s="179"/>
      <c r="DU35" s="179"/>
      <c r="DV35" s="179"/>
      <c r="DW35" s="179"/>
      <c r="DX35" s="179"/>
      <c r="DY35" s="179"/>
      <c r="DZ35" s="179"/>
      <c r="EA35" s="179"/>
      <c r="EB35" s="179"/>
      <c r="EC35" s="179"/>
      <c r="ED35" s="179"/>
      <c r="EE35" s="179"/>
      <c r="EF35" s="179"/>
      <c r="EG35" s="179"/>
      <c r="EH35" s="179"/>
      <c r="EI35" s="179"/>
      <c r="EJ35" s="179"/>
      <c r="EK35" s="179"/>
      <c r="EL35" s="179"/>
      <c r="EM35" s="179"/>
      <c r="EN35" s="179"/>
      <c r="EO35" s="179"/>
      <c r="EP35" s="179"/>
      <c r="EQ35" s="179"/>
      <c r="ER35" s="179"/>
      <c r="ES35" s="179"/>
      <c r="ET35" s="179"/>
      <c r="EU35" s="179"/>
      <c r="EV35" s="179"/>
      <c r="EW35" s="179"/>
      <c r="EX35" s="179"/>
      <c r="EY35" s="179"/>
      <c r="EZ35" s="179"/>
      <c r="FA35" s="179"/>
      <c r="FB35" s="179"/>
      <c r="FC35" s="179"/>
      <c r="FD35" s="179"/>
      <c r="FE35" s="179"/>
      <c r="FF35" s="179"/>
      <c r="FG35" s="179"/>
      <c r="FH35" s="179"/>
      <c r="FI35" s="179"/>
      <c r="FJ35" s="179"/>
      <c r="FK35" s="179"/>
      <c r="FL35" s="179"/>
      <c r="FM35" s="179"/>
      <c r="FN35" s="179"/>
      <c r="FO35" s="179"/>
      <c r="FP35" s="179"/>
      <c r="FQ35" s="179"/>
      <c r="FR35" s="179"/>
      <c r="FS35" s="179"/>
      <c r="FT35" s="179"/>
      <c r="FU35" s="179"/>
      <c r="FV35" s="179"/>
      <c r="FW35" s="179"/>
      <c r="FX35" s="179"/>
      <c r="FY35" s="179"/>
      <c r="FZ35" s="179"/>
      <c r="GA35" s="179"/>
      <c r="GB35" s="179"/>
      <c r="GC35" s="179"/>
      <c r="GD35" s="179"/>
      <c r="GE35" s="179"/>
      <c r="GF35" s="179"/>
      <c r="GG35" s="179"/>
      <c r="GH35" s="179"/>
      <c r="GI35" s="179"/>
      <c r="GJ35" s="179"/>
      <c r="GK35" s="179"/>
      <c r="GL35" s="179"/>
      <c r="GM35" s="179"/>
      <c r="GN35" s="179"/>
      <c r="GO35" s="179"/>
      <c r="GP35" s="179"/>
      <c r="GQ35" s="179"/>
      <c r="GR35" s="179"/>
      <c r="GS35" s="179"/>
      <c r="GT35" s="179"/>
      <c r="GU35" s="179"/>
      <c r="GV35" s="179"/>
      <c r="GW35" s="179"/>
      <c r="GX35" s="179"/>
      <c r="GY35" s="179"/>
      <c r="GZ35" s="179"/>
      <c r="HA35" s="179"/>
      <c r="HB35" s="179"/>
      <c r="HC35" s="179"/>
      <c r="HD35" s="179"/>
      <c r="HE35" s="179"/>
      <c r="HF35" s="179"/>
      <c r="HG35" s="179"/>
      <c r="HH35" s="179"/>
      <c r="HI35" s="179"/>
      <c r="HJ35" s="179"/>
      <c r="HK35" s="179"/>
      <c r="HL35" s="179"/>
      <c r="HM35" s="179"/>
      <c r="HN35" s="179"/>
      <c r="HO35" s="179"/>
      <c r="HP35" s="179"/>
      <c r="HQ35" s="179"/>
      <c r="HR35" s="179"/>
      <c r="HS35" s="179"/>
      <c r="HT35" s="179"/>
      <c r="HU35" s="179"/>
      <c r="HV35" s="179"/>
      <c r="HW35" s="179"/>
      <c r="HX35" s="179"/>
      <c r="HY35" s="179"/>
      <c r="HZ35" s="179"/>
      <c r="IA35" s="179"/>
      <c r="IB35" s="179"/>
      <c r="IC35" s="179"/>
      <c r="ID35" s="179"/>
      <c r="IE35" s="179"/>
      <c r="IF35" s="179"/>
      <c r="IG35" s="179"/>
      <c r="IH35" s="179"/>
      <c r="II35" s="179"/>
      <c r="IJ35" s="179"/>
      <c r="IK35" s="179"/>
      <c r="IL35" s="179"/>
      <c r="IM35" s="179"/>
      <c r="IN35" s="179"/>
      <c r="IO35" s="179"/>
      <c r="IP35" s="179"/>
      <c r="IQ35" s="179"/>
      <c r="IR35" s="179"/>
      <c r="IS35" s="179"/>
      <c r="IT35" s="179"/>
      <c r="IU35" s="179"/>
      <c r="IV35" s="179"/>
      <c r="IW35" s="179"/>
    </row>
  </sheetData>
  <mergeCells count="15">
    <mergeCell ref="D1:H1"/>
    <mergeCell ref="K1:N1"/>
    <mergeCell ref="A2:A3"/>
    <mergeCell ref="C2:C3"/>
    <mergeCell ref="D2:D3"/>
    <mergeCell ref="E2:E3"/>
    <mergeCell ref="F2:F3"/>
    <mergeCell ref="G2:G3"/>
    <mergeCell ref="H2:H3"/>
    <mergeCell ref="I2:I3"/>
    <mergeCell ref="J2:J3"/>
    <mergeCell ref="K2:K3"/>
    <mergeCell ref="L2:L3"/>
    <mergeCell ref="M2:M3"/>
    <mergeCell ref="N2:N3"/>
  </mergeCells>
  <printOptions headings="false" gridLines="true" gridLinesSet="true" horizontalCentered="true" verticalCentered="true"/>
  <pageMargins left="0.196527777777778" right="0.196527777777778" top="0.629861111111111" bottom="0.747916666666667" header="0.196527777777778" footer="0.354166666666667"/>
  <pageSetup paperSize="9" scale="100" fitToWidth="1" fitToHeight="1" pageOrder="downThenOver" orientation="landscape" blackAndWhite="false" draft="false" cellComments="none" horizontalDpi="300" verticalDpi="300" copies="1"/>
  <headerFooter differentFirst="false" differentOddEven="false">
    <oddHeader>&amp;C&amp;"Arial,Bold"&amp;11Financial accounts for the period
6 April 2017 to 5 April 2018</oddHeader>
    <oddFooter>&amp;L&amp;D  &amp;T&amp;C&amp;P  of  &amp;N&amp;R&amp;F  &amp;A</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customHeight="false" zeroHeight="false" outlineLevelRow="0" outlineLevelCol="0"/>
  <cols>
    <col collapsed="false" customWidth="true" hidden="false" outlineLevel="0" max="1" min="1" style="127" width="1.66"/>
    <col collapsed="false" customWidth="true" hidden="false" outlineLevel="0" max="2" min="2" style="127" width="22.32"/>
    <col collapsed="false" customWidth="false" hidden="false" outlineLevel="0" max="3" min="3" style="127" width="9.15"/>
    <col collapsed="false" customWidth="true" hidden="false" outlineLevel="0" max="4" min="4" style="127" width="10.15"/>
    <col collapsed="false" customWidth="false" hidden="false" outlineLevel="0" max="7" min="5" style="127" width="9.15"/>
    <col collapsed="false" customWidth="true" hidden="false" outlineLevel="0" max="8" min="8" style="127" width="23.66"/>
    <col collapsed="false" customWidth="true" hidden="false" outlineLevel="0" max="9" min="9" style="127" width="1.66"/>
    <col collapsed="false" customWidth="false" hidden="false" outlineLevel="0" max="257" min="19" style="127" width="9.15"/>
  </cols>
  <sheetData>
    <row r="1" customFormat="false" ht="4.5" hidden="false" customHeight="true" outlineLevel="0" collapsed="false">
      <c r="A1" s="181"/>
      <c r="B1" s="181"/>
      <c r="C1" s="181"/>
      <c r="D1" s="181"/>
      <c r="E1" s="181"/>
      <c r="F1" s="181"/>
      <c r="G1" s="181"/>
      <c r="H1" s="181"/>
      <c r="I1" s="181"/>
    </row>
    <row r="2" customFormat="false" ht="12.75" hidden="false" customHeight="false" outlineLevel="0" collapsed="false">
      <c r="A2" s="181"/>
      <c r="B2" s="182" t="s">
        <v>140</v>
      </c>
      <c r="C2" s="182" t="s">
        <v>141</v>
      </c>
      <c r="D2" s="182" t="s">
        <v>142</v>
      </c>
      <c r="E2" s="182" t="s">
        <v>143</v>
      </c>
      <c r="F2" s="182" t="s">
        <v>144</v>
      </c>
      <c r="G2" s="182" t="s">
        <v>145</v>
      </c>
      <c r="H2" s="182" t="s">
        <v>146</v>
      </c>
      <c r="I2" s="181"/>
      <c r="J2" s="135"/>
      <c r="K2" s="135"/>
      <c r="L2" s="135"/>
      <c r="M2" s="135"/>
      <c r="N2" s="135"/>
      <c r="O2" s="135"/>
      <c r="P2" s="135"/>
      <c r="Q2" s="135"/>
      <c r="R2" s="135"/>
      <c r="S2" s="135"/>
      <c r="T2" s="135"/>
      <c r="U2" s="135"/>
      <c r="V2" s="135"/>
      <c r="W2" s="135"/>
      <c r="X2" s="135"/>
      <c r="Y2" s="135"/>
      <c r="Z2" s="135"/>
      <c r="AA2" s="135"/>
      <c r="AB2" s="135"/>
      <c r="AC2" s="135"/>
      <c r="AD2" s="135"/>
      <c r="AE2" s="135"/>
      <c r="AF2" s="135"/>
      <c r="AG2" s="135"/>
      <c r="AH2" s="135"/>
      <c r="AI2" s="135"/>
      <c r="AJ2" s="135"/>
      <c r="AK2" s="135"/>
      <c r="AL2" s="135"/>
      <c r="AM2" s="135"/>
      <c r="AN2" s="135"/>
      <c r="AO2" s="135"/>
      <c r="AP2" s="135"/>
      <c r="AQ2" s="135"/>
      <c r="AR2" s="135"/>
      <c r="AS2" s="135"/>
      <c r="AT2" s="135"/>
      <c r="AU2" s="135"/>
      <c r="AV2" s="135"/>
      <c r="AW2" s="135"/>
      <c r="AX2" s="135"/>
      <c r="AY2" s="135"/>
      <c r="AZ2" s="135"/>
      <c r="BA2" s="135"/>
      <c r="BB2" s="135"/>
      <c r="BC2" s="135"/>
      <c r="BD2" s="135"/>
      <c r="BE2" s="135"/>
      <c r="BF2" s="135"/>
      <c r="BG2" s="135"/>
      <c r="BH2" s="135"/>
      <c r="BI2" s="135"/>
      <c r="BJ2" s="135"/>
      <c r="BK2" s="135"/>
      <c r="BL2" s="135"/>
      <c r="BM2" s="135"/>
      <c r="BN2" s="135"/>
      <c r="BO2" s="135"/>
      <c r="BP2" s="135"/>
      <c r="BQ2" s="135"/>
      <c r="BR2" s="135"/>
      <c r="BS2" s="135"/>
      <c r="BT2" s="135"/>
      <c r="BU2" s="135"/>
      <c r="BV2" s="135"/>
      <c r="BW2" s="135"/>
      <c r="BX2" s="135"/>
      <c r="BY2" s="135"/>
      <c r="BZ2" s="135"/>
      <c r="CA2" s="135"/>
      <c r="CB2" s="135"/>
      <c r="CC2" s="135"/>
      <c r="CD2" s="135"/>
      <c r="CE2" s="135"/>
      <c r="CF2" s="135"/>
      <c r="CG2" s="135"/>
      <c r="CH2" s="135"/>
      <c r="CI2" s="135"/>
      <c r="CJ2" s="135"/>
      <c r="CK2" s="135"/>
      <c r="CL2" s="135"/>
      <c r="CM2" s="135"/>
      <c r="CN2" s="135"/>
      <c r="CO2" s="135"/>
      <c r="CP2" s="135"/>
      <c r="CQ2" s="135"/>
      <c r="CR2" s="135"/>
      <c r="CS2" s="135"/>
      <c r="CT2" s="135"/>
      <c r="CU2" s="135"/>
      <c r="CV2" s="135"/>
      <c r="CW2" s="135"/>
      <c r="CX2" s="135"/>
      <c r="CY2" s="135"/>
      <c r="CZ2" s="135"/>
      <c r="DA2" s="135"/>
      <c r="DB2" s="135"/>
      <c r="DC2" s="135"/>
      <c r="DD2" s="135"/>
      <c r="DE2" s="135"/>
      <c r="DF2" s="135"/>
      <c r="DG2" s="135"/>
      <c r="DH2" s="135"/>
      <c r="DI2" s="135"/>
      <c r="DJ2" s="135"/>
      <c r="DK2" s="135"/>
      <c r="DL2" s="135"/>
      <c r="DM2" s="135"/>
      <c r="DN2" s="135"/>
      <c r="DO2" s="135"/>
      <c r="DP2" s="135"/>
      <c r="DQ2" s="135"/>
      <c r="DR2" s="135"/>
      <c r="DS2" s="135"/>
      <c r="DT2" s="135"/>
      <c r="DU2" s="135"/>
      <c r="DV2" s="135"/>
      <c r="DW2" s="135"/>
      <c r="DX2" s="135"/>
      <c r="DY2" s="135"/>
      <c r="DZ2" s="135"/>
      <c r="EA2" s="135"/>
      <c r="EB2" s="135"/>
      <c r="EC2" s="135"/>
      <c r="ED2" s="135"/>
      <c r="EE2" s="135"/>
      <c r="EF2" s="135"/>
      <c r="EG2" s="135"/>
      <c r="EH2" s="135"/>
      <c r="EI2" s="135"/>
      <c r="EJ2" s="135"/>
      <c r="EK2" s="135"/>
      <c r="EL2" s="135"/>
      <c r="EM2" s="135"/>
      <c r="EN2" s="135"/>
      <c r="EO2" s="135"/>
      <c r="EP2" s="135"/>
      <c r="EQ2" s="135"/>
      <c r="ER2" s="135"/>
      <c r="ES2" s="135"/>
      <c r="ET2" s="135"/>
      <c r="EU2" s="135"/>
      <c r="EV2" s="135"/>
      <c r="EW2" s="135"/>
      <c r="EX2" s="135"/>
      <c r="EY2" s="135"/>
      <c r="EZ2" s="135"/>
      <c r="FA2" s="135"/>
      <c r="FB2" s="135"/>
      <c r="FC2" s="135"/>
      <c r="FD2" s="135"/>
      <c r="FE2" s="135"/>
      <c r="FF2" s="135"/>
      <c r="FG2" s="135"/>
      <c r="FH2" s="135"/>
      <c r="FI2" s="135"/>
      <c r="FJ2" s="135"/>
      <c r="FK2" s="135"/>
      <c r="FL2" s="135"/>
      <c r="FM2" s="135"/>
      <c r="FN2" s="135"/>
      <c r="FO2" s="135"/>
      <c r="FP2" s="135"/>
      <c r="FQ2" s="135"/>
      <c r="FR2" s="135"/>
      <c r="FS2" s="135"/>
      <c r="FT2" s="135"/>
      <c r="FU2" s="135"/>
      <c r="FV2" s="135"/>
      <c r="FW2" s="135"/>
      <c r="FX2" s="135"/>
      <c r="FY2" s="135"/>
      <c r="FZ2" s="135"/>
      <c r="GA2" s="135"/>
      <c r="GB2" s="135"/>
      <c r="GC2" s="135"/>
      <c r="GD2" s="135"/>
      <c r="GE2" s="135"/>
      <c r="GF2" s="135"/>
      <c r="GG2" s="135"/>
      <c r="GH2" s="135"/>
      <c r="GI2" s="135"/>
      <c r="GJ2" s="135"/>
      <c r="GK2" s="135"/>
      <c r="GL2" s="135"/>
      <c r="GM2" s="135"/>
      <c r="GN2" s="135"/>
      <c r="GO2" s="135"/>
      <c r="GP2" s="135"/>
      <c r="GQ2" s="135"/>
      <c r="GR2" s="135"/>
      <c r="GS2" s="135"/>
      <c r="GT2" s="135"/>
      <c r="GU2" s="135"/>
      <c r="GV2" s="135"/>
      <c r="GW2" s="135"/>
      <c r="GX2" s="135"/>
      <c r="GY2" s="135"/>
      <c r="GZ2" s="135"/>
      <c r="HA2" s="135"/>
      <c r="HB2" s="135"/>
      <c r="HC2" s="135"/>
      <c r="HD2" s="135"/>
      <c r="HE2" s="135"/>
      <c r="HF2" s="135"/>
      <c r="HG2" s="135"/>
      <c r="HH2" s="135"/>
      <c r="HI2" s="135"/>
      <c r="HJ2" s="135"/>
      <c r="HK2" s="135"/>
      <c r="HL2" s="135"/>
      <c r="HM2" s="135"/>
      <c r="HN2" s="135"/>
      <c r="HO2" s="135"/>
      <c r="HP2" s="135"/>
      <c r="HQ2" s="135"/>
      <c r="HR2" s="135"/>
      <c r="HS2" s="135"/>
      <c r="HT2" s="135"/>
      <c r="HU2" s="135"/>
      <c r="HV2" s="135"/>
      <c r="HW2" s="135"/>
      <c r="HX2" s="135"/>
      <c r="HY2" s="135"/>
      <c r="HZ2" s="135"/>
      <c r="IA2" s="135"/>
      <c r="IB2" s="135"/>
      <c r="IC2" s="135"/>
      <c r="ID2" s="135"/>
      <c r="IE2" s="135"/>
      <c r="IF2" s="135"/>
      <c r="IG2" s="135"/>
      <c r="IH2" s="135"/>
      <c r="II2" s="135"/>
      <c r="IJ2" s="135"/>
      <c r="IK2" s="135"/>
      <c r="IL2" s="135"/>
      <c r="IM2" s="135"/>
      <c r="IN2" s="135"/>
      <c r="IO2" s="135"/>
      <c r="IP2" s="135"/>
      <c r="IQ2" s="135"/>
      <c r="IR2" s="135"/>
      <c r="IS2" s="135"/>
      <c r="IT2" s="135"/>
      <c r="IU2" s="135"/>
      <c r="IV2" s="135"/>
      <c r="IW2" s="135"/>
    </row>
    <row r="3" customFormat="false" ht="12.75" hidden="false" customHeight="false" outlineLevel="0" collapsed="false">
      <c r="A3" s="181"/>
      <c r="B3" s="182"/>
      <c r="C3" s="182"/>
      <c r="D3" s="182"/>
      <c r="E3" s="182"/>
      <c r="F3" s="182"/>
      <c r="G3" s="182"/>
      <c r="H3" s="182"/>
      <c r="I3" s="181"/>
    </row>
    <row r="4" customFormat="false" ht="12.75" hidden="false" customHeight="false" outlineLevel="0" collapsed="false">
      <c r="A4" s="181"/>
      <c r="B4" s="181"/>
      <c r="C4" s="181"/>
      <c r="D4" s="181"/>
      <c r="E4" s="181"/>
      <c r="F4" s="181"/>
      <c r="G4" s="181"/>
      <c r="H4" s="181"/>
      <c r="I4" s="181"/>
      <c r="J4" s="142"/>
      <c r="K4" s="142"/>
      <c r="L4" s="142"/>
      <c r="M4" s="142"/>
      <c r="N4" s="142"/>
      <c r="O4" s="142"/>
      <c r="P4" s="142"/>
      <c r="Q4" s="142"/>
      <c r="R4" s="142"/>
      <c r="S4" s="142"/>
      <c r="T4" s="142"/>
      <c r="U4" s="142"/>
      <c r="V4" s="142"/>
      <c r="W4" s="142"/>
      <c r="X4" s="142"/>
      <c r="Y4" s="142"/>
      <c r="Z4" s="142"/>
      <c r="AA4" s="142"/>
      <c r="AB4" s="142"/>
      <c r="AC4" s="142"/>
      <c r="AD4" s="142"/>
      <c r="AE4" s="142"/>
      <c r="AF4" s="142"/>
      <c r="AG4" s="142"/>
      <c r="AH4" s="142"/>
      <c r="AI4" s="142"/>
      <c r="AJ4" s="142"/>
      <c r="AK4" s="142"/>
      <c r="AL4" s="142"/>
      <c r="AM4" s="142"/>
      <c r="AN4" s="142"/>
      <c r="AO4" s="142"/>
      <c r="AP4" s="142"/>
      <c r="AQ4" s="142"/>
      <c r="AR4" s="142"/>
      <c r="AS4" s="142"/>
      <c r="AT4" s="142"/>
      <c r="AU4" s="142"/>
      <c r="AV4" s="142"/>
      <c r="AW4" s="142"/>
      <c r="AX4" s="142"/>
      <c r="AY4" s="142"/>
      <c r="AZ4" s="142"/>
      <c r="BA4" s="142"/>
      <c r="BB4" s="142"/>
      <c r="BC4" s="142"/>
      <c r="BD4" s="142"/>
      <c r="BE4" s="142"/>
      <c r="BF4" s="142"/>
      <c r="BG4" s="142"/>
      <c r="BH4" s="142"/>
      <c r="BI4" s="142"/>
      <c r="BJ4" s="142"/>
      <c r="BK4" s="142"/>
      <c r="BL4" s="142"/>
      <c r="BM4" s="142"/>
      <c r="BN4" s="142"/>
      <c r="BO4" s="142"/>
      <c r="BP4" s="142"/>
      <c r="BQ4" s="142"/>
      <c r="BR4" s="142"/>
      <c r="BS4" s="142"/>
      <c r="BT4" s="142"/>
      <c r="BU4" s="142"/>
      <c r="BV4" s="142"/>
      <c r="BW4" s="142"/>
      <c r="BX4" s="142"/>
      <c r="BY4" s="142"/>
      <c r="BZ4" s="142"/>
      <c r="CA4" s="142"/>
      <c r="CB4" s="142"/>
      <c r="CC4" s="142"/>
      <c r="CD4" s="142"/>
      <c r="CE4" s="142"/>
      <c r="CF4" s="142"/>
      <c r="CG4" s="142"/>
      <c r="CH4" s="142"/>
      <c r="CI4" s="142"/>
      <c r="CJ4" s="142"/>
      <c r="CK4" s="142"/>
      <c r="CL4" s="142"/>
      <c r="CM4" s="142"/>
      <c r="CN4" s="142"/>
      <c r="CO4" s="142"/>
      <c r="CP4" s="142"/>
      <c r="CQ4" s="142"/>
      <c r="CR4" s="142"/>
      <c r="CS4" s="142"/>
      <c r="CT4" s="142"/>
      <c r="CU4" s="142"/>
      <c r="CV4" s="142"/>
      <c r="CW4" s="142"/>
      <c r="CX4" s="142"/>
      <c r="CY4" s="142"/>
      <c r="CZ4" s="142"/>
      <c r="DA4" s="142"/>
      <c r="DB4" s="142"/>
      <c r="DC4" s="142"/>
      <c r="DD4" s="142"/>
      <c r="DE4" s="142"/>
      <c r="DF4" s="142"/>
      <c r="DG4" s="142"/>
      <c r="DH4" s="142"/>
      <c r="DI4" s="142"/>
      <c r="DJ4" s="142"/>
      <c r="DK4" s="142"/>
      <c r="DL4" s="142"/>
      <c r="DM4" s="142"/>
      <c r="DN4" s="142"/>
      <c r="DO4" s="142"/>
      <c r="DP4" s="142"/>
      <c r="DQ4" s="142"/>
      <c r="DR4" s="142"/>
      <c r="DS4" s="142"/>
      <c r="DT4" s="142"/>
      <c r="DU4" s="142"/>
      <c r="DV4" s="142"/>
      <c r="DW4" s="142"/>
      <c r="DX4" s="142"/>
      <c r="DY4" s="142"/>
      <c r="DZ4" s="142"/>
      <c r="EA4" s="142"/>
      <c r="EB4" s="142"/>
      <c r="EC4" s="142"/>
      <c r="ED4" s="142"/>
      <c r="EE4" s="142"/>
      <c r="EF4" s="142"/>
      <c r="EG4" s="142"/>
      <c r="EH4" s="142"/>
      <c r="EI4" s="142"/>
      <c r="EJ4" s="142"/>
      <c r="EK4" s="142"/>
      <c r="EL4" s="142"/>
      <c r="EM4" s="142"/>
      <c r="EN4" s="142"/>
      <c r="EO4" s="142"/>
      <c r="EP4" s="142"/>
      <c r="EQ4" s="142"/>
      <c r="ER4" s="142"/>
      <c r="ES4" s="142"/>
      <c r="ET4" s="142"/>
      <c r="EU4" s="142"/>
      <c r="EV4" s="142"/>
      <c r="EW4" s="142"/>
      <c r="EX4" s="142"/>
      <c r="EY4" s="142"/>
      <c r="EZ4" s="142"/>
      <c r="FA4" s="142"/>
      <c r="FB4" s="142"/>
      <c r="FC4" s="142"/>
      <c r="FD4" s="142"/>
      <c r="FE4" s="142"/>
      <c r="FF4" s="142"/>
      <c r="FG4" s="142"/>
      <c r="FH4" s="142"/>
      <c r="FI4" s="142"/>
      <c r="FJ4" s="142"/>
      <c r="FK4" s="142"/>
      <c r="FL4" s="142"/>
      <c r="FM4" s="142"/>
      <c r="FN4" s="142"/>
      <c r="FO4" s="142"/>
      <c r="FP4" s="142"/>
      <c r="FQ4" s="142"/>
      <c r="FR4" s="142"/>
      <c r="FS4" s="142"/>
      <c r="FT4" s="142"/>
      <c r="FU4" s="142"/>
      <c r="FV4" s="142"/>
      <c r="FW4" s="142"/>
      <c r="FX4" s="142"/>
      <c r="FY4" s="142"/>
      <c r="FZ4" s="142"/>
      <c r="GA4" s="142"/>
      <c r="GB4" s="142"/>
      <c r="GC4" s="142"/>
      <c r="GD4" s="142"/>
      <c r="GE4" s="142"/>
      <c r="GF4" s="142"/>
      <c r="GG4" s="142"/>
      <c r="GH4" s="142"/>
      <c r="GI4" s="142"/>
      <c r="GJ4" s="142"/>
      <c r="GK4" s="142"/>
      <c r="GL4" s="142"/>
      <c r="GM4" s="142"/>
      <c r="GN4" s="142"/>
      <c r="GO4" s="142"/>
      <c r="GP4" s="142"/>
      <c r="GQ4" s="142"/>
      <c r="GR4" s="142"/>
      <c r="GS4" s="142"/>
      <c r="GT4" s="142"/>
      <c r="GU4" s="142"/>
      <c r="GV4" s="142"/>
      <c r="GW4" s="142"/>
      <c r="GX4" s="142"/>
      <c r="GY4" s="142"/>
      <c r="GZ4" s="142"/>
      <c r="HA4" s="142"/>
      <c r="HB4" s="142"/>
      <c r="HC4" s="142"/>
      <c r="HD4" s="142"/>
      <c r="HE4" s="142"/>
      <c r="HF4" s="142"/>
      <c r="HG4" s="142"/>
      <c r="HH4" s="142"/>
      <c r="HI4" s="142"/>
      <c r="HJ4" s="142"/>
      <c r="HK4" s="142"/>
      <c r="HL4" s="142"/>
      <c r="HM4" s="142"/>
      <c r="HN4" s="142"/>
      <c r="HO4" s="142"/>
      <c r="HP4" s="142"/>
      <c r="HQ4" s="142"/>
      <c r="HR4" s="142"/>
      <c r="HS4" s="142"/>
      <c r="HT4" s="142"/>
      <c r="HU4" s="142"/>
      <c r="HV4" s="142"/>
      <c r="HW4" s="142"/>
      <c r="HX4" s="142"/>
      <c r="HY4" s="142"/>
      <c r="HZ4" s="142"/>
      <c r="IA4" s="142"/>
      <c r="IB4" s="142"/>
      <c r="IC4" s="142"/>
      <c r="ID4" s="142"/>
      <c r="IE4" s="142"/>
      <c r="IF4" s="142"/>
      <c r="IG4" s="142"/>
      <c r="IH4" s="142"/>
      <c r="II4" s="142"/>
      <c r="IJ4" s="142"/>
      <c r="IK4" s="142"/>
      <c r="IL4" s="142"/>
      <c r="IM4" s="142"/>
      <c r="IN4" s="142"/>
      <c r="IO4" s="142"/>
      <c r="IP4" s="142"/>
      <c r="IQ4" s="142"/>
      <c r="IR4" s="142"/>
      <c r="IS4" s="142"/>
      <c r="IT4" s="142"/>
      <c r="IU4" s="142"/>
      <c r="IV4" s="142"/>
      <c r="IW4" s="142"/>
    </row>
    <row r="5" customFormat="false" ht="12.75" hidden="false" customHeight="false" outlineLevel="0" collapsed="false">
      <c r="A5" s="181"/>
      <c r="B5" s="181" t="s">
        <v>147</v>
      </c>
      <c r="C5" s="183" t="n">
        <f aca="false">SUM('Profit &amp; Loss Acc'!C5:E5)</f>
        <v>9045</v>
      </c>
      <c r="D5" s="183" t="n">
        <f aca="false">SUM('Profit &amp; Loss Acc'!F5:H5)</f>
        <v>9000</v>
      </c>
      <c r="E5" s="183" t="n">
        <f aca="false">SUM('Profit &amp; Loss Acc'!I5:K5)</f>
        <v>9000</v>
      </c>
      <c r="F5" s="183" t="n">
        <f aca="false">SUM('Profit &amp; Loss Acc'!L5:N5)</f>
        <v>9000</v>
      </c>
      <c r="G5" s="184" t="n">
        <f aca="false">SUM(C5:F5)</f>
        <v>36045</v>
      </c>
      <c r="H5" s="181"/>
      <c r="I5" s="181"/>
    </row>
    <row r="6" customFormat="false" ht="12.75" hidden="false" customHeight="false" outlineLevel="0" collapsed="false">
      <c r="A6" s="181"/>
      <c r="B6" s="181" t="s">
        <v>148</v>
      </c>
      <c r="C6" s="183" t="n">
        <f aca="false">SUM('Profit &amp; Loss Acc'!C24:E24)</f>
        <v>0</v>
      </c>
      <c r="D6" s="183" t="n">
        <f aca="false">SUM('Profit &amp; Loss Acc'!F24:H24)</f>
        <v>500</v>
      </c>
      <c r="E6" s="183" t="n">
        <f aca="false">SUM('Profit &amp; Loss Acc'!I24:K24)</f>
        <v>0</v>
      </c>
      <c r="F6" s="183" t="n">
        <f aca="false">SUM('Profit &amp; Loss Acc'!L24:N24)</f>
        <v>0</v>
      </c>
      <c r="G6" s="184" t="n">
        <f aca="false">SUM(C6:F6)</f>
        <v>500</v>
      </c>
      <c r="H6" s="181"/>
      <c r="I6" s="181"/>
    </row>
    <row r="7" customFormat="false" ht="12.75" hidden="false" customHeight="false" outlineLevel="0" collapsed="false">
      <c r="A7" s="181"/>
      <c r="B7" s="181" t="s">
        <v>149</v>
      </c>
      <c r="C7" s="183" t="n">
        <f aca="false">SUM('Profit &amp; Loss Acc'!C11:E11)</f>
        <v>0</v>
      </c>
      <c r="D7" s="183" t="n">
        <f aca="false">SUM('Profit &amp; Loss Acc'!F11:H11)</f>
        <v>0</v>
      </c>
      <c r="E7" s="183" t="n">
        <f aca="false">SUM('Profit &amp; Loss Acc'!I11:K11)</f>
        <v>0</v>
      </c>
      <c r="F7" s="183" t="n">
        <f aca="false">SUM('Profit &amp; Loss Acc'!L11:N11)</f>
        <v>0</v>
      </c>
      <c r="G7" s="184" t="n">
        <f aca="false">SUM(C7:F7)</f>
        <v>0</v>
      </c>
      <c r="H7" s="181"/>
      <c r="I7" s="181"/>
    </row>
    <row r="8" customFormat="false" ht="12.75" hidden="false" customHeight="false" outlineLevel="0" collapsed="false">
      <c r="A8" s="181"/>
      <c r="B8" s="181"/>
      <c r="C8" s="181"/>
      <c r="D8" s="181"/>
      <c r="E8" s="181"/>
      <c r="F8" s="181"/>
      <c r="G8" s="181"/>
      <c r="H8" s="181"/>
      <c r="I8" s="181"/>
      <c r="J8" s="153"/>
      <c r="K8" s="153"/>
      <c r="L8" s="153"/>
      <c r="M8" s="153"/>
      <c r="N8" s="153"/>
      <c r="O8" s="153"/>
      <c r="P8" s="153"/>
      <c r="Q8" s="153"/>
      <c r="R8" s="153"/>
      <c r="S8" s="153"/>
      <c r="T8" s="153"/>
      <c r="U8" s="153"/>
      <c r="V8" s="153"/>
      <c r="W8" s="153"/>
      <c r="X8" s="153"/>
      <c r="Y8" s="153"/>
      <c r="Z8" s="153"/>
      <c r="AA8" s="153"/>
      <c r="AB8" s="153"/>
      <c r="AC8" s="153"/>
      <c r="AD8" s="153"/>
      <c r="AE8" s="153"/>
      <c r="AF8" s="153"/>
      <c r="AG8" s="153"/>
      <c r="AH8" s="153"/>
      <c r="AI8" s="153"/>
      <c r="AJ8" s="153"/>
      <c r="AK8" s="153"/>
      <c r="AL8" s="153"/>
      <c r="AM8" s="153"/>
      <c r="AN8" s="153"/>
      <c r="AO8" s="153"/>
      <c r="AP8" s="153"/>
      <c r="AQ8" s="153"/>
      <c r="AR8" s="153"/>
      <c r="AS8" s="153"/>
      <c r="AT8" s="153"/>
      <c r="AU8" s="153"/>
      <c r="AV8" s="153"/>
      <c r="AW8" s="153"/>
      <c r="AX8" s="153"/>
      <c r="AY8" s="153"/>
      <c r="AZ8" s="153"/>
      <c r="BA8" s="153"/>
      <c r="BB8" s="153"/>
      <c r="BC8" s="153"/>
      <c r="BD8" s="153"/>
      <c r="BE8" s="153"/>
      <c r="BF8" s="153"/>
      <c r="BG8" s="153"/>
      <c r="BH8" s="153"/>
      <c r="BI8" s="153"/>
      <c r="BJ8" s="153"/>
      <c r="BK8" s="153"/>
      <c r="BL8" s="153"/>
      <c r="BM8" s="153"/>
      <c r="BN8" s="153"/>
      <c r="BO8" s="153"/>
      <c r="BP8" s="153"/>
      <c r="BQ8" s="153"/>
      <c r="BR8" s="153"/>
      <c r="BS8" s="153"/>
      <c r="BT8" s="153"/>
      <c r="BU8" s="153"/>
      <c r="BV8" s="153"/>
      <c r="BW8" s="153"/>
      <c r="BX8" s="153"/>
      <c r="BY8" s="153"/>
      <c r="BZ8" s="153"/>
      <c r="CA8" s="153"/>
      <c r="CB8" s="153"/>
      <c r="CC8" s="153"/>
      <c r="CD8" s="153"/>
      <c r="CE8" s="153"/>
      <c r="CF8" s="153"/>
      <c r="CG8" s="153"/>
      <c r="CH8" s="153"/>
      <c r="CI8" s="153"/>
      <c r="CJ8" s="153"/>
      <c r="CK8" s="153"/>
      <c r="CL8" s="153"/>
      <c r="CM8" s="153"/>
      <c r="CN8" s="153"/>
      <c r="CO8" s="153"/>
      <c r="CP8" s="153"/>
      <c r="CQ8" s="153"/>
      <c r="CR8" s="153"/>
      <c r="CS8" s="153"/>
      <c r="CT8" s="153"/>
      <c r="CU8" s="153"/>
      <c r="CV8" s="153"/>
      <c r="CW8" s="153"/>
      <c r="CX8" s="153"/>
      <c r="CY8" s="153"/>
      <c r="CZ8" s="153"/>
      <c r="DA8" s="153"/>
      <c r="DB8" s="153"/>
      <c r="DC8" s="153"/>
      <c r="DD8" s="153"/>
      <c r="DE8" s="153"/>
      <c r="DF8" s="153"/>
      <c r="DG8" s="153"/>
      <c r="DH8" s="153"/>
      <c r="DI8" s="153"/>
      <c r="DJ8" s="153"/>
      <c r="DK8" s="153"/>
      <c r="DL8" s="153"/>
      <c r="DM8" s="153"/>
      <c r="DN8" s="153"/>
      <c r="DO8" s="153"/>
      <c r="DP8" s="153"/>
      <c r="DQ8" s="153"/>
      <c r="DR8" s="153"/>
      <c r="DS8" s="153"/>
      <c r="DT8" s="153"/>
      <c r="DU8" s="153"/>
      <c r="DV8" s="153"/>
      <c r="DW8" s="153"/>
      <c r="DX8" s="153"/>
      <c r="DY8" s="153"/>
      <c r="DZ8" s="153"/>
      <c r="EA8" s="153"/>
      <c r="EB8" s="153"/>
      <c r="EC8" s="153"/>
      <c r="ED8" s="153"/>
      <c r="EE8" s="153"/>
      <c r="EF8" s="153"/>
      <c r="EG8" s="153"/>
      <c r="EH8" s="153"/>
      <c r="EI8" s="153"/>
      <c r="EJ8" s="153"/>
      <c r="EK8" s="153"/>
      <c r="EL8" s="153"/>
      <c r="EM8" s="153"/>
      <c r="EN8" s="153"/>
      <c r="EO8" s="153"/>
      <c r="EP8" s="153"/>
      <c r="EQ8" s="153"/>
      <c r="ER8" s="153"/>
      <c r="ES8" s="153"/>
      <c r="ET8" s="153"/>
      <c r="EU8" s="153"/>
      <c r="EV8" s="153"/>
      <c r="EW8" s="153"/>
      <c r="EX8" s="153"/>
      <c r="EY8" s="153"/>
      <c r="EZ8" s="153"/>
      <c r="FA8" s="153"/>
      <c r="FB8" s="153"/>
      <c r="FC8" s="153"/>
      <c r="FD8" s="153"/>
      <c r="FE8" s="153"/>
      <c r="FF8" s="153"/>
      <c r="FG8" s="153"/>
      <c r="FH8" s="153"/>
      <c r="FI8" s="153"/>
      <c r="FJ8" s="153"/>
      <c r="FK8" s="153"/>
      <c r="FL8" s="153"/>
      <c r="FM8" s="153"/>
      <c r="FN8" s="153"/>
      <c r="FO8" s="153"/>
      <c r="FP8" s="153"/>
      <c r="FQ8" s="153"/>
      <c r="FR8" s="153"/>
      <c r="FS8" s="153"/>
      <c r="FT8" s="153"/>
      <c r="FU8" s="153"/>
      <c r="FV8" s="153"/>
      <c r="FW8" s="153"/>
      <c r="FX8" s="153"/>
      <c r="FY8" s="153"/>
      <c r="FZ8" s="153"/>
      <c r="GA8" s="153"/>
      <c r="GB8" s="153"/>
      <c r="GC8" s="153"/>
      <c r="GD8" s="153"/>
      <c r="GE8" s="153"/>
      <c r="GF8" s="153"/>
      <c r="GG8" s="153"/>
      <c r="GH8" s="153"/>
      <c r="GI8" s="153"/>
      <c r="GJ8" s="153"/>
      <c r="GK8" s="153"/>
      <c r="GL8" s="153"/>
      <c r="GM8" s="153"/>
      <c r="GN8" s="153"/>
      <c r="GO8" s="153"/>
      <c r="GP8" s="153"/>
      <c r="GQ8" s="153"/>
      <c r="GR8" s="153"/>
      <c r="GS8" s="153"/>
      <c r="GT8" s="153"/>
      <c r="GU8" s="153"/>
      <c r="GV8" s="153"/>
      <c r="GW8" s="153"/>
      <c r="GX8" s="153"/>
      <c r="GY8" s="153"/>
      <c r="GZ8" s="153"/>
      <c r="HA8" s="153"/>
      <c r="HB8" s="153"/>
      <c r="HC8" s="153"/>
      <c r="HD8" s="153"/>
      <c r="HE8" s="153"/>
      <c r="HF8" s="153"/>
      <c r="HG8" s="153"/>
      <c r="HH8" s="153"/>
      <c r="HI8" s="153"/>
      <c r="HJ8" s="153"/>
      <c r="HK8" s="153"/>
      <c r="HL8" s="153"/>
      <c r="HM8" s="153"/>
      <c r="HN8" s="153"/>
      <c r="HO8" s="153"/>
      <c r="HP8" s="153"/>
      <c r="HQ8" s="153"/>
      <c r="HR8" s="153"/>
      <c r="HS8" s="153"/>
      <c r="HT8" s="153"/>
      <c r="HU8" s="153"/>
      <c r="HV8" s="153"/>
      <c r="HW8" s="153"/>
      <c r="HX8" s="153"/>
      <c r="HY8" s="153"/>
      <c r="HZ8" s="153"/>
      <c r="IA8" s="153"/>
      <c r="IB8" s="153"/>
      <c r="IC8" s="153"/>
      <c r="ID8" s="153"/>
      <c r="IE8" s="153"/>
      <c r="IF8" s="153"/>
      <c r="IG8" s="153"/>
      <c r="IH8" s="153"/>
      <c r="II8" s="153"/>
      <c r="IJ8" s="153"/>
      <c r="IK8" s="153"/>
      <c r="IL8" s="153"/>
      <c r="IM8" s="153"/>
      <c r="IN8" s="153"/>
      <c r="IO8" s="153"/>
      <c r="IP8" s="153"/>
      <c r="IQ8" s="153"/>
      <c r="IR8" s="153"/>
      <c r="IS8" s="153"/>
      <c r="IT8" s="153"/>
      <c r="IU8" s="153"/>
      <c r="IV8" s="153"/>
      <c r="IW8" s="153"/>
    </row>
    <row r="9" customFormat="false" ht="12.75" hidden="false" customHeight="false" outlineLevel="0" collapsed="false">
      <c r="A9" s="181"/>
      <c r="B9" s="181"/>
      <c r="C9" s="181"/>
      <c r="D9" s="181"/>
      <c r="E9" s="181"/>
      <c r="F9" s="181"/>
      <c r="G9" s="181"/>
      <c r="H9" s="181"/>
      <c r="I9" s="181"/>
    </row>
    <row r="10" customFormat="false" ht="12.75" hidden="false" customHeight="false" outlineLevel="0" collapsed="false">
      <c r="A10" s="181"/>
      <c r="B10" s="185" t="s">
        <v>150</v>
      </c>
      <c r="C10" s="181"/>
      <c r="D10" s="181"/>
      <c r="E10" s="181"/>
      <c r="F10" s="181"/>
      <c r="G10" s="181"/>
      <c r="H10" s="181"/>
      <c r="I10" s="181"/>
    </row>
    <row r="11" customFormat="false" ht="12.75" hidden="false" customHeight="false" outlineLevel="0" collapsed="false">
      <c r="A11" s="181"/>
      <c r="B11" s="181"/>
      <c r="C11" s="181"/>
      <c r="D11" s="181"/>
      <c r="E11" s="181"/>
      <c r="F11" s="181"/>
      <c r="G11" s="181"/>
      <c r="H11" s="181"/>
      <c r="I11" s="181"/>
    </row>
    <row r="12" customFormat="false" ht="12.75" hidden="false" customHeight="false" outlineLevel="0" collapsed="false">
      <c r="A12" s="181"/>
      <c r="B12" s="181" t="s">
        <v>151</v>
      </c>
      <c r="C12" s="184" t="n">
        <f aca="false">SUM('Profit &amp; Loss Acc'!C14:E14)</f>
        <v>0</v>
      </c>
      <c r="D12" s="184" t="n">
        <f aca="false">SUM('Profit &amp; Loss Acc'!F14:H14)</f>
        <v>0</v>
      </c>
      <c r="E12" s="184" t="n">
        <f aca="false">SUM('Profit &amp; Loss Acc'!I14:K14)</f>
        <v>0</v>
      </c>
      <c r="F12" s="184" t="n">
        <f aca="false">SUM('Profit &amp; Loss Acc'!L14:N14)</f>
        <v>0</v>
      </c>
      <c r="G12" s="184" t="n">
        <f aca="false">SUM(C12:F12)</f>
        <v>0</v>
      </c>
      <c r="H12" s="181"/>
      <c r="I12" s="181"/>
    </row>
    <row r="13" customFormat="false" ht="12.75" hidden="false" customHeight="false" outlineLevel="0" collapsed="false">
      <c r="A13" s="181"/>
      <c r="B13" s="181" t="s">
        <v>152</v>
      </c>
      <c r="C13" s="184" t="n">
        <f aca="false">SUM('Profit &amp; Loss Acc'!C15:E15)</f>
        <v>0</v>
      </c>
      <c r="D13" s="184" t="n">
        <f aca="false">SUM('Profit &amp; Loss Acc'!F15:H15)</f>
        <v>0</v>
      </c>
      <c r="E13" s="184" t="n">
        <f aca="false">SUM('Profit &amp; Loss Acc'!I15:K15)</f>
        <v>0</v>
      </c>
      <c r="F13" s="184" t="n">
        <f aca="false">SUM('Profit &amp; Loss Acc'!L15:N15)</f>
        <v>0</v>
      </c>
      <c r="G13" s="184" t="n">
        <f aca="false">SUM(C13:F13)</f>
        <v>0</v>
      </c>
      <c r="H13" s="181"/>
      <c r="I13" s="181"/>
    </row>
    <row r="14" customFormat="false" ht="12.75" hidden="false" customHeight="false" outlineLevel="0" collapsed="false">
      <c r="A14" s="181"/>
      <c r="B14" s="181" t="s">
        <v>153</v>
      </c>
      <c r="C14" s="184" t="n">
        <f aca="false">SUM('Profit &amp; Loss Acc'!C8:E9)</f>
        <v>1380</v>
      </c>
      <c r="D14" s="184" t="n">
        <f aca="false">SUM('Profit &amp; Loss Acc'!F8:H9)</f>
        <v>0</v>
      </c>
      <c r="E14" s="184" t="n">
        <f aca="false">SUM('Profit &amp; Loss Acc'!I8:K9)</f>
        <v>0</v>
      </c>
      <c r="F14" s="184" t="n">
        <f aca="false">SUM('Profit &amp; Loss Acc'!L8:N9)</f>
        <v>0</v>
      </c>
      <c r="G14" s="184" t="n">
        <f aca="false">SUM(C14:F14)</f>
        <v>1380</v>
      </c>
      <c r="H14" s="181"/>
      <c r="I14" s="181"/>
    </row>
    <row r="15" customFormat="false" ht="12.75" hidden="false" customHeight="false" outlineLevel="0" collapsed="false">
      <c r="A15" s="181"/>
      <c r="B15" s="181" t="s">
        <v>154</v>
      </c>
      <c r="C15" s="184" t="n">
        <f aca="false">SUM('Profit &amp; Loss Acc'!C16:E16)</f>
        <v>120</v>
      </c>
      <c r="D15" s="184" t="n">
        <f aca="false">SUM('Profit &amp; Loss Acc'!F16:H16)</f>
        <v>120</v>
      </c>
      <c r="E15" s="184" t="n">
        <f aca="false">SUM('Profit &amp; Loss Acc'!I16:K16)</f>
        <v>120</v>
      </c>
      <c r="F15" s="184" t="n">
        <f aca="false">SUM('Profit &amp; Loss Acc'!L16:N16)</f>
        <v>120</v>
      </c>
      <c r="G15" s="184" t="n">
        <f aca="false">SUM(C15:F15)</f>
        <v>480</v>
      </c>
      <c r="H15" s="181"/>
      <c r="I15" s="181"/>
    </row>
    <row r="16" customFormat="false" ht="12.75" hidden="false" customHeight="false" outlineLevel="0" collapsed="false">
      <c r="A16" s="181"/>
      <c r="B16" s="181" t="s">
        <v>155</v>
      </c>
      <c r="C16" s="184" t="n">
        <f aca="false">SUM('Profit &amp; Loss Acc'!C20:E20)</f>
        <v>0</v>
      </c>
      <c r="D16" s="184" t="n">
        <f aca="false">SUM('Profit &amp; Loss Acc'!F20:H20)</f>
        <v>0</v>
      </c>
      <c r="E16" s="184" t="n">
        <f aca="false">SUM('Profit &amp; Loss Acc'!I20:K20)</f>
        <v>0</v>
      </c>
      <c r="F16" s="184" t="n">
        <f aca="false">SUM('Profit &amp; Loss Acc'!L20:N20)</f>
        <v>0</v>
      </c>
      <c r="G16" s="184" t="n">
        <f aca="false">SUM(C16:F16)</f>
        <v>0</v>
      </c>
      <c r="H16" s="181"/>
      <c r="I16" s="181"/>
    </row>
    <row r="17" customFormat="false" ht="12.75" hidden="false" customHeight="false" outlineLevel="0" collapsed="false">
      <c r="A17" s="181"/>
      <c r="B17" s="181" t="s">
        <v>156</v>
      </c>
      <c r="C17" s="184" t="n">
        <f aca="false">SUM('Profit &amp; Loss Acc'!C6:E7)</f>
        <v>900</v>
      </c>
      <c r="D17" s="184" t="n">
        <f aca="false">SUM('Profit &amp; Loss Acc'!F6:H7)</f>
        <v>900</v>
      </c>
      <c r="E17" s="184" t="n">
        <f aca="false">SUM('Profit &amp; Loss Acc'!I6:K7)</f>
        <v>900</v>
      </c>
      <c r="F17" s="184" t="n">
        <f aca="false">SUM('Profit &amp; Loss Acc'!L6:N7)</f>
        <v>900</v>
      </c>
      <c r="G17" s="184" t="n">
        <f aca="false">SUM(C17:F17)</f>
        <v>3600</v>
      </c>
      <c r="H17" s="181"/>
      <c r="I17" s="181"/>
    </row>
    <row r="18" customFormat="false" ht="12.75" hidden="false" customHeight="false" outlineLevel="0" collapsed="false">
      <c r="A18" s="181"/>
      <c r="B18" s="181" t="s">
        <v>157</v>
      </c>
      <c r="C18" s="184" t="n">
        <f aca="false">SUM('Profit &amp; Loss Acc'!C17:E17)</f>
        <v>0</v>
      </c>
      <c r="D18" s="184" t="n">
        <f aca="false">SUM('Profit &amp; Loss Acc'!F17:H17)</f>
        <v>0</v>
      </c>
      <c r="E18" s="184" t="n">
        <f aca="false">SUM('Profit &amp; Loss Acc'!I17:K17)</f>
        <v>0</v>
      </c>
      <c r="F18" s="184" t="n">
        <f aca="false">SUM('Profit &amp; Loss Acc'!L17:N17)</f>
        <v>0</v>
      </c>
      <c r="G18" s="184" t="n">
        <f aca="false">SUM(C18:F18)</f>
        <v>0</v>
      </c>
      <c r="H18" s="181"/>
      <c r="I18" s="181"/>
    </row>
    <row r="19" customFormat="false" ht="12.75" hidden="false" customHeight="false" outlineLevel="0" collapsed="false">
      <c r="A19" s="181"/>
      <c r="B19" s="181" t="s">
        <v>158</v>
      </c>
      <c r="C19" s="184" t="n">
        <f aca="false">SUM('Profit &amp; Loss Acc'!C18:E18)</f>
        <v>400</v>
      </c>
      <c r="D19" s="184" t="n">
        <f aca="false">SUM('Profit &amp; Loss Acc'!F18:H18)</f>
        <v>0</v>
      </c>
      <c r="E19" s="184" t="n">
        <f aca="false">SUM('Profit &amp; Loss Acc'!I18:K18)</f>
        <v>0</v>
      </c>
      <c r="F19" s="184" t="n">
        <f aca="false">SUM('Profit &amp; Loss Acc'!L18:N18)</f>
        <v>500</v>
      </c>
      <c r="G19" s="184" t="n">
        <f aca="false">SUM(C19:F19)</f>
        <v>900</v>
      </c>
      <c r="H19" s="181"/>
      <c r="I19" s="181"/>
    </row>
    <row r="20" customFormat="false" ht="12.75" hidden="false" customHeight="false" outlineLevel="0" collapsed="false">
      <c r="A20" s="181"/>
      <c r="B20" s="181" t="s">
        <v>159</v>
      </c>
      <c r="C20" s="184" t="n">
        <v>0</v>
      </c>
      <c r="D20" s="184" t="n">
        <v>0</v>
      </c>
      <c r="E20" s="184" t="n">
        <v>0</v>
      </c>
      <c r="F20" s="184" t="n">
        <v>0</v>
      </c>
      <c r="G20" s="184" t="n">
        <f aca="false">SUM(C20:F20)</f>
        <v>0</v>
      </c>
      <c r="H20" s="181" t="s">
        <v>160</v>
      </c>
      <c r="I20" s="181"/>
    </row>
    <row r="21" customFormat="false" ht="12.75" hidden="false" customHeight="false" outlineLevel="0" collapsed="false">
      <c r="A21" s="181"/>
      <c r="B21" s="181" t="s">
        <v>126</v>
      </c>
      <c r="C21" s="184" t="n">
        <f aca="false">SUM('Profit &amp; Loss Acc'!C19:E19)</f>
        <v>0</v>
      </c>
      <c r="D21" s="184" t="n">
        <f aca="false">SUM('Profit &amp; Loss Acc'!F19:H19)</f>
        <v>0</v>
      </c>
      <c r="E21" s="184" t="n">
        <f aca="false">SUM('Profit &amp; Loss Acc'!I19:K19)</f>
        <v>0</v>
      </c>
      <c r="F21" s="184" t="n">
        <f aca="false">SUM('Profit &amp; Loss Acc'!L19:N19)</f>
        <v>0</v>
      </c>
      <c r="G21" s="184" t="n">
        <f aca="false">SUM(C21:F21)</f>
        <v>0</v>
      </c>
      <c r="H21" s="181"/>
      <c r="I21" s="181"/>
    </row>
    <row r="22" customFormat="false" ht="12.75" hidden="false" customHeight="false" outlineLevel="0" collapsed="false">
      <c r="A22" s="181"/>
      <c r="B22" s="181" t="s">
        <v>161</v>
      </c>
      <c r="C22" s="184" t="n">
        <f aca="false">SUM('Profit &amp; Loss Acc'!C21:E21)</f>
        <v>0</v>
      </c>
      <c r="D22" s="184" t="n">
        <f aca="false">SUM('Profit &amp; Loss Acc'!F21:H21)</f>
        <v>0</v>
      </c>
      <c r="E22" s="184" t="n">
        <f aca="false">SUM('Profit &amp; Loss Acc'!I21:K21)</f>
        <v>0</v>
      </c>
      <c r="F22" s="184" t="n">
        <f aca="false">SUM('Profit &amp; Loss Acc'!L21:N21)</f>
        <v>0</v>
      </c>
      <c r="G22" s="184" t="n">
        <f aca="false">SUM(C22:F22)</f>
        <v>0</v>
      </c>
      <c r="H22" s="181"/>
      <c r="I22" s="181"/>
    </row>
    <row r="23" customFormat="false" ht="12.75" hidden="false" customHeight="false" outlineLevel="0" collapsed="false">
      <c r="A23" s="181"/>
      <c r="B23" s="181"/>
      <c r="C23" s="181"/>
      <c r="D23" s="181"/>
      <c r="E23" s="181"/>
      <c r="F23" s="181"/>
      <c r="G23" s="181"/>
      <c r="H23" s="181"/>
      <c r="I23" s="181"/>
    </row>
    <row r="24" customFormat="false" ht="12.75" hidden="false" customHeight="false" outlineLevel="0" collapsed="false">
      <c r="A24" s="181"/>
      <c r="B24" s="181" t="s">
        <v>162</v>
      </c>
      <c r="C24" s="184" t="n">
        <v>0</v>
      </c>
      <c r="D24" s="184" t="n">
        <v>0</v>
      </c>
      <c r="E24" s="184" t="n">
        <v>0</v>
      </c>
      <c r="F24" s="184" t="n">
        <v>0</v>
      </c>
      <c r="G24" s="184" t="n">
        <f aca="false">SUM(C24:F24)</f>
        <v>0</v>
      </c>
      <c r="H24" s="181" t="s">
        <v>160</v>
      </c>
      <c r="I24" s="181"/>
    </row>
    <row r="25" customFormat="false" ht="12.75" hidden="false" customHeight="false" outlineLevel="0" collapsed="false">
      <c r="A25" s="181"/>
      <c r="B25" s="181" t="s">
        <v>163</v>
      </c>
      <c r="C25" s="184" t="n">
        <v>0</v>
      </c>
      <c r="D25" s="184" t="n">
        <v>0</v>
      </c>
      <c r="E25" s="184" t="n">
        <v>0</v>
      </c>
      <c r="F25" s="184" t="n">
        <v>0</v>
      </c>
      <c r="G25" s="184" t="n">
        <f aca="false">SUM(C25:F25)</f>
        <v>0</v>
      </c>
      <c r="H25" s="181" t="s">
        <v>160</v>
      </c>
      <c r="I25" s="181"/>
    </row>
    <row r="26" customFormat="false" ht="12.75" hidden="false" customHeight="false" outlineLevel="0" collapsed="false">
      <c r="A26" s="181"/>
      <c r="B26" s="181" t="s">
        <v>164</v>
      </c>
      <c r="C26" s="184" t="n">
        <f aca="false">SUM('Profit &amp; Loss Acc'!C10:E10)</f>
        <v>280</v>
      </c>
      <c r="D26" s="184" t="n">
        <f aca="false">SUM('Profit &amp; Loss Acc'!F10:H10)</f>
        <v>280</v>
      </c>
      <c r="E26" s="184" t="n">
        <f aca="false">SUM('Profit &amp; Loss Acc'!I10:K10)</f>
        <v>280</v>
      </c>
      <c r="F26" s="184" t="n">
        <f aca="false">SUM('Profit &amp; Loss Acc'!L10:N10)</f>
        <v>280</v>
      </c>
      <c r="G26" s="184" t="n">
        <f aca="false">SUM(C26:F26)</f>
        <v>1120</v>
      </c>
      <c r="H26" s="181"/>
      <c r="I26" s="181"/>
    </row>
    <row r="27" customFormat="false" ht="12.75" hidden="false" customHeight="false" outlineLevel="0" collapsed="false">
      <c r="A27" s="181"/>
      <c r="B27" s="181"/>
      <c r="C27" s="181"/>
      <c r="D27" s="181"/>
      <c r="E27" s="181"/>
      <c r="F27" s="181"/>
      <c r="G27" s="181"/>
      <c r="H27" s="181"/>
      <c r="I27" s="181"/>
    </row>
    <row r="28" customFormat="false" ht="12.75" hidden="false" customHeight="false" outlineLevel="0" collapsed="false">
      <c r="A28" s="181"/>
      <c r="B28" s="181"/>
      <c r="C28" s="181"/>
      <c r="D28" s="181"/>
      <c r="E28" s="181"/>
      <c r="F28" s="181"/>
      <c r="G28" s="181"/>
      <c r="H28" s="181"/>
      <c r="I28" s="181"/>
    </row>
    <row r="29" customFormat="false" ht="12.75" hidden="false" customHeight="false" outlineLevel="0" collapsed="false">
      <c r="A29" s="181"/>
      <c r="B29" s="185" t="s">
        <v>165</v>
      </c>
      <c r="C29" s="186" t="n">
        <f aca="false">SUM(C7,C12,C13,C14,C15,C16,C17,C18,C19,C20,C21,C22,C24,C25,C26)</f>
        <v>3080</v>
      </c>
      <c r="D29" s="186" t="n">
        <f aca="false">SUM(D7,D12,D13,D14,D15,D16,D17,D18,D19,D20,D21,D22,D24,D25,D26)</f>
        <v>1300</v>
      </c>
      <c r="E29" s="186" t="n">
        <f aca="false">SUM(E7,E12,E13,E14,E15,E16,E17,E18,E19,E20,E21,E22,E24,E25,E26)</f>
        <v>1300</v>
      </c>
      <c r="F29" s="186" t="n">
        <f aca="false">SUM(F7,F12,F13,F14,F15,F16,F17,F18,F19,F20,F21,F22,F24,F25,F26)</f>
        <v>1800</v>
      </c>
      <c r="G29" s="186" t="n">
        <f aca="false">SUM(G7,G12,G13,G14,G15,G16,G17,G18,G19,G20,G21,G22,G24,G25,G26)</f>
        <v>7480</v>
      </c>
      <c r="H29" s="187"/>
      <c r="I29" s="181"/>
    </row>
    <row r="30" customFormat="false" ht="12.75" hidden="false" customHeight="false" outlineLevel="0" collapsed="false">
      <c r="A30" s="181"/>
      <c r="B30" s="181"/>
      <c r="C30" s="181"/>
      <c r="D30" s="181"/>
      <c r="E30" s="181"/>
      <c r="F30" s="181"/>
      <c r="G30" s="181"/>
      <c r="H30" s="181"/>
      <c r="I30" s="181"/>
    </row>
    <row r="31" customFormat="false" ht="12.75" hidden="false" customHeight="false" outlineLevel="0" collapsed="false">
      <c r="A31" s="181"/>
      <c r="B31" s="181"/>
      <c r="C31" s="181"/>
      <c r="D31" s="181"/>
      <c r="E31" s="181"/>
      <c r="F31" s="181"/>
      <c r="G31" s="181"/>
      <c r="H31" s="181"/>
      <c r="I31" s="181"/>
    </row>
    <row r="32" customFormat="false" ht="12.75" hidden="false" customHeight="false" outlineLevel="0" collapsed="false">
      <c r="A32" s="181"/>
      <c r="B32" s="181"/>
      <c r="C32" s="181"/>
      <c r="D32" s="181"/>
      <c r="E32" s="181"/>
      <c r="F32" s="181"/>
      <c r="G32" s="181"/>
      <c r="H32" s="181"/>
      <c r="I32" s="181"/>
    </row>
    <row r="33" customFormat="false" ht="12.75" hidden="false" customHeight="false" outlineLevel="0" collapsed="false">
      <c r="A33" s="181"/>
      <c r="B33" s="181"/>
      <c r="C33" s="181"/>
      <c r="D33" s="181"/>
      <c r="E33" s="181"/>
      <c r="F33" s="181"/>
      <c r="G33" s="181"/>
      <c r="H33" s="181"/>
      <c r="I33" s="181"/>
    </row>
    <row r="34" customFormat="false" ht="12.75" hidden="false" customHeight="false" outlineLevel="0" collapsed="false">
      <c r="A34" s="181"/>
      <c r="B34" s="185" t="s">
        <v>166</v>
      </c>
      <c r="C34" s="181"/>
      <c r="D34" s="181"/>
      <c r="E34" s="181"/>
      <c r="F34" s="181"/>
      <c r="G34" s="181"/>
      <c r="H34" s="181"/>
      <c r="I34" s="181"/>
    </row>
    <row r="35" customFormat="false" ht="12.75" hidden="false" customHeight="false" outlineLevel="0" collapsed="false">
      <c r="A35" s="181"/>
      <c r="B35" s="181"/>
      <c r="C35" s="181"/>
      <c r="D35" s="181"/>
      <c r="E35" s="181"/>
      <c r="F35" s="181"/>
      <c r="G35" s="181"/>
      <c r="H35" s="181"/>
      <c r="I35" s="181"/>
    </row>
    <row r="36" customFormat="false" ht="12.75" hidden="false" customHeight="false" outlineLevel="0" collapsed="false">
      <c r="A36" s="181"/>
      <c r="B36" s="181" t="s">
        <v>149</v>
      </c>
      <c r="C36" s="184" t="n">
        <v>0</v>
      </c>
      <c r="D36" s="184" t="n">
        <v>0</v>
      </c>
      <c r="E36" s="184" t="n">
        <v>0</v>
      </c>
      <c r="F36" s="184" t="n">
        <v>0</v>
      </c>
      <c r="G36" s="184" t="n">
        <f aca="false">SUM(C36:F36)</f>
        <v>0</v>
      </c>
      <c r="H36" s="181" t="s">
        <v>160</v>
      </c>
      <c r="I36" s="181"/>
    </row>
    <row r="37" customFormat="false" ht="12.75" hidden="false" customHeight="false" outlineLevel="0" collapsed="false">
      <c r="A37" s="181"/>
      <c r="B37" s="181" t="s">
        <v>162</v>
      </c>
      <c r="C37" s="184" t="n">
        <v>0</v>
      </c>
      <c r="D37" s="184" t="n">
        <v>0</v>
      </c>
      <c r="E37" s="184" t="n">
        <v>0</v>
      </c>
      <c r="F37" s="184" t="n">
        <v>0</v>
      </c>
      <c r="G37" s="184" t="n">
        <f aca="false">SUM(C37:F37)</f>
        <v>0</v>
      </c>
      <c r="H37" s="181" t="s">
        <v>160</v>
      </c>
      <c r="I37" s="181"/>
    </row>
    <row r="38" customFormat="false" ht="12.75" hidden="false" customHeight="false" outlineLevel="0" collapsed="false">
      <c r="A38" s="181"/>
      <c r="B38" s="181" t="s">
        <v>151</v>
      </c>
      <c r="C38" s="184" t="n">
        <v>0</v>
      </c>
      <c r="D38" s="184" t="n">
        <v>0</v>
      </c>
      <c r="E38" s="184" t="n">
        <v>0</v>
      </c>
      <c r="F38" s="184" t="n">
        <v>0</v>
      </c>
      <c r="G38" s="184" t="n">
        <f aca="false">SUM(C38:F38)</f>
        <v>0</v>
      </c>
      <c r="H38" s="181" t="s">
        <v>160</v>
      </c>
      <c r="I38" s="181"/>
    </row>
    <row r="39" customFormat="false" ht="12.75" hidden="false" customHeight="false" outlineLevel="0" collapsed="false">
      <c r="A39" s="181"/>
      <c r="B39" s="181" t="s">
        <v>167</v>
      </c>
      <c r="C39" s="184" t="n">
        <v>0</v>
      </c>
      <c r="D39" s="184" t="n">
        <v>0</v>
      </c>
      <c r="E39" s="184" t="n">
        <v>0</v>
      </c>
      <c r="F39" s="184" t="n">
        <v>0</v>
      </c>
      <c r="G39" s="184" t="n">
        <f aca="false">SUM(C39:F39)</f>
        <v>0</v>
      </c>
      <c r="H39" s="181" t="s">
        <v>160</v>
      </c>
      <c r="I39" s="181"/>
    </row>
    <row r="40" customFormat="false" ht="12.75" hidden="false" customHeight="false" outlineLevel="0" collapsed="false">
      <c r="A40" s="181"/>
      <c r="B40" s="181" t="s">
        <v>152</v>
      </c>
      <c r="C40" s="184" t="n">
        <v>0</v>
      </c>
      <c r="D40" s="184" t="n">
        <v>0</v>
      </c>
      <c r="E40" s="184" t="n">
        <v>0</v>
      </c>
      <c r="F40" s="184" t="n">
        <v>0</v>
      </c>
      <c r="G40" s="184" t="n">
        <f aca="false">SUM(C40:F40)</f>
        <v>0</v>
      </c>
      <c r="H40" s="181" t="s">
        <v>160</v>
      </c>
      <c r="I40" s="181"/>
    </row>
    <row r="41" customFormat="false" ht="12.75" hidden="false" customHeight="false" outlineLevel="0" collapsed="false">
      <c r="A41" s="181"/>
      <c r="B41" s="181" t="s">
        <v>153</v>
      </c>
      <c r="C41" s="184" t="n">
        <v>0</v>
      </c>
      <c r="D41" s="184" t="n">
        <v>0</v>
      </c>
      <c r="E41" s="184" t="n">
        <v>0</v>
      </c>
      <c r="F41" s="184" t="n">
        <v>0</v>
      </c>
      <c r="G41" s="184" t="n">
        <f aca="false">SUM(C41:F41)</f>
        <v>0</v>
      </c>
      <c r="H41" s="181" t="s">
        <v>160</v>
      </c>
      <c r="I41" s="181"/>
    </row>
    <row r="42" customFormat="false" ht="12.75" hidden="false" customHeight="false" outlineLevel="0" collapsed="false">
      <c r="A42" s="181"/>
      <c r="B42" s="181" t="s">
        <v>154</v>
      </c>
      <c r="C42" s="184" t="n">
        <v>0</v>
      </c>
      <c r="D42" s="184" t="n">
        <v>0</v>
      </c>
      <c r="E42" s="184" t="n">
        <v>0</v>
      </c>
      <c r="F42" s="184" t="n">
        <v>0</v>
      </c>
      <c r="G42" s="184" t="n">
        <f aca="false">SUM(C42:F42)</f>
        <v>0</v>
      </c>
      <c r="H42" s="181" t="s">
        <v>160</v>
      </c>
      <c r="I42" s="181"/>
    </row>
    <row r="43" customFormat="false" ht="12.75" hidden="false" customHeight="false" outlineLevel="0" collapsed="false">
      <c r="A43" s="181"/>
      <c r="B43" s="181" t="s">
        <v>157</v>
      </c>
      <c r="C43" s="184" t="n">
        <v>0</v>
      </c>
      <c r="D43" s="184" t="n">
        <v>0</v>
      </c>
      <c r="E43" s="184" t="n">
        <v>0</v>
      </c>
      <c r="F43" s="184" t="n">
        <v>0</v>
      </c>
      <c r="G43" s="184" t="n">
        <f aca="false">SUM(C43:F43)</f>
        <v>0</v>
      </c>
      <c r="H43" s="181" t="s">
        <v>160</v>
      </c>
      <c r="I43" s="181"/>
    </row>
    <row r="44" customFormat="false" ht="12.75" hidden="false" customHeight="false" outlineLevel="0" collapsed="false">
      <c r="A44" s="181"/>
      <c r="B44" s="181" t="s">
        <v>163</v>
      </c>
      <c r="C44" s="184" t="n">
        <v>0</v>
      </c>
      <c r="D44" s="184" t="n">
        <v>0</v>
      </c>
      <c r="E44" s="184" t="n">
        <v>0</v>
      </c>
      <c r="F44" s="184" t="n">
        <v>0</v>
      </c>
      <c r="G44" s="184" t="n">
        <f aca="false">SUM(C44:F44)</f>
        <v>0</v>
      </c>
      <c r="H44" s="181" t="s">
        <v>160</v>
      </c>
      <c r="I44" s="181"/>
    </row>
    <row r="45" customFormat="false" ht="12.75" hidden="false" customHeight="false" outlineLevel="0" collapsed="false">
      <c r="A45" s="181"/>
      <c r="B45" s="181" t="s">
        <v>126</v>
      </c>
      <c r="C45" s="184" t="n">
        <v>0</v>
      </c>
      <c r="D45" s="184" t="n">
        <v>0</v>
      </c>
      <c r="E45" s="184" t="n">
        <v>0</v>
      </c>
      <c r="F45" s="184" t="n">
        <v>0</v>
      </c>
      <c r="G45" s="184" t="n">
        <f aca="false">SUM(C45:F45)</f>
        <v>0</v>
      </c>
      <c r="H45" s="181" t="s">
        <v>160</v>
      </c>
      <c r="I45" s="181"/>
    </row>
    <row r="46" customFormat="false" ht="12.75" hidden="false" customHeight="false" outlineLevel="0" collapsed="false">
      <c r="A46" s="181"/>
      <c r="B46" s="181" t="s">
        <v>168</v>
      </c>
      <c r="C46" s="184" t="n">
        <v>0</v>
      </c>
      <c r="D46" s="184" t="n">
        <v>0</v>
      </c>
      <c r="E46" s="184" t="n">
        <v>0</v>
      </c>
      <c r="F46" s="184" t="n">
        <v>0</v>
      </c>
      <c r="G46" s="184" t="n">
        <f aca="false">SUM(C46:F46)</f>
        <v>0</v>
      </c>
      <c r="H46" s="181" t="s">
        <v>160</v>
      </c>
      <c r="I46" s="181"/>
    </row>
    <row r="47" customFormat="false" ht="12.75" hidden="false" customHeight="false" outlineLevel="0" collapsed="false">
      <c r="A47" s="181"/>
      <c r="B47" s="181" t="s">
        <v>169</v>
      </c>
      <c r="C47" s="184" t="n">
        <v>0</v>
      </c>
      <c r="D47" s="184" t="n">
        <v>0</v>
      </c>
      <c r="E47" s="184" t="n">
        <v>0</v>
      </c>
      <c r="F47" s="184" t="n">
        <v>0</v>
      </c>
      <c r="G47" s="184" t="n">
        <f aca="false">SUM(C47:F47)</f>
        <v>0</v>
      </c>
      <c r="H47" s="181" t="s">
        <v>160</v>
      </c>
      <c r="I47" s="181"/>
    </row>
    <row r="48" customFormat="false" ht="12.75" hidden="false" customHeight="false" outlineLevel="0" collapsed="false">
      <c r="A48" s="181"/>
      <c r="B48" s="181" t="s">
        <v>158</v>
      </c>
      <c r="C48" s="184" t="n">
        <v>0</v>
      </c>
      <c r="D48" s="184" t="n">
        <v>0</v>
      </c>
      <c r="E48" s="184" t="n">
        <v>0</v>
      </c>
      <c r="F48" s="184" t="n">
        <v>0</v>
      </c>
      <c r="G48" s="184" t="n">
        <f aca="false">SUM(C48:F48)</f>
        <v>0</v>
      </c>
      <c r="H48" s="181" t="s">
        <v>160</v>
      </c>
      <c r="I48" s="181"/>
    </row>
    <row r="49" customFormat="false" ht="12.75" hidden="false" customHeight="false" outlineLevel="0" collapsed="false">
      <c r="A49" s="181"/>
      <c r="B49" s="181" t="s">
        <v>164</v>
      </c>
      <c r="C49" s="184" t="n">
        <v>0</v>
      </c>
      <c r="D49" s="184" t="n">
        <v>0</v>
      </c>
      <c r="E49" s="184" t="n">
        <v>0</v>
      </c>
      <c r="F49" s="184" t="n">
        <v>0</v>
      </c>
      <c r="G49" s="184" t="n">
        <f aca="false">SUM(C49:F49)</f>
        <v>0</v>
      </c>
      <c r="H49" s="181" t="s">
        <v>160</v>
      </c>
      <c r="I49" s="181"/>
    </row>
    <row r="50" customFormat="false" ht="12.75" hidden="false" customHeight="false" outlineLevel="0" collapsed="false">
      <c r="A50" s="181"/>
      <c r="B50" s="181" t="s">
        <v>161</v>
      </c>
      <c r="C50" s="184" t="n">
        <v>0</v>
      </c>
      <c r="D50" s="184" t="n">
        <v>0</v>
      </c>
      <c r="E50" s="184" t="n">
        <v>0</v>
      </c>
      <c r="F50" s="184" t="n">
        <v>0</v>
      </c>
      <c r="G50" s="184" t="n">
        <f aca="false">SUM(C50:F50)</f>
        <v>0</v>
      </c>
      <c r="H50" s="181" t="s">
        <v>160</v>
      </c>
      <c r="I50" s="181"/>
    </row>
    <row r="51" customFormat="false" ht="12.75" hidden="false" customHeight="false" outlineLevel="0" collapsed="false">
      <c r="A51" s="181"/>
      <c r="B51" s="181"/>
      <c r="C51" s="181"/>
      <c r="D51" s="181"/>
      <c r="E51" s="181"/>
      <c r="F51" s="181"/>
      <c r="G51" s="181"/>
      <c r="H51" s="181"/>
      <c r="I51" s="181"/>
    </row>
    <row r="52" customFormat="false" ht="12.75" hidden="false" customHeight="false" outlineLevel="0" collapsed="false">
      <c r="A52" s="188"/>
    </row>
  </sheetData>
  <mergeCells count="7">
    <mergeCell ref="B2:B3"/>
    <mergeCell ref="C2:C3"/>
    <mergeCell ref="D2:D3"/>
    <mergeCell ref="E2:E3"/>
    <mergeCell ref="F2:F3"/>
    <mergeCell ref="G2:G3"/>
    <mergeCell ref="H2:H3"/>
  </mergeCells>
  <printOptions headings="false" gridLines="true" gridLinesSet="true" horizontalCentered="false" verticalCentered="false"/>
  <pageMargins left="0.275694444444444" right="0.472222222222222" top="0.747916666666667" bottom="0.786805555555556" header="0.275694444444444" footer="0.354166666666667"/>
  <pageSetup paperSize="9" scale="100" fitToWidth="1" fitToHeight="1" pageOrder="downThenOver" orientation="landscape" blackAndWhite="false" draft="false" cellComments="none" horizontalDpi="300" verticalDpi="300" copies="1"/>
  <headerFooter differentFirst="false" differentOddEven="false">
    <oddHeader>&amp;C&amp;"Arial,Bold"&amp;11Financial accounts for the period
6 April 2020 to 5 April 2021</oddHeader>
    <oddFooter>&amp;L&amp;D  &amp;T&amp;C&amp;P  of  &amp;N&amp;R&amp;F  &amp;A</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customHeight="false" zeroHeight="false" outlineLevelRow="0" outlineLevelCol="0"/>
  <cols>
    <col collapsed="false" customWidth="true" hidden="false" outlineLevel="0" max="1" min="1" style="189" width="8.49"/>
    <col collapsed="false" customWidth="true" hidden="false" outlineLevel="0" max="2" min="2" style="164" width="26.82"/>
    <col collapsed="false" customWidth="true" hidden="false" outlineLevel="0" max="3" min="3" style="164" width="19.66"/>
    <col collapsed="false" customWidth="true" hidden="false" outlineLevel="0" max="4" min="4" style="190" width="10.82"/>
    <col collapsed="false" customWidth="true" hidden="false" outlineLevel="0" max="5" min="5" style="190" width="1.32"/>
    <col collapsed="false" customWidth="true" hidden="false" outlineLevel="0" max="6" min="6" style="191" width="6.99"/>
    <col collapsed="false" customWidth="true" hidden="false" outlineLevel="0" max="7" min="7" style="192" width="1.32"/>
    <col collapsed="false" customWidth="true" hidden="false" outlineLevel="0" max="8" min="8" style="190" width="8.49"/>
    <col collapsed="false" customWidth="true" hidden="false" outlineLevel="0" max="9" min="9" style="193" width="8.66"/>
    <col collapsed="false" customWidth="false" hidden="false" outlineLevel="0" max="10" min="10" style="193" width="9.15"/>
    <col collapsed="false" customWidth="true" hidden="false" outlineLevel="0" max="11" min="11" style="193" width="8.49"/>
    <col collapsed="false" customWidth="true" hidden="false" outlineLevel="0" max="12" min="12" style="192" width="1.32"/>
    <col collapsed="false" customWidth="true" hidden="false" outlineLevel="0" max="13" min="13" style="189" width="8.66"/>
    <col collapsed="false" customWidth="true" hidden="false" outlineLevel="0" max="14" min="14" style="190" width="8.66"/>
    <col collapsed="false" customWidth="true" hidden="false" outlineLevel="0" max="15" min="15" style="192" width="1.32"/>
    <col collapsed="false" customWidth="true" hidden="false" outlineLevel="0" max="17" min="16" style="193" width="8.66"/>
    <col collapsed="false" customWidth="false" hidden="false" outlineLevel="0" max="257" min="18" style="164" width="9.15"/>
  </cols>
  <sheetData>
    <row r="1" customFormat="false" ht="13.5" hidden="false" customHeight="true" outlineLevel="0" collapsed="false">
      <c r="A1" s="194" t="s">
        <v>170</v>
      </c>
      <c r="B1" s="195" t="s">
        <v>171</v>
      </c>
      <c r="C1" s="196" t="n">
        <f aca="false">Admin!B17</f>
        <v>46482</v>
      </c>
      <c r="D1" s="197" t="n">
        <f aca="false">D33+D62</f>
        <v>8000</v>
      </c>
      <c r="E1" s="198"/>
      <c r="F1" s="199" t="s">
        <v>172</v>
      </c>
      <c r="G1" s="200"/>
      <c r="H1" s="201" t="n">
        <f aca="false">H33+H62</f>
        <v>0</v>
      </c>
      <c r="I1" s="201" t="n">
        <f aca="false">I33+I62</f>
        <v>0</v>
      </c>
      <c r="J1" s="201" t="n">
        <f aca="false">J33+J62</f>
        <v>1120</v>
      </c>
      <c r="K1" s="201" t="n">
        <f aca="false">K33+K62</f>
        <v>6880</v>
      </c>
      <c r="L1" s="200"/>
      <c r="M1" s="202" t="s">
        <v>173</v>
      </c>
      <c r="N1" s="201" t="n">
        <f aca="false">N33+N62</f>
        <v>0</v>
      </c>
      <c r="O1" s="200"/>
      <c r="P1" s="201" t="n">
        <f aca="false">P33+P62</f>
        <v>0</v>
      </c>
      <c r="Q1" s="201" t="n">
        <f aca="false">Q33+Q62</f>
        <v>0</v>
      </c>
      <c r="R1" s="203"/>
      <c r="S1" s="203"/>
      <c r="T1" s="203"/>
      <c r="U1" s="203"/>
      <c r="V1" s="203"/>
      <c r="W1" s="203"/>
      <c r="X1" s="203"/>
      <c r="Y1" s="203"/>
      <c r="Z1" s="203"/>
      <c r="AA1" s="203"/>
      <c r="AB1" s="203"/>
      <c r="AC1" s="203"/>
      <c r="AD1" s="203"/>
      <c r="AE1" s="203"/>
      <c r="AF1" s="203"/>
      <c r="AG1" s="203"/>
      <c r="AH1" s="203"/>
      <c r="AI1" s="203"/>
      <c r="AJ1" s="203"/>
      <c r="AK1" s="203"/>
      <c r="AL1" s="203"/>
      <c r="AM1" s="203"/>
      <c r="AN1" s="203"/>
      <c r="AO1" s="203"/>
      <c r="AP1" s="203"/>
      <c r="AQ1" s="203"/>
      <c r="AR1" s="203"/>
      <c r="AS1" s="203"/>
      <c r="AT1" s="203"/>
      <c r="AU1" s="203"/>
      <c r="AV1" s="203"/>
      <c r="AW1" s="203"/>
      <c r="AX1" s="203"/>
      <c r="AY1" s="203"/>
      <c r="AZ1" s="203"/>
      <c r="BA1" s="203"/>
      <c r="BB1" s="203"/>
      <c r="BC1" s="203"/>
      <c r="BD1" s="203"/>
      <c r="BE1" s="203"/>
      <c r="BF1" s="203"/>
      <c r="BG1" s="203"/>
      <c r="BH1" s="203"/>
      <c r="BI1" s="203"/>
      <c r="BJ1" s="203"/>
      <c r="BK1" s="203"/>
      <c r="BL1" s="203"/>
      <c r="BM1" s="203"/>
      <c r="BN1" s="203"/>
      <c r="BO1" s="203"/>
      <c r="BP1" s="203"/>
      <c r="BQ1" s="203"/>
      <c r="BR1" s="203"/>
      <c r="BS1" s="203"/>
      <c r="BT1" s="203"/>
      <c r="BU1" s="203"/>
      <c r="BV1" s="203"/>
      <c r="BW1" s="203"/>
      <c r="BX1" s="203"/>
      <c r="BY1" s="203"/>
      <c r="BZ1" s="203"/>
      <c r="CA1" s="203"/>
      <c r="CB1" s="203"/>
      <c r="CC1" s="203"/>
      <c r="CD1" s="203"/>
      <c r="CE1" s="203"/>
      <c r="CF1" s="203"/>
      <c r="CG1" s="203"/>
      <c r="CH1" s="203"/>
      <c r="CI1" s="203"/>
      <c r="CJ1" s="203"/>
      <c r="CK1" s="203"/>
      <c r="CL1" s="203"/>
      <c r="CM1" s="203"/>
      <c r="CN1" s="203"/>
      <c r="CO1" s="203"/>
      <c r="CP1" s="203"/>
      <c r="CQ1" s="203"/>
      <c r="CR1" s="203"/>
      <c r="CS1" s="203"/>
      <c r="CT1" s="203"/>
      <c r="CU1" s="203"/>
      <c r="CV1" s="203"/>
      <c r="CW1" s="203"/>
      <c r="CX1" s="203"/>
      <c r="CY1" s="203"/>
      <c r="CZ1" s="203"/>
      <c r="DA1" s="203"/>
      <c r="DB1" s="203"/>
      <c r="DC1" s="203"/>
      <c r="DD1" s="203"/>
      <c r="DE1" s="203"/>
      <c r="DF1" s="203"/>
      <c r="DG1" s="203"/>
      <c r="DH1" s="203"/>
      <c r="DI1" s="203"/>
      <c r="DJ1" s="203"/>
      <c r="DK1" s="203"/>
      <c r="DL1" s="203"/>
      <c r="DM1" s="203"/>
      <c r="DN1" s="203"/>
      <c r="DO1" s="203"/>
      <c r="DP1" s="203"/>
      <c r="DQ1" s="203"/>
      <c r="DR1" s="203"/>
      <c r="DS1" s="203"/>
      <c r="DT1" s="203"/>
      <c r="DU1" s="203"/>
      <c r="DV1" s="203"/>
      <c r="DW1" s="203"/>
      <c r="DX1" s="203"/>
      <c r="DY1" s="203"/>
      <c r="DZ1" s="203"/>
      <c r="EA1" s="203"/>
      <c r="EB1" s="203"/>
      <c r="EC1" s="203"/>
      <c r="ED1" s="203"/>
      <c r="EE1" s="203"/>
      <c r="EF1" s="203"/>
      <c r="EG1" s="203"/>
      <c r="EH1" s="203"/>
      <c r="EI1" s="203"/>
      <c r="EJ1" s="203"/>
      <c r="EK1" s="203"/>
      <c r="EL1" s="203"/>
      <c r="EM1" s="203"/>
      <c r="EN1" s="203"/>
      <c r="EO1" s="203"/>
      <c r="EP1" s="203"/>
      <c r="EQ1" s="203"/>
      <c r="ER1" s="203"/>
      <c r="ES1" s="203"/>
      <c r="ET1" s="203"/>
      <c r="EU1" s="203"/>
      <c r="EV1" s="203"/>
      <c r="EW1" s="203"/>
      <c r="EX1" s="203"/>
      <c r="EY1" s="203"/>
      <c r="EZ1" s="203"/>
      <c r="FA1" s="203"/>
      <c r="FB1" s="203"/>
      <c r="FC1" s="203"/>
      <c r="FD1" s="203"/>
      <c r="FE1" s="203"/>
      <c r="FF1" s="203"/>
      <c r="FG1" s="203"/>
      <c r="FH1" s="203"/>
      <c r="FI1" s="203"/>
      <c r="FJ1" s="203"/>
      <c r="FK1" s="203"/>
      <c r="FL1" s="203"/>
      <c r="FM1" s="203"/>
      <c r="FN1" s="203"/>
      <c r="FO1" s="203"/>
      <c r="FP1" s="203"/>
      <c r="FQ1" s="203"/>
      <c r="FR1" s="203"/>
      <c r="FS1" s="203"/>
      <c r="FT1" s="203"/>
      <c r="FU1" s="203"/>
      <c r="FV1" s="203"/>
      <c r="FW1" s="203"/>
      <c r="FX1" s="203"/>
      <c r="FY1" s="203"/>
      <c r="FZ1" s="203"/>
      <c r="GA1" s="203"/>
      <c r="GB1" s="203"/>
      <c r="GC1" s="203"/>
      <c r="GD1" s="203"/>
      <c r="GE1" s="203"/>
      <c r="GF1" s="203"/>
      <c r="GG1" s="203"/>
      <c r="GH1" s="203"/>
      <c r="GI1" s="203"/>
      <c r="GJ1" s="203"/>
      <c r="GK1" s="203"/>
      <c r="GL1" s="203"/>
      <c r="GM1" s="203"/>
      <c r="GN1" s="203"/>
      <c r="GO1" s="203"/>
      <c r="GP1" s="203"/>
      <c r="GQ1" s="203"/>
      <c r="GR1" s="203"/>
      <c r="GS1" s="203"/>
      <c r="GT1" s="203"/>
      <c r="GU1" s="203"/>
      <c r="GV1" s="203"/>
      <c r="GW1" s="203"/>
      <c r="GX1" s="203"/>
      <c r="GY1" s="203"/>
      <c r="GZ1" s="203"/>
      <c r="HA1" s="203"/>
      <c r="HB1" s="203"/>
      <c r="HC1" s="203"/>
      <c r="HD1" s="203"/>
      <c r="HE1" s="203"/>
      <c r="HF1" s="203"/>
      <c r="HG1" s="203"/>
      <c r="HH1" s="203"/>
      <c r="HI1" s="203"/>
      <c r="HJ1" s="203"/>
      <c r="HK1" s="203"/>
      <c r="HL1" s="203"/>
      <c r="HM1" s="203"/>
      <c r="HN1" s="203"/>
      <c r="HO1" s="203"/>
      <c r="HP1" s="203"/>
      <c r="HQ1" s="203"/>
      <c r="HR1" s="203"/>
      <c r="HS1" s="203"/>
      <c r="HT1" s="203"/>
      <c r="HU1" s="203"/>
      <c r="HV1" s="203"/>
      <c r="HW1" s="203"/>
      <c r="HX1" s="203"/>
      <c r="HY1" s="203"/>
      <c r="HZ1" s="203"/>
      <c r="IA1" s="203"/>
      <c r="IB1" s="203"/>
      <c r="IC1" s="203"/>
      <c r="ID1" s="203"/>
      <c r="IE1" s="203"/>
      <c r="IF1" s="203"/>
      <c r="IG1" s="203"/>
      <c r="IH1" s="203"/>
      <c r="II1" s="203"/>
      <c r="IJ1" s="203"/>
      <c r="IK1" s="203"/>
      <c r="IL1" s="203"/>
      <c r="IM1" s="203"/>
      <c r="IN1" s="203"/>
      <c r="IO1" s="203"/>
      <c r="IP1" s="203"/>
      <c r="IQ1" s="203"/>
      <c r="IR1" s="203"/>
      <c r="IS1" s="203"/>
      <c r="IT1" s="203"/>
      <c r="IU1" s="203"/>
      <c r="IV1" s="203"/>
      <c r="IW1" s="203"/>
    </row>
    <row r="2" customFormat="false" ht="12" hidden="false" customHeight="true" outlineLevel="0" collapsed="false">
      <c r="A2" s="194"/>
      <c r="B2" s="204" t="s">
        <v>174</v>
      </c>
      <c r="C2" s="205" t="s">
        <v>175</v>
      </c>
      <c r="D2" s="206" t="s">
        <v>176</v>
      </c>
      <c r="E2" s="198"/>
      <c r="F2" s="199"/>
      <c r="G2" s="200"/>
      <c r="H2" s="206" t="s">
        <v>177</v>
      </c>
      <c r="I2" s="206" t="s">
        <v>73</v>
      </c>
      <c r="J2" s="206" t="s">
        <v>178</v>
      </c>
      <c r="K2" s="206" t="s">
        <v>177</v>
      </c>
      <c r="L2" s="200"/>
      <c r="M2" s="202"/>
      <c r="N2" s="206" t="s">
        <v>179</v>
      </c>
      <c r="O2" s="200"/>
      <c r="P2" s="206" t="s">
        <v>180</v>
      </c>
      <c r="Q2" s="206" t="s">
        <v>181</v>
      </c>
    </row>
    <row r="3" customFormat="false" ht="24.75" hidden="false" customHeight="true" outlineLevel="0" collapsed="false">
      <c r="A3" s="194"/>
      <c r="B3" s="204"/>
      <c r="C3" s="204"/>
      <c r="D3" s="206"/>
      <c r="E3" s="198"/>
      <c r="F3" s="199"/>
      <c r="G3" s="200"/>
      <c r="H3" s="206"/>
      <c r="I3" s="206"/>
      <c r="J3" s="206"/>
      <c r="K3" s="206"/>
      <c r="L3" s="200"/>
      <c r="M3" s="202"/>
      <c r="N3" s="206"/>
      <c r="O3" s="200"/>
      <c r="P3" s="206"/>
      <c r="Q3" s="206"/>
    </row>
    <row r="4" customFormat="false" ht="12" hidden="false" customHeight="true" outlineLevel="0" collapsed="false">
      <c r="A4" s="194"/>
      <c r="B4" s="204"/>
      <c r="C4" s="204"/>
      <c r="D4" s="206"/>
      <c r="E4" s="198"/>
      <c r="F4" s="199"/>
      <c r="G4" s="200"/>
      <c r="H4" s="207" t="n">
        <f aca="false">Admin!B$4</f>
        <v>46118</v>
      </c>
      <c r="I4" s="208" t="n">
        <f aca="false">Admin!G$4</f>
        <v>1</v>
      </c>
      <c r="J4" s="208" t="n">
        <f aca="false">Admin!G$5</f>
        <v>0.14</v>
      </c>
      <c r="K4" s="207" t="n">
        <f aca="false">Admin!B$17</f>
        <v>46482</v>
      </c>
      <c r="L4" s="200"/>
      <c r="M4" s="202"/>
      <c r="N4" s="206"/>
      <c r="O4" s="200"/>
      <c r="P4" s="206"/>
      <c r="Q4" s="206"/>
      <c r="R4" s="209"/>
      <c r="S4" s="209"/>
      <c r="T4" s="209"/>
      <c r="U4" s="209"/>
      <c r="V4" s="209"/>
      <c r="W4" s="209"/>
      <c r="X4" s="209"/>
      <c r="Y4" s="209"/>
      <c r="Z4" s="209"/>
      <c r="AA4" s="209"/>
      <c r="AB4" s="209"/>
      <c r="AC4" s="209"/>
      <c r="AD4" s="209"/>
      <c r="AE4" s="209"/>
      <c r="AF4" s="209"/>
      <c r="AG4" s="209"/>
      <c r="AH4" s="209"/>
      <c r="AI4" s="209"/>
      <c r="AJ4" s="209"/>
      <c r="AK4" s="209"/>
      <c r="AL4" s="209"/>
      <c r="AM4" s="209"/>
      <c r="AN4" s="209"/>
      <c r="AO4" s="209"/>
      <c r="AP4" s="209"/>
      <c r="AQ4" s="209"/>
      <c r="AR4" s="209"/>
      <c r="AS4" s="209"/>
      <c r="AT4" s="209"/>
      <c r="AU4" s="209"/>
      <c r="AV4" s="209"/>
      <c r="AW4" s="209"/>
      <c r="AX4" s="209"/>
      <c r="AY4" s="209"/>
      <c r="AZ4" s="209"/>
      <c r="BA4" s="209"/>
      <c r="BB4" s="209"/>
      <c r="BC4" s="209"/>
      <c r="BD4" s="209"/>
      <c r="BE4" s="209"/>
      <c r="BF4" s="209"/>
      <c r="BG4" s="209"/>
      <c r="BH4" s="209"/>
      <c r="BI4" s="209"/>
      <c r="BJ4" s="209"/>
      <c r="BK4" s="209"/>
      <c r="BL4" s="209"/>
      <c r="BM4" s="209"/>
      <c r="BN4" s="209"/>
      <c r="BO4" s="209"/>
      <c r="BP4" s="209"/>
      <c r="BQ4" s="209"/>
      <c r="BR4" s="209"/>
      <c r="BS4" s="209"/>
      <c r="BT4" s="209"/>
      <c r="BU4" s="209"/>
      <c r="BV4" s="209"/>
      <c r="BW4" s="209"/>
      <c r="BX4" s="209"/>
      <c r="BY4" s="209"/>
      <c r="BZ4" s="209"/>
      <c r="CA4" s="209"/>
      <c r="CB4" s="209"/>
      <c r="CC4" s="209"/>
      <c r="CD4" s="209"/>
      <c r="CE4" s="209"/>
      <c r="CF4" s="209"/>
      <c r="CG4" s="209"/>
      <c r="CH4" s="209"/>
      <c r="CI4" s="209"/>
      <c r="CJ4" s="209"/>
      <c r="CK4" s="209"/>
      <c r="CL4" s="209"/>
      <c r="CM4" s="209"/>
      <c r="CN4" s="209"/>
      <c r="CO4" s="209"/>
      <c r="CP4" s="209"/>
      <c r="CQ4" s="209"/>
      <c r="CR4" s="209"/>
      <c r="CS4" s="209"/>
      <c r="CT4" s="209"/>
      <c r="CU4" s="209"/>
      <c r="CV4" s="209"/>
      <c r="CW4" s="209"/>
      <c r="CX4" s="209"/>
      <c r="CY4" s="209"/>
      <c r="CZ4" s="209"/>
      <c r="DA4" s="209"/>
      <c r="DB4" s="209"/>
      <c r="DC4" s="209"/>
      <c r="DD4" s="209"/>
      <c r="DE4" s="209"/>
      <c r="DF4" s="209"/>
      <c r="DG4" s="209"/>
      <c r="DH4" s="209"/>
      <c r="DI4" s="209"/>
      <c r="DJ4" s="209"/>
      <c r="DK4" s="209"/>
      <c r="DL4" s="209"/>
      <c r="DM4" s="209"/>
      <c r="DN4" s="209"/>
      <c r="DO4" s="209"/>
      <c r="DP4" s="209"/>
      <c r="DQ4" s="209"/>
      <c r="DR4" s="209"/>
      <c r="DS4" s="209"/>
      <c r="DT4" s="209"/>
      <c r="DU4" s="209"/>
      <c r="DV4" s="209"/>
      <c r="DW4" s="209"/>
      <c r="DX4" s="209"/>
      <c r="DY4" s="209"/>
      <c r="DZ4" s="209"/>
      <c r="EA4" s="209"/>
      <c r="EB4" s="209"/>
      <c r="EC4" s="209"/>
      <c r="ED4" s="209"/>
      <c r="EE4" s="209"/>
      <c r="EF4" s="209"/>
      <c r="EG4" s="209"/>
      <c r="EH4" s="209"/>
      <c r="EI4" s="209"/>
      <c r="EJ4" s="209"/>
      <c r="EK4" s="209"/>
      <c r="EL4" s="209"/>
      <c r="EM4" s="209"/>
      <c r="EN4" s="209"/>
      <c r="EO4" s="209"/>
      <c r="EP4" s="209"/>
      <c r="EQ4" s="209"/>
      <c r="ER4" s="209"/>
      <c r="ES4" s="209"/>
      <c r="ET4" s="209"/>
      <c r="EU4" s="209"/>
      <c r="EV4" s="209"/>
      <c r="EW4" s="209"/>
      <c r="EX4" s="209"/>
      <c r="EY4" s="209"/>
      <c r="EZ4" s="209"/>
      <c r="FA4" s="209"/>
      <c r="FB4" s="209"/>
      <c r="FC4" s="209"/>
      <c r="FD4" s="209"/>
      <c r="FE4" s="209"/>
      <c r="FF4" s="209"/>
      <c r="FG4" s="209"/>
      <c r="FH4" s="209"/>
      <c r="FI4" s="209"/>
      <c r="FJ4" s="209"/>
      <c r="FK4" s="209"/>
      <c r="FL4" s="209"/>
      <c r="FM4" s="209"/>
      <c r="FN4" s="209"/>
      <c r="FO4" s="209"/>
      <c r="FP4" s="209"/>
      <c r="FQ4" s="209"/>
      <c r="FR4" s="209"/>
      <c r="FS4" s="209"/>
      <c r="FT4" s="209"/>
      <c r="FU4" s="209"/>
      <c r="FV4" s="209"/>
      <c r="FW4" s="209"/>
      <c r="FX4" s="209"/>
      <c r="FY4" s="209"/>
      <c r="FZ4" s="209"/>
      <c r="GA4" s="209"/>
      <c r="GB4" s="209"/>
      <c r="GC4" s="209"/>
      <c r="GD4" s="209"/>
      <c r="GE4" s="209"/>
      <c r="GF4" s="209"/>
      <c r="GG4" s="209"/>
      <c r="GH4" s="209"/>
      <c r="GI4" s="209"/>
      <c r="GJ4" s="209"/>
      <c r="GK4" s="209"/>
      <c r="GL4" s="209"/>
      <c r="GM4" s="209"/>
      <c r="GN4" s="209"/>
      <c r="GO4" s="209"/>
      <c r="GP4" s="209"/>
      <c r="GQ4" s="209"/>
      <c r="GR4" s="209"/>
      <c r="GS4" s="209"/>
      <c r="GT4" s="209"/>
      <c r="GU4" s="209"/>
      <c r="GV4" s="209"/>
      <c r="GW4" s="209"/>
      <c r="GX4" s="209"/>
      <c r="GY4" s="209"/>
      <c r="GZ4" s="209"/>
      <c r="HA4" s="209"/>
      <c r="HB4" s="209"/>
      <c r="HC4" s="209"/>
      <c r="HD4" s="209"/>
      <c r="HE4" s="209"/>
      <c r="HF4" s="209"/>
      <c r="HG4" s="209"/>
      <c r="HH4" s="209"/>
      <c r="HI4" s="209"/>
      <c r="HJ4" s="209"/>
      <c r="HK4" s="209"/>
      <c r="HL4" s="209"/>
      <c r="HM4" s="209"/>
      <c r="HN4" s="209"/>
      <c r="HO4" s="209"/>
      <c r="HP4" s="209"/>
      <c r="HQ4" s="209"/>
      <c r="HR4" s="209"/>
      <c r="HS4" s="209"/>
      <c r="HT4" s="209"/>
      <c r="HU4" s="209"/>
      <c r="HV4" s="209"/>
      <c r="HW4" s="209"/>
      <c r="HX4" s="209"/>
      <c r="HY4" s="209"/>
      <c r="HZ4" s="209"/>
      <c r="IA4" s="209"/>
      <c r="IB4" s="209"/>
      <c r="IC4" s="209"/>
      <c r="ID4" s="209"/>
      <c r="IE4" s="209"/>
      <c r="IF4" s="209"/>
      <c r="IG4" s="209"/>
      <c r="IH4" s="209"/>
      <c r="II4" s="209"/>
      <c r="IJ4" s="209"/>
      <c r="IK4" s="209"/>
      <c r="IL4" s="209"/>
      <c r="IM4" s="209"/>
      <c r="IN4" s="209"/>
      <c r="IO4" s="209"/>
      <c r="IP4" s="209"/>
      <c r="IQ4" s="209"/>
      <c r="IR4" s="209"/>
      <c r="IS4" s="209"/>
      <c r="IT4" s="209"/>
      <c r="IU4" s="209"/>
      <c r="IV4" s="209"/>
      <c r="IW4" s="209"/>
    </row>
    <row r="5" customFormat="false" ht="12.75" hidden="false" customHeight="true" outlineLevel="0" collapsed="false">
      <c r="A5" s="210"/>
      <c r="B5" s="211"/>
      <c r="C5" s="212"/>
      <c r="D5" s="213"/>
      <c r="E5" s="214"/>
      <c r="F5" s="215"/>
      <c r="G5" s="216"/>
      <c r="H5" s="217"/>
      <c r="I5" s="214"/>
      <c r="J5" s="214"/>
      <c r="K5" s="214"/>
      <c r="L5" s="216"/>
      <c r="M5" s="210"/>
      <c r="N5" s="217"/>
      <c r="O5" s="216"/>
      <c r="P5" s="214"/>
      <c r="Q5" s="214"/>
      <c r="R5" s="218"/>
      <c r="S5" s="218"/>
      <c r="T5" s="218"/>
      <c r="U5" s="218"/>
      <c r="V5" s="218"/>
      <c r="W5" s="218"/>
      <c r="X5" s="218"/>
      <c r="Y5" s="218"/>
      <c r="Z5" s="218"/>
      <c r="AA5" s="218"/>
      <c r="AB5" s="218"/>
      <c r="AC5" s="218"/>
      <c r="AD5" s="218"/>
      <c r="AE5" s="218"/>
      <c r="AF5" s="218"/>
      <c r="AG5" s="218"/>
      <c r="AH5" s="218"/>
      <c r="AI5" s="218"/>
      <c r="AJ5" s="218"/>
      <c r="AK5" s="218"/>
      <c r="AL5" s="218"/>
      <c r="AM5" s="218"/>
      <c r="AN5" s="218"/>
      <c r="AO5" s="218"/>
      <c r="AP5" s="218"/>
      <c r="AQ5" s="218"/>
      <c r="AR5" s="218"/>
      <c r="AS5" s="218"/>
      <c r="AT5" s="218"/>
      <c r="AU5" s="218"/>
      <c r="AV5" s="218"/>
      <c r="AW5" s="218"/>
      <c r="AX5" s="218"/>
      <c r="AY5" s="218"/>
      <c r="AZ5" s="218"/>
      <c r="BA5" s="218"/>
      <c r="BB5" s="218"/>
      <c r="BC5" s="218"/>
      <c r="BD5" s="218"/>
      <c r="BE5" s="218"/>
      <c r="BF5" s="218"/>
      <c r="BG5" s="218"/>
      <c r="BH5" s="218"/>
      <c r="BI5" s="218"/>
      <c r="BJ5" s="218"/>
      <c r="BK5" s="218"/>
      <c r="BL5" s="218"/>
      <c r="BM5" s="218"/>
      <c r="BN5" s="218"/>
      <c r="BO5" s="218"/>
      <c r="BP5" s="218"/>
      <c r="BQ5" s="218"/>
      <c r="BR5" s="218"/>
      <c r="BS5" s="218"/>
      <c r="BT5" s="218"/>
      <c r="BU5" s="218"/>
      <c r="BV5" s="218"/>
      <c r="BW5" s="218"/>
      <c r="BX5" s="218"/>
      <c r="BY5" s="218"/>
      <c r="BZ5" s="218"/>
      <c r="CA5" s="218"/>
      <c r="CB5" s="218"/>
      <c r="CC5" s="218"/>
      <c r="CD5" s="218"/>
      <c r="CE5" s="218"/>
      <c r="CF5" s="218"/>
      <c r="CG5" s="218"/>
      <c r="CH5" s="218"/>
      <c r="CI5" s="218"/>
      <c r="CJ5" s="218"/>
      <c r="CK5" s="218"/>
      <c r="CL5" s="218"/>
      <c r="CM5" s="218"/>
      <c r="CN5" s="218"/>
      <c r="CO5" s="218"/>
      <c r="CP5" s="218"/>
      <c r="CQ5" s="218"/>
      <c r="CR5" s="218"/>
      <c r="CS5" s="218"/>
      <c r="CT5" s="218"/>
      <c r="CU5" s="218"/>
      <c r="CV5" s="218"/>
      <c r="CW5" s="218"/>
      <c r="CX5" s="218"/>
      <c r="CY5" s="218"/>
      <c r="CZ5" s="218"/>
      <c r="DA5" s="218"/>
      <c r="DB5" s="218"/>
      <c r="DC5" s="218"/>
      <c r="DD5" s="218"/>
      <c r="DE5" s="218"/>
      <c r="DF5" s="218"/>
      <c r="DG5" s="218"/>
      <c r="DH5" s="218"/>
      <c r="DI5" s="218"/>
      <c r="DJ5" s="218"/>
      <c r="DK5" s="218"/>
      <c r="DL5" s="218"/>
      <c r="DM5" s="218"/>
      <c r="DN5" s="218"/>
      <c r="DO5" s="218"/>
      <c r="DP5" s="218"/>
      <c r="DQ5" s="218"/>
      <c r="DR5" s="218"/>
      <c r="DS5" s="218"/>
      <c r="DT5" s="218"/>
      <c r="DU5" s="218"/>
      <c r="DV5" s="218"/>
      <c r="DW5" s="218"/>
      <c r="DX5" s="218"/>
      <c r="DY5" s="218"/>
      <c r="DZ5" s="218"/>
      <c r="EA5" s="218"/>
      <c r="EB5" s="218"/>
      <c r="EC5" s="218"/>
      <c r="ED5" s="218"/>
      <c r="EE5" s="218"/>
      <c r="EF5" s="218"/>
      <c r="EG5" s="218"/>
      <c r="EH5" s="218"/>
      <c r="EI5" s="218"/>
      <c r="EJ5" s="218"/>
      <c r="EK5" s="218"/>
      <c r="EL5" s="218"/>
      <c r="EM5" s="218"/>
      <c r="EN5" s="218"/>
      <c r="EO5" s="218"/>
      <c r="EP5" s="218"/>
      <c r="EQ5" s="218"/>
      <c r="ER5" s="218"/>
      <c r="ES5" s="218"/>
      <c r="ET5" s="218"/>
      <c r="EU5" s="218"/>
      <c r="EV5" s="218"/>
      <c r="EW5" s="218"/>
      <c r="EX5" s="218"/>
      <c r="EY5" s="218"/>
      <c r="EZ5" s="218"/>
      <c r="FA5" s="218"/>
      <c r="FB5" s="218"/>
      <c r="FC5" s="218"/>
      <c r="FD5" s="218"/>
      <c r="FE5" s="218"/>
      <c r="FF5" s="218"/>
      <c r="FG5" s="218"/>
      <c r="FH5" s="218"/>
      <c r="FI5" s="218"/>
      <c r="FJ5" s="218"/>
      <c r="FK5" s="218"/>
      <c r="FL5" s="218"/>
      <c r="FM5" s="218"/>
      <c r="FN5" s="218"/>
      <c r="FO5" s="218"/>
      <c r="FP5" s="218"/>
      <c r="FQ5" s="218"/>
      <c r="FR5" s="218"/>
      <c r="FS5" s="218"/>
      <c r="FT5" s="218"/>
      <c r="FU5" s="218"/>
      <c r="FV5" s="218"/>
      <c r="FW5" s="218"/>
      <c r="FX5" s="218"/>
      <c r="FY5" s="218"/>
      <c r="FZ5" s="218"/>
      <c r="GA5" s="218"/>
      <c r="GB5" s="218"/>
      <c r="GC5" s="218"/>
      <c r="GD5" s="218"/>
      <c r="GE5" s="218"/>
      <c r="GF5" s="218"/>
      <c r="GG5" s="218"/>
      <c r="GH5" s="218"/>
      <c r="GI5" s="218"/>
      <c r="GJ5" s="218"/>
      <c r="GK5" s="218"/>
      <c r="GL5" s="218"/>
      <c r="GM5" s="218"/>
      <c r="GN5" s="218"/>
      <c r="GO5" s="218"/>
      <c r="GP5" s="218"/>
      <c r="GQ5" s="218"/>
      <c r="GR5" s="218"/>
      <c r="GS5" s="218"/>
      <c r="GT5" s="218"/>
      <c r="GU5" s="218"/>
      <c r="GV5" s="218"/>
      <c r="GW5" s="218"/>
      <c r="GX5" s="218"/>
      <c r="GY5" s="218"/>
      <c r="GZ5" s="218"/>
      <c r="HA5" s="218"/>
      <c r="HB5" s="218"/>
      <c r="HC5" s="218"/>
      <c r="HD5" s="218"/>
      <c r="HE5" s="218"/>
      <c r="HF5" s="218"/>
      <c r="HG5" s="218"/>
      <c r="HH5" s="218"/>
      <c r="HI5" s="218"/>
      <c r="HJ5" s="218"/>
      <c r="HK5" s="218"/>
      <c r="HL5" s="218"/>
      <c r="HM5" s="218"/>
      <c r="HN5" s="218"/>
      <c r="HO5" s="218"/>
      <c r="HP5" s="218"/>
      <c r="HQ5" s="218"/>
      <c r="HR5" s="218"/>
      <c r="HS5" s="218"/>
      <c r="HT5" s="218"/>
      <c r="HU5" s="218"/>
      <c r="HV5" s="218"/>
      <c r="HW5" s="218"/>
      <c r="HX5" s="218"/>
      <c r="HY5" s="218"/>
      <c r="HZ5" s="218"/>
      <c r="IA5" s="218"/>
      <c r="IB5" s="218"/>
      <c r="IC5" s="218"/>
      <c r="ID5" s="218"/>
      <c r="IE5" s="218"/>
      <c r="IF5" s="218"/>
      <c r="IG5" s="218"/>
      <c r="IH5" s="218"/>
      <c r="II5" s="218"/>
      <c r="IJ5" s="218"/>
      <c r="IK5" s="218"/>
      <c r="IL5" s="218"/>
      <c r="IM5" s="218"/>
      <c r="IN5" s="218"/>
      <c r="IO5" s="218"/>
      <c r="IP5" s="218"/>
      <c r="IQ5" s="218"/>
      <c r="IR5" s="218"/>
      <c r="IS5" s="218"/>
      <c r="IT5" s="218"/>
      <c r="IU5" s="218"/>
      <c r="IV5" s="218"/>
      <c r="IW5" s="218"/>
    </row>
    <row r="6" customFormat="false" ht="13.5" hidden="false" customHeight="true" outlineLevel="0" collapsed="false">
      <c r="A6" s="219" t="s">
        <v>182</v>
      </c>
      <c r="B6" s="219"/>
      <c r="C6" s="219"/>
      <c r="D6" s="220" t="n">
        <f aca="false">Admin!B$4</f>
        <v>46118</v>
      </c>
      <c r="E6" s="221"/>
      <c r="F6" s="222"/>
      <c r="G6" s="216"/>
      <c r="H6" s="217"/>
      <c r="I6" s="214"/>
      <c r="J6" s="214"/>
      <c r="K6" s="214"/>
      <c r="L6" s="216"/>
      <c r="M6" s="223"/>
      <c r="N6" s="217"/>
      <c r="O6" s="216"/>
      <c r="P6" s="214"/>
      <c r="Q6" s="214"/>
    </row>
    <row r="7" customFormat="false" ht="12.65" hidden="false" customHeight="false" outlineLevel="0" collapsed="false">
      <c r="A7" s="224"/>
      <c r="B7" s="225"/>
      <c r="C7" s="225"/>
      <c r="D7" s="226"/>
      <c r="E7" s="217"/>
      <c r="F7" s="215"/>
      <c r="G7" s="216"/>
      <c r="H7" s="227"/>
      <c r="I7" s="174" t="n">
        <v>0</v>
      </c>
      <c r="J7" s="228" t="str">
        <f aca="false">IF((H7&gt;0),H7*J$4," ")</f>
        <v> </v>
      </c>
      <c r="K7" s="214" t="str">
        <f aca="false">IF(H7&gt;0,H7-H7*J$4," ")</f>
        <v> </v>
      </c>
      <c r="L7" s="216"/>
      <c r="M7" s="229"/>
      <c r="N7" s="230"/>
      <c r="O7" s="216"/>
      <c r="P7" s="214" t="str">
        <f aca="false">IF((M7+N7)&gt;0,IF(N7&lt;K7,(K7-N7)," ")," ")</f>
        <v> </v>
      </c>
      <c r="Q7" s="214" t="str">
        <f aca="false">IF((M7+N7)&gt;0,IF(N7&gt;K7,(N7-K7)," ")," ")</f>
        <v> </v>
      </c>
    </row>
    <row r="8" customFormat="false" ht="12.65" hidden="false" customHeight="false" outlineLevel="0" collapsed="false">
      <c r="A8" s="229"/>
      <c r="B8" s="231"/>
      <c r="C8" s="231"/>
      <c r="D8" s="230"/>
      <c r="E8" s="217"/>
      <c r="F8" s="215"/>
      <c r="G8" s="216"/>
      <c r="H8" s="227"/>
      <c r="I8" s="174" t="n">
        <v>0</v>
      </c>
      <c r="J8" s="228" t="str">
        <f aca="false">IF((H8&gt;0),H8*J$4," ")</f>
        <v> </v>
      </c>
      <c r="K8" s="214" t="str">
        <f aca="false">IF(H8&gt;0,H8-H8*J$4," ")</f>
        <v> </v>
      </c>
      <c r="L8" s="216"/>
      <c r="M8" s="229"/>
      <c r="N8" s="230"/>
      <c r="O8" s="216"/>
      <c r="P8" s="214" t="str">
        <f aca="false">IF((M8+N8)&gt;0,IF(N8&lt;K8,(K8-N8)," ")," ")</f>
        <v> </v>
      </c>
      <c r="Q8" s="214" t="str">
        <f aca="false">IF((M8+N8)&gt;0,IF(N8&gt;K8,(N8-K8)," ")," ")</f>
        <v> </v>
      </c>
    </row>
    <row r="9" customFormat="false" ht="12.65" hidden="false" customHeight="false" outlineLevel="0" collapsed="false">
      <c r="A9" s="229"/>
      <c r="B9" s="231"/>
      <c r="C9" s="231"/>
      <c r="D9" s="230"/>
      <c r="E9" s="217"/>
      <c r="F9" s="215"/>
      <c r="G9" s="216"/>
      <c r="H9" s="227"/>
      <c r="I9" s="174" t="n">
        <v>0</v>
      </c>
      <c r="J9" s="228" t="str">
        <f aca="false">IF((H9&gt;0),H9*J$4," ")</f>
        <v> </v>
      </c>
      <c r="K9" s="214" t="str">
        <f aca="false">IF(H9&gt;0,H9-H9*J$4," ")</f>
        <v> </v>
      </c>
      <c r="L9" s="216"/>
      <c r="M9" s="229"/>
      <c r="N9" s="230"/>
      <c r="O9" s="216"/>
      <c r="P9" s="214" t="str">
        <f aca="false">IF((M9+N9)&gt;0,IF(N9&lt;K9,(K9-N9)," ")," ")</f>
        <v> </v>
      </c>
      <c r="Q9" s="214" t="str">
        <f aca="false">IF((M9+N9)&gt;0,IF(N9&gt;K9,(N9-K9)," ")," ")</f>
        <v> </v>
      </c>
    </row>
    <row r="10" customFormat="false" ht="12.65" hidden="false" customHeight="false" outlineLevel="0" collapsed="false">
      <c r="A10" s="229"/>
      <c r="B10" s="231"/>
      <c r="C10" s="231"/>
      <c r="D10" s="230"/>
      <c r="E10" s="217"/>
      <c r="F10" s="215"/>
      <c r="G10" s="216"/>
      <c r="H10" s="227"/>
      <c r="I10" s="174" t="n">
        <v>0</v>
      </c>
      <c r="J10" s="228" t="str">
        <f aca="false">IF((H10&gt;0),H10*J$4," ")</f>
        <v> </v>
      </c>
      <c r="K10" s="214" t="str">
        <f aca="false">IF(H10&gt;0,H10-H10*J$4," ")</f>
        <v> </v>
      </c>
      <c r="L10" s="216"/>
      <c r="M10" s="229"/>
      <c r="N10" s="230"/>
      <c r="O10" s="216"/>
      <c r="P10" s="214" t="str">
        <f aca="false">IF((M10+N10)&gt;0,IF(N10&lt;K10,(K10-N10)," ")," ")</f>
        <v> </v>
      </c>
      <c r="Q10" s="214" t="str">
        <f aca="false">IF((M10+N10)&gt;0,IF(N10&gt;K10,(N10-K10)," ")," ")</f>
        <v> </v>
      </c>
    </row>
    <row r="11" customFormat="false" ht="12.65" hidden="false" customHeight="false" outlineLevel="0" collapsed="false">
      <c r="A11" s="229"/>
      <c r="B11" s="231"/>
      <c r="C11" s="231"/>
      <c r="D11" s="230"/>
      <c r="E11" s="217"/>
      <c r="F11" s="215"/>
      <c r="G11" s="216"/>
      <c r="H11" s="227"/>
      <c r="I11" s="174" t="n">
        <v>0</v>
      </c>
      <c r="J11" s="228" t="str">
        <f aca="false">IF((H11&gt;0),H11*J$4," ")</f>
        <v> </v>
      </c>
      <c r="K11" s="214" t="str">
        <f aca="false">IF(H11&gt;0,H11-H11*J$4," ")</f>
        <v> </v>
      </c>
      <c r="L11" s="216"/>
      <c r="M11" s="229"/>
      <c r="N11" s="230"/>
      <c r="O11" s="216"/>
      <c r="P11" s="214" t="str">
        <f aca="false">IF((M11+N11)&gt;0,IF(N11&lt;K11,(K11-N11)," ")," ")</f>
        <v> </v>
      </c>
      <c r="Q11" s="214" t="str">
        <f aca="false">IF((M11+N11)&gt;0,IF(N11&gt;K11,(N11-K11)," ")," ")</f>
        <v> </v>
      </c>
    </row>
    <row r="12" customFormat="false" ht="12.65" hidden="false" customHeight="false" outlineLevel="0" collapsed="false">
      <c r="A12" s="229"/>
      <c r="B12" s="231"/>
      <c r="C12" s="231"/>
      <c r="D12" s="230"/>
      <c r="E12" s="217"/>
      <c r="F12" s="215"/>
      <c r="G12" s="216"/>
      <c r="H12" s="227"/>
      <c r="I12" s="174" t="n">
        <v>0</v>
      </c>
      <c r="J12" s="228" t="str">
        <f aca="false">IF((H12&gt;0),H12*J$4," ")</f>
        <v> </v>
      </c>
      <c r="K12" s="214" t="str">
        <f aca="false">IF(H12&gt;0,H12-H12*J$4," ")</f>
        <v> </v>
      </c>
      <c r="L12" s="216"/>
      <c r="M12" s="229"/>
      <c r="N12" s="230"/>
      <c r="O12" s="216"/>
      <c r="P12" s="214" t="str">
        <f aca="false">IF((M12+N12)&gt;0,IF(N12&lt;K12,(K12-N12)," ")," ")</f>
        <v> </v>
      </c>
      <c r="Q12" s="214" t="str">
        <f aca="false">IF((M12+N12)&gt;0,IF(N12&gt;K12,(N12-K12)," ")," ")</f>
        <v> </v>
      </c>
    </row>
    <row r="13" customFormat="false" ht="12.65" hidden="false" customHeight="false" outlineLevel="0" collapsed="false">
      <c r="A13" s="229"/>
      <c r="B13" s="231"/>
      <c r="C13" s="231"/>
      <c r="D13" s="230"/>
      <c r="E13" s="217"/>
      <c r="F13" s="215"/>
      <c r="G13" s="216"/>
      <c r="H13" s="227"/>
      <c r="I13" s="174" t="n">
        <v>0</v>
      </c>
      <c r="J13" s="228" t="str">
        <f aca="false">IF((H13&gt;0),H13*J$4," ")</f>
        <v> </v>
      </c>
      <c r="K13" s="214" t="str">
        <f aca="false">IF(H13&gt;0,H13-H13*J$4," ")</f>
        <v> </v>
      </c>
      <c r="L13" s="216"/>
      <c r="M13" s="229"/>
      <c r="N13" s="230"/>
      <c r="O13" s="216"/>
      <c r="P13" s="214" t="str">
        <f aca="false">IF((M13+N13)&gt;0,IF(N13&lt;K13,(K13-N13)," ")," ")</f>
        <v> </v>
      </c>
      <c r="Q13" s="214" t="str">
        <f aca="false">IF((M13+N13)&gt;0,IF(N13&gt;K13,(N13-K13)," ")," ")</f>
        <v> </v>
      </c>
    </row>
    <row r="14" customFormat="false" ht="12.65" hidden="false" customHeight="false" outlineLevel="0" collapsed="false">
      <c r="A14" s="232"/>
      <c r="B14" s="233"/>
      <c r="C14" s="233"/>
      <c r="D14" s="234"/>
      <c r="E14" s="217"/>
      <c r="F14" s="215"/>
      <c r="G14" s="216"/>
      <c r="H14" s="227"/>
      <c r="I14" s="174" t="n">
        <v>0</v>
      </c>
      <c r="J14" s="228" t="str">
        <f aca="false">IF((H14&gt;0),H14*J$4," ")</f>
        <v> </v>
      </c>
      <c r="K14" s="214" t="str">
        <f aca="false">IF(H14&gt;0,H14-H14*J$4," ")</f>
        <v> </v>
      </c>
      <c r="L14" s="216"/>
      <c r="M14" s="229"/>
      <c r="N14" s="230"/>
      <c r="O14" s="216"/>
      <c r="P14" s="214" t="str">
        <f aca="false">IF((M14+N14)&gt;0,IF(N14&lt;K14,(K14-N14)," ")," ")</f>
        <v> </v>
      </c>
      <c r="Q14" s="214" t="str">
        <f aca="false">IF((M14+N14)&gt;0,IF(N14&gt;K14,(N14-K14)," ")," ")</f>
        <v> </v>
      </c>
    </row>
    <row r="15" customFormat="false" ht="12.65" hidden="false" customHeight="false" outlineLevel="0" collapsed="false">
      <c r="A15" s="235" t="s">
        <v>183</v>
      </c>
      <c r="B15" s="235"/>
      <c r="C15" s="236" t="n">
        <f aca="false">Admin!B$4</f>
        <v>46118</v>
      </c>
      <c r="D15" s="237" t="n">
        <f aca="false">SUM(D7:D14)</f>
        <v>0</v>
      </c>
      <c r="E15" s="217"/>
      <c r="F15" s="215"/>
      <c r="G15" s="216"/>
      <c r="H15" s="238" t="n">
        <f aca="false">SUM(H7:H14)</f>
        <v>0</v>
      </c>
      <c r="I15" s="239" t="n">
        <f aca="false">SUM(I7:I14)</f>
        <v>0</v>
      </c>
      <c r="J15" s="238" t="n">
        <f aca="false">SUM(J7:J14)</f>
        <v>0</v>
      </c>
      <c r="K15" s="237" t="n">
        <f aca="false">SUM(K7:K14)</f>
        <v>0</v>
      </c>
      <c r="L15" s="216"/>
      <c r="M15" s="223"/>
      <c r="N15" s="237" t="n">
        <f aca="false">SUM(N7:N14)</f>
        <v>0</v>
      </c>
      <c r="O15" s="216"/>
      <c r="P15" s="237" t="n">
        <f aca="false">SUM(P7:P14)</f>
        <v>0</v>
      </c>
      <c r="Q15" s="237" t="n">
        <f aca="false">SUM(Q7:Q14)</f>
        <v>0</v>
      </c>
    </row>
    <row r="16" customFormat="false" ht="12.65" hidden="false" customHeight="false" outlineLevel="0" collapsed="false">
      <c r="A16" s="223"/>
      <c r="B16" s="240"/>
      <c r="C16" s="240"/>
      <c r="D16" s="217"/>
      <c r="E16" s="217"/>
      <c r="F16" s="215"/>
      <c r="G16" s="216"/>
      <c r="H16" s="174"/>
      <c r="I16" s="214"/>
      <c r="J16" s="228"/>
      <c r="K16" s="214"/>
      <c r="L16" s="216"/>
      <c r="M16" s="223"/>
      <c r="N16" s="217"/>
      <c r="O16" s="216"/>
      <c r="P16" s="214"/>
      <c r="Q16" s="214"/>
    </row>
    <row r="17" customFormat="false" ht="12.65" hidden="false" customHeight="false" outlineLevel="0" collapsed="false">
      <c r="A17" s="235" t="s">
        <v>184</v>
      </c>
      <c r="B17" s="235"/>
      <c r="C17" s="236" t="n">
        <f aca="false">Admin!B$4</f>
        <v>46118</v>
      </c>
      <c r="D17" s="241"/>
      <c r="E17" s="221"/>
      <c r="F17" s="222"/>
      <c r="G17" s="216"/>
      <c r="H17" s="174"/>
      <c r="I17" s="214"/>
      <c r="J17" s="228"/>
      <c r="K17" s="214"/>
      <c r="L17" s="216"/>
      <c r="M17" s="223"/>
      <c r="N17" s="217"/>
      <c r="O17" s="216"/>
      <c r="P17" s="214"/>
      <c r="Q17" s="214"/>
    </row>
    <row r="18" customFormat="false" ht="12.65" hidden="false" customHeight="false" outlineLevel="0" collapsed="false">
      <c r="A18" s="224"/>
      <c r="B18" s="225"/>
      <c r="C18" s="225"/>
      <c r="D18" s="226"/>
      <c r="E18" s="217"/>
      <c r="F18" s="242"/>
      <c r="G18" s="216"/>
      <c r="H18" s="227"/>
      <c r="I18" s="174" t="n">
        <v>0</v>
      </c>
      <c r="J18" s="214" t="str">
        <f aca="false">IF(H18&gt;0,H18*J$4*(1-F18)," ")</f>
        <v> </v>
      </c>
      <c r="K18" s="214" t="str">
        <f aca="false">IF(H18&gt;0,H18-J18," ")</f>
        <v> </v>
      </c>
      <c r="L18" s="216"/>
      <c r="M18" s="229"/>
      <c r="N18" s="230"/>
      <c r="O18" s="216"/>
      <c r="P18" s="214" t="str">
        <f aca="false">IF((M18+N18)&gt;0,IF(N18&lt;K18,(K18-N18)*(1-F18)," ")," ")</f>
        <v> </v>
      </c>
      <c r="Q18" s="214" t="str">
        <f aca="false">IF((M18+N18)&gt;0,IF(N18&gt;K18,(N18-K18)*(1-F18)," ")," ")</f>
        <v> </v>
      </c>
    </row>
    <row r="19" customFormat="false" ht="12.65" hidden="false" customHeight="false" outlineLevel="0" collapsed="false">
      <c r="A19" s="229"/>
      <c r="B19" s="231"/>
      <c r="C19" s="231"/>
      <c r="D19" s="230"/>
      <c r="E19" s="217"/>
      <c r="F19" s="242"/>
      <c r="G19" s="216"/>
      <c r="H19" s="227"/>
      <c r="I19" s="174" t="n">
        <v>0</v>
      </c>
      <c r="J19" s="214" t="str">
        <f aca="false">IF(H19&gt;0,H19*J$4*(1-F19)," ")</f>
        <v> </v>
      </c>
      <c r="K19" s="214" t="str">
        <f aca="false">IF(H19&gt;0,H19-J19," ")</f>
        <v> </v>
      </c>
      <c r="L19" s="216"/>
      <c r="M19" s="229"/>
      <c r="N19" s="230"/>
      <c r="O19" s="216"/>
      <c r="P19" s="214" t="str">
        <f aca="false">IF((M19+N19)&gt;0,IF(N19&lt;K19,(K19-N19)*(1-F19)," ")," ")</f>
        <v> </v>
      </c>
      <c r="Q19" s="214" t="str">
        <f aca="false">IF((M19+N19)&gt;0,IF(N19&gt;K19,(N19-K19)*(1-F19)," ")," ")</f>
        <v> </v>
      </c>
    </row>
    <row r="20" customFormat="false" ht="12.65" hidden="false" customHeight="false" outlineLevel="0" collapsed="false">
      <c r="A20" s="229"/>
      <c r="B20" s="231"/>
      <c r="C20" s="231"/>
      <c r="D20" s="230"/>
      <c r="E20" s="217"/>
      <c r="F20" s="242"/>
      <c r="G20" s="216"/>
      <c r="H20" s="227"/>
      <c r="I20" s="174" t="n">
        <v>0</v>
      </c>
      <c r="J20" s="214" t="str">
        <f aca="false">IF(H20&gt;0,H20*J$4*(1-F20)," ")</f>
        <v> </v>
      </c>
      <c r="K20" s="214" t="str">
        <f aca="false">IF(H20&gt;0,H20-J20," ")</f>
        <v> </v>
      </c>
      <c r="L20" s="216"/>
      <c r="M20" s="229"/>
      <c r="N20" s="230"/>
      <c r="O20" s="216"/>
      <c r="P20" s="214" t="str">
        <f aca="false">IF((M20+N20)&gt;0,IF(N20&lt;K20,(K20-N20)*(1-F20)," ")," ")</f>
        <v> </v>
      </c>
      <c r="Q20" s="214" t="str">
        <f aca="false">IF((M20+N20)&gt;0,IF(N20&gt;K20,(N20-K20)*(1-F20)," ")," ")</f>
        <v> </v>
      </c>
    </row>
    <row r="21" customFormat="false" ht="12.65" hidden="false" customHeight="false" outlineLevel="0" collapsed="false">
      <c r="A21" s="229"/>
      <c r="B21" s="231"/>
      <c r="C21" s="231"/>
      <c r="D21" s="230"/>
      <c r="E21" s="217"/>
      <c r="F21" s="242"/>
      <c r="G21" s="216"/>
      <c r="H21" s="227"/>
      <c r="I21" s="174" t="n">
        <v>0</v>
      </c>
      <c r="J21" s="214" t="str">
        <f aca="false">IF(H21&gt;0,H21*J$4*(1-F21)," ")</f>
        <v> </v>
      </c>
      <c r="K21" s="214" t="str">
        <f aca="false">IF(H21&gt;0,H21-J21," ")</f>
        <v> </v>
      </c>
      <c r="L21" s="216"/>
      <c r="M21" s="229"/>
      <c r="N21" s="230"/>
      <c r="O21" s="216"/>
      <c r="P21" s="214" t="str">
        <f aca="false">IF((M21+N21)&gt;0,IF(N21&lt;K21,(K21-N21)*(1-F21)," ")," ")</f>
        <v> </v>
      </c>
      <c r="Q21" s="214" t="str">
        <f aca="false">IF((M21+N21)&gt;0,IF(N21&gt;K21,(N21-K21)*(1-F21)," ")," ")</f>
        <v> </v>
      </c>
    </row>
    <row r="22" customFormat="false" ht="12.65" hidden="false" customHeight="false" outlineLevel="0" collapsed="false">
      <c r="A22" s="232"/>
      <c r="B22" s="233"/>
      <c r="C22" s="233"/>
      <c r="D22" s="230"/>
      <c r="E22" s="217"/>
      <c r="F22" s="242"/>
      <c r="G22" s="216"/>
      <c r="H22" s="227"/>
      <c r="I22" s="174" t="n">
        <v>0</v>
      </c>
      <c r="J22" s="214" t="str">
        <f aca="false">IF(H22&gt;0,H22*J$4*(1-F22)," ")</f>
        <v> </v>
      </c>
      <c r="K22" s="214" t="str">
        <f aca="false">IF(H22&gt;0,H22-J22," ")</f>
        <v> </v>
      </c>
      <c r="L22" s="216"/>
      <c r="M22" s="229"/>
      <c r="N22" s="230"/>
      <c r="O22" s="216"/>
      <c r="P22" s="214" t="str">
        <f aca="false">IF((M22+N22)&gt;0,IF(N22&lt;K22,(K22-N22)*(1-F22)," ")," ")</f>
        <v> </v>
      </c>
      <c r="Q22" s="214" t="str">
        <f aca="false">IF((M22+N22)&gt;0,IF(N22&gt;K22,(N22-K22)*(1-F22)," ")," ")</f>
        <v> </v>
      </c>
    </row>
    <row r="23" customFormat="false" ht="12.65" hidden="false" customHeight="true" outlineLevel="0" collapsed="false">
      <c r="A23" s="243" t="s">
        <v>185</v>
      </c>
      <c r="B23" s="243"/>
      <c r="C23" s="244" t="n">
        <f aca="false">Admin!B$4</f>
        <v>46118</v>
      </c>
      <c r="D23" s="245" t="n">
        <f aca="false">SUM(D18:D22)</f>
        <v>0</v>
      </c>
      <c r="E23" s="217"/>
      <c r="F23" s="215"/>
      <c r="G23" s="216"/>
      <c r="H23" s="238" t="n">
        <f aca="false">SUM(H18:H22)</f>
        <v>0</v>
      </c>
      <c r="I23" s="239" t="n">
        <f aca="false">SUM(I18:I22)</f>
        <v>0</v>
      </c>
      <c r="J23" s="238" t="n">
        <f aca="false">SUM(J18:J22)</f>
        <v>0</v>
      </c>
      <c r="K23" s="237" t="n">
        <f aca="false">SUM(K18:K22)</f>
        <v>0</v>
      </c>
      <c r="L23" s="216"/>
      <c r="M23" s="223"/>
      <c r="N23" s="237" t="n">
        <f aca="false">SUM(N18:N22)</f>
        <v>0</v>
      </c>
      <c r="O23" s="216"/>
      <c r="P23" s="237" t="n">
        <f aca="false">SUM(P18:P22)</f>
        <v>0</v>
      </c>
      <c r="Q23" s="237" t="n">
        <f aca="false">SUM(Q18:Q22)</f>
        <v>0</v>
      </c>
    </row>
    <row r="24" customFormat="false" ht="12.65" hidden="false" customHeight="false" outlineLevel="0" collapsed="false">
      <c r="A24" s="223"/>
      <c r="B24" s="240"/>
      <c r="C24" s="240"/>
      <c r="D24" s="217"/>
      <c r="E24" s="217"/>
      <c r="F24" s="215"/>
      <c r="G24" s="216"/>
      <c r="H24" s="174"/>
      <c r="I24" s="174"/>
      <c r="J24" s="174"/>
      <c r="K24" s="214"/>
      <c r="L24" s="216"/>
      <c r="M24" s="223"/>
      <c r="N24" s="217"/>
      <c r="O24" s="216"/>
      <c r="P24" s="214"/>
      <c r="Q24" s="214"/>
    </row>
    <row r="25" customFormat="false" ht="12.65" hidden="false" customHeight="false" outlineLevel="0" collapsed="false">
      <c r="A25" s="235" t="s">
        <v>186</v>
      </c>
      <c r="B25" s="235"/>
      <c r="C25" s="236" t="n">
        <f aca="false">Admin!B$4</f>
        <v>46118</v>
      </c>
      <c r="D25" s="241"/>
      <c r="E25" s="221"/>
      <c r="F25" s="222"/>
      <c r="G25" s="216"/>
      <c r="H25" s="174"/>
      <c r="I25" s="174"/>
      <c r="J25" s="174"/>
      <c r="K25" s="214"/>
      <c r="L25" s="216"/>
      <c r="M25" s="223"/>
      <c r="N25" s="217"/>
      <c r="O25" s="216"/>
      <c r="P25" s="214"/>
      <c r="Q25" s="214"/>
    </row>
    <row r="26" customFormat="false" ht="12.65" hidden="false" customHeight="false" outlineLevel="0" collapsed="false">
      <c r="A26" s="224"/>
      <c r="B26" s="225"/>
      <c r="C26" s="225"/>
      <c r="D26" s="226"/>
      <c r="E26" s="217"/>
      <c r="F26" s="242"/>
      <c r="G26" s="216"/>
      <c r="H26" s="227"/>
      <c r="I26" s="174" t="n">
        <v>0</v>
      </c>
      <c r="J26" s="214" t="str">
        <f aca="false">IF(H26&gt;0,H26*J$4*(1-F26)," ")</f>
        <v> </v>
      </c>
      <c r="K26" s="214" t="str">
        <f aca="false">IF(H26&gt;0,H26-J26," ")</f>
        <v> </v>
      </c>
      <c r="L26" s="216"/>
      <c r="M26" s="229"/>
      <c r="N26" s="230"/>
      <c r="O26" s="216"/>
      <c r="P26" s="214" t="str">
        <f aca="false">IF((M26+N26)&gt;0,IF(N26&lt;K26,(K26-N26)*(1-F26)," ")," ")</f>
        <v> </v>
      </c>
      <c r="Q26" s="214" t="str">
        <f aca="false">IF((M26+N26)&gt;0,IF(N26&gt;K26,(N26-K26)*(1-F26)," ")," ")</f>
        <v> </v>
      </c>
    </row>
    <row r="27" customFormat="false" ht="12.65" hidden="false" customHeight="false" outlineLevel="0" collapsed="false">
      <c r="A27" s="229"/>
      <c r="B27" s="231"/>
      <c r="C27" s="231"/>
      <c r="D27" s="230"/>
      <c r="E27" s="217"/>
      <c r="F27" s="242"/>
      <c r="G27" s="216"/>
      <c r="H27" s="227"/>
      <c r="I27" s="174" t="n">
        <v>0</v>
      </c>
      <c r="J27" s="214" t="str">
        <f aca="false">IF(H27&gt;0,H27*J$4*(1-F27)," ")</f>
        <v> </v>
      </c>
      <c r="K27" s="214" t="str">
        <f aca="false">IF(H27&gt;0,H27-J27," ")</f>
        <v> </v>
      </c>
      <c r="L27" s="216"/>
      <c r="M27" s="229"/>
      <c r="N27" s="230"/>
      <c r="O27" s="216"/>
      <c r="P27" s="214" t="str">
        <f aca="false">IF((M27+N27)&gt;0,IF(N27&lt;K27,(K27-N27)*(1-F27)," ")," ")</f>
        <v> </v>
      </c>
      <c r="Q27" s="214" t="str">
        <f aca="false">IF((M27+N27)&gt;0,IF(N27&gt;K27,(N27-K27)*(1-F27)," ")," ")</f>
        <v> </v>
      </c>
    </row>
    <row r="28" customFormat="false" ht="12.65" hidden="false" customHeight="false" outlineLevel="0" collapsed="false">
      <c r="A28" s="229"/>
      <c r="B28" s="231"/>
      <c r="C28" s="231"/>
      <c r="D28" s="230"/>
      <c r="E28" s="217"/>
      <c r="F28" s="242"/>
      <c r="G28" s="216"/>
      <c r="H28" s="227"/>
      <c r="I28" s="174" t="n">
        <v>0</v>
      </c>
      <c r="J28" s="214" t="str">
        <f aca="false">IF(H28&gt;0,H28*J$4*(1-F28)," ")</f>
        <v> </v>
      </c>
      <c r="K28" s="214" t="str">
        <f aca="false">IF(H28&gt;0,H28-J28," ")</f>
        <v> </v>
      </c>
      <c r="L28" s="216"/>
      <c r="M28" s="229"/>
      <c r="N28" s="230"/>
      <c r="O28" s="216"/>
      <c r="P28" s="214" t="str">
        <f aca="false">IF((M28+N28)&gt;0,IF(N28&lt;K28,(K28-N28)*(1-F28)," ")," ")</f>
        <v> </v>
      </c>
      <c r="Q28" s="214" t="str">
        <f aca="false">IF((M28+N28)&gt;0,IF(N28&gt;K28,(N28-K28)*(1-F28)," ")," ")</f>
        <v> </v>
      </c>
    </row>
    <row r="29" customFormat="false" ht="12.65" hidden="false" customHeight="false" outlineLevel="0" collapsed="false">
      <c r="A29" s="229"/>
      <c r="B29" s="231"/>
      <c r="C29" s="231"/>
      <c r="D29" s="230"/>
      <c r="E29" s="217"/>
      <c r="F29" s="242"/>
      <c r="G29" s="216"/>
      <c r="H29" s="227"/>
      <c r="I29" s="174" t="n">
        <v>0</v>
      </c>
      <c r="J29" s="214" t="str">
        <f aca="false">IF(H29&gt;0,H29*J$4*(1-F29)," ")</f>
        <v> </v>
      </c>
      <c r="K29" s="214" t="str">
        <f aca="false">IF(H29&gt;0,H29-J29," ")</f>
        <v> </v>
      </c>
      <c r="L29" s="216"/>
      <c r="M29" s="229"/>
      <c r="N29" s="230"/>
      <c r="O29" s="216"/>
      <c r="P29" s="214" t="str">
        <f aca="false">IF((M29+N29)&gt;0,IF(N29&lt;K29,(K29-N29)*(1-F29)," ")," ")</f>
        <v> </v>
      </c>
      <c r="Q29" s="214" t="str">
        <f aca="false">IF((M29+N29)&gt;0,IF(N29&gt;K29,(N29-K29)*(1-F29)," ")," ")</f>
        <v> </v>
      </c>
    </row>
    <row r="30" customFormat="false" ht="12.65" hidden="false" customHeight="false" outlineLevel="0" collapsed="false">
      <c r="A30" s="229"/>
      <c r="B30" s="231"/>
      <c r="C30" s="231"/>
      <c r="D30" s="230"/>
      <c r="E30" s="217"/>
      <c r="F30" s="242"/>
      <c r="G30" s="216"/>
      <c r="H30" s="227"/>
      <c r="I30" s="174" t="n">
        <v>0</v>
      </c>
      <c r="J30" s="214" t="str">
        <f aca="false">IF(H30&gt;0,H30*J$4*(1-F30)," ")</f>
        <v> </v>
      </c>
      <c r="K30" s="214" t="str">
        <f aca="false">IF(H30&gt;0,H30-J30," ")</f>
        <v> </v>
      </c>
      <c r="L30" s="216"/>
      <c r="M30" s="229"/>
      <c r="N30" s="230"/>
      <c r="O30" s="216"/>
      <c r="P30" s="214" t="str">
        <f aca="false">IF((M30+N30)&gt;0,IF(N30&lt;K30,(K30-N30)*(1-F30)," ")," ")</f>
        <v> </v>
      </c>
      <c r="Q30" s="214" t="str">
        <f aca="false">IF((M30+N30)&gt;0,IF(N30&gt;K30,(N30-K30)*(1-F30)," ")," ")</f>
        <v> </v>
      </c>
    </row>
    <row r="31" customFormat="false" ht="12.65" hidden="false" customHeight="true" outlineLevel="0" collapsed="false">
      <c r="A31" s="243" t="s">
        <v>187</v>
      </c>
      <c r="B31" s="243"/>
      <c r="C31" s="244" t="n">
        <f aca="false">Admin!B$4</f>
        <v>46118</v>
      </c>
      <c r="D31" s="237" t="n">
        <f aca="false">SUM(D26:D30)</f>
        <v>0</v>
      </c>
      <c r="E31" s="217"/>
      <c r="F31" s="215"/>
      <c r="G31" s="216"/>
      <c r="H31" s="238" t="n">
        <f aca="false">SUM(H26:H30)</f>
        <v>0</v>
      </c>
      <c r="I31" s="239" t="n">
        <f aca="false">SUM(I26:I30)</f>
        <v>0</v>
      </c>
      <c r="J31" s="238" t="n">
        <f aca="false">SUM(J26:J30)</f>
        <v>0</v>
      </c>
      <c r="K31" s="237" t="n">
        <f aca="false">SUM(K26:K30)</f>
        <v>0</v>
      </c>
      <c r="L31" s="216"/>
      <c r="M31" s="223"/>
      <c r="N31" s="237" t="n">
        <f aca="false">SUM(N26:N30)</f>
        <v>0</v>
      </c>
      <c r="O31" s="216"/>
      <c r="P31" s="237" t="n">
        <f aca="false">SUM(P26:P30)</f>
        <v>0</v>
      </c>
      <c r="Q31" s="237" t="n">
        <f aca="false">SUM(Q26:Q30)</f>
        <v>0</v>
      </c>
    </row>
    <row r="32" customFormat="false" ht="12.65" hidden="false" customHeight="false" outlineLevel="0" collapsed="false">
      <c r="A32" s="223"/>
      <c r="B32" s="240"/>
      <c r="C32" s="240"/>
      <c r="D32" s="217"/>
      <c r="E32" s="217"/>
      <c r="F32" s="215"/>
      <c r="G32" s="216"/>
      <c r="H32" s="174"/>
      <c r="I32" s="174"/>
      <c r="J32" s="174"/>
      <c r="K32" s="214"/>
      <c r="L32" s="216"/>
      <c r="M32" s="223"/>
      <c r="N32" s="217"/>
      <c r="O32" s="216"/>
      <c r="P32" s="214"/>
      <c r="Q32" s="214"/>
    </row>
    <row r="33" customFormat="false" ht="12.65" hidden="false" customHeight="false" outlineLevel="0" collapsed="false">
      <c r="A33" s="246" t="s">
        <v>188</v>
      </c>
      <c r="B33" s="246"/>
      <c r="C33" s="247" t="n">
        <f aca="false">Admin!B4</f>
        <v>46118</v>
      </c>
      <c r="D33" s="248" t="n">
        <f aca="false">D15+D23+D31</f>
        <v>0</v>
      </c>
      <c r="E33" s="217"/>
      <c r="F33" s="215"/>
      <c r="G33" s="216"/>
      <c r="H33" s="249" t="n">
        <f aca="false">H15+H23+H31</f>
        <v>0</v>
      </c>
      <c r="I33" s="250" t="n">
        <f aca="false">I15+I23+I31</f>
        <v>0</v>
      </c>
      <c r="J33" s="249" t="n">
        <f aca="false">J15+J23+J31</f>
        <v>0</v>
      </c>
      <c r="K33" s="248" t="n">
        <f aca="false">K15+K23+K31</f>
        <v>0</v>
      </c>
      <c r="L33" s="216"/>
      <c r="M33" s="223"/>
      <c r="N33" s="248" t="n">
        <f aca="false">N15+N23+N31</f>
        <v>0</v>
      </c>
      <c r="O33" s="216"/>
      <c r="P33" s="248" t="n">
        <f aca="false">P15+P23+P31</f>
        <v>0</v>
      </c>
      <c r="Q33" s="248" t="n">
        <f aca="false">Q15+Q23+Q31</f>
        <v>0</v>
      </c>
    </row>
    <row r="34" customFormat="false" ht="12.65" hidden="false" customHeight="false" outlineLevel="0" collapsed="false">
      <c r="A34" s="251"/>
      <c r="B34" s="252"/>
      <c r="C34" s="253"/>
      <c r="D34" s="217"/>
      <c r="E34" s="217"/>
      <c r="F34" s="215"/>
      <c r="G34" s="216"/>
      <c r="H34" s="217"/>
      <c r="I34" s="214"/>
      <c r="J34" s="214"/>
      <c r="K34" s="214"/>
      <c r="L34" s="216"/>
      <c r="M34" s="223"/>
      <c r="N34" s="217"/>
      <c r="O34" s="216"/>
      <c r="P34" s="214"/>
      <c r="Q34" s="214"/>
    </row>
    <row r="35" customFormat="false" ht="12.65" hidden="false" customHeight="false" outlineLevel="0" collapsed="false">
      <c r="A35" s="254" t="s">
        <v>189</v>
      </c>
      <c r="B35" s="254"/>
      <c r="C35" s="254"/>
      <c r="D35" s="255" t="n">
        <f aca="false">Admin!B$4</f>
        <v>46118</v>
      </c>
      <c r="E35" s="221"/>
      <c r="F35" s="222"/>
      <c r="G35" s="216"/>
      <c r="H35" s="217"/>
      <c r="I35" s="214"/>
      <c r="J35" s="214"/>
      <c r="K35" s="214"/>
      <c r="L35" s="216"/>
      <c r="M35" s="223"/>
      <c r="N35" s="217"/>
      <c r="O35" s="216"/>
      <c r="P35" s="214"/>
      <c r="Q35" s="214"/>
    </row>
    <row r="36" customFormat="false" ht="12.65" hidden="false" customHeight="false" outlineLevel="0" collapsed="false">
      <c r="A36" s="224"/>
      <c r="B36" s="225"/>
      <c r="C36" s="256"/>
      <c r="D36" s="226"/>
      <c r="E36" s="217"/>
      <c r="F36" s="215"/>
      <c r="G36" s="216"/>
      <c r="H36" s="174" t="n">
        <v>0</v>
      </c>
      <c r="I36" s="257" t="str">
        <f aca="false">IF((D36&gt;0),D36*I$4," ")</f>
        <v> </v>
      </c>
      <c r="J36" s="174" t="n">
        <v>0</v>
      </c>
      <c r="K36" s="214" t="str">
        <f aca="false">IF(D36&gt;0,D36-D36*I$4," ")</f>
        <v> </v>
      </c>
      <c r="L36" s="216"/>
      <c r="M36" s="229"/>
      <c r="N36" s="230"/>
      <c r="O36" s="216"/>
      <c r="P36" s="214" t="str">
        <f aca="false">IF((M36+N36)&gt;0,IF(N36&lt;K36,(K36-N36)," ")," ")</f>
        <v> </v>
      </c>
      <c r="Q36" s="214" t="str">
        <f aca="false">IF((M36+N36)&gt;0,IF(N36&gt;K36,(N36-K36)," ")," ")</f>
        <v> </v>
      </c>
    </row>
    <row r="37" customFormat="false" ht="12.65" hidden="false" customHeight="false" outlineLevel="0" collapsed="false">
      <c r="A37" s="229"/>
      <c r="B37" s="231"/>
      <c r="C37" s="258"/>
      <c r="D37" s="230"/>
      <c r="E37" s="217"/>
      <c r="F37" s="215"/>
      <c r="G37" s="216"/>
      <c r="H37" s="174" t="n">
        <v>0</v>
      </c>
      <c r="I37" s="257" t="str">
        <f aca="false">IF((D37&gt;0),D37*I$4," ")</f>
        <v> </v>
      </c>
      <c r="J37" s="174" t="n">
        <v>0</v>
      </c>
      <c r="K37" s="214" t="str">
        <f aca="false">IF(D37&gt;0,D37-D37*I$4," ")</f>
        <v> </v>
      </c>
      <c r="L37" s="216"/>
      <c r="M37" s="229"/>
      <c r="N37" s="230"/>
      <c r="O37" s="216"/>
      <c r="P37" s="214" t="str">
        <f aca="false">IF((M37+N37)&gt;0,IF(N37&lt;K37,(K37-N37)," ")," ")</f>
        <v> </v>
      </c>
      <c r="Q37" s="214" t="str">
        <f aca="false">IF((M37+N37)&gt;0,IF(N37&gt;K37,(N37-K37)," ")," ")</f>
        <v> </v>
      </c>
    </row>
    <row r="38" customFormat="false" ht="12.65" hidden="false" customHeight="false" outlineLevel="0" collapsed="false">
      <c r="A38" s="229"/>
      <c r="B38" s="231"/>
      <c r="C38" s="258"/>
      <c r="D38" s="230"/>
      <c r="E38" s="217"/>
      <c r="F38" s="215"/>
      <c r="G38" s="216"/>
      <c r="H38" s="174" t="n">
        <v>0</v>
      </c>
      <c r="I38" s="257" t="str">
        <f aca="false">IF((D38&gt;0),D38*I$4," ")</f>
        <v> </v>
      </c>
      <c r="J38" s="174" t="n">
        <v>0</v>
      </c>
      <c r="K38" s="214" t="str">
        <f aca="false">IF(D38&gt;0,D38-D38*I$4," ")</f>
        <v> </v>
      </c>
      <c r="L38" s="216"/>
      <c r="M38" s="229"/>
      <c r="N38" s="230"/>
      <c r="O38" s="216"/>
      <c r="P38" s="214" t="str">
        <f aca="false">IF((M38+N38)&gt;0,IF(N38&lt;K38,(K38-N38)," ")," ")</f>
        <v> </v>
      </c>
      <c r="Q38" s="214" t="str">
        <f aca="false">IF((M38+N38)&gt;0,IF(N38&gt;K38,(N38-K38)," ")," ")</f>
        <v> </v>
      </c>
    </row>
    <row r="39" customFormat="false" ht="12.65" hidden="false" customHeight="false" outlineLevel="0" collapsed="false">
      <c r="A39" s="229"/>
      <c r="B39" s="231"/>
      <c r="C39" s="258"/>
      <c r="D39" s="230"/>
      <c r="E39" s="217"/>
      <c r="F39" s="215"/>
      <c r="G39" s="216"/>
      <c r="H39" s="174" t="n">
        <v>0</v>
      </c>
      <c r="I39" s="257" t="str">
        <f aca="false">IF((D39&gt;0),D39*I$4," ")</f>
        <v> </v>
      </c>
      <c r="J39" s="174" t="n">
        <v>0</v>
      </c>
      <c r="K39" s="214" t="str">
        <f aca="false">IF(D39&gt;0,D39-D39*I$4," ")</f>
        <v> </v>
      </c>
      <c r="L39" s="216"/>
      <c r="M39" s="229"/>
      <c r="N39" s="230"/>
      <c r="O39" s="216"/>
      <c r="P39" s="214" t="str">
        <f aca="false">IF((M39+N39)&gt;0,IF(N39&lt;K39,(K39-N39)," ")," ")</f>
        <v> </v>
      </c>
      <c r="Q39" s="214" t="str">
        <f aca="false">IF((M39+N39)&gt;0,IF(N39&gt;K39,(N39-K39)," ")," ")</f>
        <v> </v>
      </c>
    </row>
    <row r="40" customFormat="false" ht="12.65" hidden="false" customHeight="false" outlineLevel="0" collapsed="false">
      <c r="A40" s="229"/>
      <c r="B40" s="231"/>
      <c r="C40" s="258"/>
      <c r="D40" s="230"/>
      <c r="E40" s="217"/>
      <c r="F40" s="215"/>
      <c r="G40" s="216"/>
      <c r="H40" s="174" t="n">
        <v>0</v>
      </c>
      <c r="I40" s="257" t="str">
        <f aca="false">IF((D40&gt;0),D40*I$4," ")</f>
        <v> </v>
      </c>
      <c r="J40" s="174" t="n">
        <v>0</v>
      </c>
      <c r="K40" s="214" t="str">
        <f aca="false">IF(D40&gt;0,D40-D40*I$4," ")</f>
        <v> </v>
      </c>
      <c r="L40" s="216"/>
      <c r="M40" s="229"/>
      <c r="N40" s="230"/>
      <c r="O40" s="216"/>
      <c r="P40" s="214" t="str">
        <f aca="false">IF((M40+N40)&gt;0,IF(N40&lt;K40,(K40-N40)," ")," ")</f>
        <v> </v>
      </c>
      <c r="Q40" s="214" t="str">
        <f aca="false">IF((M40+N40)&gt;0,IF(N40&gt;K40,(N40-K40)," ")," ")</f>
        <v> </v>
      </c>
    </row>
    <row r="41" customFormat="false" ht="12.65" hidden="false" customHeight="false" outlineLevel="0" collapsed="false">
      <c r="A41" s="229"/>
      <c r="B41" s="231"/>
      <c r="C41" s="258"/>
      <c r="D41" s="230"/>
      <c r="E41" s="217"/>
      <c r="F41" s="215"/>
      <c r="G41" s="216"/>
      <c r="H41" s="174" t="n">
        <v>0</v>
      </c>
      <c r="I41" s="257" t="str">
        <f aca="false">IF((D41&gt;0),D41*I$4," ")</f>
        <v> </v>
      </c>
      <c r="J41" s="174" t="n">
        <v>0</v>
      </c>
      <c r="K41" s="214" t="str">
        <f aca="false">IF(D41&gt;0,D41-D41*I$4," ")</f>
        <v> </v>
      </c>
      <c r="L41" s="216"/>
      <c r="M41" s="229"/>
      <c r="N41" s="230"/>
      <c r="O41" s="216"/>
      <c r="P41" s="214" t="str">
        <f aca="false">IF((M41+N41)&gt;0,IF(N41&lt;K41,(K41-N41)," ")," ")</f>
        <v> </v>
      </c>
      <c r="Q41" s="214" t="str">
        <f aca="false">IF((M41+N41)&gt;0,IF(N41&gt;K41,(N41-K41)," ")," ")</f>
        <v> </v>
      </c>
    </row>
    <row r="42" customFormat="false" ht="12.65" hidden="false" customHeight="false" outlineLevel="0" collapsed="false">
      <c r="A42" s="229"/>
      <c r="B42" s="231"/>
      <c r="C42" s="258"/>
      <c r="D42" s="230"/>
      <c r="E42" s="217"/>
      <c r="F42" s="215"/>
      <c r="G42" s="216"/>
      <c r="H42" s="174" t="n">
        <v>0</v>
      </c>
      <c r="I42" s="257" t="str">
        <f aca="false">IF((D42&gt;0),D42*I$4," ")</f>
        <v> </v>
      </c>
      <c r="J42" s="174" t="n">
        <v>0</v>
      </c>
      <c r="K42" s="214" t="str">
        <f aca="false">IF(D42&gt;0,D42-D42*I$4," ")</f>
        <v> </v>
      </c>
      <c r="L42" s="216"/>
      <c r="M42" s="229"/>
      <c r="N42" s="230"/>
      <c r="O42" s="216"/>
      <c r="P42" s="214" t="str">
        <f aca="false">IF((M42+N42)&gt;0,IF(N42&lt;K42,(K42-N42)," ")," ")</f>
        <v> </v>
      </c>
      <c r="Q42" s="214" t="str">
        <f aca="false">IF((M42+N42)&gt;0,IF(N42&gt;K42,(N42-K42)," ")," ")</f>
        <v> </v>
      </c>
    </row>
    <row r="43" customFormat="false" ht="12.65" hidden="false" customHeight="false" outlineLevel="0" collapsed="false">
      <c r="A43" s="232"/>
      <c r="B43" s="233"/>
      <c r="C43" s="259"/>
      <c r="D43" s="234"/>
      <c r="E43" s="217"/>
      <c r="F43" s="215"/>
      <c r="G43" s="216"/>
      <c r="H43" s="174" t="n">
        <v>0</v>
      </c>
      <c r="I43" s="257" t="str">
        <f aca="false">IF((D43&gt;0),D43*I$4," ")</f>
        <v> </v>
      </c>
      <c r="J43" s="174" t="n">
        <v>0</v>
      </c>
      <c r="K43" s="214" t="str">
        <f aca="false">IF(D43&gt;0,D43-D43*I$4," ")</f>
        <v> </v>
      </c>
      <c r="L43" s="216"/>
      <c r="M43" s="229"/>
      <c r="N43" s="230"/>
      <c r="O43" s="216"/>
      <c r="P43" s="214" t="str">
        <f aca="false">IF((M43+N43)&gt;0,IF(N43&lt;K43,(K43-N43)," ")," ")</f>
        <v> </v>
      </c>
      <c r="Q43" s="214" t="str">
        <f aca="false">IF((M43+N43)&gt;0,IF(N43&gt;K43,(N43-K43)," ")," ")</f>
        <v> </v>
      </c>
    </row>
    <row r="44" customFormat="false" ht="12.75" hidden="false" customHeight="true" outlineLevel="0" collapsed="false">
      <c r="A44" s="260" t="s">
        <v>190</v>
      </c>
      <c r="B44" s="260"/>
      <c r="C44" s="261" t="n">
        <f aca="false">Admin!B$4</f>
        <v>46118</v>
      </c>
      <c r="D44" s="237" t="n">
        <f aca="false">SUM(D36:D43)</f>
        <v>0</v>
      </c>
      <c r="E44" s="217"/>
      <c r="F44" s="215"/>
      <c r="G44" s="216"/>
      <c r="H44" s="238" t="n">
        <f aca="false">SUM(H36:H43)</f>
        <v>0</v>
      </c>
      <c r="I44" s="239" t="n">
        <f aca="false">SUM(I36:I43)</f>
        <v>0</v>
      </c>
      <c r="J44" s="238" t="n">
        <f aca="false">SUM(J36:J43)</f>
        <v>0</v>
      </c>
      <c r="K44" s="237" t="n">
        <f aca="false">SUM(K36:K43)</f>
        <v>0</v>
      </c>
      <c r="L44" s="216"/>
      <c r="M44" s="223"/>
      <c r="N44" s="237" t="n">
        <f aca="false">SUM(N36:N43)</f>
        <v>0</v>
      </c>
      <c r="O44" s="216"/>
      <c r="P44" s="237" t="n">
        <f aca="false">SUM(P36:P43)</f>
        <v>0</v>
      </c>
      <c r="Q44" s="237" t="n">
        <f aca="false">SUM(Q36:Q43)</f>
        <v>0</v>
      </c>
    </row>
    <row r="45" customFormat="false" ht="12.65" hidden="false" customHeight="false" outlineLevel="0" collapsed="false">
      <c r="A45" s="223"/>
      <c r="B45" s="240"/>
      <c r="C45" s="262"/>
      <c r="D45" s="217"/>
      <c r="E45" s="217"/>
      <c r="F45" s="215"/>
      <c r="G45" s="216"/>
      <c r="H45" s="174"/>
      <c r="I45" s="257"/>
      <c r="J45" s="174"/>
      <c r="K45" s="214"/>
      <c r="L45" s="216"/>
      <c r="M45" s="223"/>
      <c r="N45" s="217"/>
      <c r="O45" s="216"/>
      <c r="P45" s="214"/>
      <c r="Q45" s="214"/>
    </row>
    <row r="46" customFormat="false" ht="12.65" hidden="false" customHeight="false" outlineLevel="0" collapsed="false">
      <c r="A46" s="260" t="s">
        <v>191</v>
      </c>
      <c r="B46" s="260"/>
      <c r="C46" s="261" t="n">
        <f aca="false">Admin!B$4</f>
        <v>46118</v>
      </c>
      <c r="D46" s="263"/>
      <c r="E46" s="221"/>
      <c r="F46" s="222"/>
      <c r="G46" s="216"/>
      <c r="H46" s="174"/>
      <c r="I46" s="257"/>
      <c r="J46" s="174"/>
      <c r="K46" s="214"/>
      <c r="L46" s="216"/>
      <c r="M46" s="223"/>
      <c r="N46" s="217"/>
      <c r="O46" s="216"/>
      <c r="P46" s="214"/>
      <c r="Q46" s="214"/>
    </row>
    <row r="47" customFormat="false" ht="12.65" hidden="false" customHeight="false" outlineLevel="0" collapsed="false">
      <c r="A47" s="224" t="n">
        <v>45809</v>
      </c>
      <c r="B47" s="225" t="s">
        <v>192</v>
      </c>
      <c r="C47" s="256" t="s">
        <v>193</v>
      </c>
      <c r="D47" s="226" t="n">
        <v>8000</v>
      </c>
      <c r="E47" s="217"/>
      <c r="F47" s="242"/>
      <c r="G47" s="216"/>
      <c r="H47" s="174" t="n">
        <v>0</v>
      </c>
      <c r="I47" s="174" t="n">
        <v>0</v>
      </c>
      <c r="J47" s="214" t="n">
        <f aca="false">IF(D47&gt;0,D47*J$4*(1-F47)," ")</f>
        <v>1120</v>
      </c>
      <c r="K47" s="214" t="n">
        <f aca="false">IF(D47&gt;0,D47-J47," ")</f>
        <v>6880</v>
      </c>
      <c r="L47" s="216"/>
      <c r="M47" s="229"/>
      <c r="N47" s="230"/>
      <c r="O47" s="216"/>
      <c r="P47" s="214" t="str">
        <f aca="false">IF((M47+N47)&gt;0,IF(N47&lt;K47,(K47-N47)*(1-F47)," ")," ")</f>
        <v> </v>
      </c>
      <c r="Q47" s="214" t="str">
        <f aca="false">IF((M47+N47)&gt;0,IF(N47&gt;K47,(N47-K47)*(1-F47)," ")," ")</f>
        <v> </v>
      </c>
    </row>
    <row r="48" customFormat="false" ht="12.65" hidden="false" customHeight="false" outlineLevel="0" collapsed="false">
      <c r="A48" s="229"/>
      <c r="B48" s="231"/>
      <c r="C48" s="258"/>
      <c r="D48" s="230"/>
      <c r="E48" s="217"/>
      <c r="F48" s="242"/>
      <c r="G48" s="216"/>
      <c r="H48" s="174" t="n">
        <v>0</v>
      </c>
      <c r="I48" s="174" t="n">
        <v>0</v>
      </c>
      <c r="J48" s="214" t="str">
        <f aca="false">IF(D48&gt;0,D48*J$4*(1-F48)," ")</f>
        <v> </v>
      </c>
      <c r="K48" s="214" t="str">
        <f aca="false">IF(D48&gt;0,D48-J48," ")</f>
        <v> </v>
      </c>
      <c r="L48" s="216"/>
      <c r="M48" s="229"/>
      <c r="N48" s="230"/>
      <c r="O48" s="216"/>
      <c r="P48" s="214" t="str">
        <f aca="false">IF((M48+N48)&gt;0,IF(N48&lt;K48,(K48-N48)*(1-F48)," ")," ")</f>
        <v> </v>
      </c>
      <c r="Q48" s="214" t="str">
        <f aca="false">IF((M48+N48)&gt;0,IF(N48&gt;K48,(N48-K48)*(1-F48)," ")," ")</f>
        <v> </v>
      </c>
    </row>
    <row r="49" customFormat="false" ht="12.65" hidden="false" customHeight="false" outlineLevel="0" collapsed="false">
      <c r="A49" s="229"/>
      <c r="B49" s="231"/>
      <c r="C49" s="258"/>
      <c r="D49" s="230"/>
      <c r="E49" s="217"/>
      <c r="F49" s="242"/>
      <c r="G49" s="216"/>
      <c r="H49" s="174" t="n">
        <v>0</v>
      </c>
      <c r="I49" s="174" t="n">
        <v>0</v>
      </c>
      <c r="J49" s="214" t="str">
        <f aca="false">IF(D49&gt;0,D49*J$4*(1-F49)," ")</f>
        <v> </v>
      </c>
      <c r="K49" s="214" t="str">
        <f aca="false">IF(D49&gt;0,D49-J49," ")</f>
        <v> </v>
      </c>
      <c r="L49" s="216"/>
      <c r="M49" s="229"/>
      <c r="N49" s="230"/>
      <c r="O49" s="216"/>
      <c r="P49" s="214" t="str">
        <f aca="false">IF((M49+N49)&gt;0,IF(N49&lt;K49,(K49-N49)*(1-F49)," ")," ")</f>
        <v> </v>
      </c>
      <c r="Q49" s="214" t="str">
        <f aca="false">IF((M49+N49)&gt;0,IF(N49&gt;K49,(N49-K49)*(1-F49)," ")," ")</f>
        <v> </v>
      </c>
    </row>
    <row r="50" customFormat="false" ht="12.65" hidden="false" customHeight="false" outlineLevel="0" collapsed="false">
      <c r="A50" s="229"/>
      <c r="B50" s="231"/>
      <c r="C50" s="258"/>
      <c r="D50" s="230"/>
      <c r="E50" s="217"/>
      <c r="F50" s="242"/>
      <c r="G50" s="216"/>
      <c r="H50" s="174" t="n">
        <v>0</v>
      </c>
      <c r="I50" s="174" t="n">
        <v>0</v>
      </c>
      <c r="J50" s="214" t="str">
        <f aca="false">IF(D50&gt;0,D50*J$4*(1-F50)," ")</f>
        <v> </v>
      </c>
      <c r="K50" s="214" t="str">
        <f aca="false">IF(D50&gt;0,D50-J50," ")</f>
        <v> </v>
      </c>
      <c r="L50" s="216"/>
      <c r="M50" s="229"/>
      <c r="N50" s="230"/>
      <c r="O50" s="216"/>
      <c r="P50" s="214" t="str">
        <f aca="false">IF((M50+N50)&gt;0,IF(N50&lt;K50,(K50-N50)*(1-F50)," ")," ")</f>
        <v> </v>
      </c>
      <c r="Q50" s="214" t="str">
        <f aca="false">IF((M50+N50)&gt;0,IF(N50&gt;K50,(N50-K50)*(1-F50)," ")," ")</f>
        <v> </v>
      </c>
    </row>
    <row r="51" customFormat="false" ht="12.65" hidden="false" customHeight="false" outlineLevel="0" collapsed="false">
      <c r="A51" s="229"/>
      <c r="B51" s="231"/>
      <c r="C51" s="258"/>
      <c r="D51" s="230"/>
      <c r="E51" s="217"/>
      <c r="F51" s="242"/>
      <c r="G51" s="216"/>
      <c r="H51" s="174" t="n">
        <v>0</v>
      </c>
      <c r="I51" s="174" t="n">
        <v>0</v>
      </c>
      <c r="J51" s="214" t="str">
        <f aca="false">IF(D51&gt;0,D51*J$4*(1-F51)," ")</f>
        <v> </v>
      </c>
      <c r="K51" s="214" t="str">
        <f aca="false">IF(D51&gt;0,D51-J51," ")</f>
        <v> </v>
      </c>
      <c r="L51" s="216"/>
      <c r="M51" s="229"/>
      <c r="N51" s="230"/>
      <c r="O51" s="216"/>
      <c r="P51" s="214" t="str">
        <f aca="false">IF((M51+N51)&gt;0,IF(N51&lt;K51,(K51-N51)*(1-F51)," ")," ")</f>
        <v> </v>
      </c>
      <c r="Q51" s="214" t="str">
        <f aca="false">IF((M51+N51)&gt;0,IF(N51&gt;K51,(N51-K51)*(1-F51)," ")," ")</f>
        <v> </v>
      </c>
    </row>
    <row r="52" customFormat="false" ht="12.75" hidden="false" customHeight="true" outlineLevel="0" collapsed="false">
      <c r="A52" s="264" t="s">
        <v>194</v>
      </c>
      <c r="B52" s="264"/>
      <c r="C52" s="265" t="n">
        <f aca="false">Admin!B$4</f>
        <v>46118</v>
      </c>
      <c r="D52" s="237" t="n">
        <f aca="false">SUM(D47:D51)</f>
        <v>8000</v>
      </c>
      <c r="E52" s="217"/>
      <c r="F52" s="215"/>
      <c r="G52" s="216"/>
      <c r="H52" s="238" t="n">
        <f aca="false">SUM(H47:H51)</f>
        <v>0</v>
      </c>
      <c r="I52" s="239" t="n">
        <f aca="false">SUM(I47:I51)</f>
        <v>0</v>
      </c>
      <c r="J52" s="238" t="n">
        <f aca="false">SUM(J47:J51)</f>
        <v>1120</v>
      </c>
      <c r="K52" s="237" t="n">
        <f aca="false">SUM(K47:K51)</f>
        <v>6880</v>
      </c>
      <c r="L52" s="216"/>
      <c r="M52" s="223"/>
      <c r="N52" s="237" t="n">
        <f aca="false">SUM(N47:N51)</f>
        <v>0</v>
      </c>
      <c r="O52" s="216"/>
      <c r="P52" s="237" t="n">
        <f aca="false">SUM(P47:P51)</f>
        <v>0</v>
      </c>
      <c r="Q52" s="237" t="n">
        <f aca="false">SUM(Q47:Q51)</f>
        <v>0</v>
      </c>
    </row>
    <row r="53" customFormat="false" ht="12.65" hidden="false" customHeight="false" outlineLevel="0" collapsed="false">
      <c r="A53" s="223"/>
      <c r="B53" s="240"/>
      <c r="C53" s="240"/>
      <c r="D53" s="217"/>
      <c r="E53" s="217"/>
      <c r="F53" s="215"/>
      <c r="G53" s="216"/>
      <c r="H53" s="217"/>
      <c r="I53" s="174"/>
      <c r="J53" s="214"/>
      <c r="K53" s="214"/>
      <c r="L53" s="216"/>
      <c r="M53" s="223"/>
      <c r="N53" s="217"/>
      <c r="O53" s="216"/>
      <c r="P53" s="214"/>
      <c r="Q53" s="214"/>
    </row>
    <row r="54" customFormat="false" ht="12.65" hidden="false" customHeight="false" outlineLevel="0" collapsed="false">
      <c r="A54" s="260" t="s">
        <v>195</v>
      </c>
      <c r="B54" s="260"/>
      <c r="C54" s="261" t="n">
        <f aca="false">Admin!B$4</f>
        <v>46118</v>
      </c>
      <c r="D54" s="263"/>
      <c r="E54" s="221"/>
      <c r="F54" s="222"/>
      <c r="G54" s="216"/>
      <c r="H54" s="174"/>
      <c r="I54" s="214"/>
      <c r="J54" s="174"/>
      <c r="K54" s="214"/>
      <c r="L54" s="216"/>
      <c r="M54" s="223"/>
      <c r="N54" s="217"/>
      <c r="O54" s="216"/>
      <c r="P54" s="214"/>
      <c r="Q54" s="214"/>
    </row>
    <row r="55" customFormat="false" ht="12.65" hidden="false" customHeight="false" outlineLevel="0" collapsed="false">
      <c r="A55" s="224"/>
      <c r="B55" s="225"/>
      <c r="C55" s="256"/>
      <c r="D55" s="226"/>
      <c r="E55" s="217"/>
      <c r="F55" s="242"/>
      <c r="G55" s="216"/>
      <c r="H55" s="174" t="n">
        <v>0</v>
      </c>
      <c r="I55" s="174" t="n">
        <v>0</v>
      </c>
      <c r="J55" s="214" t="str">
        <f aca="false">IF(D55&gt;0,D55*J$4*(1-F55)," ")</f>
        <v> </v>
      </c>
      <c r="K55" s="214" t="str">
        <f aca="false">IF(D55&gt;0,D55-J55," ")</f>
        <v> </v>
      </c>
      <c r="L55" s="216"/>
      <c r="M55" s="229"/>
      <c r="N55" s="230"/>
      <c r="O55" s="216"/>
      <c r="P55" s="214" t="str">
        <f aca="false">IF((M55+N55)&gt;0,IF(N55&lt;K55,(K55-N55)*(1-F55)," ")," ")</f>
        <v> </v>
      </c>
      <c r="Q55" s="214" t="str">
        <f aca="false">IF((M55+N55)&gt;0,IF(N55&gt;K55,(N55-K55)*(1-F55)," ")," ")</f>
        <v> </v>
      </c>
    </row>
    <row r="56" customFormat="false" ht="12.65" hidden="false" customHeight="false" outlineLevel="0" collapsed="false">
      <c r="A56" s="229"/>
      <c r="B56" s="231"/>
      <c r="C56" s="258"/>
      <c r="D56" s="230"/>
      <c r="E56" s="217"/>
      <c r="F56" s="242"/>
      <c r="G56" s="216"/>
      <c r="H56" s="174" t="n">
        <v>0</v>
      </c>
      <c r="I56" s="174" t="n">
        <v>0</v>
      </c>
      <c r="J56" s="214" t="str">
        <f aca="false">IF(D56&gt;0,D56*J$4*(1-F56)," ")</f>
        <v> </v>
      </c>
      <c r="K56" s="214" t="str">
        <f aca="false">IF(D56&gt;0,D56-J56," ")</f>
        <v> </v>
      </c>
      <c r="L56" s="216"/>
      <c r="M56" s="229"/>
      <c r="N56" s="230"/>
      <c r="O56" s="216"/>
      <c r="P56" s="214" t="str">
        <f aca="false">IF((M56+N56)&gt;0,IF(N56&lt;K56,(K56-N56)*(1-F56)," ")," ")</f>
        <v> </v>
      </c>
      <c r="Q56" s="214" t="str">
        <f aca="false">IF((M56+N56)&gt;0,IF(N56&gt;K56,(N56-K56)*(1-F56)," ")," ")</f>
        <v> </v>
      </c>
    </row>
    <row r="57" customFormat="false" ht="12.65" hidden="false" customHeight="false" outlineLevel="0" collapsed="false">
      <c r="A57" s="229"/>
      <c r="B57" s="231"/>
      <c r="C57" s="258"/>
      <c r="D57" s="230"/>
      <c r="E57" s="217"/>
      <c r="F57" s="242"/>
      <c r="G57" s="216"/>
      <c r="H57" s="174" t="n">
        <v>0</v>
      </c>
      <c r="I57" s="174" t="n">
        <v>0</v>
      </c>
      <c r="J57" s="214" t="str">
        <f aca="false">IF(D57&gt;0,D57*J$4*(1-F57)," ")</f>
        <v> </v>
      </c>
      <c r="K57" s="214" t="str">
        <f aca="false">IF(D57&gt;0,D57-J57," ")</f>
        <v> </v>
      </c>
      <c r="L57" s="216"/>
      <c r="M57" s="229"/>
      <c r="N57" s="230"/>
      <c r="O57" s="216"/>
      <c r="P57" s="214" t="str">
        <f aca="false">IF((M57+N57)&gt;0,IF(N57&lt;K57,(K57-N57)*(1-F57)," ")," ")</f>
        <v> </v>
      </c>
      <c r="Q57" s="214" t="str">
        <f aca="false">IF((M57+N57)&gt;0,IF(N57&gt;K57,(N57-K57)*(1-F57)," ")," ")</f>
        <v> </v>
      </c>
    </row>
    <row r="58" customFormat="false" ht="12.65" hidden="false" customHeight="false" outlineLevel="0" collapsed="false">
      <c r="A58" s="229"/>
      <c r="B58" s="231"/>
      <c r="C58" s="258"/>
      <c r="D58" s="230"/>
      <c r="E58" s="217"/>
      <c r="F58" s="242"/>
      <c r="G58" s="216"/>
      <c r="H58" s="174" t="n">
        <v>0</v>
      </c>
      <c r="I58" s="174" t="n">
        <v>0</v>
      </c>
      <c r="J58" s="214" t="str">
        <f aca="false">IF(D58&gt;0,D58*J$4*(1-F58)," ")</f>
        <v> </v>
      </c>
      <c r="K58" s="214" t="str">
        <f aca="false">IF(D58&gt;0,D58-J58," ")</f>
        <v> </v>
      </c>
      <c r="L58" s="216"/>
      <c r="M58" s="229"/>
      <c r="N58" s="230"/>
      <c r="O58" s="216"/>
      <c r="P58" s="214" t="str">
        <f aca="false">IF((M58+N58)&gt;0,IF(N58&lt;K58,(K58-N58)*(1-F58)," ")," ")</f>
        <v> </v>
      </c>
      <c r="Q58" s="214" t="str">
        <f aca="false">IF((M58+N58)&gt;0,IF(N58&gt;K58,(N58-K58)*(1-F58)," ")," ")</f>
        <v> </v>
      </c>
    </row>
    <row r="59" customFormat="false" ht="12.65" hidden="false" customHeight="false" outlineLevel="0" collapsed="false">
      <c r="A59" s="229"/>
      <c r="B59" s="231"/>
      <c r="C59" s="258"/>
      <c r="D59" s="230"/>
      <c r="E59" s="217"/>
      <c r="F59" s="242"/>
      <c r="G59" s="216"/>
      <c r="H59" s="174" t="n">
        <v>0</v>
      </c>
      <c r="I59" s="174" t="n">
        <v>0</v>
      </c>
      <c r="J59" s="214" t="str">
        <f aca="false">IF(D59&gt;0,D59*J$4*(1-F59)," ")</f>
        <v> </v>
      </c>
      <c r="K59" s="214" t="str">
        <f aca="false">IF(D59&gt;0,D59-J59," ")</f>
        <v> </v>
      </c>
      <c r="L59" s="216"/>
      <c r="M59" s="229"/>
      <c r="N59" s="230"/>
      <c r="O59" s="216"/>
      <c r="P59" s="214" t="str">
        <f aca="false">IF((M59+N59)&gt;0,IF(N59&lt;K59,(K59-N59)*(1-F59)," ")," ")</f>
        <v> </v>
      </c>
      <c r="Q59" s="214" t="str">
        <f aca="false">IF((M59+N59)&gt;0,IF(N59&gt;K59,(N59-K59)*(1-F59)," ")," ")</f>
        <v> </v>
      </c>
    </row>
    <row r="60" customFormat="false" ht="12.65" hidden="false" customHeight="true" outlineLevel="0" collapsed="false">
      <c r="A60" s="264" t="s">
        <v>196</v>
      </c>
      <c r="B60" s="264"/>
      <c r="C60" s="265" t="n">
        <f aca="false">Admin!B$4</f>
        <v>46118</v>
      </c>
      <c r="D60" s="266" t="n">
        <f aca="false">SUM(D55:D59)</f>
        <v>0</v>
      </c>
      <c r="E60" s="217"/>
      <c r="F60" s="215"/>
      <c r="G60" s="216"/>
      <c r="H60" s="238" t="n">
        <f aca="false">SUM(H55:H59)</f>
        <v>0</v>
      </c>
      <c r="I60" s="239" t="n">
        <f aca="false">SUM(I55:I59)</f>
        <v>0</v>
      </c>
      <c r="J60" s="238" t="n">
        <f aca="false">SUM(J55:J59)</f>
        <v>0</v>
      </c>
      <c r="K60" s="237" t="n">
        <f aca="false">SUM(K55:K59)</f>
        <v>0</v>
      </c>
      <c r="L60" s="216"/>
      <c r="M60" s="223"/>
      <c r="N60" s="237" t="n">
        <f aca="false">SUM(N55:N59)</f>
        <v>0</v>
      </c>
      <c r="O60" s="216"/>
      <c r="P60" s="237" t="n">
        <f aca="false">SUM(P55:P59)</f>
        <v>0</v>
      </c>
      <c r="Q60" s="237" t="n">
        <f aca="false">SUM(Q55:Q59)</f>
        <v>0</v>
      </c>
    </row>
    <row r="61" customFormat="false" ht="12.65" hidden="false" customHeight="false" outlineLevel="0" collapsed="false">
      <c r="A61" s="223"/>
      <c r="B61" s="240"/>
      <c r="C61" s="262"/>
      <c r="D61" s="217"/>
      <c r="E61" s="217"/>
      <c r="F61" s="215"/>
      <c r="G61" s="216"/>
      <c r="H61" s="174"/>
      <c r="I61" s="214"/>
      <c r="J61" s="174"/>
      <c r="K61" s="214"/>
      <c r="L61" s="216"/>
      <c r="M61" s="223"/>
      <c r="N61" s="217"/>
      <c r="O61" s="216"/>
      <c r="P61" s="214"/>
      <c r="Q61" s="214"/>
    </row>
    <row r="62" customFormat="false" ht="12.65" hidden="false" customHeight="false" outlineLevel="0" collapsed="false">
      <c r="A62" s="267" t="s">
        <v>197</v>
      </c>
      <c r="B62" s="267"/>
      <c r="C62" s="268" t="str">
        <f aca="false">Admin!G$2</f>
        <v>2026-27</v>
      </c>
      <c r="D62" s="248" t="n">
        <f aca="false">D44+D52+D60</f>
        <v>8000</v>
      </c>
      <c r="E62" s="217"/>
      <c r="F62" s="215"/>
      <c r="G62" s="216"/>
      <c r="H62" s="249" t="n">
        <f aca="false">H44+H52+H60</f>
        <v>0</v>
      </c>
      <c r="I62" s="250" t="n">
        <f aca="false">I44+I52+I60</f>
        <v>0</v>
      </c>
      <c r="J62" s="249" t="n">
        <f aca="false">J44+J52+J60</f>
        <v>1120</v>
      </c>
      <c r="K62" s="248" t="n">
        <f aca="false">K44+K52+K60</f>
        <v>6880</v>
      </c>
      <c r="L62" s="216"/>
      <c r="M62" s="223"/>
      <c r="N62" s="248" t="n">
        <f aca="false">N44+N52+N60</f>
        <v>0</v>
      </c>
      <c r="O62" s="216"/>
      <c r="P62" s="248" t="n">
        <f aca="false">P44+P52+P60</f>
        <v>0</v>
      </c>
      <c r="Q62" s="248" t="n">
        <f aca="false">Q44+Q52+Q60</f>
        <v>0</v>
      </c>
    </row>
    <row r="63" customFormat="false" ht="12" hidden="false" customHeight="false" outlineLevel="0" collapsed="false">
      <c r="A63" s="223"/>
      <c r="B63" s="240"/>
      <c r="C63" s="240"/>
      <c r="D63" s="217"/>
      <c r="E63" s="217"/>
      <c r="F63" s="215"/>
      <c r="G63" s="269"/>
      <c r="H63" s="217"/>
      <c r="I63" s="214"/>
      <c r="J63" s="214"/>
      <c r="K63" s="214"/>
      <c r="L63" s="269"/>
      <c r="M63" s="223"/>
      <c r="N63" s="217"/>
      <c r="O63" s="269"/>
      <c r="P63" s="214"/>
      <c r="Q63" s="214"/>
    </row>
  </sheetData>
  <mergeCells count="31">
    <mergeCell ref="A1:A4"/>
    <mergeCell ref="E1:E4"/>
    <mergeCell ref="F1:F4"/>
    <mergeCell ref="G1:G4"/>
    <mergeCell ref="L1:L4"/>
    <mergeCell ref="M1:M4"/>
    <mergeCell ref="O1:O4"/>
    <mergeCell ref="B2:B4"/>
    <mergeCell ref="C2:C4"/>
    <mergeCell ref="D2:D4"/>
    <mergeCell ref="H2:H3"/>
    <mergeCell ref="I2:I3"/>
    <mergeCell ref="J2:J3"/>
    <mergeCell ref="K2:K3"/>
    <mergeCell ref="N2:N4"/>
    <mergeCell ref="P2:P4"/>
    <mergeCell ref="Q2:Q4"/>
    <mergeCell ref="A6:C6"/>
    <mergeCell ref="A15:B15"/>
    <mergeCell ref="A17:B17"/>
    <mergeCell ref="A23:B23"/>
    <mergeCell ref="A25:B25"/>
    <mergeCell ref="A31:B31"/>
    <mergeCell ref="A33:B33"/>
    <mergeCell ref="A35:C35"/>
    <mergeCell ref="A44:B44"/>
    <mergeCell ref="A46:B46"/>
    <mergeCell ref="A52:B52"/>
    <mergeCell ref="A54:B54"/>
    <mergeCell ref="A60:B60"/>
    <mergeCell ref="A62:B62"/>
  </mergeCells>
  <printOptions headings="false" gridLines="false" gridLinesSet="true" horizontalCentered="true" verticalCentered="true"/>
  <pageMargins left="0.157638888888889" right="0.157638888888889" top="0.550694444444445" bottom="0.432638888888889" header="0.196527777777778" footer="0.118055555555556"/>
  <pageSetup paperSize="9" scale="100" fitToWidth="1" fitToHeight="1" pageOrder="downThenOver" orientation="landscape" blackAndWhite="false" draft="false" cellComments="none" horizontalDpi="300" verticalDpi="300" copies="1"/>
  <headerFooter differentFirst="false" differentOddEven="false">
    <oddHeader>&amp;C&amp;"Arial,Bold"&amp;11Fixed Assets Capital Allowances
&amp;"Arial,Regular"&amp;10 6 April 2015 - 5 April 216</oddHeader>
    <oddFooter>&amp;L&amp;D  &amp;T&amp;C&amp;P  of  &amp;N&amp;R&amp;F  &amp;A</oddFooter>
  </headerFooter>
  <rowBreaks count="1" manualBreakCount="1">
    <brk id="31" man="true" max="16383" min="0"/>
  </row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customHeight="false" zeroHeight="false" outlineLevelRow="0" outlineLevelCol="0"/>
  <cols>
    <col collapsed="false" customWidth="true" hidden="false" outlineLevel="0" max="1" min="1" style="125" width="2.66"/>
    <col collapsed="false" customWidth="true" hidden="false" outlineLevel="0" max="2" min="2" style="125" width="25.99"/>
    <col collapsed="false" customWidth="true" hidden="false" outlineLevel="0" max="3" min="3" style="125" width="11.32"/>
    <col collapsed="false" customWidth="true" hidden="false" outlineLevel="0" max="4" min="4" style="270" width="13.49"/>
    <col collapsed="false" customWidth="true" hidden="false" outlineLevel="0" max="5" min="5" style="271" width="12.66"/>
    <col collapsed="false" customWidth="true" hidden="false" outlineLevel="0" max="6" min="6" style="272" width="4.15"/>
    <col collapsed="false" customWidth="true" hidden="false" outlineLevel="0" max="7" min="7" style="126" width="2.66"/>
    <col collapsed="false" customWidth="false" hidden="false" outlineLevel="0" max="257" min="8" style="125" width="9.15"/>
  </cols>
  <sheetData>
    <row r="1" customFormat="false" ht="12.75" hidden="false" customHeight="false" outlineLevel="0" collapsed="false">
      <c r="A1" s="134"/>
      <c r="B1" s="134"/>
      <c r="C1" s="134"/>
      <c r="D1" s="273"/>
      <c r="E1" s="274"/>
      <c r="F1" s="275"/>
      <c r="G1" s="134"/>
    </row>
    <row r="2" customFormat="false" ht="18" hidden="false" customHeight="true" outlineLevel="0" collapsed="false">
      <c r="A2" s="134"/>
      <c r="B2" s="276" t="s">
        <v>198</v>
      </c>
      <c r="C2" s="277" t="str">
        <f aca="false">Admin!K$2</f>
        <v>2026-27</v>
      </c>
      <c r="D2" s="278" t="s">
        <v>199</v>
      </c>
      <c r="E2" s="278"/>
      <c r="F2" s="278"/>
      <c r="G2" s="279"/>
    </row>
    <row r="3" customFormat="false" ht="18.75" hidden="false" customHeight="true" outlineLevel="0" collapsed="false">
      <c r="A3" s="134"/>
      <c r="B3" s="280"/>
      <c r="C3" s="280"/>
      <c r="D3" s="278"/>
      <c r="E3" s="278"/>
      <c r="F3" s="278"/>
      <c r="G3" s="279"/>
    </row>
    <row r="4" customFormat="false" ht="12.75" hidden="false" customHeight="false" outlineLevel="0" collapsed="false">
      <c r="A4" s="134"/>
      <c r="B4" s="143"/>
      <c r="C4" s="143"/>
      <c r="D4" s="281"/>
      <c r="E4" s="274"/>
      <c r="F4" s="275"/>
      <c r="G4" s="279"/>
    </row>
    <row r="5" customFormat="false" ht="12.75" hidden="false" customHeight="false" outlineLevel="0" collapsed="false">
      <c r="A5" s="134"/>
      <c r="B5" s="282" t="s">
        <v>200</v>
      </c>
      <c r="C5" s="282"/>
      <c r="D5" s="282"/>
      <c r="E5" s="283" t="n">
        <f aca="false">'SE Short'!D106</f>
        <v>29065</v>
      </c>
      <c r="F5" s="275"/>
      <c r="G5" s="279"/>
      <c r="K5" s="284"/>
    </row>
    <row r="6" customFormat="false" ht="12.75" hidden="false" customHeight="false" outlineLevel="0" collapsed="false">
      <c r="A6" s="134"/>
      <c r="B6" s="143" t="s">
        <v>201</v>
      </c>
      <c r="C6" s="143" t="str">
        <f aca="false">C2</f>
        <v>2026-27</v>
      </c>
      <c r="D6" s="285"/>
      <c r="E6" s="279" t="n">
        <f aca="false">IF(E5&lt;=0,0,MAX(0,Admin!N$4-MAX(0,E5-Admin!N$5)/2))</f>
        <v>12570</v>
      </c>
      <c r="F6" s="275"/>
      <c r="G6" s="279"/>
      <c r="K6" s="284"/>
    </row>
    <row r="7" customFormat="false" ht="12.75" hidden="false" customHeight="false" outlineLevel="0" collapsed="false">
      <c r="A7" s="134"/>
      <c r="B7" s="282" t="s">
        <v>202</v>
      </c>
      <c r="C7" s="282"/>
      <c r="D7" s="282"/>
      <c r="E7" s="283" t="n">
        <f aca="false">IF((E5&gt;E6),(E5-E6),0)</f>
        <v>16495</v>
      </c>
      <c r="F7" s="275"/>
      <c r="G7" s="279"/>
      <c r="K7" s="284"/>
    </row>
    <row r="8" customFormat="false" ht="12.75" hidden="false" customHeight="false" outlineLevel="0" collapsed="false">
      <c r="A8" s="134"/>
      <c r="B8" s="143" t="s">
        <v>203</v>
      </c>
      <c r="C8" s="143" t="n">
        <f aca="false">Admin!N$11</f>
        <v>0</v>
      </c>
      <c r="D8" s="286" t="n">
        <f aca="false">Admin!N$6</f>
        <v>0.2</v>
      </c>
      <c r="E8" s="274" t="n">
        <f aca="false">IF((E7&gt;0),(IF((E7&lt;C9),E7*D8,C9*D8)),0)</f>
        <v>3299</v>
      </c>
      <c r="F8" s="275"/>
      <c r="G8" s="279"/>
      <c r="H8" s="287"/>
      <c r="K8" s="284"/>
    </row>
    <row r="9" customFormat="false" ht="12.75" hidden="false" customHeight="false" outlineLevel="0" collapsed="false">
      <c r="A9" s="134"/>
      <c r="B9" s="143" t="s">
        <v>204</v>
      </c>
      <c r="C9" s="143" t="n">
        <f aca="false">Admin!M$11</f>
        <v>37700</v>
      </c>
      <c r="D9" s="286" t="n">
        <f aca="false">Admin!N$7</f>
        <v>0.4</v>
      </c>
      <c r="E9" s="274" t="n">
        <f aca="false">IF(E7&gt;C9,(MIN(E7,C10)-C9)*D9,0)</f>
        <v>0</v>
      </c>
      <c r="F9" s="275"/>
      <c r="G9" s="279"/>
      <c r="K9" s="284"/>
    </row>
    <row r="10" customFormat="false" ht="12.75" hidden="false" customHeight="false" outlineLevel="0" collapsed="false">
      <c r="A10" s="134"/>
      <c r="B10" s="143" t="s">
        <v>205</v>
      </c>
      <c r="C10" s="143" t="n">
        <f aca="false">Admin!N$13</f>
        <v>125140</v>
      </c>
      <c r="D10" s="286" t="n">
        <f aca="false">Admin!N$8</f>
        <v>0.45</v>
      </c>
      <c r="E10" s="274" t="n">
        <f aca="false">IF(E7&gt;C10,(E7-C10)*D10,0)</f>
        <v>0</v>
      </c>
      <c r="F10" s="275"/>
      <c r="G10" s="279"/>
      <c r="K10" s="284"/>
    </row>
    <row r="11" customFormat="false" ht="12.75" hidden="false" customHeight="false" outlineLevel="0" collapsed="false">
      <c r="A11" s="134"/>
      <c r="B11" s="288" t="s">
        <v>206</v>
      </c>
      <c r="C11" s="289"/>
      <c r="D11" s="290"/>
      <c r="E11" s="291" t="n">
        <f aca="false">SUM(E8:E10)</f>
        <v>3299</v>
      </c>
      <c r="F11" s="292"/>
      <c r="G11" s="293"/>
      <c r="K11" s="284"/>
    </row>
    <row r="12" customFormat="false" ht="12.75" hidden="false" customHeight="false" outlineLevel="0" collapsed="false">
      <c r="A12" s="134"/>
      <c r="B12" s="294" t="s">
        <v>207</v>
      </c>
      <c r="C12" s="295" t="n">
        <f aca="false">Admin!B$21</f>
        <v>46783</v>
      </c>
      <c r="D12" s="295"/>
      <c r="E12" s="274"/>
      <c r="F12" s="292"/>
      <c r="G12" s="293"/>
      <c r="K12" s="284"/>
    </row>
    <row r="13" customFormat="false" ht="9.75" hidden="false" customHeight="true" outlineLevel="0" collapsed="false">
      <c r="A13" s="134"/>
      <c r="B13" s="143"/>
      <c r="C13" s="143"/>
      <c r="D13" s="296"/>
      <c r="E13" s="297"/>
      <c r="F13" s="275"/>
      <c r="G13" s="293"/>
      <c r="K13" s="284"/>
    </row>
    <row r="14" customFormat="false" ht="12.75" hidden="false" customHeight="false" outlineLevel="0" collapsed="false">
      <c r="A14" s="134"/>
      <c r="B14" s="298" t="s">
        <v>208</v>
      </c>
      <c r="C14" s="298"/>
      <c r="D14" s="286" t="n">
        <f aca="false">Admin!L$20</f>
        <v>0.06</v>
      </c>
      <c r="E14" s="299" t="n">
        <f aca="false">IF(E5&gt;Admin!N20,IF(E5&lt;Admin!N$23,(E5-Admin!N20)*D14,(Admin!N$23-Admin!N20)*D14),0)</f>
        <v>989.7</v>
      </c>
      <c r="F14" s="275"/>
      <c r="G14" s="293"/>
      <c r="K14" s="284"/>
    </row>
    <row r="15" customFormat="false" ht="12.75" hidden="false" customHeight="false" outlineLevel="0" collapsed="false">
      <c r="A15" s="134"/>
      <c r="B15" s="298" t="s">
        <v>209</v>
      </c>
      <c r="C15" s="298"/>
      <c r="D15" s="286" t="n">
        <f aca="false">Admin!L$23</f>
        <v>0.02</v>
      </c>
      <c r="E15" s="299" t="n">
        <f aca="false">IF((E5&gt;Admin!N$23),((E5-Admin!N$23)*D15),0)</f>
        <v>0</v>
      </c>
      <c r="F15" s="275"/>
      <c r="G15" s="293"/>
      <c r="K15" s="284"/>
    </row>
    <row r="16" customFormat="false" ht="12.75" hidden="false" customHeight="false" outlineLevel="0" collapsed="false">
      <c r="A16" s="134"/>
      <c r="B16" s="143"/>
      <c r="C16" s="143"/>
      <c r="D16" s="296"/>
      <c r="E16" s="297"/>
      <c r="F16" s="275"/>
      <c r="G16" s="293"/>
      <c r="K16" s="284"/>
    </row>
    <row r="17" customFormat="false" ht="12.75" hidden="false" customHeight="false" outlineLevel="0" collapsed="false">
      <c r="A17" s="134"/>
      <c r="B17" s="300" t="s">
        <v>210</v>
      </c>
      <c r="C17" s="300"/>
      <c r="D17" s="296"/>
      <c r="E17" s="291" t="n">
        <f aca="false">SUM(E11:E16)</f>
        <v>4288.7</v>
      </c>
      <c r="F17" s="275"/>
      <c r="G17" s="279"/>
      <c r="K17" s="284"/>
    </row>
    <row r="18" customFormat="false" ht="12.75" hidden="false" customHeight="false" outlineLevel="0" collapsed="false">
      <c r="A18" s="134"/>
      <c r="B18" s="301"/>
      <c r="C18" s="301"/>
      <c r="D18" s="296"/>
      <c r="E18" s="297"/>
      <c r="F18" s="275"/>
      <c r="G18" s="279"/>
    </row>
    <row r="19" customFormat="false" ht="12.75" hidden="false" customHeight="false" outlineLevel="0" collapsed="false">
      <c r="A19" s="134"/>
      <c r="B19" s="301"/>
      <c r="C19" s="301"/>
      <c r="D19" s="296"/>
      <c r="E19" s="297"/>
      <c r="F19" s="275"/>
      <c r="G19" s="279"/>
    </row>
    <row r="20" customFormat="false" ht="18" hidden="false" customHeight="true" outlineLevel="0" collapsed="false">
      <c r="A20" s="134"/>
      <c r="B20" s="288" t="s">
        <v>211</v>
      </c>
      <c r="C20" s="302"/>
      <c r="D20" s="303" t="s">
        <v>212</v>
      </c>
      <c r="E20" s="303"/>
      <c r="F20" s="303"/>
      <c r="G20" s="134"/>
    </row>
    <row r="21" customFormat="false" ht="12.75" hidden="false" customHeight="true" outlineLevel="0" collapsed="false">
      <c r="A21" s="134"/>
      <c r="B21" s="143"/>
      <c r="C21" s="143"/>
      <c r="D21" s="296"/>
      <c r="E21" s="297"/>
      <c r="F21" s="275"/>
      <c r="G21" s="293"/>
    </row>
    <row r="22" customFormat="false" ht="12.75" hidden="false" customHeight="true" outlineLevel="0" collapsed="false">
      <c r="A22" s="304"/>
      <c r="B22" s="143"/>
      <c r="C22" s="143"/>
      <c r="D22" s="305" t="s">
        <v>213</v>
      </c>
      <c r="E22" s="306" t="s">
        <v>214</v>
      </c>
      <c r="F22" s="307"/>
      <c r="G22" s="279"/>
      <c r="H22" s="308"/>
      <c r="I22" s="308"/>
      <c r="J22" s="308"/>
      <c r="K22" s="308"/>
      <c r="L22" s="308"/>
      <c r="M22" s="308"/>
      <c r="N22" s="308"/>
      <c r="O22" s="308"/>
      <c r="P22" s="308"/>
      <c r="Q22" s="308"/>
      <c r="R22" s="308"/>
      <c r="S22" s="308"/>
      <c r="T22" s="308"/>
      <c r="U22" s="308"/>
      <c r="V22" s="308"/>
      <c r="W22" s="308"/>
      <c r="X22" s="308"/>
      <c r="Y22" s="308"/>
      <c r="Z22" s="308"/>
      <c r="AA22" s="308"/>
      <c r="AB22" s="308"/>
      <c r="AC22" s="308"/>
      <c r="AD22" s="308"/>
      <c r="AE22" s="308"/>
      <c r="AF22" s="308"/>
      <c r="AG22" s="308"/>
      <c r="AH22" s="308"/>
      <c r="AI22" s="308"/>
      <c r="AJ22" s="308"/>
      <c r="AK22" s="308"/>
      <c r="AL22" s="308"/>
      <c r="AM22" s="308"/>
      <c r="AN22" s="308"/>
      <c r="AO22" s="308"/>
      <c r="AP22" s="308"/>
      <c r="AQ22" s="308"/>
      <c r="AR22" s="308"/>
      <c r="AS22" s="308"/>
      <c r="AT22" s="308"/>
      <c r="AU22" s="308"/>
      <c r="AV22" s="308"/>
      <c r="AW22" s="308"/>
      <c r="AX22" s="308"/>
      <c r="AY22" s="308"/>
      <c r="AZ22" s="308"/>
      <c r="BA22" s="308"/>
      <c r="BB22" s="308"/>
      <c r="BC22" s="308"/>
      <c r="BD22" s="308"/>
      <c r="BE22" s="308"/>
      <c r="BF22" s="308"/>
      <c r="BG22" s="308"/>
      <c r="BH22" s="308"/>
      <c r="BI22" s="308"/>
      <c r="BJ22" s="308"/>
      <c r="BK22" s="308"/>
      <c r="BL22" s="308"/>
      <c r="BM22" s="308"/>
      <c r="BN22" s="308"/>
      <c r="BO22" s="308"/>
      <c r="BP22" s="308"/>
      <c r="BQ22" s="308"/>
      <c r="BR22" s="308"/>
      <c r="BS22" s="308"/>
      <c r="BT22" s="308"/>
      <c r="BU22" s="308"/>
      <c r="BV22" s="308"/>
      <c r="BW22" s="308"/>
      <c r="BX22" s="308"/>
      <c r="BY22" s="308"/>
      <c r="BZ22" s="308"/>
      <c r="CA22" s="308"/>
      <c r="CB22" s="308"/>
      <c r="CC22" s="308"/>
      <c r="CD22" s="308"/>
      <c r="CE22" s="308"/>
      <c r="CF22" s="308"/>
      <c r="CG22" s="308"/>
      <c r="CH22" s="308"/>
      <c r="CI22" s="308"/>
      <c r="CJ22" s="308"/>
      <c r="CK22" s="308"/>
      <c r="CL22" s="308"/>
      <c r="CM22" s="308"/>
      <c r="CN22" s="308"/>
      <c r="CO22" s="308"/>
      <c r="CP22" s="308"/>
      <c r="CQ22" s="308"/>
      <c r="CR22" s="308"/>
      <c r="CS22" s="308"/>
      <c r="CT22" s="308"/>
      <c r="CU22" s="308"/>
      <c r="CV22" s="308"/>
      <c r="CW22" s="308"/>
      <c r="CX22" s="308"/>
      <c r="CY22" s="308"/>
      <c r="CZ22" s="308"/>
      <c r="DA22" s="308"/>
      <c r="DB22" s="308"/>
      <c r="DC22" s="308"/>
      <c r="DD22" s="308"/>
      <c r="DE22" s="308"/>
      <c r="DF22" s="308"/>
      <c r="DG22" s="308"/>
      <c r="DH22" s="308"/>
      <c r="DI22" s="308"/>
      <c r="DJ22" s="308"/>
      <c r="DK22" s="308"/>
      <c r="DL22" s="308"/>
      <c r="DM22" s="308"/>
      <c r="DN22" s="308"/>
      <c r="DO22" s="308"/>
      <c r="DP22" s="308"/>
      <c r="DQ22" s="308"/>
      <c r="DR22" s="308"/>
      <c r="DS22" s="308"/>
      <c r="DT22" s="308"/>
      <c r="DU22" s="308"/>
      <c r="DV22" s="308"/>
      <c r="DW22" s="308"/>
      <c r="DX22" s="308"/>
      <c r="DY22" s="308"/>
      <c r="DZ22" s="308"/>
      <c r="EA22" s="308"/>
      <c r="EB22" s="308"/>
      <c r="EC22" s="308"/>
      <c r="ED22" s="308"/>
      <c r="EE22" s="308"/>
      <c r="EF22" s="308"/>
      <c r="EG22" s="308"/>
      <c r="EH22" s="308"/>
      <c r="EI22" s="308"/>
      <c r="EJ22" s="308"/>
      <c r="EK22" s="308"/>
      <c r="EL22" s="308"/>
      <c r="EM22" s="308"/>
      <c r="EN22" s="308"/>
      <c r="EO22" s="308"/>
      <c r="EP22" s="308"/>
      <c r="EQ22" s="308"/>
      <c r="ER22" s="308"/>
      <c r="ES22" s="308"/>
      <c r="ET22" s="308"/>
      <c r="EU22" s="308"/>
      <c r="EV22" s="308"/>
      <c r="EW22" s="308"/>
      <c r="EX22" s="308"/>
      <c r="EY22" s="308"/>
      <c r="EZ22" s="308"/>
      <c r="FA22" s="308"/>
      <c r="FB22" s="308"/>
      <c r="FC22" s="308"/>
      <c r="FD22" s="308"/>
      <c r="FE22" s="308"/>
      <c r="FF22" s="308"/>
      <c r="FG22" s="308"/>
      <c r="FH22" s="308"/>
      <c r="FI22" s="308"/>
      <c r="FJ22" s="308"/>
      <c r="FK22" s="308"/>
      <c r="FL22" s="308"/>
      <c r="FM22" s="308"/>
      <c r="FN22" s="308"/>
      <c r="FO22" s="308"/>
      <c r="FP22" s="308"/>
      <c r="FQ22" s="308"/>
      <c r="FR22" s="308"/>
      <c r="FS22" s="308"/>
      <c r="FT22" s="308"/>
      <c r="FU22" s="308"/>
      <c r="FV22" s="308"/>
      <c r="FW22" s="308"/>
      <c r="FX22" s="308"/>
      <c r="FY22" s="308"/>
      <c r="FZ22" s="308"/>
      <c r="GA22" s="308"/>
      <c r="GB22" s="308"/>
      <c r="GC22" s="308"/>
      <c r="GD22" s="308"/>
      <c r="GE22" s="308"/>
      <c r="GF22" s="308"/>
      <c r="GG22" s="308"/>
      <c r="GH22" s="308"/>
      <c r="GI22" s="308"/>
      <c r="GJ22" s="308"/>
      <c r="GK22" s="308"/>
      <c r="GL22" s="308"/>
      <c r="GM22" s="308"/>
      <c r="GN22" s="308"/>
      <c r="GO22" s="308"/>
      <c r="GP22" s="308"/>
      <c r="GQ22" s="308"/>
      <c r="GR22" s="308"/>
      <c r="GS22" s="308"/>
      <c r="GT22" s="308"/>
      <c r="GU22" s="308"/>
      <c r="GV22" s="308"/>
      <c r="GW22" s="308"/>
      <c r="GX22" s="308"/>
      <c r="GY22" s="308"/>
      <c r="GZ22" s="308"/>
      <c r="HA22" s="308"/>
      <c r="HB22" s="308"/>
      <c r="HC22" s="308"/>
      <c r="HD22" s="308"/>
      <c r="HE22" s="308"/>
      <c r="HF22" s="308"/>
      <c r="HG22" s="308"/>
      <c r="HH22" s="308"/>
      <c r="HI22" s="308"/>
      <c r="HJ22" s="308"/>
      <c r="HK22" s="308"/>
      <c r="HL22" s="308"/>
      <c r="HM22" s="308"/>
      <c r="HN22" s="308"/>
      <c r="HO22" s="308"/>
      <c r="HP22" s="308"/>
      <c r="HQ22" s="308"/>
      <c r="HR22" s="308"/>
      <c r="HS22" s="308"/>
      <c r="HT22" s="308"/>
      <c r="HU22" s="308"/>
      <c r="HV22" s="308"/>
      <c r="HW22" s="308"/>
      <c r="HX22" s="308"/>
      <c r="HY22" s="308"/>
      <c r="HZ22" s="308"/>
      <c r="IA22" s="308"/>
      <c r="IB22" s="308"/>
      <c r="IC22" s="308"/>
      <c r="ID22" s="308"/>
      <c r="IE22" s="308"/>
      <c r="IF22" s="308"/>
      <c r="IG22" s="308"/>
      <c r="IH22" s="308"/>
      <c r="II22" s="308"/>
      <c r="IJ22" s="308"/>
      <c r="IK22" s="308"/>
      <c r="IL22" s="308"/>
      <c r="IM22" s="308"/>
      <c r="IN22" s="308"/>
      <c r="IO22" s="308"/>
      <c r="IP22" s="308"/>
      <c r="IQ22" s="308"/>
      <c r="IR22" s="308"/>
      <c r="IS22" s="308"/>
      <c r="IT22" s="308"/>
      <c r="IU22" s="308"/>
      <c r="IV22" s="308"/>
      <c r="IW22" s="308"/>
    </row>
    <row r="23" customFormat="false" ht="12.75" hidden="false" customHeight="false" outlineLevel="0" collapsed="false">
      <c r="A23" s="304"/>
      <c r="B23" s="143"/>
      <c r="C23" s="143"/>
      <c r="D23" s="305"/>
      <c r="E23" s="305"/>
      <c r="F23" s="307"/>
      <c r="G23" s="279"/>
      <c r="H23" s="308"/>
      <c r="I23" s="308"/>
      <c r="J23" s="308"/>
      <c r="K23" s="308"/>
      <c r="L23" s="308"/>
      <c r="M23" s="308"/>
      <c r="N23" s="308"/>
      <c r="O23" s="308"/>
      <c r="P23" s="308"/>
      <c r="Q23" s="308"/>
      <c r="R23" s="308"/>
      <c r="S23" s="308"/>
      <c r="T23" s="308"/>
      <c r="U23" s="308"/>
      <c r="V23" s="308"/>
      <c r="W23" s="308"/>
      <c r="X23" s="308"/>
      <c r="Y23" s="308"/>
      <c r="Z23" s="308"/>
      <c r="AA23" s="308"/>
      <c r="AB23" s="308"/>
      <c r="AC23" s="308"/>
      <c r="AD23" s="308"/>
      <c r="AE23" s="308"/>
      <c r="AF23" s="308"/>
      <c r="AG23" s="308"/>
      <c r="AH23" s="308"/>
      <c r="AI23" s="308"/>
      <c r="AJ23" s="308"/>
      <c r="AK23" s="308"/>
      <c r="AL23" s="308"/>
      <c r="AM23" s="308"/>
      <c r="AN23" s="308"/>
      <c r="AO23" s="308"/>
      <c r="AP23" s="308"/>
      <c r="AQ23" s="308"/>
      <c r="AR23" s="308"/>
      <c r="AS23" s="308"/>
      <c r="AT23" s="308"/>
      <c r="AU23" s="308"/>
      <c r="AV23" s="308"/>
      <c r="AW23" s="308"/>
      <c r="AX23" s="308"/>
      <c r="AY23" s="308"/>
      <c r="AZ23" s="308"/>
      <c r="BA23" s="308"/>
      <c r="BB23" s="308"/>
      <c r="BC23" s="308"/>
      <c r="BD23" s="308"/>
      <c r="BE23" s="308"/>
      <c r="BF23" s="308"/>
      <c r="BG23" s="308"/>
      <c r="BH23" s="308"/>
      <c r="BI23" s="308"/>
      <c r="BJ23" s="308"/>
      <c r="BK23" s="308"/>
      <c r="BL23" s="308"/>
      <c r="BM23" s="308"/>
      <c r="BN23" s="308"/>
      <c r="BO23" s="308"/>
      <c r="BP23" s="308"/>
      <c r="BQ23" s="308"/>
      <c r="BR23" s="308"/>
      <c r="BS23" s="308"/>
      <c r="BT23" s="308"/>
      <c r="BU23" s="308"/>
      <c r="BV23" s="308"/>
      <c r="BW23" s="308"/>
      <c r="BX23" s="308"/>
      <c r="BY23" s="308"/>
      <c r="BZ23" s="308"/>
      <c r="CA23" s="308"/>
      <c r="CB23" s="308"/>
      <c r="CC23" s="308"/>
      <c r="CD23" s="308"/>
      <c r="CE23" s="308"/>
      <c r="CF23" s="308"/>
      <c r="CG23" s="308"/>
      <c r="CH23" s="308"/>
      <c r="CI23" s="308"/>
      <c r="CJ23" s="308"/>
      <c r="CK23" s="308"/>
      <c r="CL23" s="308"/>
      <c r="CM23" s="308"/>
      <c r="CN23" s="308"/>
      <c r="CO23" s="308"/>
      <c r="CP23" s="308"/>
      <c r="CQ23" s="308"/>
      <c r="CR23" s="308"/>
      <c r="CS23" s="308"/>
      <c r="CT23" s="308"/>
      <c r="CU23" s="308"/>
      <c r="CV23" s="308"/>
      <c r="CW23" s="308"/>
      <c r="CX23" s="308"/>
      <c r="CY23" s="308"/>
      <c r="CZ23" s="308"/>
      <c r="DA23" s="308"/>
      <c r="DB23" s="308"/>
      <c r="DC23" s="308"/>
      <c r="DD23" s="308"/>
      <c r="DE23" s="308"/>
      <c r="DF23" s="308"/>
      <c r="DG23" s="308"/>
      <c r="DH23" s="308"/>
      <c r="DI23" s="308"/>
      <c r="DJ23" s="308"/>
      <c r="DK23" s="308"/>
      <c r="DL23" s="308"/>
      <c r="DM23" s="308"/>
      <c r="DN23" s="308"/>
      <c r="DO23" s="308"/>
      <c r="DP23" s="308"/>
      <c r="DQ23" s="308"/>
      <c r="DR23" s="308"/>
      <c r="DS23" s="308"/>
      <c r="DT23" s="308"/>
      <c r="DU23" s="308"/>
      <c r="DV23" s="308"/>
      <c r="DW23" s="308"/>
      <c r="DX23" s="308"/>
      <c r="DY23" s="308"/>
      <c r="DZ23" s="308"/>
      <c r="EA23" s="308"/>
      <c r="EB23" s="308"/>
      <c r="EC23" s="308"/>
      <c r="ED23" s="308"/>
      <c r="EE23" s="308"/>
      <c r="EF23" s="308"/>
      <c r="EG23" s="308"/>
      <c r="EH23" s="308"/>
      <c r="EI23" s="308"/>
      <c r="EJ23" s="308"/>
      <c r="EK23" s="308"/>
      <c r="EL23" s="308"/>
      <c r="EM23" s="308"/>
      <c r="EN23" s="308"/>
      <c r="EO23" s="308"/>
      <c r="EP23" s="308"/>
      <c r="EQ23" s="308"/>
      <c r="ER23" s="308"/>
      <c r="ES23" s="308"/>
      <c r="ET23" s="308"/>
      <c r="EU23" s="308"/>
      <c r="EV23" s="308"/>
      <c r="EW23" s="308"/>
      <c r="EX23" s="308"/>
      <c r="EY23" s="308"/>
      <c r="EZ23" s="308"/>
      <c r="FA23" s="308"/>
      <c r="FB23" s="308"/>
      <c r="FC23" s="308"/>
      <c r="FD23" s="308"/>
      <c r="FE23" s="308"/>
      <c r="FF23" s="308"/>
      <c r="FG23" s="308"/>
      <c r="FH23" s="308"/>
      <c r="FI23" s="308"/>
      <c r="FJ23" s="308"/>
      <c r="FK23" s="308"/>
      <c r="FL23" s="308"/>
      <c r="FM23" s="308"/>
      <c r="FN23" s="308"/>
      <c r="FO23" s="308"/>
      <c r="FP23" s="308"/>
      <c r="FQ23" s="308"/>
      <c r="FR23" s="308"/>
      <c r="FS23" s="308"/>
      <c r="FT23" s="308"/>
      <c r="FU23" s="308"/>
      <c r="FV23" s="308"/>
      <c r="FW23" s="308"/>
      <c r="FX23" s="308"/>
      <c r="FY23" s="308"/>
      <c r="FZ23" s="308"/>
      <c r="GA23" s="308"/>
      <c r="GB23" s="308"/>
      <c r="GC23" s="308"/>
      <c r="GD23" s="308"/>
      <c r="GE23" s="308"/>
      <c r="GF23" s="308"/>
      <c r="GG23" s="308"/>
      <c r="GH23" s="308"/>
      <c r="GI23" s="308"/>
      <c r="GJ23" s="308"/>
      <c r="GK23" s="308"/>
      <c r="GL23" s="308"/>
      <c r="GM23" s="308"/>
      <c r="GN23" s="308"/>
      <c r="GO23" s="308"/>
      <c r="GP23" s="308"/>
      <c r="GQ23" s="308"/>
      <c r="GR23" s="308"/>
      <c r="GS23" s="308"/>
      <c r="GT23" s="308"/>
      <c r="GU23" s="308"/>
      <c r="GV23" s="308"/>
      <c r="GW23" s="308"/>
      <c r="GX23" s="308"/>
      <c r="GY23" s="308"/>
      <c r="GZ23" s="308"/>
      <c r="HA23" s="308"/>
      <c r="HB23" s="308"/>
      <c r="HC23" s="308"/>
      <c r="HD23" s="308"/>
      <c r="HE23" s="308"/>
      <c r="HF23" s="308"/>
      <c r="HG23" s="308"/>
      <c r="HH23" s="308"/>
      <c r="HI23" s="308"/>
      <c r="HJ23" s="308"/>
      <c r="HK23" s="308"/>
      <c r="HL23" s="308"/>
      <c r="HM23" s="308"/>
      <c r="HN23" s="308"/>
      <c r="HO23" s="308"/>
      <c r="HP23" s="308"/>
      <c r="HQ23" s="308"/>
      <c r="HR23" s="308"/>
      <c r="HS23" s="308"/>
      <c r="HT23" s="308"/>
      <c r="HU23" s="308"/>
      <c r="HV23" s="308"/>
      <c r="HW23" s="308"/>
      <c r="HX23" s="308"/>
      <c r="HY23" s="308"/>
      <c r="HZ23" s="308"/>
      <c r="IA23" s="308"/>
      <c r="IB23" s="308"/>
      <c r="IC23" s="308"/>
      <c r="ID23" s="308"/>
      <c r="IE23" s="308"/>
      <c r="IF23" s="308"/>
      <c r="IG23" s="308"/>
      <c r="IH23" s="308"/>
      <c r="II23" s="308"/>
      <c r="IJ23" s="308"/>
      <c r="IK23" s="308"/>
      <c r="IL23" s="308"/>
      <c r="IM23" s="308"/>
      <c r="IN23" s="308"/>
      <c r="IO23" s="308"/>
      <c r="IP23" s="308"/>
      <c r="IQ23" s="308"/>
      <c r="IR23" s="308"/>
      <c r="IS23" s="308"/>
      <c r="IT23" s="308"/>
      <c r="IU23" s="308"/>
      <c r="IV23" s="308"/>
      <c r="IW23" s="308"/>
    </row>
    <row r="24" customFormat="false" ht="12.75" hidden="false" customHeight="false" outlineLevel="0" collapsed="false">
      <c r="A24" s="134"/>
      <c r="B24" s="143" t="s">
        <v>215</v>
      </c>
      <c r="C24" s="309" t="str">
        <f aca="false">Admin!B$24</f>
        <v>2027-28</v>
      </c>
      <c r="D24" s="310" t="s">
        <v>216</v>
      </c>
      <c r="E24" s="299" t="n">
        <f aca="false">E17</f>
        <v>4288.7</v>
      </c>
      <c r="F24" s="275"/>
      <c r="G24" s="279"/>
    </row>
    <row r="25" customFormat="false" ht="12.75" hidden="false" customHeight="false" outlineLevel="0" collapsed="false">
      <c r="A25" s="134"/>
      <c r="B25" s="143" t="s">
        <v>217</v>
      </c>
      <c r="C25" s="143"/>
      <c r="D25" s="311" t="n">
        <f aca="false">Admin!B$21</f>
        <v>46783</v>
      </c>
      <c r="E25" s="283" t="n">
        <f aca="false">E24/2</f>
        <v>2144.35</v>
      </c>
      <c r="F25" s="275"/>
      <c r="G25" s="279"/>
    </row>
    <row r="26" customFormat="false" ht="12.75" hidden="false" customHeight="false" outlineLevel="0" collapsed="false">
      <c r="A26" s="134"/>
      <c r="B26" s="143" t="s">
        <v>217</v>
      </c>
      <c r="C26" s="143"/>
      <c r="D26" s="311" t="n">
        <f aca="false">Admin!B$22</f>
        <v>46965</v>
      </c>
      <c r="E26" s="283" t="n">
        <f aca="false">E24/2</f>
        <v>2144.35</v>
      </c>
      <c r="F26" s="275"/>
      <c r="G26" s="279"/>
    </row>
    <row r="27" customFormat="false" ht="12.75" hidden="false" customHeight="false" outlineLevel="0" collapsed="false">
      <c r="A27" s="134"/>
      <c r="B27" s="134"/>
      <c r="C27" s="134"/>
      <c r="D27" s="296"/>
      <c r="E27" s="274"/>
      <c r="F27" s="275"/>
      <c r="G27" s="279"/>
    </row>
    <row r="28" customFormat="false" ht="12.75" hidden="false" customHeight="false" outlineLevel="0" collapsed="false">
      <c r="A28" s="134"/>
      <c r="B28" s="312" t="s">
        <v>218</v>
      </c>
      <c r="C28" s="159"/>
      <c r="D28" s="296"/>
      <c r="E28" s="274"/>
      <c r="F28" s="275"/>
      <c r="G28" s="279"/>
    </row>
    <row r="29" customFormat="false" ht="12.75" hidden="false" customHeight="false" outlineLevel="0" collapsed="false">
      <c r="A29" s="134"/>
      <c r="B29" s="313" t="s">
        <v>219</v>
      </c>
      <c r="C29" s="313"/>
      <c r="D29" s="134"/>
      <c r="E29" s="314"/>
      <c r="F29" s="275"/>
      <c r="G29" s="315"/>
    </row>
    <row r="30" customFormat="false" ht="12.75" hidden="false" customHeight="false" outlineLevel="0" collapsed="false">
      <c r="A30" s="134"/>
      <c r="B30" s="316" t="s">
        <v>220</v>
      </c>
      <c r="C30" s="316"/>
      <c r="D30" s="317"/>
      <c r="E30" s="314"/>
      <c r="F30" s="275"/>
      <c r="G30" s="315"/>
    </row>
    <row r="31" customFormat="false" ht="12.75" hidden="false" customHeight="false" outlineLevel="0" collapsed="false">
      <c r="A31" s="134"/>
      <c r="B31" s="318" t="s">
        <v>221</v>
      </c>
      <c r="C31" s="316"/>
      <c r="D31" s="317"/>
      <c r="E31" s="314"/>
      <c r="F31" s="275"/>
      <c r="G31" s="315"/>
    </row>
    <row r="32" customFormat="false" ht="12.75" hidden="false" customHeight="false" outlineLevel="0" collapsed="false">
      <c r="A32" s="134"/>
      <c r="B32" s="159" t="s">
        <v>222</v>
      </c>
      <c r="C32" s="159"/>
      <c r="D32" s="317"/>
      <c r="E32" s="319"/>
      <c r="F32" s="275"/>
      <c r="G32" s="315"/>
    </row>
    <row r="33" customFormat="false" ht="12.75" hidden="false" customHeight="false" outlineLevel="0" collapsed="false">
      <c r="A33" s="134"/>
      <c r="B33" s="159" t="s">
        <v>223</v>
      </c>
      <c r="C33" s="159"/>
      <c r="D33" s="317"/>
      <c r="E33" s="319"/>
      <c r="F33" s="275"/>
      <c r="G33" s="315"/>
    </row>
    <row r="34" customFormat="false" ht="12.75" hidden="false" customHeight="false" outlineLevel="0" collapsed="false">
      <c r="A34" s="134"/>
      <c r="B34" s="159" t="s">
        <v>224</v>
      </c>
      <c r="C34" s="159"/>
      <c r="D34" s="317"/>
      <c r="E34" s="319"/>
      <c r="F34" s="275"/>
      <c r="G34" s="315"/>
    </row>
    <row r="35" customFormat="false" ht="12.75" hidden="false" customHeight="false" outlineLevel="0" collapsed="false">
      <c r="A35" s="134"/>
      <c r="B35" s="134"/>
      <c r="C35" s="134"/>
      <c r="D35" s="317"/>
      <c r="E35" s="319"/>
      <c r="F35" s="275"/>
      <c r="G35" s="315"/>
    </row>
  </sheetData>
  <mergeCells count="10">
    <mergeCell ref="D2:F3"/>
    <mergeCell ref="B5:D5"/>
    <mergeCell ref="B7:D7"/>
    <mergeCell ref="C12:D12"/>
    <mergeCell ref="B14:C14"/>
    <mergeCell ref="B15:C15"/>
    <mergeCell ref="B17:C17"/>
    <mergeCell ref="D20:F20"/>
    <mergeCell ref="D22:D23"/>
    <mergeCell ref="E22:E23"/>
  </mergeCells>
  <printOptions headings="false" gridLines="false" gridLinesSet="true" horizontalCentered="false" verticalCentered="false"/>
  <pageMargins left="0.747916666666667" right="0.747916666666667" top="0.984027777777778" bottom="0.984027777777778" header="0.511805555555556" footer="0.511805555555556"/>
  <pageSetup paperSize="9" scale="100" fitToWidth="1" fitToHeight="1" pageOrder="downThenOver" orientation="portrait" blackAndWhite="false" draft="false" cellComments="none" horizontalDpi="300" verticalDpi="300" copies="1"/>
  <headerFooter differentFirst="false" differentOddEven="false">
    <oddHeader>&amp;C&amp;"Arial,Bold"&amp;11Provisional tax calculation
&amp;"Arial,Regular"&amp;10precise figures will depend upon personal circumstances</oddHeader>
    <oddFooter>&amp;L&amp;D  &amp;T&amp;C&amp;P  of  &amp;N&amp;R&amp;F  &amp;A</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customHeight="false" zeroHeight="false" outlineLevelRow="0" outlineLevelCol="0"/>
  <cols>
    <col collapsed="false" customWidth="true" hidden="false" outlineLevel="0" max="1" min="1" style="164" width="1.66"/>
    <col collapsed="false" customWidth="true" hidden="false" outlineLevel="0" max="2" min="2" style="164" width="19.66"/>
    <col collapsed="false" customWidth="true" hidden="false" outlineLevel="0" max="15" min="3" style="164" width="8.66"/>
    <col collapsed="false" customWidth="true" hidden="false" outlineLevel="0" max="16" min="16" style="164" width="1.66"/>
    <col collapsed="false" customWidth="false" hidden="false" outlineLevel="0" max="257" min="17" style="164" width="9.15"/>
  </cols>
  <sheetData>
    <row r="1" customFormat="false" ht="6" hidden="false" customHeight="true" outlineLevel="0" collapsed="false">
      <c r="A1" s="240"/>
      <c r="B1" s="320"/>
      <c r="C1" s="177"/>
      <c r="D1" s="240"/>
      <c r="E1" s="240"/>
      <c r="F1" s="240"/>
      <c r="G1" s="240"/>
      <c r="H1" s="240"/>
      <c r="I1" s="240"/>
      <c r="J1" s="240"/>
      <c r="K1" s="240"/>
      <c r="L1" s="240"/>
      <c r="M1" s="240"/>
      <c r="N1" s="240"/>
      <c r="O1" s="240"/>
      <c r="P1" s="240"/>
    </row>
    <row r="2" customFormat="false" ht="12" hidden="false" customHeight="true" outlineLevel="0" collapsed="false">
      <c r="A2" s="240"/>
      <c r="B2" s="321" t="s">
        <v>225</v>
      </c>
      <c r="C2" s="322" t="s">
        <v>226</v>
      </c>
      <c r="D2" s="323" t="n">
        <f aca="false">Admin!B$5</f>
        <v>46142</v>
      </c>
      <c r="E2" s="324" t="n">
        <f aca="false">Admin!B$6</f>
        <v>46173</v>
      </c>
      <c r="F2" s="324" t="n">
        <f aca="false">Admin!B$7</f>
        <v>46203</v>
      </c>
      <c r="G2" s="324" t="n">
        <f aca="false">Admin!B$8</f>
        <v>46234</v>
      </c>
      <c r="H2" s="324" t="n">
        <f aca="false">Admin!B$9</f>
        <v>46265</v>
      </c>
      <c r="I2" s="324" t="n">
        <f aca="false">Admin!B$10</f>
        <v>46295</v>
      </c>
      <c r="J2" s="324" t="n">
        <f aca="false">Admin!B$11</f>
        <v>46326</v>
      </c>
      <c r="K2" s="324" t="n">
        <f aca="false">Admin!B$12</f>
        <v>46356</v>
      </c>
      <c r="L2" s="324" t="n">
        <f aca="false">Admin!B$13</f>
        <v>46387</v>
      </c>
      <c r="M2" s="324" t="n">
        <f aca="false">Admin!B$14</f>
        <v>46418</v>
      </c>
      <c r="N2" s="324" t="n">
        <f aca="false">Admin!B$15</f>
        <v>46446</v>
      </c>
      <c r="O2" s="324" t="n">
        <f aca="false">Admin!B$16</f>
        <v>46477</v>
      </c>
      <c r="P2" s="240"/>
    </row>
    <row r="3" customFormat="false" ht="12" hidden="false" customHeight="true" outlineLevel="0" collapsed="false">
      <c r="A3" s="240"/>
      <c r="B3" s="321"/>
      <c r="C3" s="325" t="n">
        <f aca="false">Admin!B$17</f>
        <v>46482</v>
      </c>
      <c r="D3" s="323"/>
      <c r="E3" s="324"/>
      <c r="F3" s="324"/>
      <c r="G3" s="324"/>
      <c r="H3" s="324"/>
      <c r="I3" s="324"/>
      <c r="J3" s="324"/>
      <c r="K3" s="324"/>
      <c r="L3" s="324"/>
      <c r="M3" s="324"/>
      <c r="N3" s="324"/>
      <c r="O3" s="324"/>
      <c r="P3" s="240"/>
    </row>
    <row r="4" customFormat="false" ht="12" hidden="false" customHeight="false" outlineLevel="0" collapsed="false">
      <c r="A4" s="240"/>
      <c r="B4" s="321"/>
      <c r="C4" s="326" t="s">
        <v>33</v>
      </c>
      <c r="D4" s="327" t="s">
        <v>33</v>
      </c>
      <c r="E4" s="327" t="s">
        <v>33</v>
      </c>
      <c r="F4" s="327" t="s">
        <v>33</v>
      </c>
      <c r="G4" s="327" t="s">
        <v>33</v>
      </c>
      <c r="H4" s="327" t="s">
        <v>33</v>
      </c>
      <c r="I4" s="327" t="s">
        <v>33</v>
      </c>
      <c r="J4" s="327" t="s">
        <v>33</v>
      </c>
      <c r="K4" s="327" t="s">
        <v>33</v>
      </c>
      <c r="L4" s="327" t="s">
        <v>33</v>
      </c>
      <c r="M4" s="327" t="s">
        <v>33</v>
      </c>
      <c r="N4" s="328" t="s">
        <v>33</v>
      </c>
      <c r="O4" s="327" t="s">
        <v>33</v>
      </c>
      <c r="P4" s="240"/>
    </row>
    <row r="5" customFormat="false" ht="12" hidden="false" customHeight="false" outlineLevel="0" collapsed="false">
      <c r="A5" s="262"/>
      <c r="B5" s="329" t="s">
        <v>112</v>
      </c>
      <c r="C5" s="175" t="n">
        <f aca="false">SUM(D5:O5)</f>
        <v>36045</v>
      </c>
      <c r="D5" s="175" t="n">
        <f aca="false">'Profit &amp; Loss Acc'!C5</f>
        <v>3045</v>
      </c>
      <c r="E5" s="175" t="n">
        <f aca="false">'Profit &amp; Loss Acc'!D5</f>
        <v>3000</v>
      </c>
      <c r="F5" s="175" t="n">
        <f aca="false">'Profit &amp; Loss Acc'!E5</f>
        <v>3000</v>
      </c>
      <c r="G5" s="175" t="n">
        <f aca="false">'Profit &amp; Loss Acc'!F5</f>
        <v>3000</v>
      </c>
      <c r="H5" s="175" t="n">
        <f aca="false">'Profit &amp; Loss Acc'!G5</f>
        <v>3000</v>
      </c>
      <c r="I5" s="175" t="n">
        <f aca="false">'Profit &amp; Loss Acc'!H5</f>
        <v>3000</v>
      </c>
      <c r="J5" s="175" t="n">
        <f aca="false">'Profit &amp; Loss Acc'!I5</f>
        <v>3000</v>
      </c>
      <c r="K5" s="175" t="n">
        <f aca="false">'Profit &amp; Loss Acc'!J5</f>
        <v>3000</v>
      </c>
      <c r="L5" s="175" t="n">
        <f aca="false">'Profit &amp; Loss Acc'!K5</f>
        <v>3000</v>
      </c>
      <c r="M5" s="175" t="n">
        <f aca="false">'Profit &amp; Loss Acc'!L5</f>
        <v>3000</v>
      </c>
      <c r="N5" s="175" t="n">
        <f aca="false">'Profit &amp; Loss Acc'!M5</f>
        <v>3000</v>
      </c>
      <c r="O5" s="175" t="n">
        <f aca="false">'Profit &amp; Loss Acc'!N5</f>
        <v>3000</v>
      </c>
      <c r="P5" s="262"/>
      <c r="Q5" s="203"/>
      <c r="R5" s="203"/>
      <c r="S5" s="203"/>
      <c r="T5" s="203"/>
      <c r="U5" s="203"/>
      <c r="V5" s="203"/>
      <c r="W5" s="203"/>
      <c r="X5" s="203"/>
      <c r="Y5" s="203"/>
      <c r="Z5" s="203"/>
      <c r="AA5" s="203"/>
      <c r="AB5" s="203"/>
      <c r="AC5" s="203"/>
      <c r="AD5" s="203"/>
      <c r="AE5" s="203"/>
      <c r="AF5" s="203"/>
      <c r="AG5" s="203"/>
      <c r="AH5" s="203"/>
      <c r="AI5" s="203"/>
      <c r="AJ5" s="203"/>
      <c r="AK5" s="203"/>
      <c r="AL5" s="203"/>
      <c r="AM5" s="203"/>
      <c r="AN5" s="203"/>
      <c r="AO5" s="203"/>
      <c r="AP5" s="203"/>
      <c r="AQ5" s="203"/>
      <c r="AR5" s="203"/>
      <c r="AS5" s="203"/>
      <c r="AT5" s="203"/>
      <c r="AU5" s="203"/>
      <c r="AV5" s="203"/>
      <c r="AW5" s="203"/>
      <c r="AX5" s="203"/>
      <c r="AY5" s="203"/>
      <c r="AZ5" s="203"/>
      <c r="BA5" s="203"/>
      <c r="BB5" s="203"/>
      <c r="BC5" s="203"/>
      <c r="BD5" s="203"/>
      <c r="BE5" s="203"/>
      <c r="BF5" s="203"/>
      <c r="BG5" s="203"/>
      <c r="BH5" s="203"/>
      <c r="BI5" s="203"/>
      <c r="BJ5" s="203"/>
      <c r="BK5" s="203"/>
      <c r="BL5" s="203"/>
      <c r="BM5" s="203"/>
      <c r="BN5" s="203"/>
      <c r="BO5" s="203"/>
      <c r="BP5" s="203"/>
      <c r="BQ5" s="203"/>
      <c r="BR5" s="203"/>
      <c r="BS5" s="203"/>
      <c r="BT5" s="203"/>
      <c r="BU5" s="203"/>
      <c r="BV5" s="203"/>
      <c r="BW5" s="203"/>
      <c r="BX5" s="203"/>
      <c r="BY5" s="203"/>
      <c r="BZ5" s="203"/>
      <c r="CA5" s="203"/>
      <c r="CB5" s="203"/>
      <c r="CC5" s="203"/>
      <c r="CD5" s="203"/>
      <c r="CE5" s="203"/>
      <c r="CF5" s="203"/>
      <c r="CG5" s="203"/>
      <c r="CH5" s="203"/>
      <c r="CI5" s="203"/>
      <c r="CJ5" s="203"/>
      <c r="CK5" s="203"/>
      <c r="CL5" s="203"/>
      <c r="CM5" s="203"/>
      <c r="CN5" s="203"/>
      <c r="CO5" s="203"/>
      <c r="CP5" s="203"/>
      <c r="CQ5" s="203"/>
      <c r="CR5" s="203"/>
      <c r="CS5" s="203"/>
      <c r="CT5" s="203"/>
      <c r="CU5" s="203"/>
      <c r="CV5" s="203"/>
      <c r="CW5" s="203"/>
      <c r="CX5" s="203"/>
      <c r="CY5" s="203"/>
      <c r="CZ5" s="203"/>
      <c r="DA5" s="203"/>
      <c r="DB5" s="203"/>
      <c r="DC5" s="203"/>
      <c r="DD5" s="203"/>
      <c r="DE5" s="203"/>
      <c r="DF5" s="203"/>
      <c r="DG5" s="203"/>
      <c r="DH5" s="203"/>
      <c r="DI5" s="203"/>
      <c r="DJ5" s="203"/>
      <c r="DK5" s="203"/>
      <c r="DL5" s="203"/>
      <c r="DM5" s="203"/>
      <c r="DN5" s="203"/>
      <c r="DO5" s="203"/>
      <c r="DP5" s="203"/>
      <c r="DQ5" s="203"/>
      <c r="DR5" s="203"/>
      <c r="DS5" s="203"/>
      <c r="DT5" s="203"/>
      <c r="DU5" s="203"/>
      <c r="DV5" s="203"/>
      <c r="DW5" s="203"/>
      <c r="DX5" s="203"/>
      <c r="DY5" s="203"/>
      <c r="DZ5" s="203"/>
      <c r="EA5" s="203"/>
      <c r="EB5" s="203"/>
      <c r="EC5" s="203"/>
      <c r="ED5" s="203"/>
      <c r="EE5" s="203"/>
      <c r="EF5" s="203"/>
      <c r="EG5" s="203"/>
      <c r="EH5" s="203"/>
      <c r="EI5" s="203"/>
      <c r="EJ5" s="203"/>
      <c r="EK5" s="203"/>
      <c r="EL5" s="203"/>
      <c r="EM5" s="203"/>
      <c r="EN5" s="203"/>
      <c r="EO5" s="203"/>
      <c r="EP5" s="203"/>
      <c r="EQ5" s="203"/>
      <c r="ER5" s="203"/>
      <c r="ES5" s="203"/>
      <c r="ET5" s="203"/>
      <c r="EU5" s="203"/>
      <c r="EV5" s="203"/>
      <c r="EW5" s="203"/>
      <c r="EX5" s="203"/>
      <c r="EY5" s="203"/>
      <c r="EZ5" s="203"/>
      <c r="FA5" s="203"/>
      <c r="FB5" s="203"/>
      <c r="FC5" s="203"/>
      <c r="FD5" s="203"/>
      <c r="FE5" s="203"/>
      <c r="FF5" s="203"/>
      <c r="FG5" s="203"/>
      <c r="FH5" s="203"/>
      <c r="FI5" s="203"/>
      <c r="FJ5" s="203"/>
      <c r="FK5" s="203"/>
      <c r="FL5" s="203"/>
      <c r="FM5" s="203"/>
      <c r="FN5" s="203"/>
      <c r="FO5" s="203"/>
      <c r="FP5" s="203"/>
      <c r="FQ5" s="203"/>
      <c r="FR5" s="203"/>
      <c r="FS5" s="203"/>
      <c r="FT5" s="203"/>
      <c r="FU5" s="203"/>
      <c r="FV5" s="203"/>
      <c r="FW5" s="203"/>
      <c r="FX5" s="203"/>
      <c r="FY5" s="203"/>
      <c r="FZ5" s="203"/>
      <c r="GA5" s="203"/>
      <c r="GB5" s="203"/>
      <c r="GC5" s="203"/>
      <c r="GD5" s="203"/>
      <c r="GE5" s="203"/>
      <c r="GF5" s="203"/>
      <c r="GG5" s="203"/>
      <c r="GH5" s="203"/>
      <c r="GI5" s="203"/>
      <c r="GJ5" s="203"/>
      <c r="GK5" s="203"/>
      <c r="GL5" s="203"/>
      <c r="GM5" s="203"/>
      <c r="GN5" s="203"/>
      <c r="GO5" s="203"/>
      <c r="GP5" s="203"/>
      <c r="GQ5" s="203"/>
      <c r="GR5" s="203"/>
      <c r="GS5" s="203"/>
      <c r="GT5" s="203"/>
      <c r="GU5" s="203"/>
      <c r="GV5" s="203"/>
      <c r="GW5" s="203"/>
      <c r="GX5" s="203"/>
      <c r="GY5" s="203"/>
      <c r="GZ5" s="203"/>
      <c r="HA5" s="203"/>
      <c r="HB5" s="203"/>
      <c r="HC5" s="203"/>
      <c r="HD5" s="203"/>
      <c r="HE5" s="203"/>
      <c r="HF5" s="203"/>
      <c r="HG5" s="203"/>
      <c r="HH5" s="203"/>
      <c r="HI5" s="203"/>
      <c r="HJ5" s="203"/>
      <c r="HK5" s="203"/>
      <c r="HL5" s="203"/>
      <c r="HM5" s="203"/>
      <c r="HN5" s="203"/>
      <c r="HO5" s="203"/>
      <c r="HP5" s="203"/>
      <c r="HQ5" s="203"/>
      <c r="HR5" s="203"/>
      <c r="HS5" s="203"/>
      <c r="HT5" s="203"/>
      <c r="HU5" s="203"/>
      <c r="HV5" s="203"/>
      <c r="HW5" s="203"/>
      <c r="HX5" s="203"/>
      <c r="HY5" s="203"/>
      <c r="HZ5" s="203"/>
      <c r="IA5" s="203"/>
      <c r="IB5" s="203"/>
      <c r="IC5" s="203"/>
      <c r="ID5" s="203"/>
      <c r="IE5" s="203"/>
      <c r="IF5" s="203"/>
      <c r="IG5" s="203"/>
      <c r="IH5" s="203"/>
      <c r="II5" s="203"/>
      <c r="IJ5" s="203"/>
      <c r="IK5" s="203"/>
      <c r="IL5" s="203"/>
      <c r="IM5" s="203"/>
      <c r="IN5" s="203"/>
      <c r="IO5" s="203"/>
      <c r="IP5" s="203"/>
      <c r="IQ5" s="203"/>
      <c r="IR5" s="203"/>
      <c r="IS5" s="203"/>
      <c r="IT5" s="203"/>
      <c r="IU5" s="203"/>
      <c r="IV5" s="203"/>
      <c r="IW5" s="203"/>
    </row>
    <row r="6" customFormat="false" ht="6" hidden="false" customHeight="true" outlineLevel="0" collapsed="false">
      <c r="A6" s="262"/>
      <c r="B6" s="329"/>
      <c r="C6" s="171"/>
      <c r="D6" s="171"/>
      <c r="E6" s="171"/>
      <c r="F6" s="171"/>
      <c r="G6" s="171"/>
      <c r="H6" s="171"/>
      <c r="I6" s="171"/>
      <c r="J6" s="171"/>
      <c r="K6" s="171"/>
      <c r="L6" s="171"/>
      <c r="M6" s="171"/>
      <c r="N6" s="171"/>
      <c r="O6" s="171"/>
      <c r="P6" s="262"/>
      <c r="Q6" s="203"/>
      <c r="R6" s="203"/>
      <c r="S6" s="203"/>
      <c r="T6" s="203"/>
      <c r="U6" s="203"/>
      <c r="V6" s="203"/>
      <c r="W6" s="203"/>
      <c r="X6" s="203"/>
      <c r="Y6" s="203"/>
      <c r="Z6" s="203"/>
      <c r="AA6" s="203"/>
      <c r="AB6" s="203"/>
      <c r="AC6" s="203"/>
      <c r="AD6" s="203"/>
      <c r="AE6" s="203"/>
      <c r="AF6" s="203"/>
      <c r="AG6" s="203"/>
      <c r="AH6" s="203"/>
      <c r="AI6" s="203"/>
      <c r="AJ6" s="203"/>
      <c r="AK6" s="203"/>
      <c r="AL6" s="203"/>
      <c r="AM6" s="203"/>
      <c r="AN6" s="203"/>
      <c r="AO6" s="203"/>
      <c r="AP6" s="203"/>
      <c r="AQ6" s="203"/>
      <c r="AR6" s="203"/>
      <c r="AS6" s="203"/>
      <c r="AT6" s="203"/>
      <c r="AU6" s="203"/>
      <c r="AV6" s="203"/>
      <c r="AW6" s="203"/>
      <c r="AX6" s="203"/>
      <c r="AY6" s="203"/>
      <c r="AZ6" s="203"/>
      <c r="BA6" s="203"/>
      <c r="BB6" s="203"/>
      <c r="BC6" s="203"/>
      <c r="BD6" s="203"/>
      <c r="BE6" s="203"/>
      <c r="BF6" s="203"/>
      <c r="BG6" s="203"/>
      <c r="BH6" s="203"/>
      <c r="BI6" s="203"/>
      <c r="BJ6" s="203"/>
      <c r="BK6" s="203"/>
      <c r="BL6" s="203"/>
      <c r="BM6" s="203"/>
      <c r="BN6" s="203"/>
      <c r="BO6" s="203"/>
      <c r="BP6" s="203"/>
      <c r="BQ6" s="203"/>
      <c r="BR6" s="203"/>
      <c r="BS6" s="203"/>
      <c r="BT6" s="203"/>
      <c r="BU6" s="203"/>
      <c r="BV6" s="203"/>
      <c r="BW6" s="203"/>
      <c r="BX6" s="203"/>
      <c r="BY6" s="203"/>
      <c r="BZ6" s="203"/>
      <c r="CA6" s="203"/>
      <c r="CB6" s="203"/>
      <c r="CC6" s="203"/>
      <c r="CD6" s="203"/>
      <c r="CE6" s="203"/>
      <c r="CF6" s="203"/>
      <c r="CG6" s="203"/>
      <c r="CH6" s="203"/>
      <c r="CI6" s="203"/>
      <c r="CJ6" s="203"/>
      <c r="CK6" s="203"/>
      <c r="CL6" s="203"/>
      <c r="CM6" s="203"/>
      <c r="CN6" s="203"/>
      <c r="CO6" s="203"/>
      <c r="CP6" s="203"/>
      <c r="CQ6" s="203"/>
      <c r="CR6" s="203"/>
      <c r="CS6" s="203"/>
      <c r="CT6" s="203"/>
      <c r="CU6" s="203"/>
      <c r="CV6" s="203"/>
      <c r="CW6" s="203"/>
      <c r="CX6" s="203"/>
      <c r="CY6" s="203"/>
      <c r="CZ6" s="203"/>
      <c r="DA6" s="203"/>
      <c r="DB6" s="203"/>
      <c r="DC6" s="203"/>
      <c r="DD6" s="203"/>
      <c r="DE6" s="203"/>
      <c r="DF6" s="203"/>
      <c r="DG6" s="203"/>
      <c r="DH6" s="203"/>
      <c r="DI6" s="203"/>
      <c r="DJ6" s="203"/>
      <c r="DK6" s="203"/>
      <c r="DL6" s="203"/>
      <c r="DM6" s="203"/>
      <c r="DN6" s="203"/>
      <c r="DO6" s="203"/>
      <c r="DP6" s="203"/>
      <c r="DQ6" s="203"/>
      <c r="DR6" s="203"/>
      <c r="DS6" s="203"/>
      <c r="DT6" s="203"/>
      <c r="DU6" s="203"/>
      <c r="DV6" s="203"/>
      <c r="DW6" s="203"/>
      <c r="DX6" s="203"/>
      <c r="DY6" s="203"/>
      <c r="DZ6" s="203"/>
      <c r="EA6" s="203"/>
      <c r="EB6" s="203"/>
      <c r="EC6" s="203"/>
      <c r="ED6" s="203"/>
      <c r="EE6" s="203"/>
      <c r="EF6" s="203"/>
      <c r="EG6" s="203"/>
      <c r="EH6" s="203"/>
      <c r="EI6" s="203"/>
      <c r="EJ6" s="203"/>
      <c r="EK6" s="203"/>
      <c r="EL6" s="203"/>
      <c r="EM6" s="203"/>
      <c r="EN6" s="203"/>
      <c r="EO6" s="203"/>
      <c r="EP6" s="203"/>
      <c r="EQ6" s="203"/>
      <c r="ER6" s="203"/>
      <c r="ES6" s="203"/>
      <c r="ET6" s="203"/>
      <c r="EU6" s="203"/>
      <c r="EV6" s="203"/>
      <c r="EW6" s="203"/>
      <c r="EX6" s="203"/>
      <c r="EY6" s="203"/>
      <c r="EZ6" s="203"/>
      <c r="FA6" s="203"/>
      <c r="FB6" s="203"/>
      <c r="FC6" s="203"/>
      <c r="FD6" s="203"/>
      <c r="FE6" s="203"/>
      <c r="FF6" s="203"/>
      <c r="FG6" s="203"/>
      <c r="FH6" s="203"/>
      <c r="FI6" s="203"/>
      <c r="FJ6" s="203"/>
      <c r="FK6" s="203"/>
      <c r="FL6" s="203"/>
      <c r="FM6" s="203"/>
      <c r="FN6" s="203"/>
      <c r="FO6" s="203"/>
      <c r="FP6" s="203"/>
      <c r="FQ6" s="203"/>
      <c r="FR6" s="203"/>
      <c r="FS6" s="203"/>
      <c r="FT6" s="203"/>
      <c r="FU6" s="203"/>
      <c r="FV6" s="203"/>
      <c r="FW6" s="203"/>
      <c r="FX6" s="203"/>
      <c r="FY6" s="203"/>
      <c r="FZ6" s="203"/>
      <c r="GA6" s="203"/>
      <c r="GB6" s="203"/>
      <c r="GC6" s="203"/>
      <c r="GD6" s="203"/>
      <c r="GE6" s="203"/>
      <c r="GF6" s="203"/>
      <c r="GG6" s="203"/>
      <c r="GH6" s="203"/>
      <c r="GI6" s="203"/>
      <c r="GJ6" s="203"/>
      <c r="GK6" s="203"/>
      <c r="GL6" s="203"/>
      <c r="GM6" s="203"/>
      <c r="GN6" s="203"/>
      <c r="GO6" s="203"/>
      <c r="GP6" s="203"/>
      <c r="GQ6" s="203"/>
      <c r="GR6" s="203"/>
      <c r="GS6" s="203"/>
      <c r="GT6" s="203"/>
      <c r="GU6" s="203"/>
      <c r="GV6" s="203"/>
      <c r="GW6" s="203"/>
      <c r="GX6" s="203"/>
      <c r="GY6" s="203"/>
      <c r="GZ6" s="203"/>
      <c r="HA6" s="203"/>
      <c r="HB6" s="203"/>
      <c r="HC6" s="203"/>
      <c r="HD6" s="203"/>
      <c r="HE6" s="203"/>
      <c r="HF6" s="203"/>
      <c r="HG6" s="203"/>
      <c r="HH6" s="203"/>
      <c r="HI6" s="203"/>
      <c r="HJ6" s="203"/>
      <c r="HK6" s="203"/>
      <c r="HL6" s="203"/>
      <c r="HM6" s="203"/>
      <c r="HN6" s="203"/>
      <c r="HO6" s="203"/>
      <c r="HP6" s="203"/>
      <c r="HQ6" s="203"/>
      <c r="HR6" s="203"/>
      <c r="HS6" s="203"/>
      <c r="HT6" s="203"/>
      <c r="HU6" s="203"/>
      <c r="HV6" s="203"/>
      <c r="HW6" s="203"/>
      <c r="HX6" s="203"/>
      <c r="HY6" s="203"/>
      <c r="HZ6" s="203"/>
      <c r="IA6" s="203"/>
      <c r="IB6" s="203"/>
      <c r="IC6" s="203"/>
      <c r="ID6" s="203"/>
      <c r="IE6" s="203"/>
      <c r="IF6" s="203"/>
      <c r="IG6" s="203"/>
      <c r="IH6" s="203"/>
      <c r="II6" s="203"/>
      <c r="IJ6" s="203"/>
      <c r="IK6" s="203"/>
      <c r="IL6" s="203"/>
      <c r="IM6" s="203"/>
      <c r="IN6" s="203"/>
      <c r="IO6" s="203"/>
      <c r="IP6" s="203"/>
      <c r="IQ6" s="203"/>
      <c r="IR6" s="203"/>
      <c r="IS6" s="203"/>
      <c r="IT6" s="203"/>
      <c r="IU6" s="203"/>
      <c r="IV6" s="203"/>
      <c r="IW6" s="203"/>
    </row>
    <row r="7" customFormat="false" ht="12" hidden="false" customHeight="false" outlineLevel="0" collapsed="false">
      <c r="A7" s="240"/>
      <c r="B7" s="330" t="s">
        <v>227</v>
      </c>
      <c r="C7" s="175" t="n">
        <f aca="false">SUM(D7:O7)</f>
        <v>500</v>
      </c>
      <c r="D7" s="331" t="n">
        <f aca="false">'Profit &amp; Loss Acc'!C24</f>
        <v>0</v>
      </c>
      <c r="E7" s="331" t="n">
        <f aca="false">'Profit &amp; Loss Acc'!D24</f>
        <v>0</v>
      </c>
      <c r="F7" s="331" t="n">
        <f aca="false">'Profit &amp; Loss Acc'!E24</f>
        <v>0</v>
      </c>
      <c r="G7" s="331" t="n">
        <f aca="false">'Profit &amp; Loss Acc'!F24</f>
        <v>0</v>
      </c>
      <c r="H7" s="331" t="n">
        <f aca="false">'Profit &amp; Loss Acc'!G24</f>
        <v>0</v>
      </c>
      <c r="I7" s="331" t="n">
        <f aca="false">'Profit &amp; Loss Acc'!H24</f>
        <v>500</v>
      </c>
      <c r="J7" s="331" t="n">
        <f aca="false">'Profit &amp; Loss Acc'!I24</f>
        <v>0</v>
      </c>
      <c r="K7" s="331" t="n">
        <f aca="false">'Profit &amp; Loss Acc'!J24</f>
        <v>0</v>
      </c>
      <c r="L7" s="331" t="n">
        <f aca="false">'Profit &amp; Loss Acc'!K24</f>
        <v>0</v>
      </c>
      <c r="M7" s="331" t="n">
        <f aca="false">'Profit &amp; Loss Acc'!L24</f>
        <v>0</v>
      </c>
      <c r="N7" s="331" t="n">
        <f aca="false">'Profit &amp; Loss Acc'!M24</f>
        <v>0</v>
      </c>
      <c r="O7" s="331" t="n">
        <f aca="false">'Profit &amp; Loss Acc'!N24</f>
        <v>0</v>
      </c>
      <c r="P7" s="240"/>
    </row>
    <row r="8" customFormat="false" ht="6" hidden="false" customHeight="true" outlineLevel="0" collapsed="false">
      <c r="A8" s="240"/>
      <c r="B8" s="330"/>
      <c r="C8" s="171"/>
      <c r="D8" s="171"/>
      <c r="E8" s="171"/>
      <c r="F8" s="171"/>
      <c r="G8" s="171"/>
      <c r="H8" s="171"/>
      <c r="I8" s="171"/>
      <c r="J8" s="171"/>
      <c r="K8" s="171"/>
      <c r="L8" s="171"/>
      <c r="M8" s="171"/>
      <c r="N8" s="171"/>
      <c r="O8" s="171"/>
      <c r="P8" s="240"/>
    </row>
    <row r="9" customFormat="false" ht="12" hidden="false" customHeight="false" outlineLevel="0" collapsed="false">
      <c r="A9" s="262"/>
      <c r="B9" s="329" t="s">
        <v>119</v>
      </c>
      <c r="C9" s="175" t="n">
        <f aca="false">SUM(D9:O9)</f>
        <v>6100</v>
      </c>
      <c r="D9" s="175" t="n">
        <f aca="false">'Profit &amp; Loss Acc'!C12</f>
        <v>1773.33333333333</v>
      </c>
      <c r="E9" s="175" t="n">
        <f aca="false">'Profit &amp; Loss Acc'!D12</f>
        <v>393.333333333333</v>
      </c>
      <c r="F9" s="175" t="n">
        <f aca="false">'Profit &amp; Loss Acc'!E12</f>
        <v>393.333333333333</v>
      </c>
      <c r="G9" s="175" t="n">
        <f aca="false">'Profit &amp; Loss Acc'!F12</f>
        <v>393.333333333333</v>
      </c>
      <c r="H9" s="175" t="n">
        <f aca="false">'Profit &amp; Loss Acc'!G12</f>
        <v>393.333333333333</v>
      </c>
      <c r="I9" s="175" t="n">
        <f aca="false">'Profit &amp; Loss Acc'!H12</f>
        <v>393.333333333333</v>
      </c>
      <c r="J9" s="175" t="n">
        <f aca="false">'Profit &amp; Loss Acc'!I12</f>
        <v>393.333333333333</v>
      </c>
      <c r="K9" s="175" t="n">
        <f aca="false">'Profit &amp; Loss Acc'!J12</f>
        <v>393.333333333333</v>
      </c>
      <c r="L9" s="175" t="n">
        <f aca="false">'Profit &amp; Loss Acc'!K12</f>
        <v>393.333333333333</v>
      </c>
      <c r="M9" s="175" t="n">
        <f aca="false">'Profit &amp; Loss Acc'!L12</f>
        <v>393.333333333333</v>
      </c>
      <c r="N9" s="175" t="n">
        <f aca="false">'Profit &amp; Loss Acc'!M12</f>
        <v>393.333333333333</v>
      </c>
      <c r="O9" s="175" t="n">
        <f aca="false">'Profit &amp; Loss Acc'!N12</f>
        <v>393.333333333333</v>
      </c>
      <c r="P9" s="262"/>
      <c r="Q9" s="203"/>
      <c r="R9" s="203"/>
      <c r="S9" s="203"/>
      <c r="T9" s="203"/>
      <c r="U9" s="203"/>
      <c r="V9" s="203"/>
      <c r="W9" s="203"/>
      <c r="X9" s="203"/>
      <c r="Y9" s="203"/>
      <c r="Z9" s="203"/>
      <c r="AA9" s="203"/>
      <c r="AB9" s="203"/>
      <c r="AC9" s="203"/>
      <c r="AD9" s="203"/>
      <c r="AE9" s="203"/>
      <c r="AF9" s="203"/>
      <c r="AG9" s="203"/>
      <c r="AH9" s="203"/>
      <c r="AI9" s="203"/>
      <c r="AJ9" s="203"/>
      <c r="AK9" s="203"/>
      <c r="AL9" s="203"/>
      <c r="AM9" s="203"/>
      <c r="AN9" s="203"/>
      <c r="AO9" s="203"/>
      <c r="AP9" s="203"/>
      <c r="AQ9" s="203"/>
      <c r="AR9" s="203"/>
      <c r="AS9" s="203"/>
      <c r="AT9" s="203"/>
      <c r="AU9" s="203"/>
      <c r="AV9" s="203"/>
      <c r="AW9" s="203"/>
      <c r="AX9" s="203"/>
      <c r="AY9" s="203"/>
      <c r="AZ9" s="203"/>
      <c r="BA9" s="203"/>
      <c r="BB9" s="203"/>
      <c r="BC9" s="203"/>
      <c r="BD9" s="203"/>
      <c r="BE9" s="203"/>
      <c r="BF9" s="203"/>
      <c r="BG9" s="203"/>
      <c r="BH9" s="203"/>
      <c r="BI9" s="203"/>
      <c r="BJ9" s="203"/>
      <c r="BK9" s="203"/>
      <c r="BL9" s="203"/>
      <c r="BM9" s="203"/>
      <c r="BN9" s="203"/>
      <c r="BO9" s="203"/>
      <c r="BP9" s="203"/>
      <c r="BQ9" s="203"/>
      <c r="BR9" s="203"/>
      <c r="BS9" s="203"/>
      <c r="BT9" s="203"/>
      <c r="BU9" s="203"/>
      <c r="BV9" s="203"/>
      <c r="BW9" s="203"/>
      <c r="BX9" s="203"/>
      <c r="BY9" s="203"/>
      <c r="BZ9" s="203"/>
      <c r="CA9" s="203"/>
      <c r="CB9" s="203"/>
      <c r="CC9" s="203"/>
      <c r="CD9" s="203"/>
      <c r="CE9" s="203"/>
      <c r="CF9" s="203"/>
      <c r="CG9" s="203"/>
      <c r="CH9" s="203"/>
      <c r="CI9" s="203"/>
      <c r="CJ9" s="203"/>
      <c r="CK9" s="203"/>
      <c r="CL9" s="203"/>
      <c r="CM9" s="203"/>
      <c r="CN9" s="203"/>
      <c r="CO9" s="203"/>
      <c r="CP9" s="203"/>
      <c r="CQ9" s="203"/>
      <c r="CR9" s="203"/>
      <c r="CS9" s="203"/>
      <c r="CT9" s="203"/>
      <c r="CU9" s="203"/>
      <c r="CV9" s="203"/>
      <c r="CW9" s="203"/>
      <c r="CX9" s="203"/>
      <c r="CY9" s="203"/>
      <c r="CZ9" s="203"/>
      <c r="DA9" s="203"/>
      <c r="DB9" s="203"/>
      <c r="DC9" s="203"/>
      <c r="DD9" s="203"/>
      <c r="DE9" s="203"/>
      <c r="DF9" s="203"/>
      <c r="DG9" s="203"/>
      <c r="DH9" s="203"/>
      <c r="DI9" s="203"/>
      <c r="DJ9" s="203"/>
      <c r="DK9" s="203"/>
      <c r="DL9" s="203"/>
      <c r="DM9" s="203"/>
      <c r="DN9" s="203"/>
      <c r="DO9" s="203"/>
      <c r="DP9" s="203"/>
      <c r="DQ9" s="203"/>
      <c r="DR9" s="203"/>
      <c r="DS9" s="203"/>
      <c r="DT9" s="203"/>
      <c r="DU9" s="203"/>
      <c r="DV9" s="203"/>
      <c r="DW9" s="203"/>
      <c r="DX9" s="203"/>
      <c r="DY9" s="203"/>
      <c r="DZ9" s="203"/>
      <c r="EA9" s="203"/>
      <c r="EB9" s="203"/>
      <c r="EC9" s="203"/>
      <c r="ED9" s="203"/>
      <c r="EE9" s="203"/>
      <c r="EF9" s="203"/>
      <c r="EG9" s="203"/>
      <c r="EH9" s="203"/>
      <c r="EI9" s="203"/>
      <c r="EJ9" s="203"/>
      <c r="EK9" s="203"/>
      <c r="EL9" s="203"/>
      <c r="EM9" s="203"/>
      <c r="EN9" s="203"/>
      <c r="EO9" s="203"/>
      <c r="EP9" s="203"/>
      <c r="EQ9" s="203"/>
      <c r="ER9" s="203"/>
      <c r="ES9" s="203"/>
      <c r="ET9" s="203"/>
      <c r="EU9" s="203"/>
      <c r="EV9" s="203"/>
      <c r="EW9" s="203"/>
      <c r="EX9" s="203"/>
      <c r="EY9" s="203"/>
      <c r="EZ9" s="203"/>
      <c r="FA9" s="203"/>
      <c r="FB9" s="203"/>
      <c r="FC9" s="203"/>
      <c r="FD9" s="203"/>
      <c r="FE9" s="203"/>
      <c r="FF9" s="203"/>
      <c r="FG9" s="203"/>
      <c r="FH9" s="203"/>
      <c r="FI9" s="203"/>
      <c r="FJ9" s="203"/>
      <c r="FK9" s="203"/>
      <c r="FL9" s="203"/>
      <c r="FM9" s="203"/>
      <c r="FN9" s="203"/>
      <c r="FO9" s="203"/>
      <c r="FP9" s="203"/>
      <c r="FQ9" s="203"/>
      <c r="FR9" s="203"/>
      <c r="FS9" s="203"/>
      <c r="FT9" s="203"/>
      <c r="FU9" s="203"/>
      <c r="FV9" s="203"/>
      <c r="FW9" s="203"/>
      <c r="FX9" s="203"/>
      <c r="FY9" s="203"/>
      <c r="FZ9" s="203"/>
      <c r="GA9" s="203"/>
      <c r="GB9" s="203"/>
      <c r="GC9" s="203"/>
      <c r="GD9" s="203"/>
      <c r="GE9" s="203"/>
      <c r="GF9" s="203"/>
      <c r="GG9" s="203"/>
      <c r="GH9" s="203"/>
      <c r="GI9" s="203"/>
      <c r="GJ9" s="203"/>
      <c r="GK9" s="203"/>
      <c r="GL9" s="203"/>
      <c r="GM9" s="203"/>
      <c r="GN9" s="203"/>
      <c r="GO9" s="203"/>
      <c r="GP9" s="203"/>
      <c r="GQ9" s="203"/>
      <c r="GR9" s="203"/>
      <c r="GS9" s="203"/>
      <c r="GT9" s="203"/>
      <c r="GU9" s="203"/>
      <c r="GV9" s="203"/>
      <c r="GW9" s="203"/>
      <c r="GX9" s="203"/>
      <c r="GY9" s="203"/>
      <c r="GZ9" s="203"/>
      <c r="HA9" s="203"/>
      <c r="HB9" s="203"/>
      <c r="HC9" s="203"/>
      <c r="HD9" s="203"/>
      <c r="HE9" s="203"/>
      <c r="HF9" s="203"/>
      <c r="HG9" s="203"/>
      <c r="HH9" s="203"/>
      <c r="HI9" s="203"/>
      <c r="HJ9" s="203"/>
      <c r="HK9" s="203"/>
      <c r="HL9" s="203"/>
      <c r="HM9" s="203"/>
      <c r="HN9" s="203"/>
      <c r="HO9" s="203"/>
      <c r="HP9" s="203"/>
      <c r="HQ9" s="203"/>
      <c r="HR9" s="203"/>
      <c r="HS9" s="203"/>
      <c r="HT9" s="203"/>
      <c r="HU9" s="203"/>
      <c r="HV9" s="203"/>
      <c r="HW9" s="203"/>
      <c r="HX9" s="203"/>
      <c r="HY9" s="203"/>
      <c r="HZ9" s="203"/>
      <c r="IA9" s="203"/>
      <c r="IB9" s="203"/>
      <c r="IC9" s="203"/>
      <c r="ID9" s="203"/>
      <c r="IE9" s="203"/>
      <c r="IF9" s="203"/>
      <c r="IG9" s="203"/>
      <c r="IH9" s="203"/>
      <c r="II9" s="203"/>
      <c r="IJ9" s="203"/>
      <c r="IK9" s="203"/>
      <c r="IL9" s="203"/>
      <c r="IM9" s="203"/>
      <c r="IN9" s="203"/>
      <c r="IO9" s="203"/>
      <c r="IP9" s="203"/>
      <c r="IQ9" s="203"/>
      <c r="IR9" s="203"/>
      <c r="IS9" s="203"/>
      <c r="IT9" s="203"/>
      <c r="IU9" s="203"/>
      <c r="IV9" s="203"/>
      <c r="IW9" s="203"/>
    </row>
    <row r="10" customFormat="false" ht="6" hidden="false" customHeight="true" outlineLevel="0" collapsed="false">
      <c r="A10" s="262"/>
      <c r="B10" s="329"/>
      <c r="C10" s="171"/>
      <c r="D10" s="171"/>
      <c r="E10" s="171"/>
      <c r="F10" s="171"/>
      <c r="G10" s="171"/>
      <c r="H10" s="171"/>
      <c r="I10" s="171"/>
      <c r="J10" s="171"/>
      <c r="K10" s="171"/>
      <c r="L10" s="171"/>
      <c r="M10" s="171"/>
      <c r="N10" s="171"/>
      <c r="O10" s="171"/>
      <c r="P10" s="262"/>
      <c r="Q10" s="203"/>
      <c r="R10" s="203"/>
      <c r="S10" s="203"/>
      <c r="T10" s="203"/>
      <c r="U10" s="203"/>
      <c r="V10" s="203"/>
      <c r="W10" s="203"/>
      <c r="X10" s="203"/>
      <c r="Y10" s="203"/>
      <c r="Z10" s="203"/>
      <c r="AA10" s="203"/>
      <c r="AB10" s="203"/>
      <c r="AC10" s="203"/>
      <c r="AD10" s="203"/>
      <c r="AE10" s="203"/>
      <c r="AF10" s="203"/>
      <c r="AG10" s="203"/>
      <c r="AH10" s="203"/>
      <c r="AI10" s="203"/>
      <c r="AJ10" s="203"/>
      <c r="AK10" s="203"/>
      <c r="AL10" s="203"/>
      <c r="AM10" s="203"/>
      <c r="AN10" s="203"/>
      <c r="AO10" s="203"/>
      <c r="AP10" s="203"/>
      <c r="AQ10" s="203"/>
      <c r="AR10" s="203"/>
      <c r="AS10" s="203"/>
      <c r="AT10" s="203"/>
      <c r="AU10" s="203"/>
      <c r="AV10" s="203"/>
      <c r="AW10" s="203"/>
      <c r="AX10" s="203"/>
      <c r="AY10" s="203"/>
      <c r="AZ10" s="203"/>
      <c r="BA10" s="203"/>
      <c r="BB10" s="203"/>
      <c r="BC10" s="203"/>
      <c r="BD10" s="203"/>
      <c r="BE10" s="203"/>
      <c r="BF10" s="203"/>
      <c r="BG10" s="203"/>
      <c r="BH10" s="203"/>
      <c r="BI10" s="203"/>
      <c r="BJ10" s="203"/>
      <c r="BK10" s="203"/>
      <c r="BL10" s="203"/>
      <c r="BM10" s="203"/>
      <c r="BN10" s="203"/>
      <c r="BO10" s="203"/>
      <c r="BP10" s="203"/>
      <c r="BQ10" s="203"/>
      <c r="BR10" s="203"/>
      <c r="BS10" s="203"/>
      <c r="BT10" s="203"/>
      <c r="BU10" s="203"/>
      <c r="BV10" s="203"/>
      <c r="BW10" s="203"/>
      <c r="BX10" s="203"/>
      <c r="BY10" s="203"/>
      <c r="BZ10" s="203"/>
      <c r="CA10" s="203"/>
      <c r="CB10" s="203"/>
      <c r="CC10" s="203"/>
      <c r="CD10" s="203"/>
      <c r="CE10" s="203"/>
      <c r="CF10" s="203"/>
      <c r="CG10" s="203"/>
      <c r="CH10" s="203"/>
      <c r="CI10" s="203"/>
      <c r="CJ10" s="203"/>
      <c r="CK10" s="203"/>
      <c r="CL10" s="203"/>
      <c r="CM10" s="203"/>
      <c r="CN10" s="203"/>
      <c r="CO10" s="203"/>
      <c r="CP10" s="203"/>
      <c r="CQ10" s="203"/>
      <c r="CR10" s="203"/>
      <c r="CS10" s="203"/>
      <c r="CT10" s="203"/>
      <c r="CU10" s="203"/>
      <c r="CV10" s="203"/>
      <c r="CW10" s="203"/>
      <c r="CX10" s="203"/>
      <c r="CY10" s="203"/>
      <c r="CZ10" s="203"/>
      <c r="DA10" s="203"/>
      <c r="DB10" s="203"/>
      <c r="DC10" s="203"/>
      <c r="DD10" s="203"/>
      <c r="DE10" s="203"/>
      <c r="DF10" s="203"/>
      <c r="DG10" s="203"/>
      <c r="DH10" s="203"/>
      <c r="DI10" s="203"/>
      <c r="DJ10" s="203"/>
      <c r="DK10" s="203"/>
      <c r="DL10" s="203"/>
      <c r="DM10" s="203"/>
      <c r="DN10" s="203"/>
      <c r="DO10" s="203"/>
      <c r="DP10" s="203"/>
      <c r="DQ10" s="203"/>
      <c r="DR10" s="203"/>
      <c r="DS10" s="203"/>
      <c r="DT10" s="203"/>
      <c r="DU10" s="203"/>
      <c r="DV10" s="203"/>
      <c r="DW10" s="203"/>
      <c r="DX10" s="203"/>
      <c r="DY10" s="203"/>
      <c r="DZ10" s="203"/>
      <c r="EA10" s="203"/>
      <c r="EB10" s="203"/>
      <c r="EC10" s="203"/>
      <c r="ED10" s="203"/>
      <c r="EE10" s="203"/>
      <c r="EF10" s="203"/>
      <c r="EG10" s="203"/>
      <c r="EH10" s="203"/>
      <c r="EI10" s="203"/>
      <c r="EJ10" s="203"/>
      <c r="EK10" s="203"/>
      <c r="EL10" s="203"/>
      <c r="EM10" s="203"/>
      <c r="EN10" s="203"/>
      <c r="EO10" s="203"/>
      <c r="EP10" s="203"/>
      <c r="EQ10" s="203"/>
      <c r="ER10" s="203"/>
      <c r="ES10" s="203"/>
      <c r="ET10" s="203"/>
      <c r="EU10" s="203"/>
      <c r="EV10" s="203"/>
      <c r="EW10" s="203"/>
      <c r="EX10" s="203"/>
      <c r="EY10" s="203"/>
      <c r="EZ10" s="203"/>
      <c r="FA10" s="203"/>
      <c r="FB10" s="203"/>
      <c r="FC10" s="203"/>
      <c r="FD10" s="203"/>
      <c r="FE10" s="203"/>
      <c r="FF10" s="203"/>
      <c r="FG10" s="203"/>
      <c r="FH10" s="203"/>
      <c r="FI10" s="203"/>
      <c r="FJ10" s="203"/>
      <c r="FK10" s="203"/>
      <c r="FL10" s="203"/>
      <c r="FM10" s="203"/>
      <c r="FN10" s="203"/>
      <c r="FO10" s="203"/>
      <c r="FP10" s="203"/>
      <c r="FQ10" s="203"/>
      <c r="FR10" s="203"/>
      <c r="FS10" s="203"/>
      <c r="FT10" s="203"/>
      <c r="FU10" s="203"/>
      <c r="FV10" s="203"/>
      <c r="FW10" s="203"/>
      <c r="FX10" s="203"/>
      <c r="FY10" s="203"/>
      <c r="FZ10" s="203"/>
      <c r="GA10" s="203"/>
      <c r="GB10" s="203"/>
      <c r="GC10" s="203"/>
      <c r="GD10" s="203"/>
      <c r="GE10" s="203"/>
      <c r="GF10" s="203"/>
      <c r="GG10" s="203"/>
      <c r="GH10" s="203"/>
      <c r="GI10" s="203"/>
      <c r="GJ10" s="203"/>
      <c r="GK10" s="203"/>
      <c r="GL10" s="203"/>
      <c r="GM10" s="203"/>
      <c r="GN10" s="203"/>
      <c r="GO10" s="203"/>
      <c r="GP10" s="203"/>
      <c r="GQ10" s="203"/>
      <c r="GR10" s="203"/>
      <c r="GS10" s="203"/>
      <c r="GT10" s="203"/>
      <c r="GU10" s="203"/>
      <c r="GV10" s="203"/>
      <c r="GW10" s="203"/>
      <c r="GX10" s="203"/>
      <c r="GY10" s="203"/>
      <c r="GZ10" s="203"/>
      <c r="HA10" s="203"/>
      <c r="HB10" s="203"/>
      <c r="HC10" s="203"/>
      <c r="HD10" s="203"/>
      <c r="HE10" s="203"/>
      <c r="HF10" s="203"/>
      <c r="HG10" s="203"/>
      <c r="HH10" s="203"/>
      <c r="HI10" s="203"/>
      <c r="HJ10" s="203"/>
      <c r="HK10" s="203"/>
      <c r="HL10" s="203"/>
      <c r="HM10" s="203"/>
      <c r="HN10" s="203"/>
      <c r="HO10" s="203"/>
      <c r="HP10" s="203"/>
      <c r="HQ10" s="203"/>
      <c r="HR10" s="203"/>
      <c r="HS10" s="203"/>
      <c r="HT10" s="203"/>
      <c r="HU10" s="203"/>
      <c r="HV10" s="203"/>
      <c r="HW10" s="203"/>
      <c r="HX10" s="203"/>
      <c r="HY10" s="203"/>
      <c r="HZ10" s="203"/>
      <c r="IA10" s="203"/>
      <c r="IB10" s="203"/>
      <c r="IC10" s="203"/>
      <c r="ID10" s="203"/>
      <c r="IE10" s="203"/>
      <c r="IF10" s="203"/>
      <c r="IG10" s="203"/>
      <c r="IH10" s="203"/>
      <c r="II10" s="203"/>
      <c r="IJ10" s="203"/>
      <c r="IK10" s="203"/>
      <c r="IL10" s="203"/>
      <c r="IM10" s="203"/>
      <c r="IN10" s="203"/>
      <c r="IO10" s="203"/>
      <c r="IP10" s="203"/>
      <c r="IQ10" s="203"/>
      <c r="IR10" s="203"/>
      <c r="IS10" s="203"/>
      <c r="IT10" s="203"/>
      <c r="IU10" s="203"/>
      <c r="IV10" s="203"/>
      <c r="IW10" s="203"/>
    </row>
    <row r="11" customFormat="false" ht="12" hidden="false" customHeight="false" outlineLevel="0" collapsed="false">
      <c r="A11" s="262"/>
      <c r="B11" s="329" t="s">
        <v>120</v>
      </c>
      <c r="C11" s="175" t="n">
        <f aca="false">SUM(D11:O11)</f>
        <v>30445</v>
      </c>
      <c r="D11" s="175" t="n">
        <f aca="false">D5+D7-D9</f>
        <v>1271.66666666667</v>
      </c>
      <c r="E11" s="175" t="n">
        <f aca="false">E5+E7-E9</f>
        <v>2606.66666666667</v>
      </c>
      <c r="F11" s="175" t="n">
        <f aca="false">F5+F7-F9</f>
        <v>2606.66666666667</v>
      </c>
      <c r="G11" s="175" t="n">
        <f aca="false">G5+G7-G9</f>
        <v>2606.66666666667</v>
      </c>
      <c r="H11" s="175" t="n">
        <f aca="false">H5+H7-H9</f>
        <v>2606.66666666667</v>
      </c>
      <c r="I11" s="175" t="n">
        <f aca="false">I5+I7-I9</f>
        <v>3106.66666666667</v>
      </c>
      <c r="J11" s="175" t="n">
        <f aca="false">J5+J7-J9</f>
        <v>2606.66666666667</v>
      </c>
      <c r="K11" s="175" t="n">
        <f aca="false">K5+K7-K9</f>
        <v>2606.66666666667</v>
      </c>
      <c r="L11" s="175" t="n">
        <f aca="false">L5+L7-L9</f>
        <v>2606.66666666667</v>
      </c>
      <c r="M11" s="175" t="n">
        <f aca="false">M5+M7-M9</f>
        <v>2606.66666666667</v>
      </c>
      <c r="N11" s="175" t="n">
        <f aca="false">N5+N7-N9</f>
        <v>2606.66666666667</v>
      </c>
      <c r="O11" s="175" t="n">
        <f aca="false">O5+O7-O9</f>
        <v>2606.66666666667</v>
      </c>
      <c r="P11" s="262"/>
      <c r="Q11" s="203"/>
      <c r="R11" s="203"/>
      <c r="S11" s="203"/>
      <c r="T11" s="203"/>
      <c r="U11" s="203"/>
      <c r="V11" s="203"/>
      <c r="W11" s="203"/>
      <c r="X11" s="203"/>
      <c r="Y11" s="203"/>
      <c r="Z11" s="203"/>
      <c r="AA11" s="203"/>
      <c r="AB11" s="203"/>
      <c r="AC11" s="203"/>
      <c r="AD11" s="203"/>
      <c r="AE11" s="203"/>
      <c r="AF11" s="203"/>
      <c r="AG11" s="203"/>
      <c r="AH11" s="203"/>
      <c r="AI11" s="203"/>
      <c r="AJ11" s="203"/>
      <c r="AK11" s="203"/>
      <c r="AL11" s="203"/>
      <c r="AM11" s="203"/>
      <c r="AN11" s="203"/>
      <c r="AO11" s="203"/>
      <c r="AP11" s="203"/>
      <c r="AQ11" s="203"/>
      <c r="AR11" s="203"/>
      <c r="AS11" s="203"/>
      <c r="AT11" s="203"/>
      <c r="AU11" s="203"/>
      <c r="AV11" s="203"/>
      <c r="AW11" s="203"/>
      <c r="AX11" s="203"/>
      <c r="AY11" s="203"/>
      <c r="AZ11" s="203"/>
      <c r="BA11" s="203"/>
      <c r="BB11" s="203"/>
      <c r="BC11" s="203"/>
      <c r="BD11" s="203"/>
      <c r="BE11" s="203"/>
      <c r="BF11" s="203"/>
      <c r="BG11" s="203"/>
      <c r="BH11" s="203"/>
      <c r="BI11" s="203"/>
      <c r="BJ11" s="203"/>
      <c r="BK11" s="203"/>
      <c r="BL11" s="203"/>
      <c r="BM11" s="203"/>
      <c r="BN11" s="203"/>
      <c r="BO11" s="203"/>
      <c r="BP11" s="203"/>
      <c r="BQ11" s="203"/>
      <c r="BR11" s="203"/>
      <c r="BS11" s="203"/>
      <c r="BT11" s="203"/>
      <c r="BU11" s="203"/>
      <c r="BV11" s="203"/>
      <c r="BW11" s="203"/>
      <c r="BX11" s="203"/>
      <c r="BY11" s="203"/>
      <c r="BZ11" s="203"/>
      <c r="CA11" s="203"/>
      <c r="CB11" s="203"/>
      <c r="CC11" s="203"/>
      <c r="CD11" s="203"/>
      <c r="CE11" s="203"/>
      <c r="CF11" s="203"/>
      <c r="CG11" s="203"/>
      <c r="CH11" s="203"/>
      <c r="CI11" s="203"/>
      <c r="CJ11" s="203"/>
      <c r="CK11" s="203"/>
      <c r="CL11" s="203"/>
      <c r="CM11" s="203"/>
      <c r="CN11" s="203"/>
      <c r="CO11" s="203"/>
      <c r="CP11" s="203"/>
      <c r="CQ11" s="203"/>
      <c r="CR11" s="203"/>
      <c r="CS11" s="203"/>
      <c r="CT11" s="203"/>
      <c r="CU11" s="203"/>
      <c r="CV11" s="203"/>
      <c r="CW11" s="203"/>
      <c r="CX11" s="203"/>
      <c r="CY11" s="203"/>
      <c r="CZ11" s="203"/>
      <c r="DA11" s="203"/>
      <c r="DB11" s="203"/>
      <c r="DC11" s="203"/>
      <c r="DD11" s="203"/>
      <c r="DE11" s="203"/>
      <c r="DF11" s="203"/>
      <c r="DG11" s="203"/>
      <c r="DH11" s="203"/>
      <c r="DI11" s="203"/>
      <c r="DJ11" s="203"/>
      <c r="DK11" s="203"/>
      <c r="DL11" s="203"/>
      <c r="DM11" s="203"/>
      <c r="DN11" s="203"/>
      <c r="DO11" s="203"/>
      <c r="DP11" s="203"/>
      <c r="DQ11" s="203"/>
      <c r="DR11" s="203"/>
      <c r="DS11" s="203"/>
      <c r="DT11" s="203"/>
      <c r="DU11" s="203"/>
      <c r="DV11" s="203"/>
      <c r="DW11" s="203"/>
      <c r="DX11" s="203"/>
      <c r="DY11" s="203"/>
      <c r="DZ11" s="203"/>
      <c r="EA11" s="203"/>
      <c r="EB11" s="203"/>
      <c r="EC11" s="203"/>
      <c r="ED11" s="203"/>
      <c r="EE11" s="203"/>
      <c r="EF11" s="203"/>
      <c r="EG11" s="203"/>
      <c r="EH11" s="203"/>
      <c r="EI11" s="203"/>
      <c r="EJ11" s="203"/>
      <c r="EK11" s="203"/>
      <c r="EL11" s="203"/>
      <c r="EM11" s="203"/>
      <c r="EN11" s="203"/>
      <c r="EO11" s="203"/>
      <c r="EP11" s="203"/>
      <c r="EQ11" s="203"/>
      <c r="ER11" s="203"/>
      <c r="ES11" s="203"/>
      <c r="ET11" s="203"/>
      <c r="EU11" s="203"/>
      <c r="EV11" s="203"/>
      <c r="EW11" s="203"/>
      <c r="EX11" s="203"/>
      <c r="EY11" s="203"/>
      <c r="EZ11" s="203"/>
      <c r="FA11" s="203"/>
      <c r="FB11" s="203"/>
      <c r="FC11" s="203"/>
      <c r="FD11" s="203"/>
      <c r="FE11" s="203"/>
      <c r="FF11" s="203"/>
      <c r="FG11" s="203"/>
      <c r="FH11" s="203"/>
      <c r="FI11" s="203"/>
      <c r="FJ11" s="203"/>
      <c r="FK11" s="203"/>
      <c r="FL11" s="203"/>
      <c r="FM11" s="203"/>
      <c r="FN11" s="203"/>
      <c r="FO11" s="203"/>
      <c r="FP11" s="203"/>
      <c r="FQ11" s="203"/>
      <c r="FR11" s="203"/>
      <c r="FS11" s="203"/>
      <c r="FT11" s="203"/>
      <c r="FU11" s="203"/>
      <c r="FV11" s="203"/>
      <c r="FW11" s="203"/>
      <c r="FX11" s="203"/>
      <c r="FY11" s="203"/>
      <c r="FZ11" s="203"/>
      <c r="GA11" s="203"/>
      <c r="GB11" s="203"/>
      <c r="GC11" s="203"/>
      <c r="GD11" s="203"/>
      <c r="GE11" s="203"/>
      <c r="GF11" s="203"/>
      <c r="GG11" s="203"/>
      <c r="GH11" s="203"/>
      <c r="GI11" s="203"/>
      <c r="GJ11" s="203"/>
      <c r="GK11" s="203"/>
      <c r="GL11" s="203"/>
      <c r="GM11" s="203"/>
      <c r="GN11" s="203"/>
      <c r="GO11" s="203"/>
      <c r="GP11" s="203"/>
      <c r="GQ11" s="203"/>
      <c r="GR11" s="203"/>
      <c r="GS11" s="203"/>
      <c r="GT11" s="203"/>
      <c r="GU11" s="203"/>
      <c r="GV11" s="203"/>
      <c r="GW11" s="203"/>
      <c r="GX11" s="203"/>
      <c r="GY11" s="203"/>
      <c r="GZ11" s="203"/>
      <c r="HA11" s="203"/>
      <c r="HB11" s="203"/>
      <c r="HC11" s="203"/>
      <c r="HD11" s="203"/>
      <c r="HE11" s="203"/>
      <c r="HF11" s="203"/>
      <c r="HG11" s="203"/>
      <c r="HH11" s="203"/>
      <c r="HI11" s="203"/>
      <c r="HJ11" s="203"/>
      <c r="HK11" s="203"/>
      <c r="HL11" s="203"/>
      <c r="HM11" s="203"/>
      <c r="HN11" s="203"/>
      <c r="HO11" s="203"/>
      <c r="HP11" s="203"/>
      <c r="HQ11" s="203"/>
      <c r="HR11" s="203"/>
      <c r="HS11" s="203"/>
      <c r="HT11" s="203"/>
      <c r="HU11" s="203"/>
      <c r="HV11" s="203"/>
      <c r="HW11" s="203"/>
      <c r="HX11" s="203"/>
      <c r="HY11" s="203"/>
      <c r="HZ11" s="203"/>
      <c r="IA11" s="203"/>
      <c r="IB11" s="203"/>
      <c r="IC11" s="203"/>
      <c r="ID11" s="203"/>
      <c r="IE11" s="203"/>
      <c r="IF11" s="203"/>
      <c r="IG11" s="203"/>
      <c r="IH11" s="203"/>
      <c r="II11" s="203"/>
      <c r="IJ11" s="203"/>
      <c r="IK11" s="203"/>
      <c r="IL11" s="203"/>
      <c r="IM11" s="203"/>
      <c r="IN11" s="203"/>
      <c r="IO11" s="203"/>
      <c r="IP11" s="203"/>
      <c r="IQ11" s="203"/>
      <c r="IR11" s="203"/>
      <c r="IS11" s="203"/>
      <c r="IT11" s="203"/>
      <c r="IU11" s="203"/>
      <c r="IV11" s="203"/>
      <c r="IW11" s="203"/>
    </row>
    <row r="12" customFormat="false" ht="6" hidden="false" customHeight="true" outlineLevel="0" collapsed="false">
      <c r="A12" s="262"/>
      <c r="B12" s="332"/>
      <c r="C12" s="171"/>
      <c r="D12" s="333"/>
      <c r="E12" s="333"/>
      <c r="F12" s="333"/>
      <c r="G12" s="333"/>
      <c r="H12" s="333"/>
      <c r="I12" s="333"/>
      <c r="J12" s="333"/>
      <c r="K12" s="333"/>
      <c r="L12" s="333"/>
      <c r="M12" s="333"/>
      <c r="N12" s="333"/>
      <c r="O12" s="333"/>
      <c r="P12" s="262"/>
      <c r="Q12" s="203"/>
      <c r="R12" s="203"/>
      <c r="S12" s="203"/>
      <c r="T12" s="203"/>
      <c r="U12" s="203"/>
      <c r="V12" s="203"/>
      <c r="W12" s="203"/>
      <c r="X12" s="203"/>
      <c r="Y12" s="203"/>
      <c r="Z12" s="203"/>
      <c r="AA12" s="203"/>
      <c r="AB12" s="203"/>
      <c r="AC12" s="203"/>
      <c r="AD12" s="203"/>
      <c r="AE12" s="203"/>
      <c r="AF12" s="203"/>
      <c r="AG12" s="203"/>
      <c r="AH12" s="203"/>
      <c r="AI12" s="203"/>
      <c r="AJ12" s="203"/>
      <c r="AK12" s="203"/>
      <c r="AL12" s="203"/>
      <c r="AM12" s="203"/>
      <c r="AN12" s="203"/>
      <c r="AO12" s="203"/>
      <c r="AP12" s="203"/>
      <c r="AQ12" s="203"/>
      <c r="AR12" s="203"/>
      <c r="AS12" s="203"/>
      <c r="AT12" s="203"/>
      <c r="AU12" s="203"/>
      <c r="AV12" s="203"/>
      <c r="AW12" s="203"/>
      <c r="AX12" s="203"/>
      <c r="AY12" s="203"/>
      <c r="AZ12" s="203"/>
      <c r="BA12" s="203"/>
      <c r="BB12" s="203"/>
      <c r="BC12" s="203"/>
      <c r="BD12" s="203"/>
      <c r="BE12" s="203"/>
      <c r="BF12" s="203"/>
      <c r="BG12" s="203"/>
      <c r="BH12" s="203"/>
      <c r="BI12" s="203"/>
      <c r="BJ12" s="203"/>
      <c r="BK12" s="203"/>
      <c r="BL12" s="203"/>
      <c r="BM12" s="203"/>
      <c r="BN12" s="203"/>
      <c r="BO12" s="203"/>
      <c r="BP12" s="203"/>
      <c r="BQ12" s="203"/>
      <c r="BR12" s="203"/>
      <c r="BS12" s="203"/>
      <c r="BT12" s="203"/>
      <c r="BU12" s="203"/>
      <c r="BV12" s="203"/>
      <c r="BW12" s="203"/>
      <c r="BX12" s="203"/>
      <c r="BY12" s="203"/>
      <c r="BZ12" s="203"/>
      <c r="CA12" s="203"/>
      <c r="CB12" s="203"/>
      <c r="CC12" s="203"/>
      <c r="CD12" s="203"/>
      <c r="CE12" s="203"/>
      <c r="CF12" s="203"/>
      <c r="CG12" s="203"/>
      <c r="CH12" s="203"/>
      <c r="CI12" s="203"/>
      <c r="CJ12" s="203"/>
      <c r="CK12" s="203"/>
      <c r="CL12" s="203"/>
      <c r="CM12" s="203"/>
      <c r="CN12" s="203"/>
      <c r="CO12" s="203"/>
      <c r="CP12" s="203"/>
      <c r="CQ12" s="203"/>
      <c r="CR12" s="203"/>
      <c r="CS12" s="203"/>
      <c r="CT12" s="203"/>
      <c r="CU12" s="203"/>
      <c r="CV12" s="203"/>
      <c r="CW12" s="203"/>
      <c r="CX12" s="203"/>
      <c r="CY12" s="203"/>
      <c r="CZ12" s="203"/>
      <c r="DA12" s="203"/>
      <c r="DB12" s="203"/>
      <c r="DC12" s="203"/>
      <c r="DD12" s="203"/>
      <c r="DE12" s="203"/>
      <c r="DF12" s="203"/>
      <c r="DG12" s="203"/>
      <c r="DH12" s="203"/>
      <c r="DI12" s="203"/>
      <c r="DJ12" s="203"/>
      <c r="DK12" s="203"/>
      <c r="DL12" s="203"/>
      <c r="DM12" s="203"/>
      <c r="DN12" s="203"/>
      <c r="DO12" s="203"/>
      <c r="DP12" s="203"/>
      <c r="DQ12" s="203"/>
      <c r="DR12" s="203"/>
      <c r="DS12" s="203"/>
      <c r="DT12" s="203"/>
      <c r="DU12" s="203"/>
      <c r="DV12" s="203"/>
      <c r="DW12" s="203"/>
      <c r="DX12" s="203"/>
      <c r="DY12" s="203"/>
      <c r="DZ12" s="203"/>
      <c r="EA12" s="203"/>
      <c r="EB12" s="203"/>
      <c r="EC12" s="203"/>
      <c r="ED12" s="203"/>
      <c r="EE12" s="203"/>
      <c r="EF12" s="203"/>
      <c r="EG12" s="203"/>
      <c r="EH12" s="203"/>
      <c r="EI12" s="203"/>
      <c r="EJ12" s="203"/>
      <c r="EK12" s="203"/>
      <c r="EL12" s="203"/>
      <c r="EM12" s="203"/>
      <c r="EN12" s="203"/>
      <c r="EO12" s="203"/>
      <c r="EP12" s="203"/>
      <c r="EQ12" s="203"/>
      <c r="ER12" s="203"/>
      <c r="ES12" s="203"/>
      <c r="ET12" s="203"/>
      <c r="EU12" s="203"/>
      <c r="EV12" s="203"/>
      <c r="EW12" s="203"/>
      <c r="EX12" s="203"/>
      <c r="EY12" s="203"/>
      <c r="EZ12" s="203"/>
      <c r="FA12" s="203"/>
      <c r="FB12" s="203"/>
      <c r="FC12" s="203"/>
      <c r="FD12" s="203"/>
      <c r="FE12" s="203"/>
      <c r="FF12" s="203"/>
      <c r="FG12" s="203"/>
      <c r="FH12" s="203"/>
      <c r="FI12" s="203"/>
      <c r="FJ12" s="203"/>
      <c r="FK12" s="203"/>
      <c r="FL12" s="203"/>
      <c r="FM12" s="203"/>
      <c r="FN12" s="203"/>
      <c r="FO12" s="203"/>
      <c r="FP12" s="203"/>
      <c r="FQ12" s="203"/>
      <c r="FR12" s="203"/>
      <c r="FS12" s="203"/>
      <c r="FT12" s="203"/>
      <c r="FU12" s="203"/>
      <c r="FV12" s="203"/>
      <c r="FW12" s="203"/>
      <c r="FX12" s="203"/>
      <c r="FY12" s="203"/>
      <c r="FZ12" s="203"/>
      <c r="GA12" s="203"/>
      <c r="GB12" s="203"/>
      <c r="GC12" s="203"/>
      <c r="GD12" s="203"/>
      <c r="GE12" s="203"/>
      <c r="GF12" s="203"/>
      <c r="GG12" s="203"/>
      <c r="GH12" s="203"/>
      <c r="GI12" s="203"/>
      <c r="GJ12" s="203"/>
      <c r="GK12" s="203"/>
      <c r="GL12" s="203"/>
      <c r="GM12" s="203"/>
      <c r="GN12" s="203"/>
      <c r="GO12" s="203"/>
      <c r="GP12" s="203"/>
      <c r="GQ12" s="203"/>
      <c r="GR12" s="203"/>
      <c r="GS12" s="203"/>
      <c r="GT12" s="203"/>
      <c r="GU12" s="203"/>
      <c r="GV12" s="203"/>
      <c r="GW12" s="203"/>
      <c r="GX12" s="203"/>
      <c r="GY12" s="203"/>
      <c r="GZ12" s="203"/>
      <c r="HA12" s="203"/>
      <c r="HB12" s="203"/>
      <c r="HC12" s="203"/>
      <c r="HD12" s="203"/>
      <c r="HE12" s="203"/>
      <c r="HF12" s="203"/>
      <c r="HG12" s="203"/>
      <c r="HH12" s="203"/>
      <c r="HI12" s="203"/>
      <c r="HJ12" s="203"/>
      <c r="HK12" s="203"/>
      <c r="HL12" s="203"/>
      <c r="HM12" s="203"/>
      <c r="HN12" s="203"/>
      <c r="HO12" s="203"/>
      <c r="HP12" s="203"/>
      <c r="HQ12" s="203"/>
      <c r="HR12" s="203"/>
      <c r="HS12" s="203"/>
      <c r="HT12" s="203"/>
      <c r="HU12" s="203"/>
      <c r="HV12" s="203"/>
      <c r="HW12" s="203"/>
      <c r="HX12" s="203"/>
      <c r="HY12" s="203"/>
      <c r="HZ12" s="203"/>
      <c r="IA12" s="203"/>
      <c r="IB12" s="203"/>
      <c r="IC12" s="203"/>
      <c r="ID12" s="203"/>
      <c r="IE12" s="203"/>
      <c r="IF12" s="203"/>
      <c r="IG12" s="203"/>
      <c r="IH12" s="203"/>
      <c r="II12" s="203"/>
      <c r="IJ12" s="203"/>
      <c r="IK12" s="203"/>
      <c r="IL12" s="203"/>
      <c r="IM12" s="203"/>
      <c r="IN12" s="203"/>
      <c r="IO12" s="203"/>
      <c r="IP12" s="203"/>
      <c r="IQ12" s="203"/>
      <c r="IR12" s="203"/>
      <c r="IS12" s="203"/>
      <c r="IT12" s="203"/>
      <c r="IU12" s="203"/>
      <c r="IV12" s="203"/>
      <c r="IW12" s="203"/>
    </row>
    <row r="13" customFormat="false" ht="12" hidden="false" customHeight="false" outlineLevel="0" collapsed="false">
      <c r="A13" s="240"/>
      <c r="B13" s="329" t="s">
        <v>228</v>
      </c>
      <c r="C13" s="175" t="n">
        <f aca="false">SUM(D13:O13)</f>
        <v>1380</v>
      </c>
      <c r="D13" s="175" t="n">
        <f aca="false">'Profit &amp; Loss Acc'!C22</f>
        <v>520</v>
      </c>
      <c r="E13" s="175" t="n">
        <f aca="false">'Profit &amp; Loss Acc'!D22</f>
        <v>0</v>
      </c>
      <c r="F13" s="175" t="n">
        <f aca="false">'Profit &amp; Loss Acc'!E22</f>
        <v>0</v>
      </c>
      <c r="G13" s="175" t="n">
        <f aca="false">'Profit &amp; Loss Acc'!F22</f>
        <v>120</v>
      </c>
      <c r="H13" s="175" t="n">
        <f aca="false">'Profit &amp; Loss Acc'!G22</f>
        <v>0</v>
      </c>
      <c r="I13" s="175" t="n">
        <f aca="false">'Profit &amp; Loss Acc'!H22</f>
        <v>0</v>
      </c>
      <c r="J13" s="175" t="n">
        <f aca="false">'Profit &amp; Loss Acc'!I22</f>
        <v>120</v>
      </c>
      <c r="K13" s="175" t="n">
        <f aca="false">'Profit &amp; Loss Acc'!J22</f>
        <v>0</v>
      </c>
      <c r="L13" s="175" t="n">
        <f aca="false">'Profit &amp; Loss Acc'!K22</f>
        <v>0</v>
      </c>
      <c r="M13" s="175" t="n">
        <f aca="false">'Profit &amp; Loss Acc'!L22</f>
        <v>620</v>
      </c>
      <c r="N13" s="175" t="n">
        <f aca="false">'Profit &amp; Loss Acc'!M22</f>
        <v>0</v>
      </c>
      <c r="O13" s="175" t="n">
        <f aca="false">'Profit &amp; Loss Acc'!N22</f>
        <v>0</v>
      </c>
      <c r="P13" s="240"/>
    </row>
    <row r="14" customFormat="false" ht="6" hidden="false" customHeight="true" outlineLevel="0" collapsed="false">
      <c r="A14" s="240"/>
      <c r="B14" s="329"/>
      <c r="C14" s="171"/>
      <c r="D14" s="171"/>
      <c r="E14" s="171"/>
      <c r="F14" s="171"/>
      <c r="G14" s="171"/>
      <c r="H14" s="171"/>
      <c r="I14" s="171"/>
      <c r="J14" s="171"/>
      <c r="K14" s="171"/>
      <c r="L14" s="171"/>
      <c r="M14" s="171"/>
      <c r="N14" s="171"/>
      <c r="O14" s="171"/>
      <c r="P14" s="240"/>
    </row>
    <row r="15" customFormat="false" ht="12" hidden="false" customHeight="false" outlineLevel="0" collapsed="false">
      <c r="A15" s="240"/>
      <c r="B15" s="334" t="s">
        <v>229</v>
      </c>
      <c r="C15" s="175" t="n">
        <f aca="false">SUM(D15:O15)</f>
        <v>29065</v>
      </c>
      <c r="D15" s="175" t="n">
        <f aca="false">D11-D13</f>
        <v>751.666666666667</v>
      </c>
      <c r="E15" s="175" t="n">
        <f aca="false">E11-E13</f>
        <v>2606.66666666667</v>
      </c>
      <c r="F15" s="175" t="n">
        <f aca="false">F11-F13</f>
        <v>2606.66666666667</v>
      </c>
      <c r="G15" s="175" t="n">
        <f aca="false">G11-G13</f>
        <v>2486.66666666667</v>
      </c>
      <c r="H15" s="175" t="n">
        <f aca="false">H11-H13</f>
        <v>2606.66666666667</v>
      </c>
      <c r="I15" s="175" t="n">
        <f aca="false">I11-I13</f>
        <v>3106.66666666667</v>
      </c>
      <c r="J15" s="175" t="n">
        <f aca="false">J11-J13</f>
        <v>2486.66666666667</v>
      </c>
      <c r="K15" s="175" t="n">
        <f aca="false">K11-K13</f>
        <v>2606.66666666667</v>
      </c>
      <c r="L15" s="175" t="n">
        <f aca="false">L11-L13</f>
        <v>2606.66666666667</v>
      </c>
      <c r="M15" s="175" t="n">
        <f aca="false">M11-M13</f>
        <v>1986.66666666667</v>
      </c>
      <c r="N15" s="175" t="n">
        <f aca="false">N11-N13</f>
        <v>2606.66666666667</v>
      </c>
      <c r="O15" s="175" t="n">
        <f aca="false">O11-O13</f>
        <v>2606.66666666667</v>
      </c>
      <c r="P15" s="240"/>
    </row>
    <row r="16" customFormat="false" ht="12" hidden="false" customHeight="false" outlineLevel="0" collapsed="false">
      <c r="A16" s="240"/>
      <c r="B16" s="240"/>
      <c r="C16" s="240"/>
      <c r="D16" s="240"/>
      <c r="E16" s="240"/>
      <c r="F16" s="240"/>
      <c r="G16" s="240"/>
      <c r="H16" s="240"/>
      <c r="I16" s="240"/>
      <c r="J16" s="240"/>
      <c r="K16" s="240"/>
      <c r="L16" s="240"/>
      <c r="M16" s="240"/>
      <c r="N16" s="240"/>
      <c r="O16" s="240"/>
      <c r="P16" s="240"/>
    </row>
    <row r="17" customFormat="false" ht="12" hidden="false" customHeight="true" outlineLevel="0" collapsed="false">
      <c r="A17" s="240"/>
      <c r="B17" s="335" t="s">
        <v>230</v>
      </c>
      <c r="C17" s="322" t="s">
        <v>226</v>
      </c>
      <c r="D17" s="336" t="n">
        <f aca="false">D2</f>
        <v>46142</v>
      </c>
      <c r="E17" s="336" t="n">
        <f aca="false">E2</f>
        <v>46173</v>
      </c>
      <c r="F17" s="336" t="n">
        <f aca="false">F2</f>
        <v>46203</v>
      </c>
      <c r="G17" s="336" t="n">
        <f aca="false">G2</f>
        <v>46234</v>
      </c>
      <c r="H17" s="336" t="n">
        <f aca="false">H2</f>
        <v>46265</v>
      </c>
      <c r="I17" s="336" t="n">
        <f aca="false">I2</f>
        <v>46295</v>
      </c>
      <c r="J17" s="336" t="n">
        <f aca="false">J2</f>
        <v>46326</v>
      </c>
      <c r="K17" s="336" t="n">
        <f aca="false">K2</f>
        <v>46356</v>
      </c>
      <c r="L17" s="336" t="n">
        <f aca="false">L2</f>
        <v>46387</v>
      </c>
      <c r="M17" s="336" t="n">
        <f aca="false">M2</f>
        <v>46418</v>
      </c>
      <c r="N17" s="336" t="n">
        <f aca="false">N2</f>
        <v>46446</v>
      </c>
      <c r="O17" s="336" t="n">
        <f aca="false">O2</f>
        <v>46477</v>
      </c>
      <c r="P17" s="240"/>
    </row>
    <row r="18" customFormat="false" ht="12" hidden="false" customHeight="true" outlineLevel="0" collapsed="false">
      <c r="A18" s="240"/>
      <c r="B18" s="335"/>
      <c r="C18" s="325" t="n">
        <f aca="false">C3</f>
        <v>46482</v>
      </c>
      <c r="D18" s="336"/>
      <c r="E18" s="336"/>
      <c r="F18" s="336"/>
      <c r="G18" s="336"/>
      <c r="H18" s="336"/>
      <c r="I18" s="336"/>
      <c r="J18" s="336"/>
      <c r="K18" s="336"/>
      <c r="L18" s="336"/>
      <c r="M18" s="336"/>
      <c r="N18" s="336"/>
      <c r="O18" s="336"/>
      <c r="P18" s="240"/>
    </row>
    <row r="19" customFormat="false" ht="12" hidden="false" customHeight="false" outlineLevel="0" collapsed="false">
      <c r="A19" s="240"/>
      <c r="B19" s="335"/>
      <c r="C19" s="337" t="n">
        <f aca="false">SUM(D19:O19)</f>
        <v>12</v>
      </c>
      <c r="D19" s="327" t="n">
        <f aca="false">IF(D5&gt;0,1," ")</f>
        <v>1</v>
      </c>
      <c r="E19" s="327" t="n">
        <f aca="false">IF(E5&gt;0,1," ")</f>
        <v>1</v>
      </c>
      <c r="F19" s="327" t="n">
        <f aca="false">IF(F5&gt;0,1," ")</f>
        <v>1</v>
      </c>
      <c r="G19" s="327" t="n">
        <f aca="false">IF(G5&gt;0,1," ")</f>
        <v>1</v>
      </c>
      <c r="H19" s="327" t="n">
        <f aca="false">IF(H5&gt;0,1," ")</f>
        <v>1</v>
      </c>
      <c r="I19" s="327" t="n">
        <f aca="false">IF(I5&gt;0,1," ")</f>
        <v>1</v>
      </c>
      <c r="J19" s="327" t="n">
        <f aca="false">IF(J5&gt;0,1," ")</f>
        <v>1</v>
      </c>
      <c r="K19" s="327" t="n">
        <f aca="false">IF(K5&gt;0,1," ")</f>
        <v>1</v>
      </c>
      <c r="L19" s="327" t="n">
        <f aca="false">IF(L5&gt;0,1," ")</f>
        <v>1</v>
      </c>
      <c r="M19" s="327" t="n">
        <f aca="false">IF(M5&gt;0,1," ")</f>
        <v>1</v>
      </c>
      <c r="N19" s="327" t="n">
        <f aca="false">IF(N5&gt;0,1," ")</f>
        <v>1</v>
      </c>
      <c r="O19" s="327" t="n">
        <f aca="false">IF(O5&gt;0,1," ")</f>
        <v>1</v>
      </c>
      <c r="P19" s="240"/>
    </row>
    <row r="20" customFormat="false" ht="12" hidden="false" customHeight="false" outlineLevel="0" collapsed="false">
      <c r="A20" s="262"/>
      <c r="B20" s="329" t="s">
        <v>112</v>
      </c>
      <c r="C20" s="175" t="n">
        <f aca="false">SUM(D20:O20)</f>
        <v>36045</v>
      </c>
      <c r="D20" s="175" t="n">
        <f aca="false">IF(C5&gt;0,IF(D5&gt;0,D5,C5/C19),0)</f>
        <v>3045</v>
      </c>
      <c r="E20" s="175" t="n">
        <f aca="false">IF(C5&gt;0,IF(E5&gt;0,E5,C5/C19),0)</f>
        <v>3000</v>
      </c>
      <c r="F20" s="175" t="n">
        <f aca="false">IF(C5&gt;0,IF(F5&gt;0,F5,C5/C19),0)</f>
        <v>3000</v>
      </c>
      <c r="G20" s="175" t="n">
        <f aca="false">IF(C5&gt;0,IF(G5&gt;0,G5,C5/C19),0)</f>
        <v>3000</v>
      </c>
      <c r="H20" s="175" t="n">
        <f aca="false">IF(C5&gt;0,IF(H5&gt;0,H5,C5/C19),0)</f>
        <v>3000</v>
      </c>
      <c r="I20" s="175" t="n">
        <f aca="false">IF(C5&gt;0,IF(I5&gt;0,I5,C5/C19),0)</f>
        <v>3000</v>
      </c>
      <c r="J20" s="175" t="n">
        <f aca="false">IF(C5&gt;0,IF(J5&gt;0,J5,C5/C19),0)</f>
        <v>3000</v>
      </c>
      <c r="K20" s="175" t="n">
        <f aca="false">IF(C5&gt;0,IF(K5&gt;0,K5,C5/C19),0)</f>
        <v>3000</v>
      </c>
      <c r="L20" s="175" t="n">
        <f aca="false">IF(C5&gt;0,IF(L5&gt;0,L5,C5/C19),0)</f>
        <v>3000</v>
      </c>
      <c r="M20" s="175" t="n">
        <f aca="false">IF(C5&gt;0,IF(M5&gt;0,M5,C5/C19),0)</f>
        <v>3000</v>
      </c>
      <c r="N20" s="175" t="n">
        <f aca="false">IF(C5&gt;0,IF(N5&gt;0,N5,C5/C19),0)</f>
        <v>3000</v>
      </c>
      <c r="O20" s="175" t="n">
        <f aca="false">IF(C5&gt;0,IF(O5&gt;0,O5,C5/C19),0)</f>
        <v>3000</v>
      </c>
      <c r="P20" s="262"/>
      <c r="Q20" s="203"/>
      <c r="R20" s="203"/>
      <c r="S20" s="203"/>
      <c r="T20" s="203"/>
      <c r="U20" s="203"/>
      <c r="V20" s="203"/>
      <c r="W20" s="203"/>
      <c r="X20" s="203"/>
      <c r="Y20" s="203"/>
      <c r="Z20" s="203"/>
      <c r="AA20" s="203"/>
      <c r="AB20" s="203"/>
      <c r="AC20" s="203"/>
      <c r="AD20" s="203"/>
      <c r="AE20" s="203"/>
      <c r="AF20" s="203"/>
      <c r="AG20" s="203"/>
      <c r="AH20" s="203"/>
      <c r="AI20" s="203"/>
      <c r="AJ20" s="203"/>
      <c r="AK20" s="203"/>
      <c r="AL20" s="203"/>
      <c r="AM20" s="203"/>
      <c r="AN20" s="203"/>
      <c r="AO20" s="203"/>
      <c r="AP20" s="203"/>
      <c r="AQ20" s="203"/>
      <c r="AR20" s="203"/>
      <c r="AS20" s="203"/>
      <c r="AT20" s="203"/>
      <c r="AU20" s="203"/>
      <c r="AV20" s="203"/>
      <c r="AW20" s="203"/>
      <c r="AX20" s="203"/>
      <c r="AY20" s="203"/>
      <c r="AZ20" s="203"/>
      <c r="BA20" s="203"/>
      <c r="BB20" s="203"/>
      <c r="BC20" s="203"/>
      <c r="BD20" s="203"/>
      <c r="BE20" s="203"/>
      <c r="BF20" s="203"/>
      <c r="BG20" s="203"/>
      <c r="BH20" s="203"/>
      <c r="BI20" s="203"/>
      <c r="BJ20" s="203"/>
      <c r="BK20" s="203"/>
      <c r="BL20" s="203"/>
      <c r="BM20" s="203"/>
      <c r="BN20" s="203"/>
      <c r="BO20" s="203"/>
      <c r="BP20" s="203"/>
      <c r="BQ20" s="203"/>
      <c r="BR20" s="203"/>
      <c r="BS20" s="203"/>
      <c r="BT20" s="203"/>
      <c r="BU20" s="203"/>
      <c r="BV20" s="203"/>
      <c r="BW20" s="203"/>
      <c r="BX20" s="203"/>
      <c r="BY20" s="203"/>
      <c r="BZ20" s="203"/>
      <c r="CA20" s="203"/>
      <c r="CB20" s="203"/>
      <c r="CC20" s="203"/>
      <c r="CD20" s="203"/>
      <c r="CE20" s="203"/>
      <c r="CF20" s="203"/>
      <c r="CG20" s="203"/>
      <c r="CH20" s="203"/>
      <c r="CI20" s="203"/>
      <c r="CJ20" s="203"/>
      <c r="CK20" s="203"/>
      <c r="CL20" s="203"/>
      <c r="CM20" s="203"/>
      <c r="CN20" s="203"/>
      <c r="CO20" s="203"/>
      <c r="CP20" s="203"/>
      <c r="CQ20" s="203"/>
      <c r="CR20" s="203"/>
      <c r="CS20" s="203"/>
      <c r="CT20" s="203"/>
      <c r="CU20" s="203"/>
      <c r="CV20" s="203"/>
      <c r="CW20" s="203"/>
      <c r="CX20" s="203"/>
      <c r="CY20" s="203"/>
      <c r="CZ20" s="203"/>
      <c r="DA20" s="203"/>
      <c r="DB20" s="203"/>
      <c r="DC20" s="203"/>
      <c r="DD20" s="203"/>
      <c r="DE20" s="203"/>
      <c r="DF20" s="203"/>
      <c r="DG20" s="203"/>
      <c r="DH20" s="203"/>
      <c r="DI20" s="203"/>
      <c r="DJ20" s="203"/>
      <c r="DK20" s="203"/>
      <c r="DL20" s="203"/>
      <c r="DM20" s="203"/>
      <c r="DN20" s="203"/>
      <c r="DO20" s="203"/>
      <c r="DP20" s="203"/>
      <c r="DQ20" s="203"/>
      <c r="DR20" s="203"/>
      <c r="DS20" s="203"/>
      <c r="DT20" s="203"/>
      <c r="DU20" s="203"/>
      <c r="DV20" s="203"/>
      <c r="DW20" s="203"/>
      <c r="DX20" s="203"/>
      <c r="DY20" s="203"/>
      <c r="DZ20" s="203"/>
      <c r="EA20" s="203"/>
      <c r="EB20" s="203"/>
      <c r="EC20" s="203"/>
      <c r="ED20" s="203"/>
      <c r="EE20" s="203"/>
      <c r="EF20" s="203"/>
      <c r="EG20" s="203"/>
      <c r="EH20" s="203"/>
      <c r="EI20" s="203"/>
      <c r="EJ20" s="203"/>
      <c r="EK20" s="203"/>
      <c r="EL20" s="203"/>
      <c r="EM20" s="203"/>
      <c r="EN20" s="203"/>
      <c r="EO20" s="203"/>
      <c r="EP20" s="203"/>
      <c r="EQ20" s="203"/>
      <c r="ER20" s="203"/>
      <c r="ES20" s="203"/>
      <c r="ET20" s="203"/>
      <c r="EU20" s="203"/>
      <c r="EV20" s="203"/>
      <c r="EW20" s="203"/>
      <c r="EX20" s="203"/>
      <c r="EY20" s="203"/>
      <c r="EZ20" s="203"/>
      <c r="FA20" s="203"/>
      <c r="FB20" s="203"/>
      <c r="FC20" s="203"/>
      <c r="FD20" s="203"/>
      <c r="FE20" s="203"/>
      <c r="FF20" s="203"/>
      <c r="FG20" s="203"/>
      <c r="FH20" s="203"/>
      <c r="FI20" s="203"/>
      <c r="FJ20" s="203"/>
      <c r="FK20" s="203"/>
      <c r="FL20" s="203"/>
      <c r="FM20" s="203"/>
      <c r="FN20" s="203"/>
      <c r="FO20" s="203"/>
      <c r="FP20" s="203"/>
      <c r="FQ20" s="203"/>
      <c r="FR20" s="203"/>
      <c r="FS20" s="203"/>
      <c r="FT20" s="203"/>
      <c r="FU20" s="203"/>
      <c r="FV20" s="203"/>
      <c r="FW20" s="203"/>
      <c r="FX20" s="203"/>
      <c r="FY20" s="203"/>
      <c r="FZ20" s="203"/>
      <c r="GA20" s="203"/>
      <c r="GB20" s="203"/>
      <c r="GC20" s="203"/>
      <c r="GD20" s="203"/>
      <c r="GE20" s="203"/>
      <c r="GF20" s="203"/>
      <c r="GG20" s="203"/>
      <c r="GH20" s="203"/>
      <c r="GI20" s="203"/>
      <c r="GJ20" s="203"/>
      <c r="GK20" s="203"/>
      <c r="GL20" s="203"/>
      <c r="GM20" s="203"/>
      <c r="GN20" s="203"/>
      <c r="GO20" s="203"/>
      <c r="GP20" s="203"/>
      <c r="GQ20" s="203"/>
      <c r="GR20" s="203"/>
      <c r="GS20" s="203"/>
      <c r="GT20" s="203"/>
      <c r="GU20" s="203"/>
      <c r="GV20" s="203"/>
      <c r="GW20" s="203"/>
      <c r="GX20" s="203"/>
      <c r="GY20" s="203"/>
      <c r="GZ20" s="203"/>
      <c r="HA20" s="203"/>
      <c r="HB20" s="203"/>
      <c r="HC20" s="203"/>
      <c r="HD20" s="203"/>
      <c r="HE20" s="203"/>
      <c r="HF20" s="203"/>
      <c r="HG20" s="203"/>
      <c r="HH20" s="203"/>
      <c r="HI20" s="203"/>
      <c r="HJ20" s="203"/>
      <c r="HK20" s="203"/>
      <c r="HL20" s="203"/>
      <c r="HM20" s="203"/>
      <c r="HN20" s="203"/>
      <c r="HO20" s="203"/>
      <c r="HP20" s="203"/>
      <c r="HQ20" s="203"/>
      <c r="HR20" s="203"/>
      <c r="HS20" s="203"/>
      <c r="HT20" s="203"/>
      <c r="HU20" s="203"/>
      <c r="HV20" s="203"/>
      <c r="HW20" s="203"/>
      <c r="HX20" s="203"/>
      <c r="HY20" s="203"/>
      <c r="HZ20" s="203"/>
      <c r="IA20" s="203"/>
      <c r="IB20" s="203"/>
      <c r="IC20" s="203"/>
      <c r="ID20" s="203"/>
      <c r="IE20" s="203"/>
      <c r="IF20" s="203"/>
      <c r="IG20" s="203"/>
      <c r="IH20" s="203"/>
      <c r="II20" s="203"/>
      <c r="IJ20" s="203"/>
      <c r="IK20" s="203"/>
      <c r="IL20" s="203"/>
      <c r="IM20" s="203"/>
      <c r="IN20" s="203"/>
      <c r="IO20" s="203"/>
      <c r="IP20" s="203"/>
      <c r="IQ20" s="203"/>
      <c r="IR20" s="203"/>
      <c r="IS20" s="203"/>
      <c r="IT20" s="203"/>
      <c r="IU20" s="203"/>
      <c r="IV20" s="203"/>
      <c r="IW20" s="203"/>
    </row>
    <row r="21" customFormat="false" ht="6" hidden="false" customHeight="true" outlineLevel="0" collapsed="false">
      <c r="A21" s="262"/>
      <c r="B21" s="329"/>
      <c r="C21" s="171"/>
      <c r="D21" s="171"/>
      <c r="E21" s="171"/>
      <c r="F21" s="171"/>
      <c r="G21" s="171"/>
      <c r="H21" s="171"/>
      <c r="I21" s="171"/>
      <c r="J21" s="171"/>
      <c r="K21" s="171"/>
      <c r="L21" s="171"/>
      <c r="M21" s="171"/>
      <c r="N21" s="171"/>
      <c r="O21" s="171"/>
      <c r="P21" s="262"/>
      <c r="Q21" s="203"/>
      <c r="R21" s="203"/>
      <c r="S21" s="203"/>
      <c r="T21" s="203"/>
      <c r="U21" s="203"/>
      <c r="V21" s="203"/>
      <c r="W21" s="203"/>
      <c r="X21" s="203"/>
      <c r="Y21" s="203"/>
      <c r="Z21" s="203"/>
      <c r="AA21" s="203"/>
      <c r="AB21" s="203"/>
      <c r="AC21" s="203"/>
      <c r="AD21" s="203"/>
      <c r="AE21" s="203"/>
      <c r="AF21" s="203"/>
      <c r="AG21" s="203"/>
      <c r="AH21" s="203"/>
      <c r="AI21" s="203"/>
      <c r="AJ21" s="203"/>
      <c r="AK21" s="203"/>
      <c r="AL21" s="203"/>
      <c r="AM21" s="203"/>
      <c r="AN21" s="203"/>
      <c r="AO21" s="203"/>
      <c r="AP21" s="203"/>
      <c r="AQ21" s="203"/>
      <c r="AR21" s="203"/>
      <c r="AS21" s="203"/>
      <c r="AT21" s="203"/>
      <c r="AU21" s="203"/>
      <c r="AV21" s="203"/>
      <c r="AW21" s="203"/>
      <c r="AX21" s="203"/>
      <c r="AY21" s="203"/>
      <c r="AZ21" s="203"/>
      <c r="BA21" s="203"/>
      <c r="BB21" s="203"/>
      <c r="BC21" s="203"/>
      <c r="BD21" s="203"/>
      <c r="BE21" s="203"/>
      <c r="BF21" s="203"/>
      <c r="BG21" s="203"/>
      <c r="BH21" s="203"/>
      <c r="BI21" s="203"/>
      <c r="BJ21" s="203"/>
      <c r="BK21" s="203"/>
      <c r="BL21" s="203"/>
      <c r="BM21" s="203"/>
      <c r="BN21" s="203"/>
      <c r="BO21" s="203"/>
      <c r="BP21" s="203"/>
      <c r="BQ21" s="203"/>
      <c r="BR21" s="203"/>
      <c r="BS21" s="203"/>
      <c r="BT21" s="203"/>
      <c r="BU21" s="203"/>
      <c r="BV21" s="203"/>
      <c r="BW21" s="203"/>
      <c r="BX21" s="203"/>
      <c r="BY21" s="203"/>
      <c r="BZ21" s="203"/>
      <c r="CA21" s="203"/>
      <c r="CB21" s="203"/>
      <c r="CC21" s="203"/>
      <c r="CD21" s="203"/>
      <c r="CE21" s="203"/>
      <c r="CF21" s="203"/>
      <c r="CG21" s="203"/>
      <c r="CH21" s="203"/>
      <c r="CI21" s="203"/>
      <c r="CJ21" s="203"/>
      <c r="CK21" s="203"/>
      <c r="CL21" s="203"/>
      <c r="CM21" s="203"/>
      <c r="CN21" s="203"/>
      <c r="CO21" s="203"/>
      <c r="CP21" s="203"/>
      <c r="CQ21" s="203"/>
      <c r="CR21" s="203"/>
      <c r="CS21" s="203"/>
      <c r="CT21" s="203"/>
      <c r="CU21" s="203"/>
      <c r="CV21" s="203"/>
      <c r="CW21" s="203"/>
      <c r="CX21" s="203"/>
      <c r="CY21" s="203"/>
      <c r="CZ21" s="203"/>
      <c r="DA21" s="203"/>
      <c r="DB21" s="203"/>
      <c r="DC21" s="203"/>
      <c r="DD21" s="203"/>
      <c r="DE21" s="203"/>
      <c r="DF21" s="203"/>
      <c r="DG21" s="203"/>
      <c r="DH21" s="203"/>
      <c r="DI21" s="203"/>
      <c r="DJ21" s="203"/>
      <c r="DK21" s="203"/>
      <c r="DL21" s="203"/>
      <c r="DM21" s="203"/>
      <c r="DN21" s="203"/>
      <c r="DO21" s="203"/>
      <c r="DP21" s="203"/>
      <c r="DQ21" s="203"/>
      <c r="DR21" s="203"/>
      <c r="DS21" s="203"/>
      <c r="DT21" s="203"/>
      <c r="DU21" s="203"/>
      <c r="DV21" s="203"/>
      <c r="DW21" s="203"/>
      <c r="DX21" s="203"/>
      <c r="DY21" s="203"/>
      <c r="DZ21" s="203"/>
      <c r="EA21" s="203"/>
      <c r="EB21" s="203"/>
      <c r="EC21" s="203"/>
      <c r="ED21" s="203"/>
      <c r="EE21" s="203"/>
      <c r="EF21" s="203"/>
      <c r="EG21" s="203"/>
      <c r="EH21" s="203"/>
      <c r="EI21" s="203"/>
      <c r="EJ21" s="203"/>
      <c r="EK21" s="203"/>
      <c r="EL21" s="203"/>
      <c r="EM21" s="203"/>
      <c r="EN21" s="203"/>
      <c r="EO21" s="203"/>
      <c r="EP21" s="203"/>
      <c r="EQ21" s="203"/>
      <c r="ER21" s="203"/>
      <c r="ES21" s="203"/>
      <c r="ET21" s="203"/>
      <c r="EU21" s="203"/>
      <c r="EV21" s="203"/>
      <c r="EW21" s="203"/>
      <c r="EX21" s="203"/>
      <c r="EY21" s="203"/>
      <c r="EZ21" s="203"/>
      <c r="FA21" s="203"/>
      <c r="FB21" s="203"/>
      <c r="FC21" s="203"/>
      <c r="FD21" s="203"/>
      <c r="FE21" s="203"/>
      <c r="FF21" s="203"/>
      <c r="FG21" s="203"/>
      <c r="FH21" s="203"/>
      <c r="FI21" s="203"/>
      <c r="FJ21" s="203"/>
      <c r="FK21" s="203"/>
      <c r="FL21" s="203"/>
      <c r="FM21" s="203"/>
      <c r="FN21" s="203"/>
      <c r="FO21" s="203"/>
      <c r="FP21" s="203"/>
      <c r="FQ21" s="203"/>
      <c r="FR21" s="203"/>
      <c r="FS21" s="203"/>
      <c r="FT21" s="203"/>
      <c r="FU21" s="203"/>
      <c r="FV21" s="203"/>
      <c r="FW21" s="203"/>
      <c r="FX21" s="203"/>
      <c r="FY21" s="203"/>
      <c r="FZ21" s="203"/>
      <c r="GA21" s="203"/>
      <c r="GB21" s="203"/>
      <c r="GC21" s="203"/>
      <c r="GD21" s="203"/>
      <c r="GE21" s="203"/>
      <c r="GF21" s="203"/>
      <c r="GG21" s="203"/>
      <c r="GH21" s="203"/>
      <c r="GI21" s="203"/>
      <c r="GJ21" s="203"/>
      <c r="GK21" s="203"/>
      <c r="GL21" s="203"/>
      <c r="GM21" s="203"/>
      <c r="GN21" s="203"/>
      <c r="GO21" s="203"/>
      <c r="GP21" s="203"/>
      <c r="GQ21" s="203"/>
      <c r="GR21" s="203"/>
      <c r="GS21" s="203"/>
      <c r="GT21" s="203"/>
      <c r="GU21" s="203"/>
      <c r="GV21" s="203"/>
      <c r="GW21" s="203"/>
      <c r="GX21" s="203"/>
      <c r="GY21" s="203"/>
      <c r="GZ21" s="203"/>
      <c r="HA21" s="203"/>
      <c r="HB21" s="203"/>
      <c r="HC21" s="203"/>
      <c r="HD21" s="203"/>
      <c r="HE21" s="203"/>
      <c r="HF21" s="203"/>
      <c r="HG21" s="203"/>
      <c r="HH21" s="203"/>
      <c r="HI21" s="203"/>
      <c r="HJ21" s="203"/>
      <c r="HK21" s="203"/>
      <c r="HL21" s="203"/>
      <c r="HM21" s="203"/>
      <c r="HN21" s="203"/>
      <c r="HO21" s="203"/>
      <c r="HP21" s="203"/>
      <c r="HQ21" s="203"/>
      <c r="HR21" s="203"/>
      <c r="HS21" s="203"/>
      <c r="HT21" s="203"/>
      <c r="HU21" s="203"/>
      <c r="HV21" s="203"/>
      <c r="HW21" s="203"/>
      <c r="HX21" s="203"/>
      <c r="HY21" s="203"/>
      <c r="HZ21" s="203"/>
      <c r="IA21" s="203"/>
      <c r="IB21" s="203"/>
      <c r="IC21" s="203"/>
      <c r="ID21" s="203"/>
      <c r="IE21" s="203"/>
      <c r="IF21" s="203"/>
      <c r="IG21" s="203"/>
      <c r="IH21" s="203"/>
      <c r="II21" s="203"/>
      <c r="IJ21" s="203"/>
      <c r="IK21" s="203"/>
      <c r="IL21" s="203"/>
      <c r="IM21" s="203"/>
      <c r="IN21" s="203"/>
      <c r="IO21" s="203"/>
      <c r="IP21" s="203"/>
      <c r="IQ21" s="203"/>
      <c r="IR21" s="203"/>
      <c r="IS21" s="203"/>
      <c r="IT21" s="203"/>
      <c r="IU21" s="203"/>
      <c r="IV21" s="203"/>
      <c r="IW21" s="203"/>
    </row>
    <row r="22" customFormat="false" ht="12" hidden="false" customHeight="false" outlineLevel="0" collapsed="false">
      <c r="A22" s="240"/>
      <c r="B22" s="330" t="s">
        <v>227</v>
      </c>
      <c r="C22" s="175" t="n">
        <f aca="false">SUM(D22:O22)</f>
        <v>500</v>
      </c>
      <c r="D22" s="331" t="n">
        <f aca="false">D7</f>
        <v>0</v>
      </c>
      <c r="E22" s="331" t="n">
        <f aca="false">E7</f>
        <v>0</v>
      </c>
      <c r="F22" s="331" t="n">
        <f aca="false">F7</f>
        <v>0</v>
      </c>
      <c r="G22" s="331" t="n">
        <f aca="false">G7</f>
        <v>0</v>
      </c>
      <c r="H22" s="331" t="n">
        <f aca="false">H7</f>
        <v>0</v>
      </c>
      <c r="I22" s="331" t="n">
        <f aca="false">I7</f>
        <v>500</v>
      </c>
      <c r="J22" s="331" t="n">
        <f aca="false">J7</f>
        <v>0</v>
      </c>
      <c r="K22" s="331" t="n">
        <f aca="false">K7</f>
        <v>0</v>
      </c>
      <c r="L22" s="331" t="n">
        <f aca="false">L7</f>
        <v>0</v>
      </c>
      <c r="M22" s="331" t="n">
        <f aca="false">M7</f>
        <v>0</v>
      </c>
      <c r="N22" s="331" t="n">
        <f aca="false">N7</f>
        <v>0</v>
      </c>
      <c r="O22" s="331" t="n">
        <f aca="false">O7</f>
        <v>0</v>
      </c>
      <c r="P22" s="240"/>
    </row>
    <row r="23" customFormat="false" ht="6" hidden="false" customHeight="true" outlineLevel="0" collapsed="false">
      <c r="A23" s="240"/>
      <c r="B23" s="330"/>
      <c r="C23" s="171"/>
      <c r="D23" s="171"/>
      <c r="E23" s="171"/>
      <c r="F23" s="171"/>
      <c r="G23" s="171"/>
      <c r="H23" s="171"/>
      <c r="I23" s="171"/>
      <c r="J23" s="171"/>
      <c r="K23" s="171"/>
      <c r="L23" s="171"/>
      <c r="M23" s="171"/>
      <c r="N23" s="171"/>
      <c r="O23" s="171"/>
      <c r="P23" s="240"/>
    </row>
    <row r="24" customFormat="false" ht="12" hidden="false" customHeight="false" outlineLevel="0" collapsed="false">
      <c r="A24" s="262"/>
      <c r="B24" s="329" t="s">
        <v>119</v>
      </c>
      <c r="C24" s="175" t="n">
        <f aca="false">SUM(D24:O24)</f>
        <v>6100</v>
      </c>
      <c r="D24" s="175" t="n">
        <f aca="false">IF($C5&gt;0,IF(D5&gt;0,D9,($C9-'Profit &amp; Loss Acc'!$B10)/$C19+'Profit &amp; Loss Acc'!$B10/12),0)</f>
        <v>1773.33333333333</v>
      </c>
      <c r="E24" s="175" t="n">
        <f aca="false">IF($C5&gt;0,IF(E5&gt;0,E9,($C9-'Profit &amp; Loss Acc'!$B10)/$C19+'Profit &amp; Loss Acc'!$B10/12),0)</f>
        <v>393.333333333333</v>
      </c>
      <c r="F24" s="175" t="n">
        <f aca="false">IF($C5&gt;0,IF(F5&gt;0,F9,($C9-'Profit &amp; Loss Acc'!$B10)/$C19+'Profit &amp; Loss Acc'!$B10/12),0)</f>
        <v>393.333333333333</v>
      </c>
      <c r="G24" s="175" t="n">
        <f aca="false">IF($C5&gt;0,IF(G5&gt;0,G9,($C9-'Profit &amp; Loss Acc'!$B10)/$C19+'Profit &amp; Loss Acc'!$B10/12),0)</f>
        <v>393.333333333333</v>
      </c>
      <c r="H24" s="175" t="n">
        <f aca="false">IF($C5&gt;0,IF(H5&gt;0,H9,($C9-'Profit &amp; Loss Acc'!$B10)/$C19+'Profit &amp; Loss Acc'!$B10/12),0)</f>
        <v>393.333333333333</v>
      </c>
      <c r="I24" s="175" t="n">
        <f aca="false">IF($C5&gt;0,IF(I5&gt;0,I9,($C9-'Profit &amp; Loss Acc'!$B10)/$C19+'Profit &amp; Loss Acc'!$B10/12),0)</f>
        <v>393.333333333333</v>
      </c>
      <c r="J24" s="175" t="n">
        <f aca="false">IF($C5&gt;0,IF(J5&gt;0,J9,($C9-'Profit &amp; Loss Acc'!$B10)/$C19+'Profit &amp; Loss Acc'!$B10/12),0)</f>
        <v>393.333333333333</v>
      </c>
      <c r="K24" s="175" t="n">
        <f aca="false">IF($C5&gt;0,IF(K5&gt;0,K9,($C9-'Profit &amp; Loss Acc'!$B10)/$C19+'Profit &amp; Loss Acc'!$B10/12),0)</f>
        <v>393.333333333333</v>
      </c>
      <c r="L24" s="175" t="n">
        <f aca="false">IF($C5&gt;0,IF(L5&gt;0,L9,($C9-'Profit &amp; Loss Acc'!$B10)/$C19+'Profit &amp; Loss Acc'!$B10/12),0)</f>
        <v>393.333333333333</v>
      </c>
      <c r="M24" s="175" t="n">
        <f aca="false">IF($C5&gt;0,IF(M5&gt;0,M9,($C9-'Profit &amp; Loss Acc'!$B10)/$C19+'Profit &amp; Loss Acc'!$B10/12),0)</f>
        <v>393.333333333333</v>
      </c>
      <c r="N24" s="175" t="n">
        <f aca="false">IF($C5&gt;0,IF(N5&gt;0,N9,($C9-'Profit &amp; Loss Acc'!$B10)/$C19+'Profit &amp; Loss Acc'!$B10/12),0)</f>
        <v>393.333333333333</v>
      </c>
      <c r="O24" s="175" t="n">
        <f aca="false">IF($C5&gt;0,IF(O5&gt;0,O9,($C9-'Profit &amp; Loss Acc'!$B10)/$C19+'Profit &amp; Loss Acc'!$B10/12),0)</f>
        <v>393.333333333333</v>
      </c>
      <c r="P24" s="262"/>
      <c r="Q24" s="203"/>
      <c r="R24" s="203"/>
      <c r="S24" s="203"/>
      <c r="T24" s="203"/>
      <c r="U24" s="203"/>
      <c r="V24" s="203"/>
      <c r="W24" s="203"/>
      <c r="X24" s="203"/>
      <c r="Y24" s="203"/>
      <c r="Z24" s="203"/>
      <c r="AA24" s="203"/>
      <c r="AB24" s="203"/>
      <c r="AC24" s="203"/>
      <c r="AD24" s="203"/>
      <c r="AE24" s="203"/>
      <c r="AF24" s="203"/>
      <c r="AG24" s="203"/>
      <c r="AH24" s="203"/>
      <c r="AI24" s="203"/>
      <c r="AJ24" s="203"/>
      <c r="AK24" s="203"/>
      <c r="AL24" s="203"/>
      <c r="AM24" s="203"/>
      <c r="AN24" s="203"/>
      <c r="AO24" s="203"/>
      <c r="AP24" s="203"/>
      <c r="AQ24" s="203"/>
      <c r="AR24" s="203"/>
      <c r="AS24" s="203"/>
      <c r="AT24" s="203"/>
      <c r="AU24" s="203"/>
      <c r="AV24" s="203"/>
      <c r="AW24" s="203"/>
      <c r="AX24" s="203"/>
      <c r="AY24" s="203"/>
      <c r="AZ24" s="203"/>
      <c r="BA24" s="203"/>
      <c r="BB24" s="203"/>
      <c r="BC24" s="203"/>
      <c r="BD24" s="203"/>
      <c r="BE24" s="203"/>
      <c r="BF24" s="203"/>
      <c r="BG24" s="203"/>
      <c r="BH24" s="203"/>
      <c r="BI24" s="203"/>
      <c r="BJ24" s="203"/>
      <c r="BK24" s="203"/>
      <c r="BL24" s="203"/>
      <c r="BM24" s="203"/>
      <c r="BN24" s="203"/>
      <c r="BO24" s="203"/>
      <c r="BP24" s="203"/>
      <c r="BQ24" s="203"/>
      <c r="BR24" s="203"/>
      <c r="BS24" s="203"/>
      <c r="BT24" s="203"/>
      <c r="BU24" s="203"/>
      <c r="BV24" s="203"/>
      <c r="BW24" s="203"/>
      <c r="BX24" s="203"/>
      <c r="BY24" s="203"/>
      <c r="BZ24" s="203"/>
      <c r="CA24" s="203"/>
      <c r="CB24" s="203"/>
      <c r="CC24" s="203"/>
      <c r="CD24" s="203"/>
      <c r="CE24" s="203"/>
      <c r="CF24" s="203"/>
      <c r="CG24" s="203"/>
      <c r="CH24" s="203"/>
      <c r="CI24" s="203"/>
      <c r="CJ24" s="203"/>
      <c r="CK24" s="203"/>
      <c r="CL24" s="203"/>
      <c r="CM24" s="203"/>
      <c r="CN24" s="203"/>
      <c r="CO24" s="203"/>
      <c r="CP24" s="203"/>
      <c r="CQ24" s="203"/>
      <c r="CR24" s="203"/>
      <c r="CS24" s="203"/>
      <c r="CT24" s="203"/>
      <c r="CU24" s="203"/>
      <c r="CV24" s="203"/>
      <c r="CW24" s="203"/>
      <c r="CX24" s="203"/>
      <c r="CY24" s="203"/>
      <c r="CZ24" s="203"/>
      <c r="DA24" s="203"/>
      <c r="DB24" s="203"/>
      <c r="DC24" s="203"/>
      <c r="DD24" s="203"/>
      <c r="DE24" s="203"/>
      <c r="DF24" s="203"/>
      <c r="DG24" s="203"/>
      <c r="DH24" s="203"/>
      <c r="DI24" s="203"/>
      <c r="DJ24" s="203"/>
      <c r="DK24" s="203"/>
      <c r="DL24" s="203"/>
      <c r="DM24" s="203"/>
      <c r="DN24" s="203"/>
      <c r="DO24" s="203"/>
      <c r="DP24" s="203"/>
      <c r="DQ24" s="203"/>
      <c r="DR24" s="203"/>
      <c r="DS24" s="203"/>
      <c r="DT24" s="203"/>
      <c r="DU24" s="203"/>
      <c r="DV24" s="203"/>
      <c r="DW24" s="203"/>
      <c r="DX24" s="203"/>
      <c r="DY24" s="203"/>
      <c r="DZ24" s="203"/>
      <c r="EA24" s="203"/>
      <c r="EB24" s="203"/>
      <c r="EC24" s="203"/>
      <c r="ED24" s="203"/>
      <c r="EE24" s="203"/>
      <c r="EF24" s="203"/>
      <c r="EG24" s="203"/>
      <c r="EH24" s="203"/>
      <c r="EI24" s="203"/>
      <c r="EJ24" s="203"/>
      <c r="EK24" s="203"/>
      <c r="EL24" s="203"/>
      <c r="EM24" s="203"/>
      <c r="EN24" s="203"/>
      <c r="EO24" s="203"/>
      <c r="EP24" s="203"/>
      <c r="EQ24" s="203"/>
      <c r="ER24" s="203"/>
      <c r="ES24" s="203"/>
      <c r="ET24" s="203"/>
      <c r="EU24" s="203"/>
      <c r="EV24" s="203"/>
      <c r="EW24" s="203"/>
      <c r="EX24" s="203"/>
      <c r="EY24" s="203"/>
      <c r="EZ24" s="203"/>
      <c r="FA24" s="203"/>
      <c r="FB24" s="203"/>
      <c r="FC24" s="203"/>
      <c r="FD24" s="203"/>
      <c r="FE24" s="203"/>
      <c r="FF24" s="203"/>
      <c r="FG24" s="203"/>
      <c r="FH24" s="203"/>
      <c r="FI24" s="203"/>
      <c r="FJ24" s="203"/>
      <c r="FK24" s="203"/>
      <c r="FL24" s="203"/>
      <c r="FM24" s="203"/>
      <c r="FN24" s="203"/>
      <c r="FO24" s="203"/>
      <c r="FP24" s="203"/>
      <c r="FQ24" s="203"/>
      <c r="FR24" s="203"/>
      <c r="FS24" s="203"/>
      <c r="FT24" s="203"/>
      <c r="FU24" s="203"/>
      <c r="FV24" s="203"/>
      <c r="FW24" s="203"/>
      <c r="FX24" s="203"/>
      <c r="FY24" s="203"/>
      <c r="FZ24" s="203"/>
      <c r="GA24" s="203"/>
      <c r="GB24" s="203"/>
      <c r="GC24" s="203"/>
      <c r="GD24" s="203"/>
      <c r="GE24" s="203"/>
      <c r="GF24" s="203"/>
      <c r="GG24" s="203"/>
      <c r="GH24" s="203"/>
      <c r="GI24" s="203"/>
      <c r="GJ24" s="203"/>
      <c r="GK24" s="203"/>
      <c r="GL24" s="203"/>
      <c r="GM24" s="203"/>
      <c r="GN24" s="203"/>
      <c r="GO24" s="203"/>
      <c r="GP24" s="203"/>
      <c r="GQ24" s="203"/>
      <c r="GR24" s="203"/>
      <c r="GS24" s="203"/>
      <c r="GT24" s="203"/>
      <c r="GU24" s="203"/>
      <c r="GV24" s="203"/>
      <c r="GW24" s="203"/>
      <c r="GX24" s="203"/>
      <c r="GY24" s="203"/>
      <c r="GZ24" s="203"/>
      <c r="HA24" s="203"/>
      <c r="HB24" s="203"/>
      <c r="HC24" s="203"/>
      <c r="HD24" s="203"/>
      <c r="HE24" s="203"/>
      <c r="HF24" s="203"/>
      <c r="HG24" s="203"/>
      <c r="HH24" s="203"/>
      <c r="HI24" s="203"/>
      <c r="HJ24" s="203"/>
      <c r="HK24" s="203"/>
      <c r="HL24" s="203"/>
      <c r="HM24" s="203"/>
      <c r="HN24" s="203"/>
      <c r="HO24" s="203"/>
      <c r="HP24" s="203"/>
      <c r="HQ24" s="203"/>
      <c r="HR24" s="203"/>
      <c r="HS24" s="203"/>
      <c r="HT24" s="203"/>
      <c r="HU24" s="203"/>
      <c r="HV24" s="203"/>
      <c r="HW24" s="203"/>
      <c r="HX24" s="203"/>
      <c r="HY24" s="203"/>
      <c r="HZ24" s="203"/>
      <c r="IA24" s="203"/>
      <c r="IB24" s="203"/>
      <c r="IC24" s="203"/>
      <c r="ID24" s="203"/>
      <c r="IE24" s="203"/>
      <c r="IF24" s="203"/>
      <c r="IG24" s="203"/>
      <c r="IH24" s="203"/>
      <c r="II24" s="203"/>
      <c r="IJ24" s="203"/>
      <c r="IK24" s="203"/>
      <c r="IL24" s="203"/>
      <c r="IM24" s="203"/>
      <c r="IN24" s="203"/>
      <c r="IO24" s="203"/>
      <c r="IP24" s="203"/>
      <c r="IQ24" s="203"/>
      <c r="IR24" s="203"/>
      <c r="IS24" s="203"/>
      <c r="IT24" s="203"/>
      <c r="IU24" s="203"/>
      <c r="IV24" s="203"/>
      <c r="IW24" s="203"/>
    </row>
    <row r="25" customFormat="false" ht="7.5" hidden="false" customHeight="true" outlineLevel="0" collapsed="false">
      <c r="A25" s="262"/>
      <c r="B25" s="329"/>
      <c r="C25" s="171"/>
      <c r="D25" s="171"/>
      <c r="E25" s="171"/>
      <c r="F25" s="171"/>
      <c r="G25" s="171"/>
      <c r="H25" s="171"/>
      <c r="I25" s="171"/>
      <c r="J25" s="171"/>
      <c r="K25" s="171"/>
      <c r="L25" s="171"/>
      <c r="M25" s="171"/>
      <c r="N25" s="171"/>
      <c r="O25" s="171"/>
      <c r="P25" s="262"/>
      <c r="Q25" s="203"/>
      <c r="R25" s="203"/>
      <c r="S25" s="203"/>
      <c r="T25" s="203"/>
      <c r="U25" s="203"/>
      <c r="V25" s="203"/>
      <c r="W25" s="203"/>
      <c r="X25" s="203"/>
      <c r="Y25" s="203"/>
      <c r="Z25" s="203"/>
      <c r="AA25" s="203"/>
      <c r="AB25" s="203"/>
      <c r="AC25" s="203"/>
      <c r="AD25" s="203"/>
      <c r="AE25" s="203"/>
      <c r="AF25" s="203"/>
      <c r="AG25" s="203"/>
      <c r="AH25" s="203"/>
      <c r="AI25" s="203"/>
      <c r="AJ25" s="203"/>
      <c r="AK25" s="203"/>
      <c r="AL25" s="203"/>
      <c r="AM25" s="203"/>
      <c r="AN25" s="203"/>
      <c r="AO25" s="203"/>
      <c r="AP25" s="203"/>
      <c r="AQ25" s="203"/>
      <c r="AR25" s="203"/>
      <c r="AS25" s="203"/>
      <c r="AT25" s="203"/>
      <c r="AU25" s="203"/>
      <c r="AV25" s="203"/>
      <c r="AW25" s="203"/>
      <c r="AX25" s="203"/>
      <c r="AY25" s="203"/>
      <c r="AZ25" s="203"/>
      <c r="BA25" s="203"/>
      <c r="BB25" s="203"/>
      <c r="BC25" s="203"/>
      <c r="BD25" s="203"/>
      <c r="BE25" s="203"/>
      <c r="BF25" s="203"/>
      <c r="BG25" s="203"/>
      <c r="BH25" s="203"/>
      <c r="BI25" s="203"/>
      <c r="BJ25" s="203"/>
      <c r="BK25" s="203"/>
      <c r="BL25" s="203"/>
      <c r="BM25" s="203"/>
      <c r="BN25" s="203"/>
      <c r="BO25" s="203"/>
      <c r="BP25" s="203"/>
      <c r="BQ25" s="203"/>
      <c r="BR25" s="203"/>
      <c r="BS25" s="203"/>
      <c r="BT25" s="203"/>
      <c r="BU25" s="203"/>
      <c r="BV25" s="203"/>
      <c r="BW25" s="203"/>
      <c r="BX25" s="203"/>
      <c r="BY25" s="203"/>
      <c r="BZ25" s="203"/>
      <c r="CA25" s="203"/>
      <c r="CB25" s="203"/>
      <c r="CC25" s="203"/>
      <c r="CD25" s="203"/>
      <c r="CE25" s="203"/>
      <c r="CF25" s="203"/>
      <c r="CG25" s="203"/>
      <c r="CH25" s="203"/>
      <c r="CI25" s="203"/>
      <c r="CJ25" s="203"/>
      <c r="CK25" s="203"/>
      <c r="CL25" s="203"/>
      <c r="CM25" s="203"/>
      <c r="CN25" s="203"/>
      <c r="CO25" s="203"/>
      <c r="CP25" s="203"/>
      <c r="CQ25" s="203"/>
      <c r="CR25" s="203"/>
      <c r="CS25" s="203"/>
      <c r="CT25" s="203"/>
      <c r="CU25" s="203"/>
      <c r="CV25" s="203"/>
      <c r="CW25" s="203"/>
      <c r="CX25" s="203"/>
      <c r="CY25" s="203"/>
      <c r="CZ25" s="203"/>
      <c r="DA25" s="203"/>
      <c r="DB25" s="203"/>
      <c r="DC25" s="203"/>
      <c r="DD25" s="203"/>
      <c r="DE25" s="203"/>
      <c r="DF25" s="203"/>
      <c r="DG25" s="203"/>
      <c r="DH25" s="203"/>
      <c r="DI25" s="203"/>
      <c r="DJ25" s="203"/>
      <c r="DK25" s="203"/>
      <c r="DL25" s="203"/>
      <c r="DM25" s="203"/>
      <c r="DN25" s="203"/>
      <c r="DO25" s="203"/>
      <c r="DP25" s="203"/>
      <c r="DQ25" s="203"/>
      <c r="DR25" s="203"/>
      <c r="DS25" s="203"/>
      <c r="DT25" s="203"/>
      <c r="DU25" s="203"/>
      <c r="DV25" s="203"/>
      <c r="DW25" s="203"/>
      <c r="DX25" s="203"/>
      <c r="DY25" s="203"/>
      <c r="DZ25" s="203"/>
      <c r="EA25" s="203"/>
      <c r="EB25" s="203"/>
      <c r="EC25" s="203"/>
      <c r="ED25" s="203"/>
      <c r="EE25" s="203"/>
      <c r="EF25" s="203"/>
      <c r="EG25" s="203"/>
      <c r="EH25" s="203"/>
      <c r="EI25" s="203"/>
      <c r="EJ25" s="203"/>
      <c r="EK25" s="203"/>
      <c r="EL25" s="203"/>
      <c r="EM25" s="203"/>
      <c r="EN25" s="203"/>
      <c r="EO25" s="203"/>
      <c r="EP25" s="203"/>
      <c r="EQ25" s="203"/>
      <c r="ER25" s="203"/>
      <c r="ES25" s="203"/>
      <c r="ET25" s="203"/>
      <c r="EU25" s="203"/>
      <c r="EV25" s="203"/>
      <c r="EW25" s="203"/>
      <c r="EX25" s="203"/>
      <c r="EY25" s="203"/>
      <c r="EZ25" s="203"/>
      <c r="FA25" s="203"/>
      <c r="FB25" s="203"/>
      <c r="FC25" s="203"/>
      <c r="FD25" s="203"/>
      <c r="FE25" s="203"/>
      <c r="FF25" s="203"/>
      <c r="FG25" s="203"/>
      <c r="FH25" s="203"/>
      <c r="FI25" s="203"/>
      <c r="FJ25" s="203"/>
      <c r="FK25" s="203"/>
      <c r="FL25" s="203"/>
      <c r="FM25" s="203"/>
      <c r="FN25" s="203"/>
      <c r="FO25" s="203"/>
      <c r="FP25" s="203"/>
      <c r="FQ25" s="203"/>
      <c r="FR25" s="203"/>
      <c r="FS25" s="203"/>
      <c r="FT25" s="203"/>
      <c r="FU25" s="203"/>
      <c r="FV25" s="203"/>
      <c r="FW25" s="203"/>
      <c r="FX25" s="203"/>
      <c r="FY25" s="203"/>
      <c r="FZ25" s="203"/>
      <c r="GA25" s="203"/>
      <c r="GB25" s="203"/>
      <c r="GC25" s="203"/>
      <c r="GD25" s="203"/>
      <c r="GE25" s="203"/>
      <c r="GF25" s="203"/>
      <c r="GG25" s="203"/>
      <c r="GH25" s="203"/>
      <c r="GI25" s="203"/>
      <c r="GJ25" s="203"/>
      <c r="GK25" s="203"/>
      <c r="GL25" s="203"/>
      <c r="GM25" s="203"/>
      <c r="GN25" s="203"/>
      <c r="GO25" s="203"/>
      <c r="GP25" s="203"/>
      <c r="GQ25" s="203"/>
      <c r="GR25" s="203"/>
      <c r="GS25" s="203"/>
      <c r="GT25" s="203"/>
      <c r="GU25" s="203"/>
      <c r="GV25" s="203"/>
      <c r="GW25" s="203"/>
      <c r="GX25" s="203"/>
      <c r="GY25" s="203"/>
      <c r="GZ25" s="203"/>
      <c r="HA25" s="203"/>
      <c r="HB25" s="203"/>
      <c r="HC25" s="203"/>
      <c r="HD25" s="203"/>
      <c r="HE25" s="203"/>
      <c r="HF25" s="203"/>
      <c r="HG25" s="203"/>
      <c r="HH25" s="203"/>
      <c r="HI25" s="203"/>
      <c r="HJ25" s="203"/>
      <c r="HK25" s="203"/>
      <c r="HL25" s="203"/>
      <c r="HM25" s="203"/>
      <c r="HN25" s="203"/>
      <c r="HO25" s="203"/>
      <c r="HP25" s="203"/>
      <c r="HQ25" s="203"/>
      <c r="HR25" s="203"/>
      <c r="HS25" s="203"/>
      <c r="HT25" s="203"/>
      <c r="HU25" s="203"/>
      <c r="HV25" s="203"/>
      <c r="HW25" s="203"/>
      <c r="HX25" s="203"/>
      <c r="HY25" s="203"/>
      <c r="HZ25" s="203"/>
      <c r="IA25" s="203"/>
      <c r="IB25" s="203"/>
      <c r="IC25" s="203"/>
      <c r="ID25" s="203"/>
      <c r="IE25" s="203"/>
      <c r="IF25" s="203"/>
      <c r="IG25" s="203"/>
      <c r="IH25" s="203"/>
      <c r="II25" s="203"/>
      <c r="IJ25" s="203"/>
      <c r="IK25" s="203"/>
      <c r="IL25" s="203"/>
      <c r="IM25" s="203"/>
      <c r="IN25" s="203"/>
      <c r="IO25" s="203"/>
      <c r="IP25" s="203"/>
      <c r="IQ25" s="203"/>
      <c r="IR25" s="203"/>
      <c r="IS25" s="203"/>
      <c r="IT25" s="203"/>
      <c r="IU25" s="203"/>
      <c r="IV25" s="203"/>
      <c r="IW25" s="203"/>
    </row>
    <row r="26" customFormat="false" ht="12" hidden="false" customHeight="false" outlineLevel="0" collapsed="false">
      <c r="A26" s="262"/>
      <c r="B26" s="329" t="s">
        <v>120</v>
      </c>
      <c r="C26" s="175" t="n">
        <f aca="false">SUM(D26:O26)</f>
        <v>30445</v>
      </c>
      <c r="D26" s="175" t="n">
        <f aca="false">D20+D22-D24</f>
        <v>1271.66666666667</v>
      </c>
      <c r="E26" s="175" t="n">
        <f aca="false">E20+E22-E24</f>
        <v>2606.66666666667</v>
      </c>
      <c r="F26" s="175" t="n">
        <f aca="false">F20+F22-F24</f>
        <v>2606.66666666667</v>
      </c>
      <c r="G26" s="175" t="n">
        <f aca="false">G20+G22-G24</f>
        <v>2606.66666666667</v>
      </c>
      <c r="H26" s="175" t="n">
        <f aca="false">H20+H22-H24</f>
        <v>2606.66666666667</v>
      </c>
      <c r="I26" s="175" t="n">
        <f aca="false">I20+I22-I24</f>
        <v>3106.66666666667</v>
      </c>
      <c r="J26" s="175" t="n">
        <f aca="false">J20+J22-J24</f>
        <v>2606.66666666667</v>
      </c>
      <c r="K26" s="175" t="n">
        <f aca="false">K20+K22-K24</f>
        <v>2606.66666666667</v>
      </c>
      <c r="L26" s="175" t="n">
        <f aca="false">L20+L22-L24</f>
        <v>2606.66666666667</v>
      </c>
      <c r="M26" s="175" t="n">
        <f aca="false">M20+M22-M24</f>
        <v>2606.66666666667</v>
      </c>
      <c r="N26" s="175" t="n">
        <f aca="false">N20+N22-N24</f>
        <v>2606.66666666667</v>
      </c>
      <c r="O26" s="175" t="n">
        <f aca="false">O20+O22-O24</f>
        <v>2606.66666666667</v>
      </c>
      <c r="P26" s="262"/>
      <c r="Q26" s="203"/>
      <c r="R26" s="203"/>
      <c r="S26" s="203"/>
      <c r="T26" s="203"/>
      <c r="U26" s="203"/>
      <c r="V26" s="203"/>
      <c r="W26" s="203"/>
      <c r="X26" s="203"/>
      <c r="Y26" s="203"/>
      <c r="Z26" s="203"/>
      <c r="AA26" s="203"/>
      <c r="AB26" s="203"/>
      <c r="AC26" s="203"/>
      <c r="AD26" s="203"/>
      <c r="AE26" s="203"/>
      <c r="AF26" s="203"/>
      <c r="AG26" s="203"/>
      <c r="AH26" s="203"/>
      <c r="AI26" s="203"/>
      <c r="AJ26" s="203"/>
      <c r="AK26" s="203"/>
      <c r="AL26" s="203"/>
      <c r="AM26" s="203"/>
      <c r="AN26" s="203"/>
      <c r="AO26" s="203"/>
      <c r="AP26" s="203"/>
      <c r="AQ26" s="203"/>
      <c r="AR26" s="203"/>
      <c r="AS26" s="203"/>
      <c r="AT26" s="203"/>
      <c r="AU26" s="203"/>
      <c r="AV26" s="203"/>
      <c r="AW26" s="203"/>
      <c r="AX26" s="203"/>
      <c r="AY26" s="203"/>
      <c r="AZ26" s="203"/>
      <c r="BA26" s="203"/>
      <c r="BB26" s="203"/>
      <c r="BC26" s="203"/>
      <c r="BD26" s="203"/>
      <c r="BE26" s="203"/>
      <c r="BF26" s="203"/>
      <c r="BG26" s="203"/>
      <c r="BH26" s="203"/>
      <c r="BI26" s="203"/>
      <c r="BJ26" s="203"/>
      <c r="BK26" s="203"/>
      <c r="BL26" s="203"/>
      <c r="BM26" s="203"/>
      <c r="BN26" s="203"/>
      <c r="BO26" s="203"/>
      <c r="BP26" s="203"/>
      <c r="BQ26" s="203"/>
      <c r="BR26" s="203"/>
      <c r="BS26" s="203"/>
      <c r="BT26" s="203"/>
      <c r="BU26" s="203"/>
      <c r="BV26" s="203"/>
      <c r="BW26" s="203"/>
      <c r="BX26" s="203"/>
      <c r="BY26" s="203"/>
      <c r="BZ26" s="203"/>
      <c r="CA26" s="203"/>
      <c r="CB26" s="203"/>
      <c r="CC26" s="203"/>
      <c r="CD26" s="203"/>
      <c r="CE26" s="203"/>
      <c r="CF26" s="203"/>
      <c r="CG26" s="203"/>
      <c r="CH26" s="203"/>
      <c r="CI26" s="203"/>
      <c r="CJ26" s="203"/>
      <c r="CK26" s="203"/>
      <c r="CL26" s="203"/>
      <c r="CM26" s="203"/>
      <c r="CN26" s="203"/>
      <c r="CO26" s="203"/>
      <c r="CP26" s="203"/>
      <c r="CQ26" s="203"/>
      <c r="CR26" s="203"/>
      <c r="CS26" s="203"/>
      <c r="CT26" s="203"/>
      <c r="CU26" s="203"/>
      <c r="CV26" s="203"/>
      <c r="CW26" s="203"/>
      <c r="CX26" s="203"/>
      <c r="CY26" s="203"/>
      <c r="CZ26" s="203"/>
      <c r="DA26" s="203"/>
      <c r="DB26" s="203"/>
      <c r="DC26" s="203"/>
      <c r="DD26" s="203"/>
      <c r="DE26" s="203"/>
      <c r="DF26" s="203"/>
      <c r="DG26" s="203"/>
      <c r="DH26" s="203"/>
      <c r="DI26" s="203"/>
      <c r="DJ26" s="203"/>
      <c r="DK26" s="203"/>
      <c r="DL26" s="203"/>
      <c r="DM26" s="203"/>
      <c r="DN26" s="203"/>
      <c r="DO26" s="203"/>
      <c r="DP26" s="203"/>
      <c r="DQ26" s="203"/>
      <c r="DR26" s="203"/>
      <c r="DS26" s="203"/>
      <c r="DT26" s="203"/>
      <c r="DU26" s="203"/>
      <c r="DV26" s="203"/>
      <c r="DW26" s="203"/>
      <c r="DX26" s="203"/>
      <c r="DY26" s="203"/>
      <c r="DZ26" s="203"/>
      <c r="EA26" s="203"/>
      <c r="EB26" s="203"/>
      <c r="EC26" s="203"/>
      <c r="ED26" s="203"/>
      <c r="EE26" s="203"/>
      <c r="EF26" s="203"/>
      <c r="EG26" s="203"/>
      <c r="EH26" s="203"/>
      <c r="EI26" s="203"/>
      <c r="EJ26" s="203"/>
      <c r="EK26" s="203"/>
      <c r="EL26" s="203"/>
      <c r="EM26" s="203"/>
      <c r="EN26" s="203"/>
      <c r="EO26" s="203"/>
      <c r="EP26" s="203"/>
      <c r="EQ26" s="203"/>
      <c r="ER26" s="203"/>
      <c r="ES26" s="203"/>
      <c r="ET26" s="203"/>
      <c r="EU26" s="203"/>
      <c r="EV26" s="203"/>
      <c r="EW26" s="203"/>
      <c r="EX26" s="203"/>
      <c r="EY26" s="203"/>
      <c r="EZ26" s="203"/>
      <c r="FA26" s="203"/>
      <c r="FB26" s="203"/>
      <c r="FC26" s="203"/>
      <c r="FD26" s="203"/>
      <c r="FE26" s="203"/>
      <c r="FF26" s="203"/>
      <c r="FG26" s="203"/>
      <c r="FH26" s="203"/>
      <c r="FI26" s="203"/>
      <c r="FJ26" s="203"/>
      <c r="FK26" s="203"/>
      <c r="FL26" s="203"/>
      <c r="FM26" s="203"/>
      <c r="FN26" s="203"/>
      <c r="FO26" s="203"/>
      <c r="FP26" s="203"/>
      <c r="FQ26" s="203"/>
      <c r="FR26" s="203"/>
      <c r="FS26" s="203"/>
      <c r="FT26" s="203"/>
      <c r="FU26" s="203"/>
      <c r="FV26" s="203"/>
      <c r="FW26" s="203"/>
      <c r="FX26" s="203"/>
      <c r="FY26" s="203"/>
      <c r="FZ26" s="203"/>
      <c r="GA26" s="203"/>
      <c r="GB26" s="203"/>
      <c r="GC26" s="203"/>
      <c r="GD26" s="203"/>
      <c r="GE26" s="203"/>
      <c r="GF26" s="203"/>
      <c r="GG26" s="203"/>
      <c r="GH26" s="203"/>
      <c r="GI26" s="203"/>
      <c r="GJ26" s="203"/>
      <c r="GK26" s="203"/>
      <c r="GL26" s="203"/>
      <c r="GM26" s="203"/>
      <c r="GN26" s="203"/>
      <c r="GO26" s="203"/>
      <c r="GP26" s="203"/>
      <c r="GQ26" s="203"/>
      <c r="GR26" s="203"/>
      <c r="GS26" s="203"/>
      <c r="GT26" s="203"/>
      <c r="GU26" s="203"/>
      <c r="GV26" s="203"/>
      <c r="GW26" s="203"/>
      <c r="GX26" s="203"/>
      <c r="GY26" s="203"/>
      <c r="GZ26" s="203"/>
      <c r="HA26" s="203"/>
      <c r="HB26" s="203"/>
      <c r="HC26" s="203"/>
      <c r="HD26" s="203"/>
      <c r="HE26" s="203"/>
      <c r="HF26" s="203"/>
      <c r="HG26" s="203"/>
      <c r="HH26" s="203"/>
      <c r="HI26" s="203"/>
      <c r="HJ26" s="203"/>
      <c r="HK26" s="203"/>
      <c r="HL26" s="203"/>
      <c r="HM26" s="203"/>
      <c r="HN26" s="203"/>
      <c r="HO26" s="203"/>
      <c r="HP26" s="203"/>
      <c r="HQ26" s="203"/>
      <c r="HR26" s="203"/>
      <c r="HS26" s="203"/>
      <c r="HT26" s="203"/>
      <c r="HU26" s="203"/>
      <c r="HV26" s="203"/>
      <c r="HW26" s="203"/>
      <c r="HX26" s="203"/>
      <c r="HY26" s="203"/>
      <c r="HZ26" s="203"/>
      <c r="IA26" s="203"/>
      <c r="IB26" s="203"/>
      <c r="IC26" s="203"/>
      <c r="ID26" s="203"/>
      <c r="IE26" s="203"/>
      <c r="IF26" s="203"/>
      <c r="IG26" s="203"/>
      <c r="IH26" s="203"/>
      <c r="II26" s="203"/>
      <c r="IJ26" s="203"/>
      <c r="IK26" s="203"/>
      <c r="IL26" s="203"/>
      <c r="IM26" s="203"/>
      <c r="IN26" s="203"/>
      <c r="IO26" s="203"/>
      <c r="IP26" s="203"/>
      <c r="IQ26" s="203"/>
      <c r="IR26" s="203"/>
      <c r="IS26" s="203"/>
      <c r="IT26" s="203"/>
      <c r="IU26" s="203"/>
      <c r="IV26" s="203"/>
      <c r="IW26" s="203"/>
    </row>
    <row r="27" customFormat="false" ht="6" hidden="false" customHeight="true" outlineLevel="0" collapsed="false">
      <c r="A27" s="262"/>
      <c r="B27" s="332"/>
      <c r="C27" s="171"/>
      <c r="D27" s="333"/>
      <c r="E27" s="333"/>
      <c r="F27" s="333"/>
      <c r="G27" s="333"/>
      <c r="H27" s="333"/>
      <c r="I27" s="333"/>
      <c r="J27" s="333"/>
      <c r="K27" s="333"/>
      <c r="L27" s="333"/>
      <c r="M27" s="333"/>
      <c r="N27" s="333"/>
      <c r="O27" s="333"/>
      <c r="P27" s="262"/>
      <c r="Q27" s="203"/>
      <c r="R27" s="203"/>
      <c r="S27" s="203"/>
      <c r="T27" s="203"/>
      <c r="U27" s="203"/>
      <c r="V27" s="203"/>
      <c r="W27" s="203"/>
      <c r="X27" s="203"/>
      <c r="Y27" s="203"/>
      <c r="Z27" s="203"/>
      <c r="AA27" s="203"/>
      <c r="AB27" s="203"/>
      <c r="AC27" s="203"/>
      <c r="AD27" s="203"/>
      <c r="AE27" s="203"/>
      <c r="AF27" s="203"/>
      <c r="AG27" s="203"/>
      <c r="AH27" s="203"/>
      <c r="AI27" s="203"/>
      <c r="AJ27" s="203"/>
      <c r="AK27" s="203"/>
      <c r="AL27" s="203"/>
      <c r="AM27" s="203"/>
      <c r="AN27" s="203"/>
      <c r="AO27" s="203"/>
      <c r="AP27" s="203"/>
      <c r="AQ27" s="203"/>
      <c r="AR27" s="203"/>
      <c r="AS27" s="203"/>
      <c r="AT27" s="203"/>
      <c r="AU27" s="203"/>
      <c r="AV27" s="203"/>
      <c r="AW27" s="203"/>
      <c r="AX27" s="203"/>
      <c r="AY27" s="203"/>
      <c r="AZ27" s="203"/>
      <c r="BA27" s="203"/>
      <c r="BB27" s="203"/>
      <c r="BC27" s="203"/>
      <c r="BD27" s="203"/>
      <c r="BE27" s="203"/>
      <c r="BF27" s="203"/>
      <c r="BG27" s="203"/>
      <c r="BH27" s="203"/>
      <c r="BI27" s="203"/>
      <c r="BJ27" s="203"/>
      <c r="BK27" s="203"/>
      <c r="BL27" s="203"/>
      <c r="BM27" s="203"/>
      <c r="BN27" s="203"/>
      <c r="BO27" s="203"/>
      <c r="BP27" s="203"/>
      <c r="BQ27" s="203"/>
      <c r="BR27" s="203"/>
      <c r="BS27" s="203"/>
      <c r="BT27" s="203"/>
      <c r="BU27" s="203"/>
      <c r="BV27" s="203"/>
      <c r="BW27" s="203"/>
      <c r="BX27" s="203"/>
      <c r="BY27" s="203"/>
      <c r="BZ27" s="203"/>
      <c r="CA27" s="203"/>
      <c r="CB27" s="203"/>
      <c r="CC27" s="203"/>
      <c r="CD27" s="203"/>
      <c r="CE27" s="203"/>
      <c r="CF27" s="203"/>
      <c r="CG27" s="203"/>
      <c r="CH27" s="203"/>
      <c r="CI27" s="203"/>
      <c r="CJ27" s="203"/>
      <c r="CK27" s="203"/>
      <c r="CL27" s="203"/>
      <c r="CM27" s="203"/>
      <c r="CN27" s="203"/>
      <c r="CO27" s="203"/>
      <c r="CP27" s="203"/>
      <c r="CQ27" s="203"/>
      <c r="CR27" s="203"/>
      <c r="CS27" s="203"/>
      <c r="CT27" s="203"/>
      <c r="CU27" s="203"/>
      <c r="CV27" s="203"/>
      <c r="CW27" s="203"/>
      <c r="CX27" s="203"/>
      <c r="CY27" s="203"/>
      <c r="CZ27" s="203"/>
      <c r="DA27" s="203"/>
      <c r="DB27" s="203"/>
      <c r="DC27" s="203"/>
      <c r="DD27" s="203"/>
      <c r="DE27" s="203"/>
      <c r="DF27" s="203"/>
      <c r="DG27" s="203"/>
      <c r="DH27" s="203"/>
      <c r="DI27" s="203"/>
      <c r="DJ27" s="203"/>
      <c r="DK27" s="203"/>
      <c r="DL27" s="203"/>
      <c r="DM27" s="203"/>
      <c r="DN27" s="203"/>
      <c r="DO27" s="203"/>
      <c r="DP27" s="203"/>
      <c r="DQ27" s="203"/>
      <c r="DR27" s="203"/>
      <c r="DS27" s="203"/>
      <c r="DT27" s="203"/>
      <c r="DU27" s="203"/>
      <c r="DV27" s="203"/>
      <c r="DW27" s="203"/>
      <c r="DX27" s="203"/>
      <c r="DY27" s="203"/>
      <c r="DZ27" s="203"/>
      <c r="EA27" s="203"/>
      <c r="EB27" s="203"/>
      <c r="EC27" s="203"/>
      <c r="ED27" s="203"/>
      <c r="EE27" s="203"/>
      <c r="EF27" s="203"/>
      <c r="EG27" s="203"/>
      <c r="EH27" s="203"/>
      <c r="EI27" s="203"/>
      <c r="EJ27" s="203"/>
      <c r="EK27" s="203"/>
      <c r="EL27" s="203"/>
      <c r="EM27" s="203"/>
      <c r="EN27" s="203"/>
      <c r="EO27" s="203"/>
      <c r="EP27" s="203"/>
      <c r="EQ27" s="203"/>
      <c r="ER27" s="203"/>
      <c r="ES27" s="203"/>
      <c r="ET27" s="203"/>
      <c r="EU27" s="203"/>
      <c r="EV27" s="203"/>
      <c r="EW27" s="203"/>
      <c r="EX27" s="203"/>
      <c r="EY27" s="203"/>
      <c r="EZ27" s="203"/>
      <c r="FA27" s="203"/>
      <c r="FB27" s="203"/>
      <c r="FC27" s="203"/>
      <c r="FD27" s="203"/>
      <c r="FE27" s="203"/>
      <c r="FF27" s="203"/>
      <c r="FG27" s="203"/>
      <c r="FH27" s="203"/>
      <c r="FI27" s="203"/>
      <c r="FJ27" s="203"/>
      <c r="FK27" s="203"/>
      <c r="FL27" s="203"/>
      <c r="FM27" s="203"/>
      <c r="FN27" s="203"/>
      <c r="FO27" s="203"/>
      <c r="FP27" s="203"/>
      <c r="FQ27" s="203"/>
      <c r="FR27" s="203"/>
      <c r="FS27" s="203"/>
      <c r="FT27" s="203"/>
      <c r="FU27" s="203"/>
      <c r="FV27" s="203"/>
      <c r="FW27" s="203"/>
      <c r="FX27" s="203"/>
      <c r="FY27" s="203"/>
      <c r="FZ27" s="203"/>
      <c r="GA27" s="203"/>
      <c r="GB27" s="203"/>
      <c r="GC27" s="203"/>
      <c r="GD27" s="203"/>
      <c r="GE27" s="203"/>
      <c r="GF27" s="203"/>
      <c r="GG27" s="203"/>
      <c r="GH27" s="203"/>
      <c r="GI27" s="203"/>
      <c r="GJ27" s="203"/>
      <c r="GK27" s="203"/>
      <c r="GL27" s="203"/>
      <c r="GM27" s="203"/>
      <c r="GN27" s="203"/>
      <c r="GO27" s="203"/>
      <c r="GP27" s="203"/>
      <c r="GQ27" s="203"/>
      <c r="GR27" s="203"/>
      <c r="GS27" s="203"/>
      <c r="GT27" s="203"/>
      <c r="GU27" s="203"/>
      <c r="GV27" s="203"/>
      <c r="GW27" s="203"/>
      <c r="GX27" s="203"/>
      <c r="GY27" s="203"/>
      <c r="GZ27" s="203"/>
      <c r="HA27" s="203"/>
      <c r="HB27" s="203"/>
      <c r="HC27" s="203"/>
      <c r="HD27" s="203"/>
      <c r="HE27" s="203"/>
      <c r="HF27" s="203"/>
      <c r="HG27" s="203"/>
      <c r="HH27" s="203"/>
      <c r="HI27" s="203"/>
      <c r="HJ27" s="203"/>
      <c r="HK27" s="203"/>
      <c r="HL27" s="203"/>
      <c r="HM27" s="203"/>
      <c r="HN27" s="203"/>
      <c r="HO27" s="203"/>
      <c r="HP27" s="203"/>
      <c r="HQ27" s="203"/>
      <c r="HR27" s="203"/>
      <c r="HS27" s="203"/>
      <c r="HT27" s="203"/>
      <c r="HU27" s="203"/>
      <c r="HV27" s="203"/>
      <c r="HW27" s="203"/>
      <c r="HX27" s="203"/>
      <c r="HY27" s="203"/>
      <c r="HZ27" s="203"/>
      <c r="IA27" s="203"/>
      <c r="IB27" s="203"/>
      <c r="IC27" s="203"/>
      <c r="ID27" s="203"/>
      <c r="IE27" s="203"/>
      <c r="IF27" s="203"/>
      <c r="IG27" s="203"/>
      <c r="IH27" s="203"/>
      <c r="II27" s="203"/>
      <c r="IJ27" s="203"/>
      <c r="IK27" s="203"/>
      <c r="IL27" s="203"/>
      <c r="IM27" s="203"/>
      <c r="IN27" s="203"/>
      <c r="IO27" s="203"/>
      <c r="IP27" s="203"/>
      <c r="IQ27" s="203"/>
      <c r="IR27" s="203"/>
      <c r="IS27" s="203"/>
      <c r="IT27" s="203"/>
      <c r="IU27" s="203"/>
      <c r="IV27" s="203"/>
      <c r="IW27" s="203"/>
    </row>
    <row r="28" customFormat="false" ht="12" hidden="false" customHeight="false" outlineLevel="0" collapsed="false">
      <c r="A28" s="240"/>
      <c r="B28" s="329" t="s">
        <v>228</v>
      </c>
      <c r="C28" s="175" t="n">
        <f aca="false">SUM(D28:O28)</f>
        <v>1380</v>
      </c>
      <c r="D28" s="175" t="n">
        <f aca="false">IF($C5&gt;0,IF(D5&gt;0,D13,$C13/$C19),0)</f>
        <v>520</v>
      </c>
      <c r="E28" s="175" t="n">
        <f aca="false">IF($C5&gt;0,IF(E5&gt;0,E13,$C13/$C19),0)</f>
        <v>0</v>
      </c>
      <c r="F28" s="175" t="n">
        <f aca="false">IF($C5&gt;0,IF(F5&gt;0,F13,$C13/$C19),0)</f>
        <v>0</v>
      </c>
      <c r="G28" s="175" t="n">
        <f aca="false">IF($C5&gt;0,IF(G5&gt;0,G13,$C13/$C19),0)</f>
        <v>120</v>
      </c>
      <c r="H28" s="175" t="n">
        <f aca="false">IF($C5&gt;0,IF(H5&gt;0,H13,$C13/$C19),0)</f>
        <v>0</v>
      </c>
      <c r="I28" s="175" t="n">
        <f aca="false">IF($C5&gt;0,IF(I5&gt;0,I13,$C13/$C19),0)</f>
        <v>0</v>
      </c>
      <c r="J28" s="175" t="n">
        <f aca="false">IF($C5&gt;0,IF(J5&gt;0,J13,$C13/$C19),0)</f>
        <v>120</v>
      </c>
      <c r="K28" s="175" t="n">
        <f aca="false">IF($C5&gt;0,IF(K5&gt;0,K13,$C13/$C19),0)</f>
        <v>0</v>
      </c>
      <c r="L28" s="175" t="n">
        <f aca="false">IF($C5&gt;0,IF(L5&gt;0,L13,$C13/$C19),0)</f>
        <v>0</v>
      </c>
      <c r="M28" s="175" t="n">
        <f aca="false">IF($C5&gt;0,IF(M5&gt;0,M13,$C13/$C19),0)</f>
        <v>620</v>
      </c>
      <c r="N28" s="175" t="n">
        <f aca="false">IF($C5&gt;0,IF(N5&gt;0,N13,$C13/$C19),0)</f>
        <v>0</v>
      </c>
      <c r="O28" s="175" t="n">
        <f aca="false">IF($C5&gt;0,IF(O5&gt;0,O13,$C13/$C19),0)</f>
        <v>0</v>
      </c>
      <c r="P28" s="240"/>
    </row>
    <row r="29" customFormat="false" ht="6" hidden="false" customHeight="true" outlineLevel="0" collapsed="false">
      <c r="A29" s="240"/>
      <c r="B29" s="329"/>
      <c r="C29" s="171"/>
      <c r="D29" s="171"/>
      <c r="E29" s="171"/>
      <c r="F29" s="171"/>
      <c r="G29" s="171"/>
      <c r="H29" s="171"/>
      <c r="I29" s="171"/>
      <c r="J29" s="171"/>
      <c r="K29" s="171"/>
      <c r="L29" s="171"/>
      <c r="M29" s="171"/>
      <c r="N29" s="171"/>
      <c r="O29" s="171"/>
      <c r="P29" s="240"/>
    </row>
    <row r="30" customFormat="false" ht="12" hidden="false" customHeight="false" outlineLevel="0" collapsed="false">
      <c r="A30" s="240"/>
      <c r="B30" s="334" t="s">
        <v>229</v>
      </c>
      <c r="C30" s="175" t="n">
        <f aca="false">SUM(D30:O30)</f>
        <v>29065</v>
      </c>
      <c r="D30" s="175" t="n">
        <f aca="false">D26-D28</f>
        <v>751.666666666667</v>
      </c>
      <c r="E30" s="175" t="n">
        <f aca="false">E26-E28</f>
        <v>2606.66666666667</v>
      </c>
      <c r="F30" s="175" t="n">
        <f aca="false">F26-F28</f>
        <v>2606.66666666667</v>
      </c>
      <c r="G30" s="175" t="n">
        <f aca="false">G26-G28</f>
        <v>2486.66666666667</v>
      </c>
      <c r="H30" s="175" t="n">
        <f aca="false">H26-H28</f>
        <v>2606.66666666667</v>
      </c>
      <c r="I30" s="175" t="n">
        <f aca="false">I26-I28</f>
        <v>3106.66666666667</v>
      </c>
      <c r="J30" s="175" t="n">
        <f aca="false">J26-J28</f>
        <v>2486.66666666667</v>
      </c>
      <c r="K30" s="175" t="n">
        <f aca="false">K26-K28</f>
        <v>2606.66666666667</v>
      </c>
      <c r="L30" s="175" t="n">
        <f aca="false">L26-L28</f>
        <v>2606.66666666667</v>
      </c>
      <c r="M30" s="175" t="n">
        <f aca="false">M26-M28</f>
        <v>1986.66666666667</v>
      </c>
      <c r="N30" s="175" t="n">
        <f aca="false">N26-N28</f>
        <v>2606.66666666667</v>
      </c>
      <c r="O30" s="175" t="n">
        <f aca="false">O26-O28</f>
        <v>2606.66666666667</v>
      </c>
      <c r="P30" s="240"/>
    </row>
    <row r="31" customFormat="false" ht="6" hidden="false" customHeight="true" outlineLevel="0" collapsed="false">
      <c r="A31" s="240"/>
      <c r="B31" s="329"/>
      <c r="C31" s="171"/>
      <c r="D31" s="171"/>
      <c r="E31" s="171"/>
      <c r="F31" s="171"/>
      <c r="G31" s="171"/>
      <c r="H31" s="171"/>
      <c r="I31" s="171"/>
      <c r="J31" s="171"/>
      <c r="K31" s="171"/>
      <c r="L31" s="171"/>
      <c r="M31" s="171"/>
      <c r="N31" s="171"/>
      <c r="O31" s="171"/>
      <c r="P31" s="240"/>
    </row>
    <row r="32" customFormat="false" ht="12" hidden="false" customHeight="true" outlineLevel="0" collapsed="false">
      <c r="A32" s="240"/>
      <c r="B32" s="338" t="s">
        <v>231</v>
      </c>
      <c r="C32" s="338"/>
      <c r="D32" s="240"/>
      <c r="E32" s="240"/>
      <c r="F32" s="240"/>
      <c r="G32" s="240"/>
      <c r="H32" s="240"/>
      <c r="I32" s="240"/>
      <c r="J32" s="240"/>
      <c r="K32" s="240"/>
      <c r="L32" s="240"/>
      <c r="M32" s="240"/>
      <c r="N32" s="240"/>
      <c r="O32" s="240"/>
      <c r="P32" s="240"/>
    </row>
    <row r="33" customFormat="false" ht="12" hidden="false" customHeight="false" outlineLevel="0" collapsed="false">
      <c r="A33" s="240"/>
      <c r="B33" s="339"/>
      <c r="C33" s="340"/>
      <c r="D33" s="240"/>
      <c r="E33" s="240"/>
      <c r="F33" s="240"/>
      <c r="G33" s="240"/>
      <c r="H33" s="240"/>
      <c r="I33" s="240"/>
      <c r="J33" s="240"/>
      <c r="K33" s="240"/>
      <c r="L33" s="240"/>
      <c r="M33" s="240"/>
      <c r="N33" s="240"/>
      <c r="O33" s="240"/>
      <c r="P33" s="240"/>
    </row>
    <row r="34" customFormat="false" ht="12" hidden="false" customHeight="false" outlineLevel="0" collapsed="false">
      <c r="A34" s="240"/>
      <c r="B34" s="339" t="s">
        <v>232</v>
      </c>
      <c r="C34" s="340" t="n">
        <f aca="false">C30-C33</f>
        <v>29065</v>
      </c>
      <c r="D34" s="341"/>
      <c r="E34" s="240"/>
      <c r="F34" s="240"/>
      <c r="G34" s="240"/>
      <c r="H34" s="240"/>
      <c r="I34" s="240"/>
      <c r="J34" s="240"/>
      <c r="K34" s="240"/>
      <c r="L34" s="240"/>
      <c r="M34" s="240"/>
      <c r="N34" s="240"/>
      <c r="O34" s="240"/>
      <c r="P34" s="240"/>
    </row>
    <row r="35" customFormat="false" ht="12" hidden="false" customHeight="false" outlineLevel="0" collapsed="false">
      <c r="A35" s="240"/>
      <c r="B35" s="173" t="s">
        <v>233</v>
      </c>
      <c r="C35" s="340" t="n">
        <f aca="false">IF(C34&lt;=0,0,MAX(0,Admin!N$4-MAX(0,C34-Admin!N$5)/2))</f>
        <v>12570</v>
      </c>
      <c r="D35" s="240"/>
      <c r="E35" s="240"/>
      <c r="F35" s="240"/>
      <c r="G35" s="240"/>
      <c r="H35" s="240"/>
      <c r="I35" s="240"/>
      <c r="J35" s="240"/>
      <c r="K35" s="240"/>
      <c r="L35" s="240"/>
      <c r="M35" s="240"/>
      <c r="N35" s="240"/>
      <c r="O35" s="240"/>
      <c r="P35" s="240"/>
    </row>
    <row r="36" customFormat="false" ht="12" hidden="false" customHeight="false" outlineLevel="0" collapsed="false">
      <c r="A36" s="240"/>
      <c r="B36" s="173" t="s">
        <v>234</v>
      </c>
      <c r="C36" s="340" t="n">
        <f aca="false">IF((C34&gt;C35),(C34-C35),0)</f>
        <v>16495</v>
      </c>
      <c r="D36" s="240"/>
      <c r="E36" s="240"/>
      <c r="F36" s="240"/>
      <c r="G36" s="240"/>
      <c r="H36" s="240"/>
      <c r="I36" s="240"/>
      <c r="J36" s="240"/>
      <c r="K36" s="240"/>
      <c r="L36" s="240"/>
      <c r="M36" s="240"/>
      <c r="N36" s="240"/>
      <c r="O36" s="240"/>
      <c r="P36" s="240"/>
    </row>
    <row r="37" customFormat="false" ht="12" hidden="false" customHeight="false" outlineLevel="0" collapsed="false">
      <c r="A37" s="240"/>
      <c r="B37" s="173" t="s">
        <v>235</v>
      </c>
      <c r="C37" s="340" t="n">
        <f aca="false">IF((C36&gt;0),(IF((C36&lt;Admin!M$11),C36*Admin!N$6,Admin!M$11*Admin!N$6)),0)</f>
        <v>3299</v>
      </c>
      <c r="D37" s="341"/>
      <c r="E37" s="240"/>
      <c r="F37" s="240"/>
      <c r="G37" s="240"/>
      <c r="H37" s="240"/>
      <c r="I37" s="240"/>
      <c r="J37" s="240"/>
      <c r="K37" s="240"/>
      <c r="L37" s="240"/>
      <c r="M37" s="240"/>
      <c r="N37" s="240"/>
      <c r="O37" s="240"/>
      <c r="P37" s="240"/>
    </row>
    <row r="38" customFormat="false" ht="12" hidden="false" customHeight="false" outlineLevel="0" collapsed="false">
      <c r="A38" s="240"/>
      <c r="B38" s="173" t="s">
        <v>236</v>
      </c>
      <c r="C38" s="340" t="n">
        <f aca="false">IF(C36&gt;Admin!M$11,(MIN(C36,Admin!N$13)-Admin!M$11)*Admin!N$7,0)</f>
        <v>0</v>
      </c>
      <c r="D38" s="240"/>
      <c r="E38" s="240"/>
      <c r="F38" s="240"/>
      <c r="G38" s="240"/>
      <c r="H38" s="240"/>
      <c r="I38" s="240"/>
      <c r="J38" s="240"/>
      <c r="K38" s="240"/>
      <c r="L38" s="240"/>
      <c r="M38" s="240"/>
      <c r="N38" s="240"/>
      <c r="O38" s="240"/>
      <c r="P38" s="240"/>
    </row>
    <row r="39" customFormat="false" ht="12" hidden="false" customHeight="false" outlineLevel="0" collapsed="false">
      <c r="A39" s="240"/>
      <c r="B39" s="173" t="s">
        <v>237</v>
      </c>
      <c r="C39" s="340" t="n">
        <f aca="false">IF(C36&gt;Admin!N$13,(C36-Admin!N$13)*Admin!N$8,0)</f>
        <v>0</v>
      </c>
      <c r="D39" s="240"/>
      <c r="E39" s="240"/>
      <c r="F39" s="240"/>
      <c r="G39" s="240"/>
      <c r="H39" s="240"/>
      <c r="I39" s="240"/>
      <c r="J39" s="240"/>
      <c r="K39" s="240"/>
      <c r="L39" s="240"/>
      <c r="M39" s="240"/>
      <c r="N39" s="240"/>
      <c r="O39" s="240"/>
      <c r="P39" s="240"/>
    </row>
    <row r="40" customFormat="false" ht="12" hidden="false" customHeight="false" outlineLevel="0" collapsed="false">
      <c r="A40" s="240"/>
      <c r="B40" s="173" t="s">
        <v>238</v>
      </c>
      <c r="C40" s="340" t="n">
        <f aca="false">IF(C34&gt;Admin!N$20,IF(C34&lt;Admin!N$23,(C34-Admin!N$20)*Admin!L$20,(Admin!N$23-Admin!N$20)*Admin!L$20),0)+IF(C34&gt;Admin!N$23,(C34-Admin!N$23)*Admin!L$23,0)</f>
        <v>989.7</v>
      </c>
      <c r="D40" s="240"/>
      <c r="E40" s="240"/>
      <c r="F40" s="240"/>
      <c r="G40" s="240"/>
      <c r="H40" s="240"/>
      <c r="I40" s="240"/>
      <c r="J40" s="240"/>
      <c r="K40" s="240"/>
      <c r="L40" s="240"/>
      <c r="M40" s="240"/>
      <c r="N40" s="240"/>
      <c r="O40" s="240"/>
      <c r="P40" s="240"/>
    </row>
    <row r="41" customFormat="false" ht="12" hidden="false" customHeight="false" outlineLevel="0" collapsed="false">
      <c r="A41" s="240"/>
      <c r="B41" s="173" t="s">
        <v>239</v>
      </c>
      <c r="C41" s="342" t="n">
        <f aca="false">C37+C38+C39+C40</f>
        <v>4288.7</v>
      </c>
      <c r="D41" s="240"/>
      <c r="E41" s="240"/>
      <c r="F41" s="240"/>
      <c r="G41" s="240"/>
      <c r="H41" s="240"/>
      <c r="I41" s="240"/>
      <c r="J41" s="240"/>
      <c r="K41" s="240"/>
      <c r="L41" s="240"/>
      <c r="M41" s="240"/>
      <c r="N41" s="240"/>
      <c r="O41" s="240"/>
      <c r="P41" s="240"/>
    </row>
    <row r="42" customFormat="false" ht="12" hidden="false" customHeight="false" outlineLevel="0" collapsed="false">
      <c r="A42" s="240"/>
      <c r="B42" s="343"/>
      <c r="C42" s="163"/>
      <c r="D42" s="240"/>
      <c r="E42" s="240"/>
      <c r="F42" s="240"/>
      <c r="G42" s="240"/>
      <c r="H42" s="240"/>
      <c r="I42" s="240"/>
      <c r="J42" s="240"/>
      <c r="K42" s="240"/>
      <c r="L42" s="240"/>
      <c r="M42" s="240"/>
      <c r="N42" s="240"/>
      <c r="O42" s="240"/>
      <c r="P42" s="240"/>
    </row>
  </sheetData>
  <mergeCells count="27">
    <mergeCell ref="B2:B4"/>
    <mergeCell ref="D2:D3"/>
    <mergeCell ref="E2:E3"/>
    <mergeCell ref="F2:F3"/>
    <mergeCell ref="G2:G3"/>
    <mergeCell ref="H2:H3"/>
    <mergeCell ref="I2:I3"/>
    <mergeCell ref="J2:J3"/>
    <mergeCell ref="K2:K3"/>
    <mergeCell ref="L2:L3"/>
    <mergeCell ref="M2:M3"/>
    <mergeCell ref="N2:N3"/>
    <mergeCell ref="O2:O3"/>
    <mergeCell ref="B17:B19"/>
    <mergeCell ref="D17:D18"/>
    <mergeCell ref="E17:E18"/>
    <mergeCell ref="F17:F18"/>
    <mergeCell ref="G17:G18"/>
    <mergeCell ref="H17:H18"/>
    <mergeCell ref="I17:I18"/>
    <mergeCell ref="J17:J18"/>
    <mergeCell ref="K17:K18"/>
    <mergeCell ref="L17:L18"/>
    <mergeCell ref="M17:M18"/>
    <mergeCell ref="N17:N18"/>
    <mergeCell ref="O17:O18"/>
    <mergeCell ref="B32:C32"/>
  </mergeCell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customHeight="false" zeroHeight="false" outlineLevelRow="0" outlineLevelCol="0"/>
  <cols>
    <col collapsed="false" customWidth="true" hidden="false" outlineLevel="0" max="1" min="1" style="344" width="9.66"/>
    <col collapsed="false" customWidth="true" hidden="false" outlineLevel="0" max="2" min="2" style="345" width="14.66"/>
    <col collapsed="false" customWidth="true" hidden="false" outlineLevel="0" max="3" min="3" style="180" width="13.66"/>
    <col collapsed="false" customWidth="true" hidden="false" outlineLevel="0" max="4" min="4" style="346" width="12.66"/>
    <col collapsed="false" customWidth="true" hidden="false" outlineLevel="0" max="5" min="5" style="347" width="12.66"/>
    <col collapsed="false" customWidth="true" hidden="false" outlineLevel="0" max="6" min="6" style="180" width="12.66"/>
    <col collapsed="false" customWidth="false" hidden="false" outlineLevel="0" max="257" min="7" style="180" width="9.15"/>
  </cols>
  <sheetData>
    <row r="1" customFormat="false" ht="12.75" hidden="false" customHeight="true" outlineLevel="0" collapsed="false">
      <c r="A1" s="348" t="s">
        <v>240</v>
      </c>
      <c r="B1" s="349" t="s">
        <v>241</v>
      </c>
      <c r="C1" s="350" t="s">
        <v>242</v>
      </c>
      <c r="D1" s="351" t="n">
        <f aca="false">SUM(D4:D36)</f>
        <v>0</v>
      </c>
      <c r="E1" s="350" t="n">
        <f aca="false">SUM(E4:E36)/2</f>
        <v>3045</v>
      </c>
      <c r="F1" s="350" t="n">
        <f aca="false">SUM(F4:F36)/2</f>
        <v>0</v>
      </c>
      <c r="G1" s="352"/>
      <c r="H1" s="352"/>
      <c r="I1" s="352"/>
      <c r="J1" s="352"/>
      <c r="K1" s="352"/>
      <c r="L1" s="352"/>
      <c r="M1" s="352"/>
      <c r="N1" s="352"/>
      <c r="O1" s="352"/>
      <c r="P1" s="352"/>
      <c r="Q1" s="352"/>
      <c r="R1" s="352"/>
      <c r="S1" s="352"/>
      <c r="T1" s="352"/>
      <c r="U1" s="352"/>
      <c r="V1" s="352"/>
      <c r="W1" s="352"/>
      <c r="X1" s="352"/>
      <c r="Y1" s="352"/>
      <c r="Z1" s="352"/>
      <c r="AA1" s="352"/>
      <c r="AB1" s="352"/>
      <c r="AC1" s="352"/>
      <c r="AD1" s="352"/>
      <c r="AE1" s="352"/>
      <c r="AF1" s="352"/>
      <c r="AG1" s="352"/>
      <c r="AH1" s="352"/>
      <c r="AI1" s="352"/>
      <c r="AJ1" s="352"/>
      <c r="AK1" s="352"/>
      <c r="AL1" s="352"/>
      <c r="AM1" s="352"/>
      <c r="AN1" s="352"/>
      <c r="AO1" s="352"/>
      <c r="AP1" s="352"/>
      <c r="AQ1" s="352"/>
      <c r="AR1" s="352"/>
      <c r="AS1" s="352"/>
      <c r="AT1" s="352"/>
      <c r="AU1" s="352"/>
      <c r="AV1" s="352"/>
      <c r="AW1" s="352"/>
      <c r="AX1" s="352"/>
      <c r="AY1" s="352"/>
      <c r="AZ1" s="352"/>
      <c r="BA1" s="352"/>
      <c r="BB1" s="352"/>
      <c r="BC1" s="352"/>
      <c r="BD1" s="352"/>
      <c r="BE1" s="352"/>
      <c r="BF1" s="352"/>
      <c r="BG1" s="352"/>
      <c r="BH1" s="352"/>
      <c r="BI1" s="352"/>
      <c r="BJ1" s="352"/>
      <c r="BK1" s="352"/>
      <c r="BL1" s="352"/>
      <c r="BM1" s="352"/>
      <c r="BN1" s="352"/>
      <c r="BO1" s="352"/>
      <c r="BP1" s="352"/>
      <c r="BQ1" s="352"/>
      <c r="BR1" s="352"/>
      <c r="BS1" s="352"/>
      <c r="BT1" s="352"/>
      <c r="BU1" s="352"/>
      <c r="BV1" s="352"/>
      <c r="BW1" s="352"/>
      <c r="BX1" s="352"/>
      <c r="BY1" s="352"/>
      <c r="BZ1" s="352"/>
      <c r="CA1" s="352"/>
      <c r="CB1" s="352"/>
      <c r="CC1" s="352"/>
      <c r="CD1" s="352"/>
      <c r="CE1" s="352"/>
      <c r="CF1" s="352"/>
      <c r="CG1" s="352"/>
      <c r="CH1" s="352"/>
      <c r="CI1" s="352"/>
      <c r="CJ1" s="352"/>
      <c r="CK1" s="352"/>
      <c r="CL1" s="352"/>
      <c r="CM1" s="352"/>
      <c r="CN1" s="352"/>
      <c r="CO1" s="352"/>
      <c r="CP1" s="352"/>
      <c r="CQ1" s="352"/>
      <c r="CR1" s="352"/>
      <c r="CS1" s="352"/>
      <c r="CT1" s="352"/>
      <c r="CU1" s="352"/>
      <c r="CV1" s="352"/>
      <c r="CW1" s="352"/>
      <c r="CX1" s="352"/>
      <c r="CY1" s="352"/>
      <c r="CZ1" s="352"/>
      <c r="DA1" s="352"/>
      <c r="DB1" s="352"/>
      <c r="DC1" s="352"/>
      <c r="DD1" s="352"/>
      <c r="DE1" s="352"/>
      <c r="DF1" s="352"/>
      <c r="DG1" s="352"/>
      <c r="DH1" s="352"/>
      <c r="DI1" s="352"/>
      <c r="DJ1" s="352"/>
      <c r="DK1" s="352"/>
      <c r="DL1" s="352"/>
      <c r="DM1" s="352"/>
      <c r="DN1" s="352"/>
      <c r="DO1" s="352"/>
      <c r="DP1" s="352"/>
      <c r="DQ1" s="352"/>
      <c r="DR1" s="352"/>
      <c r="DS1" s="352"/>
      <c r="DT1" s="352"/>
      <c r="DU1" s="352"/>
      <c r="DV1" s="352"/>
      <c r="DW1" s="352"/>
      <c r="DX1" s="352"/>
      <c r="DY1" s="352"/>
      <c r="DZ1" s="352"/>
      <c r="EA1" s="352"/>
      <c r="EB1" s="352"/>
      <c r="EC1" s="352"/>
      <c r="ED1" s="352"/>
      <c r="EE1" s="352"/>
      <c r="EF1" s="352"/>
      <c r="EG1" s="352"/>
      <c r="EH1" s="352"/>
      <c r="EI1" s="352"/>
      <c r="EJ1" s="352"/>
      <c r="EK1" s="352"/>
      <c r="EL1" s="352"/>
      <c r="EM1" s="352"/>
      <c r="EN1" s="352"/>
      <c r="EO1" s="352"/>
      <c r="EP1" s="352"/>
      <c r="EQ1" s="352"/>
      <c r="ER1" s="352"/>
      <c r="ES1" s="352"/>
      <c r="ET1" s="352"/>
      <c r="EU1" s="352"/>
      <c r="EV1" s="352"/>
      <c r="EW1" s="352"/>
      <c r="EX1" s="352"/>
      <c r="EY1" s="352"/>
      <c r="EZ1" s="352"/>
      <c r="FA1" s="352"/>
      <c r="FB1" s="352"/>
      <c r="FC1" s="352"/>
      <c r="FD1" s="352"/>
      <c r="FE1" s="352"/>
      <c r="FF1" s="352"/>
      <c r="FG1" s="352"/>
      <c r="FH1" s="352"/>
      <c r="FI1" s="352"/>
      <c r="FJ1" s="352"/>
      <c r="FK1" s="352"/>
      <c r="FL1" s="352"/>
      <c r="FM1" s="352"/>
      <c r="FN1" s="352"/>
      <c r="FO1" s="352"/>
      <c r="FP1" s="352"/>
      <c r="FQ1" s="352"/>
      <c r="FR1" s="352"/>
      <c r="FS1" s="352"/>
      <c r="FT1" s="352"/>
      <c r="FU1" s="352"/>
      <c r="FV1" s="352"/>
      <c r="FW1" s="352"/>
      <c r="FX1" s="352"/>
      <c r="FY1" s="352"/>
      <c r="FZ1" s="352"/>
      <c r="GA1" s="352"/>
      <c r="GB1" s="352"/>
      <c r="GC1" s="352"/>
      <c r="GD1" s="352"/>
      <c r="GE1" s="352"/>
      <c r="GF1" s="352"/>
      <c r="GG1" s="352"/>
      <c r="GH1" s="352"/>
      <c r="GI1" s="352"/>
      <c r="GJ1" s="352"/>
      <c r="GK1" s="352"/>
      <c r="GL1" s="352"/>
      <c r="GM1" s="352"/>
      <c r="GN1" s="352"/>
      <c r="GO1" s="352"/>
      <c r="GP1" s="352"/>
      <c r="GQ1" s="352"/>
      <c r="GR1" s="352"/>
      <c r="GS1" s="352"/>
      <c r="GT1" s="352"/>
      <c r="GU1" s="352"/>
      <c r="GV1" s="352"/>
      <c r="GW1" s="352"/>
      <c r="GX1" s="352"/>
      <c r="GY1" s="352"/>
      <c r="GZ1" s="352"/>
      <c r="HA1" s="352"/>
      <c r="HB1" s="352"/>
      <c r="HC1" s="352"/>
      <c r="HD1" s="352"/>
      <c r="HE1" s="352"/>
      <c r="HF1" s="352"/>
      <c r="HG1" s="352"/>
      <c r="HH1" s="352"/>
      <c r="HI1" s="352"/>
      <c r="HJ1" s="352"/>
      <c r="HK1" s="352"/>
      <c r="HL1" s="352"/>
      <c r="HM1" s="352"/>
      <c r="HN1" s="352"/>
      <c r="HO1" s="352"/>
      <c r="HP1" s="352"/>
      <c r="HQ1" s="352"/>
      <c r="HR1" s="352"/>
      <c r="HS1" s="352"/>
      <c r="HT1" s="352"/>
      <c r="HU1" s="352"/>
      <c r="HV1" s="352"/>
      <c r="HW1" s="352"/>
      <c r="HX1" s="352"/>
      <c r="HY1" s="352"/>
      <c r="HZ1" s="352"/>
      <c r="IA1" s="352"/>
      <c r="IB1" s="352"/>
      <c r="IC1" s="352"/>
      <c r="ID1" s="352"/>
      <c r="IE1" s="352"/>
      <c r="IF1" s="352"/>
      <c r="IG1" s="352"/>
      <c r="IH1" s="352"/>
      <c r="II1" s="352"/>
      <c r="IJ1" s="352"/>
      <c r="IK1" s="352"/>
      <c r="IL1" s="352"/>
      <c r="IM1" s="352"/>
      <c r="IN1" s="352"/>
      <c r="IO1" s="352"/>
      <c r="IP1" s="352"/>
      <c r="IQ1" s="352"/>
      <c r="IR1" s="352"/>
      <c r="IS1" s="352"/>
      <c r="IT1" s="352"/>
      <c r="IU1" s="352"/>
      <c r="IV1" s="352"/>
      <c r="IW1" s="352"/>
    </row>
    <row r="2" customFormat="false" ht="12.75" hidden="false" customHeight="true" outlineLevel="0" collapsed="false">
      <c r="A2" s="348"/>
      <c r="B2" s="349"/>
      <c r="C2" s="353" t="s">
        <v>243</v>
      </c>
      <c r="D2" s="354" t="s">
        <v>244</v>
      </c>
      <c r="E2" s="353" t="s">
        <v>245</v>
      </c>
      <c r="F2" s="353" t="s">
        <v>246</v>
      </c>
      <c r="G2" s="352"/>
      <c r="H2" s="352"/>
      <c r="I2" s="352"/>
      <c r="J2" s="352"/>
      <c r="K2" s="352"/>
      <c r="L2" s="352"/>
      <c r="M2" s="352"/>
      <c r="N2" s="352"/>
      <c r="O2" s="352"/>
      <c r="P2" s="352"/>
      <c r="Q2" s="352"/>
      <c r="R2" s="352"/>
      <c r="S2" s="352"/>
      <c r="T2" s="352"/>
      <c r="U2" s="352"/>
      <c r="V2" s="352"/>
      <c r="W2" s="352"/>
      <c r="X2" s="352"/>
      <c r="Y2" s="352"/>
      <c r="Z2" s="352"/>
      <c r="AA2" s="352"/>
      <c r="AB2" s="352"/>
      <c r="AC2" s="352"/>
      <c r="AD2" s="352"/>
      <c r="AE2" s="352"/>
      <c r="AF2" s="352"/>
      <c r="AG2" s="352"/>
      <c r="AH2" s="352"/>
      <c r="AI2" s="352"/>
      <c r="AJ2" s="352"/>
      <c r="AK2" s="352"/>
      <c r="AL2" s="352"/>
      <c r="AM2" s="352"/>
      <c r="AN2" s="352"/>
      <c r="AO2" s="352"/>
      <c r="AP2" s="352"/>
      <c r="AQ2" s="352"/>
      <c r="AR2" s="352"/>
      <c r="AS2" s="352"/>
      <c r="AT2" s="352"/>
      <c r="AU2" s="352"/>
      <c r="AV2" s="352"/>
      <c r="AW2" s="352"/>
      <c r="AX2" s="352"/>
      <c r="AY2" s="352"/>
      <c r="AZ2" s="352"/>
      <c r="BA2" s="352"/>
      <c r="BB2" s="352"/>
      <c r="BC2" s="352"/>
      <c r="BD2" s="352"/>
      <c r="BE2" s="352"/>
      <c r="BF2" s="352"/>
      <c r="BG2" s="352"/>
      <c r="BH2" s="352"/>
      <c r="BI2" s="352"/>
      <c r="BJ2" s="352"/>
      <c r="BK2" s="352"/>
      <c r="BL2" s="352"/>
      <c r="BM2" s="352"/>
      <c r="BN2" s="352"/>
      <c r="BO2" s="352"/>
      <c r="BP2" s="352"/>
      <c r="BQ2" s="352"/>
      <c r="BR2" s="352"/>
      <c r="BS2" s="352"/>
      <c r="BT2" s="352"/>
      <c r="BU2" s="352"/>
      <c r="BV2" s="352"/>
      <c r="BW2" s="352"/>
      <c r="BX2" s="352"/>
      <c r="BY2" s="352"/>
      <c r="BZ2" s="352"/>
      <c r="CA2" s="352"/>
      <c r="CB2" s="352"/>
      <c r="CC2" s="352"/>
      <c r="CD2" s="352"/>
      <c r="CE2" s="352"/>
      <c r="CF2" s="352"/>
      <c r="CG2" s="352"/>
      <c r="CH2" s="352"/>
      <c r="CI2" s="352"/>
      <c r="CJ2" s="352"/>
      <c r="CK2" s="352"/>
      <c r="CL2" s="352"/>
      <c r="CM2" s="352"/>
      <c r="CN2" s="352"/>
      <c r="CO2" s="352"/>
      <c r="CP2" s="352"/>
      <c r="CQ2" s="352"/>
      <c r="CR2" s="352"/>
      <c r="CS2" s="352"/>
      <c r="CT2" s="352"/>
      <c r="CU2" s="352"/>
      <c r="CV2" s="352"/>
      <c r="CW2" s="352"/>
      <c r="CX2" s="352"/>
      <c r="CY2" s="352"/>
      <c r="CZ2" s="352"/>
      <c r="DA2" s="352"/>
      <c r="DB2" s="352"/>
      <c r="DC2" s="352"/>
      <c r="DD2" s="352"/>
      <c r="DE2" s="352"/>
      <c r="DF2" s="352"/>
      <c r="DG2" s="352"/>
      <c r="DH2" s="352"/>
      <c r="DI2" s="352"/>
      <c r="DJ2" s="352"/>
      <c r="DK2" s="352"/>
      <c r="DL2" s="352"/>
      <c r="DM2" s="352"/>
      <c r="DN2" s="352"/>
      <c r="DO2" s="352"/>
      <c r="DP2" s="352"/>
      <c r="DQ2" s="352"/>
      <c r="DR2" s="352"/>
      <c r="DS2" s="352"/>
      <c r="DT2" s="352"/>
      <c r="DU2" s="352"/>
      <c r="DV2" s="352"/>
      <c r="DW2" s="352"/>
      <c r="DX2" s="352"/>
      <c r="DY2" s="352"/>
      <c r="DZ2" s="352"/>
      <c r="EA2" s="352"/>
      <c r="EB2" s="352"/>
      <c r="EC2" s="352"/>
      <c r="ED2" s="352"/>
      <c r="EE2" s="352"/>
      <c r="EF2" s="352"/>
      <c r="EG2" s="352"/>
      <c r="EH2" s="352"/>
      <c r="EI2" s="352"/>
      <c r="EJ2" s="352"/>
      <c r="EK2" s="352"/>
      <c r="EL2" s="352"/>
      <c r="EM2" s="352"/>
      <c r="EN2" s="352"/>
      <c r="EO2" s="352"/>
      <c r="EP2" s="352"/>
      <c r="EQ2" s="352"/>
      <c r="ER2" s="352"/>
      <c r="ES2" s="352"/>
      <c r="ET2" s="352"/>
      <c r="EU2" s="352"/>
      <c r="EV2" s="352"/>
      <c r="EW2" s="352"/>
      <c r="EX2" s="352"/>
      <c r="EY2" s="352"/>
      <c r="EZ2" s="352"/>
      <c r="FA2" s="352"/>
      <c r="FB2" s="352"/>
      <c r="FC2" s="352"/>
      <c r="FD2" s="352"/>
      <c r="FE2" s="352"/>
      <c r="FF2" s="352"/>
      <c r="FG2" s="352"/>
      <c r="FH2" s="352"/>
      <c r="FI2" s="352"/>
      <c r="FJ2" s="352"/>
      <c r="FK2" s="352"/>
      <c r="FL2" s="352"/>
      <c r="FM2" s="352"/>
      <c r="FN2" s="352"/>
      <c r="FO2" s="352"/>
      <c r="FP2" s="352"/>
      <c r="FQ2" s="352"/>
      <c r="FR2" s="352"/>
      <c r="FS2" s="352"/>
      <c r="FT2" s="352"/>
      <c r="FU2" s="352"/>
      <c r="FV2" s="352"/>
      <c r="FW2" s="352"/>
      <c r="FX2" s="352"/>
      <c r="FY2" s="352"/>
      <c r="FZ2" s="352"/>
      <c r="GA2" s="352"/>
      <c r="GB2" s="352"/>
      <c r="GC2" s="352"/>
      <c r="GD2" s="352"/>
      <c r="GE2" s="352"/>
      <c r="GF2" s="352"/>
      <c r="GG2" s="352"/>
      <c r="GH2" s="352"/>
      <c r="GI2" s="352"/>
      <c r="GJ2" s="352"/>
      <c r="GK2" s="352"/>
      <c r="GL2" s="352"/>
      <c r="GM2" s="352"/>
      <c r="GN2" s="352"/>
      <c r="GO2" s="352"/>
      <c r="GP2" s="352"/>
      <c r="GQ2" s="352"/>
      <c r="GR2" s="352"/>
      <c r="GS2" s="352"/>
      <c r="GT2" s="352"/>
      <c r="GU2" s="352"/>
      <c r="GV2" s="352"/>
      <c r="GW2" s="352"/>
      <c r="GX2" s="352"/>
      <c r="GY2" s="352"/>
      <c r="GZ2" s="352"/>
      <c r="HA2" s="352"/>
      <c r="HB2" s="352"/>
      <c r="HC2" s="352"/>
      <c r="HD2" s="352"/>
      <c r="HE2" s="352"/>
      <c r="HF2" s="352"/>
      <c r="HG2" s="352"/>
      <c r="HH2" s="352"/>
      <c r="HI2" s="352"/>
      <c r="HJ2" s="352"/>
      <c r="HK2" s="352"/>
      <c r="HL2" s="352"/>
      <c r="HM2" s="352"/>
      <c r="HN2" s="352"/>
      <c r="HO2" s="352"/>
      <c r="HP2" s="352"/>
      <c r="HQ2" s="352"/>
      <c r="HR2" s="352"/>
      <c r="HS2" s="352"/>
      <c r="HT2" s="352"/>
      <c r="HU2" s="352"/>
      <c r="HV2" s="352"/>
      <c r="HW2" s="352"/>
      <c r="HX2" s="352"/>
      <c r="HY2" s="352"/>
      <c r="HZ2" s="352"/>
      <c r="IA2" s="352"/>
      <c r="IB2" s="352"/>
      <c r="IC2" s="352"/>
      <c r="ID2" s="352"/>
      <c r="IE2" s="352"/>
      <c r="IF2" s="352"/>
      <c r="IG2" s="352"/>
      <c r="IH2" s="352"/>
      <c r="II2" s="352"/>
      <c r="IJ2" s="352"/>
      <c r="IK2" s="352"/>
      <c r="IL2" s="352"/>
      <c r="IM2" s="352"/>
      <c r="IN2" s="352"/>
      <c r="IO2" s="352"/>
      <c r="IP2" s="352"/>
      <c r="IQ2" s="352"/>
      <c r="IR2" s="352"/>
      <c r="IS2" s="352"/>
      <c r="IT2" s="352"/>
      <c r="IU2" s="352"/>
      <c r="IV2" s="352"/>
      <c r="IW2" s="352"/>
    </row>
    <row r="3" customFormat="false" ht="24" hidden="false" customHeight="true" outlineLevel="0" collapsed="false">
      <c r="A3" s="348"/>
      <c r="B3" s="349"/>
      <c r="C3" s="353"/>
      <c r="D3" s="354"/>
      <c r="E3" s="353"/>
      <c r="F3" s="353"/>
      <c r="G3" s="355"/>
      <c r="H3" s="355"/>
      <c r="I3" s="355"/>
      <c r="J3" s="355"/>
      <c r="K3" s="355"/>
      <c r="L3" s="355"/>
      <c r="M3" s="355"/>
      <c r="N3" s="355"/>
      <c r="O3" s="355"/>
      <c r="P3" s="355"/>
      <c r="Q3" s="355"/>
      <c r="R3" s="355"/>
      <c r="S3" s="355"/>
      <c r="T3" s="355"/>
      <c r="U3" s="355"/>
      <c r="V3" s="355"/>
      <c r="W3" s="355"/>
      <c r="X3" s="355"/>
      <c r="Y3" s="355"/>
      <c r="Z3" s="355"/>
      <c r="AA3" s="355"/>
      <c r="AB3" s="355"/>
      <c r="AC3" s="355"/>
      <c r="AD3" s="355"/>
      <c r="AE3" s="355"/>
      <c r="AF3" s="355"/>
      <c r="AG3" s="355"/>
      <c r="AH3" s="355"/>
      <c r="AI3" s="355"/>
      <c r="AJ3" s="355"/>
      <c r="AK3" s="355"/>
      <c r="AL3" s="355"/>
      <c r="AM3" s="355"/>
      <c r="AN3" s="355"/>
      <c r="AO3" s="355"/>
      <c r="AP3" s="355"/>
      <c r="AQ3" s="355"/>
      <c r="AR3" s="355"/>
      <c r="AS3" s="355"/>
      <c r="AT3" s="355"/>
      <c r="AU3" s="355"/>
      <c r="AV3" s="355"/>
      <c r="AW3" s="355"/>
      <c r="AX3" s="355"/>
      <c r="AY3" s="355"/>
      <c r="AZ3" s="355"/>
      <c r="BA3" s="355"/>
      <c r="BB3" s="355"/>
      <c r="BC3" s="355"/>
      <c r="BD3" s="355"/>
      <c r="BE3" s="355"/>
      <c r="BF3" s="355"/>
      <c r="BG3" s="355"/>
      <c r="BH3" s="355"/>
      <c r="BI3" s="355"/>
      <c r="BJ3" s="355"/>
      <c r="BK3" s="355"/>
      <c r="BL3" s="355"/>
      <c r="BM3" s="355"/>
      <c r="BN3" s="355"/>
      <c r="BO3" s="355"/>
      <c r="BP3" s="355"/>
      <c r="BQ3" s="355"/>
      <c r="BR3" s="355"/>
      <c r="BS3" s="355"/>
      <c r="BT3" s="355"/>
      <c r="BU3" s="355"/>
      <c r="BV3" s="355"/>
      <c r="BW3" s="355"/>
      <c r="BX3" s="355"/>
      <c r="BY3" s="355"/>
      <c r="BZ3" s="355"/>
      <c r="CA3" s="355"/>
      <c r="CB3" s="355"/>
      <c r="CC3" s="355"/>
      <c r="CD3" s="355"/>
      <c r="CE3" s="355"/>
      <c r="CF3" s="355"/>
      <c r="CG3" s="355"/>
      <c r="CH3" s="355"/>
      <c r="CI3" s="355"/>
      <c r="CJ3" s="355"/>
      <c r="CK3" s="355"/>
      <c r="CL3" s="355"/>
      <c r="CM3" s="355"/>
      <c r="CN3" s="355"/>
      <c r="CO3" s="355"/>
      <c r="CP3" s="355"/>
      <c r="CQ3" s="355"/>
      <c r="CR3" s="355"/>
      <c r="CS3" s="355"/>
      <c r="CT3" s="355"/>
      <c r="CU3" s="355"/>
      <c r="CV3" s="355"/>
      <c r="CW3" s="355"/>
      <c r="CX3" s="355"/>
      <c r="CY3" s="355"/>
      <c r="CZ3" s="355"/>
      <c r="DA3" s="355"/>
      <c r="DB3" s="355"/>
      <c r="DC3" s="355"/>
      <c r="DD3" s="355"/>
      <c r="DE3" s="355"/>
      <c r="DF3" s="355"/>
      <c r="DG3" s="355"/>
      <c r="DH3" s="355"/>
      <c r="DI3" s="355"/>
      <c r="DJ3" s="355"/>
      <c r="DK3" s="355"/>
      <c r="DL3" s="355"/>
      <c r="DM3" s="355"/>
      <c r="DN3" s="355"/>
      <c r="DO3" s="355"/>
      <c r="DP3" s="355"/>
      <c r="DQ3" s="355"/>
      <c r="DR3" s="355"/>
      <c r="DS3" s="355"/>
      <c r="DT3" s="355"/>
      <c r="DU3" s="355"/>
      <c r="DV3" s="355"/>
      <c r="DW3" s="355"/>
      <c r="DX3" s="355"/>
      <c r="DY3" s="355"/>
      <c r="DZ3" s="355"/>
      <c r="EA3" s="355"/>
      <c r="EB3" s="355"/>
      <c r="EC3" s="355"/>
      <c r="ED3" s="355"/>
      <c r="EE3" s="355"/>
      <c r="EF3" s="355"/>
      <c r="EG3" s="355"/>
      <c r="EH3" s="355"/>
      <c r="EI3" s="355"/>
      <c r="EJ3" s="355"/>
      <c r="EK3" s="355"/>
      <c r="EL3" s="355"/>
      <c r="EM3" s="355"/>
      <c r="EN3" s="355"/>
      <c r="EO3" s="355"/>
      <c r="EP3" s="355"/>
      <c r="EQ3" s="355"/>
      <c r="ER3" s="355"/>
      <c r="ES3" s="355"/>
      <c r="ET3" s="355"/>
      <c r="EU3" s="355"/>
      <c r="EV3" s="355"/>
      <c r="EW3" s="355"/>
      <c r="EX3" s="355"/>
      <c r="EY3" s="355"/>
      <c r="EZ3" s="355"/>
      <c r="FA3" s="355"/>
      <c r="FB3" s="355"/>
      <c r="FC3" s="355"/>
      <c r="FD3" s="355"/>
      <c r="FE3" s="355"/>
      <c r="FF3" s="355"/>
      <c r="FG3" s="355"/>
      <c r="FH3" s="355"/>
      <c r="FI3" s="355"/>
      <c r="FJ3" s="355"/>
      <c r="FK3" s="355"/>
      <c r="FL3" s="355"/>
      <c r="FM3" s="355"/>
      <c r="FN3" s="355"/>
      <c r="FO3" s="355"/>
      <c r="FP3" s="355"/>
      <c r="FQ3" s="355"/>
      <c r="FR3" s="355"/>
      <c r="FS3" s="355"/>
      <c r="FT3" s="355"/>
      <c r="FU3" s="355"/>
      <c r="FV3" s="355"/>
      <c r="FW3" s="355"/>
      <c r="FX3" s="355"/>
      <c r="FY3" s="355"/>
      <c r="FZ3" s="355"/>
      <c r="GA3" s="355"/>
      <c r="GB3" s="355"/>
      <c r="GC3" s="355"/>
      <c r="GD3" s="355"/>
      <c r="GE3" s="355"/>
      <c r="GF3" s="355"/>
      <c r="GG3" s="355"/>
      <c r="GH3" s="355"/>
      <c r="GI3" s="355"/>
      <c r="GJ3" s="355"/>
      <c r="GK3" s="355"/>
      <c r="GL3" s="355"/>
      <c r="GM3" s="355"/>
      <c r="GN3" s="355"/>
      <c r="GO3" s="355"/>
      <c r="GP3" s="355"/>
      <c r="GQ3" s="355"/>
      <c r="GR3" s="355"/>
      <c r="GS3" s="355"/>
      <c r="GT3" s="355"/>
      <c r="GU3" s="355"/>
      <c r="GV3" s="355"/>
      <c r="GW3" s="355"/>
      <c r="GX3" s="355"/>
      <c r="GY3" s="355"/>
      <c r="GZ3" s="355"/>
      <c r="HA3" s="355"/>
      <c r="HB3" s="355"/>
      <c r="HC3" s="355"/>
      <c r="HD3" s="355"/>
      <c r="HE3" s="355"/>
      <c r="HF3" s="355"/>
      <c r="HG3" s="355"/>
      <c r="HH3" s="355"/>
      <c r="HI3" s="355"/>
      <c r="HJ3" s="355"/>
      <c r="HK3" s="355"/>
      <c r="HL3" s="355"/>
      <c r="HM3" s="355"/>
      <c r="HN3" s="355"/>
      <c r="HO3" s="355"/>
      <c r="HP3" s="355"/>
      <c r="HQ3" s="355"/>
      <c r="HR3" s="355"/>
      <c r="HS3" s="355"/>
      <c r="HT3" s="355"/>
      <c r="HU3" s="355"/>
      <c r="HV3" s="355"/>
      <c r="HW3" s="355"/>
      <c r="HX3" s="355"/>
      <c r="HY3" s="355"/>
      <c r="HZ3" s="355"/>
      <c r="IA3" s="355"/>
      <c r="IB3" s="355"/>
      <c r="IC3" s="355"/>
      <c r="ID3" s="355"/>
      <c r="IE3" s="355"/>
      <c r="IF3" s="355"/>
      <c r="IG3" s="355"/>
      <c r="IH3" s="355"/>
      <c r="II3" s="355"/>
      <c r="IJ3" s="355"/>
      <c r="IK3" s="355"/>
      <c r="IL3" s="355"/>
      <c r="IM3" s="355"/>
      <c r="IN3" s="355"/>
      <c r="IO3" s="355"/>
      <c r="IP3" s="355"/>
      <c r="IQ3" s="355"/>
      <c r="IR3" s="355"/>
      <c r="IS3" s="355"/>
      <c r="IT3" s="355"/>
      <c r="IU3" s="355"/>
      <c r="IV3" s="355"/>
      <c r="IW3" s="355"/>
    </row>
    <row r="5" customFormat="false" ht="12.75" hidden="false" customHeight="false" outlineLevel="0" collapsed="false">
      <c r="A5" s="356" t="n">
        <v>46118</v>
      </c>
      <c r="B5" s="357" t="n">
        <v>46118</v>
      </c>
      <c r="C5" s="358"/>
      <c r="D5" s="359"/>
      <c r="E5" s="360"/>
      <c r="F5" s="361"/>
    </row>
    <row r="6" customFormat="false" ht="12.75" hidden="false" customHeight="false" outlineLevel="0" collapsed="false">
      <c r="A6" s="362" t="n">
        <v>46119</v>
      </c>
      <c r="B6" s="345" t="n">
        <v>46119</v>
      </c>
      <c r="E6" s="347" t="n">
        <v>245</v>
      </c>
      <c r="F6" s="363"/>
    </row>
    <row r="7" customFormat="false" ht="12.75" hidden="false" customHeight="false" outlineLevel="0" collapsed="false">
      <c r="A7" s="362" t="n">
        <v>46120</v>
      </c>
      <c r="B7" s="345" t="n">
        <v>46120</v>
      </c>
      <c r="E7" s="347" t="n">
        <v>220</v>
      </c>
      <c r="F7" s="363"/>
    </row>
    <row r="8" customFormat="false" ht="12.75" hidden="false" customHeight="false" outlineLevel="0" collapsed="false">
      <c r="A8" s="362" t="n">
        <v>46121</v>
      </c>
      <c r="B8" s="345" t="n">
        <v>46121</v>
      </c>
      <c r="E8" s="347" t="n">
        <v>180</v>
      </c>
      <c r="F8" s="363"/>
    </row>
    <row r="9" customFormat="false" ht="12.75" hidden="false" customHeight="false" outlineLevel="0" collapsed="false">
      <c r="A9" s="362" t="n">
        <v>46122</v>
      </c>
      <c r="B9" s="345" t="n">
        <v>46122</v>
      </c>
      <c r="E9" s="347" t="n">
        <v>210</v>
      </c>
      <c r="F9" s="363"/>
    </row>
    <row r="10" customFormat="false" ht="12.75" hidden="false" customHeight="false" outlineLevel="0" collapsed="false">
      <c r="A10" s="362" t="n">
        <v>46123</v>
      </c>
      <c r="B10" s="345" t="n">
        <v>46123</v>
      </c>
      <c r="E10" s="347" t="n">
        <v>190</v>
      </c>
      <c r="F10" s="363"/>
    </row>
    <row r="11" customFormat="false" ht="12.75" hidden="false" customHeight="false" outlineLevel="0" collapsed="false">
      <c r="A11" s="362" t="n">
        <v>46124</v>
      </c>
      <c r="B11" s="345" t="n">
        <v>46124</v>
      </c>
      <c r="F11" s="363"/>
    </row>
    <row r="12" customFormat="false" ht="12.75" hidden="false" customHeight="false" outlineLevel="0" collapsed="false">
      <c r="A12" s="362" t="n">
        <v>46124</v>
      </c>
      <c r="B12" s="345" t="s">
        <v>247</v>
      </c>
      <c r="F12" s="363"/>
    </row>
    <row r="13" customFormat="false" ht="12.75" hidden="false" customHeight="false" outlineLevel="0" collapsed="false">
      <c r="A13" s="362" t="n">
        <v>46124</v>
      </c>
      <c r="B13" s="345" t="s">
        <v>248</v>
      </c>
      <c r="F13" s="363"/>
    </row>
    <row r="14" customFormat="false" ht="12.75" hidden="false" customHeight="false" outlineLevel="0" collapsed="false">
      <c r="A14" s="364"/>
      <c r="B14" s="365"/>
      <c r="C14" s="366"/>
      <c r="D14" s="367"/>
      <c r="E14" s="368" t="n">
        <f aca="false">SUM(E5:E13)</f>
        <v>1045</v>
      </c>
      <c r="F14" s="369" t="n">
        <f aca="false">SUM(F5:F13)</f>
        <v>0</v>
      </c>
    </row>
    <row r="16" customFormat="false" ht="12.75" hidden="false" customHeight="false" outlineLevel="0" collapsed="false">
      <c r="A16" s="356" t="n">
        <v>46125</v>
      </c>
      <c r="B16" s="357" t="n">
        <v>46125</v>
      </c>
      <c r="C16" s="358"/>
      <c r="D16" s="359"/>
      <c r="E16" s="360"/>
      <c r="F16" s="361"/>
    </row>
    <row r="17" customFormat="false" ht="12.75" hidden="false" customHeight="false" outlineLevel="0" collapsed="false">
      <c r="A17" s="362" t="n">
        <v>46126</v>
      </c>
      <c r="B17" s="345" t="n">
        <v>46126</v>
      </c>
      <c r="E17" s="347" t="n">
        <v>200</v>
      </c>
      <c r="F17" s="363"/>
    </row>
    <row r="18" customFormat="false" ht="12.75" hidden="false" customHeight="false" outlineLevel="0" collapsed="false">
      <c r="A18" s="362" t="n">
        <v>46127</v>
      </c>
      <c r="B18" s="345" t="n">
        <v>46127</v>
      </c>
      <c r="E18" s="347" t="n">
        <v>220</v>
      </c>
      <c r="F18" s="363"/>
    </row>
    <row r="19" customFormat="false" ht="12.75" hidden="false" customHeight="false" outlineLevel="0" collapsed="false">
      <c r="A19" s="362" t="n">
        <v>46128</v>
      </c>
      <c r="B19" s="345" t="n">
        <v>46128</v>
      </c>
      <c r="E19" s="347" t="n">
        <v>180</v>
      </c>
      <c r="F19" s="363"/>
    </row>
    <row r="20" customFormat="false" ht="12.75" hidden="false" customHeight="false" outlineLevel="0" collapsed="false">
      <c r="A20" s="362" t="n">
        <v>46129</v>
      </c>
      <c r="B20" s="345" t="n">
        <v>46129</v>
      </c>
      <c r="E20" s="347" t="n">
        <v>200</v>
      </c>
      <c r="F20" s="363"/>
    </row>
    <row r="21" customFormat="false" ht="12.75" hidden="false" customHeight="false" outlineLevel="0" collapsed="false">
      <c r="A21" s="362" t="n">
        <v>46130</v>
      </c>
      <c r="B21" s="345" t="n">
        <v>46130</v>
      </c>
      <c r="E21" s="347" t="n">
        <v>200</v>
      </c>
      <c r="F21" s="363"/>
    </row>
    <row r="22" customFormat="false" ht="12.75" hidden="false" customHeight="false" outlineLevel="0" collapsed="false">
      <c r="A22" s="362" t="n">
        <v>46131</v>
      </c>
      <c r="B22" s="345" t="n">
        <v>46131</v>
      </c>
      <c r="F22" s="363"/>
    </row>
    <row r="23" customFormat="false" ht="12.75" hidden="false" customHeight="false" outlineLevel="0" collapsed="false">
      <c r="A23" s="362" t="n">
        <v>46131</v>
      </c>
      <c r="B23" s="345" t="s">
        <v>247</v>
      </c>
      <c r="F23" s="363"/>
    </row>
    <row r="24" customFormat="false" ht="12.75" hidden="false" customHeight="false" outlineLevel="0" collapsed="false">
      <c r="A24" s="362" t="n">
        <v>46131</v>
      </c>
      <c r="B24" s="345" t="s">
        <v>248</v>
      </c>
      <c r="F24" s="363"/>
    </row>
    <row r="25" customFormat="false" ht="12.75" hidden="false" customHeight="false" outlineLevel="0" collapsed="false">
      <c r="A25" s="364"/>
      <c r="B25" s="365"/>
      <c r="C25" s="366"/>
      <c r="D25" s="367"/>
      <c r="E25" s="368" t="n">
        <f aca="false">SUM(E16:E24)</f>
        <v>1000</v>
      </c>
      <c r="F25" s="369" t="n">
        <f aca="false">SUM(F16:F24)</f>
        <v>0</v>
      </c>
    </row>
    <row r="27" customFormat="false" ht="12.75" hidden="false" customHeight="false" outlineLevel="0" collapsed="false">
      <c r="A27" s="356" t="n">
        <v>46132</v>
      </c>
      <c r="B27" s="357" t="n">
        <v>46132</v>
      </c>
      <c r="C27" s="358"/>
      <c r="D27" s="359"/>
      <c r="E27" s="360"/>
      <c r="F27" s="361"/>
    </row>
    <row r="28" customFormat="false" ht="12.75" hidden="false" customHeight="false" outlineLevel="0" collapsed="false">
      <c r="A28" s="362" t="n">
        <v>46133</v>
      </c>
      <c r="B28" s="345" t="n">
        <v>46133</v>
      </c>
      <c r="E28" s="347" t="n">
        <v>200</v>
      </c>
      <c r="F28" s="363"/>
    </row>
    <row r="29" customFormat="false" ht="12.75" hidden="false" customHeight="false" outlineLevel="0" collapsed="false">
      <c r="A29" s="362" t="n">
        <v>46134</v>
      </c>
      <c r="B29" s="345" t="n">
        <v>46134</v>
      </c>
      <c r="E29" s="347" t="n">
        <v>200</v>
      </c>
      <c r="F29" s="363"/>
    </row>
    <row r="30" customFormat="false" ht="12.75" hidden="false" customHeight="false" outlineLevel="0" collapsed="false">
      <c r="A30" s="362" t="n">
        <v>46135</v>
      </c>
      <c r="B30" s="345" t="n">
        <v>46135</v>
      </c>
      <c r="E30" s="347" t="n">
        <v>200</v>
      </c>
      <c r="F30" s="363"/>
    </row>
    <row r="31" customFormat="false" ht="12.75" hidden="false" customHeight="false" outlineLevel="0" collapsed="false">
      <c r="A31" s="362" t="n">
        <v>46136</v>
      </c>
      <c r="B31" s="345" t="n">
        <v>46136</v>
      </c>
      <c r="E31" s="347" t="n">
        <v>200</v>
      </c>
      <c r="F31" s="363"/>
    </row>
    <row r="32" customFormat="false" ht="12.75" hidden="false" customHeight="false" outlineLevel="0" collapsed="false">
      <c r="A32" s="362" t="n">
        <v>46137</v>
      </c>
      <c r="B32" s="345" t="n">
        <v>46137</v>
      </c>
      <c r="E32" s="347" t="n">
        <v>200</v>
      </c>
      <c r="F32" s="363"/>
    </row>
    <row r="33" customFormat="false" ht="12.75" hidden="false" customHeight="false" outlineLevel="0" collapsed="false">
      <c r="A33" s="362" t="n">
        <v>46138</v>
      </c>
      <c r="B33" s="345" t="n">
        <v>46138</v>
      </c>
      <c r="F33" s="363"/>
    </row>
    <row r="34" customFormat="false" ht="12.75" hidden="false" customHeight="false" outlineLevel="0" collapsed="false">
      <c r="A34" s="362" t="n">
        <v>46138</v>
      </c>
      <c r="B34" s="345" t="s">
        <v>247</v>
      </c>
      <c r="F34" s="363"/>
    </row>
    <row r="35" customFormat="false" ht="12.75" hidden="false" customHeight="false" outlineLevel="0" collapsed="false">
      <c r="A35" s="362" t="n">
        <v>46138</v>
      </c>
      <c r="B35" s="345" t="s">
        <v>248</v>
      </c>
      <c r="F35" s="363"/>
    </row>
    <row r="36" customFormat="false" ht="12.75" hidden="false" customHeight="false" outlineLevel="0" collapsed="false">
      <c r="A36" s="364"/>
      <c r="B36" s="365"/>
      <c r="C36" s="366"/>
      <c r="D36" s="367"/>
      <c r="E36" s="368" t="n">
        <f aca="false">SUM(E27:E35)</f>
        <v>1000</v>
      </c>
      <c r="F36" s="369" t="n">
        <f aca="false">SUM(F27:F35)</f>
        <v>0</v>
      </c>
    </row>
  </sheetData>
  <mergeCells count="6">
    <mergeCell ref="A1:A3"/>
    <mergeCell ref="B1:B3"/>
    <mergeCell ref="C2:C3"/>
    <mergeCell ref="D2:D3"/>
    <mergeCell ref="E2:E3"/>
    <mergeCell ref="F2:F3"/>
  </mergeCells>
  <printOptions headings="false" gridLines="true" gridLinesSet="true" horizontalCentered="true" verticalCentered="false"/>
  <pageMargins left="0.275694444444444" right="0.196527777777778"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customHeight="false" zeroHeight="false" outlineLevelRow="0" outlineLevelCol="0"/>
  <cols>
    <col collapsed="false" customWidth="true" hidden="false" outlineLevel="0" max="1" min="1" style="370" width="9.33"/>
    <col collapsed="false" customWidth="true" hidden="false" outlineLevel="0" max="2" min="2" style="179" width="21.99"/>
    <col collapsed="false" customWidth="true" hidden="false" outlineLevel="0" max="3" min="3" style="179" width="15.5"/>
    <col collapsed="false" customWidth="false" hidden="false" outlineLevel="0" max="4" min="4" style="371" width="9.15"/>
    <col collapsed="false" customWidth="true" hidden="false" outlineLevel="0" max="5" min="5" style="371" width="8.49"/>
    <col collapsed="false" customWidth="true" hidden="false" outlineLevel="0" max="6" min="6" style="372" width="12.66"/>
    <col collapsed="false" customWidth="true" hidden="false" outlineLevel="0" max="7" min="7" style="180" width="9.49"/>
    <col collapsed="false" customWidth="true" hidden="false" outlineLevel="0" max="8" min="8" style="180" width="10.15"/>
    <col collapsed="false" customWidth="true" hidden="false" outlineLevel="0" max="10" min="9" style="180" width="8.66"/>
    <col collapsed="false" customWidth="true" hidden="false" outlineLevel="0" max="12" min="11" style="180" width="7.66"/>
    <col collapsed="false" customWidth="true" hidden="false" outlineLevel="0" max="13" min="13" style="180" width="11.66"/>
    <col collapsed="false" customWidth="true" hidden="false" outlineLevel="0" max="14" min="14" style="180" width="8.66"/>
    <col collapsed="false" customWidth="true" hidden="false" outlineLevel="0" max="15" min="15" style="180" width="11.99"/>
    <col collapsed="false" customWidth="true" hidden="false" outlineLevel="0" max="18" min="16" style="180" width="7.66"/>
    <col collapsed="false" customWidth="true" hidden="false" outlineLevel="0" max="19" min="19" style="180" width="8.49"/>
    <col collapsed="false" customWidth="true" hidden="false" outlineLevel="0" max="20" min="20" style="179" width="13.82"/>
    <col collapsed="false" customWidth="true" hidden="false" outlineLevel="0" max="21" min="21" style="180" width="8.66"/>
    <col collapsed="false" customWidth="false" hidden="false" outlineLevel="0" max="257" min="22" style="179" width="9.15"/>
  </cols>
  <sheetData>
    <row r="1" customFormat="false" ht="13.5" hidden="false" customHeight="true" outlineLevel="0" collapsed="false">
      <c r="A1" s="238" t="n">
        <f aca="false">E1+SalesApr!$D$1</f>
        <v>0</v>
      </c>
      <c r="B1" s="373" t="s">
        <v>249</v>
      </c>
      <c r="C1" s="374" t="s">
        <v>242</v>
      </c>
      <c r="D1" s="375" t="str">
        <f aca="false">IF((F1-SUM(G1:S1)&lt;&gt;0),(F1-SUM(G1:S1))," ")</f>
        <v> </v>
      </c>
      <c r="E1" s="351" t="n">
        <f aca="false">SUM(E5:E199)</f>
        <v>0</v>
      </c>
      <c r="F1" s="350" t="n">
        <f aca="false">SUM(F5:F199)</f>
        <v>2200</v>
      </c>
      <c r="G1" s="350" t="n">
        <f aca="false">SUM(G5:G199)</f>
        <v>300</v>
      </c>
      <c r="H1" s="350" t="n">
        <f aca="false">SUM(H5:H199)</f>
        <v>0</v>
      </c>
      <c r="I1" s="350" t="n">
        <f aca="false">SUM(I5:I199)</f>
        <v>0</v>
      </c>
      <c r="J1" s="350" t="n">
        <f aca="false">SUM(J5:J199)</f>
        <v>1380</v>
      </c>
      <c r="K1" s="350" t="n">
        <f aca="false">SUM(K5:K199)</f>
        <v>0</v>
      </c>
      <c r="L1" s="350" t="n">
        <f aca="false">SUM(L5:L199)</f>
        <v>0</v>
      </c>
      <c r="M1" s="350" t="n">
        <f aca="false">SUM(M5:M199)</f>
        <v>120</v>
      </c>
      <c r="N1" s="350" t="n">
        <f aca="false">SUM(N5:N199)</f>
        <v>0</v>
      </c>
      <c r="O1" s="350" t="n">
        <f aca="false">SUM(O5:O199)</f>
        <v>400</v>
      </c>
      <c r="P1" s="350" t="n">
        <f aca="false">SUM(P5:P199)</f>
        <v>0</v>
      </c>
      <c r="Q1" s="350" t="n">
        <f aca="false">SUM(Q5:Q199)</f>
        <v>0</v>
      </c>
      <c r="R1" s="350" t="n">
        <f aca="false">SUM(R5:R199)</f>
        <v>0</v>
      </c>
      <c r="S1" s="376" t="n">
        <f aca="false">SUM(S5:S199)</f>
        <v>0</v>
      </c>
      <c r="T1" s="377" t="n">
        <f aca="false">S1</f>
        <v>0</v>
      </c>
      <c r="U1" s="376" t="n">
        <f aca="false">SUM(U4:U199)</f>
        <v>0</v>
      </c>
      <c r="V1" s="190"/>
      <c r="W1" s="190"/>
      <c r="X1" s="190"/>
      <c r="Y1" s="190"/>
      <c r="Z1" s="190"/>
      <c r="AA1" s="190"/>
      <c r="AB1" s="190"/>
      <c r="AC1" s="190"/>
      <c r="AD1" s="190"/>
      <c r="AE1" s="190"/>
      <c r="AF1" s="190"/>
      <c r="AG1" s="190"/>
      <c r="AH1" s="190"/>
      <c r="AI1" s="190"/>
      <c r="AJ1" s="190"/>
      <c r="AK1" s="190"/>
      <c r="AL1" s="190"/>
      <c r="AM1" s="190"/>
      <c r="AN1" s="190"/>
      <c r="AO1" s="190"/>
      <c r="AP1" s="190"/>
      <c r="AQ1" s="190"/>
      <c r="AR1" s="190"/>
      <c r="AS1" s="190"/>
      <c r="AT1" s="190"/>
      <c r="AU1" s="190"/>
      <c r="AV1" s="190"/>
      <c r="AW1" s="190"/>
      <c r="AX1" s="190"/>
      <c r="AY1" s="190"/>
      <c r="AZ1" s="190"/>
      <c r="BA1" s="190"/>
      <c r="BB1" s="190"/>
      <c r="BC1" s="190"/>
      <c r="BD1" s="190"/>
      <c r="BE1" s="190"/>
      <c r="BF1" s="190"/>
      <c r="BG1" s="190"/>
      <c r="BH1" s="190"/>
      <c r="BI1" s="190"/>
      <c r="BJ1" s="190"/>
      <c r="BK1" s="190"/>
      <c r="BL1" s="190"/>
      <c r="BM1" s="190"/>
      <c r="BN1" s="190"/>
      <c r="BO1" s="190"/>
      <c r="BP1" s="190"/>
      <c r="BQ1" s="190"/>
      <c r="BR1" s="190"/>
      <c r="BS1" s="190"/>
      <c r="BT1" s="190"/>
      <c r="BU1" s="190"/>
      <c r="BV1" s="190"/>
      <c r="BW1" s="190"/>
      <c r="BX1" s="190"/>
      <c r="BY1" s="190"/>
      <c r="BZ1" s="190"/>
      <c r="CA1" s="190"/>
      <c r="CB1" s="190"/>
      <c r="CC1" s="190"/>
      <c r="CD1" s="190"/>
      <c r="CE1" s="190"/>
      <c r="CF1" s="190"/>
      <c r="CG1" s="190"/>
      <c r="CH1" s="190"/>
      <c r="CI1" s="190"/>
      <c r="CJ1" s="190"/>
      <c r="CK1" s="190"/>
      <c r="CL1" s="190"/>
      <c r="CM1" s="190"/>
      <c r="CN1" s="190"/>
      <c r="CO1" s="190"/>
      <c r="CP1" s="190"/>
      <c r="CQ1" s="190"/>
      <c r="CR1" s="190"/>
      <c r="CS1" s="190"/>
      <c r="CT1" s="190"/>
      <c r="CU1" s="190"/>
      <c r="CV1" s="190"/>
      <c r="CW1" s="190"/>
      <c r="CX1" s="190"/>
      <c r="CY1" s="190"/>
      <c r="CZ1" s="190"/>
      <c r="DA1" s="190"/>
      <c r="DB1" s="190"/>
      <c r="DC1" s="190"/>
      <c r="DD1" s="190"/>
      <c r="DE1" s="190"/>
      <c r="DF1" s="190"/>
      <c r="DG1" s="190"/>
      <c r="DH1" s="190"/>
      <c r="DI1" s="190"/>
      <c r="DJ1" s="190"/>
      <c r="DK1" s="190"/>
      <c r="DL1" s="190"/>
      <c r="DM1" s="190"/>
      <c r="DN1" s="190"/>
      <c r="DO1" s="190"/>
      <c r="DP1" s="190"/>
      <c r="DQ1" s="190"/>
      <c r="DR1" s="190"/>
      <c r="DS1" s="190"/>
      <c r="DT1" s="190"/>
      <c r="DU1" s="190"/>
      <c r="DV1" s="190"/>
      <c r="DW1" s="190"/>
      <c r="DX1" s="190"/>
      <c r="DY1" s="190"/>
      <c r="DZ1" s="190"/>
      <c r="EA1" s="190"/>
      <c r="EB1" s="190"/>
      <c r="EC1" s="190"/>
      <c r="ED1" s="190"/>
      <c r="EE1" s="190"/>
      <c r="EF1" s="190"/>
      <c r="EG1" s="190"/>
      <c r="EH1" s="190"/>
      <c r="EI1" s="190"/>
      <c r="EJ1" s="190"/>
      <c r="EK1" s="190"/>
      <c r="EL1" s="190"/>
      <c r="EM1" s="190"/>
      <c r="EN1" s="190"/>
      <c r="EO1" s="190"/>
      <c r="EP1" s="190"/>
      <c r="EQ1" s="190"/>
      <c r="ER1" s="190"/>
      <c r="ES1" s="190"/>
      <c r="ET1" s="190"/>
      <c r="EU1" s="190"/>
      <c r="EV1" s="190"/>
      <c r="EW1" s="190"/>
      <c r="EX1" s="190"/>
      <c r="EY1" s="190"/>
      <c r="EZ1" s="190"/>
      <c r="FA1" s="190"/>
      <c r="FB1" s="190"/>
      <c r="FC1" s="190"/>
      <c r="FD1" s="190"/>
      <c r="FE1" s="190"/>
      <c r="FF1" s="190"/>
      <c r="FG1" s="190"/>
      <c r="FH1" s="190"/>
      <c r="FI1" s="190"/>
      <c r="FJ1" s="190"/>
      <c r="FK1" s="190"/>
      <c r="FL1" s="190"/>
      <c r="FM1" s="190"/>
      <c r="FN1" s="190"/>
      <c r="FO1" s="190"/>
      <c r="FP1" s="190"/>
      <c r="FQ1" s="190"/>
      <c r="FR1" s="190"/>
      <c r="FS1" s="190"/>
      <c r="FT1" s="190"/>
      <c r="FU1" s="190"/>
      <c r="FV1" s="190"/>
      <c r="FW1" s="190"/>
      <c r="FX1" s="190"/>
      <c r="FY1" s="190"/>
      <c r="FZ1" s="190"/>
      <c r="GA1" s="190"/>
      <c r="GB1" s="190"/>
      <c r="GC1" s="190"/>
      <c r="GD1" s="190"/>
      <c r="GE1" s="190"/>
      <c r="GF1" s="190"/>
      <c r="GG1" s="190"/>
      <c r="GH1" s="190"/>
      <c r="GI1" s="190"/>
      <c r="GJ1" s="190"/>
      <c r="GK1" s="190"/>
      <c r="GL1" s="190"/>
      <c r="GM1" s="190"/>
      <c r="GN1" s="190"/>
      <c r="GO1" s="190"/>
      <c r="GP1" s="190"/>
      <c r="GQ1" s="190"/>
      <c r="GR1" s="190"/>
      <c r="GS1" s="190"/>
      <c r="GT1" s="190"/>
      <c r="GU1" s="190"/>
      <c r="GV1" s="190"/>
      <c r="GW1" s="190"/>
      <c r="GX1" s="190"/>
      <c r="GY1" s="190"/>
      <c r="GZ1" s="190"/>
      <c r="HA1" s="190"/>
      <c r="HB1" s="190"/>
      <c r="HC1" s="190"/>
      <c r="HD1" s="190"/>
      <c r="HE1" s="190"/>
      <c r="HF1" s="190"/>
      <c r="HG1" s="190"/>
      <c r="HH1" s="190"/>
      <c r="HI1" s="190"/>
      <c r="HJ1" s="190"/>
      <c r="HK1" s="190"/>
      <c r="HL1" s="190"/>
      <c r="HM1" s="190"/>
      <c r="HN1" s="190"/>
      <c r="HO1" s="190"/>
      <c r="HP1" s="190"/>
      <c r="HQ1" s="190"/>
      <c r="HR1" s="190"/>
      <c r="HS1" s="190"/>
      <c r="HT1" s="190"/>
      <c r="HU1" s="190"/>
      <c r="HV1" s="190"/>
      <c r="HW1" s="190"/>
      <c r="HX1" s="190"/>
      <c r="HY1" s="190"/>
      <c r="HZ1" s="190"/>
      <c r="IA1" s="190"/>
      <c r="IB1" s="190"/>
      <c r="IC1" s="190"/>
      <c r="ID1" s="190"/>
      <c r="IE1" s="190"/>
      <c r="IF1" s="190"/>
      <c r="IG1" s="190"/>
      <c r="IH1" s="190"/>
      <c r="II1" s="190"/>
      <c r="IJ1" s="190"/>
      <c r="IK1" s="190"/>
      <c r="IL1" s="190"/>
      <c r="IM1" s="190"/>
      <c r="IN1" s="190"/>
      <c r="IO1" s="190"/>
      <c r="IP1" s="190"/>
      <c r="IQ1" s="190"/>
      <c r="IR1" s="190"/>
      <c r="IS1" s="190"/>
      <c r="IT1" s="190"/>
      <c r="IU1" s="190"/>
      <c r="IV1" s="190"/>
      <c r="IW1" s="190"/>
    </row>
    <row r="2" customFormat="false" ht="13.5" hidden="false" customHeight="true" outlineLevel="0" collapsed="false">
      <c r="A2" s="239" t="n">
        <f aca="false">U1</f>
        <v>0</v>
      </c>
      <c r="B2" s="239" t="s">
        <v>250</v>
      </c>
      <c r="C2" s="378" t="s">
        <v>251</v>
      </c>
      <c r="D2" s="378" t="s">
        <v>252</v>
      </c>
      <c r="E2" s="378" t="s">
        <v>253</v>
      </c>
      <c r="F2" s="206" t="s">
        <v>254</v>
      </c>
      <c r="G2" s="379" t="s">
        <v>255</v>
      </c>
      <c r="H2" s="379"/>
      <c r="I2" s="380" t="n">
        <f aca="false">G1+H1+I1+J1</f>
        <v>1680</v>
      </c>
      <c r="J2" s="380"/>
      <c r="K2" s="206" t="s">
        <v>256</v>
      </c>
      <c r="L2" s="206" t="s">
        <v>257</v>
      </c>
      <c r="M2" s="206" t="s">
        <v>258</v>
      </c>
      <c r="N2" s="206" t="s">
        <v>259</v>
      </c>
      <c r="O2" s="206" t="s">
        <v>260</v>
      </c>
      <c r="P2" s="206" t="s">
        <v>261</v>
      </c>
      <c r="Q2" s="206" t="s">
        <v>262</v>
      </c>
      <c r="R2" s="206" t="s">
        <v>263</v>
      </c>
      <c r="S2" s="381" t="s">
        <v>264</v>
      </c>
      <c r="T2" s="382" t="str">
        <f aca="false">IF(T1&gt;'Fixed Assets'!$D$74,"ENTER VEHICLE CHANGES        on Fixed Asset schedule","Motor Vehicles: make, model, date reg. and reg. Mark")</f>
        <v>Motor Vehicles: make, model, date reg. and reg. Mark</v>
      </c>
      <c r="U2" s="381" t="s">
        <v>118</v>
      </c>
      <c r="V2" s="190"/>
      <c r="W2" s="190"/>
      <c r="X2" s="190"/>
      <c r="Y2" s="190"/>
      <c r="Z2" s="190"/>
      <c r="AA2" s="190"/>
      <c r="AB2" s="190"/>
      <c r="AC2" s="190"/>
      <c r="AD2" s="190"/>
      <c r="AE2" s="190"/>
      <c r="AF2" s="190"/>
      <c r="AG2" s="190"/>
      <c r="AH2" s="190"/>
      <c r="AI2" s="190"/>
      <c r="AJ2" s="190"/>
      <c r="AK2" s="190"/>
      <c r="AL2" s="190"/>
      <c r="AM2" s="190"/>
      <c r="AN2" s="190"/>
      <c r="AO2" s="190"/>
      <c r="AP2" s="190"/>
      <c r="AQ2" s="190"/>
      <c r="AR2" s="190"/>
      <c r="AS2" s="190"/>
      <c r="AT2" s="190"/>
      <c r="AU2" s="190"/>
      <c r="AV2" s="190"/>
      <c r="AW2" s="190"/>
      <c r="AX2" s="190"/>
      <c r="AY2" s="190"/>
      <c r="AZ2" s="190"/>
      <c r="BA2" s="190"/>
      <c r="BB2" s="190"/>
      <c r="BC2" s="190"/>
      <c r="BD2" s="190"/>
      <c r="BE2" s="190"/>
      <c r="BF2" s="190"/>
      <c r="BG2" s="190"/>
      <c r="BH2" s="190"/>
      <c r="BI2" s="190"/>
      <c r="BJ2" s="190"/>
      <c r="BK2" s="190"/>
      <c r="BL2" s="190"/>
      <c r="BM2" s="190"/>
      <c r="BN2" s="190"/>
      <c r="BO2" s="190"/>
      <c r="BP2" s="190"/>
      <c r="BQ2" s="190"/>
      <c r="BR2" s="190"/>
      <c r="BS2" s="190"/>
      <c r="BT2" s="190"/>
      <c r="BU2" s="190"/>
      <c r="BV2" s="190"/>
      <c r="BW2" s="190"/>
      <c r="BX2" s="190"/>
      <c r="BY2" s="190"/>
      <c r="BZ2" s="190"/>
      <c r="CA2" s="190"/>
      <c r="CB2" s="190"/>
      <c r="CC2" s="190"/>
      <c r="CD2" s="190"/>
      <c r="CE2" s="190"/>
      <c r="CF2" s="190"/>
      <c r="CG2" s="190"/>
      <c r="CH2" s="190"/>
      <c r="CI2" s="190"/>
      <c r="CJ2" s="190"/>
      <c r="CK2" s="190"/>
      <c r="CL2" s="190"/>
      <c r="CM2" s="190"/>
      <c r="CN2" s="190"/>
      <c r="CO2" s="190"/>
      <c r="CP2" s="190"/>
      <c r="CQ2" s="190"/>
      <c r="CR2" s="190"/>
      <c r="CS2" s="190"/>
      <c r="CT2" s="190"/>
      <c r="CU2" s="190"/>
      <c r="CV2" s="190"/>
      <c r="CW2" s="190"/>
      <c r="CX2" s="190"/>
      <c r="CY2" s="190"/>
      <c r="CZ2" s="190"/>
      <c r="DA2" s="190"/>
      <c r="DB2" s="190"/>
      <c r="DC2" s="190"/>
      <c r="DD2" s="190"/>
      <c r="DE2" s="190"/>
      <c r="DF2" s="190"/>
      <c r="DG2" s="190"/>
      <c r="DH2" s="190"/>
      <c r="DI2" s="190"/>
      <c r="DJ2" s="190"/>
      <c r="DK2" s="190"/>
      <c r="DL2" s="190"/>
      <c r="DM2" s="190"/>
      <c r="DN2" s="190"/>
      <c r="DO2" s="190"/>
      <c r="DP2" s="190"/>
      <c r="DQ2" s="190"/>
      <c r="DR2" s="190"/>
      <c r="DS2" s="190"/>
      <c r="DT2" s="190"/>
      <c r="DU2" s="190"/>
      <c r="DV2" s="190"/>
      <c r="DW2" s="190"/>
      <c r="DX2" s="190"/>
      <c r="DY2" s="190"/>
      <c r="DZ2" s="190"/>
      <c r="EA2" s="190"/>
      <c r="EB2" s="190"/>
      <c r="EC2" s="190"/>
      <c r="ED2" s="190"/>
      <c r="EE2" s="190"/>
      <c r="EF2" s="190"/>
      <c r="EG2" s="190"/>
      <c r="EH2" s="190"/>
      <c r="EI2" s="190"/>
      <c r="EJ2" s="190"/>
      <c r="EK2" s="190"/>
      <c r="EL2" s="190"/>
      <c r="EM2" s="190"/>
      <c r="EN2" s="190"/>
      <c r="EO2" s="190"/>
      <c r="EP2" s="190"/>
      <c r="EQ2" s="190"/>
      <c r="ER2" s="190"/>
      <c r="ES2" s="190"/>
      <c r="ET2" s="190"/>
      <c r="EU2" s="190"/>
      <c r="EV2" s="190"/>
      <c r="EW2" s="190"/>
      <c r="EX2" s="190"/>
      <c r="EY2" s="190"/>
      <c r="EZ2" s="190"/>
      <c r="FA2" s="190"/>
      <c r="FB2" s="190"/>
      <c r="FC2" s="190"/>
      <c r="FD2" s="190"/>
      <c r="FE2" s="190"/>
      <c r="FF2" s="190"/>
      <c r="FG2" s="190"/>
      <c r="FH2" s="190"/>
      <c r="FI2" s="190"/>
      <c r="FJ2" s="190"/>
      <c r="FK2" s="190"/>
      <c r="FL2" s="190"/>
      <c r="FM2" s="190"/>
      <c r="FN2" s="190"/>
      <c r="FO2" s="190"/>
      <c r="FP2" s="190"/>
      <c r="FQ2" s="190"/>
      <c r="FR2" s="190"/>
      <c r="FS2" s="190"/>
      <c r="FT2" s="190"/>
      <c r="FU2" s="190"/>
      <c r="FV2" s="190"/>
      <c r="FW2" s="190"/>
      <c r="FX2" s="190"/>
      <c r="FY2" s="190"/>
      <c r="FZ2" s="190"/>
      <c r="GA2" s="190"/>
      <c r="GB2" s="190"/>
      <c r="GC2" s="190"/>
      <c r="GD2" s="190"/>
      <c r="GE2" s="190"/>
      <c r="GF2" s="190"/>
      <c r="GG2" s="190"/>
      <c r="GH2" s="190"/>
      <c r="GI2" s="190"/>
      <c r="GJ2" s="190"/>
      <c r="GK2" s="190"/>
      <c r="GL2" s="190"/>
      <c r="GM2" s="190"/>
      <c r="GN2" s="190"/>
      <c r="GO2" s="190"/>
      <c r="GP2" s="190"/>
      <c r="GQ2" s="190"/>
      <c r="GR2" s="190"/>
      <c r="GS2" s="190"/>
      <c r="GT2" s="190"/>
      <c r="GU2" s="190"/>
      <c r="GV2" s="190"/>
      <c r="GW2" s="190"/>
      <c r="GX2" s="190"/>
      <c r="GY2" s="190"/>
      <c r="GZ2" s="190"/>
      <c r="HA2" s="190"/>
      <c r="HB2" s="190"/>
      <c r="HC2" s="190"/>
      <c r="HD2" s="190"/>
      <c r="HE2" s="190"/>
      <c r="HF2" s="190"/>
      <c r="HG2" s="190"/>
      <c r="HH2" s="190"/>
      <c r="HI2" s="190"/>
      <c r="HJ2" s="190"/>
      <c r="HK2" s="190"/>
      <c r="HL2" s="190"/>
      <c r="HM2" s="190"/>
      <c r="HN2" s="190"/>
      <c r="HO2" s="190"/>
      <c r="HP2" s="190"/>
      <c r="HQ2" s="190"/>
      <c r="HR2" s="190"/>
      <c r="HS2" s="190"/>
      <c r="HT2" s="190"/>
      <c r="HU2" s="190"/>
      <c r="HV2" s="190"/>
      <c r="HW2" s="190"/>
      <c r="HX2" s="190"/>
      <c r="HY2" s="190"/>
      <c r="HZ2" s="190"/>
      <c r="IA2" s="190"/>
      <c r="IB2" s="190"/>
      <c r="IC2" s="190"/>
      <c r="ID2" s="190"/>
      <c r="IE2" s="190"/>
      <c r="IF2" s="190"/>
      <c r="IG2" s="190"/>
      <c r="IH2" s="190"/>
      <c r="II2" s="190"/>
      <c r="IJ2" s="190"/>
      <c r="IK2" s="190"/>
      <c r="IL2" s="190"/>
      <c r="IM2" s="190"/>
      <c r="IN2" s="190"/>
      <c r="IO2" s="190"/>
      <c r="IP2" s="190"/>
      <c r="IQ2" s="190"/>
      <c r="IR2" s="190"/>
      <c r="IS2" s="190"/>
      <c r="IT2" s="190"/>
      <c r="IU2" s="190"/>
      <c r="IV2" s="190"/>
      <c r="IW2" s="190"/>
    </row>
    <row r="3" customFormat="false" ht="45" hidden="false" customHeight="true" outlineLevel="0" collapsed="false">
      <c r="A3" s="383" t="s">
        <v>265</v>
      </c>
      <c r="B3" s="206" t="s">
        <v>266</v>
      </c>
      <c r="C3" s="378"/>
      <c r="D3" s="378"/>
      <c r="E3" s="378"/>
      <c r="F3" s="378"/>
      <c r="G3" s="206" t="s">
        <v>113</v>
      </c>
      <c r="H3" s="206" t="s">
        <v>267</v>
      </c>
      <c r="I3" s="206" t="s">
        <v>115</v>
      </c>
      <c r="J3" s="206" t="s">
        <v>116</v>
      </c>
      <c r="K3" s="206"/>
      <c r="L3" s="206"/>
      <c r="M3" s="206"/>
      <c r="N3" s="206"/>
      <c r="O3" s="206"/>
      <c r="P3" s="206"/>
      <c r="Q3" s="206"/>
      <c r="R3" s="206"/>
      <c r="S3" s="381"/>
      <c r="T3" s="382"/>
      <c r="U3" s="381"/>
      <c r="V3" s="384"/>
      <c r="W3" s="384"/>
      <c r="X3" s="384"/>
      <c r="Y3" s="384"/>
      <c r="Z3" s="384"/>
      <c r="AA3" s="384"/>
      <c r="AB3" s="384"/>
      <c r="AC3" s="384"/>
      <c r="AD3" s="384"/>
      <c r="AE3" s="384"/>
      <c r="AF3" s="384"/>
      <c r="AG3" s="384"/>
      <c r="AH3" s="384"/>
      <c r="AI3" s="384"/>
      <c r="AJ3" s="384"/>
      <c r="AK3" s="384"/>
      <c r="AL3" s="384"/>
      <c r="AM3" s="384"/>
      <c r="AN3" s="384"/>
      <c r="AO3" s="384"/>
      <c r="AP3" s="384"/>
      <c r="AQ3" s="384"/>
      <c r="AR3" s="384"/>
      <c r="AS3" s="384"/>
      <c r="AT3" s="384"/>
      <c r="AU3" s="384"/>
      <c r="AV3" s="384"/>
      <c r="AW3" s="384"/>
      <c r="AX3" s="384"/>
      <c r="AY3" s="384"/>
      <c r="AZ3" s="384"/>
      <c r="BA3" s="384"/>
      <c r="BB3" s="384"/>
      <c r="BC3" s="384"/>
      <c r="BD3" s="384"/>
      <c r="BE3" s="384"/>
      <c r="BF3" s="384"/>
      <c r="BG3" s="384"/>
      <c r="BH3" s="384"/>
      <c r="BI3" s="384"/>
      <c r="BJ3" s="384"/>
      <c r="BK3" s="384"/>
      <c r="BL3" s="384"/>
      <c r="BM3" s="384"/>
      <c r="BN3" s="384"/>
      <c r="BO3" s="384"/>
      <c r="BP3" s="384"/>
      <c r="BQ3" s="384"/>
      <c r="BR3" s="384"/>
      <c r="BS3" s="384"/>
      <c r="BT3" s="384"/>
      <c r="BU3" s="384"/>
      <c r="BV3" s="384"/>
      <c r="BW3" s="384"/>
      <c r="BX3" s="384"/>
      <c r="BY3" s="384"/>
      <c r="BZ3" s="384"/>
      <c r="CA3" s="384"/>
      <c r="CB3" s="384"/>
      <c r="CC3" s="384"/>
      <c r="CD3" s="384"/>
      <c r="CE3" s="384"/>
      <c r="CF3" s="384"/>
      <c r="CG3" s="384"/>
      <c r="CH3" s="384"/>
      <c r="CI3" s="384"/>
      <c r="CJ3" s="384"/>
      <c r="CK3" s="384"/>
      <c r="CL3" s="384"/>
      <c r="CM3" s="384"/>
      <c r="CN3" s="384"/>
      <c r="CO3" s="384"/>
      <c r="CP3" s="384"/>
      <c r="CQ3" s="384"/>
      <c r="CR3" s="384"/>
      <c r="CS3" s="384"/>
      <c r="CT3" s="384"/>
      <c r="CU3" s="384"/>
      <c r="CV3" s="384"/>
      <c r="CW3" s="384"/>
      <c r="CX3" s="384"/>
      <c r="CY3" s="384"/>
      <c r="CZ3" s="384"/>
      <c r="DA3" s="384"/>
      <c r="DB3" s="384"/>
      <c r="DC3" s="384"/>
      <c r="DD3" s="384"/>
      <c r="DE3" s="384"/>
      <c r="DF3" s="384"/>
      <c r="DG3" s="384"/>
      <c r="DH3" s="384"/>
      <c r="DI3" s="384"/>
      <c r="DJ3" s="384"/>
      <c r="DK3" s="384"/>
      <c r="DL3" s="384"/>
      <c r="DM3" s="384"/>
      <c r="DN3" s="384"/>
      <c r="DO3" s="384"/>
      <c r="DP3" s="384"/>
      <c r="DQ3" s="384"/>
      <c r="DR3" s="384"/>
      <c r="DS3" s="384"/>
      <c r="DT3" s="384"/>
      <c r="DU3" s="384"/>
      <c r="DV3" s="384"/>
      <c r="DW3" s="384"/>
      <c r="DX3" s="384"/>
      <c r="DY3" s="384"/>
      <c r="DZ3" s="384"/>
      <c r="EA3" s="384"/>
      <c r="EB3" s="384"/>
      <c r="EC3" s="384"/>
      <c r="ED3" s="384"/>
      <c r="EE3" s="384"/>
      <c r="EF3" s="384"/>
      <c r="EG3" s="384"/>
      <c r="EH3" s="384"/>
      <c r="EI3" s="384"/>
      <c r="EJ3" s="384"/>
      <c r="EK3" s="384"/>
      <c r="EL3" s="384"/>
      <c r="EM3" s="384"/>
      <c r="EN3" s="384"/>
      <c r="EO3" s="384"/>
      <c r="EP3" s="384"/>
      <c r="EQ3" s="384"/>
      <c r="ER3" s="384"/>
      <c r="ES3" s="384"/>
      <c r="ET3" s="384"/>
      <c r="EU3" s="384"/>
      <c r="EV3" s="384"/>
      <c r="EW3" s="384"/>
      <c r="EX3" s="384"/>
      <c r="EY3" s="384"/>
      <c r="EZ3" s="384"/>
      <c r="FA3" s="384"/>
      <c r="FB3" s="384"/>
      <c r="FC3" s="384"/>
      <c r="FD3" s="384"/>
      <c r="FE3" s="384"/>
      <c r="FF3" s="384"/>
      <c r="FG3" s="384"/>
      <c r="FH3" s="384"/>
      <c r="FI3" s="384"/>
      <c r="FJ3" s="384"/>
      <c r="FK3" s="384"/>
      <c r="FL3" s="384"/>
      <c r="FM3" s="384"/>
      <c r="FN3" s="384"/>
      <c r="FO3" s="384"/>
      <c r="FP3" s="384"/>
      <c r="FQ3" s="384"/>
      <c r="FR3" s="384"/>
      <c r="FS3" s="384"/>
      <c r="FT3" s="384"/>
      <c r="FU3" s="384"/>
      <c r="FV3" s="384"/>
      <c r="FW3" s="384"/>
      <c r="FX3" s="384"/>
      <c r="FY3" s="384"/>
      <c r="FZ3" s="384"/>
      <c r="GA3" s="384"/>
      <c r="GB3" s="384"/>
      <c r="GC3" s="384"/>
      <c r="GD3" s="384"/>
      <c r="GE3" s="384"/>
      <c r="GF3" s="384"/>
      <c r="GG3" s="384"/>
      <c r="GH3" s="384"/>
      <c r="GI3" s="384"/>
      <c r="GJ3" s="384"/>
      <c r="GK3" s="384"/>
      <c r="GL3" s="384"/>
      <c r="GM3" s="384"/>
      <c r="GN3" s="384"/>
      <c r="GO3" s="384"/>
      <c r="GP3" s="384"/>
      <c r="GQ3" s="384"/>
      <c r="GR3" s="384"/>
      <c r="GS3" s="384"/>
      <c r="GT3" s="384"/>
      <c r="GU3" s="384"/>
      <c r="GV3" s="384"/>
      <c r="GW3" s="384"/>
      <c r="GX3" s="384"/>
      <c r="GY3" s="384"/>
      <c r="GZ3" s="384"/>
      <c r="HA3" s="384"/>
      <c r="HB3" s="384"/>
      <c r="HC3" s="384"/>
      <c r="HD3" s="384"/>
      <c r="HE3" s="384"/>
      <c r="HF3" s="384"/>
      <c r="HG3" s="384"/>
      <c r="HH3" s="384"/>
      <c r="HI3" s="384"/>
      <c r="HJ3" s="384"/>
      <c r="HK3" s="384"/>
      <c r="HL3" s="384"/>
      <c r="HM3" s="384"/>
      <c r="HN3" s="384"/>
      <c r="HO3" s="384"/>
      <c r="HP3" s="384"/>
      <c r="HQ3" s="384"/>
      <c r="HR3" s="384"/>
      <c r="HS3" s="384"/>
      <c r="HT3" s="384"/>
      <c r="HU3" s="384"/>
      <c r="HV3" s="384"/>
      <c r="HW3" s="384"/>
      <c r="HX3" s="384"/>
      <c r="HY3" s="384"/>
      <c r="HZ3" s="384"/>
      <c r="IA3" s="384"/>
      <c r="IB3" s="384"/>
      <c r="IC3" s="384"/>
      <c r="ID3" s="384"/>
      <c r="IE3" s="384"/>
      <c r="IF3" s="384"/>
      <c r="IG3" s="384"/>
      <c r="IH3" s="384"/>
      <c r="II3" s="384"/>
      <c r="IJ3" s="384"/>
      <c r="IK3" s="384"/>
      <c r="IL3" s="384"/>
      <c r="IM3" s="384"/>
      <c r="IN3" s="384"/>
      <c r="IO3" s="384"/>
      <c r="IP3" s="384"/>
      <c r="IQ3" s="384"/>
      <c r="IR3" s="384"/>
      <c r="IS3" s="384"/>
      <c r="IT3" s="384"/>
      <c r="IU3" s="384"/>
      <c r="IV3" s="384"/>
      <c r="IW3" s="384"/>
    </row>
    <row r="4" customFormat="false" ht="12.75" hidden="false" customHeight="false" outlineLevel="0" collapsed="false">
      <c r="A4" s="385" t="str">
        <f aca="false">IF((E1&lt;&gt;0),Admin!$B$5," ")</f>
        <v> </v>
      </c>
      <c r="B4" s="206"/>
      <c r="C4" s="206"/>
      <c r="D4" s="206"/>
      <c r="E4" s="206"/>
      <c r="F4" s="206"/>
      <c r="G4" s="374" t="s">
        <v>268</v>
      </c>
      <c r="H4" s="374" t="s">
        <v>269</v>
      </c>
      <c r="I4" s="374" t="s">
        <v>270</v>
      </c>
      <c r="J4" s="374" t="s">
        <v>271</v>
      </c>
      <c r="K4" s="374" t="s">
        <v>272</v>
      </c>
      <c r="L4" s="374" t="s">
        <v>273</v>
      </c>
      <c r="M4" s="374" t="s">
        <v>274</v>
      </c>
      <c r="N4" s="374" t="s">
        <v>275</v>
      </c>
      <c r="O4" s="374" t="s">
        <v>276</v>
      </c>
      <c r="P4" s="374" t="s">
        <v>277</v>
      </c>
      <c r="Q4" s="374" t="s">
        <v>278</v>
      </c>
      <c r="R4" s="374" t="s">
        <v>279</v>
      </c>
      <c r="S4" s="386" t="s">
        <v>280</v>
      </c>
      <c r="T4" s="382"/>
      <c r="U4" s="377" t="n">
        <f aca="false">IF((A1&lt;Admin!$F$22),((A1)*Admin!$G$21),(A1*Admin!$G$21-(A1-Admin!$F$21)*(Admin!$G$21-Admin!$G$22)))</f>
        <v>0</v>
      </c>
      <c r="V4" s="387"/>
      <c r="W4" s="387"/>
      <c r="X4" s="387"/>
      <c r="Y4" s="387"/>
      <c r="Z4" s="387"/>
      <c r="AA4" s="387"/>
      <c r="AB4" s="387"/>
      <c r="AC4" s="387"/>
      <c r="AD4" s="387"/>
      <c r="AE4" s="387"/>
      <c r="AF4" s="387"/>
      <c r="AG4" s="387"/>
      <c r="AH4" s="387"/>
      <c r="AI4" s="387"/>
      <c r="AJ4" s="387"/>
      <c r="AK4" s="387"/>
      <c r="AL4" s="387"/>
      <c r="AM4" s="387"/>
      <c r="AN4" s="387"/>
      <c r="AO4" s="387"/>
      <c r="AP4" s="387"/>
      <c r="AQ4" s="387"/>
      <c r="AR4" s="387"/>
      <c r="AS4" s="387"/>
      <c r="AT4" s="387"/>
      <c r="AU4" s="387"/>
      <c r="AV4" s="387"/>
      <c r="AW4" s="387"/>
      <c r="AX4" s="387"/>
      <c r="AY4" s="387"/>
      <c r="AZ4" s="387"/>
      <c r="BA4" s="387"/>
      <c r="BB4" s="387"/>
      <c r="BC4" s="387"/>
      <c r="BD4" s="387"/>
      <c r="BE4" s="387"/>
      <c r="BF4" s="387"/>
      <c r="BG4" s="387"/>
      <c r="BH4" s="387"/>
      <c r="BI4" s="387"/>
      <c r="BJ4" s="387"/>
      <c r="BK4" s="387"/>
      <c r="BL4" s="387"/>
      <c r="BM4" s="387"/>
      <c r="BN4" s="387"/>
      <c r="BO4" s="387"/>
      <c r="BP4" s="387"/>
      <c r="BQ4" s="387"/>
      <c r="BR4" s="387"/>
      <c r="BS4" s="387"/>
      <c r="BT4" s="387"/>
      <c r="BU4" s="387"/>
      <c r="BV4" s="387"/>
      <c r="BW4" s="387"/>
      <c r="BX4" s="387"/>
      <c r="BY4" s="387"/>
      <c r="BZ4" s="387"/>
      <c r="CA4" s="387"/>
      <c r="CB4" s="387"/>
      <c r="CC4" s="387"/>
      <c r="CD4" s="387"/>
      <c r="CE4" s="387"/>
      <c r="CF4" s="387"/>
      <c r="CG4" s="387"/>
      <c r="CH4" s="387"/>
      <c r="CI4" s="387"/>
      <c r="CJ4" s="387"/>
      <c r="CK4" s="387"/>
      <c r="CL4" s="387"/>
      <c r="CM4" s="387"/>
      <c r="CN4" s="387"/>
      <c r="CO4" s="387"/>
      <c r="CP4" s="387"/>
      <c r="CQ4" s="387"/>
      <c r="CR4" s="387"/>
      <c r="CS4" s="387"/>
      <c r="CT4" s="387"/>
      <c r="CU4" s="387"/>
      <c r="CV4" s="387"/>
      <c r="CW4" s="387"/>
      <c r="CX4" s="387"/>
      <c r="CY4" s="387"/>
      <c r="CZ4" s="387"/>
      <c r="DA4" s="387"/>
      <c r="DB4" s="387"/>
      <c r="DC4" s="387"/>
      <c r="DD4" s="387"/>
      <c r="DE4" s="387"/>
      <c r="DF4" s="387"/>
      <c r="DG4" s="387"/>
      <c r="DH4" s="387"/>
      <c r="DI4" s="387"/>
      <c r="DJ4" s="387"/>
      <c r="DK4" s="387"/>
      <c r="DL4" s="387"/>
      <c r="DM4" s="387"/>
      <c r="DN4" s="387"/>
      <c r="DO4" s="387"/>
      <c r="DP4" s="387"/>
      <c r="DQ4" s="387"/>
      <c r="DR4" s="387"/>
      <c r="DS4" s="387"/>
      <c r="DT4" s="387"/>
      <c r="DU4" s="387"/>
      <c r="DV4" s="387"/>
      <c r="DW4" s="387"/>
      <c r="DX4" s="387"/>
      <c r="DY4" s="387"/>
      <c r="DZ4" s="387"/>
      <c r="EA4" s="387"/>
      <c r="EB4" s="387"/>
      <c r="EC4" s="387"/>
      <c r="ED4" s="387"/>
      <c r="EE4" s="387"/>
      <c r="EF4" s="387"/>
      <c r="EG4" s="387"/>
      <c r="EH4" s="387"/>
      <c r="EI4" s="387"/>
      <c r="EJ4" s="387"/>
      <c r="EK4" s="387"/>
      <c r="EL4" s="387"/>
      <c r="EM4" s="387"/>
      <c r="EN4" s="387"/>
      <c r="EO4" s="387"/>
      <c r="EP4" s="387"/>
      <c r="EQ4" s="387"/>
      <c r="ER4" s="387"/>
      <c r="ES4" s="387"/>
      <c r="ET4" s="387"/>
      <c r="EU4" s="387"/>
      <c r="EV4" s="387"/>
      <c r="EW4" s="387"/>
      <c r="EX4" s="387"/>
      <c r="EY4" s="387"/>
      <c r="EZ4" s="387"/>
      <c r="FA4" s="387"/>
      <c r="FB4" s="387"/>
      <c r="FC4" s="387"/>
      <c r="FD4" s="387"/>
      <c r="FE4" s="387"/>
      <c r="FF4" s="387"/>
      <c r="FG4" s="387"/>
      <c r="FH4" s="387"/>
      <c r="FI4" s="387"/>
      <c r="FJ4" s="387"/>
      <c r="FK4" s="387"/>
      <c r="FL4" s="387"/>
      <c r="FM4" s="387"/>
      <c r="FN4" s="387"/>
      <c r="FO4" s="387"/>
      <c r="FP4" s="387"/>
      <c r="FQ4" s="387"/>
      <c r="FR4" s="387"/>
      <c r="FS4" s="387"/>
      <c r="FT4" s="387"/>
      <c r="FU4" s="387"/>
      <c r="FV4" s="387"/>
      <c r="FW4" s="387"/>
      <c r="FX4" s="387"/>
      <c r="FY4" s="387"/>
      <c r="FZ4" s="387"/>
      <c r="GA4" s="387"/>
      <c r="GB4" s="387"/>
      <c r="GC4" s="387"/>
      <c r="GD4" s="387"/>
      <c r="GE4" s="387"/>
      <c r="GF4" s="387"/>
      <c r="GG4" s="387"/>
      <c r="GH4" s="387"/>
      <c r="GI4" s="387"/>
      <c r="GJ4" s="387"/>
      <c r="GK4" s="387"/>
      <c r="GL4" s="387"/>
      <c r="GM4" s="387"/>
      <c r="GN4" s="387"/>
      <c r="GO4" s="387"/>
      <c r="GP4" s="387"/>
      <c r="GQ4" s="387"/>
      <c r="GR4" s="387"/>
      <c r="GS4" s="387"/>
      <c r="GT4" s="387"/>
      <c r="GU4" s="387"/>
      <c r="GV4" s="387"/>
      <c r="GW4" s="387"/>
      <c r="GX4" s="387"/>
      <c r="GY4" s="387"/>
      <c r="GZ4" s="387"/>
      <c r="HA4" s="387"/>
      <c r="HB4" s="387"/>
      <c r="HC4" s="387"/>
      <c r="HD4" s="387"/>
      <c r="HE4" s="387"/>
      <c r="HF4" s="387"/>
      <c r="HG4" s="387"/>
      <c r="HH4" s="387"/>
      <c r="HI4" s="387"/>
      <c r="HJ4" s="387"/>
      <c r="HK4" s="387"/>
      <c r="HL4" s="387"/>
      <c r="HM4" s="387"/>
      <c r="HN4" s="387"/>
      <c r="HO4" s="387"/>
      <c r="HP4" s="387"/>
      <c r="HQ4" s="387"/>
      <c r="HR4" s="387"/>
      <c r="HS4" s="387"/>
      <c r="HT4" s="387"/>
      <c r="HU4" s="387"/>
      <c r="HV4" s="387"/>
      <c r="HW4" s="387"/>
      <c r="HX4" s="387"/>
      <c r="HY4" s="387"/>
      <c r="HZ4" s="387"/>
      <c r="IA4" s="387"/>
      <c r="IB4" s="387"/>
      <c r="IC4" s="387"/>
      <c r="ID4" s="387"/>
      <c r="IE4" s="387"/>
      <c r="IF4" s="387"/>
      <c r="IG4" s="387"/>
      <c r="IH4" s="387"/>
      <c r="II4" s="387"/>
      <c r="IJ4" s="387"/>
      <c r="IK4" s="387"/>
      <c r="IL4" s="387"/>
      <c r="IM4" s="387"/>
      <c r="IN4" s="387"/>
      <c r="IO4" s="387"/>
      <c r="IP4" s="387"/>
      <c r="IQ4" s="387"/>
      <c r="IR4" s="387"/>
      <c r="IS4" s="387"/>
      <c r="IT4" s="387"/>
      <c r="IU4" s="387"/>
      <c r="IV4" s="387"/>
      <c r="IW4" s="387"/>
    </row>
    <row r="5" customFormat="false" ht="12.75" hidden="false" customHeight="false" outlineLevel="0" collapsed="false">
      <c r="A5" s="370" t="n">
        <v>46118</v>
      </c>
      <c r="B5" s="388" t="s">
        <v>281</v>
      </c>
      <c r="C5" s="371"/>
      <c r="D5" s="371" t="s">
        <v>282</v>
      </c>
      <c r="F5" s="371" t="n">
        <v>180</v>
      </c>
      <c r="G5" s="180" t="str">
        <f aca="false">IF((D5="d"),F5," ")</f>
        <v> </v>
      </c>
      <c r="H5" s="180" t="str">
        <f aca="false">IF((D5="h"),F5," ")</f>
        <v> </v>
      </c>
      <c r="I5" s="180" t="str">
        <f aca="false">IF((D5="r"),F5," ")</f>
        <v> </v>
      </c>
      <c r="J5" s="180" t="n">
        <f aca="false">IF((D5="t"),F5," ")</f>
        <v>180</v>
      </c>
      <c r="K5" s="180" t="str">
        <f aca="false">IF((D5="e"),F5," ")</f>
        <v> </v>
      </c>
      <c r="L5" s="180" t="str">
        <f aca="false">IF((D5="p"),F5," ")</f>
        <v> </v>
      </c>
      <c r="M5" s="180" t="str">
        <f aca="false">IF((D5="g"),F5," ")</f>
        <v> </v>
      </c>
      <c r="N5" s="180" t="str">
        <f aca="false">IF((D5="a"),F5," ")</f>
        <v> </v>
      </c>
      <c r="O5" s="180" t="str">
        <f aca="false">IF((D5="l"),F5," ")</f>
        <v> </v>
      </c>
      <c r="P5" s="180" t="str">
        <f aca="false">IF((D5="i"),F5," ")</f>
        <v> </v>
      </c>
      <c r="Q5" s="180" t="str">
        <f aca="false">IF((D5="b"),F5," ")</f>
        <v> </v>
      </c>
      <c r="R5" s="180" t="str">
        <f aca="false">IF((D5="o"),F5," ")</f>
        <v> </v>
      </c>
      <c r="S5" s="180" t="str">
        <f aca="false">IF((D5="f"),F5," ")</f>
        <v> </v>
      </c>
      <c r="T5" s="371"/>
      <c r="U5" s="371"/>
      <c r="V5" s="371"/>
      <c r="W5" s="371"/>
      <c r="X5" s="371"/>
      <c r="Y5" s="371"/>
      <c r="Z5" s="371"/>
      <c r="AA5" s="371"/>
      <c r="AB5" s="371"/>
      <c r="AC5" s="371"/>
      <c r="AD5" s="371"/>
      <c r="AE5" s="371"/>
      <c r="AF5" s="371"/>
      <c r="AG5" s="371"/>
      <c r="AH5" s="371"/>
      <c r="AI5" s="371"/>
      <c r="AJ5" s="371"/>
      <c r="AK5" s="371"/>
      <c r="AL5" s="371"/>
      <c r="AM5" s="371"/>
      <c r="AN5" s="371"/>
      <c r="AO5" s="371"/>
      <c r="AP5" s="371"/>
      <c r="AQ5" s="371"/>
      <c r="AR5" s="371"/>
      <c r="AS5" s="371"/>
      <c r="AT5" s="371"/>
      <c r="AU5" s="371"/>
      <c r="AV5" s="371"/>
      <c r="AW5" s="371"/>
      <c r="AX5" s="371"/>
      <c r="AY5" s="371"/>
      <c r="AZ5" s="371"/>
      <c r="BA5" s="371"/>
      <c r="BB5" s="371"/>
      <c r="BC5" s="371"/>
      <c r="BD5" s="371"/>
      <c r="BE5" s="371"/>
      <c r="BF5" s="371"/>
      <c r="BG5" s="371"/>
      <c r="BH5" s="371"/>
      <c r="BI5" s="371"/>
      <c r="BJ5" s="371"/>
      <c r="BK5" s="371"/>
      <c r="BL5" s="371"/>
      <c r="BM5" s="371"/>
      <c r="BN5" s="371"/>
      <c r="BO5" s="371"/>
      <c r="BP5" s="371"/>
      <c r="BQ5" s="371"/>
      <c r="BR5" s="371"/>
      <c r="BS5" s="371"/>
      <c r="BT5" s="371"/>
      <c r="BU5" s="371"/>
      <c r="BV5" s="371"/>
      <c r="BW5" s="371"/>
      <c r="BX5" s="371"/>
      <c r="BY5" s="371"/>
      <c r="BZ5" s="371"/>
      <c r="CA5" s="371"/>
      <c r="CB5" s="371"/>
      <c r="CC5" s="371"/>
      <c r="CD5" s="371"/>
      <c r="CE5" s="371"/>
      <c r="CF5" s="371"/>
      <c r="CG5" s="371"/>
      <c r="CH5" s="371"/>
      <c r="CI5" s="371"/>
      <c r="CJ5" s="371"/>
      <c r="CK5" s="371"/>
      <c r="CL5" s="371"/>
      <c r="CM5" s="371"/>
      <c r="CN5" s="371"/>
      <c r="CO5" s="371"/>
      <c r="CP5" s="371"/>
      <c r="CQ5" s="371"/>
      <c r="CR5" s="371"/>
      <c r="CS5" s="371"/>
      <c r="CT5" s="371"/>
      <c r="CU5" s="371"/>
      <c r="CV5" s="371"/>
      <c r="CW5" s="371"/>
      <c r="CX5" s="371"/>
      <c r="CY5" s="371"/>
      <c r="CZ5" s="371"/>
      <c r="DA5" s="371"/>
      <c r="DB5" s="371"/>
      <c r="DC5" s="371"/>
      <c r="DD5" s="371"/>
      <c r="DE5" s="371"/>
      <c r="DF5" s="371"/>
      <c r="DG5" s="371"/>
      <c r="DH5" s="371"/>
      <c r="DI5" s="371"/>
      <c r="DJ5" s="371"/>
      <c r="DK5" s="371"/>
      <c r="DL5" s="371"/>
      <c r="DM5" s="371"/>
      <c r="DN5" s="371"/>
      <c r="DO5" s="371"/>
      <c r="DP5" s="371"/>
      <c r="DQ5" s="371"/>
      <c r="DR5" s="371"/>
      <c r="DS5" s="371"/>
      <c r="DT5" s="371"/>
      <c r="DU5" s="371"/>
      <c r="DV5" s="371"/>
      <c r="DW5" s="371"/>
      <c r="DX5" s="371"/>
      <c r="DY5" s="371"/>
      <c r="DZ5" s="371"/>
      <c r="EA5" s="371"/>
      <c r="EB5" s="371"/>
      <c r="EC5" s="371"/>
      <c r="ED5" s="371"/>
      <c r="EE5" s="371"/>
      <c r="EF5" s="371"/>
      <c r="EG5" s="371"/>
      <c r="EH5" s="371"/>
      <c r="EI5" s="371"/>
      <c r="EJ5" s="371"/>
      <c r="EK5" s="371"/>
      <c r="EL5" s="371"/>
      <c r="EM5" s="371"/>
      <c r="EN5" s="371"/>
      <c r="EO5" s="371"/>
      <c r="EP5" s="371"/>
      <c r="EQ5" s="371"/>
      <c r="ER5" s="371"/>
      <c r="ES5" s="371"/>
      <c r="ET5" s="371"/>
      <c r="EU5" s="371"/>
      <c r="EV5" s="371"/>
      <c r="EW5" s="371"/>
      <c r="EX5" s="371"/>
      <c r="EY5" s="371"/>
      <c r="EZ5" s="371"/>
      <c r="FA5" s="371"/>
      <c r="FB5" s="371"/>
      <c r="FC5" s="371"/>
      <c r="FD5" s="371"/>
      <c r="FE5" s="371"/>
      <c r="FF5" s="371"/>
      <c r="FG5" s="371"/>
      <c r="FH5" s="371"/>
      <c r="FI5" s="371"/>
      <c r="FJ5" s="371"/>
      <c r="FK5" s="371"/>
      <c r="FL5" s="371"/>
      <c r="FM5" s="371"/>
      <c r="FN5" s="371"/>
      <c r="FO5" s="371"/>
      <c r="FP5" s="371"/>
      <c r="FQ5" s="371"/>
      <c r="FR5" s="371"/>
      <c r="FS5" s="371"/>
      <c r="FT5" s="371"/>
      <c r="FU5" s="371"/>
      <c r="FV5" s="371"/>
      <c r="FW5" s="371"/>
      <c r="FX5" s="371"/>
      <c r="FY5" s="371"/>
      <c r="FZ5" s="371"/>
      <c r="GA5" s="371"/>
      <c r="GB5" s="371"/>
      <c r="GC5" s="371"/>
      <c r="GD5" s="371"/>
      <c r="GE5" s="371"/>
      <c r="GF5" s="371"/>
      <c r="GG5" s="371"/>
      <c r="GH5" s="371"/>
      <c r="GI5" s="371"/>
      <c r="GJ5" s="371"/>
      <c r="GK5" s="371"/>
      <c r="GL5" s="371"/>
      <c r="GM5" s="371"/>
      <c r="GN5" s="371"/>
      <c r="GO5" s="371"/>
      <c r="GP5" s="371"/>
      <c r="GQ5" s="371"/>
      <c r="GR5" s="371"/>
      <c r="GS5" s="371"/>
      <c r="GT5" s="371"/>
      <c r="GU5" s="371"/>
      <c r="GV5" s="371"/>
      <c r="GW5" s="371"/>
      <c r="GX5" s="371"/>
      <c r="GY5" s="371"/>
      <c r="GZ5" s="371"/>
      <c r="HA5" s="371"/>
      <c r="HB5" s="371"/>
      <c r="HC5" s="371"/>
      <c r="HD5" s="371"/>
      <c r="HE5" s="371"/>
      <c r="HF5" s="371"/>
      <c r="HG5" s="371"/>
      <c r="HH5" s="371"/>
      <c r="HI5" s="371"/>
      <c r="HJ5" s="371"/>
      <c r="HK5" s="371"/>
      <c r="HL5" s="371"/>
      <c r="HM5" s="371"/>
      <c r="HN5" s="371"/>
      <c r="HO5" s="371"/>
      <c r="HP5" s="371"/>
      <c r="HQ5" s="371"/>
      <c r="HR5" s="371"/>
      <c r="HS5" s="371"/>
      <c r="HT5" s="371"/>
      <c r="HU5" s="371"/>
      <c r="HV5" s="371"/>
      <c r="HW5" s="371"/>
      <c r="HX5" s="371"/>
      <c r="HY5" s="371"/>
      <c r="HZ5" s="371"/>
      <c r="IA5" s="371"/>
      <c r="IB5" s="371"/>
      <c r="IC5" s="371"/>
      <c r="ID5" s="371"/>
      <c r="IE5" s="371"/>
      <c r="IF5" s="371"/>
      <c r="IG5" s="371"/>
      <c r="IH5" s="371"/>
      <c r="II5" s="371"/>
      <c r="IJ5" s="371"/>
      <c r="IK5" s="371"/>
      <c r="IL5" s="371"/>
      <c r="IM5" s="371"/>
      <c r="IN5" s="371"/>
      <c r="IO5" s="371"/>
      <c r="IP5" s="371"/>
      <c r="IQ5" s="371"/>
      <c r="IR5" s="371"/>
      <c r="IS5" s="371"/>
      <c r="IT5" s="371"/>
      <c r="IU5" s="371"/>
      <c r="IV5" s="371"/>
      <c r="IW5" s="371"/>
    </row>
    <row r="6" customFormat="false" ht="12.75" hidden="false" customHeight="false" outlineLevel="0" collapsed="false">
      <c r="A6" s="370" t="n">
        <v>46120</v>
      </c>
      <c r="B6" s="179" t="s">
        <v>283</v>
      </c>
      <c r="D6" s="371" t="s">
        <v>284</v>
      </c>
      <c r="F6" s="372" t="n">
        <v>400</v>
      </c>
      <c r="G6" s="180" t="str">
        <f aca="false">IF((D6="d"),F6," ")</f>
        <v> </v>
      </c>
      <c r="H6" s="180" t="str">
        <f aca="false">IF((D6="h"),F6," ")</f>
        <v> </v>
      </c>
      <c r="I6" s="180" t="str">
        <f aca="false">IF((D6="r"),F6," ")</f>
        <v> </v>
      </c>
      <c r="J6" s="180" t="str">
        <f aca="false">IF((D6="t"),F6," ")</f>
        <v> </v>
      </c>
      <c r="K6" s="180" t="str">
        <f aca="false">IF((D6="e"),F6," ")</f>
        <v> </v>
      </c>
      <c r="L6" s="180" t="str">
        <f aca="false">IF((D6="p"),F6," ")</f>
        <v> </v>
      </c>
      <c r="M6" s="180" t="str">
        <f aca="false">IF((D6="g"),F6," ")</f>
        <v> </v>
      </c>
      <c r="N6" s="180" t="str">
        <f aca="false">IF((D6="a"),F6," ")</f>
        <v> </v>
      </c>
      <c r="O6" s="180" t="n">
        <f aca="false">IF((D6="l"),F6," ")</f>
        <v>400</v>
      </c>
      <c r="P6" s="180" t="str">
        <f aca="false">IF((D6="i"),F6," ")</f>
        <v> </v>
      </c>
      <c r="Q6" s="180" t="str">
        <f aca="false">IF((D6="b"),F6," ")</f>
        <v> </v>
      </c>
      <c r="R6" s="180" t="str">
        <f aca="false">IF((D6="o"),F6," ")</f>
        <v> </v>
      </c>
      <c r="S6" s="180" t="str">
        <f aca="false">IF((D6="f"),F6," ")</f>
        <v> </v>
      </c>
      <c r="U6" s="371"/>
    </row>
    <row r="7" customFormat="false" ht="12.75" hidden="false" customHeight="false" outlineLevel="0" collapsed="false">
      <c r="A7" s="370" t="n">
        <v>46122</v>
      </c>
      <c r="B7" s="179" t="s">
        <v>285</v>
      </c>
      <c r="D7" s="371" t="s">
        <v>282</v>
      </c>
      <c r="F7" s="372" t="n">
        <v>1200</v>
      </c>
      <c r="G7" s="180" t="str">
        <f aca="false">IF((D7="d"),F7," ")</f>
        <v> </v>
      </c>
      <c r="H7" s="180" t="str">
        <f aca="false">IF((D7="h"),F7," ")</f>
        <v> </v>
      </c>
      <c r="I7" s="180" t="str">
        <f aca="false">IF((D7="r"),F7," ")</f>
        <v> </v>
      </c>
      <c r="J7" s="180" t="n">
        <f aca="false">IF((D7="t"),F7," ")</f>
        <v>1200</v>
      </c>
      <c r="K7" s="180" t="str">
        <f aca="false">IF((D7="e"),F7," ")</f>
        <v> </v>
      </c>
      <c r="L7" s="180" t="str">
        <f aca="false">IF((D7="p"),F7," ")</f>
        <v> </v>
      </c>
      <c r="M7" s="180" t="str">
        <f aca="false">IF((D7="g"),F7," ")</f>
        <v> </v>
      </c>
      <c r="N7" s="180" t="str">
        <f aca="false">IF((D7="a"),F7," ")</f>
        <v> </v>
      </c>
      <c r="O7" s="180" t="str">
        <f aca="false">IF((D7="l"),F7," ")</f>
        <v> </v>
      </c>
      <c r="P7" s="180" t="str">
        <f aca="false">IF((D7="i"),F7," ")</f>
        <v> </v>
      </c>
      <c r="Q7" s="180" t="str">
        <f aca="false">IF((D7="b"),F7," ")</f>
        <v> </v>
      </c>
      <c r="R7" s="180" t="str">
        <f aca="false">IF((D7="o"),F7," ")</f>
        <v> </v>
      </c>
      <c r="S7" s="180" t="str">
        <f aca="false">IF((D7="f"),F7," ")</f>
        <v> </v>
      </c>
      <c r="U7" s="371"/>
    </row>
    <row r="8" customFormat="false" ht="12.75" hidden="false" customHeight="false" outlineLevel="0" collapsed="false">
      <c r="A8" s="370" t="n">
        <v>46127</v>
      </c>
      <c r="B8" s="179" t="s">
        <v>286</v>
      </c>
      <c r="D8" s="371" t="s">
        <v>287</v>
      </c>
      <c r="F8" s="372" t="n">
        <v>300</v>
      </c>
      <c r="G8" s="180" t="n">
        <f aca="false">IF((D8="d"),F8," ")</f>
        <v>300</v>
      </c>
      <c r="H8" s="180" t="str">
        <f aca="false">IF((D8="h"),F8," ")</f>
        <v> </v>
      </c>
      <c r="I8" s="180" t="str">
        <f aca="false">IF((D8="r"),F8," ")</f>
        <v> </v>
      </c>
      <c r="J8" s="180" t="str">
        <f aca="false">IF((D8="t"),F8," ")</f>
        <v> </v>
      </c>
      <c r="K8" s="180" t="str">
        <f aca="false">IF((D8="e"),F8," ")</f>
        <v> </v>
      </c>
      <c r="L8" s="180" t="str">
        <f aca="false">IF((D8="p"),F8," ")</f>
        <v> </v>
      </c>
      <c r="M8" s="180" t="str">
        <f aca="false">IF((D8="g"),F8," ")</f>
        <v> </v>
      </c>
      <c r="N8" s="180" t="str">
        <f aca="false">IF((D8="a"),F8," ")</f>
        <v> </v>
      </c>
      <c r="O8" s="180" t="str">
        <f aca="false">IF((D8="l"),F8," ")</f>
        <v> </v>
      </c>
      <c r="P8" s="180" t="str">
        <f aca="false">IF((D8="i"),F8," ")</f>
        <v> </v>
      </c>
      <c r="Q8" s="180" t="str">
        <f aca="false">IF((D8="b"),F8," ")</f>
        <v> </v>
      </c>
      <c r="R8" s="180" t="str">
        <f aca="false">IF((D8="o"),F8," ")</f>
        <v> </v>
      </c>
      <c r="S8" s="180" t="str">
        <f aca="false">IF((D8="f"),F8," ")</f>
        <v> </v>
      </c>
      <c r="U8" s="371"/>
    </row>
    <row r="9" customFormat="false" ht="12.75" hidden="false" customHeight="false" outlineLevel="0" collapsed="false">
      <c r="A9" s="370" t="n">
        <v>46132</v>
      </c>
      <c r="B9" s="179" t="s">
        <v>288</v>
      </c>
      <c r="D9" s="371" t="s">
        <v>289</v>
      </c>
      <c r="F9" s="372" t="n">
        <v>120</v>
      </c>
      <c r="G9" s="180" t="str">
        <f aca="false">IF((D9="d"),F9," ")</f>
        <v> </v>
      </c>
      <c r="H9" s="180" t="str">
        <f aca="false">IF((D9="h"),F9," ")</f>
        <v> </v>
      </c>
      <c r="I9" s="180" t="str">
        <f aca="false">IF((D9="r"),F9," ")</f>
        <v> </v>
      </c>
      <c r="J9" s="180" t="str">
        <f aca="false">IF((D9="t"),F9," ")</f>
        <v> </v>
      </c>
      <c r="K9" s="180" t="str">
        <f aca="false">IF((D9="e"),F9," ")</f>
        <v> </v>
      </c>
      <c r="L9" s="180" t="str">
        <f aca="false">IF((D9="p"),F9," ")</f>
        <v> </v>
      </c>
      <c r="M9" s="180" t="n">
        <f aca="false">IF((D9="g"),F9," ")</f>
        <v>120</v>
      </c>
      <c r="N9" s="180" t="str">
        <f aca="false">IF((D9="a"),F9," ")</f>
        <v> </v>
      </c>
      <c r="O9" s="180" t="str">
        <f aca="false">IF((D9="l"),F9," ")</f>
        <v> </v>
      </c>
      <c r="P9" s="180" t="str">
        <f aca="false">IF((D9="i"),F9," ")</f>
        <v> </v>
      </c>
      <c r="Q9" s="180" t="str">
        <f aca="false">IF((D9="b"),F9," ")</f>
        <v> </v>
      </c>
      <c r="R9" s="180" t="str">
        <f aca="false">IF((D9="o"),F9," ")</f>
        <v> </v>
      </c>
      <c r="S9" s="180" t="str">
        <f aca="false">IF((D9="f"),F9," ")</f>
        <v> </v>
      </c>
      <c r="U9" s="371"/>
    </row>
    <row r="10" customFormat="false" ht="12.75" hidden="false" customHeight="false" outlineLevel="0" collapsed="false">
      <c r="G10" s="180" t="str">
        <f aca="false">IF((D10="d"),F10," ")</f>
        <v> </v>
      </c>
      <c r="H10" s="180" t="str">
        <f aca="false">IF((D10="h"),F10," ")</f>
        <v> </v>
      </c>
      <c r="I10" s="180" t="str">
        <f aca="false">IF((D10="r"),F10," ")</f>
        <v> </v>
      </c>
      <c r="J10" s="180" t="str">
        <f aca="false">IF((D10="t"),F10," ")</f>
        <v> </v>
      </c>
      <c r="K10" s="180" t="str">
        <f aca="false">IF((D10="e"),F10," ")</f>
        <v> </v>
      </c>
      <c r="L10" s="180" t="str">
        <f aca="false">IF((D10="p"),F10," ")</f>
        <v> </v>
      </c>
      <c r="M10" s="180" t="str">
        <f aca="false">IF((D10="g"),F10," ")</f>
        <v> </v>
      </c>
      <c r="N10" s="180" t="str">
        <f aca="false">IF((D10="a"),F10," ")</f>
        <v> </v>
      </c>
      <c r="O10" s="180" t="str">
        <f aca="false">IF((D10="l"),F10," ")</f>
        <v> </v>
      </c>
      <c r="P10" s="180" t="str">
        <f aca="false">IF((D10="i"),F10," ")</f>
        <v> </v>
      </c>
      <c r="Q10" s="180" t="str">
        <f aca="false">IF((D10="b"),F10," ")</f>
        <v> </v>
      </c>
      <c r="R10" s="180" t="str">
        <f aca="false">IF((D10="o"),F10," ")</f>
        <v> </v>
      </c>
      <c r="S10" s="180" t="str">
        <f aca="false">IF((D10="f"),F10," ")</f>
        <v> </v>
      </c>
      <c r="U10" s="371"/>
    </row>
    <row r="11" customFormat="false" ht="12.75" hidden="false" customHeight="false" outlineLevel="0" collapsed="false">
      <c r="G11" s="180" t="str">
        <f aca="false">IF((D11="d"),F11," ")</f>
        <v> </v>
      </c>
      <c r="H11" s="180" t="str">
        <f aca="false">IF((D11="h"),F11," ")</f>
        <v> </v>
      </c>
      <c r="I11" s="180" t="str">
        <f aca="false">IF((D11="r"),F11," ")</f>
        <v> </v>
      </c>
      <c r="J11" s="180" t="str">
        <f aca="false">IF((D11="t"),F11," ")</f>
        <v> </v>
      </c>
      <c r="K11" s="180" t="str">
        <f aca="false">IF((D11="e"),F11," ")</f>
        <v> </v>
      </c>
      <c r="L11" s="180" t="str">
        <f aca="false">IF((D11="p"),F11," ")</f>
        <v> </v>
      </c>
      <c r="M11" s="180" t="str">
        <f aca="false">IF((D11="g"),F11," ")</f>
        <v> </v>
      </c>
      <c r="N11" s="180" t="str">
        <f aca="false">IF((D11="a"),F11," ")</f>
        <v> </v>
      </c>
      <c r="O11" s="180" t="str">
        <f aca="false">IF((D11="l"),F11," ")</f>
        <v> </v>
      </c>
      <c r="P11" s="180" t="str">
        <f aca="false">IF((D11="i"),F11," ")</f>
        <v> </v>
      </c>
      <c r="Q11" s="180" t="str">
        <f aca="false">IF((D11="b"),F11," ")</f>
        <v> </v>
      </c>
      <c r="R11" s="180" t="str">
        <f aca="false">IF((D11="o"),F11," ")</f>
        <v> </v>
      </c>
      <c r="S11" s="180" t="str">
        <f aca="false">IF((D11="f"),F11," ")</f>
        <v> </v>
      </c>
      <c r="U11" s="371"/>
    </row>
    <row r="12" customFormat="false" ht="12.75" hidden="false" customHeight="false" outlineLevel="0" collapsed="false">
      <c r="G12" s="180" t="str">
        <f aca="false">IF((D12="d"),F12," ")</f>
        <v> </v>
      </c>
      <c r="H12" s="180" t="str">
        <f aca="false">IF((D12="h"),F12," ")</f>
        <v> </v>
      </c>
      <c r="I12" s="180" t="str">
        <f aca="false">IF((D12="r"),F12," ")</f>
        <v> </v>
      </c>
      <c r="J12" s="180" t="str">
        <f aca="false">IF((D12="t"),F12," ")</f>
        <v> </v>
      </c>
      <c r="K12" s="180" t="str">
        <f aca="false">IF((D12="e"),F12," ")</f>
        <v> </v>
      </c>
      <c r="L12" s="180" t="str">
        <f aca="false">IF((D12="p"),F12," ")</f>
        <v> </v>
      </c>
      <c r="M12" s="180" t="str">
        <f aca="false">IF((D12="g"),F12," ")</f>
        <v> </v>
      </c>
      <c r="N12" s="180" t="str">
        <f aca="false">IF((D12="a"),F12," ")</f>
        <v> </v>
      </c>
      <c r="O12" s="180" t="str">
        <f aca="false">IF((D12="l"),F12," ")</f>
        <v> </v>
      </c>
      <c r="P12" s="180" t="str">
        <f aca="false">IF((D12="i"),F12," ")</f>
        <v> </v>
      </c>
      <c r="Q12" s="180" t="str">
        <f aca="false">IF((D12="b"),F12," ")</f>
        <v> </v>
      </c>
      <c r="R12" s="180" t="str">
        <f aca="false">IF((D12="o"),F12," ")</f>
        <v> </v>
      </c>
      <c r="S12" s="180" t="str">
        <f aca="false">IF((D12="f"),F12," ")</f>
        <v> </v>
      </c>
      <c r="U12" s="371"/>
    </row>
    <row r="13" customFormat="false" ht="12.75" hidden="false" customHeight="false" outlineLevel="0" collapsed="false">
      <c r="G13" s="180" t="str">
        <f aca="false">IF((D13="d"),F13," ")</f>
        <v> </v>
      </c>
      <c r="H13" s="180" t="str">
        <f aca="false">IF((D13="h"),F13," ")</f>
        <v> </v>
      </c>
      <c r="I13" s="180" t="str">
        <f aca="false">IF((D13="r"),F13," ")</f>
        <v> </v>
      </c>
      <c r="J13" s="180" t="str">
        <f aca="false">IF((D13="t"),F13," ")</f>
        <v> </v>
      </c>
      <c r="K13" s="180" t="str">
        <f aca="false">IF((D13="e"),F13," ")</f>
        <v> </v>
      </c>
      <c r="L13" s="180" t="str">
        <f aca="false">IF((D13="p"),F13," ")</f>
        <v> </v>
      </c>
      <c r="M13" s="180" t="str">
        <f aca="false">IF((D13="g"),F13," ")</f>
        <v> </v>
      </c>
      <c r="N13" s="180" t="str">
        <f aca="false">IF((D13="a"),F13," ")</f>
        <v> </v>
      </c>
      <c r="O13" s="180" t="str">
        <f aca="false">IF((D13="l"),F13," ")</f>
        <v> </v>
      </c>
      <c r="P13" s="180" t="str">
        <f aca="false">IF((D13="i"),F13," ")</f>
        <v> </v>
      </c>
      <c r="Q13" s="180" t="str">
        <f aca="false">IF((D13="b"),F13," ")</f>
        <v> </v>
      </c>
      <c r="R13" s="180" t="str">
        <f aca="false">IF((D13="o"),F13," ")</f>
        <v> </v>
      </c>
      <c r="S13" s="180" t="str">
        <f aca="false">IF((D13="f"),F13," ")</f>
        <v> </v>
      </c>
      <c r="U13" s="371"/>
    </row>
    <row r="14" customFormat="false" ht="12.75" hidden="false" customHeight="false" outlineLevel="0" collapsed="false">
      <c r="G14" s="180" t="str">
        <f aca="false">IF((D14="d"),F14," ")</f>
        <v> </v>
      </c>
      <c r="H14" s="180" t="str">
        <f aca="false">IF((D14="h"),F14," ")</f>
        <v> </v>
      </c>
      <c r="I14" s="180" t="str">
        <f aca="false">IF((D14="r"),F14," ")</f>
        <v> </v>
      </c>
      <c r="J14" s="180" t="str">
        <f aca="false">IF((D14="t"),F14," ")</f>
        <v> </v>
      </c>
      <c r="K14" s="180" t="str">
        <f aca="false">IF((D14="e"),F14," ")</f>
        <v> </v>
      </c>
      <c r="L14" s="180" t="str">
        <f aca="false">IF((D14="p"),F14," ")</f>
        <v> </v>
      </c>
      <c r="M14" s="180" t="str">
        <f aca="false">IF((D14="g"),F14," ")</f>
        <v> </v>
      </c>
      <c r="N14" s="180" t="str">
        <f aca="false">IF((D14="a"),F14," ")</f>
        <v> </v>
      </c>
      <c r="O14" s="180" t="str">
        <f aca="false">IF((D14="l"),F14," ")</f>
        <v> </v>
      </c>
      <c r="P14" s="180" t="str">
        <f aca="false">IF((D14="i"),F14," ")</f>
        <v> </v>
      </c>
      <c r="Q14" s="180" t="str">
        <f aca="false">IF((D14="b"),F14," ")</f>
        <v> </v>
      </c>
      <c r="R14" s="180" t="str">
        <f aca="false">IF((D14="o"),F14," ")</f>
        <v> </v>
      </c>
      <c r="S14" s="180" t="str">
        <f aca="false">IF((D14="f"),F14," ")</f>
        <v> </v>
      </c>
      <c r="U14" s="371"/>
    </row>
    <row r="15" customFormat="false" ht="12.75" hidden="false" customHeight="false" outlineLevel="0" collapsed="false">
      <c r="G15" s="180" t="str">
        <f aca="false">IF((D15="d"),F15," ")</f>
        <v> </v>
      </c>
      <c r="H15" s="180" t="str">
        <f aca="false">IF((D15="h"),F15," ")</f>
        <v> </v>
      </c>
      <c r="I15" s="180" t="str">
        <f aca="false">IF((D15="r"),F15," ")</f>
        <v> </v>
      </c>
      <c r="J15" s="180" t="str">
        <f aca="false">IF((D15="t"),F15," ")</f>
        <v> </v>
      </c>
      <c r="K15" s="180" t="str">
        <f aca="false">IF((D15="e"),F15," ")</f>
        <v> </v>
      </c>
      <c r="L15" s="180" t="str">
        <f aca="false">IF((D15="p"),F15," ")</f>
        <v> </v>
      </c>
      <c r="M15" s="180" t="str">
        <f aca="false">IF((D15="g"),F15," ")</f>
        <v> </v>
      </c>
      <c r="N15" s="180" t="str">
        <f aca="false">IF((D15="a"),F15," ")</f>
        <v> </v>
      </c>
      <c r="O15" s="180" t="str">
        <f aca="false">IF((D15="l"),F15," ")</f>
        <v> </v>
      </c>
      <c r="P15" s="180" t="str">
        <f aca="false">IF((D15="i"),F15," ")</f>
        <v> </v>
      </c>
      <c r="Q15" s="180" t="str">
        <f aca="false">IF((D15="b"),F15," ")</f>
        <v> </v>
      </c>
      <c r="R15" s="180" t="str">
        <f aca="false">IF((D15="o"),F15," ")</f>
        <v> </v>
      </c>
      <c r="S15" s="180" t="str">
        <f aca="false">IF((D15="f"),F15," ")</f>
        <v> </v>
      </c>
      <c r="U15" s="371"/>
    </row>
    <row r="16" customFormat="false" ht="12.75" hidden="false" customHeight="false" outlineLevel="0" collapsed="false">
      <c r="G16" s="180" t="str">
        <f aca="false">IF((D16="d"),F16," ")</f>
        <v> </v>
      </c>
      <c r="H16" s="180" t="str">
        <f aca="false">IF((D16="h"),F16," ")</f>
        <v> </v>
      </c>
      <c r="I16" s="180" t="str">
        <f aca="false">IF((D16="r"),F16," ")</f>
        <v> </v>
      </c>
      <c r="J16" s="180" t="str">
        <f aca="false">IF((D16="t"),F16," ")</f>
        <v> </v>
      </c>
      <c r="K16" s="180" t="str">
        <f aca="false">IF((D16="e"),F16," ")</f>
        <v> </v>
      </c>
      <c r="L16" s="180" t="str">
        <f aca="false">IF((D16="p"),F16," ")</f>
        <v> </v>
      </c>
      <c r="M16" s="180" t="str">
        <f aca="false">IF((D16="g"),F16," ")</f>
        <v> </v>
      </c>
      <c r="N16" s="180" t="str">
        <f aca="false">IF((D16="a"),F16," ")</f>
        <v> </v>
      </c>
      <c r="O16" s="180" t="str">
        <f aca="false">IF((D16="l"),F16," ")</f>
        <v> </v>
      </c>
      <c r="P16" s="180" t="str">
        <f aca="false">IF((D16="i"),F16," ")</f>
        <v> </v>
      </c>
      <c r="Q16" s="180" t="str">
        <f aca="false">IF((D16="b"),F16," ")</f>
        <v> </v>
      </c>
      <c r="R16" s="180" t="str">
        <f aca="false">IF((D16="o"),F16," ")</f>
        <v> </v>
      </c>
      <c r="S16" s="180" t="str">
        <f aca="false">IF((D16="f"),F16," ")</f>
        <v> </v>
      </c>
      <c r="U16" s="371"/>
    </row>
    <row r="17" customFormat="false" ht="12.75" hidden="false" customHeight="false" outlineLevel="0" collapsed="false">
      <c r="G17" s="180" t="str">
        <f aca="false">IF((D17="d"),F17," ")</f>
        <v> </v>
      </c>
      <c r="H17" s="180" t="str">
        <f aca="false">IF((D17="h"),F17," ")</f>
        <v> </v>
      </c>
      <c r="I17" s="180" t="str">
        <f aca="false">IF((D17="r"),F17," ")</f>
        <v> </v>
      </c>
      <c r="J17" s="180" t="str">
        <f aca="false">IF((D17="t"),F17," ")</f>
        <v> </v>
      </c>
      <c r="K17" s="180" t="str">
        <f aca="false">IF((D17="e"),F17," ")</f>
        <v> </v>
      </c>
      <c r="L17" s="180" t="str">
        <f aca="false">IF((D17="p"),F17," ")</f>
        <v> </v>
      </c>
      <c r="M17" s="180" t="str">
        <f aca="false">IF((D17="g"),F17," ")</f>
        <v> </v>
      </c>
      <c r="N17" s="180" t="str">
        <f aca="false">IF((D17="a"),F17," ")</f>
        <v> </v>
      </c>
      <c r="O17" s="180" t="str">
        <f aca="false">IF((D17="l"),F17," ")</f>
        <v> </v>
      </c>
      <c r="P17" s="180" t="str">
        <f aca="false">IF((D17="i"),F17," ")</f>
        <v> </v>
      </c>
      <c r="Q17" s="180" t="str">
        <f aca="false">IF((D17="b"),F17," ")</f>
        <v> </v>
      </c>
      <c r="R17" s="180" t="str">
        <f aca="false">IF((D17="o"),F17," ")</f>
        <v> </v>
      </c>
      <c r="S17" s="180" t="str">
        <f aca="false">IF((D17="f"),F17," ")</f>
        <v> </v>
      </c>
      <c r="U17" s="371"/>
    </row>
    <row r="18" customFormat="false" ht="12.75" hidden="false" customHeight="false" outlineLevel="0" collapsed="false">
      <c r="G18" s="180" t="str">
        <f aca="false">IF((D18="d"),F18," ")</f>
        <v> </v>
      </c>
      <c r="H18" s="180" t="str">
        <f aca="false">IF((D18="h"),F18," ")</f>
        <v> </v>
      </c>
      <c r="I18" s="180" t="str">
        <f aca="false">IF((D18="r"),F18," ")</f>
        <v> </v>
      </c>
      <c r="J18" s="180" t="str">
        <f aca="false">IF((D18="t"),F18," ")</f>
        <v> </v>
      </c>
      <c r="K18" s="180" t="str">
        <f aca="false">IF((D18="e"),F18," ")</f>
        <v> </v>
      </c>
      <c r="L18" s="180" t="str">
        <f aca="false">IF((D18="p"),F18," ")</f>
        <v> </v>
      </c>
      <c r="M18" s="180" t="str">
        <f aca="false">IF((D18="g"),F18," ")</f>
        <v> </v>
      </c>
      <c r="N18" s="180" t="str">
        <f aca="false">IF((D18="a"),F18," ")</f>
        <v> </v>
      </c>
      <c r="O18" s="180" t="str">
        <f aca="false">IF((D18="l"),F18," ")</f>
        <v> </v>
      </c>
      <c r="P18" s="180" t="str">
        <f aca="false">IF((D18="i"),F18," ")</f>
        <v> </v>
      </c>
      <c r="Q18" s="180" t="str">
        <f aca="false">IF((D18="b"),F18," ")</f>
        <v> </v>
      </c>
      <c r="R18" s="180" t="str">
        <f aca="false">IF((D18="o"),F18," ")</f>
        <v> </v>
      </c>
      <c r="S18" s="180" t="str">
        <f aca="false">IF((D18="f"),F18," ")</f>
        <v> </v>
      </c>
      <c r="U18" s="371"/>
    </row>
    <row r="19" customFormat="false" ht="12.75" hidden="false" customHeight="false" outlineLevel="0" collapsed="false">
      <c r="G19" s="180" t="str">
        <f aca="false">IF((D19="d"),F19," ")</f>
        <v> </v>
      </c>
      <c r="H19" s="180" t="str">
        <f aca="false">IF((D19="h"),F19," ")</f>
        <v> </v>
      </c>
      <c r="I19" s="180" t="str">
        <f aca="false">IF((D19="r"),F19," ")</f>
        <v> </v>
      </c>
      <c r="J19" s="180" t="str">
        <f aca="false">IF((D19="t"),F19," ")</f>
        <v> </v>
      </c>
      <c r="K19" s="180" t="str">
        <f aca="false">IF((D19="e"),F19," ")</f>
        <v> </v>
      </c>
      <c r="L19" s="180" t="str">
        <f aca="false">IF((D19="p"),F19," ")</f>
        <v> </v>
      </c>
      <c r="M19" s="180" t="str">
        <f aca="false">IF((D19="g"),F19," ")</f>
        <v> </v>
      </c>
      <c r="N19" s="180" t="str">
        <f aca="false">IF((D19="a"),F19," ")</f>
        <v> </v>
      </c>
      <c r="O19" s="180" t="str">
        <f aca="false">IF((D19="l"),F19," ")</f>
        <v> </v>
      </c>
      <c r="P19" s="180" t="str">
        <f aca="false">IF((D19="i"),F19," ")</f>
        <v> </v>
      </c>
      <c r="Q19" s="180" t="str">
        <f aca="false">IF((D19="b"),F19," ")</f>
        <v> </v>
      </c>
      <c r="R19" s="180" t="str">
        <f aca="false">IF((D19="o"),F19," ")</f>
        <v> </v>
      </c>
      <c r="S19" s="180" t="str">
        <f aca="false">IF((D19="f"),F19," ")</f>
        <v> </v>
      </c>
      <c r="U19" s="371"/>
    </row>
    <row r="20" customFormat="false" ht="12.75" hidden="false" customHeight="false" outlineLevel="0" collapsed="false">
      <c r="G20" s="180" t="str">
        <f aca="false">IF((D20="d"),F20," ")</f>
        <v> </v>
      </c>
      <c r="H20" s="180" t="str">
        <f aca="false">IF((D20="h"),F20," ")</f>
        <v> </v>
      </c>
      <c r="I20" s="180" t="str">
        <f aca="false">IF((D20="r"),F20," ")</f>
        <v> </v>
      </c>
      <c r="J20" s="180" t="str">
        <f aca="false">IF((D20="t"),F20," ")</f>
        <v> </v>
      </c>
      <c r="K20" s="180" t="str">
        <f aca="false">IF((D20="e"),F20," ")</f>
        <v> </v>
      </c>
      <c r="L20" s="180" t="str">
        <f aca="false">IF((D20="p"),F20," ")</f>
        <v> </v>
      </c>
      <c r="M20" s="180" t="str">
        <f aca="false">IF((D20="g"),F20," ")</f>
        <v> </v>
      </c>
      <c r="N20" s="180" t="str">
        <f aca="false">IF((D20="a"),F20," ")</f>
        <v> </v>
      </c>
      <c r="O20" s="180" t="str">
        <f aca="false">IF((D20="l"),F20," ")</f>
        <v> </v>
      </c>
      <c r="P20" s="180" t="str">
        <f aca="false">IF((D20="i"),F20," ")</f>
        <v> </v>
      </c>
      <c r="Q20" s="180" t="str">
        <f aca="false">IF((D20="b"),F20," ")</f>
        <v> </v>
      </c>
      <c r="R20" s="180" t="str">
        <f aca="false">IF((D20="o"),F20," ")</f>
        <v> </v>
      </c>
      <c r="S20" s="180" t="str">
        <f aca="false">IF((D20="f"),F20," ")</f>
        <v> </v>
      </c>
      <c r="U20" s="371"/>
    </row>
    <row r="21" customFormat="false" ht="12.75" hidden="false" customHeight="false" outlineLevel="0" collapsed="false">
      <c r="G21" s="180" t="str">
        <f aca="false">IF((D21="d"),F21," ")</f>
        <v> </v>
      </c>
      <c r="H21" s="180" t="str">
        <f aca="false">IF((D21="h"),F21," ")</f>
        <v> </v>
      </c>
      <c r="I21" s="180" t="str">
        <f aca="false">IF((D21="r"),F21," ")</f>
        <v> </v>
      </c>
      <c r="J21" s="180" t="str">
        <f aca="false">IF((D21="t"),F21," ")</f>
        <v> </v>
      </c>
      <c r="K21" s="180" t="str">
        <f aca="false">IF((D21="e"),F21," ")</f>
        <v> </v>
      </c>
      <c r="L21" s="180" t="str">
        <f aca="false">IF((D21="p"),F21," ")</f>
        <v> </v>
      </c>
      <c r="M21" s="180" t="str">
        <f aca="false">IF((D21="g"),F21," ")</f>
        <v> </v>
      </c>
      <c r="N21" s="180" t="str">
        <f aca="false">IF((D21="a"),F21," ")</f>
        <v> </v>
      </c>
      <c r="O21" s="180" t="str">
        <f aca="false">IF((D21="l"),F21," ")</f>
        <v> </v>
      </c>
      <c r="P21" s="180" t="str">
        <f aca="false">IF((D21="i"),F21," ")</f>
        <v> </v>
      </c>
      <c r="Q21" s="180" t="str">
        <f aca="false">IF((D21="b"),F21," ")</f>
        <v> </v>
      </c>
      <c r="R21" s="180" t="str">
        <f aca="false">IF((D21="o"),F21," ")</f>
        <v> </v>
      </c>
      <c r="S21" s="180" t="str">
        <f aca="false">IF((D21="f"),F21," ")</f>
        <v> </v>
      </c>
      <c r="U21" s="371"/>
    </row>
    <row r="22" customFormat="false" ht="12.75" hidden="false" customHeight="false" outlineLevel="0" collapsed="false">
      <c r="G22" s="180" t="str">
        <f aca="false">IF((D22="d"),F22," ")</f>
        <v> </v>
      </c>
      <c r="H22" s="180" t="str">
        <f aca="false">IF((D22="h"),F22," ")</f>
        <v> </v>
      </c>
      <c r="I22" s="180" t="str">
        <f aca="false">IF((D22="r"),F22," ")</f>
        <v> </v>
      </c>
      <c r="J22" s="180" t="str">
        <f aca="false">IF((D22="t"),F22," ")</f>
        <v> </v>
      </c>
      <c r="K22" s="180" t="str">
        <f aca="false">IF((D22="e"),F22," ")</f>
        <v> </v>
      </c>
      <c r="L22" s="180" t="str">
        <f aca="false">IF((D22="p"),F22," ")</f>
        <v> </v>
      </c>
      <c r="M22" s="180" t="str">
        <f aca="false">IF((D22="g"),F22," ")</f>
        <v> </v>
      </c>
      <c r="N22" s="180" t="str">
        <f aca="false">IF((D22="a"),F22," ")</f>
        <v> </v>
      </c>
      <c r="O22" s="180" t="str">
        <f aca="false">IF((D22="l"),F22," ")</f>
        <v> </v>
      </c>
      <c r="P22" s="180" t="str">
        <f aca="false">IF((D22="i"),F22," ")</f>
        <v> </v>
      </c>
      <c r="Q22" s="180" t="str">
        <f aca="false">IF((D22="b"),F22," ")</f>
        <v> </v>
      </c>
      <c r="R22" s="180" t="str">
        <f aca="false">IF((D22="o"),F22," ")</f>
        <v> </v>
      </c>
      <c r="S22" s="180" t="str">
        <f aca="false">IF((D22="f"),F22," ")</f>
        <v> </v>
      </c>
      <c r="U22" s="371"/>
    </row>
    <row r="23" customFormat="false" ht="12.75" hidden="false" customHeight="false" outlineLevel="0" collapsed="false">
      <c r="G23" s="180" t="str">
        <f aca="false">IF((D23="d"),F23," ")</f>
        <v> </v>
      </c>
      <c r="H23" s="180" t="str">
        <f aca="false">IF((D23="h"),F23," ")</f>
        <v> </v>
      </c>
      <c r="I23" s="180" t="str">
        <f aca="false">IF((D23="r"),F23," ")</f>
        <v> </v>
      </c>
      <c r="J23" s="180" t="str">
        <f aca="false">IF((D23="t"),F23," ")</f>
        <v> </v>
      </c>
      <c r="K23" s="180" t="str">
        <f aca="false">IF((D23="e"),F23," ")</f>
        <v> </v>
      </c>
      <c r="L23" s="180" t="str">
        <f aca="false">IF((D23="p"),F23," ")</f>
        <v> </v>
      </c>
      <c r="M23" s="180" t="str">
        <f aca="false">IF((D23="g"),F23," ")</f>
        <v> </v>
      </c>
      <c r="N23" s="180" t="str">
        <f aca="false">IF((D23="a"),F23," ")</f>
        <v> </v>
      </c>
      <c r="O23" s="180" t="str">
        <f aca="false">IF((D23="l"),F23," ")</f>
        <v> </v>
      </c>
      <c r="P23" s="180" t="str">
        <f aca="false">IF((D23="i"),F23," ")</f>
        <v> </v>
      </c>
      <c r="Q23" s="180" t="str">
        <f aca="false">IF((D23="b"),F23," ")</f>
        <v> </v>
      </c>
      <c r="R23" s="180" t="str">
        <f aca="false">IF((D23="o"),F23," ")</f>
        <v> </v>
      </c>
      <c r="S23" s="180" t="str">
        <f aca="false">IF((D23="f"),F23," ")</f>
        <v> </v>
      </c>
      <c r="U23" s="371"/>
    </row>
    <row r="24" customFormat="false" ht="12.75" hidden="false" customHeight="false" outlineLevel="0" collapsed="false">
      <c r="G24" s="180" t="str">
        <f aca="false">IF((D24="d"),F24," ")</f>
        <v> </v>
      </c>
      <c r="H24" s="180" t="str">
        <f aca="false">IF((D24="h"),F24," ")</f>
        <v> </v>
      </c>
      <c r="I24" s="180" t="str">
        <f aca="false">IF((D24="r"),F24," ")</f>
        <v> </v>
      </c>
      <c r="J24" s="180" t="str">
        <f aca="false">IF((D24="t"),F24," ")</f>
        <v> </v>
      </c>
      <c r="K24" s="180" t="str">
        <f aca="false">IF((D24="e"),F24," ")</f>
        <v> </v>
      </c>
      <c r="L24" s="180" t="str">
        <f aca="false">IF((D24="p"),F24," ")</f>
        <v> </v>
      </c>
      <c r="M24" s="180" t="str">
        <f aca="false">IF((D24="g"),F24," ")</f>
        <v> </v>
      </c>
      <c r="N24" s="180" t="str">
        <f aca="false">IF((D24="a"),F24," ")</f>
        <v> </v>
      </c>
      <c r="O24" s="180" t="str">
        <f aca="false">IF((D24="l"),F24," ")</f>
        <v> </v>
      </c>
      <c r="P24" s="180" t="str">
        <f aca="false">IF((D24="i"),F24," ")</f>
        <v> </v>
      </c>
      <c r="Q24" s="180" t="str">
        <f aca="false">IF((D24="b"),F24," ")</f>
        <v> </v>
      </c>
      <c r="R24" s="180" t="str">
        <f aca="false">IF((D24="o"),F24," ")</f>
        <v> </v>
      </c>
      <c r="S24" s="180" t="str">
        <f aca="false">IF((D24="f"),F24," ")</f>
        <v> </v>
      </c>
      <c r="U24" s="371"/>
    </row>
    <row r="25" customFormat="false" ht="12.75" hidden="false" customHeight="false" outlineLevel="0" collapsed="false">
      <c r="G25" s="180" t="str">
        <f aca="false">IF((D25="d"),F25," ")</f>
        <v> </v>
      </c>
      <c r="H25" s="180" t="str">
        <f aca="false">IF((D25="h"),F25," ")</f>
        <v> </v>
      </c>
      <c r="I25" s="180" t="str">
        <f aca="false">IF((D25="r"),F25," ")</f>
        <v> </v>
      </c>
      <c r="J25" s="180" t="str">
        <f aca="false">IF((D25="t"),F25," ")</f>
        <v> </v>
      </c>
      <c r="K25" s="180" t="str">
        <f aca="false">IF((D25="e"),F25," ")</f>
        <v> </v>
      </c>
      <c r="L25" s="180" t="str">
        <f aca="false">IF((D25="p"),F25," ")</f>
        <v> </v>
      </c>
      <c r="M25" s="180" t="str">
        <f aca="false">IF((D25="g"),F25," ")</f>
        <v> </v>
      </c>
      <c r="N25" s="180" t="str">
        <f aca="false">IF((D25="a"),F25," ")</f>
        <v> </v>
      </c>
      <c r="O25" s="180" t="str">
        <f aca="false">IF((D25="l"),F25," ")</f>
        <v> </v>
      </c>
      <c r="P25" s="180" t="str">
        <f aca="false">IF((D25="i"),F25," ")</f>
        <v> </v>
      </c>
      <c r="Q25" s="180" t="str">
        <f aca="false">IF((D25="b"),F25," ")</f>
        <v> </v>
      </c>
      <c r="R25" s="180" t="str">
        <f aca="false">IF((D25="o"),F25," ")</f>
        <v> </v>
      </c>
      <c r="S25" s="180" t="str">
        <f aca="false">IF((D25="f"),F25," ")</f>
        <v> </v>
      </c>
      <c r="U25" s="371"/>
    </row>
    <row r="26" customFormat="false" ht="12.75" hidden="false" customHeight="false" outlineLevel="0" collapsed="false">
      <c r="G26" s="180" t="str">
        <f aca="false">IF((D26="d"),F26," ")</f>
        <v> </v>
      </c>
      <c r="H26" s="180" t="str">
        <f aca="false">IF((D26="h"),F26," ")</f>
        <v> </v>
      </c>
      <c r="I26" s="180" t="str">
        <f aca="false">IF((D26="r"),F26," ")</f>
        <v> </v>
      </c>
      <c r="J26" s="180" t="str">
        <f aca="false">IF((D26="t"),F26," ")</f>
        <v> </v>
      </c>
      <c r="K26" s="180" t="str">
        <f aca="false">IF((D26="e"),F26," ")</f>
        <v> </v>
      </c>
      <c r="L26" s="180" t="str">
        <f aca="false">IF((D26="p"),F26," ")</f>
        <v> </v>
      </c>
      <c r="M26" s="180" t="str">
        <f aca="false">IF((D26="g"),F26," ")</f>
        <v> </v>
      </c>
      <c r="N26" s="180" t="str">
        <f aca="false">IF((D26="a"),F26," ")</f>
        <v> </v>
      </c>
      <c r="O26" s="180" t="str">
        <f aca="false">IF((D26="l"),F26," ")</f>
        <v> </v>
      </c>
      <c r="P26" s="180" t="str">
        <f aca="false">IF((D26="i"),F26," ")</f>
        <v> </v>
      </c>
      <c r="Q26" s="180" t="str">
        <f aca="false">IF((D26="b"),F26," ")</f>
        <v> </v>
      </c>
      <c r="R26" s="180" t="str">
        <f aca="false">IF((D26="o"),F26," ")</f>
        <v> </v>
      </c>
      <c r="S26" s="180" t="str">
        <f aca="false">IF((D26="f"),F26," ")</f>
        <v> </v>
      </c>
      <c r="U26" s="371"/>
    </row>
    <row r="27" customFormat="false" ht="12.75" hidden="false" customHeight="false" outlineLevel="0" collapsed="false">
      <c r="G27" s="180" t="str">
        <f aca="false">IF((D27="d"),F27," ")</f>
        <v> </v>
      </c>
      <c r="H27" s="180" t="str">
        <f aca="false">IF((D27="h"),F27," ")</f>
        <v> </v>
      </c>
      <c r="I27" s="180" t="str">
        <f aca="false">IF((D27="r"),F27," ")</f>
        <v> </v>
      </c>
      <c r="J27" s="180" t="str">
        <f aca="false">IF((D27="t"),F27," ")</f>
        <v> </v>
      </c>
      <c r="K27" s="180" t="str">
        <f aca="false">IF((D27="e"),F27," ")</f>
        <v> </v>
      </c>
      <c r="L27" s="180" t="str">
        <f aca="false">IF((D27="p"),F27," ")</f>
        <v> </v>
      </c>
      <c r="M27" s="180" t="str">
        <f aca="false">IF((D27="g"),F27," ")</f>
        <v> </v>
      </c>
      <c r="N27" s="180" t="str">
        <f aca="false">IF((D27="a"),F27," ")</f>
        <v> </v>
      </c>
      <c r="O27" s="180" t="str">
        <f aca="false">IF((D27="l"),F27," ")</f>
        <v> </v>
      </c>
      <c r="P27" s="180" t="str">
        <f aca="false">IF((D27="i"),F27," ")</f>
        <v> </v>
      </c>
      <c r="Q27" s="180" t="str">
        <f aca="false">IF((D27="b"),F27," ")</f>
        <v> </v>
      </c>
      <c r="R27" s="180" t="str">
        <f aca="false">IF((D27="o"),F27," ")</f>
        <v> </v>
      </c>
      <c r="S27" s="180" t="str">
        <f aca="false">IF((D27="f"),F27," ")</f>
        <v> </v>
      </c>
      <c r="U27" s="371"/>
    </row>
    <row r="28" customFormat="false" ht="12.75" hidden="false" customHeight="false" outlineLevel="0" collapsed="false">
      <c r="G28" s="180" t="str">
        <f aca="false">IF((D28="d"),F28," ")</f>
        <v> </v>
      </c>
      <c r="H28" s="180" t="str">
        <f aca="false">IF((D28="h"),F28," ")</f>
        <v> </v>
      </c>
      <c r="I28" s="180" t="str">
        <f aca="false">IF((D28="r"),F28," ")</f>
        <v> </v>
      </c>
      <c r="J28" s="180" t="str">
        <f aca="false">IF((D28="t"),F28," ")</f>
        <v> </v>
      </c>
      <c r="K28" s="180" t="str">
        <f aca="false">IF((D28="e"),F28," ")</f>
        <v> </v>
      </c>
      <c r="L28" s="180" t="str">
        <f aca="false">IF((D28="p"),F28," ")</f>
        <v> </v>
      </c>
      <c r="M28" s="180" t="str">
        <f aca="false">IF((D28="g"),F28," ")</f>
        <v> </v>
      </c>
      <c r="N28" s="180" t="str">
        <f aca="false">IF((D28="a"),F28," ")</f>
        <v> </v>
      </c>
      <c r="O28" s="180" t="str">
        <f aca="false">IF((D28="l"),F28," ")</f>
        <v> </v>
      </c>
      <c r="P28" s="180" t="str">
        <f aca="false">IF((D28="i"),F28," ")</f>
        <v> </v>
      </c>
      <c r="Q28" s="180" t="str">
        <f aca="false">IF((D28="b"),F28," ")</f>
        <v> </v>
      </c>
      <c r="R28" s="180" t="str">
        <f aca="false">IF((D28="o"),F28," ")</f>
        <v> </v>
      </c>
      <c r="S28" s="180" t="str">
        <f aca="false">IF((D28="f"),F28," ")</f>
        <v> </v>
      </c>
      <c r="U28" s="371"/>
    </row>
    <row r="29" customFormat="false" ht="12.75" hidden="false" customHeight="false" outlineLevel="0" collapsed="false">
      <c r="G29" s="180" t="str">
        <f aca="false">IF((D29="d"),F29," ")</f>
        <v> </v>
      </c>
      <c r="H29" s="180" t="str">
        <f aca="false">IF((D29="h"),F29," ")</f>
        <v> </v>
      </c>
      <c r="I29" s="180" t="str">
        <f aca="false">IF((D29="r"),F29," ")</f>
        <v> </v>
      </c>
      <c r="J29" s="180" t="str">
        <f aca="false">IF((D29="t"),F29," ")</f>
        <v> </v>
      </c>
      <c r="K29" s="180" t="str">
        <f aca="false">IF((D29="e"),F29," ")</f>
        <v> </v>
      </c>
      <c r="L29" s="180" t="str">
        <f aca="false">IF((D29="p"),F29," ")</f>
        <v> </v>
      </c>
      <c r="M29" s="180" t="str">
        <f aca="false">IF((D29="g"),F29," ")</f>
        <v> </v>
      </c>
      <c r="N29" s="180" t="str">
        <f aca="false">IF((D29="a"),F29," ")</f>
        <v> </v>
      </c>
      <c r="O29" s="180" t="str">
        <f aca="false">IF((D29="l"),F29," ")</f>
        <v> </v>
      </c>
      <c r="P29" s="180" t="str">
        <f aca="false">IF((D29="i"),F29," ")</f>
        <v> </v>
      </c>
      <c r="Q29" s="180" t="str">
        <f aca="false">IF((D29="b"),F29," ")</f>
        <v> </v>
      </c>
      <c r="R29" s="180" t="str">
        <f aca="false">IF((D29="o"),F29," ")</f>
        <v> </v>
      </c>
      <c r="S29" s="180" t="str">
        <f aca="false">IF((D29="f"),F29," ")</f>
        <v> </v>
      </c>
      <c r="U29" s="371"/>
    </row>
    <row r="30" customFormat="false" ht="12.75" hidden="false" customHeight="false" outlineLevel="0" collapsed="false">
      <c r="G30" s="180" t="str">
        <f aca="false">IF((D30="d"),F30," ")</f>
        <v> </v>
      </c>
      <c r="H30" s="180" t="str">
        <f aca="false">IF((D30="h"),F30," ")</f>
        <v> </v>
      </c>
      <c r="I30" s="180" t="str">
        <f aca="false">IF((D30="r"),F30," ")</f>
        <v> </v>
      </c>
      <c r="J30" s="180" t="str">
        <f aca="false">IF((D30="t"),F30," ")</f>
        <v> </v>
      </c>
      <c r="K30" s="180" t="str">
        <f aca="false">IF((D30="e"),F30," ")</f>
        <v> </v>
      </c>
      <c r="L30" s="180" t="str">
        <f aca="false">IF((D30="p"),F30," ")</f>
        <v> </v>
      </c>
      <c r="M30" s="180" t="str">
        <f aca="false">IF((D30="g"),F30," ")</f>
        <v> </v>
      </c>
      <c r="N30" s="180" t="str">
        <f aca="false">IF((D30="a"),F30," ")</f>
        <v> </v>
      </c>
      <c r="O30" s="180" t="str">
        <f aca="false">IF((D30="l"),F30," ")</f>
        <v> </v>
      </c>
      <c r="P30" s="180" t="str">
        <f aca="false">IF((D30="i"),F30," ")</f>
        <v> </v>
      </c>
      <c r="Q30" s="180" t="str">
        <f aca="false">IF((D30="b"),F30," ")</f>
        <v> </v>
      </c>
      <c r="R30" s="180" t="str">
        <f aca="false">IF((D30="o"),F30," ")</f>
        <v> </v>
      </c>
      <c r="S30" s="180" t="str">
        <f aca="false">IF((D30="f"),F30," ")</f>
        <v> </v>
      </c>
      <c r="U30" s="371"/>
    </row>
    <row r="31" customFormat="false" ht="12.75" hidden="false" customHeight="false" outlineLevel="0" collapsed="false">
      <c r="G31" s="180" t="str">
        <f aca="false">IF((D31="d"),F31," ")</f>
        <v> </v>
      </c>
      <c r="H31" s="180" t="str">
        <f aca="false">IF((D31="h"),F31," ")</f>
        <v> </v>
      </c>
      <c r="I31" s="180" t="str">
        <f aca="false">IF((D31="r"),F31," ")</f>
        <v> </v>
      </c>
      <c r="J31" s="180" t="str">
        <f aca="false">IF((D31="t"),F31," ")</f>
        <v> </v>
      </c>
      <c r="K31" s="180" t="str">
        <f aca="false">IF((D31="e"),F31," ")</f>
        <v> </v>
      </c>
      <c r="L31" s="180" t="str">
        <f aca="false">IF((D31="p"),F31," ")</f>
        <v> </v>
      </c>
      <c r="M31" s="180" t="str">
        <f aca="false">IF((D31="g"),F31," ")</f>
        <v> </v>
      </c>
      <c r="N31" s="180" t="str">
        <f aca="false">IF((D31="a"),F31," ")</f>
        <v> </v>
      </c>
      <c r="O31" s="180" t="str">
        <f aca="false">IF((D31="l"),F31," ")</f>
        <v> </v>
      </c>
      <c r="P31" s="180" t="str">
        <f aca="false">IF((D31="i"),F31," ")</f>
        <v> </v>
      </c>
      <c r="Q31" s="180" t="str">
        <f aca="false">IF((D31="b"),F31," ")</f>
        <v> </v>
      </c>
      <c r="R31" s="180" t="str">
        <f aca="false">IF((D31="o"),F31," ")</f>
        <v> </v>
      </c>
      <c r="S31" s="180" t="str">
        <f aca="false">IF((D31="f"),F31," ")</f>
        <v> </v>
      </c>
      <c r="U31" s="371"/>
    </row>
    <row r="32" customFormat="false" ht="12.75" hidden="false" customHeight="false" outlineLevel="0" collapsed="false">
      <c r="G32" s="180" t="str">
        <f aca="false">IF((D32="d"),F32," ")</f>
        <v> </v>
      </c>
      <c r="H32" s="180" t="str">
        <f aca="false">IF((D32="h"),F32," ")</f>
        <v> </v>
      </c>
      <c r="I32" s="180" t="str">
        <f aca="false">IF((D32="r"),F32," ")</f>
        <v> </v>
      </c>
      <c r="J32" s="180" t="str">
        <f aca="false">IF((D32="t"),F32," ")</f>
        <v> </v>
      </c>
      <c r="K32" s="180" t="str">
        <f aca="false">IF((D32="e"),F32," ")</f>
        <v> </v>
      </c>
      <c r="L32" s="180" t="str">
        <f aca="false">IF((D32="p"),F32," ")</f>
        <v> </v>
      </c>
      <c r="M32" s="180" t="str">
        <f aca="false">IF((D32="g"),F32," ")</f>
        <v> </v>
      </c>
      <c r="N32" s="180" t="str">
        <f aca="false">IF((D32="a"),F32," ")</f>
        <v> </v>
      </c>
      <c r="O32" s="180" t="str">
        <f aca="false">IF((D32="l"),F32," ")</f>
        <v> </v>
      </c>
      <c r="P32" s="180" t="str">
        <f aca="false">IF((D32="i"),F32," ")</f>
        <v> </v>
      </c>
      <c r="Q32" s="180" t="str">
        <f aca="false">IF((D32="b"),F32," ")</f>
        <v> </v>
      </c>
      <c r="R32" s="180" t="str">
        <f aca="false">IF((D32="o"),F32," ")</f>
        <v> </v>
      </c>
      <c r="S32" s="180" t="str">
        <f aca="false">IF((D32="f"),F32," ")</f>
        <v> </v>
      </c>
      <c r="U32" s="371"/>
    </row>
    <row r="33" customFormat="false" ht="12.75" hidden="false" customHeight="false" outlineLevel="0" collapsed="false">
      <c r="G33" s="180" t="str">
        <f aca="false">IF((D33="d"),F33," ")</f>
        <v> </v>
      </c>
      <c r="H33" s="180" t="str">
        <f aca="false">IF((D33="h"),F33," ")</f>
        <v> </v>
      </c>
      <c r="I33" s="180" t="str">
        <f aca="false">IF((D33="r"),F33," ")</f>
        <v> </v>
      </c>
      <c r="J33" s="180" t="str">
        <f aca="false">IF((D33="t"),F33," ")</f>
        <v> </v>
      </c>
      <c r="K33" s="180" t="str">
        <f aca="false">IF((D33="e"),F33," ")</f>
        <v> </v>
      </c>
      <c r="L33" s="180" t="str">
        <f aca="false">IF((D33="p"),F33," ")</f>
        <v> </v>
      </c>
      <c r="M33" s="180" t="str">
        <f aca="false">IF((D33="g"),F33," ")</f>
        <v> </v>
      </c>
      <c r="N33" s="180" t="str">
        <f aca="false">IF((D33="a"),F33," ")</f>
        <v> </v>
      </c>
      <c r="O33" s="180" t="str">
        <f aca="false">IF((D33="l"),F33," ")</f>
        <v> </v>
      </c>
      <c r="P33" s="180" t="str">
        <f aca="false">IF((D33="i"),F33," ")</f>
        <v> </v>
      </c>
      <c r="Q33" s="180" t="str">
        <f aca="false">IF((D33="b"),F33," ")</f>
        <v> </v>
      </c>
      <c r="R33" s="180" t="str">
        <f aca="false">IF((D33="o"),F33," ")</f>
        <v> </v>
      </c>
      <c r="S33" s="180" t="str">
        <f aca="false">IF((D33="f"),F33," ")</f>
        <v> </v>
      </c>
      <c r="U33" s="371"/>
    </row>
    <row r="34" customFormat="false" ht="12.75" hidden="false" customHeight="false" outlineLevel="0" collapsed="false">
      <c r="G34" s="180" t="str">
        <f aca="false">IF((D34="d"),F34," ")</f>
        <v> </v>
      </c>
      <c r="H34" s="180" t="str">
        <f aca="false">IF((D34="h"),F34," ")</f>
        <v> </v>
      </c>
      <c r="I34" s="180" t="str">
        <f aca="false">IF((D34="r"),F34," ")</f>
        <v> </v>
      </c>
      <c r="J34" s="180" t="str">
        <f aca="false">IF((D34="t"),F34," ")</f>
        <v> </v>
      </c>
      <c r="K34" s="180" t="str">
        <f aca="false">IF((D34="e"),F34," ")</f>
        <v> </v>
      </c>
      <c r="L34" s="180" t="str">
        <f aca="false">IF((D34="p"),F34," ")</f>
        <v> </v>
      </c>
      <c r="M34" s="180" t="str">
        <f aca="false">IF((D34="g"),F34," ")</f>
        <v> </v>
      </c>
      <c r="N34" s="180" t="str">
        <f aca="false">IF((D34="a"),F34," ")</f>
        <v> </v>
      </c>
      <c r="O34" s="180" t="str">
        <f aca="false">IF((D34="l"),F34," ")</f>
        <v> </v>
      </c>
      <c r="P34" s="180" t="str">
        <f aca="false">IF((D34="i"),F34," ")</f>
        <v> </v>
      </c>
      <c r="Q34" s="180" t="str">
        <f aca="false">IF((D34="b"),F34," ")</f>
        <v> </v>
      </c>
      <c r="R34" s="180" t="str">
        <f aca="false">IF((D34="o"),F34," ")</f>
        <v> </v>
      </c>
      <c r="S34" s="180" t="str">
        <f aca="false">IF((D34="f"),F34," ")</f>
        <v> </v>
      </c>
      <c r="U34" s="371"/>
    </row>
    <row r="35" customFormat="false" ht="12.75" hidden="false" customHeight="false" outlineLevel="0" collapsed="false">
      <c r="G35" s="180" t="str">
        <f aca="false">IF((D35="d"),F35," ")</f>
        <v> </v>
      </c>
      <c r="H35" s="180" t="str">
        <f aca="false">IF((D35="h"),F35," ")</f>
        <v> </v>
      </c>
      <c r="I35" s="180" t="str">
        <f aca="false">IF((D35="r"),F35," ")</f>
        <v> </v>
      </c>
      <c r="J35" s="180" t="str">
        <f aca="false">IF((D35="t"),F35," ")</f>
        <v> </v>
      </c>
      <c r="K35" s="180" t="str">
        <f aca="false">IF((D35="e"),F35," ")</f>
        <v> </v>
      </c>
      <c r="L35" s="180" t="str">
        <f aca="false">IF((D35="p"),F35," ")</f>
        <v> </v>
      </c>
      <c r="M35" s="180" t="str">
        <f aca="false">IF((D35="g"),F35," ")</f>
        <v> </v>
      </c>
      <c r="N35" s="180" t="str">
        <f aca="false">IF((D35="a"),F35," ")</f>
        <v> </v>
      </c>
      <c r="O35" s="180" t="str">
        <f aca="false">IF((D35="l"),F35," ")</f>
        <v> </v>
      </c>
      <c r="P35" s="180" t="str">
        <f aca="false">IF((D35="i"),F35," ")</f>
        <v> </v>
      </c>
      <c r="Q35" s="180" t="str">
        <f aca="false">IF((D35="b"),F35," ")</f>
        <v> </v>
      </c>
      <c r="R35" s="180" t="str">
        <f aca="false">IF((D35="o"),F35," ")</f>
        <v> </v>
      </c>
      <c r="S35" s="180" t="str">
        <f aca="false">IF((D35="f"),F35," ")</f>
        <v> </v>
      </c>
      <c r="U35" s="371"/>
    </row>
    <row r="36" customFormat="false" ht="12.75" hidden="false" customHeight="false" outlineLevel="0" collapsed="false">
      <c r="G36" s="180" t="str">
        <f aca="false">IF((D36="d"),F36," ")</f>
        <v> </v>
      </c>
      <c r="H36" s="180" t="str">
        <f aca="false">IF((D36="h"),F36," ")</f>
        <v> </v>
      </c>
      <c r="I36" s="180" t="str">
        <f aca="false">IF((D36="r"),F36," ")</f>
        <v> </v>
      </c>
      <c r="J36" s="180" t="str">
        <f aca="false">IF((D36="t"),F36," ")</f>
        <v> </v>
      </c>
      <c r="K36" s="180" t="str">
        <f aca="false">IF((D36="e"),F36," ")</f>
        <v> </v>
      </c>
      <c r="L36" s="180" t="str">
        <f aca="false">IF((D36="p"),F36," ")</f>
        <v> </v>
      </c>
      <c r="M36" s="180" t="str">
        <f aca="false">IF((D36="g"),F36," ")</f>
        <v> </v>
      </c>
      <c r="N36" s="180" t="str">
        <f aca="false">IF((D36="a"),F36," ")</f>
        <v> </v>
      </c>
      <c r="O36" s="180" t="str">
        <f aca="false">IF((D36="l"),F36," ")</f>
        <v> </v>
      </c>
      <c r="P36" s="180" t="str">
        <f aca="false">IF((D36="i"),F36," ")</f>
        <v> </v>
      </c>
      <c r="Q36" s="180" t="str">
        <f aca="false">IF((D36="b"),F36," ")</f>
        <v> </v>
      </c>
      <c r="R36" s="180" t="str">
        <f aca="false">IF((D36="o"),F36," ")</f>
        <v> </v>
      </c>
      <c r="S36" s="180" t="str">
        <f aca="false">IF((D36="f"),F36," ")</f>
        <v> </v>
      </c>
      <c r="U36" s="371"/>
    </row>
    <row r="37" customFormat="false" ht="12.75" hidden="false" customHeight="false" outlineLevel="0" collapsed="false">
      <c r="D37" s="371" t="str">
        <f aca="false">IF((F37&lt;&gt;0),"Enter Letter"," ")</f>
        <v> </v>
      </c>
      <c r="G37" s="180" t="str">
        <f aca="false">IF((D37="d"),F37," ")</f>
        <v> </v>
      </c>
      <c r="H37" s="180" t="str">
        <f aca="false">IF((D37="h"),F37," ")</f>
        <v> </v>
      </c>
      <c r="I37" s="180" t="str">
        <f aca="false">IF((D37="r"),F37," ")</f>
        <v> </v>
      </c>
      <c r="J37" s="180" t="str">
        <f aca="false">IF((D37="t"),F37," ")</f>
        <v> </v>
      </c>
      <c r="K37" s="180" t="str">
        <f aca="false">IF((D37="e"),F37," ")</f>
        <v> </v>
      </c>
      <c r="L37" s="180" t="str">
        <f aca="false">IF((D37="p"),F37," ")</f>
        <v> </v>
      </c>
      <c r="M37" s="180" t="str">
        <f aca="false">IF((D37="g"),F37," ")</f>
        <v> </v>
      </c>
      <c r="N37" s="180" t="str">
        <f aca="false">IF((D37="a"),F37," ")</f>
        <v> </v>
      </c>
      <c r="O37" s="180" t="str">
        <f aca="false">IF((D37="l"),F37," ")</f>
        <v> </v>
      </c>
      <c r="P37" s="180" t="str">
        <f aca="false">IF((D37="i"),F37," ")</f>
        <v> </v>
      </c>
      <c r="Q37" s="180" t="str">
        <f aca="false">IF((D37="b"),F37," ")</f>
        <v> </v>
      </c>
      <c r="R37" s="180" t="str">
        <f aca="false">IF((D37="o"),F37," ")</f>
        <v> </v>
      </c>
      <c r="S37" s="180" t="str">
        <f aca="false">IF((D37="f"),F37," ")</f>
        <v> </v>
      </c>
      <c r="U37" s="371"/>
    </row>
    <row r="38" customFormat="false" ht="12.75" hidden="false" customHeight="false" outlineLevel="0" collapsed="false">
      <c r="D38" s="371" t="str">
        <f aca="false">IF((F38&lt;&gt;0),"Enter Letter"," ")</f>
        <v> </v>
      </c>
      <c r="G38" s="180" t="str">
        <f aca="false">IF((D38="d"),F38," ")</f>
        <v> </v>
      </c>
      <c r="H38" s="180" t="str">
        <f aca="false">IF((D38="h"),F38," ")</f>
        <v> </v>
      </c>
      <c r="I38" s="180" t="str">
        <f aca="false">IF((D38="r"),F38," ")</f>
        <v> </v>
      </c>
      <c r="J38" s="180" t="str">
        <f aca="false">IF((D38="t"),F38," ")</f>
        <v> </v>
      </c>
      <c r="K38" s="180" t="str">
        <f aca="false">IF((D38="e"),F38," ")</f>
        <v> </v>
      </c>
      <c r="L38" s="180" t="str">
        <f aca="false">IF((D38="p"),F38," ")</f>
        <v> </v>
      </c>
      <c r="M38" s="180" t="str">
        <f aca="false">IF((D38="g"),F38," ")</f>
        <v> </v>
      </c>
      <c r="N38" s="180" t="str">
        <f aca="false">IF((D38="a"),F38," ")</f>
        <v> </v>
      </c>
      <c r="O38" s="180" t="str">
        <f aca="false">IF((D38="l"),F38," ")</f>
        <v> </v>
      </c>
      <c r="P38" s="180" t="str">
        <f aca="false">IF((D38="i"),F38," ")</f>
        <v> </v>
      </c>
      <c r="Q38" s="180" t="str">
        <f aca="false">IF((D38="b"),F38," ")</f>
        <v> </v>
      </c>
      <c r="R38" s="180" t="str">
        <f aca="false">IF((D38="o"),F38," ")</f>
        <v> </v>
      </c>
      <c r="S38" s="180" t="str">
        <f aca="false">IF((D38="f"),F38," ")</f>
        <v> </v>
      </c>
      <c r="U38" s="371"/>
    </row>
    <row r="39" customFormat="false" ht="12.75" hidden="false" customHeight="false" outlineLevel="0" collapsed="false">
      <c r="D39" s="371" t="str">
        <f aca="false">IF((F39&lt;&gt;0),"Enter Letter"," ")</f>
        <v> </v>
      </c>
      <c r="G39" s="180" t="str">
        <f aca="false">IF((D39="d"),F39," ")</f>
        <v> </v>
      </c>
      <c r="H39" s="180" t="str">
        <f aca="false">IF((D39="h"),F39," ")</f>
        <v> </v>
      </c>
      <c r="I39" s="180" t="str">
        <f aca="false">IF((D39="r"),F39," ")</f>
        <v> </v>
      </c>
      <c r="J39" s="180" t="str">
        <f aca="false">IF((D39="t"),F39," ")</f>
        <v> </v>
      </c>
      <c r="K39" s="180" t="str">
        <f aca="false">IF((D39="e"),F39," ")</f>
        <v> </v>
      </c>
      <c r="L39" s="180" t="str">
        <f aca="false">IF((D39="p"),F39," ")</f>
        <v> </v>
      </c>
      <c r="M39" s="180" t="str">
        <f aca="false">IF((D39="g"),F39," ")</f>
        <v> </v>
      </c>
      <c r="N39" s="180" t="str">
        <f aca="false">IF((D39="a"),F39," ")</f>
        <v> </v>
      </c>
      <c r="O39" s="180" t="str">
        <f aca="false">IF((D39="l"),F39," ")</f>
        <v> </v>
      </c>
      <c r="P39" s="180" t="str">
        <f aca="false">IF((D39="i"),F39," ")</f>
        <v> </v>
      </c>
      <c r="Q39" s="180" t="str">
        <f aca="false">IF((D39="b"),F39," ")</f>
        <v> </v>
      </c>
      <c r="R39" s="180" t="str">
        <f aca="false">IF((D39="o"),F39," ")</f>
        <v> </v>
      </c>
      <c r="S39" s="180" t="str">
        <f aca="false">IF((D39="f"),F39," ")</f>
        <v> </v>
      </c>
      <c r="U39" s="371"/>
    </row>
    <row r="40" customFormat="false" ht="12.75" hidden="false" customHeight="false" outlineLevel="0" collapsed="false">
      <c r="D40" s="371" t="str">
        <f aca="false">IF((F40&lt;&gt;0),"Enter Letter"," ")</f>
        <v> </v>
      </c>
      <c r="G40" s="180" t="str">
        <f aca="false">IF((D40="d"),F40," ")</f>
        <v> </v>
      </c>
      <c r="H40" s="180" t="str">
        <f aca="false">IF((D40="h"),F40," ")</f>
        <v> </v>
      </c>
      <c r="I40" s="180" t="str">
        <f aca="false">IF((D40="r"),F40," ")</f>
        <v> </v>
      </c>
      <c r="J40" s="180" t="str">
        <f aca="false">IF((D40="t"),F40," ")</f>
        <v> </v>
      </c>
      <c r="K40" s="180" t="str">
        <f aca="false">IF((D40="e"),F40," ")</f>
        <v> </v>
      </c>
      <c r="L40" s="180" t="str">
        <f aca="false">IF((D40="p"),F40," ")</f>
        <v> </v>
      </c>
      <c r="M40" s="180" t="str">
        <f aca="false">IF((D40="g"),F40," ")</f>
        <v> </v>
      </c>
      <c r="N40" s="180" t="str">
        <f aca="false">IF((D40="a"),F40," ")</f>
        <v> </v>
      </c>
      <c r="O40" s="180" t="str">
        <f aca="false">IF((D40="l"),F40," ")</f>
        <v> </v>
      </c>
      <c r="P40" s="180" t="str">
        <f aca="false">IF((D40="i"),F40," ")</f>
        <v> </v>
      </c>
      <c r="Q40" s="180" t="str">
        <f aca="false">IF((D40="b"),F40," ")</f>
        <v> </v>
      </c>
      <c r="R40" s="180" t="str">
        <f aca="false">IF((D40="o"),F40," ")</f>
        <v> </v>
      </c>
      <c r="S40" s="180" t="str">
        <f aca="false">IF((D40="f"),F40," ")</f>
        <v> </v>
      </c>
      <c r="U40" s="371"/>
    </row>
    <row r="41" customFormat="false" ht="12.75" hidden="false" customHeight="false" outlineLevel="0" collapsed="false">
      <c r="D41" s="371" t="str">
        <f aca="false">IF((F41&lt;&gt;0),"Enter Letter"," ")</f>
        <v> </v>
      </c>
      <c r="G41" s="180" t="str">
        <f aca="false">IF((D41="d"),F41," ")</f>
        <v> </v>
      </c>
      <c r="H41" s="180" t="str">
        <f aca="false">IF((D41="h"),F41," ")</f>
        <v> </v>
      </c>
      <c r="I41" s="180" t="str">
        <f aca="false">IF((D41="r"),F41," ")</f>
        <v> </v>
      </c>
      <c r="J41" s="180" t="str">
        <f aca="false">IF((D41="t"),F41," ")</f>
        <v> </v>
      </c>
      <c r="K41" s="180" t="str">
        <f aca="false">IF((D41="e"),F41," ")</f>
        <v> </v>
      </c>
      <c r="L41" s="180" t="str">
        <f aca="false">IF((D41="p"),F41," ")</f>
        <v> </v>
      </c>
      <c r="M41" s="180" t="str">
        <f aca="false">IF((D41="g"),F41," ")</f>
        <v> </v>
      </c>
      <c r="N41" s="180" t="str">
        <f aca="false">IF((D41="a"),F41," ")</f>
        <v> </v>
      </c>
      <c r="O41" s="180" t="str">
        <f aca="false">IF((D41="l"),F41," ")</f>
        <v> </v>
      </c>
      <c r="P41" s="180" t="str">
        <f aca="false">IF((D41="i"),F41," ")</f>
        <v> </v>
      </c>
      <c r="Q41" s="180" t="str">
        <f aca="false">IF((D41="b"),F41," ")</f>
        <v> </v>
      </c>
      <c r="R41" s="180" t="str">
        <f aca="false">IF((D41="o"),F41," ")</f>
        <v> </v>
      </c>
      <c r="S41" s="180" t="str">
        <f aca="false">IF((D41="f"),F41," ")</f>
        <v> </v>
      </c>
      <c r="U41" s="371"/>
    </row>
    <row r="42" customFormat="false" ht="12.75" hidden="false" customHeight="false" outlineLevel="0" collapsed="false">
      <c r="D42" s="371" t="str">
        <f aca="false">IF((F42&lt;&gt;0),"Enter Letter"," ")</f>
        <v> </v>
      </c>
      <c r="G42" s="180" t="str">
        <f aca="false">IF((D42="d"),F42," ")</f>
        <v> </v>
      </c>
      <c r="H42" s="180" t="str">
        <f aca="false">IF((D42="h"),F42," ")</f>
        <v> </v>
      </c>
      <c r="I42" s="180" t="str">
        <f aca="false">IF((D42="r"),F42," ")</f>
        <v> </v>
      </c>
      <c r="J42" s="180" t="str">
        <f aca="false">IF((D42="t"),F42," ")</f>
        <v> </v>
      </c>
      <c r="K42" s="180" t="str">
        <f aca="false">IF((D42="e"),F42," ")</f>
        <v> </v>
      </c>
      <c r="L42" s="180" t="str">
        <f aca="false">IF((D42="p"),F42," ")</f>
        <v> </v>
      </c>
      <c r="M42" s="180" t="str">
        <f aca="false">IF((D42="g"),F42," ")</f>
        <v> </v>
      </c>
      <c r="N42" s="180" t="str">
        <f aca="false">IF((D42="a"),F42," ")</f>
        <v> </v>
      </c>
      <c r="O42" s="180" t="str">
        <f aca="false">IF((D42="l"),F42," ")</f>
        <v> </v>
      </c>
      <c r="P42" s="180" t="str">
        <f aca="false">IF((D42="i"),F42," ")</f>
        <v> </v>
      </c>
      <c r="Q42" s="180" t="str">
        <f aca="false">IF((D42="b"),F42," ")</f>
        <v> </v>
      </c>
      <c r="R42" s="180" t="str">
        <f aca="false">IF((D42="o"),F42," ")</f>
        <v> </v>
      </c>
      <c r="S42" s="180" t="str">
        <f aca="false">IF((D42="f"),F42," ")</f>
        <v> </v>
      </c>
      <c r="U42" s="371"/>
    </row>
    <row r="43" customFormat="false" ht="12.75" hidden="false" customHeight="false" outlineLevel="0" collapsed="false">
      <c r="D43" s="371" t="str">
        <f aca="false">IF((F43&lt;&gt;0),"Enter Letter"," ")</f>
        <v> </v>
      </c>
      <c r="G43" s="180" t="str">
        <f aca="false">IF((D43="d"),F43," ")</f>
        <v> </v>
      </c>
      <c r="H43" s="180" t="str">
        <f aca="false">IF((D43="h"),F43," ")</f>
        <v> </v>
      </c>
      <c r="I43" s="180" t="str">
        <f aca="false">IF((D43="r"),F43," ")</f>
        <v> </v>
      </c>
      <c r="J43" s="180" t="str">
        <f aca="false">IF((D43="t"),F43," ")</f>
        <v> </v>
      </c>
      <c r="K43" s="180" t="str">
        <f aca="false">IF((D43="e"),F43," ")</f>
        <v> </v>
      </c>
      <c r="L43" s="180" t="str">
        <f aca="false">IF((D43="p"),F43," ")</f>
        <v> </v>
      </c>
      <c r="M43" s="180" t="str">
        <f aca="false">IF((D43="g"),F43," ")</f>
        <v> </v>
      </c>
      <c r="N43" s="180" t="str">
        <f aca="false">IF((D43="a"),F43," ")</f>
        <v> </v>
      </c>
      <c r="O43" s="180" t="str">
        <f aca="false">IF((D43="l"),F43," ")</f>
        <v> </v>
      </c>
      <c r="P43" s="180" t="str">
        <f aca="false">IF((D43="i"),F43," ")</f>
        <v> </v>
      </c>
      <c r="Q43" s="180" t="str">
        <f aca="false">IF((D43="b"),F43," ")</f>
        <v> </v>
      </c>
      <c r="R43" s="180" t="str">
        <f aca="false">IF((D43="o"),F43," ")</f>
        <v> </v>
      </c>
      <c r="S43" s="180" t="str">
        <f aca="false">IF((D43="f"),F43," ")</f>
        <v> </v>
      </c>
      <c r="U43" s="371"/>
    </row>
    <row r="44" customFormat="false" ht="12.75" hidden="false" customHeight="false" outlineLevel="0" collapsed="false">
      <c r="D44" s="371" t="str">
        <f aca="false">IF((F44&lt;&gt;0),"Enter Letter"," ")</f>
        <v> </v>
      </c>
      <c r="G44" s="180" t="str">
        <f aca="false">IF((D44="d"),F44," ")</f>
        <v> </v>
      </c>
      <c r="H44" s="180" t="str">
        <f aca="false">IF((D44="h"),F44," ")</f>
        <v> </v>
      </c>
      <c r="I44" s="180" t="str">
        <f aca="false">IF((D44="r"),F44," ")</f>
        <v> </v>
      </c>
      <c r="J44" s="180" t="str">
        <f aca="false">IF((D44="t"),F44," ")</f>
        <v> </v>
      </c>
      <c r="K44" s="180" t="str">
        <f aca="false">IF((D44="e"),F44," ")</f>
        <v> </v>
      </c>
      <c r="L44" s="180" t="str">
        <f aca="false">IF((D44="p"),F44," ")</f>
        <v> </v>
      </c>
      <c r="M44" s="180" t="str">
        <f aca="false">IF((D44="g"),F44," ")</f>
        <v> </v>
      </c>
      <c r="N44" s="180" t="str">
        <f aca="false">IF((D44="a"),F44," ")</f>
        <v> </v>
      </c>
      <c r="O44" s="180" t="str">
        <f aca="false">IF((D44="l"),F44," ")</f>
        <v> </v>
      </c>
      <c r="P44" s="180" t="str">
        <f aca="false">IF((D44="i"),F44," ")</f>
        <v> </v>
      </c>
      <c r="Q44" s="180" t="str">
        <f aca="false">IF((D44="b"),F44," ")</f>
        <v> </v>
      </c>
      <c r="R44" s="180" t="str">
        <f aca="false">IF((D44="o"),F44," ")</f>
        <v> </v>
      </c>
      <c r="S44" s="180" t="str">
        <f aca="false">IF((D44="f"),F44," ")</f>
        <v> </v>
      </c>
      <c r="U44" s="371"/>
    </row>
    <row r="45" customFormat="false" ht="12.75" hidden="false" customHeight="false" outlineLevel="0" collapsed="false">
      <c r="D45" s="371" t="str">
        <f aca="false">IF((F45&lt;&gt;0),"Enter Letter"," ")</f>
        <v> </v>
      </c>
      <c r="G45" s="180" t="str">
        <f aca="false">IF((D45="d"),F45," ")</f>
        <v> </v>
      </c>
      <c r="H45" s="180" t="str">
        <f aca="false">IF((D45="h"),F45," ")</f>
        <v> </v>
      </c>
      <c r="I45" s="180" t="str">
        <f aca="false">IF((D45="r"),F45," ")</f>
        <v> </v>
      </c>
      <c r="J45" s="180" t="str">
        <f aca="false">IF((D45="t"),F45," ")</f>
        <v> </v>
      </c>
      <c r="K45" s="180" t="str">
        <f aca="false">IF((D45="e"),F45," ")</f>
        <v> </v>
      </c>
      <c r="L45" s="180" t="str">
        <f aca="false">IF((D45="p"),F45," ")</f>
        <v> </v>
      </c>
      <c r="M45" s="180" t="str">
        <f aca="false">IF((D45="g"),F45," ")</f>
        <v> </v>
      </c>
      <c r="N45" s="180" t="str">
        <f aca="false">IF((D45="a"),F45," ")</f>
        <v> </v>
      </c>
      <c r="O45" s="180" t="str">
        <f aca="false">IF((D45="l"),F45," ")</f>
        <v> </v>
      </c>
      <c r="P45" s="180" t="str">
        <f aca="false">IF((D45="i"),F45," ")</f>
        <v> </v>
      </c>
      <c r="Q45" s="180" t="str">
        <f aca="false">IF((D45="b"),F45," ")</f>
        <v> </v>
      </c>
      <c r="R45" s="180" t="str">
        <f aca="false">IF((D45="o"),F45," ")</f>
        <v> </v>
      </c>
      <c r="S45" s="180" t="str">
        <f aca="false">IF((D45="f"),F45," ")</f>
        <v> </v>
      </c>
      <c r="U45" s="371"/>
    </row>
    <row r="46" customFormat="false" ht="12.75" hidden="false" customHeight="false" outlineLevel="0" collapsed="false">
      <c r="D46" s="371" t="str">
        <f aca="false">IF((F46&lt;&gt;0),"Enter Letter"," ")</f>
        <v> </v>
      </c>
      <c r="G46" s="180" t="str">
        <f aca="false">IF((D46="d"),F46," ")</f>
        <v> </v>
      </c>
      <c r="H46" s="180" t="str">
        <f aca="false">IF((D46="h"),F46," ")</f>
        <v> </v>
      </c>
      <c r="I46" s="180" t="str">
        <f aca="false">IF((D46="r"),F46," ")</f>
        <v> </v>
      </c>
      <c r="J46" s="180" t="str">
        <f aca="false">IF((D46="t"),F46," ")</f>
        <v> </v>
      </c>
      <c r="K46" s="180" t="str">
        <f aca="false">IF((D46="e"),F46," ")</f>
        <v> </v>
      </c>
      <c r="L46" s="180" t="str">
        <f aca="false">IF((D46="p"),F46," ")</f>
        <v> </v>
      </c>
      <c r="M46" s="180" t="str">
        <f aca="false">IF((D46="g"),F46," ")</f>
        <v> </v>
      </c>
      <c r="N46" s="180" t="str">
        <f aca="false">IF((D46="a"),F46," ")</f>
        <v> </v>
      </c>
      <c r="O46" s="180" t="str">
        <f aca="false">IF((D46="l"),F46," ")</f>
        <v> </v>
      </c>
      <c r="P46" s="180" t="str">
        <f aca="false">IF((D46="i"),F46," ")</f>
        <v> </v>
      </c>
      <c r="Q46" s="180" t="str">
        <f aca="false">IF((D46="b"),F46," ")</f>
        <v> </v>
      </c>
      <c r="R46" s="180" t="str">
        <f aca="false">IF((D46="o"),F46," ")</f>
        <v> </v>
      </c>
      <c r="S46" s="180" t="str">
        <f aca="false">IF((D46="f"),F46," ")</f>
        <v> </v>
      </c>
      <c r="U46" s="371"/>
    </row>
    <row r="47" customFormat="false" ht="12.75" hidden="false" customHeight="false" outlineLevel="0" collapsed="false">
      <c r="D47" s="371" t="str">
        <f aca="false">IF((F47&lt;&gt;0),"Enter Letter"," ")</f>
        <v> </v>
      </c>
      <c r="G47" s="180" t="str">
        <f aca="false">IF((D47="d"),F47," ")</f>
        <v> </v>
      </c>
      <c r="H47" s="180" t="str">
        <f aca="false">IF((D47="h"),F47," ")</f>
        <v> </v>
      </c>
      <c r="I47" s="180" t="str">
        <f aca="false">IF((D47="r"),F47," ")</f>
        <v> </v>
      </c>
      <c r="J47" s="180" t="str">
        <f aca="false">IF((D47="t"),F47," ")</f>
        <v> </v>
      </c>
      <c r="K47" s="180" t="str">
        <f aca="false">IF((D47="e"),F47," ")</f>
        <v> </v>
      </c>
      <c r="L47" s="180" t="str">
        <f aca="false">IF((D47="p"),F47," ")</f>
        <v> </v>
      </c>
      <c r="M47" s="180" t="str">
        <f aca="false">IF((D47="g"),F47," ")</f>
        <v> </v>
      </c>
      <c r="N47" s="180" t="str">
        <f aca="false">IF((D47="a"),F47," ")</f>
        <v> </v>
      </c>
      <c r="O47" s="180" t="str">
        <f aca="false">IF((D47="l"),F47," ")</f>
        <v> </v>
      </c>
      <c r="P47" s="180" t="str">
        <f aca="false">IF((D47="i"),F47," ")</f>
        <v> </v>
      </c>
      <c r="Q47" s="180" t="str">
        <f aca="false">IF((D47="b"),F47," ")</f>
        <v> </v>
      </c>
      <c r="R47" s="180" t="str">
        <f aca="false">IF((D47="o"),F47," ")</f>
        <v> </v>
      </c>
      <c r="S47" s="180" t="str">
        <f aca="false">IF((D47="f"),F47," ")</f>
        <v> </v>
      </c>
      <c r="U47" s="371"/>
    </row>
    <row r="48" customFormat="false" ht="12.75" hidden="false" customHeight="false" outlineLevel="0" collapsed="false">
      <c r="D48" s="371" t="str">
        <f aca="false">IF((F48&lt;&gt;0),"Enter Letter"," ")</f>
        <v> </v>
      </c>
      <c r="G48" s="180" t="str">
        <f aca="false">IF((D48="d"),F48," ")</f>
        <v> </v>
      </c>
      <c r="H48" s="180" t="str">
        <f aca="false">IF((D48="h"),F48," ")</f>
        <v> </v>
      </c>
      <c r="I48" s="180" t="str">
        <f aca="false">IF((D48="r"),F48," ")</f>
        <v> </v>
      </c>
      <c r="J48" s="180" t="str">
        <f aca="false">IF((D48="t"),F48," ")</f>
        <v> </v>
      </c>
      <c r="K48" s="180" t="str">
        <f aca="false">IF((D48="e"),F48," ")</f>
        <v> </v>
      </c>
      <c r="L48" s="180" t="str">
        <f aca="false">IF((D48="p"),F48," ")</f>
        <v> </v>
      </c>
      <c r="M48" s="180" t="str">
        <f aca="false">IF((D48="g"),F48," ")</f>
        <v> </v>
      </c>
      <c r="N48" s="180" t="str">
        <f aca="false">IF((D48="a"),F48," ")</f>
        <v> </v>
      </c>
      <c r="O48" s="180" t="str">
        <f aca="false">IF((D48="l"),F48," ")</f>
        <v> </v>
      </c>
      <c r="P48" s="180" t="str">
        <f aca="false">IF((D48="i"),F48," ")</f>
        <v> </v>
      </c>
      <c r="Q48" s="180" t="str">
        <f aca="false">IF((D48="b"),F48," ")</f>
        <v> </v>
      </c>
      <c r="R48" s="180" t="str">
        <f aca="false">IF((D48="o"),F48," ")</f>
        <v> </v>
      </c>
      <c r="S48" s="180" t="str">
        <f aca="false">IF((D48="f"),F48," ")</f>
        <v> </v>
      </c>
      <c r="U48" s="371"/>
    </row>
    <row r="49" customFormat="false" ht="12.75" hidden="false" customHeight="false" outlineLevel="0" collapsed="false">
      <c r="D49" s="371" t="str">
        <f aca="false">IF((F49&lt;&gt;0),"Enter Letter"," ")</f>
        <v> </v>
      </c>
      <c r="G49" s="180" t="str">
        <f aca="false">IF((D49="d"),F49," ")</f>
        <v> </v>
      </c>
      <c r="H49" s="180" t="str">
        <f aca="false">IF((D49="h"),F49," ")</f>
        <v> </v>
      </c>
      <c r="I49" s="180" t="str">
        <f aca="false">IF((D49="r"),F49," ")</f>
        <v> </v>
      </c>
      <c r="J49" s="180" t="str">
        <f aca="false">IF((D49="t"),F49," ")</f>
        <v> </v>
      </c>
      <c r="K49" s="180" t="str">
        <f aca="false">IF((D49="e"),F49," ")</f>
        <v> </v>
      </c>
      <c r="L49" s="180" t="str">
        <f aca="false">IF((D49="p"),F49," ")</f>
        <v> </v>
      </c>
      <c r="M49" s="180" t="str">
        <f aca="false">IF((D49="g"),F49," ")</f>
        <v> </v>
      </c>
      <c r="N49" s="180" t="str">
        <f aca="false">IF((D49="a"),F49," ")</f>
        <v> </v>
      </c>
      <c r="O49" s="180" t="str">
        <f aca="false">IF((D49="l"),F49," ")</f>
        <v> </v>
      </c>
      <c r="P49" s="180" t="str">
        <f aca="false">IF((D49="i"),F49," ")</f>
        <v> </v>
      </c>
      <c r="Q49" s="180" t="str">
        <f aca="false">IF((D49="b"),F49," ")</f>
        <v> </v>
      </c>
      <c r="R49" s="180" t="str">
        <f aca="false">IF((D49="o"),F49," ")</f>
        <v> </v>
      </c>
      <c r="S49" s="180" t="str">
        <f aca="false">IF((D49="f"),F49," ")</f>
        <v> </v>
      </c>
      <c r="U49" s="371"/>
    </row>
    <row r="50" customFormat="false" ht="12.75" hidden="false" customHeight="false" outlineLevel="0" collapsed="false">
      <c r="D50" s="371" t="str">
        <f aca="false">IF((F50&lt;&gt;0),"Enter Letter"," ")</f>
        <v> </v>
      </c>
      <c r="G50" s="180" t="str">
        <f aca="false">IF((D50="d"),F50," ")</f>
        <v> </v>
      </c>
      <c r="H50" s="180" t="str">
        <f aca="false">IF((D50="h"),F50," ")</f>
        <v> </v>
      </c>
      <c r="I50" s="180" t="str">
        <f aca="false">IF((D50="r"),F50," ")</f>
        <v> </v>
      </c>
      <c r="J50" s="180" t="str">
        <f aca="false">IF((D50="t"),F50," ")</f>
        <v> </v>
      </c>
      <c r="K50" s="180" t="str">
        <f aca="false">IF((D50="e"),F50," ")</f>
        <v> </v>
      </c>
      <c r="L50" s="180" t="str">
        <f aca="false">IF((D50="p"),F50," ")</f>
        <v> </v>
      </c>
      <c r="M50" s="180" t="str">
        <f aca="false">IF((D50="g"),F50," ")</f>
        <v> </v>
      </c>
      <c r="N50" s="180" t="str">
        <f aca="false">IF((D50="a"),F50," ")</f>
        <v> </v>
      </c>
      <c r="O50" s="180" t="str">
        <f aca="false">IF((D50="l"),F50," ")</f>
        <v> </v>
      </c>
      <c r="P50" s="180" t="str">
        <f aca="false">IF((D50="i"),F50," ")</f>
        <v> </v>
      </c>
      <c r="Q50" s="180" t="str">
        <f aca="false">IF((D50="b"),F50," ")</f>
        <v> </v>
      </c>
      <c r="R50" s="180" t="str">
        <f aca="false">IF((D50="o"),F50," ")</f>
        <v> </v>
      </c>
      <c r="S50" s="180" t="str">
        <f aca="false">IF((D50="f"),F50," ")</f>
        <v> </v>
      </c>
      <c r="U50" s="371"/>
    </row>
    <row r="51" customFormat="false" ht="12.75" hidden="false" customHeight="false" outlineLevel="0" collapsed="false">
      <c r="D51" s="371" t="str">
        <f aca="false">IF((F51&lt;&gt;0),"Enter Letter"," ")</f>
        <v> </v>
      </c>
      <c r="G51" s="180" t="str">
        <f aca="false">IF((D51="d"),F51," ")</f>
        <v> </v>
      </c>
      <c r="H51" s="180" t="str">
        <f aca="false">IF((D51="h"),F51," ")</f>
        <v> </v>
      </c>
      <c r="I51" s="180" t="str">
        <f aca="false">IF((D51="r"),F51," ")</f>
        <v> </v>
      </c>
      <c r="J51" s="180" t="str">
        <f aca="false">IF((D51="t"),F51," ")</f>
        <v> </v>
      </c>
      <c r="K51" s="180" t="str">
        <f aca="false">IF((D51="e"),F51," ")</f>
        <v> </v>
      </c>
      <c r="L51" s="180" t="str">
        <f aca="false">IF((D51="p"),F51," ")</f>
        <v> </v>
      </c>
      <c r="M51" s="180" t="str">
        <f aca="false">IF((D51="g"),F51," ")</f>
        <v> </v>
      </c>
      <c r="N51" s="180" t="str">
        <f aca="false">IF((D51="a"),F51," ")</f>
        <v> </v>
      </c>
      <c r="O51" s="180" t="str">
        <f aca="false">IF((D51="l"),F51," ")</f>
        <v> </v>
      </c>
      <c r="P51" s="180" t="str">
        <f aca="false">IF((D51="i"),F51," ")</f>
        <v> </v>
      </c>
      <c r="Q51" s="180" t="str">
        <f aca="false">IF((D51="b"),F51," ")</f>
        <v> </v>
      </c>
      <c r="R51" s="180" t="str">
        <f aca="false">IF((D51="o"),F51," ")</f>
        <v> </v>
      </c>
      <c r="S51" s="180" t="str">
        <f aca="false">IF((D51="f"),F51," ")</f>
        <v> </v>
      </c>
      <c r="U51" s="371"/>
    </row>
    <row r="52" customFormat="false" ht="12.75" hidden="false" customHeight="false" outlineLevel="0" collapsed="false">
      <c r="D52" s="371" t="str">
        <f aca="false">IF((F52&lt;&gt;0),"Enter Letter"," ")</f>
        <v> </v>
      </c>
      <c r="G52" s="180" t="str">
        <f aca="false">IF((D52="d"),F52," ")</f>
        <v> </v>
      </c>
      <c r="H52" s="180" t="str">
        <f aca="false">IF((D52="h"),F52," ")</f>
        <v> </v>
      </c>
      <c r="I52" s="180" t="str">
        <f aca="false">IF((D52="r"),F52," ")</f>
        <v> </v>
      </c>
      <c r="J52" s="180" t="str">
        <f aca="false">IF((D52="t"),F52," ")</f>
        <v> </v>
      </c>
      <c r="K52" s="180" t="str">
        <f aca="false">IF((D52="e"),F52," ")</f>
        <v> </v>
      </c>
      <c r="L52" s="180" t="str">
        <f aca="false">IF((D52="p"),F52," ")</f>
        <v> </v>
      </c>
      <c r="M52" s="180" t="str">
        <f aca="false">IF((D52="g"),F52," ")</f>
        <v> </v>
      </c>
      <c r="N52" s="180" t="str">
        <f aca="false">IF((D52="a"),F52," ")</f>
        <v> </v>
      </c>
      <c r="O52" s="180" t="str">
        <f aca="false">IF((D52="l"),F52," ")</f>
        <v> </v>
      </c>
      <c r="P52" s="180" t="str">
        <f aca="false">IF((D52="i"),F52," ")</f>
        <v> </v>
      </c>
      <c r="Q52" s="180" t="str">
        <f aca="false">IF((D52="b"),F52," ")</f>
        <v> </v>
      </c>
      <c r="R52" s="180" t="str">
        <f aca="false">IF((D52="o"),F52," ")</f>
        <v> </v>
      </c>
      <c r="S52" s="180" t="str">
        <f aca="false">IF((D52="f"),F52," ")</f>
        <v> </v>
      </c>
      <c r="U52" s="371"/>
    </row>
    <row r="53" customFormat="false" ht="12.75" hidden="false" customHeight="false" outlineLevel="0" collapsed="false">
      <c r="D53" s="371" t="str">
        <f aca="false">IF((F53&lt;&gt;0),"Enter Letter"," ")</f>
        <v> </v>
      </c>
      <c r="G53" s="180" t="str">
        <f aca="false">IF((D53="d"),F53," ")</f>
        <v> </v>
      </c>
      <c r="H53" s="180" t="str">
        <f aca="false">IF((D53="h"),F53," ")</f>
        <v> </v>
      </c>
      <c r="I53" s="180" t="str">
        <f aca="false">IF((D53="r"),F53," ")</f>
        <v> </v>
      </c>
      <c r="J53" s="180" t="str">
        <f aca="false">IF((D53="t"),F53," ")</f>
        <v> </v>
      </c>
      <c r="K53" s="180" t="str">
        <f aca="false">IF((D53="e"),F53," ")</f>
        <v> </v>
      </c>
      <c r="L53" s="180" t="str">
        <f aca="false">IF((D53="p"),F53," ")</f>
        <v> </v>
      </c>
      <c r="M53" s="180" t="str">
        <f aca="false">IF((D53="g"),F53," ")</f>
        <v> </v>
      </c>
      <c r="N53" s="180" t="str">
        <f aca="false">IF((D53="a"),F53," ")</f>
        <v> </v>
      </c>
      <c r="O53" s="180" t="str">
        <f aca="false">IF((D53="l"),F53," ")</f>
        <v> </v>
      </c>
      <c r="P53" s="180" t="str">
        <f aca="false">IF((D53="i"),F53," ")</f>
        <v> </v>
      </c>
      <c r="Q53" s="180" t="str">
        <f aca="false">IF((D53="b"),F53," ")</f>
        <v> </v>
      </c>
      <c r="R53" s="180" t="str">
        <f aca="false">IF((D53="o"),F53," ")</f>
        <v> </v>
      </c>
      <c r="S53" s="180" t="str">
        <f aca="false">IF((D53="f"),F53," ")</f>
        <v> </v>
      </c>
      <c r="U53" s="371"/>
    </row>
    <row r="54" customFormat="false" ht="12.75" hidden="false" customHeight="false" outlineLevel="0" collapsed="false">
      <c r="D54" s="371" t="str">
        <f aca="false">IF((F54&lt;&gt;0),"Enter Letter"," ")</f>
        <v> </v>
      </c>
      <c r="G54" s="180" t="str">
        <f aca="false">IF((D54="d"),F54," ")</f>
        <v> </v>
      </c>
      <c r="H54" s="180" t="str">
        <f aca="false">IF((D54="h"),F54," ")</f>
        <v> </v>
      </c>
      <c r="I54" s="180" t="str">
        <f aca="false">IF((D54="r"),F54," ")</f>
        <v> </v>
      </c>
      <c r="J54" s="180" t="str">
        <f aca="false">IF((D54="t"),F54," ")</f>
        <v> </v>
      </c>
      <c r="K54" s="180" t="str">
        <f aca="false">IF((D54="e"),F54," ")</f>
        <v> </v>
      </c>
      <c r="L54" s="180" t="str">
        <f aca="false">IF((D54="p"),F54," ")</f>
        <v> </v>
      </c>
      <c r="M54" s="180" t="str">
        <f aca="false">IF((D54="g"),F54," ")</f>
        <v> </v>
      </c>
      <c r="N54" s="180" t="str">
        <f aca="false">IF((D54="a"),F54," ")</f>
        <v> </v>
      </c>
      <c r="O54" s="180" t="str">
        <f aca="false">IF((D54="l"),F54," ")</f>
        <v> </v>
      </c>
      <c r="P54" s="180" t="str">
        <f aca="false">IF((D54="i"),F54," ")</f>
        <v> </v>
      </c>
      <c r="Q54" s="180" t="str">
        <f aca="false">IF((D54="b"),F54," ")</f>
        <v> </v>
      </c>
      <c r="R54" s="180" t="str">
        <f aca="false">IF((D54="o"),F54," ")</f>
        <v> </v>
      </c>
      <c r="S54" s="180" t="str">
        <f aca="false">IF((D54="f"),F54," ")</f>
        <v> </v>
      </c>
      <c r="U54" s="371"/>
    </row>
    <row r="55" customFormat="false" ht="12.75" hidden="false" customHeight="false" outlineLevel="0" collapsed="false">
      <c r="D55" s="371" t="str">
        <f aca="false">IF((F55&lt;&gt;0),"Enter Letter"," ")</f>
        <v> </v>
      </c>
      <c r="G55" s="180" t="str">
        <f aca="false">IF((D55="d"),F55," ")</f>
        <v> </v>
      </c>
      <c r="H55" s="180" t="str">
        <f aca="false">IF((D55="h"),F55," ")</f>
        <v> </v>
      </c>
      <c r="I55" s="180" t="str">
        <f aca="false">IF((D55="r"),F55," ")</f>
        <v> </v>
      </c>
      <c r="J55" s="180" t="str">
        <f aca="false">IF((D55="t"),F55," ")</f>
        <v> </v>
      </c>
      <c r="K55" s="180" t="str">
        <f aca="false">IF((D55="e"),F55," ")</f>
        <v> </v>
      </c>
      <c r="L55" s="180" t="str">
        <f aca="false">IF((D55="p"),F55," ")</f>
        <v> </v>
      </c>
      <c r="M55" s="180" t="str">
        <f aca="false">IF((D55="g"),F55," ")</f>
        <v> </v>
      </c>
      <c r="N55" s="180" t="str">
        <f aca="false">IF((D55="a"),F55," ")</f>
        <v> </v>
      </c>
      <c r="O55" s="180" t="str">
        <f aca="false">IF((D55="l"),F55," ")</f>
        <v> </v>
      </c>
      <c r="P55" s="180" t="str">
        <f aca="false">IF((D55="i"),F55," ")</f>
        <v> </v>
      </c>
      <c r="Q55" s="180" t="str">
        <f aca="false">IF((D55="b"),F55," ")</f>
        <v> </v>
      </c>
      <c r="R55" s="180" t="str">
        <f aca="false">IF((D55="o"),F55," ")</f>
        <v> </v>
      </c>
      <c r="S55" s="180" t="str">
        <f aca="false">IF((D55="f"),F55," ")</f>
        <v> </v>
      </c>
      <c r="U55" s="371"/>
    </row>
    <row r="56" customFormat="false" ht="12.75" hidden="false" customHeight="false" outlineLevel="0" collapsed="false">
      <c r="D56" s="371" t="str">
        <f aca="false">IF((F56&lt;&gt;0),"Enter Letter"," ")</f>
        <v> </v>
      </c>
      <c r="G56" s="180" t="str">
        <f aca="false">IF((D56="d"),F56," ")</f>
        <v> </v>
      </c>
      <c r="H56" s="180" t="str">
        <f aca="false">IF((D56="h"),F56," ")</f>
        <v> </v>
      </c>
      <c r="I56" s="180" t="str">
        <f aca="false">IF((D56="r"),F56," ")</f>
        <v> </v>
      </c>
      <c r="J56" s="180" t="str">
        <f aca="false">IF((D56="t"),F56," ")</f>
        <v> </v>
      </c>
      <c r="K56" s="180" t="str">
        <f aca="false">IF((D56="e"),F56," ")</f>
        <v> </v>
      </c>
      <c r="L56" s="180" t="str">
        <f aca="false">IF((D56="p"),F56," ")</f>
        <v> </v>
      </c>
      <c r="M56" s="180" t="str">
        <f aca="false">IF((D56="g"),F56," ")</f>
        <v> </v>
      </c>
      <c r="N56" s="180" t="str">
        <f aca="false">IF((D56="a"),F56," ")</f>
        <v> </v>
      </c>
      <c r="O56" s="180" t="str">
        <f aca="false">IF((D56="l"),F56," ")</f>
        <v> </v>
      </c>
      <c r="P56" s="180" t="str">
        <f aca="false">IF((D56="i"),F56," ")</f>
        <v> </v>
      </c>
      <c r="Q56" s="180" t="str">
        <f aca="false">IF((D56="b"),F56," ")</f>
        <v> </v>
      </c>
      <c r="R56" s="180" t="str">
        <f aca="false">IF((D56="o"),F56," ")</f>
        <v> </v>
      </c>
      <c r="S56" s="180" t="str">
        <f aca="false">IF((D56="f"),F56," ")</f>
        <v> </v>
      </c>
      <c r="U56" s="371"/>
    </row>
    <row r="57" customFormat="false" ht="12.75" hidden="false" customHeight="false" outlineLevel="0" collapsed="false">
      <c r="D57" s="371" t="str">
        <f aca="false">IF((F57&lt;&gt;0),"Enter Letter"," ")</f>
        <v> </v>
      </c>
      <c r="G57" s="180" t="str">
        <f aca="false">IF((D57="d"),F57," ")</f>
        <v> </v>
      </c>
      <c r="H57" s="180" t="str">
        <f aca="false">IF((D57="h"),F57," ")</f>
        <v> </v>
      </c>
      <c r="I57" s="180" t="str">
        <f aca="false">IF((D57="r"),F57," ")</f>
        <v> </v>
      </c>
      <c r="J57" s="180" t="str">
        <f aca="false">IF((D57="t"),F57," ")</f>
        <v> </v>
      </c>
      <c r="K57" s="180" t="str">
        <f aca="false">IF((D57="e"),F57," ")</f>
        <v> </v>
      </c>
      <c r="L57" s="180" t="str">
        <f aca="false">IF((D57="p"),F57," ")</f>
        <v> </v>
      </c>
      <c r="M57" s="180" t="str">
        <f aca="false">IF((D57="g"),F57," ")</f>
        <v> </v>
      </c>
      <c r="N57" s="180" t="str">
        <f aca="false">IF((D57="a"),F57," ")</f>
        <v> </v>
      </c>
      <c r="O57" s="180" t="str">
        <f aca="false">IF((D57="l"),F57," ")</f>
        <v> </v>
      </c>
      <c r="P57" s="180" t="str">
        <f aca="false">IF((D57="i"),F57," ")</f>
        <v> </v>
      </c>
      <c r="Q57" s="180" t="str">
        <f aca="false">IF((D57="b"),F57," ")</f>
        <v> </v>
      </c>
      <c r="R57" s="180" t="str">
        <f aca="false">IF((D57="o"),F57," ")</f>
        <v> </v>
      </c>
      <c r="S57" s="180" t="str">
        <f aca="false">IF((D57="f"),F57," ")</f>
        <v> </v>
      </c>
      <c r="U57" s="371"/>
    </row>
    <row r="58" customFormat="false" ht="12.75" hidden="false" customHeight="false" outlineLevel="0" collapsed="false">
      <c r="D58" s="371" t="str">
        <f aca="false">IF((F58&lt;&gt;0),"Enter Letter"," ")</f>
        <v> </v>
      </c>
      <c r="G58" s="180" t="str">
        <f aca="false">IF((D58="d"),F58," ")</f>
        <v> </v>
      </c>
      <c r="H58" s="180" t="str">
        <f aca="false">IF((D58="h"),F58," ")</f>
        <v> </v>
      </c>
      <c r="I58" s="180" t="str">
        <f aca="false">IF((D58="r"),F58," ")</f>
        <v> </v>
      </c>
      <c r="J58" s="180" t="str">
        <f aca="false">IF((D58="t"),F58," ")</f>
        <v> </v>
      </c>
      <c r="K58" s="180" t="str">
        <f aca="false">IF((D58="e"),F58," ")</f>
        <v> </v>
      </c>
      <c r="L58" s="180" t="str">
        <f aca="false">IF((D58="p"),F58," ")</f>
        <v> </v>
      </c>
      <c r="M58" s="180" t="str">
        <f aca="false">IF((D58="g"),F58," ")</f>
        <v> </v>
      </c>
      <c r="N58" s="180" t="str">
        <f aca="false">IF((D58="a"),F58," ")</f>
        <v> </v>
      </c>
      <c r="O58" s="180" t="str">
        <f aca="false">IF((D58="l"),F58," ")</f>
        <v> </v>
      </c>
      <c r="P58" s="180" t="str">
        <f aca="false">IF((D58="i"),F58," ")</f>
        <v> </v>
      </c>
      <c r="Q58" s="180" t="str">
        <f aca="false">IF((D58="b"),F58," ")</f>
        <v> </v>
      </c>
      <c r="R58" s="180" t="str">
        <f aca="false">IF((D58="o"),F58," ")</f>
        <v> </v>
      </c>
      <c r="S58" s="180" t="str">
        <f aca="false">IF((D58="f"),F58," ")</f>
        <v> </v>
      </c>
      <c r="U58" s="371"/>
    </row>
    <row r="59" customFormat="false" ht="12.75" hidden="false" customHeight="false" outlineLevel="0" collapsed="false">
      <c r="D59" s="371" t="str">
        <f aca="false">IF((F59&lt;&gt;0),"Enter Letter"," ")</f>
        <v> </v>
      </c>
      <c r="G59" s="180" t="str">
        <f aca="false">IF((D59="d"),F59," ")</f>
        <v> </v>
      </c>
      <c r="H59" s="180" t="str">
        <f aca="false">IF((D59="h"),F59," ")</f>
        <v> </v>
      </c>
      <c r="I59" s="180" t="str">
        <f aca="false">IF((D59="r"),F59," ")</f>
        <v> </v>
      </c>
      <c r="J59" s="180" t="str">
        <f aca="false">IF((D59="t"),F59," ")</f>
        <v> </v>
      </c>
      <c r="K59" s="180" t="str">
        <f aca="false">IF((D59="e"),F59," ")</f>
        <v> </v>
      </c>
      <c r="L59" s="180" t="str">
        <f aca="false">IF((D59="p"),F59," ")</f>
        <v> </v>
      </c>
      <c r="M59" s="180" t="str">
        <f aca="false">IF((D59="g"),F59," ")</f>
        <v> </v>
      </c>
      <c r="N59" s="180" t="str">
        <f aca="false">IF((D59="a"),F59," ")</f>
        <v> </v>
      </c>
      <c r="O59" s="180" t="str">
        <f aca="false">IF((D59="l"),F59," ")</f>
        <v> </v>
      </c>
      <c r="P59" s="180" t="str">
        <f aca="false">IF((D59="i"),F59," ")</f>
        <v> </v>
      </c>
      <c r="Q59" s="180" t="str">
        <f aca="false">IF((D59="b"),F59," ")</f>
        <v> </v>
      </c>
      <c r="R59" s="180" t="str">
        <f aca="false">IF((D59="o"),F59," ")</f>
        <v> </v>
      </c>
      <c r="S59" s="180" t="str">
        <f aca="false">IF((D59="f"),F59," ")</f>
        <v> </v>
      </c>
      <c r="U59" s="371"/>
    </row>
    <row r="60" customFormat="false" ht="12.75" hidden="false" customHeight="false" outlineLevel="0" collapsed="false">
      <c r="D60" s="371" t="str">
        <f aca="false">IF((F60&lt;&gt;0),"Enter Letter"," ")</f>
        <v> </v>
      </c>
      <c r="G60" s="180" t="str">
        <f aca="false">IF((D60="d"),F60," ")</f>
        <v> </v>
      </c>
      <c r="H60" s="180" t="str">
        <f aca="false">IF((D60="h"),F60," ")</f>
        <v> </v>
      </c>
      <c r="I60" s="180" t="str">
        <f aca="false">IF((D60="r"),F60," ")</f>
        <v> </v>
      </c>
      <c r="J60" s="180" t="str">
        <f aca="false">IF((D60="t"),F60," ")</f>
        <v> </v>
      </c>
      <c r="K60" s="180" t="str">
        <f aca="false">IF((D60="e"),F60," ")</f>
        <v> </v>
      </c>
      <c r="L60" s="180" t="str">
        <f aca="false">IF((D60="p"),F60," ")</f>
        <v> </v>
      </c>
      <c r="M60" s="180" t="str">
        <f aca="false">IF((D60="g"),F60," ")</f>
        <v> </v>
      </c>
      <c r="N60" s="180" t="str">
        <f aca="false">IF((D60="a"),F60," ")</f>
        <v> </v>
      </c>
      <c r="O60" s="180" t="str">
        <f aca="false">IF((D60="l"),F60," ")</f>
        <v> </v>
      </c>
      <c r="P60" s="180" t="str">
        <f aca="false">IF((D60="i"),F60," ")</f>
        <v> </v>
      </c>
      <c r="Q60" s="180" t="str">
        <f aca="false">IF((D60="b"),F60," ")</f>
        <v> </v>
      </c>
      <c r="R60" s="180" t="str">
        <f aca="false">IF((D60="o"),F60," ")</f>
        <v> </v>
      </c>
      <c r="S60" s="180" t="str">
        <f aca="false">IF((D60="f"),F60," ")</f>
        <v> </v>
      </c>
      <c r="U60" s="371"/>
    </row>
    <row r="61" customFormat="false" ht="12.75" hidden="false" customHeight="false" outlineLevel="0" collapsed="false">
      <c r="D61" s="371" t="str">
        <f aca="false">IF((F61&lt;&gt;0),"Enter Letter"," ")</f>
        <v> </v>
      </c>
      <c r="G61" s="180" t="str">
        <f aca="false">IF((D61="d"),F61," ")</f>
        <v> </v>
      </c>
      <c r="H61" s="180" t="str">
        <f aca="false">IF((D61="h"),F61," ")</f>
        <v> </v>
      </c>
      <c r="I61" s="180" t="str">
        <f aca="false">IF((D61="r"),F61," ")</f>
        <v> </v>
      </c>
      <c r="J61" s="180" t="str">
        <f aca="false">IF((D61="t"),F61," ")</f>
        <v> </v>
      </c>
      <c r="K61" s="180" t="str">
        <f aca="false">IF((D61="e"),F61," ")</f>
        <v> </v>
      </c>
      <c r="L61" s="180" t="str">
        <f aca="false">IF((D61="p"),F61," ")</f>
        <v> </v>
      </c>
      <c r="M61" s="180" t="str">
        <f aca="false">IF((D61="g"),F61," ")</f>
        <v> </v>
      </c>
      <c r="N61" s="180" t="str">
        <f aca="false">IF((D61="a"),F61," ")</f>
        <v> </v>
      </c>
      <c r="O61" s="180" t="str">
        <f aca="false">IF((D61="l"),F61," ")</f>
        <v> </v>
      </c>
      <c r="P61" s="180" t="str">
        <f aca="false">IF((D61="i"),F61," ")</f>
        <v> </v>
      </c>
      <c r="Q61" s="180" t="str">
        <f aca="false">IF((D61="b"),F61," ")</f>
        <v> </v>
      </c>
      <c r="R61" s="180" t="str">
        <f aca="false">IF((D61="o"),F61," ")</f>
        <v> </v>
      </c>
      <c r="S61" s="180" t="str">
        <f aca="false">IF((D61="f"),F61," ")</f>
        <v> </v>
      </c>
      <c r="U61" s="371"/>
    </row>
    <row r="62" customFormat="false" ht="12.75" hidden="false" customHeight="false" outlineLevel="0" collapsed="false">
      <c r="D62" s="371" t="str">
        <f aca="false">IF((F62&lt;&gt;0),"Enter Letter"," ")</f>
        <v> </v>
      </c>
      <c r="G62" s="180" t="str">
        <f aca="false">IF((D62="d"),F62," ")</f>
        <v> </v>
      </c>
      <c r="H62" s="180" t="str">
        <f aca="false">IF((D62="h"),F62," ")</f>
        <v> </v>
      </c>
      <c r="I62" s="180" t="str">
        <f aca="false">IF((D62="r"),F62," ")</f>
        <v> </v>
      </c>
      <c r="J62" s="180" t="str">
        <f aca="false">IF((D62="t"),F62," ")</f>
        <v> </v>
      </c>
      <c r="K62" s="180" t="str">
        <f aca="false">IF((D62="e"),F62," ")</f>
        <v> </v>
      </c>
      <c r="L62" s="180" t="str">
        <f aca="false">IF((D62="p"),F62," ")</f>
        <v> </v>
      </c>
      <c r="M62" s="180" t="str">
        <f aca="false">IF((D62="g"),F62," ")</f>
        <v> </v>
      </c>
      <c r="N62" s="180" t="str">
        <f aca="false">IF((D62="a"),F62," ")</f>
        <v> </v>
      </c>
      <c r="O62" s="180" t="str">
        <f aca="false">IF((D62="l"),F62," ")</f>
        <v> </v>
      </c>
      <c r="P62" s="180" t="str">
        <f aca="false">IF((D62="i"),F62," ")</f>
        <v> </v>
      </c>
      <c r="Q62" s="180" t="str">
        <f aca="false">IF((D62="b"),F62," ")</f>
        <v> </v>
      </c>
      <c r="R62" s="180" t="str">
        <f aca="false">IF((D62="o"),F62," ")</f>
        <v> </v>
      </c>
      <c r="S62" s="180" t="str">
        <f aca="false">IF((D62="f"),F62," ")</f>
        <v> </v>
      </c>
      <c r="U62" s="371"/>
    </row>
    <row r="63" customFormat="false" ht="12.75" hidden="false" customHeight="false" outlineLevel="0" collapsed="false">
      <c r="D63" s="371" t="str">
        <f aca="false">IF((F63&lt;&gt;0),"Enter Letter"," ")</f>
        <v> </v>
      </c>
      <c r="G63" s="180" t="str">
        <f aca="false">IF((D63="d"),F63," ")</f>
        <v> </v>
      </c>
      <c r="H63" s="180" t="str">
        <f aca="false">IF((D63="h"),F63," ")</f>
        <v> </v>
      </c>
      <c r="I63" s="180" t="str">
        <f aca="false">IF((D63="r"),F63," ")</f>
        <v> </v>
      </c>
      <c r="J63" s="180" t="str">
        <f aca="false">IF((D63="t"),F63," ")</f>
        <v> </v>
      </c>
      <c r="K63" s="180" t="str">
        <f aca="false">IF((D63="e"),F63," ")</f>
        <v> </v>
      </c>
      <c r="L63" s="180" t="str">
        <f aca="false">IF((D63="p"),F63," ")</f>
        <v> </v>
      </c>
      <c r="M63" s="180" t="str">
        <f aca="false">IF((D63="g"),F63," ")</f>
        <v> </v>
      </c>
      <c r="N63" s="180" t="str">
        <f aca="false">IF((D63="a"),F63," ")</f>
        <v> </v>
      </c>
      <c r="O63" s="180" t="str">
        <f aca="false">IF((D63="l"),F63," ")</f>
        <v> </v>
      </c>
      <c r="P63" s="180" t="str">
        <f aca="false">IF((D63="i"),F63," ")</f>
        <v> </v>
      </c>
      <c r="Q63" s="180" t="str">
        <f aca="false">IF((D63="b"),F63," ")</f>
        <v> </v>
      </c>
      <c r="R63" s="180" t="str">
        <f aca="false">IF((D63="o"),F63," ")</f>
        <v> </v>
      </c>
      <c r="S63" s="180" t="str">
        <f aca="false">IF((D63="f"),F63," ")</f>
        <v> </v>
      </c>
      <c r="U63" s="371"/>
    </row>
    <row r="64" customFormat="false" ht="12.75" hidden="false" customHeight="false" outlineLevel="0" collapsed="false">
      <c r="D64" s="371" t="str">
        <f aca="false">IF((F64&lt;&gt;0),"Enter Letter"," ")</f>
        <v> </v>
      </c>
      <c r="G64" s="180" t="str">
        <f aca="false">IF((D64="d"),F64," ")</f>
        <v> </v>
      </c>
      <c r="H64" s="180" t="str">
        <f aca="false">IF((D64="h"),F64," ")</f>
        <v> </v>
      </c>
      <c r="I64" s="180" t="str">
        <f aca="false">IF((D64="r"),F64," ")</f>
        <v> </v>
      </c>
      <c r="J64" s="180" t="str">
        <f aca="false">IF((D64="t"),F64," ")</f>
        <v> </v>
      </c>
      <c r="K64" s="180" t="str">
        <f aca="false">IF((D64="e"),F64," ")</f>
        <v> </v>
      </c>
      <c r="L64" s="180" t="str">
        <f aca="false">IF((D64="p"),F64," ")</f>
        <v> </v>
      </c>
      <c r="M64" s="180" t="str">
        <f aca="false">IF((D64="g"),F64," ")</f>
        <v> </v>
      </c>
      <c r="N64" s="180" t="str">
        <f aca="false">IF((D64="a"),F64," ")</f>
        <v> </v>
      </c>
      <c r="O64" s="180" t="str">
        <f aca="false">IF((D64="l"),F64," ")</f>
        <v> </v>
      </c>
      <c r="P64" s="180" t="str">
        <f aca="false">IF((D64="i"),F64," ")</f>
        <v> </v>
      </c>
      <c r="Q64" s="180" t="str">
        <f aca="false">IF((D64="b"),F64," ")</f>
        <v> </v>
      </c>
      <c r="R64" s="180" t="str">
        <f aca="false">IF((D64="o"),F64," ")</f>
        <v> </v>
      </c>
      <c r="S64" s="180" t="str">
        <f aca="false">IF((D64="f"),F64," ")</f>
        <v> </v>
      </c>
      <c r="U64" s="371"/>
    </row>
    <row r="65" customFormat="false" ht="12.75" hidden="false" customHeight="false" outlineLevel="0" collapsed="false">
      <c r="D65" s="371" t="str">
        <f aca="false">IF((F65&lt;&gt;0),"Enter Letter"," ")</f>
        <v> </v>
      </c>
      <c r="G65" s="180" t="str">
        <f aca="false">IF((D65="d"),F65," ")</f>
        <v> </v>
      </c>
      <c r="H65" s="180" t="str">
        <f aca="false">IF((D65="h"),F65," ")</f>
        <v> </v>
      </c>
      <c r="I65" s="180" t="str">
        <f aca="false">IF((D65="r"),F65," ")</f>
        <v> </v>
      </c>
      <c r="J65" s="180" t="str">
        <f aca="false">IF((D65="t"),F65," ")</f>
        <v> </v>
      </c>
      <c r="K65" s="180" t="str">
        <f aca="false">IF((D65="e"),F65," ")</f>
        <v> </v>
      </c>
      <c r="L65" s="180" t="str">
        <f aca="false">IF((D65="p"),F65," ")</f>
        <v> </v>
      </c>
      <c r="M65" s="180" t="str">
        <f aca="false">IF((D65="g"),F65," ")</f>
        <v> </v>
      </c>
      <c r="N65" s="180" t="str">
        <f aca="false">IF((D65="a"),F65," ")</f>
        <v> </v>
      </c>
      <c r="O65" s="180" t="str">
        <f aca="false">IF((D65="l"),F65," ")</f>
        <v> </v>
      </c>
      <c r="P65" s="180" t="str">
        <f aca="false">IF((D65="i"),F65," ")</f>
        <v> </v>
      </c>
      <c r="Q65" s="180" t="str">
        <f aca="false">IF((D65="b"),F65," ")</f>
        <v> </v>
      </c>
      <c r="R65" s="180" t="str">
        <f aca="false">IF((D65="o"),F65," ")</f>
        <v> </v>
      </c>
      <c r="S65" s="180" t="str">
        <f aca="false">IF((D65="f"),F65," ")</f>
        <v> </v>
      </c>
      <c r="U65" s="371"/>
    </row>
    <row r="66" customFormat="false" ht="12.75" hidden="false" customHeight="false" outlineLevel="0" collapsed="false">
      <c r="D66" s="371" t="str">
        <f aca="false">IF((F66&lt;&gt;0),"Enter Letter"," ")</f>
        <v> </v>
      </c>
      <c r="G66" s="180" t="str">
        <f aca="false">IF((D66="d"),F66," ")</f>
        <v> </v>
      </c>
      <c r="H66" s="180" t="str">
        <f aca="false">IF((D66="h"),F66," ")</f>
        <v> </v>
      </c>
      <c r="I66" s="180" t="str">
        <f aca="false">IF((D66="r"),F66," ")</f>
        <v> </v>
      </c>
      <c r="J66" s="180" t="str">
        <f aca="false">IF((D66="t"),F66," ")</f>
        <v> </v>
      </c>
      <c r="K66" s="180" t="str">
        <f aca="false">IF((D66="e"),F66," ")</f>
        <v> </v>
      </c>
      <c r="L66" s="180" t="str">
        <f aca="false">IF((D66="p"),F66," ")</f>
        <v> </v>
      </c>
      <c r="M66" s="180" t="str">
        <f aca="false">IF((D66="g"),F66," ")</f>
        <v> </v>
      </c>
      <c r="N66" s="180" t="str">
        <f aca="false">IF((D66="a"),F66," ")</f>
        <v> </v>
      </c>
      <c r="O66" s="180" t="str">
        <f aca="false">IF((D66="l"),F66," ")</f>
        <v> </v>
      </c>
      <c r="P66" s="180" t="str">
        <f aca="false">IF((D66="i"),F66," ")</f>
        <v> </v>
      </c>
      <c r="Q66" s="180" t="str">
        <f aca="false">IF((D66="b"),F66," ")</f>
        <v> </v>
      </c>
      <c r="R66" s="180" t="str">
        <f aca="false">IF((D66="o"),F66," ")</f>
        <v> </v>
      </c>
      <c r="S66" s="180" t="str">
        <f aca="false">IF((D66="f"),F66," ")</f>
        <v> </v>
      </c>
      <c r="U66" s="371"/>
    </row>
    <row r="67" customFormat="false" ht="12.75" hidden="false" customHeight="false" outlineLevel="0" collapsed="false">
      <c r="D67" s="371" t="str">
        <f aca="false">IF((F67&lt;&gt;0),"Enter Letter"," ")</f>
        <v> </v>
      </c>
      <c r="G67" s="180" t="str">
        <f aca="false">IF((D67="d"),F67," ")</f>
        <v> </v>
      </c>
      <c r="H67" s="180" t="str">
        <f aca="false">IF((D67="h"),F67," ")</f>
        <v> </v>
      </c>
      <c r="I67" s="180" t="str">
        <f aca="false">IF((D67="r"),F67," ")</f>
        <v> </v>
      </c>
      <c r="J67" s="180" t="str">
        <f aca="false">IF((D67="t"),F67," ")</f>
        <v> </v>
      </c>
      <c r="K67" s="180" t="str">
        <f aca="false">IF((D67="e"),F67," ")</f>
        <v> </v>
      </c>
      <c r="L67" s="180" t="str">
        <f aca="false">IF((D67="p"),F67," ")</f>
        <v> </v>
      </c>
      <c r="M67" s="180" t="str">
        <f aca="false">IF((D67="g"),F67," ")</f>
        <v> </v>
      </c>
      <c r="N67" s="180" t="str">
        <f aca="false">IF((D67="a"),F67," ")</f>
        <v> </v>
      </c>
      <c r="O67" s="180" t="str">
        <f aca="false">IF((D67="l"),F67," ")</f>
        <v> </v>
      </c>
      <c r="P67" s="180" t="str">
        <f aca="false">IF((D67="i"),F67," ")</f>
        <v> </v>
      </c>
      <c r="Q67" s="180" t="str">
        <f aca="false">IF((D67="b"),F67," ")</f>
        <v> </v>
      </c>
      <c r="R67" s="180" t="str">
        <f aca="false">IF((D67="o"),F67," ")</f>
        <v> </v>
      </c>
      <c r="S67" s="180" t="str">
        <f aca="false">IF((D67="f"),F67," ")</f>
        <v> </v>
      </c>
      <c r="U67" s="371"/>
    </row>
    <row r="68" customFormat="false" ht="12.75" hidden="false" customHeight="false" outlineLevel="0" collapsed="false">
      <c r="D68" s="371" t="str">
        <f aca="false">IF((F68&lt;&gt;0),"Enter Letter"," ")</f>
        <v> </v>
      </c>
      <c r="G68" s="180" t="str">
        <f aca="false">IF((D68="d"),F68," ")</f>
        <v> </v>
      </c>
      <c r="H68" s="180" t="str">
        <f aca="false">IF((D68="h"),F68," ")</f>
        <v> </v>
      </c>
      <c r="I68" s="180" t="str">
        <f aca="false">IF((D68="r"),F68," ")</f>
        <v> </v>
      </c>
      <c r="J68" s="180" t="str">
        <f aca="false">IF((D68="t"),F68," ")</f>
        <v> </v>
      </c>
      <c r="K68" s="180" t="str">
        <f aca="false">IF((D68="e"),F68," ")</f>
        <v> </v>
      </c>
      <c r="L68" s="180" t="str">
        <f aca="false">IF((D68="p"),F68," ")</f>
        <v> </v>
      </c>
      <c r="M68" s="180" t="str">
        <f aca="false">IF((D68="g"),F68," ")</f>
        <v> </v>
      </c>
      <c r="N68" s="180" t="str">
        <f aca="false">IF((D68="a"),F68," ")</f>
        <v> </v>
      </c>
      <c r="O68" s="180" t="str">
        <f aca="false">IF((D68="l"),F68," ")</f>
        <v> </v>
      </c>
      <c r="P68" s="180" t="str">
        <f aca="false">IF((D68="i"),F68," ")</f>
        <v> </v>
      </c>
      <c r="Q68" s="180" t="str">
        <f aca="false">IF((D68="b"),F68," ")</f>
        <v> </v>
      </c>
      <c r="R68" s="180" t="str">
        <f aca="false">IF((D68="o"),F68," ")</f>
        <v> </v>
      </c>
      <c r="S68" s="180" t="str">
        <f aca="false">IF((D68="f"),F68," ")</f>
        <v> </v>
      </c>
      <c r="U68" s="371"/>
    </row>
    <row r="69" customFormat="false" ht="12.75" hidden="false" customHeight="false" outlineLevel="0" collapsed="false">
      <c r="D69" s="371" t="str">
        <f aca="false">IF((F69&lt;&gt;0),"Enter Letter"," ")</f>
        <v> </v>
      </c>
      <c r="G69" s="180" t="str">
        <f aca="false">IF((D69="d"),F69," ")</f>
        <v> </v>
      </c>
      <c r="H69" s="180" t="str">
        <f aca="false">IF((D69="h"),F69," ")</f>
        <v> </v>
      </c>
      <c r="I69" s="180" t="str">
        <f aca="false">IF((D69="r"),F69," ")</f>
        <v> </v>
      </c>
      <c r="J69" s="180" t="str">
        <f aca="false">IF((D69="t"),F69," ")</f>
        <v> </v>
      </c>
      <c r="K69" s="180" t="str">
        <f aca="false">IF((D69="e"),F69," ")</f>
        <v> </v>
      </c>
      <c r="L69" s="180" t="str">
        <f aca="false">IF((D69="p"),F69," ")</f>
        <v> </v>
      </c>
      <c r="M69" s="180" t="str">
        <f aca="false">IF((D69="g"),F69," ")</f>
        <v> </v>
      </c>
      <c r="N69" s="180" t="str">
        <f aca="false">IF((D69="a"),F69," ")</f>
        <v> </v>
      </c>
      <c r="O69" s="180" t="str">
        <f aca="false">IF((D69="l"),F69," ")</f>
        <v> </v>
      </c>
      <c r="P69" s="180" t="str">
        <f aca="false">IF((D69="i"),F69," ")</f>
        <v> </v>
      </c>
      <c r="Q69" s="180" t="str">
        <f aca="false">IF((D69="b"),F69," ")</f>
        <v> </v>
      </c>
      <c r="R69" s="180" t="str">
        <f aca="false">IF((D69="o"),F69," ")</f>
        <v> </v>
      </c>
      <c r="S69" s="180" t="str">
        <f aca="false">IF((D69="f"),F69," ")</f>
        <v> </v>
      </c>
      <c r="U69" s="371"/>
    </row>
    <row r="70" customFormat="false" ht="12.75" hidden="false" customHeight="false" outlineLevel="0" collapsed="false">
      <c r="D70" s="371" t="str">
        <f aca="false">IF((F70&lt;&gt;0),"Enter Letter"," ")</f>
        <v> </v>
      </c>
      <c r="G70" s="180" t="str">
        <f aca="false">IF((D70="d"),F70," ")</f>
        <v> </v>
      </c>
      <c r="H70" s="180" t="str">
        <f aca="false">IF((D70="h"),F70," ")</f>
        <v> </v>
      </c>
      <c r="I70" s="180" t="str">
        <f aca="false">IF((D70="r"),F70," ")</f>
        <v> </v>
      </c>
      <c r="J70" s="180" t="str">
        <f aca="false">IF((D70="t"),F70," ")</f>
        <v> </v>
      </c>
      <c r="K70" s="180" t="str">
        <f aca="false">IF((D70="e"),F70," ")</f>
        <v> </v>
      </c>
      <c r="L70" s="180" t="str">
        <f aca="false">IF((D70="p"),F70," ")</f>
        <v> </v>
      </c>
      <c r="M70" s="180" t="str">
        <f aca="false">IF((D70="g"),F70," ")</f>
        <v> </v>
      </c>
      <c r="N70" s="180" t="str">
        <f aca="false">IF((D70="a"),F70," ")</f>
        <v> </v>
      </c>
      <c r="O70" s="180" t="str">
        <f aca="false">IF((D70="l"),F70," ")</f>
        <v> </v>
      </c>
      <c r="P70" s="180" t="str">
        <f aca="false">IF((D70="i"),F70," ")</f>
        <v> </v>
      </c>
      <c r="Q70" s="180" t="str">
        <f aca="false">IF((D70="b"),F70," ")</f>
        <v> </v>
      </c>
      <c r="R70" s="180" t="str">
        <f aca="false">IF((D70="o"),F70," ")</f>
        <v> </v>
      </c>
      <c r="S70" s="180" t="str">
        <f aca="false">IF((D70="f"),F70," ")</f>
        <v> </v>
      </c>
      <c r="U70" s="371"/>
    </row>
    <row r="71" customFormat="false" ht="12.75" hidden="false" customHeight="false" outlineLevel="0" collapsed="false">
      <c r="D71" s="371" t="str">
        <f aca="false">IF((F71&lt;&gt;0),"Enter Letter"," ")</f>
        <v> </v>
      </c>
      <c r="G71" s="180" t="str">
        <f aca="false">IF((D71="d"),F71," ")</f>
        <v> </v>
      </c>
      <c r="H71" s="180" t="str">
        <f aca="false">IF((D71="h"),F71," ")</f>
        <v> </v>
      </c>
      <c r="I71" s="180" t="str">
        <f aca="false">IF((D71="r"),F71," ")</f>
        <v> </v>
      </c>
      <c r="J71" s="180" t="str">
        <f aca="false">IF((D71="t"),F71," ")</f>
        <v> </v>
      </c>
      <c r="K71" s="180" t="str">
        <f aca="false">IF((D71="e"),F71," ")</f>
        <v> </v>
      </c>
      <c r="L71" s="180" t="str">
        <f aca="false">IF((D71="p"),F71," ")</f>
        <v> </v>
      </c>
      <c r="M71" s="180" t="str">
        <f aca="false">IF((D71="g"),F71," ")</f>
        <v> </v>
      </c>
      <c r="N71" s="180" t="str">
        <f aca="false">IF((D71="a"),F71," ")</f>
        <v> </v>
      </c>
      <c r="O71" s="180" t="str">
        <f aca="false">IF((D71="l"),F71," ")</f>
        <v> </v>
      </c>
      <c r="P71" s="180" t="str">
        <f aca="false">IF((D71="i"),F71," ")</f>
        <v> </v>
      </c>
      <c r="Q71" s="180" t="str">
        <f aca="false">IF((D71="b"),F71," ")</f>
        <v> </v>
      </c>
      <c r="R71" s="180" t="str">
        <f aca="false">IF((D71="o"),F71," ")</f>
        <v> </v>
      </c>
      <c r="S71" s="180" t="str">
        <f aca="false">IF((D71="f"),F71," ")</f>
        <v> </v>
      </c>
      <c r="U71" s="371"/>
    </row>
    <row r="72" customFormat="false" ht="12.75" hidden="false" customHeight="false" outlineLevel="0" collapsed="false">
      <c r="D72" s="371" t="str">
        <f aca="false">IF((F72&lt;&gt;0),"Enter Letter"," ")</f>
        <v> </v>
      </c>
      <c r="G72" s="180" t="str">
        <f aca="false">IF((D72="d"),F72," ")</f>
        <v> </v>
      </c>
      <c r="H72" s="180" t="str">
        <f aca="false">IF((D72="h"),F72," ")</f>
        <v> </v>
      </c>
      <c r="I72" s="180" t="str">
        <f aca="false">IF((D72="r"),F72," ")</f>
        <v> </v>
      </c>
      <c r="J72" s="180" t="str">
        <f aca="false">IF((D72="t"),F72," ")</f>
        <v> </v>
      </c>
      <c r="K72" s="180" t="str">
        <f aca="false">IF((D72="e"),F72," ")</f>
        <v> </v>
      </c>
      <c r="L72" s="180" t="str">
        <f aca="false">IF((D72="p"),F72," ")</f>
        <v> </v>
      </c>
      <c r="M72" s="180" t="str">
        <f aca="false">IF((D72="g"),F72," ")</f>
        <v> </v>
      </c>
      <c r="N72" s="180" t="str">
        <f aca="false">IF((D72="a"),F72," ")</f>
        <v> </v>
      </c>
      <c r="O72" s="180" t="str">
        <f aca="false">IF((D72="l"),F72," ")</f>
        <v> </v>
      </c>
      <c r="P72" s="180" t="str">
        <f aca="false">IF((D72="i"),F72," ")</f>
        <v> </v>
      </c>
      <c r="Q72" s="180" t="str">
        <f aca="false">IF((D72="b"),F72," ")</f>
        <v> </v>
      </c>
      <c r="R72" s="180" t="str">
        <f aca="false">IF((D72="o"),F72," ")</f>
        <v> </v>
      </c>
      <c r="S72" s="180" t="str">
        <f aca="false">IF((D72="f"),F72," ")</f>
        <v> </v>
      </c>
      <c r="U72" s="371"/>
    </row>
    <row r="73" customFormat="false" ht="12.75" hidden="false" customHeight="false" outlineLevel="0" collapsed="false">
      <c r="D73" s="371" t="str">
        <f aca="false">IF((F73&lt;&gt;0),"Enter Letter"," ")</f>
        <v> </v>
      </c>
      <c r="G73" s="180" t="str">
        <f aca="false">IF((D73="d"),F73," ")</f>
        <v> </v>
      </c>
      <c r="H73" s="180" t="str">
        <f aca="false">IF((D73="h"),F73," ")</f>
        <v> </v>
      </c>
      <c r="I73" s="180" t="str">
        <f aca="false">IF((D73="r"),F73," ")</f>
        <v> </v>
      </c>
      <c r="J73" s="180" t="str">
        <f aca="false">IF((D73="t"),F73," ")</f>
        <v> </v>
      </c>
      <c r="K73" s="180" t="str">
        <f aca="false">IF((D73="e"),F73," ")</f>
        <v> </v>
      </c>
      <c r="L73" s="180" t="str">
        <f aca="false">IF((D73="p"),F73," ")</f>
        <v> </v>
      </c>
      <c r="M73" s="180" t="str">
        <f aca="false">IF((D73="g"),F73," ")</f>
        <v> </v>
      </c>
      <c r="N73" s="180" t="str">
        <f aca="false">IF((D73="a"),F73," ")</f>
        <v> </v>
      </c>
      <c r="O73" s="180" t="str">
        <f aca="false">IF((D73="l"),F73," ")</f>
        <v> </v>
      </c>
      <c r="P73" s="180" t="str">
        <f aca="false">IF((D73="i"),F73," ")</f>
        <v> </v>
      </c>
      <c r="Q73" s="180" t="str">
        <f aca="false">IF((D73="b"),F73," ")</f>
        <v> </v>
      </c>
      <c r="R73" s="180" t="str">
        <f aca="false">IF((D73="o"),F73," ")</f>
        <v> </v>
      </c>
      <c r="S73" s="180" t="str">
        <f aca="false">IF((D73="f"),F73," ")</f>
        <v> </v>
      </c>
      <c r="U73" s="371"/>
    </row>
    <row r="74" customFormat="false" ht="12.75" hidden="false" customHeight="false" outlineLevel="0" collapsed="false">
      <c r="D74" s="371" t="str">
        <f aca="false">IF((F74&lt;&gt;0),"Enter Letter"," ")</f>
        <v> </v>
      </c>
      <c r="G74" s="180" t="str">
        <f aca="false">IF((D74="d"),F74," ")</f>
        <v> </v>
      </c>
      <c r="H74" s="180" t="str">
        <f aca="false">IF((D74="h"),F74," ")</f>
        <v> </v>
      </c>
      <c r="I74" s="180" t="str">
        <f aca="false">IF((D74="r"),F74," ")</f>
        <v> </v>
      </c>
      <c r="J74" s="180" t="str">
        <f aca="false">IF((D74="t"),F74," ")</f>
        <v> </v>
      </c>
      <c r="K74" s="180" t="str">
        <f aca="false">IF((D74="e"),F74," ")</f>
        <v> </v>
      </c>
      <c r="L74" s="180" t="str">
        <f aca="false">IF((D74="p"),F74," ")</f>
        <v> </v>
      </c>
      <c r="M74" s="180" t="str">
        <f aca="false">IF((D74="g"),F74," ")</f>
        <v> </v>
      </c>
      <c r="N74" s="180" t="str">
        <f aca="false">IF((D74="a"),F74," ")</f>
        <v> </v>
      </c>
      <c r="O74" s="180" t="str">
        <f aca="false">IF((D74="l"),F74," ")</f>
        <v> </v>
      </c>
      <c r="P74" s="180" t="str">
        <f aca="false">IF((D74="i"),F74," ")</f>
        <v> </v>
      </c>
      <c r="Q74" s="180" t="str">
        <f aca="false">IF((D74="b"),F74," ")</f>
        <v> </v>
      </c>
      <c r="R74" s="180" t="str">
        <f aca="false">IF((D74="o"),F74," ")</f>
        <v> </v>
      </c>
      <c r="S74" s="180" t="str">
        <f aca="false">IF((D74="f"),F74," ")</f>
        <v> </v>
      </c>
      <c r="U74" s="371"/>
    </row>
    <row r="75" customFormat="false" ht="12.75" hidden="false" customHeight="false" outlineLevel="0" collapsed="false">
      <c r="D75" s="371" t="str">
        <f aca="false">IF((F75&lt;&gt;0),"Enter Letter"," ")</f>
        <v> </v>
      </c>
      <c r="G75" s="180" t="str">
        <f aca="false">IF((D75="d"),F75," ")</f>
        <v> </v>
      </c>
      <c r="H75" s="180" t="str">
        <f aca="false">IF((D75="h"),F75," ")</f>
        <v> </v>
      </c>
      <c r="I75" s="180" t="str">
        <f aca="false">IF((D75="r"),F75," ")</f>
        <v> </v>
      </c>
      <c r="J75" s="180" t="str">
        <f aca="false">IF((D75="t"),F75," ")</f>
        <v> </v>
      </c>
      <c r="K75" s="180" t="str">
        <f aca="false">IF((D75="e"),F75," ")</f>
        <v> </v>
      </c>
      <c r="L75" s="180" t="str">
        <f aca="false">IF((D75="p"),F75," ")</f>
        <v> </v>
      </c>
      <c r="M75" s="180" t="str">
        <f aca="false">IF((D75="g"),F75," ")</f>
        <v> </v>
      </c>
      <c r="N75" s="180" t="str">
        <f aca="false">IF((D75="a"),F75," ")</f>
        <v> </v>
      </c>
      <c r="O75" s="180" t="str">
        <f aca="false">IF((D75="l"),F75," ")</f>
        <v> </v>
      </c>
      <c r="P75" s="180" t="str">
        <f aca="false">IF((D75="i"),F75," ")</f>
        <v> </v>
      </c>
      <c r="Q75" s="180" t="str">
        <f aca="false">IF((D75="b"),F75," ")</f>
        <v> </v>
      </c>
      <c r="R75" s="180" t="str">
        <f aca="false">IF((D75="o"),F75," ")</f>
        <v> </v>
      </c>
      <c r="S75" s="180" t="str">
        <f aca="false">IF((D75="f"),F75," ")</f>
        <v> </v>
      </c>
      <c r="U75" s="371"/>
    </row>
    <row r="76" customFormat="false" ht="12.75" hidden="false" customHeight="false" outlineLevel="0" collapsed="false">
      <c r="D76" s="371" t="str">
        <f aca="false">IF((F76&lt;&gt;0),"Enter Letter"," ")</f>
        <v> </v>
      </c>
      <c r="G76" s="180" t="str">
        <f aca="false">IF((D76="d"),F76," ")</f>
        <v> </v>
      </c>
      <c r="H76" s="180" t="str">
        <f aca="false">IF((D76="h"),F76," ")</f>
        <v> </v>
      </c>
      <c r="I76" s="180" t="str">
        <f aca="false">IF((D76="r"),F76," ")</f>
        <v> </v>
      </c>
      <c r="J76" s="180" t="str">
        <f aca="false">IF((D76="t"),F76," ")</f>
        <v> </v>
      </c>
      <c r="K76" s="180" t="str">
        <f aca="false">IF((D76="e"),F76," ")</f>
        <v> </v>
      </c>
      <c r="L76" s="180" t="str">
        <f aca="false">IF((D76="p"),F76," ")</f>
        <v> </v>
      </c>
      <c r="M76" s="180" t="str">
        <f aca="false">IF((D76="g"),F76," ")</f>
        <v> </v>
      </c>
      <c r="N76" s="180" t="str">
        <f aca="false">IF((D76="a"),F76," ")</f>
        <v> </v>
      </c>
      <c r="O76" s="180" t="str">
        <f aca="false">IF((D76="l"),F76," ")</f>
        <v> </v>
      </c>
      <c r="P76" s="180" t="str">
        <f aca="false">IF((D76="i"),F76," ")</f>
        <v> </v>
      </c>
      <c r="Q76" s="180" t="str">
        <f aca="false">IF((D76="b"),F76," ")</f>
        <v> </v>
      </c>
      <c r="R76" s="180" t="str">
        <f aca="false">IF((D76="o"),F76," ")</f>
        <v> </v>
      </c>
      <c r="S76" s="180" t="str">
        <f aca="false">IF((D76="f"),F76," ")</f>
        <v> </v>
      </c>
      <c r="U76" s="371"/>
    </row>
    <row r="77" customFormat="false" ht="12.75" hidden="false" customHeight="false" outlineLevel="0" collapsed="false">
      <c r="D77" s="371" t="str">
        <f aca="false">IF((F77&lt;&gt;0),"Enter Letter"," ")</f>
        <v> </v>
      </c>
      <c r="G77" s="180" t="str">
        <f aca="false">IF((D77="d"),F77," ")</f>
        <v> </v>
      </c>
      <c r="H77" s="180" t="str">
        <f aca="false">IF((D77="h"),F77," ")</f>
        <v> </v>
      </c>
      <c r="I77" s="180" t="str">
        <f aca="false">IF((D77="r"),F77," ")</f>
        <v> </v>
      </c>
      <c r="J77" s="180" t="str">
        <f aca="false">IF((D77="t"),F77," ")</f>
        <v> </v>
      </c>
      <c r="K77" s="180" t="str">
        <f aca="false">IF((D77="e"),F77," ")</f>
        <v> </v>
      </c>
      <c r="L77" s="180" t="str">
        <f aca="false">IF((D77="p"),F77," ")</f>
        <v> </v>
      </c>
      <c r="M77" s="180" t="str">
        <f aca="false">IF((D77="g"),F77," ")</f>
        <v> </v>
      </c>
      <c r="N77" s="180" t="str">
        <f aca="false">IF((D77="a"),F77," ")</f>
        <v> </v>
      </c>
      <c r="O77" s="180" t="str">
        <f aca="false">IF((D77="l"),F77," ")</f>
        <v> </v>
      </c>
      <c r="P77" s="180" t="str">
        <f aca="false">IF((D77="i"),F77," ")</f>
        <v> </v>
      </c>
      <c r="Q77" s="180" t="str">
        <f aca="false">IF((D77="b"),F77," ")</f>
        <v> </v>
      </c>
      <c r="R77" s="180" t="str">
        <f aca="false">IF((D77="o"),F77," ")</f>
        <v> </v>
      </c>
      <c r="S77" s="180" t="str">
        <f aca="false">IF((D77="f"),F77," ")</f>
        <v> </v>
      </c>
      <c r="U77" s="371"/>
    </row>
    <row r="78" customFormat="false" ht="12.75" hidden="false" customHeight="false" outlineLevel="0" collapsed="false">
      <c r="D78" s="371" t="str">
        <f aca="false">IF((F78&lt;&gt;0),"Enter Letter"," ")</f>
        <v> </v>
      </c>
      <c r="G78" s="180" t="str">
        <f aca="false">IF((D78="d"),F78," ")</f>
        <v> </v>
      </c>
      <c r="H78" s="180" t="str">
        <f aca="false">IF((D78="h"),F78," ")</f>
        <v> </v>
      </c>
      <c r="I78" s="180" t="str">
        <f aca="false">IF((D78="r"),F78," ")</f>
        <v> </v>
      </c>
      <c r="J78" s="180" t="str">
        <f aca="false">IF((D78="t"),F78," ")</f>
        <v> </v>
      </c>
      <c r="K78" s="180" t="str">
        <f aca="false">IF((D78="e"),F78," ")</f>
        <v> </v>
      </c>
      <c r="L78" s="180" t="str">
        <f aca="false">IF((D78="p"),F78," ")</f>
        <v> </v>
      </c>
      <c r="M78" s="180" t="str">
        <f aca="false">IF((D78="g"),F78," ")</f>
        <v> </v>
      </c>
      <c r="N78" s="180" t="str">
        <f aca="false">IF((D78="a"),F78," ")</f>
        <v> </v>
      </c>
      <c r="O78" s="180" t="str">
        <f aca="false">IF((D78="l"),F78," ")</f>
        <v> </v>
      </c>
      <c r="P78" s="180" t="str">
        <f aca="false">IF((D78="i"),F78," ")</f>
        <v> </v>
      </c>
      <c r="Q78" s="180" t="str">
        <f aca="false">IF((D78="b"),F78," ")</f>
        <v> </v>
      </c>
      <c r="R78" s="180" t="str">
        <f aca="false">IF((D78="o"),F78," ")</f>
        <v> </v>
      </c>
      <c r="S78" s="180" t="str">
        <f aca="false">IF((D78="f"),F78," ")</f>
        <v> </v>
      </c>
      <c r="U78" s="371"/>
    </row>
    <row r="79" customFormat="false" ht="12.75" hidden="false" customHeight="false" outlineLevel="0" collapsed="false">
      <c r="D79" s="371" t="str">
        <f aca="false">IF((F79&lt;&gt;0),"Enter Letter"," ")</f>
        <v> </v>
      </c>
      <c r="G79" s="180" t="str">
        <f aca="false">IF((D79="d"),F79," ")</f>
        <v> </v>
      </c>
      <c r="H79" s="180" t="str">
        <f aca="false">IF((D79="h"),F79," ")</f>
        <v> </v>
      </c>
      <c r="I79" s="180" t="str">
        <f aca="false">IF((D79="r"),F79," ")</f>
        <v> </v>
      </c>
      <c r="J79" s="180" t="str">
        <f aca="false">IF((D79="t"),F79," ")</f>
        <v> </v>
      </c>
      <c r="K79" s="180" t="str">
        <f aca="false">IF((D79="e"),F79," ")</f>
        <v> </v>
      </c>
      <c r="L79" s="180" t="str">
        <f aca="false">IF((D79="p"),F79," ")</f>
        <v> </v>
      </c>
      <c r="M79" s="180" t="str">
        <f aca="false">IF((D79="g"),F79," ")</f>
        <v> </v>
      </c>
      <c r="N79" s="180" t="str">
        <f aca="false">IF((D79="a"),F79," ")</f>
        <v> </v>
      </c>
      <c r="O79" s="180" t="str">
        <f aca="false">IF((D79="l"),F79," ")</f>
        <v> </v>
      </c>
      <c r="P79" s="180" t="str">
        <f aca="false">IF((D79="i"),F79," ")</f>
        <v> </v>
      </c>
      <c r="Q79" s="180" t="str">
        <f aca="false">IF((D79="b"),F79," ")</f>
        <v> </v>
      </c>
      <c r="R79" s="180" t="str">
        <f aca="false">IF((D79="o"),F79," ")</f>
        <v> </v>
      </c>
      <c r="S79" s="180" t="str">
        <f aca="false">IF((D79="f"),F79," ")</f>
        <v> </v>
      </c>
      <c r="U79" s="371"/>
    </row>
    <row r="80" customFormat="false" ht="12.75" hidden="false" customHeight="false" outlineLevel="0" collapsed="false">
      <c r="D80" s="371" t="str">
        <f aca="false">IF((F80&lt;&gt;0),"Enter Letter"," ")</f>
        <v> </v>
      </c>
      <c r="G80" s="180" t="str">
        <f aca="false">IF((D80="d"),F80," ")</f>
        <v> </v>
      </c>
      <c r="H80" s="180" t="str">
        <f aca="false">IF((D80="h"),F80," ")</f>
        <v> </v>
      </c>
      <c r="I80" s="180" t="str">
        <f aca="false">IF((D80="r"),F80," ")</f>
        <v> </v>
      </c>
      <c r="J80" s="180" t="str">
        <f aca="false">IF((D80="t"),F80," ")</f>
        <v> </v>
      </c>
      <c r="K80" s="180" t="str">
        <f aca="false">IF((D80="e"),F80," ")</f>
        <v> </v>
      </c>
      <c r="L80" s="180" t="str">
        <f aca="false">IF((D80="p"),F80," ")</f>
        <v> </v>
      </c>
      <c r="M80" s="180" t="str">
        <f aca="false">IF((D80="g"),F80," ")</f>
        <v> </v>
      </c>
      <c r="N80" s="180" t="str">
        <f aca="false">IF((D80="a"),F80," ")</f>
        <v> </v>
      </c>
      <c r="O80" s="180" t="str">
        <f aca="false">IF((D80="l"),F80," ")</f>
        <v> </v>
      </c>
      <c r="P80" s="180" t="str">
        <f aca="false">IF((D80="i"),F80," ")</f>
        <v> </v>
      </c>
      <c r="Q80" s="180" t="str">
        <f aca="false">IF((D80="b"),F80," ")</f>
        <v> </v>
      </c>
      <c r="R80" s="180" t="str">
        <f aca="false">IF((D80="o"),F80," ")</f>
        <v> </v>
      </c>
      <c r="S80" s="180" t="str">
        <f aca="false">IF((D80="f"),F80," ")</f>
        <v> </v>
      </c>
      <c r="U80" s="371"/>
    </row>
    <row r="81" customFormat="false" ht="12.75" hidden="false" customHeight="false" outlineLevel="0" collapsed="false">
      <c r="D81" s="371" t="str">
        <f aca="false">IF((F81&lt;&gt;0),"Enter Letter"," ")</f>
        <v> </v>
      </c>
      <c r="G81" s="180" t="str">
        <f aca="false">IF((D81="d"),F81," ")</f>
        <v> </v>
      </c>
      <c r="H81" s="180" t="str">
        <f aca="false">IF((D81="h"),F81," ")</f>
        <v> </v>
      </c>
      <c r="I81" s="180" t="str">
        <f aca="false">IF((D81="r"),F81," ")</f>
        <v> </v>
      </c>
      <c r="J81" s="180" t="str">
        <f aca="false">IF((D81="t"),F81," ")</f>
        <v> </v>
      </c>
      <c r="K81" s="180" t="str">
        <f aca="false">IF((D81="e"),F81," ")</f>
        <v> </v>
      </c>
      <c r="L81" s="180" t="str">
        <f aca="false">IF((D81="p"),F81," ")</f>
        <v> </v>
      </c>
      <c r="M81" s="180" t="str">
        <f aca="false">IF((D81="g"),F81," ")</f>
        <v> </v>
      </c>
      <c r="N81" s="180" t="str">
        <f aca="false">IF((D81="a"),F81," ")</f>
        <v> </v>
      </c>
      <c r="O81" s="180" t="str">
        <f aca="false">IF((D81="l"),F81," ")</f>
        <v> </v>
      </c>
      <c r="P81" s="180" t="str">
        <f aca="false">IF((D81="i"),F81," ")</f>
        <v> </v>
      </c>
      <c r="Q81" s="180" t="str">
        <f aca="false">IF((D81="b"),F81," ")</f>
        <v> </v>
      </c>
      <c r="R81" s="180" t="str">
        <f aca="false">IF((D81="o"),F81," ")</f>
        <v> </v>
      </c>
      <c r="S81" s="180" t="str">
        <f aca="false">IF((D81="f"),F81," ")</f>
        <v> </v>
      </c>
      <c r="U81" s="371"/>
    </row>
    <row r="82" customFormat="false" ht="12.75" hidden="false" customHeight="false" outlineLevel="0" collapsed="false">
      <c r="D82" s="371" t="str">
        <f aca="false">IF((F82&lt;&gt;0),"Enter Letter"," ")</f>
        <v> </v>
      </c>
      <c r="G82" s="180" t="str">
        <f aca="false">IF((D82="d"),F82," ")</f>
        <v> </v>
      </c>
      <c r="H82" s="180" t="str">
        <f aca="false">IF((D82="h"),F82," ")</f>
        <v> </v>
      </c>
      <c r="I82" s="180" t="str">
        <f aca="false">IF((D82="r"),F82," ")</f>
        <v> </v>
      </c>
      <c r="J82" s="180" t="str">
        <f aca="false">IF((D82="t"),F82," ")</f>
        <v> </v>
      </c>
      <c r="K82" s="180" t="str">
        <f aca="false">IF((D82="e"),F82," ")</f>
        <v> </v>
      </c>
      <c r="L82" s="180" t="str">
        <f aca="false">IF((D82="p"),F82," ")</f>
        <v> </v>
      </c>
      <c r="M82" s="180" t="str">
        <f aca="false">IF((D82="g"),F82," ")</f>
        <v> </v>
      </c>
      <c r="N82" s="180" t="str">
        <f aca="false">IF((D82="a"),F82," ")</f>
        <v> </v>
      </c>
      <c r="O82" s="180" t="str">
        <f aca="false">IF((D82="l"),F82," ")</f>
        <v> </v>
      </c>
      <c r="P82" s="180" t="str">
        <f aca="false">IF((D82="i"),F82," ")</f>
        <v> </v>
      </c>
      <c r="Q82" s="180" t="str">
        <f aca="false">IF((D82="b"),F82," ")</f>
        <v> </v>
      </c>
      <c r="R82" s="180" t="str">
        <f aca="false">IF((D82="o"),F82," ")</f>
        <v> </v>
      </c>
      <c r="S82" s="180" t="str">
        <f aca="false">IF((D82="f"),F82," ")</f>
        <v> </v>
      </c>
      <c r="U82" s="371"/>
    </row>
    <row r="83" customFormat="false" ht="12.75" hidden="false" customHeight="false" outlineLevel="0" collapsed="false">
      <c r="D83" s="371" t="str">
        <f aca="false">IF((F83&lt;&gt;0),"Enter Letter"," ")</f>
        <v> </v>
      </c>
      <c r="G83" s="180" t="str">
        <f aca="false">IF((D83="d"),F83," ")</f>
        <v> </v>
      </c>
      <c r="H83" s="180" t="str">
        <f aca="false">IF((D83="h"),F83," ")</f>
        <v> </v>
      </c>
      <c r="I83" s="180" t="str">
        <f aca="false">IF((D83="r"),F83," ")</f>
        <v> </v>
      </c>
      <c r="J83" s="180" t="str">
        <f aca="false">IF((D83="t"),F83," ")</f>
        <v> </v>
      </c>
      <c r="K83" s="180" t="str">
        <f aca="false">IF((D83="e"),F83," ")</f>
        <v> </v>
      </c>
      <c r="L83" s="180" t="str">
        <f aca="false">IF((D83="p"),F83," ")</f>
        <v> </v>
      </c>
      <c r="M83" s="180" t="str">
        <f aca="false">IF((D83="g"),F83," ")</f>
        <v> </v>
      </c>
      <c r="N83" s="180" t="str">
        <f aca="false">IF((D83="a"),F83," ")</f>
        <v> </v>
      </c>
      <c r="O83" s="180" t="str">
        <f aca="false">IF((D83="l"),F83," ")</f>
        <v> </v>
      </c>
      <c r="P83" s="180" t="str">
        <f aca="false">IF((D83="i"),F83," ")</f>
        <v> </v>
      </c>
      <c r="Q83" s="180" t="str">
        <f aca="false">IF((D83="b"),F83," ")</f>
        <v> </v>
      </c>
      <c r="R83" s="180" t="str">
        <f aca="false">IF((D83="o"),F83," ")</f>
        <v> </v>
      </c>
      <c r="S83" s="180" t="str">
        <f aca="false">IF((D83="f"),F83," ")</f>
        <v> </v>
      </c>
      <c r="U83" s="371"/>
    </row>
    <row r="84" customFormat="false" ht="12.75" hidden="false" customHeight="false" outlineLevel="0" collapsed="false">
      <c r="D84" s="371" t="str">
        <f aca="false">IF((F84&lt;&gt;0),"Enter Letter"," ")</f>
        <v> </v>
      </c>
      <c r="G84" s="180" t="str">
        <f aca="false">IF((D84="d"),F84," ")</f>
        <v> </v>
      </c>
      <c r="H84" s="180" t="str">
        <f aca="false">IF((D84="h"),F84," ")</f>
        <v> </v>
      </c>
      <c r="I84" s="180" t="str">
        <f aca="false">IF((D84="r"),F84," ")</f>
        <v> </v>
      </c>
      <c r="J84" s="180" t="str">
        <f aca="false">IF((D84="t"),F84," ")</f>
        <v> </v>
      </c>
      <c r="K84" s="180" t="str">
        <f aca="false">IF((D84="e"),F84," ")</f>
        <v> </v>
      </c>
      <c r="L84" s="180" t="str">
        <f aca="false">IF((D84="p"),F84," ")</f>
        <v> </v>
      </c>
      <c r="M84" s="180" t="str">
        <f aca="false">IF((D84="g"),F84," ")</f>
        <v> </v>
      </c>
      <c r="N84" s="180" t="str">
        <f aca="false">IF((D84="a"),F84," ")</f>
        <v> </v>
      </c>
      <c r="O84" s="180" t="str">
        <f aca="false">IF((D84="l"),F84," ")</f>
        <v> </v>
      </c>
      <c r="P84" s="180" t="str">
        <f aca="false">IF((D84="i"),F84," ")</f>
        <v> </v>
      </c>
      <c r="Q84" s="180" t="str">
        <f aca="false">IF((D84="b"),F84," ")</f>
        <v> </v>
      </c>
      <c r="R84" s="180" t="str">
        <f aca="false">IF((D84="o"),F84," ")</f>
        <v> </v>
      </c>
      <c r="S84" s="180" t="str">
        <f aca="false">IF((D84="f"),F84," ")</f>
        <v> </v>
      </c>
      <c r="U84" s="371"/>
    </row>
    <row r="85" customFormat="false" ht="12.75" hidden="false" customHeight="false" outlineLevel="0" collapsed="false">
      <c r="D85" s="371" t="str">
        <f aca="false">IF((F85&lt;&gt;0),"Enter Letter"," ")</f>
        <v> </v>
      </c>
      <c r="G85" s="180" t="str">
        <f aca="false">IF((D85="d"),F85," ")</f>
        <v> </v>
      </c>
      <c r="H85" s="180" t="str">
        <f aca="false">IF((D85="h"),F85," ")</f>
        <v> </v>
      </c>
      <c r="I85" s="180" t="str">
        <f aca="false">IF((D85="r"),F85," ")</f>
        <v> </v>
      </c>
      <c r="J85" s="180" t="str">
        <f aca="false">IF((D85="t"),F85," ")</f>
        <v> </v>
      </c>
      <c r="K85" s="180" t="str">
        <f aca="false">IF((D85="e"),F85," ")</f>
        <v> </v>
      </c>
      <c r="L85" s="180" t="str">
        <f aca="false">IF((D85="p"),F85," ")</f>
        <v> </v>
      </c>
      <c r="M85" s="180" t="str">
        <f aca="false">IF((D85="g"),F85," ")</f>
        <v> </v>
      </c>
      <c r="N85" s="180" t="str">
        <f aca="false">IF((D85="a"),F85," ")</f>
        <v> </v>
      </c>
      <c r="O85" s="180" t="str">
        <f aca="false">IF((D85="l"),F85," ")</f>
        <v> </v>
      </c>
      <c r="P85" s="180" t="str">
        <f aca="false">IF((D85="i"),F85," ")</f>
        <v> </v>
      </c>
      <c r="Q85" s="180" t="str">
        <f aca="false">IF((D85="b"),F85," ")</f>
        <v> </v>
      </c>
      <c r="R85" s="180" t="str">
        <f aca="false">IF((D85="o"),F85," ")</f>
        <v> </v>
      </c>
      <c r="S85" s="180" t="str">
        <f aca="false">IF((D85="f"),F85," ")</f>
        <v> </v>
      </c>
      <c r="U85" s="371"/>
    </row>
    <row r="86" customFormat="false" ht="12.75" hidden="false" customHeight="false" outlineLevel="0" collapsed="false">
      <c r="D86" s="371" t="str">
        <f aca="false">IF((F86&lt;&gt;0),"Enter Letter"," ")</f>
        <v> </v>
      </c>
      <c r="G86" s="180" t="str">
        <f aca="false">IF((D86="d"),F86," ")</f>
        <v> </v>
      </c>
      <c r="H86" s="180" t="str">
        <f aca="false">IF((D86="h"),F86," ")</f>
        <v> </v>
      </c>
      <c r="I86" s="180" t="str">
        <f aca="false">IF((D86="r"),F86," ")</f>
        <v> </v>
      </c>
      <c r="J86" s="180" t="str">
        <f aca="false">IF((D86="t"),F86," ")</f>
        <v> </v>
      </c>
      <c r="K86" s="180" t="str">
        <f aca="false">IF((D86="e"),F86," ")</f>
        <v> </v>
      </c>
      <c r="L86" s="180" t="str">
        <f aca="false">IF((D86="p"),F86," ")</f>
        <v> </v>
      </c>
      <c r="M86" s="180" t="str">
        <f aca="false">IF((D86="g"),F86," ")</f>
        <v> </v>
      </c>
      <c r="N86" s="180" t="str">
        <f aca="false">IF((D86="a"),F86," ")</f>
        <v> </v>
      </c>
      <c r="O86" s="180" t="str">
        <f aca="false">IF((D86="l"),F86," ")</f>
        <v> </v>
      </c>
      <c r="P86" s="180" t="str">
        <f aca="false">IF((D86="i"),F86," ")</f>
        <v> </v>
      </c>
      <c r="Q86" s="180" t="str">
        <f aca="false">IF((D86="b"),F86," ")</f>
        <v> </v>
      </c>
      <c r="R86" s="180" t="str">
        <f aca="false">IF((D86="o"),F86," ")</f>
        <v> </v>
      </c>
      <c r="S86" s="180" t="str">
        <f aca="false">IF((D86="f"),F86," ")</f>
        <v> </v>
      </c>
      <c r="U86" s="371"/>
    </row>
    <row r="87" customFormat="false" ht="12.75" hidden="false" customHeight="false" outlineLevel="0" collapsed="false">
      <c r="D87" s="371" t="str">
        <f aca="false">IF((F87&lt;&gt;0),"Enter Letter"," ")</f>
        <v> </v>
      </c>
      <c r="G87" s="180" t="str">
        <f aca="false">IF((D87="d"),F87," ")</f>
        <v> </v>
      </c>
      <c r="H87" s="180" t="str">
        <f aca="false">IF((D87="h"),F87," ")</f>
        <v> </v>
      </c>
      <c r="I87" s="180" t="str">
        <f aca="false">IF((D87="r"),F87," ")</f>
        <v> </v>
      </c>
      <c r="J87" s="180" t="str">
        <f aca="false">IF((D87="t"),F87," ")</f>
        <v> </v>
      </c>
      <c r="K87" s="180" t="str">
        <f aca="false">IF((D87="e"),F87," ")</f>
        <v> </v>
      </c>
      <c r="L87" s="180" t="str">
        <f aca="false">IF((D87="p"),F87," ")</f>
        <v> </v>
      </c>
      <c r="M87" s="180" t="str">
        <f aca="false">IF((D87="g"),F87," ")</f>
        <v> </v>
      </c>
      <c r="N87" s="180" t="str">
        <f aca="false">IF((D87="a"),F87," ")</f>
        <v> </v>
      </c>
      <c r="O87" s="180" t="str">
        <f aca="false">IF((D87="l"),F87," ")</f>
        <v> </v>
      </c>
      <c r="P87" s="180" t="str">
        <f aca="false">IF((D87="i"),F87," ")</f>
        <v> </v>
      </c>
      <c r="Q87" s="180" t="str">
        <f aca="false">IF((D87="b"),F87," ")</f>
        <v> </v>
      </c>
      <c r="R87" s="180" t="str">
        <f aca="false">IF((D87="o"),F87," ")</f>
        <v> </v>
      </c>
      <c r="S87" s="180" t="str">
        <f aca="false">IF((D87="f"),F87," ")</f>
        <v> </v>
      </c>
      <c r="U87" s="371"/>
    </row>
    <row r="88" customFormat="false" ht="12.75" hidden="false" customHeight="false" outlineLevel="0" collapsed="false">
      <c r="D88" s="371" t="str">
        <f aca="false">IF((F88&lt;&gt;0),"Enter Letter"," ")</f>
        <v> </v>
      </c>
      <c r="G88" s="180" t="str">
        <f aca="false">IF((D88="d"),F88," ")</f>
        <v> </v>
      </c>
      <c r="H88" s="180" t="str">
        <f aca="false">IF((D88="h"),F88," ")</f>
        <v> </v>
      </c>
      <c r="I88" s="180" t="str">
        <f aca="false">IF((D88="r"),F88," ")</f>
        <v> </v>
      </c>
      <c r="J88" s="180" t="str">
        <f aca="false">IF((D88="t"),F88," ")</f>
        <v> </v>
      </c>
      <c r="K88" s="180" t="str">
        <f aca="false">IF((D88="e"),F88," ")</f>
        <v> </v>
      </c>
      <c r="L88" s="180" t="str">
        <f aca="false">IF((D88="p"),F88," ")</f>
        <v> </v>
      </c>
      <c r="M88" s="180" t="str">
        <f aca="false">IF((D88="g"),F88," ")</f>
        <v> </v>
      </c>
      <c r="N88" s="180" t="str">
        <f aca="false">IF((D88="a"),F88," ")</f>
        <v> </v>
      </c>
      <c r="O88" s="180" t="str">
        <f aca="false">IF((D88="l"),F88," ")</f>
        <v> </v>
      </c>
      <c r="P88" s="180" t="str">
        <f aca="false">IF((D88="i"),F88," ")</f>
        <v> </v>
      </c>
      <c r="Q88" s="180" t="str">
        <f aca="false">IF((D88="b"),F88," ")</f>
        <v> </v>
      </c>
      <c r="R88" s="180" t="str">
        <f aca="false">IF((D88="o"),F88," ")</f>
        <v> </v>
      </c>
      <c r="S88" s="180" t="str">
        <f aca="false">IF((D88="f"),F88," ")</f>
        <v> </v>
      </c>
      <c r="U88" s="371"/>
    </row>
    <row r="89" customFormat="false" ht="12.75" hidden="false" customHeight="false" outlineLevel="0" collapsed="false">
      <c r="D89" s="371" t="str">
        <f aca="false">IF((F89&lt;&gt;0),"Enter Letter"," ")</f>
        <v> </v>
      </c>
      <c r="G89" s="180" t="str">
        <f aca="false">IF((D89="d"),F89," ")</f>
        <v> </v>
      </c>
      <c r="H89" s="180" t="str">
        <f aca="false">IF((D89="h"),F89," ")</f>
        <v> </v>
      </c>
      <c r="I89" s="180" t="str">
        <f aca="false">IF((D89="r"),F89," ")</f>
        <v> </v>
      </c>
      <c r="J89" s="180" t="str">
        <f aca="false">IF((D89="t"),F89," ")</f>
        <v> </v>
      </c>
      <c r="K89" s="180" t="str">
        <f aca="false">IF((D89="e"),F89," ")</f>
        <v> </v>
      </c>
      <c r="L89" s="180" t="str">
        <f aca="false">IF((D89="p"),F89," ")</f>
        <v> </v>
      </c>
      <c r="M89" s="180" t="str">
        <f aca="false">IF((D89="g"),F89," ")</f>
        <v> </v>
      </c>
      <c r="N89" s="180" t="str">
        <f aca="false">IF((D89="a"),F89," ")</f>
        <v> </v>
      </c>
      <c r="O89" s="180" t="str">
        <f aca="false">IF((D89="l"),F89," ")</f>
        <v> </v>
      </c>
      <c r="P89" s="180" t="str">
        <f aca="false">IF((D89="i"),F89," ")</f>
        <v> </v>
      </c>
      <c r="Q89" s="180" t="str">
        <f aca="false">IF((D89="b"),F89," ")</f>
        <v> </v>
      </c>
      <c r="R89" s="180" t="str">
        <f aca="false">IF((D89="o"),F89," ")</f>
        <v> </v>
      </c>
      <c r="S89" s="180" t="str">
        <f aca="false">IF((D89="f"),F89," ")</f>
        <v> </v>
      </c>
      <c r="U89" s="371"/>
    </row>
    <row r="90" customFormat="false" ht="12.75" hidden="false" customHeight="false" outlineLevel="0" collapsed="false">
      <c r="D90" s="371" t="str">
        <f aca="false">IF((F90&lt;&gt;0),"Enter Letter"," ")</f>
        <v> </v>
      </c>
      <c r="G90" s="180" t="str">
        <f aca="false">IF((D90="d"),F90," ")</f>
        <v> </v>
      </c>
      <c r="H90" s="180" t="str">
        <f aca="false">IF((D90="h"),F90," ")</f>
        <v> </v>
      </c>
      <c r="I90" s="180" t="str">
        <f aca="false">IF((D90="r"),F90," ")</f>
        <v> </v>
      </c>
      <c r="J90" s="180" t="str">
        <f aca="false">IF((D90="t"),F90," ")</f>
        <v> </v>
      </c>
      <c r="K90" s="180" t="str">
        <f aca="false">IF((D90="e"),F90," ")</f>
        <v> </v>
      </c>
      <c r="L90" s="180" t="str">
        <f aca="false">IF((D90="p"),F90," ")</f>
        <v> </v>
      </c>
      <c r="M90" s="180" t="str">
        <f aca="false">IF((D90="g"),F90," ")</f>
        <v> </v>
      </c>
      <c r="N90" s="180" t="str">
        <f aca="false">IF((D90="a"),F90," ")</f>
        <v> </v>
      </c>
      <c r="O90" s="180" t="str">
        <f aca="false">IF((D90="l"),F90," ")</f>
        <v> </v>
      </c>
      <c r="P90" s="180" t="str">
        <f aca="false">IF((D90="i"),F90," ")</f>
        <v> </v>
      </c>
      <c r="Q90" s="180" t="str">
        <f aca="false">IF((D90="b"),F90," ")</f>
        <v> </v>
      </c>
      <c r="R90" s="180" t="str">
        <f aca="false">IF((D90="o"),F90," ")</f>
        <v> </v>
      </c>
      <c r="S90" s="180" t="str">
        <f aca="false">IF((D90="f"),F90," ")</f>
        <v> </v>
      </c>
      <c r="U90" s="371"/>
    </row>
    <row r="91" customFormat="false" ht="12.75" hidden="false" customHeight="false" outlineLevel="0" collapsed="false">
      <c r="D91" s="371" t="str">
        <f aca="false">IF((F91&lt;&gt;0),"Enter Letter"," ")</f>
        <v> </v>
      </c>
      <c r="G91" s="180" t="str">
        <f aca="false">IF((D91="d"),F91," ")</f>
        <v> </v>
      </c>
      <c r="H91" s="180" t="str">
        <f aca="false">IF((D91="h"),F91," ")</f>
        <v> </v>
      </c>
      <c r="I91" s="180" t="str">
        <f aca="false">IF((D91="r"),F91," ")</f>
        <v> </v>
      </c>
      <c r="J91" s="180" t="str">
        <f aca="false">IF((D91="t"),F91," ")</f>
        <v> </v>
      </c>
      <c r="K91" s="180" t="str">
        <f aca="false">IF((D91="e"),F91," ")</f>
        <v> </v>
      </c>
      <c r="L91" s="180" t="str">
        <f aca="false">IF((D91="p"),F91," ")</f>
        <v> </v>
      </c>
      <c r="M91" s="180" t="str">
        <f aca="false">IF((D91="g"),F91," ")</f>
        <v> </v>
      </c>
      <c r="N91" s="180" t="str">
        <f aca="false">IF((D91="a"),F91," ")</f>
        <v> </v>
      </c>
      <c r="O91" s="180" t="str">
        <f aca="false">IF((D91="l"),F91," ")</f>
        <v> </v>
      </c>
      <c r="P91" s="180" t="str">
        <f aca="false">IF((D91="i"),F91," ")</f>
        <v> </v>
      </c>
      <c r="Q91" s="180" t="str">
        <f aca="false">IF((D91="b"),F91," ")</f>
        <v> </v>
      </c>
      <c r="R91" s="180" t="str">
        <f aca="false">IF((D91="o"),F91," ")</f>
        <v> </v>
      </c>
      <c r="S91" s="180" t="str">
        <f aca="false">IF((D91="f"),F91," ")</f>
        <v> </v>
      </c>
      <c r="U91" s="371"/>
    </row>
    <row r="92" customFormat="false" ht="12.75" hidden="false" customHeight="false" outlineLevel="0" collapsed="false">
      <c r="D92" s="371" t="str">
        <f aca="false">IF((F92&lt;&gt;0),"Enter Letter"," ")</f>
        <v> </v>
      </c>
      <c r="G92" s="180" t="str">
        <f aca="false">IF((D92="d"),F92," ")</f>
        <v> </v>
      </c>
      <c r="H92" s="180" t="str">
        <f aca="false">IF((D92="h"),F92," ")</f>
        <v> </v>
      </c>
      <c r="I92" s="180" t="str">
        <f aca="false">IF((D92="r"),F92," ")</f>
        <v> </v>
      </c>
      <c r="J92" s="180" t="str">
        <f aca="false">IF((D92="t"),F92," ")</f>
        <v> </v>
      </c>
      <c r="K92" s="180" t="str">
        <f aca="false">IF((D92="e"),F92," ")</f>
        <v> </v>
      </c>
      <c r="L92" s="180" t="str">
        <f aca="false">IF((D92="p"),F92," ")</f>
        <v> </v>
      </c>
      <c r="M92" s="180" t="str">
        <f aca="false">IF((D92="g"),F92," ")</f>
        <v> </v>
      </c>
      <c r="N92" s="180" t="str">
        <f aca="false">IF((D92="a"),F92," ")</f>
        <v> </v>
      </c>
      <c r="O92" s="180" t="str">
        <f aca="false">IF((D92="l"),F92," ")</f>
        <v> </v>
      </c>
      <c r="P92" s="180" t="str">
        <f aca="false">IF((D92="i"),F92," ")</f>
        <v> </v>
      </c>
      <c r="Q92" s="180" t="str">
        <f aca="false">IF((D92="b"),F92," ")</f>
        <v> </v>
      </c>
      <c r="R92" s="180" t="str">
        <f aca="false">IF((D92="o"),F92," ")</f>
        <v> </v>
      </c>
      <c r="S92" s="180" t="str">
        <f aca="false">IF((D92="f"),F92," ")</f>
        <v> </v>
      </c>
      <c r="U92" s="371"/>
    </row>
    <row r="93" customFormat="false" ht="12.75" hidden="false" customHeight="false" outlineLevel="0" collapsed="false">
      <c r="D93" s="371" t="str">
        <f aca="false">IF((F93&lt;&gt;0),"Enter Letter"," ")</f>
        <v> </v>
      </c>
      <c r="G93" s="180" t="str">
        <f aca="false">IF((D93="d"),F93," ")</f>
        <v> </v>
      </c>
      <c r="H93" s="180" t="str">
        <f aca="false">IF((D93="h"),F93," ")</f>
        <v> </v>
      </c>
      <c r="I93" s="180" t="str">
        <f aca="false">IF((D93="r"),F93," ")</f>
        <v> </v>
      </c>
      <c r="J93" s="180" t="str">
        <f aca="false">IF((D93="t"),F93," ")</f>
        <v> </v>
      </c>
      <c r="K93" s="180" t="str">
        <f aca="false">IF((D93="e"),F93," ")</f>
        <v> </v>
      </c>
      <c r="L93" s="180" t="str">
        <f aca="false">IF((D93="p"),F93," ")</f>
        <v> </v>
      </c>
      <c r="M93" s="180" t="str">
        <f aca="false">IF((D93="g"),F93," ")</f>
        <v> </v>
      </c>
      <c r="N93" s="180" t="str">
        <f aca="false">IF((D93="a"),F93," ")</f>
        <v> </v>
      </c>
      <c r="O93" s="180" t="str">
        <f aca="false">IF((D93="l"),F93," ")</f>
        <v> </v>
      </c>
      <c r="P93" s="180" t="str">
        <f aca="false">IF((D93="i"),F93," ")</f>
        <v> </v>
      </c>
      <c r="Q93" s="180" t="str">
        <f aca="false">IF((D93="b"),F93," ")</f>
        <v> </v>
      </c>
      <c r="R93" s="180" t="str">
        <f aca="false">IF((D93="o"),F93," ")</f>
        <v> </v>
      </c>
      <c r="S93" s="180" t="str">
        <f aca="false">IF((D93="f"),F93," ")</f>
        <v> </v>
      </c>
      <c r="U93" s="371"/>
    </row>
    <row r="94" customFormat="false" ht="12.75" hidden="false" customHeight="false" outlineLevel="0" collapsed="false">
      <c r="D94" s="371" t="str">
        <f aca="false">IF((F94&lt;&gt;0),"Enter Letter"," ")</f>
        <v> </v>
      </c>
      <c r="G94" s="180" t="str">
        <f aca="false">IF((D94="d"),F94," ")</f>
        <v> </v>
      </c>
      <c r="H94" s="180" t="str">
        <f aca="false">IF((D94="h"),F94," ")</f>
        <v> </v>
      </c>
      <c r="I94" s="180" t="str">
        <f aca="false">IF((D94="r"),F94," ")</f>
        <v> </v>
      </c>
      <c r="J94" s="180" t="str">
        <f aca="false">IF((D94="t"),F94," ")</f>
        <v> </v>
      </c>
      <c r="K94" s="180" t="str">
        <f aca="false">IF((D94="e"),F94," ")</f>
        <v> </v>
      </c>
      <c r="L94" s="180" t="str">
        <f aca="false">IF((D94="p"),F94," ")</f>
        <v> </v>
      </c>
      <c r="M94" s="180" t="str">
        <f aca="false">IF((D94="g"),F94," ")</f>
        <v> </v>
      </c>
      <c r="N94" s="180" t="str">
        <f aca="false">IF((D94="a"),F94," ")</f>
        <v> </v>
      </c>
      <c r="O94" s="180" t="str">
        <f aca="false">IF((D94="l"),F94," ")</f>
        <v> </v>
      </c>
      <c r="P94" s="180" t="str">
        <f aca="false">IF((D94="i"),F94," ")</f>
        <v> </v>
      </c>
      <c r="Q94" s="180" t="str">
        <f aca="false">IF((D94="b"),F94," ")</f>
        <v> </v>
      </c>
      <c r="R94" s="180" t="str">
        <f aca="false">IF((D94="o"),F94," ")</f>
        <v> </v>
      </c>
      <c r="S94" s="180" t="str">
        <f aca="false">IF((D94="f"),F94," ")</f>
        <v> </v>
      </c>
      <c r="U94" s="371"/>
    </row>
    <row r="95" customFormat="false" ht="12.75" hidden="false" customHeight="false" outlineLevel="0" collapsed="false">
      <c r="D95" s="371" t="str">
        <f aca="false">IF((F95&lt;&gt;0),"Enter Letter"," ")</f>
        <v> </v>
      </c>
      <c r="G95" s="180" t="str">
        <f aca="false">IF((D95="d"),F95," ")</f>
        <v> </v>
      </c>
      <c r="H95" s="180" t="str">
        <f aca="false">IF((D95="h"),F95," ")</f>
        <v> </v>
      </c>
      <c r="I95" s="180" t="str">
        <f aca="false">IF((D95="r"),F95," ")</f>
        <v> </v>
      </c>
      <c r="J95" s="180" t="str">
        <f aca="false">IF((D95="t"),F95," ")</f>
        <v> </v>
      </c>
      <c r="K95" s="180" t="str">
        <f aca="false">IF((D95="e"),F95," ")</f>
        <v> </v>
      </c>
      <c r="L95" s="180" t="str">
        <f aca="false">IF((D95="p"),F95," ")</f>
        <v> </v>
      </c>
      <c r="M95" s="180" t="str">
        <f aca="false">IF((D95="g"),F95," ")</f>
        <v> </v>
      </c>
      <c r="N95" s="180" t="str">
        <f aca="false">IF((D95="a"),F95," ")</f>
        <v> </v>
      </c>
      <c r="O95" s="180" t="str">
        <f aca="false">IF((D95="l"),F95," ")</f>
        <v> </v>
      </c>
      <c r="P95" s="180" t="str">
        <f aca="false">IF((D95="i"),F95," ")</f>
        <v> </v>
      </c>
      <c r="Q95" s="180" t="str">
        <f aca="false">IF((D95="b"),F95," ")</f>
        <v> </v>
      </c>
      <c r="R95" s="180" t="str">
        <f aca="false">IF((D95="o"),F95," ")</f>
        <v> </v>
      </c>
      <c r="S95" s="180" t="str">
        <f aca="false">IF((D95="f"),F95," ")</f>
        <v> </v>
      </c>
      <c r="U95" s="371"/>
    </row>
    <row r="96" customFormat="false" ht="12.75" hidden="false" customHeight="false" outlineLevel="0" collapsed="false">
      <c r="D96" s="371" t="str">
        <f aca="false">IF((F96&lt;&gt;0),"Enter Letter"," ")</f>
        <v> </v>
      </c>
      <c r="G96" s="180" t="str">
        <f aca="false">IF((D96="d"),F96," ")</f>
        <v> </v>
      </c>
      <c r="H96" s="180" t="str">
        <f aca="false">IF((D96="h"),F96," ")</f>
        <v> </v>
      </c>
      <c r="I96" s="180" t="str">
        <f aca="false">IF((D96="r"),F96," ")</f>
        <v> </v>
      </c>
      <c r="J96" s="180" t="str">
        <f aca="false">IF((D96="t"),F96," ")</f>
        <v> </v>
      </c>
      <c r="K96" s="180" t="str">
        <f aca="false">IF((D96="e"),F96," ")</f>
        <v> </v>
      </c>
      <c r="L96" s="180" t="str">
        <f aca="false">IF((D96="p"),F96," ")</f>
        <v> </v>
      </c>
      <c r="M96" s="180" t="str">
        <f aca="false">IF((D96="g"),F96," ")</f>
        <v> </v>
      </c>
      <c r="N96" s="180" t="str">
        <f aca="false">IF((D96="a"),F96," ")</f>
        <v> </v>
      </c>
      <c r="O96" s="180" t="str">
        <f aca="false">IF((D96="l"),F96," ")</f>
        <v> </v>
      </c>
      <c r="P96" s="180" t="str">
        <f aca="false">IF((D96="i"),F96," ")</f>
        <v> </v>
      </c>
      <c r="Q96" s="180" t="str">
        <f aca="false">IF((D96="b"),F96," ")</f>
        <v> </v>
      </c>
      <c r="R96" s="180" t="str">
        <f aca="false">IF((D96="o"),F96," ")</f>
        <v> </v>
      </c>
      <c r="S96" s="180" t="str">
        <f aca="false">IF((D96="f"),F96," ")</f>
        <v> </v>
      </c>
      <c r="U96" s="371"/>
    </row>
    <row r="97" customFormat="false" ht="12.75" hidden="false" customHeight="false" outlineLevel="0" collapsed="false">
      <c r="D97" s="371" t="str">
        <f aca="false">IF((F97&lt;&gt;0),"Enter Letter"," ")</f>
        <v> </v>
      </c>
      <c r="G97" s="180" t="str">
        <f aca="false">IF((D97="d"),F97," ")</f>
        <v> </v>
      </c>
      <c r="H97" s="180" t="str">
        <f aca="false">IF((D97="h"),F97," ")</f>
        <v> </v>
      </c>
      <c r="I97" s="180" t="str">
        <f aca="false">IF((D97="r"),F97," ")</f>
        <v> </v>
      </c>
      <c r="J97" s="180" t="str">
        <f aca="false">IF((D97="t"),F97," ")</f>
        <v> </v>
      </c>
      <c r="K97" s="180" t="str">
        <f aca="false">IF((D97="e"),F97," ")</f>
        <v> </v>
      </c>
      <c r="L97" s="180" t="str">
        <f aca="false">IF((D97="p"),F97," ")</f>
        <v> </v>
      </c>
      <c r="M97" s="180" t="str">
        <f aca="false">IF((D97="g"),F97," ")</f>
        <v> </v>
      </c>
      <c r="N97" s="180" t="str">
        <f aca="false">IF((D97="a"),F97," ")</f>
        <v> </v>
      </c>
      <c r="O97" s="180" t="str">
        <f aca="false">IF((D97="l"),F97," ")</f>
        <v> </v>
      </c>
      <c r="P97" s="180" t="str">
        <f aca="false">IF((D97="i"),F97," ")</f>
        <v> </v>
      </c>
      <c r="Q97" s="180" t="str">
        <f aca="false">IF((D97="b"),F97," ")</f>
        <v> </v>
      </c>
      <c r="R97" s="180" t="str">
        <f aca="false">IF((D97="o"),F97," ")</f>
        <v> </v>
      </c>
      <c r="S97" s="180" t="str">
        <f aca="false">IF((D97="f"),F97," ")</f>
        <v> </v>
      </c>
      <c r="U97" s="371"/>
    </row>
    <row r="98" customFormat="false" ht="12.75" hidden="false" customHeight="false" outlineLevel="0" collapsed="false">
      <c r="D98" s="371" t="str">
        <f aca="false">IF((F98&lt;&gt;0),"Enter Letter"," ")</f>
        <v> </v>
      </c>
      <c r="G98" s="180" t="str">
        <f aca="false">IF((D98="d"),F98," ")</f>
        <v> </v>
      </c>
      <c r="H98" s="180" t="str">
        <f aca="false">IF((D98="h"),F98," ")</f>
        <v> </v>
      </c>
      <c r="I98" s="180" t="str">
        <f aca="false">IF((D98="r"),F98," ")</f>
        <v> </v>
      </c>
      <c r="J98" s="180" t="str">
        <f aca="false">IF((D98="t"),F98," ")</f>
        <v> </v>
      </c>
      <c r="K98" s="180" t="str">
        <f aca="false">IF((D98="e"),F98," ")</f>
        <v> </v>
      </c>
      <c r="L98" s="180" t="str">
        <f aca="false">IF((D98="p"),F98," ")</f>
        <v> </v>
      </c>
      <c r="M98" s="180" t="str">
        <f aca="false">IF((D98="g"),F98," ")</f>
        <v> </v>
      </c>
      <c r="N98" s="180" t="str">
        <f aca="false">IF((D98="a"),F98," ")</f>
        <v> </v>
      </c>
      <c r="O98" s="180" t="str">
        <f aca="false">IF((D98="l"),F98," ")</f>
        <v> </v>
      </c>
      <c r="P98" s="180" t="str">
        <f aca="false">IF((D98="i"),F98," ")</f>
        <v> </v>
      </c>
      <c r="Q98" s="180" t="str">
        <f aca="false">IF((D98="b"),F98," ")</f>
        <v> </v>
      </c>
      <c r="R98" s="180" t="str">
        <f aca="false">IF((D98="o"),F98," ")</f>
        <v> </v>
      </c>
      <c r="S98" s="180" t="str">
        <f aca="false">IF((D98="f"),F98," ")</f>
        <v> </v>
      </c>
      <c r="U98" s="371"/>
    </row>
    <row r="99" customFormat="false" ht="12.75" hidden="false" customHeight="false" outlineLevel="0" collapsed="false">
      <c r="D99" s="371" t="str">
        <f aca="false">IF((F99&lt;&gt;0),"Enter Letter"," ")</f>
        <v> </v>
      </c>
      <c r="G99" s="180" t="str">
        <f aca="false">IF((D99="d"),F99," ")</f>
        <v> </v>
      </c>
      <c r="H99" s="180" t="str">
        <f aca="false">IF((D99="h"),F99," ")</f>
        <v> </v>
      </c>
      <c r="I99" s="180" t="str">
        <f aca="false">IF((D99="r"),F99," ")</f>
        <v> </v>
      </c>
      <c r="J99" s="180" t="str">
        <f aca="false">IF((D99="t"),F99," ")</f>
        <v> </v>
      </c>
      <c r="K99" s="180" t="str">
        <f aca="false">IF((D99="e"),F99," ")</f>
        <v> </v>
      </c>
      <c r="L99" s="180" t="str">
        <f aca="false">IF((D99="p"),F99," ")</f>
        <v> </v>
      </c>
      <c r="M99" s="180" t="str">
        <f aca="false">IF((D99="g"),F99," ")</f>
        <v> </v>
      </c>
      <c r="N99" s="180" t="str">
        <f aca="false">IF((D99="a"),F99," ")</f>
        <v> </v>
      </c>
      <c r="O99" s="180" t="str">
        <f aca="false">IF((D99="l"),F99," ")</f>
        <v> </v>
      </c>
      <c r="P99" s="180" t="str">
        <f aca="false">IF((D99="i"),F99," ")</f>
        <v> </v>
      </c>
      <c r="Q99" s="180" t="str">
        <f aca="false">IF((D99="b"),F99," ")</f>
        <v> </v>
      </c>
      <c r="R99" s="180" t="str">
        <f aca="false">IF((D99="o"),F99," ")</f>
        <v> </v>
      </c>
      <c r="S99" s="180" t="str">
        <f aca="false">IF((D99="f"),F99," ")</f>
        <v> </v>
      </c>
      <c r="U99" s="371"/>
    </row>
    <row r="100" customFormat="false" ht="12.75" hidden="false" customHeight="false" outlineLevel="0" collapsed="false">
      <c r="D100" s="371" t="str">
        <f aca="false">IF((F100&lt;&gt;0),"Enter Letter"," ")</f>
        <v> </v>
      </c>
      <c r="G100" s="180" t="str">
        <f aca="false">IF((D100="d"),F100," ")</f>
        <v> </v>
      </c>
      <c r="H100" s="180" t="str">
        <f aca="false">IF((D100="h"),F100," ")</f>
        <v> </v>
      </c>
      <c r="I100" s="180" t="str">
        <f aca="false">IF((D100="r"),F100," ")</f>
        <v> </v>
      </c>
      <c r="J100" s="180" t="str">
        <f aca="false">IF((D100="t"),F100," ")</f>
        <v> </v>
      </c>
      <c r="K100" s="180" t="str">
        <f aca="false">IF((D100="e"),F100," ")</f>
        <v> </v>
      </c>
      <c r="L100" s="180" t="str">
        <f aca="false">IF((D100="p"),F100," ")</f>
        <v> </v>
      </c>
      <c r="M100" s="180" t="str">
        <f aca="false">IF((D100="g"),F100," ")</f>
        <v> </v>
      </c>
      <c r="N100" s="180" t="str">
        <f aca="false">IF((D100="a"),F100," ")</f>
        <v> </v>
      </c>
      <c r="O100" s="180" t="str">
        <f aca="false">IF((D100="l"),F100," ")</f>
        <v> </v>
      </c>
      <c r="P100" s="180" t="str">
        <f aca="false">IF((D100="i"),F100," ")</f>
        <v> </v>
      </c>
      <c r="Q100" s="180" t="str">
        <f aca="false">IF((D100="b"),F100," ")</f>
        <v> </v>
      </c>
      <c r="R100" s="180" t="str">
        <f aca="false">IF((D100="o"),F100," ")</f>
        <v> </v>
      </c>
      <c r="S100" s="180" t="str">
        <f aca="false">IF((D100="f"),F100," ")</f>
        <v> </v>
      </c>
      <c r="U100" s="371"/>
    </row>
    <row r="101" customFormat="false" ht="12.75" hidden="false" customHeight="false" outlineLevel="0" collapsed="false">
      <c r="D101" s="371" t="str">
        <f aca="false">IF((F101&lt;&gt;0),"Enter Letter"," ")</f>
        <v> </v>
      </c>
      <c r="G101" s="180" t="str">
        <f aca="false">IF((D101="d"),F101," ")</f>
        <v> </v>
      </c>
      <c r="H101" s="180" t="str">
        <f aca="false">IF((D101="h"),F101," ")</f>
        <v> </v>
      </c>
      <c r="I101" s="180" t="str">
        <f aca="false">IF((D101="r"),F101," ")</f>
        <v> </v>
      </c>
      <c r="J101" s="180" t="str">
        <f aca="false">IF((D101="t"),F101," ")</f>
        <v> </v>
      </c>
      <c r="K101" s="180" t="str">
        <f aca="false">IF((D101="e"),F101," ")</f>
        <v> </v>
      </c>
      <c r="L101" s="180" t="str">
        <f aca="false">IF((D101="p"),F101," ")</f>
        <v> </v>
      </c>
      <c r="M101" s="180" t="str">
        <f aca="false">IF((D101="g"),F101," ")</f>
        <v> </v>
      </c>
      <c r="N101" s="180" t="str">
        <f aca="false">IF((D101="a"),F101," ")</f>
        <v> </v>
      </c>
      <c r="O101" s="180" t="str">
        <f aca="false">IF((D101="l"),F101," ")</f>
        <v> </v>
      </c>
      <c r="P101" s="180" t="str">
        <f aca="false">IF((D101="i"),F101," ")</f>
        <v> </v>
      </c>
      <c r="Q101" s="180" t="str">
        <f aca="false">IF((D101="b"),F101," ")</f>
        <v> </v>
      </c>
      <c r="R101" s="180" t="str">
        <f aca="false">IF((D101="o"),F101," ")</f>
        <v> </v>
      </c>
      <c r="S101" s="180" t="str">
        <f aca="false">IF((D101="f"),F101," ")</f>
        <v> </v>
      </c>
      <c r="U101" s="371"/>
    </row>
    <row r="102" customFormat="false" ht="12.75" hidden="false" customHeight="false" outlineLevel="0" collapsed="false">
      <c r="D102" s="371" t="str">
        <f aca="false">IF((F102&lt;&gt;0),"Enter Letter"," ")</f>
        <v> </v>
      </c>
      <c r="G102" s="180" t="str">
        <f aca="false">IF((D102="d"),F102," ")</f>
        <v> </v>
      </c>
      <c r="H102" s="180" t="str">
        <f aca="false">IF((D102="h"),F102," ")</f>
        <v> </v>
      </c>
      <c r="I102" s="180" t="str">
        <f aca="false">IF((D102="r"),F102," ")</f>
        <v> </v>
      </c>
      <c r="J102" s="180" t="str">
        <f aca="false">IF((D102="t"),F102," ")</f>
        <v> </v>
      </c>
      <c r="K102" s="180" t="str">
        <f aca="false">IF((D102="e"),F102," ")</f>
        <v> </v>
      </c>
      <c r="L102" s="180" t="str">
        <f aca="false">IF((D102="p"),F102," ")</f>
        <v> </v>
      </c>
      <c r="M102" s="180" t="str">
        <f aca="false">IF((D102="g"),F102," ")</f>
        <v> </v>
      </c>
      <c r="N102" s="180" t="str">
        <f aca="false">IF((D102="a"),F102," ")</f>
        <v> </v>
      </c>
      <c r="O102" s="180" t="str">
        <f aca="false">IF((D102="l"),F102," ")</f>
        <v> </v>
      </c>
      <c r="P102" s="180" t="str">
        <f aca="false">IF((D102="i"),F102," ")</f>
        <v> </v>
      </c>
      <c r="Q102" s="180" t="str">
        <f aca="false">IF((D102="b"),F102," ")</f>
        <v> </v>
      </c>
      <c r="R102" s="180" t="str">
        <f aca="false">IF((D102="o"),F102," ")</f>
        <v> </v>
      </c>
      <c r="S102" s="180" t="str">
        <f aca="false">IF((D102="f"),F102," ")</f>
        <v> </v>
      </c>
      <c r="U102" s="371"/>
    </row>
    <row r="103" customFormat="false" ht="12.75" hidden="false" customHeight="false" outlineLevel="0" collapsed="false">
      <c r="D103" s="371" t="str">
        <f aca="false">IF((F103&lt;&gt;0),"Enter Letter"," ")</f>
        <v> </v>
      </c>
      <c r="G103" s="180" t="str">
        <f aca="false">IF((D103="d"),F103," ")</f>
        <v> </v>
      </c>
      <c r="H103" s="180" t="str">
        <f aca="false">IF((D103="h"),F103," ")</f>
        <v> </v>
      </c>
      <c r="I103" s="180" t="str">
        <f aca="false">IF((D103="r"),F103," ")</f>
        <v> </v>
      </c>
      <c r="J103" s="180" t="str">
        <f aca="false">IF((D103="t"),F103," ")</f>
        <v> </v>
      </c>
      <c r="K103" s="180" t="str">
        <f aca="false">IF((D103="e"),F103," ")</f>
        <v> </v>
      </c>
      <c r="L103" s="180" t="str">
        <f aca="false">IF((D103="p"),F103," ")</f>
        <v> </v>
      </c>
      <c r="M103" s="180" t="str">
        <f aca="false">IF((D103="g"),F103," ")</f>
        <v> </v>
      </c>
      <c r="N103" s="180" t="str">
        <f aca="false">IF((D103="a"),F103," ")</f>
        <v> </v>
      </c>
      <c r="O103" s="180" t="str">
        <f aca="false">IF((D103="l"),F103," ")</f>
        <v> </v>
      </c>
      <c r="P103" s="180" t="str">
        <f aca="false">IF((D103="i"),F103," ")</f>
        <v> </v>
      </c>
      <c r="Q103" s="180" t="str">
        <f aca="false">IF((D103="b"),F103," ")</f>
        <v> </v>
      </c>
      <c r="R103" s="180" t="str">
        <f aca="false">IF((D103="o"),F103," ")</f>
        <v> </v>
      </c>
      <c r="S103" s="180" t="str">
        <f aca="false">IF((D103="f"),F103," ")</f>
        <v> </v>
      </c>
      <c r="U103" s="371"/>
    </row>
    <row r="104" customFormat="false" ht="12.75" hidden="false" customHeight="false" outlineLevel="0" collapsed="false">
      <c r="D104" s="371" t="str">
        <f aca="false">IF((F104&lt;&gt;0),"Enter Letter"," ")</f>
        <v> </v>
      </c>
      <c r="G104" s="180" t="str">
        <f aca="false">IF((D104="d"),F104," ")</f>
        <v> </v>
      </c>
      <c r="H104" s="180" t="str">
        <f aca="false">IF((D104="h"),F104," ")</f>
        <v> </v>
      </c>
      <c r="I104" s="180" t="str">
        <f aca="false">IF((D104="r"),F104," ")</f>
        <v> </v>
      </c>
      <c r="J104" s="180" t="str">
        <f aca="false">IF((D104="t"),F104," ")</f>
        <v> </v>
      </c>
      <c r="K104" s="180" t="str">
        <f aca="false">IF((D104="e"),F104," ")</f>
        <v> </v>
      </c>
      <c r="L104" s="180" t="str">
        <f aca="false">IF((D104="p"),F104," ")</f>
        <v> </v>
      </c>
      <c r="M104" s="180" t="str">
        <f aca="false">IF((D104="g"),F104," ")</f>
        <v> </v>
      </c>
      <c r="N104" s="180" t="str">
        <f aca="false">IF((D104="a"),F104," ")</f>
        <v> </v>
      </c>
      <c r="O104" s="180" t="str">
        <f aca="false">IF((D104="l"),F104," ")</f>
        <v> </v>
      </c>
      <c r="P104" s="180" t="str">
        <f aca="false">IF((D104="i"),F104," ")</f>
        <v> </v>
      </c>
      <c r="Q104" s="180" t="str">
        <f aca="false">IF((D104="b"),F104," ")</f>
        <v> </v>
      </c>
      <c r="R104" s="180" t="str">
        <f aca="false">IF((D104="o"),F104," ")</f>
        <v> </v>
      </c>
      <c r="S104" s="180" t="str">
        <f aca="false">IF((D104="f"),F104," ")</f>
        <v> </v>
      </c>
      <c r="U104" s="371"/>
    </row>
    <row r="105" customFormat="false" ht="12.75" hidden="false" customHeight="false" outlineLevel="0" collapsed="false">
      <c r="D105" s="371" t="str">
        <f aca="false">IF((F105&lt;&gt;0),"Enter Letter"," ")</f>
        <v> </v>
      </c>
      <c r="G105" s="180" t="str">
        <f aca="false">IF((D105="d"),F105," ")</f>
        <v> </v>
      </c>
      <c r="H105" s="180" t="str">
        <f aca="false">IF((D105="h"),F105," ")</f>
        <v> </v>
      </c>
      <c r="I105" s="180" t="str">
        <f aca="false">IF((D105="r"),F105," ")</f>
        <v> </v>
      </c>
      <c r="J105" s="180" t="str">
        <f aca="false">IF((D105="t"),F105," ")</f>
        <v> </v>
      </c>
      <c r="K105" s="180" t="str">
        <f aca="false">IF((D105="e"),F105," ")</f>
        <v> </v>
      </c>
      <c r="L105" s="180" t="str">
        <f aca="false">IF((D105="p"),F105," ")</f>
        <v> </v>
      </c>
      <c r="M105" s="180" t="str">
        <f aca="false">IF((D105="g"),F105," ")</f>
        <v> </v>
      </c>
      <c r="N105" s="180" t="str">
        <f aca="false">IF((D105="a"),F105," ")</f>
        <v> </v>
      </c>
      <c r="O105" s="180" t="str">
        <f aca="false">IF((D105="l"),F105," ")</f>
        <v> </v>
      </c>
      <c r="P105" s="180" t="str">
        <f aca="false">IF((D105="i"),F105," ")</f>
        <v> </v>
      </c>
      <c r="Q105" s="180" t="str">
        <f aca="false">IF((D105="b"),F105," ")</f>
        <v> </v>
      </c>
      <c r="R105" s="180" t="str">
        <f aca="false">IF((D105="o"),F105," ")</f>
        <v> </v>
      </c>
      <c r="S105" s="180" t="str">
        <f aca="false">IF((D105="f"),F105," ")</f>
        <v> </v>
      </c>
      <c r="U105" s="371"/>
    </row>
    <row r="106" customFormat="false" ht="12.75" hidden="false" customHeight="false" outlineLevel="0" collapsed="false">
      <c r="D106" s="371" t="str">
        <f aca="false">IF((F106&lt;&gt;0),"Enter Letter"," ")</f>
        <v> </v>
      </c>
      <c r="G106" s="180" t="str">
        <f aca="false">IF((D106="d"),F106," ")</f>
        <v> </v>
      </c>
      <c r="H106" s="180" t="str">
        <f aca="false">IF((D106="h"),F106," ")</f>
        <v> </v>
      </c>
      <c r="I106" s="180" t="str">
        <f aca="false">IF((D106="r"),F106," ")</f>
        <v> </v>
      </c>
      <c r="J106" s="180" t="str">
        <f aca="false">IF((D106="t"),F106," ")</f>
        <v> </v>
      </c>
      <c r="K106" s="180" t="str">
        <f aca="false">IF((D106="e"),F106," ")</f>
        <v> </v>
      </c>
      <c r="L106" s="180" t="str">
        <f aca="false">IF((D106="p"),F106," ")</f>
        <v> </v>
      </c>
      <c r="M106" s="180" t="str">
        <f aca="false">IF((D106="g"),F106," ")</f>
        <v> </v>
      </c>
      <c r="N106" s="180" t="str">
        <f aca="false">IF((D106="a"),F106," ")</f>
        <v> </v>
      </c>
      <c r="O106" s="180" t="str">
        <f aca="false">IF((D106="l"),F106," ")</f>
        <v> </v>
      </c>
      <c r="P106" s="180" t="str">
        <f aca="false">IF((D106="i"),F106," ")</f>
        <v> </v>
      </c>
      <c r="Q106" s="180" t="str">
        <f aca="false">IF((D106="b"),F106," ")</f>
        <v> </v>
      </c>
      <c r="R106" s="180" t="str">
        <f aca="false">IF((D106="o"),F106," ")</f>
        <v> </v>
      </c>
      <c r="S106" s="180" t="str">
        <f aca="false">IF((D106="f"),F106," ")</f>
        <v> </v>
      </c>
      <c r="U106" s="371"/>
    </row>
    <row r="107" customFormat="false" ht="12.75" hidden="false" customHeight="false" outlineLevel="0" collapsed="false">
      <c r="D107" s="371" t="str">
        <f aca="false">IF((F107&lt;&gt;0),"Enter Letter"," ")</f>
        <v> </v>
      </c>
      <c r="G107" s="180" t="str">
        <f aca="false">IF((D107="d"),F107," ")</f>
        <v> </v>
      </c>
      <c r="H107" s="180" t="str">
        <f aca="false">IF((D107="h"),F107," ")</f>
        <v> </v>
      </c>
      <c r="I107" s="180" t="str">
        <f aca="false">IF((D107="r"),F107," ")</f>
        <v> </v>
      </c>
      <c r="J107" s="180" t="str">
        <f aca="false">IF((D107="t"),F107," ")</f>
        <v> </v>
      </c>
      <c r="K107" s="180" t="str">
        <f aca="false">IF((D107="e"),F107," ")</f>
        <v> </v>
      </c>
      <c r="L107" s="180" t="str">
        <f aca="false">IF((D107="p"),F107," ")</f>
        <v> </v>
      </c>
      <c r="M107" s="180" t="str">
        <f aca="false">IF((D107="g"),F107," ")</f>
        <v> </v>
      </c>
      <c r="N107" s="180" t="str">
        <f aca="false">IF((D107="a"),F107," ")</f>
        <v> </v>
      </c>
      <c r="O107" s="180" t="str">
        <f aca="false">IF((D107="l"),F107," ")</f>
        <v> </v>
      </c>
      <c r="P107" s="180" t="str">
        <f aca="false">IF((D107="i"),F107," ")</f>
        <v> </v>
      </c>
      <c r="Q107" s="180" t="str">
        <f aca="false">IF((D107="b"),F107," ")</f>
        <v> </v>
      </c>
      <c r="R107" s="180" t="str">
        <f aca="false">IF((D107="o"),F107," ")</f>
        <v> </v>
      </c>
      <c r="S107" s="180" t="str">
        <f aca="false">IF((D107="f"),F107," ")</f>
        <v> </v>
      </c>
      <c r="U107" s="371"/>
    </row>
    <row r="108" customFormat="false" ht="12.75" hidden="false" customHeight="false" outlineLevel="0" collapsed="false">
      <c r="D108" s="371" t="str">
        <f aca="false">IF((F108&lt;&gt;0),"Enter Letter"," ")</f>
        <v> </v>
      </c>
      <c r="G108" s="180" t="str">
        <f aca="false">IF((D108="d"),F108," ")</f>
        <v> </v>
      </c>
      <c r="H108" s="180" t="str">
        <f aca="false">IF((D108="h"),F108," ")</f>
        <v> </v>
      </c>
      <c r="I108" s="180" t="str">
        <f aca="false">IF((D108="r"),F108," ")</f>
        <v> </v>
      </c>
      <c r="J108" s="180" t="str">
        <f aca="false">IF((D108="t"),F108," ")</f>
        <v> </v>
      </c>
      <c r="K108" s="180" t="str">
        <f aca="false">IF((D108="e"),F108," ")</f>
        <v> </v>
      </c>
      <c r="L108" s="180" t="str">
        <f aca="false">IF((D108="p"),F108," ")</f>
        <v> </v>
      </c>
      <c r="M108" s="180" t="str">
        <f aca="false">IF((D108="g"),F108," ")</f>
        <v> </v>
      </c>
      <c r="N108" s="180" t="str">
        <f aca="false">IF((D108="a"),F108," ")</f>
        <v> </v>
      </c>
      <c r="O108" s="180" t="str">
        <f aca="false">IF((D108="l"),F108," ")</f>
        <v> </v>
      </c>
      <c r="P108" s="180" t="str">
        <f aca="false">IF((D108="i"),F108," ")</f>
        <v> </v>
      </c>
      <c r="Q108" s="180" t="str">
        <f aca="false">IF((D108="b"),F108," ")</f>
        <v> </v>
      </c>
      <c r="R108" s="180" t="str">
        <f aca="false">IF((D108="o"),F108," ")</f>
        <v> </v>
      </c>
      <c r="S108" s="180" t="str">
        <f aca="false">IF((D108="f"),F108," ")</f>
        <v> </v>
      </c>
      <c r="U108" s="371"/>
    </row>
    <row r="109" customFormat="false" ht="12.75" hidden="false" customHeight="false" outlineLevel="0" collapsed="false">
      <c r="D109" s="371" t="str">
        <f aca="false">IF((F109&lt;&gt;0),"Enter Letter"," ")</f>
        <v> </v>
      </c>
      <c r="G109" s="180" t="str">
        <f aca="false">IF((D109="d"),F109," ")</f>
        <v> </v>
      </c>
      <c r="H109" s="180" t="str">
        <f aca="false">IF((D109="h"),F109," ")</f>
        <v> </v>
      </c>
      <c r="I109" s="180" t="str">
        <f aca="false">IF((D109="r"),F109," ")</f>
        <v> </v>
      </c>
      <c r="J109" s="180" t="str">
        <f aca="false">IF((D109="t"),F109," ")</f>
        <v> </v>
      </c>
      <c r="K109" s="180" t="str">
        <f aca="false">IF((D109="e"),F109," ")</f>
        <v> </v>
      </c>
      <c r="L109" s="180" t="str">
        <f aca="false">IF((D109="p"),F109," ")</f>
        <v> </v>
      </c>
      <c r="M109" s="180" t="str">
        <f aca="false">IF((D109="g"),F109," ")</f>
        <v> </v>
      </c>
      <c r="N109" s="180" t="str">
        <f aca="false">IF((D109="a"),F109," ")</f>
        <v> </v>
      </c>
      <c r="O109" s="180" t="str">
        <f aca="false">IF((D109="l"),F109," ")</f>
        <v> </v>
      </c>
      <c r="P109" s="180" t="str">
        <f aca="false">IF((D109="i"),F109," ")</f>
        <v> </v>
      </c>
      <c r="Q109" s="180" t="str">
        <f aca="false">IF((D109="b"),F109," ")</f>
        <v> </v>
      </c>
      <c r="R109" s="180" t="str">
        <f aca="false">IF((D109="o"),F109," ")</f>
        <v> </v>
      </c>
      <c r="S109" s="180" t="str">
        <f aca="false">IF((D109="f"),F109," ")</f>
        <v> </v>
      </c>
      <c r="U109" s="371"/>
    </row>
    <row r="110" customFormat="false" ht="12.75" hidden="false" customHeight="false" outlineLevel="0" collapsed="false">
      <c r="D110" s="371" t="str">
        <f aca="false">IF((F110&lt;&gt;0),"Enter Letter"," ")</f>
        <v> </v>
      </c>
      <c r="G110" s="180" t="str">
        <f aca="false">IF((D110="d"),F110," ")</f>
        <v> </v>
      </c>
      <c r="H110" s="180" t="str">
        <f aca="false">IF((D110="h"),F110," ")</f>
        <v> </v>
      </c>
      <c r="I110" s="180" t="str">
        <f aca="false">IF((D110="r"),F110," ")</f>
        <v> </v>
      </c>
      <c r="J110" s="180" t="str">
        <f aca="false">IF((D110="t"),F110," ")</f>
        <v> </v>
      </c>
      <c r="K110" s="180" t="str">
        <f aca="false">IF((D110="e"),F110," ")</f>
        <v> </v>
      </c>
      <c r="L110" s="180" t="str">
        <f aca="false">IF((D110="p"),F110," ")</f>
        <v> </v>
      </c>
      <c r="M110" s="180" t="str">
        <f aca="false">IF((D110="g"),F110," ")</f>
        <v> </v>
      </c>
      <c r="N110" s="180" t="str">
        <f aca="false">IF((D110="a"),F110," ")</f>
        <v> </v>
      </c>
      <c r="O110" s="180" t="str">
        <f aca="false">IF((D110="l"),F110," ")</f>
        <v> </v>
      </c>
      <c r="P110" s="180" t="str">
        <f aca="false">IF((D110="i"),F110," ")</f>
        <v> </v>
      </c>
      <c r="Q110" s="180" t="str">
        <f aca="false">IF((D110="b"),F110," ")</f>
        <v> </v>
      </c>
      <c r="R110" s="180" t="str">
        <f aca="false">IF((D110="o"),F110," ")</f>
        <v> </v>
      </c>
      <c r="S110" s="180" t="str">
        <f aca="false">IF((D110="f"),F110," ")</f>
        <v> </v>
      </c>
      <c r="U110" s="371"/>
    </row>
    <row r="111" customFormat="false" ht="12.75" hidden="false" customHeight="false" outlineLevel="0" collapsed="false">
      <c r="D111" s="371" t="str">
        <f aca="false">IF((F111&lt;&gt;0),"Enter Letter"," ")</f>
        <v> </v>
      </c>
      <c r="G111" s="180" t="str">
        <f aca="false">IF((D111="d"),F111," ")</f>
        <v> </v>
      </c>
      <c r="H111" s="180" t="str">
        <f aca="false">IF((D111="h"),F111," ")</f>
        <v> </v>
      </c>
      <c r="I111" s="180" t="str">
        <f aca="false">IF((D111="r"),F111," ")</f>
        <v> </v>
      </c>
      <c r="J111" s="180" t="str">
        <f aca="false">IF((D111="t"),F111," ")</f>
        <v> </v>
      </c>
      <c r="K111" s="180" t="str">
        <f aca="false">IF((D111="e"),F111," ")</f>
        <v> </v>
      </c>
      <c r="L111" s="180" t="str">
        <f aca="false">IF((D111="p"),F111," ")</f>
        <v> </v>
      </c>
      <c r="M111" s="180" t="str">
        <f aca="false">IF((D111="g"),F111," ")</f>
        <v> </v>
      </c>
      <c r="N111" s="180" t="str">
        <f aca="false">IF((D111="a"),F111," ")</f>
        <v> </v>
      </c>
      <c r="O111" s="180" t="str">
        <f aca="false">IF((D111="l"),F111," ")</f>
        <v> </v>
      </c>
      <c r="P111" s="180" t="str">
        <f aca="false">IF((D111="i"),F111," ")</f>
        <v> </v>
      </c>
      <c r="Q111" s="180" t="str">
        <f aca="false">IF((D111="b"),F111," ")</f>
        <v> </v>
      </c>
      <c r="R111" s="180" t="str">
        <f aca="false">IF((D111="o"),F111," ")</f>
        <v> </v>
      </c>
      <c r="S111" s="180" t="str">
        <f aca="false">IF((D111="f"),F111," ")</f>
        <v> </v>
      </c>
      <c r="U111" s="371"/>
    </row>
    <row r="112" customFormat="false" ht="12.75" hidden="false" customHeight="false" outlineLevel="0" collapsed="false">
      <c r="D112" s="371" t="str">
        <f aca="false">IF((F112&lt;&gt;0),"Enter Letter"," ")</f>
        <v> </v>
      </c>
      <c r="G112" s="180" t="str">
        <f aca="false">IF((D112="d"),F112," ")</f>
        <v> </v>
      </c>
      <c r="H112" s="180" t="str">
        <f aca="false">IF((D112="h"),F112," ")</f>
        <v> </v>
      </c>
      <c r="I112" s="180" t="str">
        <f aca="false">IF((D112="r"),F112," ")</f>
        <v> </v>
      </c>
      <c r="J112" s="180" t="str">
        <f aca="false">IF((D112="t"),F112," ")</f>
        <v> </v>
      </c>
      <c r="K112" s="180" t="str">
        <f aca="false">IF((D112="e"),F112," ")</f>
        <v> </v>
      </c>
      <c r="L112" s="180" t="str">
        <f aca="false">IF((D112="p"),F112," ")</f>
        <v> </v>
      </c>
      <c r="M112" s="180" t="str">
        <f aca="false">IF((D112="g"),F112," ")</f>
        <v> </v>
      </c>
      <c r="N112" s="180" t="str">
        <f aca="false">IF((D112="a"),F112," ")</f>
        <v> </v>
      </c>
      <c r="O112" s="180" t="str">
        <f aca="false">IF((D112="l"),F112," ")</f>
        <v> </v>
      </c>
      <c r="P112" s="180" t="str">
        <f aca="false">IF((D112="i"),F112," ")</f>
        <v> </v>
      </c>
      <c r="Q112" s="180" t="str">
        <f aca="false">IF((D112="b"),F112," ")</f>
        <v> </v>
      </c>
      <c r="R112" s="180" t="str">
        <f aca="false">IF((D112="o"),F112," ")</f>
        <v> </v>
      </c>
      <c r="S112" s="180" t="str">
        <f aca="false">IF((D112="f"),F112," ")</f>
        <v> </v>
      </c>
      <c r="U112" s="371"/>
    </row>
    <row r="113" customFormat="false" ht="12.75" hidden="false" customHeight="false" outlineLevel="0" collapsed="false">
      <c r="D113" s="371" t="str">
        <f aca="false">IF((F113&lt;&gt;0),"Enter Letter"," ")</f>
        <v> </v>
      </c>
      <c r="G113" s="180" t="str">
        <f aca="false">IF((D113="d"),F113," ")</f>
        <v> </v>
      </c>
      <c r="H113" s="180" t="str">
        <f aca="false">IF((D113="h"),F113," ")</f>
        <v> </v>
      </c>
      <c r="I113" s="180" t="str">
        <f aca="false">IF((D113="r"),F113," ")</f>
        <v> </v>
      </c>
      <c r="J113" s="180" t="str">
        <f aca="false">IF((D113="t"),F113," ")</f>
        <v> </v>
      </c>
      <c r="K113" s="180" t="str">
        <f aca="false">IF((D113="e"),F113," ")</f>
        <v> </v>
      </c>
      <c r="L113" s="180" t="str">
        <f aca="false">IF((D113="p"),F113," ")</f>
        <v> </v>
      </c>
      <c r="M113" s="180" t="str">
        <f aca="false">IF((D113="g"),F113," ")</f>
        <v> </v>
      </c>
      <c r="N113" s="180" t="str">
        <f aca="false">IF((D113="a"),F113," ")</f>
        <v> </v>
      </c>
      <c r="O113" s="180" t="str">
        <f aca="false">IF((D113="l"),F113," ")</f>
        <v> </v>
      </c>
      <c r="P113" s="180" t="str">
        <f aca="false">IF((D113="i"),F113," ")</f>
        <v> </v>
      </c>
      <c r="Q113" s="180" t="str">
        <f aca="false">IF((D113="b"),F113," ")</f>
        <v> </v>
      </c>
      <c r="R113" s="180" t="str">
        <f aca="false">IF((D113="o"),F113," ")</f>
        <v> </v>
      </c>
      <c r="S113" s="180" t="str">
        <f aca="false">IF((D113="f"),F113," ")</f>
        <v> </v>
      </c>
      <c r="U113" s="371"/>
    </row>
    <row r="114" customFormat="false" ht="12.75" hidden="false" customHeight="false" outlineLevel="0" collapsed="false">
      <c r="D114" s="371" t="str">
        <f aca="false">IF((F114&lt;&gt;0),"Enter Letter"," ")</f>
        <v> </v>
      </c>
      <c r="G114" s="180" t="str">
        <f aca="false">IF((D114="d"),F114," ")</f>
        <v> </v>
      </c>
      <c r="H114" s="180" t="str">
        <f aca="false">IF((D114="h"),F114," ")</f>
        <v> </v>
      </c>
      <c r="I114" s="180" t="str">
        <f aca="false">IF((D114="r"),F114," ")</f>
        <v> </v>
      </c>
      <c r="J114" s="180" t="str">
        <f aca="false">IF((D114="t"),F114," ")</f>
        <v> </v>
      </c>
      <c r="K114" s="180" t="str">
        <f aca="false">IF((D114="e"),F114," ")</f>
        <v> </v>
      </c>
      <c r="L114" s="180" t="str">
        <f aca="false">IF((D114="p"),F114," ")</f>
        <v> </v>
      </c>
      <c r="M114" s="180" t="str">
        <f aca="false">IF((D114="g"),F114," ")</f>
        <v> </v>
      </c>
      <c r="N114" s="180" t="str">
        <f aca="false">IF((D114="a"),F114," ")</f>
        <v> </v>
      </c>
      <c r="O114" s="180" t="str">
        <f aca="false">IF((D114="l"),F114," ")</f>
        <v> </v>
      </c>
      <c r="P114" s="180" t="str">
        <f aca="false">IF((D114="i"),F114," ")</f>
        <v> </v>
      </c>
      <c r="Q114" s="180" t="str">
        <f aca="false">IF((D114="b"),F114," ")</f>
        <v> </v>
      </c>
      <c r="R114" s="180" t="str">
        <f aca="false">IF((D114="o"),F114," ")</f>
        <v> </v>
      </c>
      <c r="S114" s="180" t="str">
        <f aca="false">IF((D114="f"),F114," ")</f>
        <v> </v>
      </c>
      <c r="U114" s="371"/>
    </row>
    <row r="115" customFormat="false" ht="12.75" hidden="false" customHeight="false" outlineLevel="0" collapsed="false">
      <c r="D115" s="371" t="str">
        <f aca="false">IF((F115&lt;&gt;0),"Enter Letter"," ")</f>
        <v> </v>
      </c>
      <c r="G115" s="180" t="str">
        <f aca="false">IF((D115="d"),F115," ")</f>
        <v> </v>
      </c>
      <c r="H115" s="180" t="str">
        <f aca="false">IF((D115="h"),F115," ")</f>
        <v> </v>
      </c>
      <c r="I115" s="180" t="str">
        <f aca="false">IF((D115="r"),F115," ")</f>
        <v> </v>
      </c>
      <c r="J115" s="180" t="str">
        <f aca="false">IF((D115="t"),F115," ")</f>
        <v> </v>
      </c>
      <c r="K115" s="180" t="str">
        <f aca="false">IF((D115="e"),F115," ")</f>
        <v> </v>
      </c>
      <c r="L115" s="180" t="str">
        <f aca="false">IF((D115="p"),F115," ")</f>
        <v> </v>
      </c>
      <c r="M115" s="180" t="str">
        <f aca="false">IF((D115="g"),F115," ")</f>
        <v> </v>
      </c>
      <c r="N115" s="180" t="str">
        <f aca="false">IF((D115="a"),F115," ")</f>
        <v> </v>
      </c>
      <c r="O115" s="180" t="str">
        <f aca="false">IF((D115="l"),F115," ")</f>
        <v> </v>
      </c>
      <c r="P115" s="180" t="str">
        <f aca="false">IF((D115="i"),F115," ")</f>
        <v> </v>
      </c>
      <c r="Q115" s="180" t="str">
        <f aca="false">IF((D115="b"),F115," ")</f>
        <v> </v>
      </c>
      <c r="R115" s="180" t="str">
        <f aca="false">IF((D115="o"),F115," ")</f>
        <v> </v>
      </c>
      <c r="S115" s="180" t="str">
        <f aca="false">IF((D115="f"),F115," ")</f>
        <v> </v>
      </c>
      <c r="U115" s="371"/>
    </row>
    <row r="116" customFormat="false" ht="12.75" hidden="false" customHeight="false" outlineLevel="0" collapsed="false">
      <c r="D116" s="371" t="str">
        <f aca="false">IF((F116&lt;&gt;0),"Enter Letter"," ")</f>
        <v> </v>
      </c>
      <c r="G116" s="180" t="str">
        <f aca="false">IF((D116="d"),F116," ")</f>
        <v> </v>
      </c>
      <c r="H116" s="180" t="str">
        <f aca="false">IF((D116="h"),F116," ")</f>
        <v> </v>
      </c>
      <c r="I116" s="180" t="str">
        <f aca="false">IF((D116="r"),F116," ")</f>
        <v> </v>
      </c>
      <c r="J116" s="180" t="str">
        <f aca="false">IF((D116="t"),F116," ")</f>
        <v> </v>
      </c>
      <c r="K116" s="180" t="str">
        <f aca="false">IF((D116="e"),F116," ")</f>
        <v> </v>
      </c>
      <c r="L116" s="180" t="str">
        <f aca="false">IF((D116="p"),F116," ")</f>
        <v> </v>
      </c>
      <c r="M116" s="180" t="str">
        <f aca="false">IF((D116="g"),F116," ")</f>
        <v> </v>
      </c>
      <c r="N116" s="180" t="str">
        <f aca="false">IF((D116="a"),F116," ")</f>
        <v> </v>
      </c>
      <c r="O116" s="180" t="str">
        <f aca="false">IF((D116="l"),F116," ")</f>
        <v> </v>
      </c>
      <c r="P116" s="180" t="str">
        <f aca="false">IF((D116="i"),F116," ")</f>
        <v> </v>
      </c>
      <c r="Q116" s="180" t="str">
        <f aca="false">IF((D116="b"),F116," ")</f>
        <v> </v>
      </c>
      <c r="R116" s="180" t="str">
        <f aca="false">IF((D116="o"),F116," ")</f>
        <v> </v>
      </c>
      <c r="S116" s="180" t="str">
        <f aca="false">IF((D116="f"),F116," ")</f>
        <v> </v>
      </c>
      <c r="U116" s="371"/>
    </row>
    <row r="117" customFormat="false" ht="12.75" hidden="false" customHeight="false" outlineLevel="0" collapsed="false">
      <c r="D117" s="371" t="str">
        <f aca="false">IF((F117&lt;&gt;0),"Enter Letter"," ")</f>
        <v> </v>
      </c>
      <c r="G117" s="180" t="str">
        <f aca="false">IF((D117="d"),F117," ")</f>
        <v> </v>
      </c>
      <c r="H117" s="180" t="str">
        <f aca="false">IF((D117="h"),F117," ")</f>
        <v> </v>
      </c>
      <c r="I117" s="180" t="str">
        <f aca="false">IF((D117="r"),F117," ")</f>
        <v> </v>
      </c>
      <c r="J117" s="180" t="str">
        <f aca="false">IF((D117="t"),F117," ")</f>
        <v> </v>
      </c>
      <c r="K117" s="180" t="str">
        <f aca="false">IF((D117="e"),F117," ")</f>
        <v> </v>
      </c>
      <c r="L117" s="180" t="str">
        <f aca="false">IF((D117="p"),F117," ")</f>
        <v> </v>
      </c>
      <c r="M117" s="180" t="str">
        <f aca="false">IF((D117="g"),F117," ")</f>
        <v> </v>
      </c>
      <c r="N117" s="180" t="str">
        <f aca="false">IF((D117="a"),F117," ")</f>
        <v> </v>
      </c>
      <c r="O117" s="180" t="str">
        <f aca="false">IF((D117="l"),F117," ")</f>
        <v> </v>
      </c>
      <c r="P117" s="180" t="str">
        <f aca="false">IF((D117="i"),F117," ")</f>
        <v> </v>
      </c>
      <c r="Q117" s="180" t="str">
        <f aca="false">IF((D117="b"),F117," ")</f>
        <v> </v>
      </c>
      <c r="R117" s="180" t="str">
        <f aca="false">IF((D117="o"),F117," ")</f>
        <v> </v>
      </c>
      <c r="S117" s="180" t="str">
        <f aca="false">IF((D117="f"),F117," ")</f>
        <v> </v>
      </c>
      <c r="U117" s="371"/>
    </row>
    <row r="118" customFormat="false" ht="12.75" hidden="false" customHeight="false" outlineLevel="0" collapsed="false">
      <c r="D118" s="371" t="str">
        <f aca="false">IF((F118&lt;&gt;0),"Enter Letter"," ")</f>
        <v> </v>
      </c>
      <c r="G118" s="180" t="str">
        <f aca="false">IF((D118="d"),F118," ")</f>
        <v> </v>
      </c>
      <c r="H118" s="180" t="str">
        <f aca="false">IF((D118="h"),F118," ")</f>
        <v> </v>
      </c>
      <c r="I118" s="180" t="str">
        <f aca="false">IF((D118="r"),F118," ")</f>
        <v> </v>
      </c>
      <c r="J118" s="180" t="str">
        <f aca="false">IF((D118="t"),F118," ")</f>
        <v> </v>
      </c>
      <c r="K118" s="180" t="str">
        <f aca="false">IF((D118="e"),F118," ")</f>
        <v> </v>
      </c>
      <c r="L118" s="180" t="str">
        <f aca="false">IF((D118="p"),F118," ")</f>
        <v> </v>
      </c>
      <c r="M118" s="180" t="str">
        <f aca="false">IF((D118="g"),F118," ")</f>
        <v> </v>
      </c>
      <c r="N118" s="180" t="str">
        <f aca="false">IF((D118="a"),F118," ")</f>
        <v> </v>
      </c>
      <c r="O118" s="180" t="str">
        <f aca="false">IF((D118="l"),F118," ")</f>
        <v> </v>
      </c>
      <c r="P118" s="180" t="str">
        <f aca="false">IF((D118="i"),F118," ")</f>
        <v> </v>
      </c>
      <c r="Q118" s="180" t="str">
        <f aca="false">IF((D118="b"),F118," ")</f>
        <v> </v>
      </c>
      <c r="R118" s="180" t="str">
        <f aca="false">IF((D118="o"),F118," ")</f>
        <v> </v>
      </c>
      <c r="S118" s="180" t="str">
        <f aca="false">IF((D118="f"),F118," ")</f>
        <v> </v>
      </c>
      <c r="U118" s="371"/>
    </row>
    <row r="119" customFormat="false" ht="12.75" hidden="false" customHeight="false" outlineLevel="0" collapsed="false">
      <c r="D119" s="371" t="str">
        <f aca="false">IF((F119&lt;&gt;0),"Enter Letter"," ")</f>
        <v> </v>
      </c>
      <c r="G119" s="180" t="str">
        <f aca="false">IF((D119="d"),F119," ")</f>
        <v> </v>
      </c>
      <c r="H119" s="180" t="str">
        <f aca="false">IF((D119="h"),F119," ")</f>
        <v> </v>
      </c>
      <c r="I119" s="180" t="str">
        <f aca="false">IF((D119="r"),F119," ")</f>
        <v> </v>
      </c>
      <c r="J119" s="180" t="str">
        <f aca="false">IF((D119="t"),F119," ")</f>
        <v> </v>
      </c>
      <c r="K119" s="180" t="str">
        <f aca="false">IF((D119="e"),F119," ")</f>
        <v> </v>
      </c>
      <c r="L119" s="180" t="str">
        <f aca="false">IF((D119="p"),F119," ")</f>
        <v> </v>
      </c>
      <c r="M119" s="180" t="str">
        <f aca="false">IF((D119="g"),F119," ")</f>
        <v> </v>
      </c>
      <c r="N119" s="180" t="str">
        <f aca="false">IF((D119="a"),F119," ")</f>
        <v> </v>
      </c>
      <c r="O119" s="180" t="str">
        <f aca="false">IF((D119="l"),F119," ")</f>
        <v> </v>
      </c>
      <c r="P119" s="180" t="str">
        <f aca="false">IF((D119="i"),F119," ")</f>
        <v> </v>
      </c>
      <c r="Q119" s="180" t="str">
        <f aca="false">IF((D119="b"),F119," ")</f>
        <v> </v>
      </c>
      <c r="R119" s="180" t="str">
        <f aca="false">IF((D119="o"),F119," ")</f>
        <v> </v>
      </c>
      <c r="S119" s="180" t="str">
        <f aca="false">IF((D119="f"),F119," ")</f>
        <v> </v>
      </c>
      <c r="U119" s="371"/>
    </row>
    <row r="120" customFormat="false" ht="12.75" hidden="false" customHeight="false" outlineLevel="0" collapsed="false">
      <c r="D120" s="371" t="str">
        <f aca="false">IF((F120&lt;&gt;0),"Enter Letter"," ")</f>
        <v> </v>
      </c>
      <c r="G120" s="180" t="str">
        <f aca="false">IF((D120="d"),F120," ")</f>
        <v> </v>
      </c>
      <c r="H120" s="180" t="str">
        <f aca="false">IF((D120="h"),F120," ")</f>
        <v> </v>
      </c>
      <c r="I120" s="180" t="str">
        <f aca="false">IF((D120="r"),F120," ")</f>
        <v> </v>
      </c>
      <c r="J120" s="180" t="str">
        <f aca="false">IF((D120="t"),F120," ")</f>
        <v> </v>
      </c>
      <c r="K120" s="180" t="str">
        <f aca="false">IF((D120="e"),F120," ")</f>
        <v> </v>
      </c>
      <c r="L120" s="180" t="str">
        <f aca="false">IF((D120="p"),F120," ")</f>
        <v> </v>
      </c>
      <c r="M120" s="180" t="str">
        <f aca="false">IF((D120="g"),F120," ")</f>
        <v> </v>
      </c>
      <c r="N120" s="180" t="str">
        <f aca="false">IF((D120="a"),F120," ")</f>
        <v> </v>
      </c>
      <c r="O120" s="180" t="str">
        <f aca="false">IF((D120="l"),F120," ")</f>
        <v> </v>
      </c>
      <c r="P120" s="180" t="str">
        <f aca="false">IF((D120="i"),F120," ")</f>
        <v> </v>
      </c>
      <c r="Q120" s="180" t="str">
        <f aca="false">IF((D120="b"),F120," ")</f>
        <v> </v>
      </c>
      <c r="R120" s="180" t="str">
        <f aca="false">IF((D120="o"),F120," ")</f>
        <v> </v>
      </c>
      <c r="S120" s="180" t="str">
        <f aca="false">IF((D120="f"),F120," ")</f>
        <v> </v>
      </c>
      <c r="U120" s="371"/>
    </row>
    <row r="121" customFormat="false" ht="12.75" hidden="false" customHeight="false" outlineLevel="0" collapsed="false">
      <c r="D121" s="371" t="str">
        <f aca="false">IF((F121&lt;&gt;0),"Enter Letter"," ")</f>
        <v> </v>
      </c>
      <c r="G121" s="180" t="str">
        <f aca="false">IF((D121="d"),F121," ")</f>
        <v> </v>
      </c>
      <c r="H121" s="180" t="str">
        <f aca="false">IF((D121="h"),F121," ")</f>
        <v> </v>
      </c>
      <c r="I121" s="180" t="str">
        <f aca="false">IF((D121="r"),F121," ")</f>
        <v> </v>
      </c>
      <c r="J121" s="180" t="str">
        <f aca="false">IF((D121="t"),F121," ")</f>
        <v> </v>
      </c>
      <c r="K121" s="180" t="str">
        <f aca="false">IF((D121="e"),F121," ")</f>
        <v> </v>
      </c>
      <c r="L121" s="180" t="str">
        <f aca="false">IF((D121="p"),F121," ")</f>
        <v> </v>
      </c>
      <c r="M121" s="180" t="str">
        <f aca="false">IF((D121="g"),F121," ")</f>
        <v> </v>
      </c>
      <c r="N121" s="180" t="str">
        <f aca="false">IF((D121="a"),F121," ")</f>
        <v> </v>
      </c>
      <c r="O121" s="180" t="str">
        <f aca="false">IF((D121="l"),F121," ")</f>
        <v> </v>
      </c>
      <c r="P121" s="180" t="str">
        <f aca="false">IF((D121="i"),F121," ")</f>
        <v> </v>
      </c>
      <c r="Q121" s="180" t="str">
        <f aca="false">IF((D121="b"),F121," ")</f>
        <v> </v>
      </c>
      <c r="R121" s="180" t="str">
        <f aca="false">IF((D121="o"),F121," ")</f>
        <v> </v>
      </c>
      <c r="S121" s="180" t="str">
        <f aca="false">IF((D121="f"),F121," ")</f>
        <v> </v>
      </c>
      <c r="U121" s="371"/>
    </row>
    <row r="122" customFormat="false" ht="12.75" hidden="false" customHeight="false" outlineLevel="0" collapsed="false">
      <c r="D122" s="371" t="str">
        <f aca="false">IF((F122&lt;&gt;0),"Enter Letter"," ")</f>
        <v> </v>
      </c>
      <c r="G122" s="180" t="str">
        <f aca="false">IF((D122="d"),F122," ")</f>
        <v> </v>
      </c>
      <c r="H122" s="180" t="str">
        <f aca="false">IF((D122="h"),F122," ")</f>
        <v> </v>
      </c>
      <c r="I122" s="180" t="str">
        <f aca="false">IF((D122="r"),F122," ")</f>
        <v> </v>
      </c>
      <c r="J122" s="180" t="str">
        <f aca="false">IF((D122="t"),F122," ")</f>
        <v> </v>
      </c>
      <c r="K122" s="180" t="str">
        <f aca="false">IF((D122="e"),F122," ")</f>
        <v> </v>
      </c>
      <c r="L122" s="180" t="str">
        <f aca="false">IF((D122="p"),F122," ")</f>
        <v> </v>
      </c>
      <c r="M122" s="180" t="str">
        <f aca="false">IF((D122="g"),F122," ")</f>
        <v> </v>
      </c>
      <c r="N122" s="180" t="str">
        <f aca="false">IF((D122="a"),F122," ")</f>
        <v> </v>
      </c>
      <c r="O122" s="180" t="str">
        <f aca="false">IF((D122="l"),F122," ")</f>
        <v> </v>
      </c>
      <c r="P122" s="180" t="str">
        <f aca="false">IF((D122="i"),F122," ")</f>
        <v> </v>
      </c>
      <c r="Q122" s="180" t="str">
        <f aca="false">IF((D122="b"),F122," ")</f>
        <v> </v>
      </c>
      <c r="R122" s="180" t="str">
        <f aca="false">IF((D122="o"),F122," ")</f>
        <v> </v>
      </c>
      <c r="S122" s="180" t="str">
        <f aca="false">IF((D122="f"),F122," ")</f>
        <v> </v>
      </c>
      <c r="U122" s="371"/>
    </row>
    <row r="123" customFormat="false" ht="12.75" hidden="false" customHeight="false" outlineLevel="0" collapsed="false">
      <c r="D123" s="371" t="str">
        <f aca="false">IF((F123&lt;&gt;0),"Enter Letter"," ")</f>
        <v> </v>
      </c>
      <c r="G123" s="180" t="str">
        <f aca="false">IF((D123="d"),F123," ")</f>
        <v> </v>
      </c>
      <c r="H123" s="180" t="str">
        <f aca="false">IF((D123="h"),F123," ")</f>
        <v> </v>
      </c>
      <c r="I123" s="180" t="str">
        <f aca="false">IF((D123="r"),F123," ")</f>
        <v> </v>
      </c>
      <c r="J123" s="180" t="str">
        <f aca="false">IF((D123="t"),F123," ")</f>
        <v> </v>
      </c>
      <c r="K123" s="180" t="str">
        <f aca="false">IF((D123="e"),F123," ")</f>
        <v> </v>
      </c>
      <c r="L123" s="180" t="str">
        <f aca="false">IF((D123="p"),F123," ")</f>
        <v> </v>
      </c>
      <c r="M123" s="180" t="str">
        <f aca="false">IF((D123="g"),F123," ")</f>
        <v> </v>
      </c>
      <c r="N123" s="180" t="str">
        <f aca="false">IF((D123="a"),F123," ")</f>
        <v> </v>
      </c>
      <c r="O123" s="180" t="str">
        <f aca="false">IF((D123="l"),F123," ")</f>
        <v> </v>
      </c>
      <c r="P123" s="180" t="str">
        <f aca="false">IF((D123="i"),F123," ")</f>
        <v> </v>
      </c>
      <c r="Q123" s="180" t="str">
        <f aca="false">IF((D123="b"),F123," ")</f>
        <v> </v>
      </c>
      <c r="R123" s="180" t="str">
        <f aca="false">IF((D123="o"),F123," ")</f>
        <v> </v>
      </c>
      <c r="S123" s="180" t="str">
        <f aca="false">IF((D123="f"),F123," ")</f>
        <v> </v>
      </c>
      <c r="U123" s="371"/>
    </row>
    <row r="124" customFormat="false" ht="12.75" hidden="false" customHeight="false" outlineLevel="0" collapsed="false">
      <c r="D124" s="371" t="str">
        <f aca="false">IF((F124&lt;&gt;0),"Enter Letter"," ")</f>
        <v> </v>
      </c>
      <c r="G124" s="180" t="str">
        <f aca="false">IF((D124="d"),F124," ")</f>
        <v> </v>
      </c>
      <c r="H124" s="180" t="str">
        <f aca="false">IF((D124="h"),F124," ")</f>
        <v> </v>
      </c>
      <c r="I124" s="180" t="str">
        <f aca="false">IF((D124="r"),F124," ")</f>
        <v> </v>
      </c>
      <c r="J124" s="180" t="str">
        <f aca="false">IF((D124="t"),F124," ")</f>
        <v> </v>
      </c>
      <c r="K124" s="180" t="str">
        <f aca="false">IF((D124="e"),F124," ")</f>
        <v> </v>
      </c>
      <c r="L124" s="180" t="str">
        <f aca="false">IF((D124="p"),F124," ")</f>
        <v> </v>
      </c>
      <c r="M124" s="180" t="str">
        <f aca="false">IF((D124="g"),F124," ")</f>
        <v> </v>
      </c>
      <c r="N124" s="180" t="str">
        <f aca="false">IF((D124="a"),F124," ")</f>
        <v> </v>
      </c>
      <c r="O124" s="180" t="str">
        <f aca="false">IF((D124="l"),F124," ")</f>
        <v> </v>
      </c>
      <c r="P124" s="180" t="str">
        <f aca="false">IF((D124="i"),F124," ")</f>
        <v> </v>
      </c>
      <c r="Q124" s="180" t="str">
        <f aca="false">IF((D124="b"),F124," ")</f>
        <v> </v>
      </c>
      <c r="R124" s="180" t="str">
        <f aca="false">IF((D124="o"),F124," ")</f>
        <v> </v>
      </c>
      <c r="S124" s="180" t="str">
        <f aca="false">IF((D124="f"),F124," ")</f>
        <v> </v>
      </c>
      <c r="U124" s="371"/>
    </row>
    <row r="125" customFormat="false" ht="12.75" hidden="false" customHeight="false" outlineLevel="0" collapsed="false">
      <c r="D125" s="371" t="str">
        <f aca="false">IF((F125&lt;&gt;0),"Enter Letter"," ")</f>
        <v> </v>
      </c>
      <c r="G125" s="180" t="str">
        <f aca="false">IF((D125="d"),F125," ")</f>
        <v> </v>
      </c>
      <c r="H125" s="180" t="str">
        <f aca="false">IF((D125="h"),F125," ")</f>
        <v> </v>
      </c>
      <c r="I125" s="180" t="str">
        <f aca="false">IF((D125="r"),F125," ")</f>
        <v> </v>
      </c>
      <c r="J125" s="180" t="str">
        <f aca="false">IF((D125="t"),F125," ")</f>
        <v> </v>
      </c>
      <c r="K125" s="180" t="str">
        <f aca="false">IF((D125="e"),F125," ")</f>
        <v> </v>
      </c>
      <c r="L125" s="180" t="str">
        <f aca="false">IF((D125="p"),F125," ")</f>
        <v> </v>
      </c>
      <c r="M125" s="180" t="str">
        <f aca="false">IF((D125="g"),F125," ")</f>
        <v> </v>
      </c>
      <c r="N125" s="180" t="str">
        <f aca="false">IF((D125="a"),F125," ")</f>
        <v> </v>
      </c>
      <c r="O125" s="180" t="str">
        <f aca="false">IF((D125="l"),F125," ")</f>
        <v> </v>
      </c>
      <c r="P125" s="180" t="str">
        <f aca="false">IF((D125="i"),F125," ")</f>
        <v> </v>
      </c>
      <c r="Q125" s="180" t="str">
        <f aca="false">IF((D125="b"),F125," ")</f>
        <v> </v>
      </c>
      <c r="R125" s="180" t="str">
        <f aca="false">IF((D125="o"),F125," ")</f>
        <v> </v>
      </c>
      <c r="S125" s="180" t="str">
        <f aca="false">IF((D125="f"),F125," ")</f>
        <v> </v>
      </c>
      <c r="U125" s="371"/>
    </row>
    <row r="126" customFormat="false" ht="12.75" hidden="false" customHeight="false" outlineLevel="0" collapsed="false">
      <c r="D126" s="371" t="str">
        <f aca="false">IF((F126&lt;&gt;0),"Enter Letter"," ")</f>
        <v> </v>
      </c>
      <c r="G126" s="180" t="str">
        <f aca="false">IF((D126="d"),F126," ")</f>
        <v> </v>
      </c>
      <c r="H126" s="180" t="str">
        <f aca="false">IF((D126="h"),F126," ")</f>
        <v> </v>
      </c>
      <c r="I126" s="180" t="str">
        <f aca="false">IF((D126="r"),F126," ")</f>
        <v> </v>
      </c>
      <c r="J126" s="180" t="str">
        <f aca="false">IF((D126="t"),F126," ")</f>
        <v> </v>
      </c>
      <c r="K126" s="180" t="str">
        <f aca="false">IF((D126="e"),F126," ")</f>
        <v> </v>
      </c>
      <c r="L126" s="180" t="str">
        <f aca="false">IF((D126="p"),F126," ")</f>
        <v> </v>
      </c>
      <c r="M126" s="180" t="str">
        <f aca="false">IF((D126="g"),F126," ")</f>
        <v> </v>
      </c>
      <c r="N126" s="180" t="str">
        <f aca="false">IF((D126="a"),F126," ")</f>
        <v> </v>
      </c>
      <c r="O126" s="180" t="str">
        <f aca="false">IF((D126="l"),F126," ")</f>
        <v> </v>
      </c>
      <c r="P126" s="180" t="str">
        <f aca="false">IF((D126="i"),F126," ")</f>
        <v> </v>
      </c>
      <c r="Q126" s="180" t="str">
        <f aca="false">IF((D126="b"),F126," ")</f>
        <v> </v>
      </c>
      <c r="R126" s="180" t="str">
        <f aca="false">IF((D126="o"),F126," ")</f>
        <v> </v>
      </c>
      <c r="S126" s="180" t="str">
        <f aca="false">IF((D126="f"),F126," ")</f>
        <v> </v>
      </c>
      <c r="U126" s="371"/>
    </row>
    <row r="127" customFormat="false" ht="12.75" hidden="false" customHeight="false" outlineLevel="0" collapsed="false">
      <c r="D127" s="371" t="str">
        <f aca="false">IF((F127&lt;&gt;0),"Enter Letter"," ")</f>
        <v> </v>
      </c>
      <c r="G127" s="180" t="str">
        <f aca="false">IF((D127="d"),F127," ")</f>
        <v> </v>
      </c>
      <c r="H127" s="180" t="str">
        <f aca="false">IF((D127="h"),F127," ")</f>
        <v> </v>
      </c>
      <c r="I127" s="180" t="str">
        <f aca="false">IF((D127="r"),F127," ")</f>
        <v> </v>
      </c>
      <c r="J127" s="180" t="str">
        <f aca="false">IF((D127="t"),F127," ")</f>
        <v> </v>
      </c>
      <c r="K127" s="180" t="str">
        <f aca="false">IF((D127="e"),F127," ")</f>
        <v> </v>
      </c>
      <c r="L127" s="180" t="str">
        <f aca="false">IF((D127="p"),F127," ")</f>
        <v> </v>
      </c>
      <c r="M127" s="180" t="str">
        <f aca="false">IF((D127="g"),F127," ")</f>
        <v> </v>
      </c>
      <c r="N127" s="180" t="str">
        <f aca="false">IF((D127="a"),F127," ")</f>
        <v> </v>
      </c>
      <c r="O127" s="180" t="str">
        <f aca="false">IF((D127="l"),F127," ")</f>
        <v> </v>
      </c>
      <c r="P127" s="180" t="str">
        <f aca="false">IF((D127="i"),F127," ")</f>
        <v> </v>
      </c>
      <c r="Q127" s="180" t="str">
        <f aca="false">IF((D127="b"),F127," ")</f>
        <v> </v>
      </c>
      <c r="R127" s="180" t="str">
        <f aca="false">IF((D127="o"),F127," ")</f>
        <v> </v>
      </c>
      <c r="S127" s="180" t="str">
        <f aca="false">IF((D127="f"),F127," ")</f>
        <v> </v>
      </c>
      <c r="U127" s="371"/>
    </row>
    <row r="128" customFormat="false" ht="12.75" hidden="false" customHeight="false" outlineLevel="0" collapsed="false">
      <c r="D128" s="371" t="str">
        <f aca="false">IF((F128&lt;&gt;0),"Enter Letter"," ")</f>
        <v> </v>
      </c>
      <c r="G128" s="180" t="str">
        <f aca="false">IF((D128="d"),F128," ")</f>
        <v> </v>
      </c>
      <c r="H128" s="180" t="str">
        <f aca="false">IF((D128="h"),F128," ")</f>
        <v> </v>
      </c>
      <c r="I128" s="180" t="str">
        <f aca="false">IF((D128="r"),F128," ")</f>
        <v> </v>
      </c>
      <c r="J128" s="180" t="str">
        <f aca="false">IF((D128="t"),F128," ")</f>
        <v> </v>
      </c>
      <c r="K128" s="180" t="str">
        <f aca="false">IF((D128="e"),F128," ")</f>
        <v> </v>
      </c>
      <c r="L128" s="180" t="str">
        <f aca="false">IF((D128="p"),F128," ")</f>
        <v> </v>
      </c>
      <c r="M128" s="180" t="str">
        <f aca="false">IF((D128="g"),F128," ")</f>
        <v> </v>
      </c>
      <c r="N128" s="180" t="str">
        <f aca="false">IF((D128="a"),F128," ")</f>
        <v> </v>
      </c>
      <c r="O128" s="180" t="str">
        <f aca="false">IF((D128="l"),F128," ")</f>
        <v> </v>
      </c>
      <c r="P128" s="180" t="str">
        <f aca="false">IF((D128="i"),F128," ")</f>
        <v> </v>
      </c>
      <c r="Q128" s="180" t="str">
        <f aca="false">IF((D128="b"),F128," ")</f>
        <v> </v>
      </c>
      <c r="R128" s="180" t="str">
        <f aca="false">IF((D128="o"),F128," ")</f>
        <v> </v>
      </c>
      <c r="S128" s="180" t="str">
        <f aca="false">IF((D128="f"),F128," ")</f>
        <v> </v>
      </c>
      <c r="U128" s="371"/>
    </row>
    <row r="129" customFormat="false" ht="12.75" hidden="false" customHeight="false" outlineLevel="0" collapsed="false">
      <c r="D129" s="371" t="str">
        <f aca="false">IF((F129&lt;&gt;0),"Enter Letter"," ")</f>
        <v> </v>
      </c>
      <c r="G129" s="180" t="str">
        <f aca="false">IF((D129="d"),F129," ")</f>
        <v> </v>
      </c>
      <c r="H129" s="180" t="str">
        <f aca="false">IF((D129="h"),F129," ")</f>
        <v> </v>
      </c>
      <c r="I129" s="180" t="str">
        <f aca="false">IF((D129="r"),F129," ")</f>
        <v> </v>
      </c>
      <c r="J129" s="180" t="str">
        <f aca="false">IF((D129="t"),F129," ")</f>
        <v> </v>
      </c>
      <c r="K129" s="180" t="str">
        <f aca="false">IF((D129="e"),F129," ")</f>
        <v> </v>
      </c>
      <c r="L129" s="180" t="str">
        <f aca="false">IF((D129="p"),F129," ")</f>
        <v> </v>
      </c>
      <c r="M129" s="180" t="str">
        <f aca="false">IF((D129="g"),F129," ")</f>
        <v> </v>
      </c>
      <c r="N129" s="180" t="str">
        <f aca="false">IF((D129="a"),F129," ")</f>
        <v> </v>
      </c>
      <c r="O129" s="180" t="str">
        <f aca="false">IF((D129="l"),F129," ")</f>
        <v> </v>
      </c>
      <c r="P129" s="180" t="str">
        <f aca="false">IF((D129="i"),F129," ")</f>
        <v> </v>
      </c>
      <c r="Q129" s="180" t="str">
        <f aca="false">IF((D129="b"),F129," ")</f>
        <v> </v>
      </c>
      <c r="R129" s="180" t="str">
        <f aca="false">IF((D129="o"),F129," ")</f>
        <v> </v>
      </c>
      <c r="S129" s="180" t="str">
        <f aca="false">IF((D129="f"),F129," ")</f>
        <v> </v>
      </c>
      <c r="U129" s="371"/>
    </row>
    <row r="130" customFormat="false" ht="12.75" hidden="false" customHeight="false" outlineLevel="0" collapsed="false">
      <c r="D130" s="371" t="str">
        <f aca="false">IF((F130&lt;&gt;0),"Enter Letter"," ")</f>
        <v> </v>
      </c>
      <c r="G130" s="180" t="str">
        <f aca="false">IF((D130="d"),F130," ")</f>
        <v> </v>
      </c>
      <c r="H130" s="180" t="str">
        <f aca="false">IF((D130="h"),F130," ")</f>
        <v> </v>
      </c>
      <c r="I130" s="180" t="str">
        <f aca="false">IF((D130="r"),F130," ")</f>
        <v> </v>
      </c>
      <c r="J130" s="180" t="str">
        <f aca="false">IF((D130="t"),F130," ")</f>
        <v> </v>
      </c>
      <c r="K130" s="180" t="str">
        <f aca="false">IF((D130="e"),F130," ")</f>
        <v> </v>
      </c>
      <c r="L130" s="180" t="str">
        <f aca="false">IF((D130="p"),F130," ")</f>
        <v> </v>
      </c>
      <c r="M130" s="180" t="str">
        <f aca="false">IF((D130="g"),F130," ")</f>
        <v> </v>
      </c>
      <c r="N130" s="180" t="str">
        <f aca="false">IF((D130="a"),F130," ")</f>
        <v> </v>
      </c>
      <c r="O130" s="180" t="str">
        <f aca="false">IF((D130="l"),F130," ")</f>
        <v> </v>
      </c>
      <c r="P130" s="180" t="str">
        <f aca="false">IF((D130="i"),F130," ")</f>
        <v> </v>
      </c>
      <c r="Q130" s="180" t="str">
        <f aca="false">IF((D130="b"),F130," ")</f>
        <v> </v>
      </c>
      <c r="R130" s="180" t="str">
        <f aca="false">IF((D130="o"),F130," ")</f>
        <v> </v>
      </c>
      <c r="S130" s="180" t="str">
        <f aca="false">IF((D130="f"),F130," ")</f>
        <v> </v>
      </c>
      <c r="U130" s="371"/>
    </row>
    <row r="131" customFormat="false" ht="12.75" hidden="false" customHeight="false" outlineLevel="0" collapsed="false">
      <c r="D131" s="371" t="str">
        <f aca="false">IF((F131&lt;&gt;0),"Enter Letter"," ")</f>
        <v> </v>
      </c>
      <c r="G131" s="180" t="str">
        <f aca="false">IF((D131="d"),F131," ")</f>
        <v> </v>
      </c>
      <c r="H131" s="180" t="str">
        <f aca="false">IF((D131="h"),F131," ")</f>
        <v> </v>
      </c>
      <c r="I131" s="180" t="str">
        <f aca="false">IF((D131="r"),F131," ")</f>
        <v> </v>
      </c>
      <c r="J131" s="180" t="str">
        <f aca="false">IF((D131="t"),F131," ")</f>
        <v> </v>
      </c>
      <c r="K131" s="180" t="str">
        <f aca="false">IF((D131="e"),F131," ")</f>
        <v> </v>
      </c>
      <c r="L131" s="180" t="str">
        <f aca="false">IF((D131="p"),F131," ")</f>
        <v> </v>
      </c>
      <c r="M131" s="180" t="str">
        <f aca="false">IF((D131="g"),F131," ")</f>
        <v> </v>
      </c>
      <c r="N131" s="180" t="str">
        <f aca="false">IF((D131="a"),F131," ")</f>
        <v> </v>
      </c>
      <c r="O131" s="180" t="str">
        <f aca="false">IF((D131="l"),F131," ")</f>
        <v> </v>
      </c>
      <c r="P131" s="180" t="str">
        <f aca="false">IF((D131="i"),F131," ")</f>
        <v> </v>
      </c>
      <c r="Q131" s="180" t="str">
        <f aca="false">IF((D131="b"),F131," ")</f>
        <v> </v>
      </c>
      <c r="R131" s="180" t="str">
        <f aca="false">IF((D131="o"),F131," ")</f>
        <v> </v>
      </c>
      <c r="S131" s="180" t="str">
        <f aca="false">IF((D131="f"),F131," ")</f>
        <v> </v>
      </c>
      <c r="U131" s="371"/>
    </row>
    <row r="132" customFormat="false" ht="12.75" hidden="false" customHeight="false" outlineLevel="0" collapsed="false">
      <c r="D132" s="371" t="str">
        <f aca="false">IF((F132&lt;&gt;0),"Enter Letter"," ")</f>
        <v> </v>
      </c>
      <c r="G132" s="180" t="str">
        <f aca="false">IF((D132="d"),F132," ")</f>
        <v> </v>
      </c>
      <c r="H132" s="180" t="str">
        <f aca="false">IF((D132="h"),F132," ")</f>
        <v> </v>
      </c>
      <c r="I132" s="180" t="str">
        <f aca="false">IF((D132="r"),F132," ")</f>
        <v> </v>
      </c>
      <c r="J132" s="180" t="str">
        <f aca="false">IF((D132="t"),F132," ")</f>
        <v> </v>
      </c>
      <c r="K132" s="180" t="str">
        <f aca="false">IF((D132="e"),F132," ")</f>
        <v> </v>
      </c>
      <c r="L132" s="180" t="str">
        <f aca="false">IF((D132="p"),F132," ")</f>
        <v> </v>
      </c>
      <c r="M132" s="180" t="str">
        <f aca="false">IF((D132="g"),F132," ")</f>
        <v> </v>
      </c>
      <c r="N132" s="180" t="str">
        <f aca="false">IF((D132="a"),F132," ")</f>
        <v> </v>
      </c>
      <c r="O132" s="180" t="str">
        <f aca="false">IF((D132="l"),F132," ")</f>
        <v> </v>
      </c>
      <c r="P132" s="180" t="str">
        <f aca="false">IF((D132="i"),F132," ")</f>
        <v> </v>
      </c>
      <c r="Q132" s="180" t="str">
        <f aca="false">IF((D132="b"),F132," ")</f>
        <v> </v>
      </c>
      <c r="R132" s="180" t="str">
        <f aca="false">IF((D132="o"),F132," ")</f>
        <v> </v>
      </c>
      <c r="S132" s="180" t="str">
        <f aca="false">IF((D132="f"),F132," ")</f>
        <v> </v>
      </c>
      <c r="U132" s="371"/>
    </row>
    <row r="133" customFormat="false" ht="12.75" hidden="false" customHeight="false" outlineLevel="0" collapsed="false">
      <c r="D133" s="371" t="str">
        <f aca="false">IF((F133&lt;&gt;0),"Enter Letter"," ")</f>
        <v> </v>
      </c>
      <c r="G133" s="180" t="str">
        <f aca="false">IF((D133="d"),F133," ")</f>
        <v> </v>
      </c>
      <c r="H133" s="180" t="str">
        <f aca="false">IF((D133="h"),F133," ")</f>
        <v> </v>
      </c>
      <c r="I133" s="180" t="str">
        <f aca="false">IF((D133="r"),F133," ")</f>
        <v> </v>
      </c>
      <c r="J133" s="180" t="str">
        <f aca="false">IF((D133="t"),F133," ")</f>
        <v> </v>
      </c>
      <c r="K133" s="180" t="str">
        <f aca="false">IF((D133="e"),F133," ")</f>
        <v> </v>
      </c>
      <c r="L133" s="180" t="str">
        <f aca="false">IF((D133="p"),F133," ")</f>
        <v> </v>
      </c>
      <c r="M133" s="180" t="str">
        <f aca="false">IF((D133="g"),F133," ")</f>
        <v> </v>
      </c>
      <c r="N133" s="180" t="str">
        <f aca="false">IF((D133="a"),F133," ")</f>
        <v> </v>
      </c>
      <c r="O133" s="180" t="str">
        <f aca="false">IF((D133="l"),F133," ")</f>
        <v> </v>
      </c>
      <c r="P133" s="180" t="str">
        <f aca="false">IF((D133="i"),F133," ")</f>
        <v> </v>
      </c>
      <c r="Q133" s="180" t="str">
        <f aca="false">IF((D133="b"),F133," ")</f>
        <v> </v>
      </c>
      <c r="R133" s="180" t="str">
        <f aca="false">IF((D133="o"),F133," ")</f>
        <v> </v>
      </c>
      <c r="S133" s="180" t="str">
        <f aca="false">IF((D133="f"),F133," ")</f>
        <v> </v>
      </c>
      <c r="U133" s="371"/>
    </row>
    <row r="134" customFormat="false" ht="12.75" hidden="false" customHeight="false" outlineLevel="0" collapsed="false">
      <c r="D134" s="371" t="str">
        <f aca="false">IF((F134&lt;&gt;0),"Enter Letter"," ")</f>
        <v> </v>
      </c>
      <c r="G134" s="180" t="str">
        <f aca="false">IF((D134="d"),F134," ")</f>
        <v> </v>
      </c>
      <c r="H134" s="180" t="str">
        <f aca="false">IF((D134="h"),F134," ")</f>
        <v> </v>
      </c>
      <c r="I134" s="180" t="str">
        <f aca="false">IF((D134="r"),F134," ")</f>
        <v> </v>
      </c>
      <c r="J134" s="180" t="str">
        <f aca="false">IF((D134="t"),F134," ")</f>
        <v> </v>
      </c>
      <c r="K134" s="180" t="str">
        <f aca="false">IF((D134="e"),F134," ")</f>
        <v> </v>
      </c>
      <c r="L134" s="180" t="str">
        <f aca="false">IF((D134="p"),F134," ")</f>
        <v> </v>
      </c>
      <c r="M134" s="180" t="str">
        <f aca="false">IF((D134="g"),F134," ")</f>
        <v> </v>
      </c>
      <c r="N134" s="180" t="str">
        <f aca="false">IF((D134="a"),F134," ")</f>
        <v> </v>
      </c>
      <c r="O134" s="180" t="str">
        <f aca="false">IF((D134="l"),F134," ")</f>
        <v> </v>
      </c>
      <c r="P134" s="180" t="str">
        <f aca="false">IF((D134="i"),F134," ")</f>
        <v> </v>
      </c>
      <c r="Q134" s="180" t="str">
        <f aca="false">IF((D134="b"),F134," ")</f>
        <v> </v>
      </c>
      <c r="R134" s="180" t="str">
        <f aca="false">IF((D134="o"),F134," ")</f>
        <v> </v>
      </c>
      <c r="S134" s="180" t="str">
        <f aca="false">IF((D134="f"),F134," ")</f>
        <v> </v>
      </c>
      <c r="U134" s="371"/>
    </row>
    <row r="135" customFormat="false" ht="12.75" hidden="false" customHeight="false" outlineLevel="0" collapsed="false">
      <c r="D135" s="371" t="str">
        <f aca="false">IF((F135&lt;&gt;0),"Enter Letter"," ")</f>
        <v> </v>
      </c>
      <c r="G135" s="180" t="str">
        <f aca="false">IF((D135="d"),F135," ")</f>
        <v> </v>
      </c>
      <c r="H135" s="180" t="str">
        <f aca="false">IF((D135="h"),F135," ")</f>
        <v> </v>
      </c>
      <c r="I135" s="180" t="str">
        <f aca="false">IF((D135="r"),F135," ")</f>
        <v> </v>
      </c>
      <c r="J135" s="180" t="str">
        <f aca="false">IF((D135="t"),F135," ")</f>
        <v> </v>
      </c>
      <c r="K135" s="180" t="str">
        <f aca="false">IF((D135="e"),F135," ")</f>
        <v> </v>
      </c>
      <c r="L135" s="180" t="str">
        <f aca="false">IF((D135="p"),F135," ")</f>
        <v> </v>
      </c>
      <c r="M135" s="180" t="str">
        <f aca="false">IF((D135="g"),F135," ")</f>
        <v> </v>
      </c>
      <c r="N135" s="180" t="str">
        <f aca="false">IF((D135="a"),F135," ")</f>
        <v> </v>
      </c>
      <c r="O135" s="180" t="str">
        <f aca="false">IF((D135="l"),F135," ")</f>
        <v> </v>
      </c>
      <c r="P135" s="180" t="str">
        <f aca="false">IF((D135="i"),F135," ")</f>
        <v> </v>
      </c>
      <c r="Q135" s="180" t="str">
        <f aca="false">IF((D135="b"),F135," ")</f>
        <v> </v>
      </c>
      <c r="R135" s="180" t="str">
        <f aca="false">IF((D135="o"),F135," ")</f>
        <v> </v>
      </c>
      <c r="S135" s="180" t="str">
        <f aca="false">IF((D135="f"),F135," ")</f>
        <v> </v>
      </c>
      <c r="U135" s="371"/>
    </row>
    <row r="136" customFormat="false" ht="12.75" hidden="false" customHeight="false" outlineLevel="0" collapsed="false">
      <c r="D136" s="371" t="str">
        <f aca="false">IF((F136&lt;&gt;0),"Enter Letter"," ")</f>
        <v> </v>
      </c>
      <c r="G136" s="180" t="str">
        <f aca="false">IF((D136="d"),F136," ")</f>
        <v> </v>
      </c>
      <c r="H136" s="180" t="str">
        <f aca="false">IF((D136="h"),F136," ")</f>
        <v> </v>
      </c>
      <c r="I136" s="180" t="str">
        <f aca="false">IF((D136="r"),F136," ")</f>
        <v> </v>
      </c>
      <c r="J136" s="180" t="str">
        <f aca="false">IF((D136="t"),F136," ")</f>
        <v> </v>
      </c>
      <c r="K136" s="180" t="str">
        <f aca="false">IF((D136="e"),F136," ")</f>
        <v> </v>
      </c>
      <c r="L136" s="180" t="str">
        <f aca="false">IF((D136="p"),F136," ")</f>
        <v> </v>
      </c>
      <c r="M136" s="180" t="str">
        <f aca="false">IF((D136="g"),F136," ")</f>
        <v> </v>
      </c>
      <c r="N136" s="180" t="str">
        <f aca="false">IF((D136="a"),F136," ")</f>
        <v> </v>
      </c>
      <c r="O136" s="180" t="str">
        <f aca="false">IF((D136="l"),F136," ")</f>
        <v> </v>
      </c>
      <c r="P136" s="180" t="str">
        <f aca="false">IF((D136="i"),F136," ")</f>
        <v> </v>
      </c>
      <c r="Q136" s="180" t="str">
        <f aca="false">IF((D136="b"),F136," ")</f>
        <v> </v>
      </c>
      <c r="R136" s="180" t="str">
        <f aca="false">IF((D136="o"),F136," ")</f>
        <v> </v>
      </c>
      <c r="S136" s="180" t="str">
        <f aca="false">IF((D136="f"),F136," ")</f>
        <v> </v>
      </c>
      <c r="U136" s="371"/>
    </row>
    <row r="137" customFormat="false" ht="12.75" hidden="false" customHeight="false" outlineLevel="0" collapsed="false">
      <c r="D137" s="371" t="str">
        <f aca="false">IF((F137&lt;&gt;0),"Enter Letter"," ")</f>
        <v> </v>
      </c>
      <c r="G137" s="180" t="str">
        <f aca="false">IF((D137="d"),F137," ")</f>
        <v> </v>
      </c>
      <c r="H137" s="180" t="str">
        <f aca="false">IF((D137="h"),F137," ")</f>
        <v> </v>
      </c>
      <c r="I137" s="180" t="str">
        <f aca="false">IF((D137="r"),F137," ")</f>
        <v> </v>
      </c>
      <c r="J137" s="180" t="str">
        <f aca="false">IF((D137="t"),F137," ")</f>
        <v> </v>
      </c>
      <c r="K137" s="180" t="str">
        <f aca="false">IF((D137="e"),F137," ")</f>
        <v> </v>
      </c>
      <c r="L137" s="180" t="str">
        <f aca="false">IF((D137="p"),F137," ")</f>
        <v> </v>
      </c>
      <c r="M137" s="180" t="str">
        <f aca="false">IF((D137="g"),F137," ")</f>
        <v> </v>
      </c>
      <c r="N137" s="180" t="str">
        <f aca="false">IF((D137="a"),F137," ")</f>
        <v> </v>
      </c>
      <c r="O137" s="180" t="str">
        <f aca="false">IF((D137="l"),F137," ")</f>
        <v> </v>
      </c>
      <c r="P137" s="180" t="str">
        <f aca="false">IF((D137="i"),F137," ")</f>
        <v> </v>
      </c>
      <c r="Q137" s="180" t="str">
        <f aca="false">IF((D137="b"),F137," ")</f>
        <v> </v>
      </c>
      <c r="R137" s="180" t="str">
        <f aca="false">IF((D137="o"),F137," ")</f>
        <v> </v>
      </c>
      <c r="S137" s="180" t="str">
        <f aca="false">IF((D137="f"),F137," ")</f>
        <v> </v>
      </c>
      <c r="U137" s="371"/>
    </row>
    <row r="138" customFormat="false" ht="12.75" hidden="false" customHeight="false" outlineLevel="0" collapsed="false">
      <c r="D138" s="371" t="str">
        <f aca="false">IF((F138&lt;&gt;0),"Enter Letter"," ")</f>
        <v> </v>
      </c>
      <c r="G138" s="180" t="str">
        <f aca="false">IF((D138="d"),F138," ")</f>
        <v> </v>
      </c>
      <c r="H138" s="180" t="str">
        <f aca="false">IF((D138="h"),F138," ")</f>
        <v> </v>
      </c>
      <c r="I138" s="180" t="str">
        <f aca="false">IF((D138="r"),F138," ")</f>
        <v> </v>
      </c>
      <c r="J138" s="180" t="str">
        <f aca="false">IF((D138="t"),F138," ")</f>
        <v> </v>
      </c>
      <c r="K138" s="180" t="str">
        <f aca="false">IF((D138="e"),F138," ")</f>
        <v> </v>
      </c>
      <c r="L138" s="180" t="str">
        <f aca="false">IF((D138="p"),F138," ")</f>
        <v> </v>
      </c>
      <c r="M138" s="180" t="str">
        <f aca="false">IF((D138="g"),F138," ")</f>
        <v> </v>
      </c>
      <c r="N138" s="180" t="str">
        <f aca="false">IF((D138="a"),F138," ")</f>
        <v> </v>
      </c>
      <c r="O138" s="180" t="str">
        <f aca="false">IF((D138="l"),F138," ")</f>
        <v> </v>
      </c>
      <c r="P138" s="180" t="str">
        <f aca="false">IF((D138="i"),F138," ")</f>
        <v> </v>
      </c>
      <c r="Q138" s="180" t="str">
        <f aca="false">IF((D138="b"),F138," ")</f>
        <v> </v>
      </c>
      <c r="R138" s="180" t="str">
        <f aca="false">IF((D138="o"),F138," ")</f>
        <v> </v>
      </c>
      <c r="S138" s="180" t="str">
        <f aca="false">IF((D138="f"),F138," ")</f>
        <v> </v>
      </c>
      <c r="U138" s="371"/>
    </row>
    <row r="139" customFormat="false" ht="12.75" hidden="false" customHeight="false" outlineLevel="0" collapsed="false">
      <c r="D139" s="371" t="str">
        <f aca="false">IF((F139&lt;&gt;0),"Enter Letter"," ")</f>
        <v> </v>
      </c>
      <c r="G139" s="180" t="str">
        <f aca="false">IF((D139="d"),F139," ")</f>
        <v> </v>
      </c>
      <c r="H139" s="180" t="str">
        <f aca="false">IF((D139="h"),F139," ")</f>
        <v> </v>
      </c>
      <c r="I139" s="180" t="str">
        <f aca="false">IF((D139="r"),F139," ")</f>
        <v> </v>
      </c>
      <c r="J139" s="180" t="str">
        <f aca="false">IF((D139="t"),F139," ")</f>
        <v> </v>
      </c>
      <c r="K139" s="180" t="str">
        <f aca="false">IF((D139="e"),F139," ")</f>
        <v> </v>
      </c>
      <c r="L139" s="180" t="str">
        <f aca="false">IF((D139="p"),F139," ")</f>
        <v> </v>
      </c>
      <c r="M139" s="180" t="str">
        <f aca="false">IF((D139="g"),F139," ")</f>
        <v> </v>
      </c>
      <c r="N139" s="180" t="str">
        <f aca="false">IF((D139="a"),F139," ")</f>
        <v> </v>
      </c>
      <c r="O139" s="180" t="str">
        <f aca="false">IF((D139="l"),F139," ")</f>
        <v> </v>
      </c>
      <c r="P139" s="180" t="str">
        <f aca="false">IF((D139="i"),F139," ")</f>
        <v> </v>
      </c>
      <c r="Q139" s="180" t="str">
        <f aca="false">IF((D139="b"),F139," ")</f>
        <v> </v>
      </c>
      <c r="R139" s="180" t="str">
        <f aca="false">IF((D139="o"),F139," ")</f>
        <v> </v>
      </c>
      <c r="S139" s="180" t="str">
        <f aca="false">IF((D139="f"),F139," ")</f>
        <v> </v>
      </c>
      <c r="U139" s="371"/>
    </row>
    <row r="140" customFormat="false" ht="12.75" hidden="false" customHeight="false" outlineLevel="0" collapsed="false">
      <c r="D140" s="371" t="str">
        <f aca="false">IF((F140&lt;&gt;0),"Enter Letter"," ")</f>
        <v> </v>
      </c>
      <c r="G140" s="180" t="str">
        <f aca="false">IF((D140="d"),F140," ")</f>
        <v> </v>
      </c>
      <c r="H140" s="180" t="str">
        <f aca="false">IF((D140="h"),F140," ")</f>
        <v> </v>
      </c>
      <c r="I140" s="180" t="str">
        <f aca="false">IF((D140="r"),F140," ")</f>
        <v> </v>
      </c>
      <c r="J140" s="180" t="str">
        <f aca="false">IF((D140="t"),F140," ")</f>
        <v> </v>
      </c>
      <c r="K140" s="180" t="str">
        <f aca="false">IF((D140="e"),F140," ")</f>
        <v> </v>
      </c>
      <c r="L140" s="180" t="str">
        <f aca="false">IF((D140="p"),F140," ")</f>
        <v> </v>
      </c>
      <c r="M140" s="180" t="str">
        <f aca="false">IF((D140="g"),F140," ")</f>
        <v> </v>
      </c>
      <c r="N140" s="180" t="str">
        <f aca="false">IF((D140="a"),F140," ")</f>
        <v> </v>
      </c>
      <c r="O140" s="180" t="str">
        <f aca="false">IF((D140="l"),F140," ")</f>
        <v> </v>
      </c>
      <c r="P140" s="180" t="str">
        <f aca="false">IF((D140="i"),F140," ")</f>
        <v> </v>
      </c>
      <c r="Q140" s="180" t="str">
        <f aca="false">IF((D140="b"),F140," ")</f>
        <v> </v>
      </c>
      <c r="R140" s="180" t="str">
        <f aca="false">IF((D140="o"),F140," ")</f>
        <v> </v>
      </c>
      <c r="S140" s="180" t="str">
        <f aca="false">IF((D140="f"),F140," ")</f>
        <v> </v>
      </c>
      <c r="U140" s="371"/>
    </row>
    <row r="141" customFormat="false" ht="12.75" hidden="false" customHeight="false" outlineLevel="0" collapsed="false">
      <c r="D141" s="371" t="str">
        <f aca="false">IF((F141&lt;&gt;0),"Enter Letter"," ")</f>
        <v> </v>
      </c>
      <c r="G141" s="180" t="str">
        <f aca="false">IF((D141="d"),F141," ")</f>
        <v> </v>
      </c>
      <c r="H141" s="180" t="str">
        <f aca="false">IF((D141="h"),F141," ")</f>
        <v> </v>
      </c>
      <c r="I141" s="180" t="str">
        <f aca="false">IF((D141="r"),F141," ")</f>
        <v> </v>
      </c>
      <c r="J141" s="180" t="str">
        <f aca="false">IF((D141="t"),F141," ")</f>
        <v> </v>
      </c>
      <c r="K141" s="180" t="str">
        <f aca="false">IF((D141="e"),F141," ")</f>
        <v> </v>
      </c>
      <c r="L141" s="180" t="str">
        <f aca="false">IF((D141="p"),F141," ")</f>
        <v> </v>
      </c>
      <c r="M141" s="180" t="str">
        <f aca="false">IF((D141="g"),F141," ")</f>
        <v> </v>
      </c>
      <c r="N141" s="180" t="str">
        <f aca="false">IF((D141="a"),F141," ")</f>
        <v> </v>
      </c>
      <c r="O141" s="180" t="str">
        <f aca="false">IF((D141="l"),F141," ")</f>
        <v> </v>
      </c>
      <c r="P141" s="180" t="str">
        <f aca="false">IF((D141="i"),F141," ")</f>
        <v> </v>
      </c>
      <c r="Q141" s="180" t="str">
        <f aca="false">IF((D141="b"),F141," ")</f>
        <v> </v>
      </c>
      <c r="R141" s="180" t="str">
        <f aca="false">IF((D141="o"),F141," ")</f>
        <v> </v>
      </c>
      <c r="S141" s="180" t="str">
        <f aca="false">IF((D141="f"),F141," ")</f>
        <v> </v>
      </c>
      <c r="U141" s="371"/>
    </row>
    <row r="142" customFormat="false" ht="12.75" hidden="false" customHeight="false" outlineLevel="0" collapsed="false">
      <c r="D142" s="371" t="str">
        <f aca="false">IF((F142&lt;&gt;0),"Enter Letter"," ")</f>
        <v> </v>
      </c>
      <c r="G142" s="180" t="str">
        <f aca="false">IF((D142="d"),F142," ")</f>
        <v> </v>
      </c>
      <c r="H142" s="180" t="str">
        <f aca="false">IF((D142="h"),F142," ")</f>
        <v> </v>
      </c>
      <c r="I142" s="180" t="str">
        <f aca="false">IF((D142="r"),F142," ")</f>
        <v> </v>
      </c>
      <c r="J142" s="180" t="str">
        <f aca="false">IF((D142="t"),F142," ")</f>
        <v> </v>
      </c>
      <c r="K142" s="180" t="str">
        <f aca="false">IF((D142="e"),F142," ")</f>
        <v> </v>
      </c>
      <c r="L142" s="180" t="str">
        <f aca="false">IF((D142="p"),F142," ")</f>
        <v> </v>
      </c>
      <c r="M142" s="180" t="str">
        <f aca="false">IF((D142="g"),F142," ")</f>
        <v> </v>
      </c>
      <c r="N142" s="180" t="str">
        <f aca="false">IF((D142="a"),F142," ")</f>
        <v> </v>
      </c>
      <c r="O142" s="180" t="str">
        <f aca="false">IF((D142="l"),F142," ")</f>
        <v> </v>
      </c>
      <c r="P142" s="180" t="str">
        <f aca="false">IF((D142="i"),F142," ")</f>
        <v> </v>
      </c>
      <c r="Q142" s="180" t="str">
        <f aca="false">IF((D142="b"),F142," ")</f>
        <v> </v>
      </c>
      <c r="R142" s="180" t="str">
        <f aca="false">IF((D142="o"),F142," ")</f>
        <v> </v>
      </c>
      <c r="S142" s="180" t="str">
        <f aca="false">IF((D142="f"),F142," ")</f>
        <v> </v>
      </c>
      <c r="U142" s="371"/>
    </row>
    <row r="143" customFormat="false" ht="12.75" hidden="false" customHeight="false" outlineLevel="0" collapsed="false">
      <c r="D143" s="371" t="str">
        <f aca="false">IF((F143&lt;&gt;0),"Enter Letter"," ")</f>
        <v> </v>
      </c>
      <c r="G143" s="180" t="str">
        <f aca="false">IF((D143="d"),F143," ")</f>
        <v> </v>
      </c>
      <c r="H143" s="180" t="str">
        <f aca="false">IF((D143="h"),F143," ")</f>
        <v> </v>
      </c>
      <c r="I143" s="180" t="str">
        <f aca="false">IF((D143="r"),F143," ")</f>
        <v> </v>
      </c>
      <c r="J143" s="180" t="str">
        <f aca="false">IF((D143="t"),F143," ")</f>
        <v> </v>
      </c>
      <c r="K143" s="180" t="str">
        <f aca="false">IF((D143="e"),F143," ")</f>
        <v> </v>
      </c>
      <c r="L143" s="180" t="str">
        <f aca="false">IF((D143="p"),F143," ")</f>
        <v> </v>
      </c>
      <c r="M143" s="180" t="str">
        <f aca="false">IF((D143="g"),F143," ")</f>
        <v> </v>
      </c>
      <c r="N143" s="180" t="str">
        <f aca="false">IF((D143="a"),F143," ")</f>
        <v> </v>
      </c>
      <c r="O143" s="180" t="str">
        <f aca="false">IF((D143="l"),F143," ")</f>
        <v> </v>
      </c>
      <c r="P143" s="180" t="str">
        <f aca="false">IF((D143="i"),F143," ")</f>
        <v> </v>
      </c>
      <c r="Q143" s="180" t="str">
        <f aca="false">IF((D143="b"),F143," ")</f>
        <v> </v>
      </c>
      <c r="R143" s="180" t="str">
        <f aca="false">IF((D143="o"),F143," ")</f>
        <v> </v>
      </c>
      <c r="S143" s="180" t="str">
        <f aca="false">IF((D143="f"),F143," ")</f>
        <v> </v>
      </c>
      <c r="U143" s="371"/>
    </row>
    <row r="144" customFormat="false" ht="12.75" hidden="false" customHeight="false" outlineLevel="0" collapsed="false">
      <c r="D144" s="371" t="str">
        <f aca="false">IF((F144&lt;&gt;0),"Enter Letter"," ")</f>
        <v> </v>
      </c>
      <c r="G144" s="180" t="str">
        <f aca="false">IF((D144="d"),F144," ")</f>
        <v> </v>
      </c>
      <c r="H144" s="180" t="str">
        <f aca="false">IF((D144="h"),F144," ")</f>
        <v> </v>
      </c>
      <c r="I144" s="180" t="str">
        <f aca="false">IF((D144="r"),F144," ")</f>
        <v> </v>
      </c>
      <c r="J144" s="180" t="str">
        <f aca="false">IF((D144="t"),F144," ")</f>
        <v> </v>
      </c>
      <c r="K144" s="180" t="str">
        <f aca="false">IF((D144="e"),F144," ")</f>
        <v> </v>
      </c>
      <c r="L144" s="180" t="str">
        <f aca="false">IF((D144="p"),F144," ")</f>
        <v> </v>
      </c>
      <c r="M144" s="180" t="str">
        <f aca="false">IF((D144="g"),F144," ")</f>
        <v> </v>
      </c>
      <c r="N144" s="180" t="str">
        <f aca="false">IF((D144="a"),F144," ")</f>
        <v> </v>
      </c>
      <c r="O144" s="180" t="str">
        <f aca="false">IF((D144="l"),F144," ")</f>
        <v> </v>
      </c>
      <c r="P144" s="180" t="str">
        <f aca="false">IF((D144="i"),F144," ")</f>
        <v> </v>
      </c>
      <c r="Q144" s="180" t="str">
        <f aca="false">IF((D144="b"),F144," ")</f>
        <v> </v>
      </c>
      <c r="R144" s="180" t="str">
        <f aca="false">IF((D144="o"),F144," ")</f>
        <v> </v>
      </c>
      <c r="S144" s="180" t="str">
        <f aca="false">IF((D144="f"),F144," ")</f>
        <v> </v>
      </c>
      <c r="U144" s="371"/>
    </row>
    <row r="145" customFormat="false" ht="12.75" hidden="false" customHeight="false" outlineLevel="0" collapsed="false">
      <c r="D145" s="371" t="str">
        <f aca="false">IF((F145&lt;&gt;0),"Enter Letter"," ")</f>
        <v> </v>
      </c>
      <c r="G145" s="180" t="str">
        <f aca="false">IF((D145="d"),F145," ")</f>
        <v> </v>
      </c>
      <c r="H145" s="180" t="str">
        <f aca="false">IF((D145="h"),F145," ")</f>
        <v> </v>
      </c>
      <c r="I145" s="180" t="str">
        <f aca="false">IF((D145="r"),F145," ")</f>
        <v> </v>
      </c>
      <c r="J145" s="180" t="str">
        <f aca="false">IF((D145="t"),F145," ")</f>
        <v> </v>
      </c>
      <c r="K145" s="180" t="str">
        <f aca="false">IF((D145="e"),F145," ")</f>
        <v> </v>
      </c>
      <c r="L145" s="180" t="str">
        <f aca="false">IF((D145="p"),F145," ")</f>
        <v> </v>
      </c>
      <c r="M145" s="180" t="str">
        <f aca="false">IF((D145="g"),F145," ")</f>
        <v> </v>
      </c>
      <c r="N145" s="180" t="str">
        <f aca="false">IF((D145="a"),F145," ")</f>
        <v> </v>
      </c>
      <c r="O145" s="180" t="str">
        <f aca="false">IF((D145="l"),F145," ")</f>
        <v> </v>
      </c>
      <c r="P145" s="180" t="str">
        <f aca="false">IF((D145="i"),F145," ")</f>
        <v> </v>
      </c>
      <c r="Q145" s="180" t="str">
        <f aca="false">IF((D145="b"),F145," ")</f>
        <v> </v>
      </c>
      <c r="R145" s="180" t="str">
        <f aca="false">IF((D145="o"),F145," ")</f>
        <v> </v>
      </c>
      <c r="S145" s="180" t="str">
        <f aca="false">IF((D145="f"),F145," ")</f>
        <v> </v>
      </c>
      <c r="U145" s="371"/>
    </row>
    <row r="146" customFormat="false" ht="12.75" hidden="false" customHeight="false" outlineLevel="0" collapsed="false">
      <c r="D146" s="371" t="str">
        <f aca="false">IF((F146&lt;&gt;0),"Enter Letter"," ")</f>
        <v> </v>
      </c>
      <c r="G146" s="180" t="str">
        <f aca="false">IF((D146="d"),F146," ")</f>
        <v> </v>
      </c>
      <c r="H146" s="180" t="str">
        <f aca="false">IF((D146="h"),F146," ")</f>
        <v> </v>
      </c>
      <c r="I146" s="180" t="str">
        <f aca="false">IF((D146="r"),F146," ")</f>
        <v> </v>
      </c>
      <c r="J146" s="180" t="str">
        <f aca="false">IF((D146="t"),F146," ")</f>
        <v> </v>
      </c>
      <c r="K146" s="180" t="str">
        <f aca="false">IF((D146="e"),F146," ")</f>
        <v> </v>
      </c>
      <c r="L146" s="180" t="str">
        <f aca="false">IF((D146="p"),F146," ")</f>
        <v> </v>
      </c>
      <c r="M146" s="180" t="str">
        <f aca="false">IF((D146="g"),F146," ")</f>
        <v> </v>
      </c>
      <c r="N146" s="180" t="str">
        <f aca="false">IF((D146="a"),F146," ")</f>
        <v> </v>
      </c>
      <c r="O146" s="180" t="str">
        <f aca="false">IF((D146="l"),F146," ")</f>
        <v> </v>
      </c>
      <c r="P146" s="180" t="str">
        <f aca="false">IF((D146="i"),F146," ")</f>
        <v> </v>
      </c>
      <c r="Q146" s="180" t="str">
        <f aca="false">IF((D146="b"),F146," ")</f>
        <v> </v>
      </c>
      <c r="R146" s="180" t="str">
        <f aca="false">IF((D146="o"),F146," ")</f>
        <v> </v>
      </c>
      <c r="S146" s="180" t="str">
        <f aca="false">IF((D146="f"),F146," ")</f>
        <v> </v>
      </c>
      <c r="U146" s="371"/>
    </row>
    <row r="147" customFormat="false" ht="12.75" hidden="false" customHeight="false" outlineLevel="0" collapsed="false">
      <c r="D147" s="371" t="str">
        <f aca="false">IF((F147&lt;&gt;0),"Enter Letter"," ")</f>
        <v> </v>
      </c>
      <c r="G147" s="180" t="str">
        <f aca="false">IF((D147="d"),F147," ")</f>
        <v> </v>
      </c>
      <c r="H147" s="180" t="str">
        <f aca="false">IF((D147="h"),F147," ")</f>
        <v> </v>
      </c>
      <c r="I147" s="180" t="str">
        <f aca="false">IF((D147="r"),F147," ")</f>
        <v> </v>
      </c>
      <c r="J147" s="180" t="str">
        <f aca="false">IF((D147="t"),F147," ")</f>
        <v> </v>
      </c>
      <c r="K147" s="180" t="str">
        <f aca="false">IF((D147="e"),F147," ")</f>
        <v> </v>
      </c>
      <c r="L147" s="180" t="str">
        <f aca="false">IF((D147="p"),F147," ")</f>
        <v> </v>
      </c>
      <c r="M147" s="180" t="str">
        <f aca="false">IF((D147="g"),F147," ")</f>
        <v> </v>
      </c>
      <c r="N147" s="180" t="str">
        <f aca="false">IF((D147="a"),F147," ")</f>
        <v> </v>
      </c>
      <c r="O147" s="180" t="str">
        <f aca="false">IF((D147="l"),F147," ")</f>
        <v> </v>
      </c>
      <c r="P147" s="180" t="str">
        <f aca="false">IF((D147="i"),F147," ")</f>
        <v> </v>
      </c>
      <c r="Q147" s="180" t="str">
        <f aca="false">IF((D147="b"),F147," ")</f>
        <v> </v>
      </c>
      <c r="R147" s="180" t="str">
        <f aca="false">IF((D147="o"),F147," ")</f>
        <v> </v>
      </c>
      <c r="S147" s="180" t="str">
        <f aca="false">IF((D147="f"),F147," ")</f>
        <v> </v>
      </c>
      <c r="U147" s="371"/>
    </row>
    <row r="148" customFormat="false" ht="12.75" hidden="false" customHeight="false" outlineLevel="0" collapsed="false">
      <c r="D148" s="371" t="str">
        <f aca="false">IF((F148&lt;&gt;0),"Enter Letter"," ")</f>
        <v> </v>
      </c>
      <c r="G148" s="180" t="str">
        <f aca="false">IF((D148="d"),F148," ")</f>
        <v> </v>
      </c>
      <c r="H148" s="180" t="str">
        <f aca="false">IF((D148="h"),F148," ")</f>
        <v> </v>
      </c>
      <c r="I148" s="180" t="str">
        <f aca="false">IF((D148="r"),F148," ")</f>
        <v> </v>
      </c>
      <c r="J148" s="180" t="str">
        <f aca="false">IF((D148="t"),F148," ")</f>
        <v> </v>
      </c>
      <c r="K148" s="180" t="str">
        <f aca="false">IF((D148="e"),F148," ")</f>
        <v> </v>
      </c>
      <c r="L148" s="180" t="str">
        <f aca="false">IF((D148="p"),F148," ")</f>
        <v> </v>
      </c>
      <c r="M148" s="180" t="str">
        <f aca="false">IF((D148="g"),F148," ")</f>
        <v> </v>
      </c>
      <c r="N148" s="180" t="str">
        <f aca="false">IF((D148="a"),F148," ")</f>
        <v> </v>
      </c>
      <c r="O148" s="180" t="str">
        <f aca="false">IF((D148="l"),F148," ")</f>
        <v> </v>
      </c>
      <c r="P148" s="180" t="str">
        <f aca="false">IF((D148="i"),F148," ")</f>
        <v> </v>
      </c>
      <c r="Q148" s="180" t="str">
        <f aca="false">IF((D148="b"),F148," ")</f>
        <v> </v>
      </c>
      <c r="R148" s="180" t="str">
        <f aca="false">IF((D148="o"),F148," ")</f>
        <v> </v>
      </c>
      <c r="S148" s="180" t="str">
        <f aca="false">IF((D148="f"),F148," ")</f>
        <v> </v>
      </c>
      <c r="U148" s="371"/>
    </row>
    <row r="149" customFormat="false" ht="12.75" hidden="false" customHeight="false" outlineLevel="0" collapsed="false">
      <c r="D149" s="371" t="str">
        <f aca="false">IF((F149&lt;&gt;0),"Enter Letter"," ")</f>
        <v> </v>
      </c>
      <c r="G149" s="180" t="str">
        <f aca="false">IF((D149="d"),F149," ")</f>
        <v> </v>
      </c>
      <c r="H149" s="180" t="str">
        <f aca="false">IF((D149="h"),F149," ")</f>
        <v> </v>
      </c>
      <c r="I149" s="180" t="str">
        <f aca="false">IF((D149="r"),F149," ")</f>
        <v> </v>
      </c>
      <c r="J149" s="180" t="str">
        <f aca="false">IF((D149="t"),F149," ")</f>
        <v> </v>
      </c>
      <c r="K149" s="180" t="str">
        <f aca="false">IF((D149="e"),F149," ")</f>
        <v> </v>
      </c>
      <c r="L149" s="180" t="str">
        <f aca="false">IF((D149="p"),F149," ")</f>
        <v> </v>
      </c>
      <c r="M149" s="180" t="str">
        <f aca="false">IF((D149="g"),F149," ")</f>
        <v> </v>
      </c>
      <c r="N149" s="180" t="str">
        <f aca="false">IF((D149="a"),F149," ")</f>
        <v> </v>
      </c>
      <c r="O149" s="180" t="str">
        <f aca="false">IF((D149="l"),F149," ")</f>
        <v> </v>
      </c>
      <c r="P149" s="180" t="str">
        <f aca="false">IF((D149="i"),F149," ")</f>
        <v> </v>
      </c>
      <c r="Q149" s="180" t="str">
        <f aca="false">IF((D149="b"),F149," ")</f>
        <v> </v>
      </c>
      <c r="R149" s="180" t="str">
        <f aca="false">IF((D149="o"),F149," ")</f>
        <v> </v>
      </c>
      <c r="S149" s="180" t="str">
        <f aca="false">IF((D149="f"),F149," ")</f>
        <v> </v>
      </c>
      <c r="U149" s="371"/>
    </row>
    <row r="150" customFormat="false" ht="12.75" hidden="false" customHeight="false" outlineLevel="0" collapsed="false">
      <c r="D150" s="371" t="str">
        <f aca="false">IF((F150&lt;&gt;0),"Enter Letter"," ")</f>
        <v> </v>
      </c>
      <c r="G150" s="180" t="str">
        <f aca="false">IF((D150="d"),F150," ")</f>
        <v> </v>
      </c>
      <c r="H150" s="180" t="str">
        <f aca="false">IF((D150="h"),F150," ")</f>
        <v> </v>
      </c>
      <c r="I150" s="180" t="str">
        <f aca="false">IF((D150="r"),F150," ")</f>
        <v> </v>
      </c>
      <c r="J150" s="180" t="str">
        <f aca="false">IF((D150="t"),F150," ")</f>
        <v> </v>
      </c>
      <c r="K150" s="180" t="str">
        <f aca="false">IF((D150="e"),F150," ")</f>
        <v> </v>
      </c>
      <c r="L150" s="180" t="str">
        <f aca="false">IF((D150="p"),F150," ")</f>
        <v> </v>
      </c>
      <c r="M150" s="180" t="str">
        <f aca="false">IF((D150="g"),F150," ")</f>
        <v> </v>
      </c>
      <c r="N150" s="180" t="str">
        <f aca="false">IF((D150="a"),F150," ")</f>
        <v> </v>
      </c>
      <c r="O150" s="180" t="str">
        <f aca="false">IF((D150="l"),F150," ")</f>
        <v> </v>
      </c>
      <c r="P150" s="180" t="str">
        <f aca="false">IF((D150="i"),F150," ")</f>
        <v> </v>
      </c>
      <c r="Q150" s="180" t="str">
        <f aca="false">IF((D150="b"),F150," ")</f>
        <v> </v>
      </c>
      <c r="R150" s="180" t="str">
        <f aca="false">IF((D150="o"),F150," ")</f>
        <v> </v>
      </c>
      <c r="S150" s="180" t="str">
        <f aca="false">IF((D150="f"),F150," ")</f>
        <v> </v>
      </c>
      <c r="U150" s="371"/>
    </row>
    <row r="151" customFormat="false" ht="12.75" hidden="false" customHeight="false" outlineLevel="0" collapsed="false">
      <c r="D151" s="371" t="str">
        <f aca="false">IF((F151&lt;&gt;0),"Enter Letter"," ")</f>
        <v> </v>
      </c>
      <c r="G151" s="180" t="str">
        <f aca="false">IF((D151="d"),F151," ")</f>
        <v> </v>
      </c>
      <c r="H151" s="180" t="str">
        <f aca="false">IF((D151="h"),F151," ")</f>
        <v> </v>
      </c>
      <c r="I151" s="180" t="str">
        <f aca="false">IF((D151="r"),F151," ")</f>
        <v> </v>
      </c>
      <c r="J151" s="180" t="str">
        <f aca="false">IF((D151="t"),F151," ")</f>
        <v> </v>
      </c>
      <c r="K151" s="180" t="str">
        <f aca="false">IF((D151="e"),F151," ")</f>
        <v> </v>
      </c>
      <c r="L151" s="180" t="str">
        <f aca="false">IF((D151="p"),F151," ")</f>
        <v> </v>
      </c>
      <c r="M151" s="180" t="str">
        <f aca="false">IF((D151="g"),F151," ")</f>
        <v> </v>
      </c>
      <c r="N151" s="180" t="str">
        <f aca="false">IF((D151="a"),F151," ")</f>
        <v> </v>
      </c>
      <c r="O151" s="180" t="str">
        <f aca="false">IF((D151="l"),F151," ")</f>
        <v> </v>
      </c>
      <c r="P151" s="180" t="str">
        <f aca="false">IF((D151="i"),F151," ")</f>
        <v> </v>
      </c>
      <c r="Q151" s="180" t="str">
        <f aca="false">IF((D151="b"),F151," ")</f>
        <v> </v>
      </c>
      <c r="R151" s="180" t="str">
        <f aca="false">IF((D151="o"),F151," ")</f>
        <v> </v>
      </c>
      <c r="S151" s="180" t="str">
        <f aca="false">IF((D151="f"),F151," ")</f>
        <v> </v>
      </c>
      <c r="U151" s="371"/>
    </row>
    <row r="152" customFormat="false" ht="12.75" hidden="false" customHeight="false" outlineLevel="0" collapsed="false">
      <c r="D152" s="371" t="str">
        <f aca="false">IF((F152&lt;&gt;0),"Enter Letter"," ")</f>
        <v> </v>
      </c>
      <c r="G152" s="180" t="str">
        <f aca="false">IF((D152="d"),F152," ")</f>
        <v> </v>
      </c>
      <c r="H152" s="180" t="str">
        <f aca="false">IF((D152="h"),F152," ")</f>
        <v> </v>
      </c>
      <c r="I152" s="180" t="str">
        <f aca="false">IF((D152="r"),F152," ")</f>
        <v> </v>
      </c>
      <c r="J152" s="180" t="str">
        <f aca="false">IF((D152="t"),F152," ")</f>
        <v> </v>
      </c>
      <c r="K152" s="180" t="str">
        <f aca="false">IF((D152="e"),F152," ")</f>
        <v> </v>
      </c>
      <c r="L152" s="180" t="str">
        <f aca="false">IF((D152="p"),F152," ")</f>
        <v> </v>
      </c>
      <c r="M152" s="180" t="str">
        <f aca="false">IF((D152="g"),F152," ")</f>
        <v> </v>
      </c>
      <c r="N152" s="180" t="str">
        <f aca="false">IF((D152="a"),F152," ")</f>
        <v> </v>
      </c>
      <c r="O152" s="180" t="str">
        <f aca="false">IF((D152="l"),F152," ")</f>
        <v> </v>
      </c>
      <c r="P152" s="180" t="str">
        <f aca="false">IF((D152="i"),F152," ")</f>
        <v> </v>
      </c>
      <c r="Q152" s="180" t="str">
        <f aca="false">IF((D152="b"),F152," ")</f>
        <v> </v>
      </c>
      <c r="R152" s="180" t="str">
        <f aca="false">IF((D152="o"),F152," ")</f>
        <v> </v>
      </c>
      <c r="S152" s="180" t="str">
        <f aca="false">IF((D152="f"),F152," ")</f>
        <v> </v>
      </c>
      <c r="U152" s="371"/>
    </row>
    <row r="153" customFormat="false" ht="12.75" hidden="false" customHeight="false" outlineLevel="0" collapsed="false">
      <c r="D153" s="371" t="str">
        <f aca="false">IF((F153&lt;&gt;0),"Enter Letter"," ")</f>
        <v> </v>
      </c>
      <c r="G153" s="180" t="str">
        <f aca="false">IF((D153="d"),F153," ")</f>
        <v> </v>
      </c>
      <c r="H153" s="180" t="str">
        <f aca="false">IF((D153="h"),F153," ")</f>
        <v> </v>
      </c>
      <c r="I153" s="180" t="str">
        <f aca="false">IF((D153="r"),F153," ")</f>
        <v> </v>
      </c>
      <c r="J153" s="180" t="str">
        <f aca="false">IF((D153="t"),F153," ")</f>
        <v> </v>
      </c>
      <c r="K153" s="180" t="str">
        <f aca="false">IF((D153="e"),F153," ")</f>
        <v> </v>
      </c>
      <c r="L153" s="180" t="str">
        <f aca="false">IF((D153="p"),F153," ")</f>
        <v> </v>
      </c>
      <c r="M153" s="180" t="str">
        <f aca="false">IF((D153="g"),F153," ")</f>
        <v> </v>
      </c>
      <c r="N153" s="180" t="str">
        <f aca="false">IF((D153="a"),F153," ")</f>
        <v> </v>
      </c>
      <c r="O153" s="180" t="str">
        <f aca="false">IF((D153="l"),F153," ")</f>
        <v> </v>
      </c>
      <c r="P153" s="180" t="str">
        <f aca="false">IF((D153="i"),F153," ")</f>
        <v> </v>
      </c>
      <c r="Q153" s="180" t="str">
        <f aca="false">IF((D153="b"),F153," ")</f>
        <v> </v>
      </c>
      <c r="R153" s="180" t="str">
        <f aca="false">IF((D153="o"),F153," ")</f>
        <v> </v>
      </c>
      <c r="S153" s="180" t="str">
        <f aca="false">IF((D153="f"),F153," ")</f>
        <v> </v>
      </c>
      <c r="U153" s="371"/>
    </row>
    <row r="154" customFormat="false" ht="12.75" hidden="false" customHeight="false" outlineLevel="0" collapsed="false">
      <c r="D154" s="371" t="str">
        <f aca="false">IF((F154&lt;&gt;0),"Enter Letter"," ")</f>
        <v> </v>
      </c>
      <c r="G154" s="180" t="str">
        <f aca="false">IF((D154="d"),F154," ")</f>
        <v> </v>
      </c>
      <c r="H154" s="180" t="str">
        <f aca="false">IF((D154="h"),F154," ")</f>
        <v> </v>
      </c>
      <c r="I154" s="180" t="str">
        <f aca="false">IF((D154="r"),F154," ")</f>
        <v> </v>
      </c>
      <c r="J154" s="180" t="str">
        <f aca="false">IF((D154="t"),F154," ")</f>
        <v> </v>
      </c>
      <c r="K154" s="180" t="str">
        <f aca="false">IF((D154="e"),F154," ")</f>
        <v> </v>
      </c>
      <c r="L154" s="180" t="str">
        <f aca="false">IF((D154="p"),F154," ")</f>
        <v> </v>
      </c>
      <c r="M154" s="180" t="str">
        <f aca="false">IF((D154="g"),F154," ")</f>
        <v> </v>
      </c>
      <c r="N154" s="180" t="str">
        <f aca="false">IF((D154="a"),F154," ")</f>
        <v> </v>
      </c>
      <c r="O154" s="180" t="str">
        <f aca="false">IF((D154="l"),F154," ")</f>
        <v> </v>
      </c>
      <c r="P154" s="180" t="str">
        <f aca="false">IF((D154="i"),F154," ")</f>
        <v> </v>
      </c>
      <c r="Q154" s="180" t="str">
        <f aca="false">IF((D154="b"),F154," ")</f>
        <v> </v>
      </c>
      <c r="R154" s="180" t="str">
        <f aca="false">IF((D154="o"),F154," ")</f>
        <v> </v>
      </c>
      <c r="S154" s="180" t="str">
        <f aca="false">IF((D154="f"),F154," ")</f>
        <v> </v>
      </c>
      <c r="U154" s="371"/>
    </row>
    <row r="155" customFormat="false" ht="12.75" hidden="false" customHeight="false" outlineLevel="0" collapsed="false">
      <c r="D155" s="371" t="str">
        <f aca="false">IF((F155&lt;&gt;0),"Enter Letter"," ")</f>
        <v> </v>
      </c>
      <c r="G155" s="180" t="str">
        <f aca="false">IF((D155="d"),F155," ")</f>
        <v> </v>
      </c>
      <c r="H155" s="180" t="str">
        <f aca="false">IF((D155="h"),F155," ")</f>
        <v> </v>
      </c>
      <c r="I155" s="180" t="str">
        <f aca="false">IF((D155="r"),F155," ")</f>
        <v> </v>
      </c>
      <c r="J155" s="180" t="str">
        <f aca="false">IF((D155="t"),F155," ")</f>
        <v> </v>
      </c>
      <c r="K155" s="180" t="str">
        <f aca="false">IF((D155="e"),F155," ")</f>
        <v> </v>
      </c>
      <c r="L155" s="180" t="str">
        <f aca="false">IF((D155="p"),F155," ")</f>
        <v> </v>
      </c>
      <c r="M155" s="180" t="str">
        <f aca="false">IF((D155="g"),F155," ")</f>
        <v> </v>
      </c>
      <c r="N155" s="180" t="str">
        <f aca="false">IF((D155="a"),F155," ")</f>
        <v> </v>
      </c>
      <c r="O155" s="180" t="str">
        <f aca="false">IF((D155="l"),F155," ")</f>
        <v> </v>
      </c>
      <c r="P155" s="180" t="str">
        <f aca="false">IF((D155="i"),F155," ")</f>
        <v> </v>
      </c>
      <c r="Q155" s="180" t="str">
        <f aca="false">IF((D155="b"),F155," ")</f>
        <v> </v>
      </c>
      <c r="R155" s="180" t="str">
        <f aca="false">IF((D155="o"),F155," ")</f>
        <v> </v>
      </c>
      <c r="S155" s="180" t="str">
        <f aca="false">IF((D155="f"),F155," ")</f>
        <v> </v>
      </c>
      <c r="U155" s="371"/>
    </row>
    <row r="156" customFormat="false" ht="12.75" hidden="false" customHeight="false" outlineLevel="0" collapsed="false">
      <c r="D156" s="371" t="str">
        <f aca="false">IF((F156&lt;&gt;0),"Enter Letter"," ")</f>
        <v> </v>
      </c>
      <c r="G156" s="180" t="str">
        <f aca="false">IF((D156="d"),F156," ")</f>
        <v> </v>
      </c>
      <c r="H156" s="180" t="str">
        <f aca="false">IF((D156="h"),F156," ")</f>
        <v> </v>
      </c>
      <c r="I156" s="180" t="str">
        <f aca="false">IF((D156="r"),F156," ")</f>
        <v> </v>
      </c>
      <c r="J156" s="180" t="str">
        <f aca="false">IF((D156="t"),F156," ")</f>
        <v> </v>
      </c>
      <c r="K156" s="180" t="str">
        <f aca="false">IF((D156="e"),F156," ")</f>
        <v> </v>
      </c>
      <c r="L156" s="180" t="str">
        <f aca="false">IF((D156="p"),F156," ")</f>
        <v> </v>
      </c>
      <c r="M156" s="180" t="str">
        <f aca="false">IF((D156="g"),F156," ")</f>
        <v> </v>
      </c>
      <c r="N156" s="180" t="str">
        <f aca="false">IF((D156="a"),F156," ")</f>
        <v> </v>
      </c>
      <c r="O156" s="180" t="str">
        <f aca="false">IF((D156="l"),F156," ")</f>
        <v> </v>
      </c>
      <c r="P156" s="180" t="str">
        <f aca="false">IF((D156="i"),F156," ")</f>
        <v> </v>
      </c>
      <c r="Q156" s="180" t="str">
        <f aca="false">IF((D156="b"),F156," ")</f>
        <v> </v>
      </c>
      <c r="R156" s="180" t="str">
        <f aca="false">IF((D156="o"),F156," ")</f>
        <v> </v>
      </c>
      <c r="S156" s="180" t="str">
        <f aca="false">IF((D156="f"),F156," ")</f>
        <v> </v>
      </c>
      <c r="U156" s="371"/>
    </row>
    <row r="157" customFormat="false" ht="12.75" hidden="false" customHeight="false" outlineLevel="0" collapsed="false">
      <c r="D157" s="371" t="str">
        <f aca="false">IF((F157&lt;&gt;0),"Enter Letter"," ")</f>
        <v> </v>
      </c>
      <c r="G157" s="180" t="str">
        <f aca="false">IF((D157="d"),F157," ")</f>
        <v> </v>
      </c>
      <c r="H157" s="180" t="str">
        <f aca="false">IF((D157="h"),F157," ")</f>
        <v> </v>
      </c>
      <c r="I157" s="180" t="str">
        <f aca="false">IF((D157="r"),F157," ")</f>
        <v> </v>
      </c>
      <c r="J157" s="180" t="str">
        <f aca="false">IF((D157="t"),F157," ")</f>
        <v> </v>
      </c>
      <c r="K157" s="180" t="str">
        <f aca="false">IF((D157="e"),F157," ")</f>
        <v> </v>
      </c>
      <c r="L157" s="180" t="str">
        <f aca="false">IF((D157="p"),F157," ")</f>
        <v> </v>
      </c>
      <c r="M157" s="180" t="str">
        <f aca="false">IF((D157="g"),F157," ")</f>
        <v> </v>
      </c>
      <c r="N157" s="180" t="str">
        <f aca="false">IF((D157="a"),F157," ")</f>
        <v> </v>
      </c>
      <c r="O157" s="180" t="str">
        <f aca="false">IF((D157="l"),F157," ")</f>
        <v> </v>
      </c>
      <c r="P157" s="180" t="str">
        <f aca="false">IF((D157="i"),F157," ")</f>
        <v> </v>
      </c>
      <c r="Q157" s="180" t="str">
        <f aca="false">IF((D157="b"),F157," ")</f>
        <v> </v>
      </c>
      <c r="R157" s="180" t="str">
        <f aca="false">IF((D157="o"),F157," ")</f>
        <v> </v>
      </c>
      <c r="S157" s="180" t="str">
        <f aca="false">IF((D157="f"),F157," ")</f>
        <v> </v>
      </c>
      <c r="U157" s="371"/>
    </row>
    <row r="158" customFormat="false" ht="12.75" hidden="false" customHeight="false" outlineLevel="0" collapsed="false">
      <c r="D158" s="371" t="str">
        <f aca="false">IF((F158&lt;&gt;0),"Enter Letter"," ")</f>
        <v> </v>
      </c>
      <c r="G158" s="180" t="str">
        <f aca="false">IF((D158="d"),F158," ")</f>
        <v> </v>
      </c>
      <c r="H158" s="180" t="str">
        <f aca="false">IF((D158="h"),F158," ")</f>
        <v> </v>
      </c>
      <c r="I158" s="180" t="str">
        <f aca="false">IF((D158="r"),F158," ")</f>
        <v> </v>
      </c>
      <c r="J158" s="180" t="str">
        <f aca="false">IF((D158="t"),F158," ")</f>
        <v> </v>
      </c>
      <c r="K158" s="180" t="str">
        <f aca="false">IF((D158="e"),F158," ")</f>
        <v> </v>
      </c>
      <c r="L158" s="180" t="str">
        <f aca="false">IF((D158="p"),F158," ")</f>
        <v> </v>
      </c>
      <c r="M158" s="180" t="str">
        <f aca="false">IF((D158="g"),F158," ")</f>
        <v> </v>
      </c>
      <c r="N158" s="180" t="str">
        <f aca="false">IF((D158="a"),F158," ")</f>
        <v> </v>
      </c>
      <c r="O158" s="180" t="str">
        <f aca="false">IF((D158="l"),F158," ")</f>
        <v> </v>
      </c>
      <c r="P158" s="180" t="str">
        <f aca="false">IF((D158="i"),F158," ")</f>
        <v> </v>
      </c>
      <c r="Q158" s="180" t="str">
        <f aca="false">IF((D158="b"),F158," ")</f>
        <v> </v>
      </c>
      <c r="R158" s="180" t="str">
        <f aca="false">IF((D158="o"),F158," ")</f>
        <v> </v>
      </c>
      <c r="S158" s="180" t="str">
        <f aca="false">IF((D158="f"),F158," ")</f>
        <v> </v>
      </c>
      <c r="U158" s="371"/>
    </row>
    <row r="159" customFormat="false" ht="12.75" hidden="false" customHeight="false" outlineLevel="0" collapsed="false">
      <c r="D159" s="371" t="str">
        <f aca="false">IF((F159&lt;&gt;0),"Enter Letter"," ")</f>
        <v> </v>
      </c>
      <c r="G159" s="180" t="str">
        <f aca="false">IF((D159="d"),F159," ")</f>
        <v> </v>
      </c>
      <c r="H159" s="180" t="str">
        <f aca="false">IF((D159="h"),F159," ")</f>
        <v> </v>
      </c>
      <c r="I159" s="180" t="str">
        <f aca="false">IF((D159="r"),F159," ")</f>
        <v> </v>
      </c>
      <c r="J159" s="180" t="str">
        <f aca="false">IF((D159="t"),F159," ")</f>
        <v> </v>
      </c>
      <c r="K159" s="180" t="str">
        <f aca="false">IF((D159="e"),F159," ")</f>
        <v> </v>
      </c>
      <c r="L159" s="180" t="str">
        <f aca="false">IF((D159="p"),F159," ")</f>
        <v> </v>
      </c>
      <c r="M159" s="180" t="str">
        <f aca="false">IF((D159="g"),F159," ")</f>
        <v> </v>
      </c>
      <c r="N159" s="180" t="str">
        <f aca="false">IF((D159="a"),F159," ")</f>
        <v> </v>
      </c>
      <c r="O159" s="180" t="str">
        <f aca="false">IF((D159="l"),F159," ")</f>
        <v> </v>
      </c>
      <c r="P159" s="180" t="str">
        <f aca="false">IF((D159="i"),F159," ")</f>
        <v> </v>
      </c>
      <c r="Q159" s="180" t="str">
        <f aca="false">IF((D159="b"),F159," ")</f>
        <v> </v>
      </c>
      <c r="R159" s="180" t="str">
        <f aca="false">IF((D159="o"),F159," ")</f>
        <v> </v>
      </c>
      <c r="S159" s="180" t="str">
        <f aca="false">IF((D159="f"),F159," ")</f>
        <v> </v>
      </c>
      <c r="U159" s="371"/>
    </row>
    <row r="160" customFormat="false" ht="12.75" hidden="false" customHeight="false" outlineLevel="0" collapsed="false">
      <c r="D160" s="371" t="str">
        <f aca="false">IF((F160&lt;&gt;0),"Enter Letter"," ")</f>
        <v> </v>
      </c>
      <c r="G160" s="180" t="str">
        <f aca="false">IF((D160="d"),F160," ")</f>
        <v> </v>
      </c>
      <c r="H160" s="180" t="str">
        <f aca="false">IF((D160="h"),F160," ")</f>
        <v> </v>
      </c>
      <c r="I160" s="180" t="str">
        <f aca="false">IF((D160="r"),F160," ")</f>
        <v> </v>
      </c>
      <c r="J160" s="180" t="str">
        <f aca="false">IF((D160="t"),F160," ")</f>
        <v> </v>
      </c>
      <c r="K160" s="180" t="str">
        <f aca="false">IF((D160="e"),F160," ")</f>
        <v> </v>
      </c>
      <c r="L160" s="180" t="str">
        <f aca="false">IF((D160="p"),F160," ")</f>
        <v> </v>
      </c>
      <c r="M160" s="180" t="str">
        <f aca="false">IF((D160="g"),F160," ")</f>
        <v> </v>
      </c>
      <c r="N160" s="180" t="str">
        <f aca="false">IF((D160="a"),F160," ")</f>
        <v> </v>
      </c>
      <c r="O160" s="180" t="str">
        <f aca="false">IF((D160="l"),F160," ")</f>
        <v> </v>
      </c>
      <c r="P160" s="180" t="str">
        <f aca="false">IF((D160="i"),F160," ")</f>
        <v> </v>
      </c>
      <c r="Q160" s="180" t="str">
        <f aca="false">IF((D160="b"),F160," ")</f>
        <v> </v>
      </c>
      <c r="R160" s="180" t="str">
        <f aca="false">IF((D160="o"),F160," ")</f>
        <v> </v>
      </c>
      <c r="S160" s="180" t="str">
        <f aca="false">IF((D160="f"),F160," ")</f>
        <v> </v>
      </c>
      <c r="U160" s="371"/>
    </row>
    <row r="161" customFormat="false" ht="12.75" hidden="false" customHeight="false" outlineLevel="0" collapsed="false">
      <c r="D161" s="371" t="str">
        <f aca="false">IF((F161&lt;&gt;0),"Enter Letter"," ")</f>
        <v> </v>
      </c>
      <c r="G161" s="180" t="str">
        <f aca="false">IF((D161="d"),F161," ")</f>
        <v> </v>
      </c>
      <c r="H161" s="180" t="str">
        <f aca="false">IF((D161="h"),F161," ")</f>
        <v> </v>
      </c>
      <c r="I161" s="180" t="str">
        <f aca="false">IF((D161="r"),F161," ")</f>
        <v> </v>
      </c>
      <c r="J161" s="180" t="str">
        <f aca="false">IF((D161="t"),F161," ")</f>
        <v> </v>
      </c>
      <c r="K161" s="180" t="str">
        <f aca="false">IF((D161="e"),F161," ")</f>
        <v> </v>
      </c>
      <c r="L161" s="180" t="str">
        <f aca="false">IF((D161="p"),F161," ")</f>
        <v> </v>
      </c>
      <c r="M161" s="180" t="str">
        <f aca="false">IF((D161="g"),F161," ")</f>
        <v> </v>
      </c>
      <c r="N161" s="180" t="str">
        <f aca="false">IF((D161="a"),F161," ")</f>
        <v> </v>
      </c>
      <c r="O161" s="180" t="str">
        <f aca="false">IF((D161="l"),F161," ")</f>
        <v> </v>
      </c>
      <c r="P161" s="180" t="str">
        <f aca="false">IF((D161="i"),F161," ")</f>
        <v> </v>
      </c>
      <c r="Q161" s="180" t="str">
        <f aca="false">IF((D161="b"),F161," ")</f>
        <v> </v>
      </c>
      <c r="R161" s="180" t="str">
        <f aca="false">IF((D161="o"),F161," ")</f>
        <v> </v>
      </c>
      <c r="S161" s="180" t="str">
        <f aca="false">IF((D161="f"),F161," ")</f>
        <v> </v>
      </c>
      <c r="U161" s="371"/>
    </row>
    <row r="162" customFormat="false" ht="12.75" hidden="false" customHeight="false" outlineLevel="0" collapsed="false">
      <c r="D162" s="371" t="str">
        <f aca="false">IF((F162&lt;&gt;0),"Enter Letter"," ")</f>
        <v> </v>
      </c>
      <c r="G162" s="180" t="str">
        <f aca="false">IF((D162="d"),F162," ")</f>
        <v> </v>
      </c>
      <c r="H162" s="180" t="str">
        <f aca="false">IF((D162="h"),F162," ")</f>
        <v> </v>
      </c>
      <c r="I162" s="180" t="str">
        <f aca="false">IF((D162="r"),F162," ")</f>
        <v> </v>
      </c>
      <c r="J162" s="180" t="str">
        <f aca="false">IF((D162="t"),F162," ")</f>
        <v> </v>
      </c>
      <c r="K162" s="180" t="str">
        <f aca="false">IF((D162="e"),F162," ")</f>
        <v> </v>
      </c>
      <c r="L162" s="180" t="str">
        <f aca="false">IF((D162="p"),F162," ")</f>
        <v> </v>
      </c>
      <c r="M162" s="180" t="str">
        <f aca="false">IF((D162="g"),F162," ")</f>
        <v> </v>
      </c>
      <c r="N162" s="180" t="str">
        <f aca="false">IF((D162="a"),F162," ")</f>
        <v> </v>
      </c>
      <c r="O162" s="180" t="str">
        <f aca="false">IF((D162="l"),F162," ")</f>
        <v> </v>
      </c>
      <c r="P162" s="180" t="str">
        <f aca="false">IF((D162="i"),F162," ")</f>
        <v> </v>
      </c>
      <c r="Q162" s="180" t="str">
        <f aca="false">IF((D162="b"),F162," ")</f>
        <v> </v>
      </c>
      <c r="R162" s="180" t="str">
        <f aca="false">IF((D162="o"),F162," ")</f>
        <v> </v>
      </c>
      <c r="S162" s="180" t="str">
        <f aca="false">IF((D162="f"),F162," ")</f>
        <v> </v>
      </c>
      <c r="U162" s="371"/>
    </row>
    <row r="163" customFormat="false" ht="12.75" hidden="false" customHeight="false" outlineLevel="0" collapsed="false">
      <c r="D163" s="371" t="str">
        <f aca="false">IF((F163&lt;&gt;0),"Enter Letter"," ")</f>
        <v> </v>
      </c>
      <c r="G163" s="180" t="str">
        <f aca="false">IF((D163="d"),F163," ")</f>
        <v> </v>
      </c>
      <c r="H163" s="180" t="str">
        <f aca="false">IF((D163="h"),F163," ")</f>
        <v> </v>
      </c>
      <c r="I163" s="180" t="str">
        <f aca="false">IF((D163="r"),F163," ")</f>
        <v> </v>
      </c>
      <c r="J163" s="180" t="str">
        <f aca="false">IF((D163="t"),F163," ")</f>
        <v> </v>
      </c>
      <c r="K163" s="180" t="str">
        <f aca="false">IF((D163="e"),F163," ")</f>
        <v> </v>
      </c>
      <c r="L163" s="180" t="str">
        <f aca="false">IF((D163="p"),F163," ")</f>
        <v> </v>
      </c>
      <c r="M163" s="180" t="str">
        <f aca="false">IF((D163="g"),F163," ")</f>
        <v> </v>
      </c>
      <c r="N163" s="180" t="str">
        <f aca="false">IF((D163="a"),F163," ")</f>
        <v> </v>
      </c>
      <c r="O163" s="180" t="str">
        <f aca="false">IF((D163="l"),F163," ")</f>
        <v> </v>
      </c>
      <c r="P163" s="180" t="str">
        <f aca="false">IF((D163="i"),F163," ")</f>
        <v> </v>
      </c>
      <c r="Q163" s="180" t="str">
        <f aca="false">IF((D163="b"),F163," ")</f>
        <v> </v>
      </c>
      <c r="R163" s="180" t="str">
        <f aca="false">IF((D163="o"),F163," ")</f>
        <v> </v>
      </c>
      <c r="S163" s="180" t="str">
        <f aca="false">IF((D163="f"),F163," ")</f>
        <v> </v>
      </c>
      <c r="U163" s="371"/>
    </row>
    <row r="164" customFormat="false" ht="12.75" hidden="false" customHeight="false" outlineLevel="0" collapsed="false">
      <c r="D164" s="371" t="str">
        <f aca="false">IF((F164&lt;&gt;0),"Enter Letter"," ")</f>
        <v> </v>
      </c>
      <c r="G164" s="180" t="str">
        <f aca="false">IF((D164="d"),F164," ")</f>
        <v> </v>
      </c>
      <c r="H164" s="180" t="str">
        <f aca="false">IF((D164="h"),F164," ")</f>
        <v> </v>
      </c>
      <c r="I164" s="180" t="str">
        <f aca="false">IF((D164="r"),F164," ")</f>
        <v> </v>
      </c>
      <c r="J164" s="180" t="str">
        <f aca="false">IF((D164="t"),F164," ")</f>
        <v> </v>
      </c>
      <c r="K164" s="180" t="str">
        <f aca="false">IF((D164="e"),F164," ")</f>
        <v> </v>
      </c>
      <c r="L164" s="180" t="str">
        <f aca="false">IF((D164="p"),F164," ")</f>
        <v> </v>
      </c>
      <c r="M164" s="180" t="str">
        <f aca="false">IF((D164="g"),F164," ")</f>
        <v> </v>
      </c>
      <c r="N164" s="180" t="str">
        <f aca="false">IF((D164="a"),F164," ")</f>
        <v> </v>
      </c>
      <c r="O164" s="180" t="str">
        <f aca="false">IF((D164="l"),F164," ")</f>
        <v> </v>
      </c>
      <c r="P164" s="180" t="str">
        <f aca="false">IF((D164="i"),F164," ")</f>
        <v> </v>
      </c>
      <c r="Q164" s="180" t="str">
        <f aca="false">IF((D164="b"),F164," ")</f>
        <v> </v>
      </c>
      <c r="R164" s="180" t="str">
        <f aca="false">IF((D164="o"),F164," ")</f>
        <v> </v>
      </c>
      <c r="S164" s="180" t="str">
        <f aca="false">IF((D164="f"),F164," ")</f>
        <v> </v>
      </c>
      <c r="U164" s="371"/>
    </row>
    <row r="165" customFormat="false" ht="12.75" hidden="false" customHeight="false" outlineLevel="0" collapsed="false">
      <c r="D165" s="371" t="str">
        <f aca="false">IF((F165&lt;&gt;0),"Enter Letter"," ")</f>
        <v> </v>
      </c>
      <c r="G165" s="180" t="str">
        <f aca="false">IF((D165="d"),F165," ")</f>
        <v> </v>
      </c>
      <c r="H165" s="180" t="str">
        <f aca="false">IF((D165="h"),F165," ")</f>
        <v> </v>
      </c>
      <c r="I165" s="180" t="str">
        <f aca="false">IF((D165="r"),F165," ")</f>
        <v> </v>
      </c>
      <c r="J165" s="180" t="str">
        <f aca="false">IF((D165="t"),F165," ")</f>
        <v> </v>
      </c>
      <c r="K165" s="180" t="str">
        <f aca="false">IF((D165="e"),F165," ")</f>
        <v> </v>
      </c>
      <c r="L165" s="180" t="str">
        <f aca="false">IF((D165="p"),F165," ")</f>
        <v> </v>
      </c>
      <c r="M165" s="180" t="str">
        <f aca="false">IF((D165="g"),F165," ")</f>
        <v> </v>
      </c>
      <c r="N165" s="180" t="str">
        <f aca="false">IF((D165="a"),F165," ")</f>
        <v> </v>
      </c>
      <c r="O165" s="180" t="str">
        <f aca="false">IF((D165="l"),F165," ")</f>
        <v> </v>
      </c>
      <c r="P165" s="180" t="str">
        <f aca="false">IF((D165="i"),F165," ")</f>
        <v> </v>
      </c>
      <c r="Q165" s="180" t="str">
        <f aca="false">IF((D165="b"),F165," ")</f>
        <v> </v>
      </c>
      <c r="R165" s="180" t="str">
        <f aca="false">IF((D165="o"),F165," ")</f>
        <v> </v>
      </c>
      <c r="S165" s="180" t="str">
        <f aca="false">IF((D165="f"),F165," ")</f>
        <v> </v>
      </c>
      <c r="U165" s="371"/>
    </row>
    <row r="166" customFormat="false" ht="12.75" hidden="false" customHeight="false" outlineLevel="0" collapsed="false">
      <c r="D166" s="371" t="str">
        <f aca="false">IF((F166&lt;&gt;0),"Enter Letter"," ")</f>
        <v> </v>
      </c>
      <c r="G166" s="180" t="str">
        <f aca="false">IF((D166="d"),F166," ")</f>
        <v> </v>
      </c>
      <c r="H166" s="180" t="str">
        <f aca="false">IF((D166="h"),F166," ")</f>
        <v> </v>
      </c>
      <c r="I166" s="180" t="str">
        <f aca="false">IF((D166="r"),F166," ")</f>
        <v> </v>
      </c>
      <c r="J166" s="180" t="str">
        <f aca="false">IF((D166="t"),F166," ")</f>
        <v> </v>
      </c>
      <c r="K166" s="180" t="str">
        <f aca="false">IF((D166="e"),F166," ")</f>
        <v> </v>
      </c>
      <c r="L166" s="180" t="str">
        <f aca="false">IF((D166="p"),F166," ")</f>
        <v> </v>
      </c>
      <c r="M166" s="180" t="str">
        <f aca="false">IF((D166="g"),F166," ")</f>
        <v> </v>
      </c>
      <c r="N166" s="180" t="str">
        <f aca="false">IF((D166="a"),F166," ")</f>
        <v> </v>
      </c>
      <c r="O166" s="180" t="str">
        <f aca="false">IF((D166="l"),F166," ")</f>
        <v> </v>
      </c>
      <c r="P166" s="180" t="str">
        <f aca="false">IF((D166="i"),F166," ")</f>
        <v> </v>
      </c>
      <c r="Q166" s="180" t="str">
        <f aca="false">IF((D166="b"),F166," ")</f>
        <v> </v>
      </c>
      <c r="R166" s="180" t="str">
        <f aca="false">IF((D166="o"),F166," ")</f>
        <v> </v>
      </c>
      <c r="S166" s="180" t="str">
        <f aca="false">IF((D166="f"),F166," ")</f>
        <v> </v>
      </c>
      <c r="U166" s="371"/>
    </row>
    <row r="167" customFormat="false" ht="12.75" hidden="false" customHeight="false" outlineLevel="0" collapsed="false">
      <c r="D167" s="371" t="str">
        <f aca="false">IF((F167&lt;&gt;0),"Enter Letter"," ")</f>
        <v> </v>
      </c>
      <c r="G167" s="180" t="str">
        <f aca="false">IF((D167="d"),F167," ")</f>
        <v> </v>
      </c>
      <c r="H167" s="180" t="str">
        <f aca="false">IF((D167="h"),F167," ")</f>
        <v> </v>
      </c>
      <c r="I167" s="180" t="str">
        <f aca="false">IF((D167="r"),F167," ")</f>
        <v> </v>
      </c>
      <c r="J167" s="180" t="str">
        <f aca="false">IF((D167="t"),F167," ")</f>
        <v> </v>
      </c>
      <c r="K167" s="180" t="str">
        <f aca="false">IF((D167="e"),F167," ")</f>
        <v> </v>
      </c>
      <c r="L167" s="180" t="str">
        <f aca="false">IF((D167="p"),F167," ")</f>
        <v> </v>
      </c>
      <c r="M167" s="180" t="str">
        <f aca="false">IF((D167="g"),F167," ")</f>
        <v> </v>
      </c>
      <c r="N167" s="180" t="str">
        <f aca="false">IF((D167="a"),F167," ")</f>
        <v> </v>
      </c>
      <c r="O167" s="180" t="str">
        <f aca="false">IF((D167="l"),F167," ")</f>
        <v> </v>
      </c>
      <c r="P167" s="180" t="str">
        <f aca="false">IF((D167="i"),F167," ")</f>
        <v> </v>
      </c>
      <c r="Q167" s="180" t="str">
        <f aca="false">IF((D167="b"),F167," ")</f>
        <v> </v>
      </c>
      <c r="R167" s="180" t="str">
        <f aca="false">IF((D167="o"),F167," ")</f>
        <v> </v>
      </c>
      <c r="S167" s="180" t="str">
        <f aca="false">IF((D167="f"),F167," ")</f>
        <v> </v>
      </c>
      <c r="U167" s="371"/>
    </row>
    <row r="168" customFormat="false" ht="12.75" hidden="false" customHeight="false" outlineLevel="0" collapsed="false">
      <c r="D168" s="371" t="str">
        <f aca="false">IF((F168&lt;&gt;0),"Enter Letter"," ")</f>
        <v> </v>
      </c>
      <c r="G168" s="180" t="str">
        <f aca="false">IF((D168="d"),F168," ")</f>
        <v> </v>
      </c>
      <c r="H168" s="180" t="str">
        <f aca="false">IF((D168="h"),F168," ")</f>
        <v> </v>
      </c>
      <c r="I168" s="180" t="str">
        <f aca="false">IF((D168="r"),F168," ")</f>
        <v> </v>
      </c>
      <c r="J168" s="180" t="str">
        <f aca="false">IF((D168="t"),F168," ")</f>
        <v> </v>
      </c>
      <c r="K168" s="180" t="str">
        <f aca="false">IF((D168="e"),F168," ")</f>
        <v> </v>
      </c>
      <c r="L168" s="180" t="str">
        <f aca="false">IF((D168="p"),F168," ")</f>
        <v> </v>
      </c>
      <c r="M168" s="180" t="str">
        <f aca="false">IF((D168="g"),F168," ")</f>
        <v> </v>
      </c>
      <c r="N168" s="180" t="str">
        <f aca="false">IF((D168="a"),F168," ")</f>
        <v> </v>
      </c>
      <c r="O168" s="180" t="str">
        <f aca="false">IF((D168="l"),F168," ")</f>
        <v> </v>
      </c>
      <c r="P168" s="180" t="str">
        <f aca="false">IF((D168="i"),F168," ")</f>
        <v> </v>
      </c>
      <c r="Q168" s="180" t="str">
        <f aca="false">IF((D168="b"),F168," ")</f>
        <v> </v>
      </c>
      <c r="R168" s="180" t="str">
        <f aca="false">IF((D168="o"),F168," ")</f>
        <v> </v>
      </c>
      <c r="S168" s="180" t="str">
        <f aca="false">IF((D168="f"),F168," ")</f>
        <v> </v>
      </c>
      <c r="U168" s="371"/>
    </row>
    <row r="169" customFormat="false" ht="12.75" hidden="false" customHeight="false" outlineLevel="0" collapsed="false">
      <c r="D169" s="371" t="str">
        <f aca="false">IF((F169&lt;&gt;0),"Enter Letter"," ")</f>
        <v> </v>
      </c>
      <c r="G169" s="180" t="str">
        <f aca="false">IF((D169="d"),F169," ")</f>
        <v> </v>
      </c>
      <c r="H169" s="180" t="str">
        <f aca="false">IF((D169="h"),F169," ")</f>
        <v> </v>
      </c>
      <c r="I169" s="180" t="str">
        <f aca="false">IF((D169="r"),F169," ")</f>
        <v> </v>
      </c>
      <c r="J169" s="180" t="str">
        <f aca="false">IF((D169="t"),F169," ")</f>
        <v> </v>
      </c>
      <c r="K169" s="180" t="str">
        <f aca="false">IF((D169="e"),F169," ")</f>
        <v> </v>
      </c>
      <c r="L169" s="180" t="str">
        <f aca="false">IF((D169="p"),F169," ")</f>
        <v> </v>
      </c>
      <c r="M169" s="180" t="str">
        <f aca="false">IF((D169="g"),F169," ")</f>
        <v> </v>
      </c>
      <c r="N169" s="180" t="str">
        <f aca="false">IF((D169="a"),F169," ")</f>
        <v> </v>
      </c>
      <c r="O169" s="180" t="str">
        <f aca="false">IF((D169="l"),F169," ")</f>
        <v> </v>
      </c>
      <c r="P169" s="180" t="str">
        <f aca="false">IF((D169="i"),F169," ")</f>
        <v> </v>
      </c>
      <c r="Q169" s="180" t="str">
        <f aca="false">IF((D169="b"),F169," ")</f>
        <v> </v>
      </c>
      <c r="R169" s="180" t="str">
        <f aca="false">IF((D169="o"),F169," ")</f>
        <v> </v>
      </c>
      <c r="S169" s="180" t="str">
        <f aca="false">IF((D169="f"),F169," ")</f>
        <v> </v>
      </c>
      <c r="U169" s="371"/>
    </row>
    <row r="170" customFormat="false" ht="12.75" hidden="false" customHeight="false" outlineLevel="0" collapsed="false">
      <c r="D170" s="371" t="str">
        <f aca="false">IF((F170&lt;&gt;0),"Enter Letter"," ")</f>
        <v> </v>
      </c>
      <c r="G170" s="180" t="str">
        <f aca="false">IF((D170="d"),F170," ")</f>
        <v> </v>
      </c>
      <c r="H170" s="180" t="str">
        <f aca="false">IF((D170="h"),F170," ")</f>
        <v> </v>
      </c>
      <c r="I170" s="180" t="str">
        <f aca="false">IF((D170="r"),F170," ")</f>
        <v> </v>
      </c>
      <c r="J170" s="180" t="str">
        <f aca="false">IF((D170="t"),F170," ")</f>
        <v> </v>
      </c>
      <c r="K170" s="180" t="str">
        <f aca="false">IF((D170="e"),F170," ")</f>
        <v> </v>
      </c>
      <c r="L170" s="180" t="str">
        <f aca="false">IF((D170="p"),F170," ")</f>
        <v> </v>
      </c>
      <c r="M170" s="180" t="str">
        <f aca="false">IF((D170="g"),F170," ")</f>
        <v> </v>
      </c>
      <c r="N170" s="180" t="str">
        <f aca="false">IF((D170="a"),F170," ")</f>
        <v> </v>
      </c>
      <c r="O170" s="180" t="str">
        <f aca="false">IF((D170="l"),F170," ")</f>
        <v> </v>
      </c>
      <c r="P170" s="180" t="str">
        <f aca="false">IF((D170="i"),F170," ")</f>
        <v> </v>
      </c>
      <c r="Q170" s="180" t="str">
        <f aca="false">IF((D170="b"),F170," ")</f>
        <v> </v>
      </c>
      <c r="R170" s="180" t="str">
        <f aca="false">IF((D170="o"),F170," ")</f>
        <v> </v>
      </c>
      <c r="S170" s="180" t="str">
        <f aca="false">IF((D170="f"),F170," ")</f>
        <v> </v>
      </c>
      <c r="U170" s="371"/>
    </row>
    <row r="171" customFormat="false" ht="12.75" hidden="false" customHeight="false" outlineLevel="0" collapsed="false">
      <c r="D171" s="371" t="str">
        <f aca="false">IF((F171&lt;&gt;0),"Enter Letter"," ")</f>
        <v> </v>
      </c>
      <c r="G171" s="180" t="str">
        <f aca="false">IF((D171="d"),F171," ")</f>
        <v> </v>
      </c>
      <c r="H171" s="180" t="str">
        <f aca="false">IF((D171="h"),F171," ")</f>
        <v> </v>
      </c>
      <c r="I171" s="180" t="str">
        <f aca="false">IF((D171="r"),F171," ")</f>
        <v> </v>
      </c>
      <c r="J171" s="180" t="str">
        <f aca="false">IF((D171="t"),F171," ")</f>
        <v> </v>
      </c>
      <c r="K171" s="180" t="str">
        <f aca="false">IF((D171="e"),F171," ")</f>
        <v> </v>
      </c>
      <c r="L171" s="180" t="str">
        <f aca="false">IF((D171="p"),F171," ")</f>
        <v> </v>
      </c>
      <c r="M171" s="180" t="str">
        <f aca="false">IF((D171="g"),F171," ")</f>
        <v> </v>
      </c>
      <c r="N171" s="180" t="str">
        <f aca="false">IF((D171="a"),F171," ")</f>
        <v> </v>
      </c>
      <c r="O171" s="180" t="str">
        <f aca="false">IF((D171="l"),F171," ")</f>
        <v> </v>
      </c>
      <c r="P171" s="180" t="str">
        <f aca="false">IF((D171="i"),F171," ")</f>
        <v> </v>
      </c>
      <c r="Q171" s="180" t="str">
        <f aca="false">IF((D171="b"),F171," ")</f>
        <v> </v>
      </c>
      <c r="R171" s="180" t="str">
        <f aca="false">IF((D171="o"),F171," ")</f>
        <v> </v>
      </c>
      <c r="S171" s="180" t="str">
        <f aca="false">IF((D171="f"),F171," ")</f>
        <v> </v>
      </c>
      <c r="U171" s="371"/>
    </row>
    <row r="172" customFormat="false" ht="12.75" hidden="false" customHeight="false" outlineLevel="0" collapsed="false">
      <c r="D172" s="371" t="str">
        <f aca="false">IF((F172&lt;&gt;0),"Enter Letter"," ")</f>
        <v> </v>
      </c>
      <c r="G172" s="180" t="str">
        <f aca="false">IF((D172="d"),F172," ")</f>
        <v> </v>
      </c>
      <c r="H172" s="180" t="str">
        <f aca="false">IF((D172="h"),F172," ")</f>
        <v> </v>
      </c>
      <c r="I172" s="180" t="str">
        <f aca="false">IF((D172="r"),F172," ")</f>
        <v> </v>
      </c>
      <c r="J172" s="180" t="str">
        <f aca="false">IF((D172="t"),F172," ")</f>
        <v> </v>
      </c>
      <c r="K172" s="180" t="str">
        <f aca="false">IF((D172="e"),F172," ")</f>
        <v> </v>
      </c>
      <c r="L172" s="180" t="str">
        <f aca="false">IF((D172="p"),F172," ")</f>
        <v> </v>
      </c>
      <c r="M172" s="180" t="str">
        <f aca="false">IF((D172="g"),F172," ")</f>
        <v> </v>
      </c>
      <c r="N172" s="180" t="str">
        <f aca="false">IF((D172="a"),F172," ")</f>
        <v> </v>
      </c>
      <c r="O172" s="180" t="str">
        <f aca="false">IF((D172="l"),F172," ")</f>
        <v> </v>
      </c>
      <c r="P172" s="180" t="str">
        <f aca="false">IF((D172="i"),F172," ")</f>
        <v> </v>
      </c>
      <c r="Q172" s="180" t="str">
        <f aca="false">IF((D172="b"),F172," ")</f>
        <v> </v>
      </c>
      <c r="R172" s="180" t="str">
        <f aca="false">IF((D172="o"),F172," ")</f>
        <v> </v>
      </c>
      <c r="S172" s="180" t="str">
        <f aca="false">IF((D172="f"),F172," ")</f>
        <v> </v>
      </c>
      <c r="U172" s="371"/>
    </row>
    <row r="173" customFormat="false" ht="12.75" hidden="false" customHeight="false" outlineLevel="0" collapsed="false">
      <c r="D173" s="371" t="str">
        <f aca="false">IF((F173&lt;&gt;0),"Enter Letter"," ")</f>
        <v> </v>
      </c>
      <c r="G173" s="180" t="str">
        <f aca="false">IF((D173="d"),F173," ")</f>
        <v> </v>
      </c>
      <c r="H173" s="180" t="str">
        <f aca="false">IF((D173="h"),F173," ")</f>
        <v> </v>
      </c>
      <c r="I173" s="180" t="str">
        <f aca="false">IF((D173="r"),F173," ")</f>
        <v> </v>
      </c>
      <c r="J173" s="180" t="str">
        <f aca="false">IF((D173="t"),F173," ")</f>
        <v> </v>
      </c>
      <c r="K173" s="180" t="str">
        <f aca="false">IF((D173="e"),F173," ")</f>
        <v> </v>
      </c>
      <c r="L173" s="180" t="str">
        <f aca="false">IF((D173="p"),F173," ")</f>
        <v> </v>
      </c>
      <c r="M173" s="180" t="str">
        <f aca="false">IF((D173="g"),F173," ")</f>
        <v> </v>
      </c>
      <c r="N173" s="180" t="str">
        <f aca="false">IF((D173="a"),F173," ")</f>
        <v> </v>
      </c>
      <c r="O173" s="180" t="str">
        <f aca="false">IF((D173="l"),F173," ")</f>
        <v> </v>
      </c>
      <c r="P173" s="180" t="str">
        <f aca="false">IF((D173="i"),F173," ")</f>
        <v> </v>
      </c>
      <c r="Q173" s="180" t="str">
        <f aca="false">IF((D173="b"),F173," ")</f>
        <v> </v>
      </c>
      <c r="R173" s="180" t="str">
        <f aca="false">IF((D173="o"),F173," ")</f>
        <v> </v>
      </c>
      <c r="S173" s="180" t="str">
        <f aca="false">IF((D173="f"),F173," ")</f>
        <v> </v>
      </c>
      <c r="U173" s="371"/>
    </row>
    <row r="174" customFormat="false" ht="12.75" hidden="false" customHeight="false" outlineLevel="0" collapsed="false">
      <c r="D174" s="371" t="str">
        <f aca="false">IF((F174&lt;&gt;0),"Enter Letter"," ")</f>
        <v> </v>
      </c>
      <c r="G174" s="180" t="str">
        <f aca="false">IF((D174="d"),F174," ")</f>
        <v> </v>
      </c>
      <c r="H174" s="180" t="str">
        <f aca="false">IF((D174="h"),F174," ")</f>
        <v> </v>
      </c>
      <c r="I174" s="180" t="str">
        <f aca="false">IF((D174="r"),F174," ")</f>
        <v> </v>
      </c>
      <c r="J174" s="180" t="str">
        <f aca="false">IF((D174="t"),F174," ")</f>
        <v> </v>
      </c>
      <c r="K174" s="180" t="str">
        <f aca="false">IF((D174="e"),F174," ")</f>
        <v> </v>
      </c>
      <c r="L174" s="180" t="str">
        <f aca="false">IF((D174="p"),F174," ")</f>
        <v> </v>
      </c>
      <c r="M174" s="180" t="str">
        <f aca="false">IF((D174="g"),F174," ")</f>
        <v> </v>
      </c>
      <c r="N174" s="180" t="str">
        <f aca="false">IF((D174="a"),F174," ")</f>
        <v> </v>
      </c>
      <c r="O174" s="180" t="str">
        <f aca="false">IF((D174="l"),F174," ")</f>
        <v> </v>
      </c>
      <c r="P174" s="180" t="str">
        <f aca="false">IF((D174="i"),F174," ")</f>
        <v> </v>
      </c>
      <c r="Q174" s="180" t="str">
        <f aca="false">IF((D174="b"),F174," ")</f>
        <v> </v>
      </c>
      <c r="R174" s="180" t="str">
        <f aca="false">IF((D174="o"),F174," ")</f>
        <v> </v>
      </c>
      <c r="S174" s="180" t="str">
        <f aca="false">IF((D174="f"),F174," ")</f>
        <v> </v>
      </c>
      <c r="U174" s="371"/>
    </row>
    <row r="175" customFormat="false" ht="12.75" hidden="false" customHeight="false" outlineLevel="0" collapsed="false">
      <c r="D175" s="371" t="str">
        <f aca="false">IF((F175&lt;&gt;0),"Enter Letter"," ")</f>
        <v> </v>
      </c>
      <c r="G175" s="180" t="str">
        <f aca="false">IF((D175="d"),F175," ")</f>
        <v> </v>
      </c>
      <c r="H175" s="180" t="str">
        <f aca="false">IF((D175="h"),F175," ")</f>
        <v> </v>
      </c>
      <c r="I175" s="180" t="str">
        <f aca="false">IF((D175="r"),F175," ")</f>
        <v> </v>
      </c>
      <c r="J175" s="180" t="str">
        <f aca="false">IF((D175="t"),F175," ")</f>
        <v> </v>
      </c>
      <c r="K175" s="180" t="str">
        <f aca="false">IF((D175="e"),F175," ")</f>
        <v> </v>
      </c>
      <c r="L175" s="180" t="str">
        <f aca="false">IF((D175="p"),F175," ")</f>
        <v> </v>
      </c>
      <c r="M175" s="180" t="str">
        <f aca="false">IF((D175="g"),F175," ")</f>
        <v> </v>
      </c>
      <c r="N175" s="180" t="str">
        <f aca="false">IF((D175="a"),F175," ")</f>
        <v> </v>
      </c>
      <c r="O175" s="180" t="str">
        <f aca="false">IF((D175="l"),F175," ")</f>
        <v> </v>
      </c>
      <c r="P175" s="180" t="str">
        <f aca="false">IF((D175="i"),F175," ")</f>
        <v> </v>
      </c>
      <c r="Q175" s="180" t="str">
        <f aca="false">IF((D175="b"),F175," ")</f>
        <v> </v>
      </c>
      <c r="R175" s="180" t="str">
        <f aca="false">IF((D175="o"),F175," ")</f>
        <v> </v>
      </c>
      <c r="S175" s="180" t="str">
        <f aca="false">IF((D175="f"),F175," ")</f>
        <v> </v>
      </c>
      <c r="U175" s="371"/>
    </row>
    <row r="176" customFormat="false" ht="12.75" hidden="false" customHeight="false" outlineLevel="0" collapsed="false">
      <c r="D176" s="371" t="str">
        <f aca="false">IF((F176&lt;&gt;0),"Enter Letter"," ")</f>
        <v> </v>
      </c>
      <c r="G176" s="180" t="str">
        <f aca="false">IF((D176="d"),F176," ")</f>
        <v> </v>
      </c>
      <c r="H176" s="180" t="str">
        <f aca="false">IF((D176="h"),F176," ")</f>
        <v> </v>
      </c>
      <c r="I176" s="180" t="str">
        <f aca="false">IF((D176="r"),F176," ")</f>
        <v> </v>
      </c>
      <c r="J176" s="180" t="str">
        <f aca="false">IF((D176="t"),F176," ")</f>
        <v> </v>
      </c>
      <c r="K176" s="180" t="str">
        <f aca="false">IF((D176="e"),F176," ")</f>
        <v> </v>
      </c>
      <c r="L176" s="180" t="str">
        <f aca="false">IF((D176="p"),F176," ")</f>
        <v> </v>
      </c>
      <c r="M176" s="180" t="str">
        <f aca="false">IF((D176="g"),F176," ")</f>
        <v> </v>
      </c>
      <c r="N176" s="180" t="str">
        <f aca="false">IF((D176="a"),F176," ")</f>
        <v> </v>
      </c>
      <c r="O176" s="180" t="str">
        <f aca="false">IF((D176="l"),F176," ")</f>
        <v> </v>
      </c>
      <c r="P176" s="180" t="str">
        <f aca="false">IF((D176="i"),F176," ")</f>
        <v> </v>
      </c>
      <c r="Q176" s="180" t="str">
        <f aca="false">IF((D176="b"),F176," ")</f>
        <v> </v>
      </c>
      <c r="R176" s="180" t="str">
        <f aca="false">IF((D176="o"),F176," ")</f>
        <v> </v>
      </c>
      <c r="S176" s="180" t="str">
        <f aca="false">IF((D176="f"),F176," ")</f>
        <v> </v>
      </c>
      <c r="U176" s="371"/>
    </row>
    <row r="177" customFormat="false" ht="12.75" hidden="false" customHeight="false" outlineLevel="0" collapsed="false">
      <c r="D177" s="371" t="str">
        <f aca="false">IF((F177&lt;&gt;0),"Enter Letter"," ")</f>
        <v> </v>
      </c>
      <c r="G177" s="180" t="str">
        <f aca="false">IF((D177="d"),F177," ")</f>
        <v> </v>
      </c>
      <c r="H177" s="180" t="str">
        <f aca="false">IF((D177="h"),F177," ")</f>
        <v> </v>
      </c>
      <c r="I177" s="180" t="str">
        <f aca="false">IF((D177="r"),F177," ")</f>
        <v> </v>
      </c>
      <c r="J177" s="180" t="str">
        <f aca="false">IF((D177="t"),F177," ")</f>
        <v> </v>
      </c>
      <c r="K177" s="180" t="str">
        <f aca="false">IF((D177="e"),F177," ")</f>
        <v> </v>
      </c>
      <c r="L177" s="180" t="str">
        <f aca="false">IF((D177="p"),F177," ")</f>
        <v> </v>
      </c>
      <c r="M177" s="180" t="str">
        <f aca="false">IF((D177="g"),F177," ")</f>
        <v> </v>
      </c>
      <c r="N177" s="180" t="str">
        <f aca="false">IF((D177="a"),F177," ")</f>
        <v> </v>
      </c>
      <c r="O177" s="180" t="str">
        <f aca="false">IF((D177="l"),F177," ")</f>
        <v> </v>
      </c>
      <c r="P177" s="180" t="str">
        <f aca="false">IF((D177="i"),F177," ")</f>
        <v> </v>
      </c>
      <c r="Q177" s="180" t="str">
        <f aca="false">IF((D177="b"),F177," ")</f>
        <v> </v>
      </c>
      <c r="R177" s="180" t="str">
        <f aca="false">IF((D177="o"),F177," ")</f>
        <v> </v>
      </c>
      <c r="S177" s="180" t="str">
        <f aca="false">IF((D177="f"),F177," ")</f>
        <v> </v>
      </c>
      <c r="U177" s="371"/>
    </row>
    <row r="178" customFormat="false" ht="12.75" hidden="false" customHeight="false" outlineLevel="0" collapsed="false">
      <c r="D178" s="371" t="str">
        <f aca="false">IF((F178&lt;&gt;0),"Enter Letter"," ")</f>
        <v> </v>
      </c>
      <c r="G178" s="180" t="str">
        <f aca="false">IF((D178="d"),F178," ")</f>
        <v> </v>
      </c>
      <c r="H178" s="180" t="str">
        <f aca="false">IF((D178="h"),F178," ")</f>
        <v> </v>
      </c>
      <c r="I178" s="180" t="str">
        <f aca="false">IF((D178="r"),F178," ")</f>
        <v> </v>
      </c>
      <c r="J178" s="180" t="str">
        <f aca="false">IF((D178="t"),F178," ")</f>
        <v> </v>
      </c>
      <c r="K178" s="180" t="str">
        <f aca="false">IF((D178="e"),F178," ")</f>
        <v> </v>
      </c>
      <c r="L178" s="180" t="str">
        <f aca="false">IF((D178="p"),F178," ")</f>
        <v> </v>
      </c>
      <c r="M178" s="180" t="str">
        <f aca="false">IF((D178="g"),F178," ")</f>
        <v> </v>
      </c>
      <c r="N178" s="180" t="str">
        <f aca="false">IF((D178="a"),F178," ")</f>
        <v> </v>
      </c>
      <c r="O178" s="180" t="str">
        <f aca="false">IF((D178="l"),F178," ")</f>
        <v> </v>
      </c>
      <c r="P178" s="180" t="str">
        <f aca="false">IF((D178="i"),F178," ")</f>
        <v> </v>
      </c>
      <c r="Q178" s="180" t="str">
        <f aca="false">IF((D178="b"),F178," ")</f>
        <v> </v>
      </c>
      <c r="R178" s="180" t="str">
        <f aca="false">IF((D178="o"),F178," ")</f>
        <v> </v>
      </c>
      <c r="S178" s="180" t="str">
        <f aca="false">IF((D178="f"),F178," ")</f>
        <v> </v>
      </c>
      <c r="U178" s="371"/>
    </row>
    <row r="179" customFormat="false" ht="12.75" hidden="false" customHeight="false" outlineLevel="0" collapsed="false">
      <c r="D179" s="371" t="str">
        <f aca="false">IF((F179&lt;&gt;0),"Enter Letter"," ")</f>
        <v> </v>
      </c>
      <c r="G179" s="180" t="str">
        <f aca="false">IF((D179="d"),F179," ")</f>
        <v> </v>
      </c>
      <c r="H179" s="180" t="str">
        <f aca="false">IF((D179="h"),F179," ")</f>
        <v> </v>
      </c>
      <c r="I179" s="180" t="str">
        <f aca="false">IF((D179="r"),F179," ")</f>
        <v> </v>
      </c>
      <c r="J179" s="180" t="str">
        <f aca="false">IF((D179="t"),F179," ")</f>
        <v> </v>
      </c>
      <c r="K179" s="180" t="str">
        <f aca="false">IF((D179="e"),F179," ")</f>
        <v> </v>
      </c>
      <c r="L179" s="180" t="str">
        <f aca="false">IF((D179="p"),F179," ")</f>
        <v> </v>
      </c>
      <c r="M179" s="180" t="str">
        <f aca="false">IF((D179="g"),F179," ")</f>
        <v> </v>
      </c>
      <c r="N179" s="180" t="str">
        <f aca="false">IF((D179="a"),F179," ")</f>
        <v> </v>
      </c>
      <c r="O179" s="180" t="str">
        <f aca="false">IF((D179="l"),F179," ")</f>
        <v> </v>
      </c>
      <c r="P179" s="180" t="str">
        <f aca="false">IF((D179="i"),F179," ")</f>
        <v> </v>
      </c>
      <c r="Q179" s="180" t="str">
        <f aca="false">IF((D179="b"),F179," ")</f>
        <v> </v>
      </c>
      <c r="R179" s="180" t="str">
        <f aca="false">IF((D179="o"),F179," ")</f>
        <v> </v>
      </c>
      <c r="S179" s="180" t="str">
        <f aca="false">IF((D179="f"),F179," ")</f>
        <v> </v>
      </c>
      <c r="U179" s="371"/>
    </row>
    <row r="180" customFormat="false" ht="12.75" hidden="false" customHeight="false" outlineLevel="0" collapsed="false">
      <c r="D180" s="371" t="str">
        <f aca="false">IF((F180&lt;&gt;0),"Enter Letter"," ")</f>
        <v> </v>
      </c>
      <c r="G180" s="180" t="str">
        <f aca="false">IF((D180="d"),F180," ")</f>
        <v> </v>
      </c>
      <c r="H180" s="180" t="str">
        <f aca="false">IF((D180="h"),F180," ")</f>
        <v> </v>
      </c>
      <c r="I180" s="180" t="str">
        <f aca="false">IF((D180="r"),F180," ")</f>
        <v> </v>
      </c>
      <c r="J180" s="180" t="str">
        <f aca="false">IF((D180="t"),F180," ")</f>
        <v> </v>
      </c>
      <c r="K180" s="180" t="str">
        <f aca="false">IF((D180="e"),F180," ")</f>
        <v> </v>
      </c>
      <c r="L180" s="180" t="str">
        <f aca="false">IF((D180="p"),F180," ")</f>
        <v> </v>
      </c>
      <c r="M180" s="180" t="str">
        <f aca="false">IF((D180="g"),F180," ")</f>
        <v> </v>
      </c>
      <c r="N180" s="180" t="str">
        <f aca="false">IF((D180="a"),F180," ")</f>
        <v> </v>
      </c>
      <c r="O180" s="180" t="str">
        <f aca="false">IF((D180="l"),F180," ")</f>
        <v> </v>
      </c>
      <c r="P180" s="180" t="str">
        <f aca="false">IF((D180="i"),F180," ")</f>
        <v> </v>
      </c>
      <c r="Q180" s="180" t="str">
        <f aca="false">IF((D180="b"),F180," ")</f>
        <v> </v>
      </c>
      <c r="R180" s="180" t="str">
        <f aca="false">IF((D180="o"),F180," ")</f>
        <v> </v>
      </c>
      <c r="S180" s="180" t="str">
        <f aca="false">IF((D180="f"),F180," ")</f>
        <v> </v>
      </c>
      <c r="U180" s="371"/>
    </row>
    <row r="181" customFormat="false" ht="12.75" hidden="false" customHeight="false" outlineLevel="0" collapsed="false">
      <c r="D181" s="371" t="str">
        <f aca="false">IF((F181&lt;&gt;0),"Enter Letter"," ")</f>
        <v> </v>
      </c>
      <c r="G181" s="180" t="str">
        <f aca="false">IF((D181="d"),F181," ")</f>
        <v> </v>
      </c>
      <c r="H181" s="180" t="str">
        <f aca="false">IF((D181="h"),F181," ")</f>
        <v> </v>
      </c>
      <c r="I181" s="180" t="str">
        <f aca="false">IF((D181="r"),F181," ")</f>
        <v> </v>
      </c>
      <c r="J181" s="180" t="str">
        <f aca="false">IF((D181="t"),F181," ")</f>
        <v> </v>
      </c>
      <c r="K181" s="180" t="str">
        <f aca="false">IF((D181="e"),F181," ")</f>
        <v> </v>
      </c>
      <c r="L181" s="180" t="str">
        <f aca="false">IF((D181="p"),F181," ")</f>
        <v> </v>
      </c>
      <c r="M181" s="180" t="str">
        <f aca="false">IF((D181="g"),F181," ")</f>
        <v> </v>
      </c>
      <c r="N181" s="180" t="str">
        <f aca="false">IF((D181="a"),F181," ")</f>
        <v> </v>
      </c>
      <c r="O181" s="180" t="str">
        <f aca="false">IF((D181="l"),F181," ")</f>
        <v> </v>
      </c>
      <c r="P181" s="180" t="str">
        <f aca="false">IF((D181="i"),F181," ")</f>
        <v> </v>
      </c>
      <c r="Q181" s="180" t="str">
        <f aca="false">IF((D181="b"),F181," ")</f>
        <v> </v>
      </c>
      <c r="R181" s="180" t="str">
        <f aca="false">IF((D181="o"),F181," ")</f>
        <v> </v>
      </c>
      <c r="S181" s="180" t="str">
        <f aca="false">IF((D181="f"),F181," ")</f>
        <v> </v>
      </c>
      <c r="U181" s="371"/>
    </row>
    <row r="182" customFormat="false" ht="12.75" hidden="false" customHeight="false" outlineLevel="0" collapsed="false">
      <c r="D182" s="371" t="str">
        <f aca="false">IF((F182&lt;&gt;0),"Enter Letter"," ")</f>
        <v> </v>
      </c>
      <c r="G182" s="180" t="str">
        <f aca="false">IF((D182="d"),F182," ")</f>
        <v> </v>
      </c>
      <c r="H182" s="180" t="str">
        <f aca="false">IF((D182="h"),F182," ")</f>
        <v> </v>
      </c>
      <c r="I182" s="180" t="str">
        <f aca="false">IF((D182="r"),F182," ")</f>
        <v> </v>
      </c>
      <c r="J182" s="180" t="str">
        <f aca="false">IF((D182="t"),F182," ")</f>
        <v> </v>
      </c>
      <c r="K182" s="180" t="str">
        <f aca="false">IF((D182="e"),F182," ")</f>
        <v> </v>
      </c>
      <c r="L182" s="180" t="str">
        <f aca="false">IF((D182="p"),F182," ")</f>
        <v> </v>
      </c>
      <c r="M182" s="180" t="str">
        <f aca="false">IF((D182="g"),F182," ")</f>
        <v> </v>
      </c>
      <c r="N182" s="180" t="str">
        <f aca="false">IF((D182="a"),F182," ")</f>
        <v> </v>
      </c>
      <c r="O182" s="180" t="str">
        <f aca="false">IF((D182="l"),F182," ")</f>
        <v> </v>
      </c>
      <c r="P182" s="180" t="str">
        <f aca="false">IF((D182="i"),F182," ")</f>
        <v> </v>
      </c>
      <c r="Q182" s="180" t="str">
        <f aca="false">IF((D182="b"),F182," ")</f>
        <v> </v>
      </c>
      <c r="R182" s="180" t="str">
        <f aca="false">IF((D182="o"),F182," ")</f>
        <v> </v>
      </c>
      <c r="S182" s="180" t="str">
        <f aca="false">IF((D182="f"),F182," ")</f>
        <v> </v>
      </c>
      <c r="U182" s="371"/>
    </row>
    <row r="183" customFormat="false" ht="12.75" hidden="false" customHeight="false" outlineLevel="0" collapsed="false">
      <c r="D183" s="371" t="str">
        <f aca="false">IF((F183&lt;&gt;0),"Enter Letter"," ")</f>
        <v> </v>
      </c>
      <c r="G183" s="180" t="str">
        <f aca="false">IF((D183="d"),F183," ")</f>
        <v> </v>
      </c>
      <c r="H183" s="180" t="str">
        <f aca="false">IF((D183="h"),F183," ")</f>
        <v> </v>
      </c>
      <c r="I183" s="180" t="str">
        <f aca="false">IF((D183="r"),F183," ")</f>
        <v> </v>
      </c>
      <c r="J183" s="180" t="str">
        <f aca="false">IF((D183="t"),F183," ")</f>
        <v> </v>
      </c>
      <c r="K183" s="180" t="str">
        <f aca="false">IF((D183="e"),F183," ")</f>
        <v> </v>
      </c>
      <c r="L183" s="180" t="str">
        <f aca="false">IF((D183="p"),F183," ")</f>
        <v> </v>
      </c>
      <c r="M183" s="180" t="str">
        <f aca="false">IF((D183="g"),F183," ")</f>
        <v> </v>
      </c>
      <c r="N183" s="180" t="str">
        <f aca="false">IF((D183="a"),F183," ")</f>
        <v> </v>
      </c>
      <c r="O183" s="180" t="str">
        <f aca="false">IF((D183="l"),F183," ")</f>
        <v> </v>
      </c>
      <c r="P183" s="180" t="str">
        <f aca="false">IF((D183="i"),F183," ")</f>
        <v> </v>
      </c>
      <c r="Q183" s="180" t="str">
        <f aca="false">IF((D183="b"),F183," ")</f>
        <v> </v>
      </c>
      <c r="R183" s="180" t="str">
        <f aca="false">IF((D183="o"),F183," ")</f>
        <v> </v>
      </c>
      <c r="S183" s="180" t="str">
        <f aca="false">IF((D183="f"),F183," ")</f>
        <v> </v>
      </c>
      <c r="U183" s="371"/>
    </row>
    <row r="184" customFormat="false" ht="12.75" hidden="false" customHeight="false" outlineLevel="0" collapsed="false">
      <c r="D184" s="371" t="str">
        <f aca="false">IF((F184&lt;&gt;0),"Enter Letter"," ")</f>
        <v> </v>
      </c>
      <c r="G184" s="180" t="str">
        <f aca="false">IF((D184="d"),F184," ")</f>
        <v> </v>
      </c>
      <c r="H184" s="180" t="str">
        <f aca="false">IF((D184="h"),F184," ")</f>
        <v> </v>
      </c>
      <c r="I184" s="180" t="str">
        <f aca="false">IF((D184="r"),F184," ")</f>
        <v> </v>
      </c>
      <c r="J184" s="180" t="str">
        <f aca="false">IF((D184="t"),F184," ")</f>
        <v> </v>
      </c>
      <c r="K184" s="180" t="str">
        <f aca="false">IF((D184="e"),F184," ")</f>
        <v> </v>
      </c>
      <c r="L184" s="180" t="str">
        <f aca="false">IF((D184="p"),F184," ")</f>
        <v> </v>
      </c>
      <c r="M184" s="180" t="str">
        <f aca="false">IF((D184="g"),F184," ")</f>
        <v> </v>
      </c>
      <c r="N184" s="180" t="str">
        <f aca="false">IF((D184="a"),F184," ")</f>
        <v> </v>
      </c>
      <c r="O184" s="180" t="str">
        <f aca="false">IF((D184="l"),F184," ")</f>
        <v> </v>
      </c>
      <c r="P184" s="180" t="str">
        <f aca="false">IF((D184="i"),F184," ")</f>
        <v> </v>
      </c>
      <c r="Q184" s="180" t="str">
        <f aca="false">IF((D184="b"),F184," ")</f>
        <v> </v>
      </c>
      <c r="R184" s="180" t="str">
        <f aca="false">IF((D184="o"),F184," ")</f>
        <v> </v>
      </c>
      <c r="S184" s="180" t="str">
        <f aca="false">IF((D184="f"),F184," ")</f>
        <v> </v>
      </c>
      <c r="U184" s="371"/>
    </row>
    <row r="185" customFormat="false" ht="12.75" hidden="false" customHeight="false" outlineLevel="0" collapsed="false">
      <c r="D185" s="371" t="str">
        <f aca="false">IF((F185&lt;&gt;0),"Enter Letter"," ")</f>
        <v> </v>
      </c>
      <c r="G185" s="180" t="str">
        <f aca="false">IF((D185="d"),F185," ")</f>
        <v> </v>
      </c>
      <c r="H185" s="180" t="str">
        <f aca="false">IF((D185="h"),F185," ")</f>
        <v> </v>
      </c>
      <c r="I185" s="180" t="str">
        <f aca="false">IF((D185="r"),F185," ")</f>
        <v> </v>
      </c>
      <c r="J185" s="180" t="str">
        <f aca="false">IF((D185="t"),F185," ")</f>
        <v> </v>
      </c>
      <c r="K185" s="180" t="str">
        <f aca="false">IF((D185="e"),F185," ")</f>
        <v> </v>
      </c>
      <c r="L185" s="180" t="str">
        <f aca="false">IF((D185="p"),F185," ")</f>
        <v> </v>
      </c>
      <c r="M185" s="180" t="str">
        <f aca="false">IF((D185="g"),F185," ")</f>
        <v> </v>
      </c>
      <c r="N185" s="180" t="str">
        <f aca="false">IF((D185="a"),F185," ")</f>
        <v> </v>
      </c>
      <c r="O185" s="180" t="str">
        <f aca="false">IF((D185="l"),F185," ")</f>
        <v> </v>
      </c>
      <c r="P185" s="180" t="str">
        <f aca="false">IF((D185="i"),F185," ")</f>
        <v> </v>
      </c>
      <c r="Q185" s="180" t="str">
        <f aca="false">IF((D185="b"),F185," ")</f>
        <v> </v>
      </c>
      <c r="R185" s="180" t="str">
        <f aca="false">IF((D185="o"),F185," ")</f>
        <v> </v>
      </c>
      <c r="S185" s="180" t="str">
        <f aca="false">IF((D185="f"),F185," ")</f>
        <v> </v>
      </c>
      <c r="U185" s="371"/>
    </row>
    <row r="186" customFormat="false" ht="12.75" hidden="false" customHeight="false" outlineLevel="0" collapsed="false">
      <c r="D186" s="371" t="str">
        <f aca="false">IF((F186&lt;&gt;0),"Enter Letter"," ")</f>
        <v> </v>
      </c>
      <c r="G186" s="180" t="str">
        <f aca="false">IF((D186="d"),F186," ")</f>
        <v> </v>
      </c>
      <c r="H186" s="180" t="str">
        <f aca="false">IF((D186="h"),F186," ")</f>
        <v> </v>
      </c>
      <c r="I186" s="180" t="str">
        <f aca="false">IF((D186="r"),F186," ")</f>
        <v> </v>
      </c>
      <c r="J186" s="180" t="str">
        <f aca="false">IF((D186="t"),F186," ")</f>
        <v> </v>
      </c>
      <c r="K186" s="180" t="str">
        <f aca="false">IF((D186="e"),F186," ")</f>
        <v> </v>
      </c>
      <c r="L186" s="180" t="str">
        <f aca="false">IF((D186="p"),F186," ")</f>
        <v> </v>
      </c>
      <c r="M186" s="180" t="str">
        <f aca="false">IF((D186="g"),F186," ")</f>
        <v> </v>
      </c>
      <c r="N186" s="180" t="str">
        <f aca="false">IF((D186="a"),F186," ")</f>
        <v> </v>
      </c>
      <c r="O186" s="180" t="str">
        <f aca="false">IF((D186="l"),F186," ")</f>
        <v> </v>
      </c>
      <c r="P186" s="180" t="str">
        <f aca="false">IF((D186="i"),F186," ")</f>
        <v> </v>
      </c>
      <c r="Q186" s="180" t="str">
        <f aca="false">IF((D186="b"),F186," ")</f>
        <v> </v>
      </c>
      <c r="R186" s="180" t="str">
        <f aca="false">IF((D186="o"),F186," ")</f>
        <v> </v>
      </c>
      <c r="S186" s="180" t="str">
        <f aca="false">IF((D186="f"),F186," ")</f>
        <v> </v>
      </c>
      <c r="U186" s="371"/>
    </row>
    <row r="187" customFormat="false" ht="12.75" hidden="false" customHeight="false" outlineLevel="0" collapsed="false">
      <c r="D187" s="371" t="str">
        <f aca="false">IF((F187&lt;&gt;0),"Enter Letter"," ")</f>
        <v> </v>
      </c>
      <c r="G187" s="180" t="str">
        <f aca="false">IF((D187="d"),F187," ")</f>
        <v> </v>
      </c>
      <c r="H187" s="180" t="str">
        <f aca="false">IF((D187="h"),F187," ")</f>
        <v> </v>
      </c>
      <c r="I187" s="180" t="str">
        <f aca="false">IF((D187="r"),F187," ")</f>
        <v> </v>
      </c>
      <c r="J187" s="180" t="str">
        <f aca="false">IF((D187="t"),F187," ")</f>
        <v> </v>
      </c>
      <c r="K187" s="180" t="str">
        <f aca="false">IF((D187="e"),F187," ")</f>
        <v> </v>
      </c>
      <c r="L187" s="180" t="str">
        <f aca="false">IF((D187="p"),F187," ")</f>
        <v> </v>
      </c>
      <c r="M187" s="180" t="str">
        <f aca="false">IF((D187="g"),F187," ")</f>
        <v> </v>
      </c>
      <c r="N187" s="180" t="str">
        <f aca="false">IF((D187="a"),F187," ")</f>
        <v> </v>
      </c>
      <c r="O187" s="180" t="str">
        <f aca="false">IF((D187="l"),F187," ")</f>
        <v> </v>
      </c>
      <c r="P187" s="180" t="str">
        <f aca="false">IF((D187="i"),F187," ")</f>
        <v> </v>
      </c>
      <c r="Q187" s="180" t="str">
        <f aca="false">IF((D187="b"),F187," ")</f>
        <v> </v>
      </c>
      <c r="R187" s="180" t="str">
        <f aca="false">IF((D187="o"),F187," ")</f>
        <v> </v>
      </c>
      <c r="S187" s="180" t="str">
        <f aca="false">IF((D187="f"),F187," ")</f>
        <v> </v>
      </c>
      <c r="U187" s="371"/>
    </row>
    <row r="188" customFormat="false" ht="12.75" hidden="false" customHeight="false" outlineLevel="0" collapsed="false">
      <c r="D188" s="371" t="str">
        <f aca="false">IF((F188&lt;&gt;0),"Enter Letter"," ")</f>
        <v> </v>
      </c>
      <c r="G188" s="180" t="str">
        <f aca="false">IF((D188="d"),F188," ")</f>
        <v> </v>
      </c>
      <c r="H188" s="180" t="str">
        <f aca="false">IF((D188="h"),F188," ")</f>
        <v> </v>
      </c>
      <c r="I188" s="180" t="str">
        <f aca="false">IF((D188="r"),F188," ")</f>
        <v> </v>
      </c>
      <c r="J188" s="180" t="str">
        <f aca="false">IF((D188="t"),F188," ")</f>
        <v> </v>
      </c>
      <c r="K188" s="180" t="str">
        <f aca="false">IF((D188="e"),F188," ")</f>
        <v> </v>
      </c>
      <c r="L188" s="180" t="str">
        <f aca="false">IF((D188="p"),F188," ")</f>
        <v> </v>
      </c>
      <c r="M188" s="180" t="str">
        <f aca="false">IF((D188="g"),F188," ")</f>
        <v> </v>
      </c>
      <c r="N188" s="180" t="str">
        <f aca="false">IF((D188="a"),F188," ")</f>
        <v> </v>
      </c>
      <c r="O188" s="180" t="str">
        <f aca="false">IF((D188="l"),F188," ")</f>
        <v> </v>
      </c>
      <c r="P188" s="180" t="str">
        <f aca="false">IF((D188="i"),F188," ")</f>
        <v> </v>
      </c>
      <c r="Q188" s="180" t="str">
        <f aca="false">IF((D188="b"),F188," ")</f>
        <v> </v>
      </c>
      <c r="R188" s="180" t="str">
        <f aca="false">IF((D188="o"),F188," ")</f>
        <v> </v>
      </c>
      <c r="S188" s="180" t="str">
        <f aca="false">IF((D188="f"),F188," ")</f>
        <v> </v>
      </c>
      <c r="U188" s="371"/>
    </row>
    <row r="189" customFormat="false" ht="12.75" hidden="false" customHeight="false" outlineLevel="0" collapsed="false">
      <c r="D189" s="371" t="str">
        <f aca="false">IF((F189&lt;&gt;0),"Enter Letter"," ")</f>
        <v> </v>
      </c>
      <c r="G189" s="180" t="str">
        <f aca="false">IF((D189="d"),F189," ")</f>
        <v> </v>
      </c>
      <c r="H189" s="180" t="str">
        <f aca="false">IF((D189="h"),F189," ")</f>
        <v> </v>
      </c>
      <c r="I189" s="180" t="str">
        <f aca="false">IF((D189="r"),F189," ")</f>
        <v> </v>
      </c>
      <c r="J189" s="180" t="str">
        <f aca="false">IF((D189="t"),F189," ")</f>
        <v> </v>
      </c>
      <c r="K189" s="180" t="str">
        <f aca="false">IF((D189="e"),F189," ")</f>
        <v> </v>
      </c>
      <c r="L189" s="180" t="str">
        <f aca="false">IF((D189="p"),F189," ")</f>
        <v> </v>
      </c>
      <c r="M189" s="180" t="str">
        <f aca="false">IF((D189="g"),F189," ")</f>
        <v> </v>
      </c>
      <c r="N189" s="180" t="str">
        <f aca="false">IF((D189="a"),F189," ")</f>
        <v> </v>
      </c>
      <c r="O189" s="180" t="str">
        <f aca="false">IF((D189="l"),F189," ")</f>
        <v> </v>
      </c>
      <c r="P189" s="180" t="str">
        <f aca="false">IF((D189="i"),F189," ")</f>
        <v> </v>
      </c>
      <c r="Q189" s="180" t="str">
        <f aca="false">IF((D189="b"),F189," ")</f>
        <v> </v>
      </c>
      <c r="R189" s="180" t="str">
        <f aca="false">IF((D189="o"),F189," ")</f>
        <v> </v>
      </c>
      <c r="S189" s="180" t="str">
        <f aca="false">IF((D189="f"),F189," ")</f>
        <v> </v>
      </c>
      <c r="U189" s="371"/>
    </row>
    <row r="190" customFormat="false" ht="12.75" hidden="false" customHeight="false" outlineLevel="0" collapsed="false">
      <c r="D190" s="371" t="str">
        <f aca="false">IF((F190&lt;&gt;0),"Enter Letter"," ")</f>
        <v> </v>
      </c>
      <c r="G190" s="180" t="str">
        <f aca="false">IF((D190="d"),F190," ")</f>
        <v> </v>
      </c>
      <c r="H190" s="180" t="str">
        <f aca="false">IF((D190="h"),F190," ")</f>
        <v> </v>
      </c>
      <c r="I190" s="180" t="str">
        <f aca="false">IF((D190="r"),F190," ")</f>
        <v> </v>
      </c>
      <c r="J190" s="180" t="str">
        <f aca="false">IF((D190="t"),F190," ")</f>
        <v> </v>
      </c>
      <c r="K190" s="180" t="str">
        <f aca="false">IF((D190="e"),F190," ")</f>
        <v> </v>
      </c>
      <c r="L190" s="180" t="str">
        <f aca="false">IF((D190="p"),F190," ")</f>
        <v> </v>
      </c>
      <c r="M190" s="180" t="str">
        <f aca="false">IF((D190="g"),F190," ")</f>
        <v> </v>
      </c>
      <c r="N190" s="180" t="str">
        <f aca="false">IF((D190="a"),F190," ")</f>
        <v> </v>
      </c>
      <c r="O190" s="180" t="str">
        <f aca="false">IF((D190="l"),F190," ")</f>
        <v> </v>
      </c>
      <c r="P190" s="180" t="str">
        <f aca="false">IF((D190="i"),F190," ")</f>
        <v> </v>
      </c>
      <c r="Q190" s="180" t="str">
        <f aca="false">IF((D190="b"),F190," ")</f>
        <v> </v>
      </c>
      <c r="R190" s="180" t="str">
        <f aca="false">IF((D190="o"),F190," ")</f>
        <v> </v>
      </c>
      <c r="S190" s="180" t="str">
        <f aca="false">IF((D190="f"),F190," ")</f>
        <v> </v>
      </c>
      <c r="U190" s="371"/>
    </row>
    <row r="191" customFormat="false" ht="12.75" hidden="false" customHeight="false" outlineLevel="0" collapsed="false">
      <c r="D191" s="371" t="str">
        <f aca="false">IF((F191&lt;&gt;0),"Enter Letter"," ")</f>
        <v> </v>
      </c>
      <c r="G191" s="180" t="str">
        <f aca="false">IF((D191="d"),F191," ")</f>
        <v> </v>
      </c>
      <c r="H191" s="180" t="str">
        <f aca="false">IF((D191="h"),F191," ")</f>
        <v> </v>
      </c>
      <c r="I191" s="180" t="str">
        <f aca="false">IF((D191="r"),F191," ")</f>
        <v> </v>
      </c>
      <c r="J191" s="180" t="str">
        <f aca="false">IF((D191="t"),F191," ")</f>
        <v> </v>
      </c>
      <c r="K191" s="180" t="str">
        <f aca="false">IF((D191="e"),F191," ")</f>
        <v> </v>
      </c>
      <c r="L191" s="180" t="str">
        <f aca="false">IF((D191="p"),F191," ")</f>
        <v> </v>
      </c>
      <c r="M191" s="180" t="str">
        <f aca="false">IF((D191="g"),F191," ")</f>
        <v> </v>
      </c>
      <c r="N191" s="180" t="str">
        <f aca="false">IF((D191="a"),F191," ")</f>
        <v> </v>
      </c>
      <c r="O191" s="180" t="str">
        <f aca="false">IF((D191="l"),F191," ")</f>
        <v> </v>
      </c>
      <c r="P191" s="180" t="str">
        <f aca="false">IF((D191="i"),F191," ")</f>
        <v> </v>
      </c>
      <c r="Q191" s="180" t="str">
        <f aca="false">IF((D191="b"),F191," ")</f>
        <v> </v>
      </c>
      <c r="R191" s="180" t="str">
        <f aca="false">IF((D191="o"),F191," ")</f>
        <v> </v>
      </c>
      <c r="S191" s="180" t="str">
        <f aca="false">IF((D191="f"),F191," ")</f>
        <v> </v>
      </c>
      <c r="U191" s="371"/>
    </row>
    <row r="192" customFormat="false" ht="12.75" hidden="false" customHeight="false" outlineLevel="0" collapsed="false">
      <c r="D192" s="371" t="str">
        <f aca="false">IF((F192&lt;&gt;0),"Enter Letter"," ")</f>
        <v> </v>
      </c>
      <c r="G192" s="180" t="str">
        <f aca="false">IF((D192="d"),F192," ")</f>
        <v> </v>
      </c>
      <c r="H192" s="180" t="str">
        <f aca="false">IF((D192="h"),F192," ")</f>
        <v> </v>
      </c>
      <c r="I192" s="180" t="str">
        <f aca="false">IF((D192="r"),F192," ")</f>
        <v> </v>
      </c>
      <c r="J192" s="180" t="str">
        <f aca="false">IF((D192="t"),F192," ")</f>
        <v> </v>
      </c>
      <c r="K192" s="180" t="str">
        <f aca="false">IF((D192="e"),F192," ")</f>
        <v> </v>
      </c>
      <c r="L192" s="180" t="str">
        <f aca="false">IF((D192="p"),F192," ")</f>
        <v> </v>
      </c>
      <c r="M192" s="180" t="str">
        <f aca="false">IF((D192="g"),F192," ")</f>
        <v> </v>
      </c>
      <c r="N192" s="180" t="str">
        <f aca="false">IF((D192="a"),F192," ")</f>
        <v> </v>
      </c>
      <c r="O192" s="180" t="str">
        <f aca="false">IF((D192="l"),F192," ")</f>
        <v> </v>
      </c>
      <c r="P192" s="180" t="str">
        <f aca="false">IF((D192="i"),F192," ")</f>
        <v> </v>
      </c>
      <c r="Q192" s="180" t="str">
        <f aca="false">IF((D192="b"),F192," ")</f>
        <v> </v>
      </c>
      <c r="R192" s="180" t="str">
        <f aca="false">IF((D192="o"),F192," ")</f>
        <v> </v>
      </c>
      <c r="S192" s="180" t="str">
        <f aca="false">IF((D192="f"),F192," ")</f>
        <v> </v>
      </c>
      <c r="U192" s="371"/>
    </row>
    <row r="193" customFormat="false" ht="12.75" hidden="false" customHeight="false" outlineLevel="0" collapsed="false">
      <c r="D193" s="371" t="str">
        <f aca="false">IF((F193&lt;&gt;0),"Enter Letter"," ")</f>
        <v> </v>
      </c>
      <c r="G193" s="180" t="str">
        <f aca="false">IF((D193="d"),F193," ")</f>
        <v> </v>
      </c>
      <c r="H193" s="180" t="str">
        <f aca="false">IF((D193="h"),F193," ")</f>
        <v> </v>
      </c>
      <c r="I193" s="180" t="str">
        <f aca="false">IF((D193="r"),F193," ")</f>
        <v> </v>
      </c>
      <c r="J193" s="180" t="str">
        <f aca="false">IF((D193="t"),F193," ")</f>
        <v> </v>
      </c>
      <c r="K193" s="180" t="str">
        <f aca="false">IF((D193="e"),F193," ")</f>
        <v> </v>
      </c>
      <c r="L193" s="180" t="str">
        <f aca="false">IF((D193="p"),F193," ")</f>
        <v> </v>
      </c>
      <c r="M193" s="180" t="str">
        <f aca="false">IF((D193="g"),F193," ")</f>
        <v> </v>
      </c>
      <c r="N193" s="180" t="str">
        <f aca="false">IF((D193="a"),F193," ")</f>
        <v> </v>
      </c>
      <c r="O193" s="180" t="str">
        <f aca="false">IF((D193="l"),F193," ")</f>
        <v> </v>
      </c>
      <c r="P193" s="180" t="str">
        <f aca="false">IF((D193="i"),F193," ")</f>
        <v> </v>
      </c>
      <c r="Q193" s="180" t="str">
        <f aca="false">IF((D193="b"),F193," ")</f>
        <v> </v>
      </c>
      <c r="R193" s="180" t="str">
        <f aca="false">IF((D193="o"),F193," ")</f>
        <v> </v>
      </c>
      <c r="S193" s="180" t="str">
        <f aca="false">IF((D193="f"),F193," ")</f>
        <v> </v>
      </c>
      <c r="U193" s="371"/>
    </row>
    <row r="194" customFormat="false" ht="12.75" hidden="false" customHeight="false" outlineLevel="0" collapsed="false">
      <c r="D194" s="371" t="str">
        <f aca="false">IF((F194&lt;&gt;0),"Enter Letter"," ")</f>
        <v> </v>
      </c>
      <c r="G194" s="180" t="str">
        <f aca="false">IF((D194="d"),F194," ")</f>
        <v> </v>
      </c>
      <c r="H194" s="180" t="str">
        <f aca="false">IF((D194="h"),F194," ")</f>
        <v> </v>
      </c>
      <c r="I194" s="180" t="str">
        <f aca="false">IF((D194="r"),F194," ")</f>
        <v> </v>
      </c>
      <c r="J194" s="180" t="str">
        <f aca="false">IF((D194="t"),F194," ")</f>
        <v> </v>
      </c>
      <c r="K194" s="180" t="str">
        <f aca="false">IF((D194="e"),F194," ")</f>
        <v> </v>
      </c>
      <c r="L194" s="180" t="str">
        <f aca="false">IF((D194="p"),F194," ")</f>
        <v> </v>
      </c>
      <c r="M194" s="180" t="str">
        <f aca="false">IF((D194="g"),F194," ")</f>
        <v> </v>
      </c>
      <c r="N194" s="180" t="str">
        <f aca="false">IF((D194="a"),F194," ")</f>
        <v> </v>
      </c>
      <c r="O194" s="180" t="str">
        <f aca="false">IF((D194="l"),F194," ")</f>
        <v> </v>
      </c>
      <c r="P194" s="180" t="str">
        <f aca="false">IF((D194="i"),F194," ")</f>
        <v> </v>
      </c>
      <c r="Q194" s="180" t="str">
        <f aca="false">IF((D194="b"),F194," ")</f>
        <v> </v>
      </c>
      <c r="R194" s="180" t="str">
        <f aca="false">IF((D194="o"),F194," ")</f>
        <v> </v>
      </c>
      <c r="S194" s="180" t="str">
        <f aca="false">IF((D194="f"),F194," ")</f>
        <v> </v>
      </c>
      <c r="U194" s="371"/>
    </row>
    <row r="195" customFormat="false" ht="12.75" hidden="false" customHeight="false" outlineLevel="0" collapsed="false">
      <c r="D195" s="371" t="str">
        <f aca="false">IF((F195&lt;&gt;0),"Enter Letter"," ")</f>
        <v> </v>
      </c>
      <c r="G195" s="180" t="str">
        <f aca="false">IF((D195="d"),F195," ")</f>
        <v> </v>
      </c>
      <c r="H195" s="180" t="str">
        <f aca="false">IF((D195="h"),F195," ")</f>
        <v> </v>
      </c>
      <c r="I195" s="180" t="str">
        <f aca="false">IF((D195="r"),F195," ")</f>
        <v> </v>
      </c>
      <c r="J195" s="180" t="str">
        <f aca="false">IF((D195="t"),F195," ")</f>
        <v> </v>
      </c>
      <c r="K195" s="180" t="str">
        <f aca="false">IF((D195="e"),F195," ")</f>
        <v> </v>
      </c>
      <c r="L195" s="180" t="str">
        <f aca="false">IF((D195="p"),F195," ")</f>
        <v> </v>
      </c>
      <c r="M195" s="180" t="str">
        <f aca="false">IF((D195="g"),F195," ")</f>
        <v> </v>
      </c>
      <c r="N195" s="180" t="str">
        <f aca="false">IF((D195="a"),F195," ")</f>
        <v> </v>
      </c>
      <c r="O195" s="180" t="str">
        <f aca="false">IF((D195="l"),F195," ")</f>
        <v> </v>
      </c>
      <c r="P195" s="180" t="str">
        <f aca="false">IF((D195="i"),F195," ")</f>
        <v> </v>
      </c>
      <c r="Q195" s="180" t="str">
        <f aca="false">IF((D195="b"),F195," ")</f>
        <v> </v>
      </c>
      <c r="R195" s="180" t="str">
        <f aca="false">IF((D195="o"),F195," ")</f>
        <v> </v>
      </c>
      <c r="S195" s="180" t="str">
        <f aca="false">IF((D195="f"),F195," ")</f>
        <v> </v>
      </c>
      <c r="U195" s="371"/>
    </row>
    <row r="196" customFormat="false" ht="12.75" hidden="false" customHeight="false" outlineLevel="0" collapsed="false">
      <c r="D196" s="371" t="str">
        <f aca="false">IF((F196&lt;&gt;0),"Enter Letter"," ")</f>
        <v> </v>
      </c>
      <c r="G196" s="180" t="str">
        <f aca="false">IF((D196="d"),F196," ")</f>
        <v> </v>
      </c>
      <c r="H196" s="180" t="str">
        <f aca="false">IF((D196="h"),F196," ")</f>
        <v> </v>
      </c>
      <c r="I196" s="180" t="str">
        <f aca="false">IF((D196="r"),F196," ")</f>
        <v> </v>
      </c>
      <c r="J196" s="180" t="str">
        <f aca="false">IF((D196="t"),F196," ")</f>
        <v> </v>
      </c>
      <c r="K196" s="180" t="str">
        <f aca="false">IF((D196="e"),F196," ")</f>
        <v> </v>
      </c>
      <c r="L196" s="180" t="str">
        <f aca="false">IF((D196="p"),F196," ")</f>
        <v> </v>
      </c>
      <c r="M196" s="180" t="str">
        <f aca="false">IF((D196="g"),F196," ")</f>
        <v> </v>
      </c>
      <c r="N196" s="180" t="str">
        <f aca="false">IF((D196="a"),F196," ")</f>
        <v> </v>
      </c>
      <c r="O196" s="180" t="str">
        <f aca="false">IF((D196="l"),F196," ")</f>
        <v> </v>
      </c>
      <c r="P196" s="180" t="str">
        <f aca="false">IF((D196="i"),F196," ")</f>
        <v> </v>
      </c>
      <c r="Q196" s="180" t="str">
        <f aca="false">IF((D196="b"),F196," ")</f>
        <v> </v>
      </c>
      <c r="R196" s="180" t="str">
        <f aca="false">IF((D196="o"),F196," ")</f>
        <v> </v>
      </c>
      <c r="S196" s="180" t="str">
        <f aca="false">IF((D196="f"),F196," ")</f>
        <v> </v>
      </c>
      <c r="U196" s="371"/>
    </row>
    <row r="197" customFormat="false" ht="12.75" hidden="false" customHeight="false" outlineLevel="0" collapsed="false">
      <c r="D197" s="371" t="str">
        <f aca="false">IF((F197&lt;&gt;0),"Enter Letter"," ")</f>
        <v> </v>
      </c>
      <c r="G197" s="180" t="str">
        <f aca="false">IF((D197="d"),F197," ")</f>
        <v> </v>
      </c>
      <c r="H197" s="180" t="str">
        <f aca="false">IF((D197="h"),F197," ")</f>
        <v> </v>
      </c>
      <c r="I197" s="180" t="str">
        <f aca="false">IF((D197="r"),F197," ")</f>
        <v> </v>
      </c>
      <c r="J197" s="180" t="str">
        <f aca="false">IF((D197="t"),F197," ")</f>
        <v> </v>
      </c>
      <c r="K197" s="180" t="str">
        <f aca="false">IF((D197="e"),F197," ")</f>
        <v> </v>
      </c>
      <c r="L197" s="180" t="str">
        <f aca="false">IF((D197="p"),F197," ")</f>
        <v> </v>
      </c>
      <c r="M197" s="180" t="str">
        <f aca="false">IF((D197="g"),F197," ")</f>
        <v> </v>
      </c>
      <c r="N197" s="180" t="str">
        <f aca="false">IF((D197="a"),F197," ")</f>
        <v> </v>
      </c>
      <c r="O197" s="180" t="str">
        <f aca="false">IF((D197="l"),F197," ")</f>
        <v> </v>
      </c>
      <c r="P197" s="180" t="str">
        <f aca="false">IF((D197="i"),F197," ")</f>
        <v> </v>
      </c>
      <c r="Q197" s="180" t="str">
        <f aca="false">IF((D197="b"),F197," ")</f>
        <v> </v>
      </c>
      <c r="R197" s="180" t="str">
        <f aca="false">IF((D197="o"),F197," ")</f>
        <v> </v>
      </c>
      <c r="S197" s="180" t="str">
        <f aca="false">IF((D197="f"),F197," ")</f>
        <v> </v>
      </c>
      <c r="U197" s="371"/>
    </row>
    <row r="198" customFormat="false" ht="12.75" hidden="false" customHeight="false" outlineLevel="0" collapsed="false">
      <c r="D198" s="371" t="str">
        <f aca="false">IF((F198&lt;&gt;0),"Enter Letter"," ")</f>
        <v> </v>
      </c>
      <c r="G198" s="180" t="str">
        <f aca="false">IF((D198="d"),F198," ")</f>
        <v> </v>
      </c>
      <c r="H198" s="180" t="str">
        <f aca="false">IF((D198="h"),F198," ")</f>
        <v> </v>
      </c>
      <c r="I198" s="180" t="str">
        <f aca="false">IF((D198="r"),F198," ")</f>
        <v> </v>
      </c>
      <c r="J198" s="180" t="str">
        <f aca="false">IF((D198="t"),F198," ")</f>
        <v> </v>
      </c>
      <c r="K198" s="180" t="str">
        <f aca="false">IF((D198="e"),F198," ")</f>
        <v> </v>
      </c>
      <c r="L198" s="180" t="str">
        <f aca="false">IF((D198="p"),F198," ")</f>
        <v> </v>
      </c>
      <c r="M198" s="180" t="str">
        <f aca="false">IF((D198="g"),F198," ")</f>
        <v> </v>
      </c>
      <c r="N198" s="180" t="str">
        <f aca="false">IF((D198="a"),F198," ")</f>
        <v> </v>
      </c>
      <c r="O198" s="180" t="str">
        <f aca="false">IF((D198="l"),F198," ")</f>
        <v> </v>
      </c>
      <c r="P198" s="180" t="str">
        <f aca="false">IF((D198="i"),F198," ")</f>
        <v> </v>
      </c>
      <c r="Q198" s="180" t="str">
        <f aca="false">IF((D198="b"),F198," ")</f>
        <v> </v>
      </c>
      <c r="R198" s="180" t="str">
        <f aca="false">IF((D198="o"),F198," ")</f>
        <v> </v>
      </c>
      <c r="S198" s="180" t="str">
        <f aca="false">IF((D198="f"),F198," ")</f>
        <v> </v>
      </c>
      <c r="U198" s="371"/>
    </row>
    <row r="199" customFormat="false" ht="12.75" hidden="false" customHeight="false" outlineLevel="0" collapsed="false">
      <c r="D199" s="371" t="str">
        <f aca="false">IF((F199&lt;&gt;0),"Enter Letter"," ")</f>
        <v> </v>
      </c>
      <c r="G199" s="180" t="str">
        <f aca="false">IF((D199="d"),F199," ")</f>
        <v> </v>
      </c>
      <c r="H199" s="180" t="str">
        <f aca="false">IF((D199="h"),F199," ")</f>
        <v> </v>
      </c>
      <c r="I199" s="180" t="str">
        <f aca="false">IF((D199="r"),F199," ")</f>
        <v> </v>
      </c>
      <c r="J199" s="180" t="str">
        <f aca="false">IF((D199="t"),F199," ")</f>
        <v> </v>
      </c>
      <c r="K199" s="180" t="str">
        <f aca="false">IF((D199="e"),F199," ")</f>
        <v> </v>
      </c>
      <c r="L199" s="180" t="str">
        <f aca="false">IF((D199="p"),F199," ")</f>
        <v> </v>
      </c>
      <c r="M199" s="180" t="str">
        <f aca="false">IF((D199="g"),F199," ")</f>
        <v> </v>
      </c>
      <c r="N199" s="180" t="str">
        <f aca="false">IF((D199="a"),F199," ")</f>
        <v> </v>
      </c>
      <c r="O199" s="180" t="str">
        <f aca="false">IF((D199="l"),F199," ")</f>
        <v> </v>
      </c>
      <c r="P199" s="180" t="str">
        <f aca="false">IF((D199="i"),F199," ")</f>
        <v> </v>
      </c>
      <c r="Q199" s="180" t="str">
        <f aca="false">IF((D199="b"),F199," ")</f>
        <v> </v>
      </c>
      <c r="R199" s="180" t="str">
        <f aca="false">IF((D199="o"),F199," ")</f>
        <v> </v>
      </c>
      <c r="S199" s="180" t="str">
        <f aca="false">IF((D199="f"),F199," ")</f>
        <v> </v>
      </c>
      <c r="U199" s="371"/>
    </row>
    <row r="200" customFormat="false" ht="12.75" hidden="false" customHeight="false" outlineLevel="0" collapsed="false">
      <c r="D200" s="371" t="str">
        <f aca="false">IF((F200&lt;&gt;0),"Enter Letter"," ")</f>
        <v> </v>
      </c>
      <c r="G200" s="180" t="str">
        <f aca="false">IF((D200="d"),F200," ")</f>
        <v> </v>
      </c>
      <c r="H200" s="180" t="str">
        <f aca="false">IF((D200="h"),F200," ")</f>
        <v> </v>
      </c>
      <c r="I200" s="180" t="str">
        <f aca="false">IF((D200="r"),F200," ")</f>
        <v> </v>
      </c>
      <c r="J200" s="180" t="str">
        <f aca="false">IF((D200="t"),F200," ")</f>
        <v> </v>
      </c>
      <c r="K200" s="180" t="str">
        <f aca="false">IF((D200="e"),F200," ")</f>
        <v> </v>
      </c>
      <c r="L200" s="180" t="str">
        <f aca="false">IF((D200="p"),F200," ")</f>
        <v> </v>
      </c>
      <c r="M200" s="180" t="str">
        <f aca="false">IF((D200="g"),F200," ")</f>
        <v> </v>
      </c>
      <c r="N200" s="180" t="str">
        <f aca="false">IF((D200="a"),F200," ")</f>
        <v> </v>
      </c>
      <c r="O200" s="180" t="str">
        <f aca="false">IF((D200="l"),F200," ")</f>
        <v> </v>
      </c>
      <c r="P200" s="180" t="str">
        <f aca="false">IF((D200="i"),F200," ")</f>
        <v> </v>
      </c>
      <c r="Q200" s="180" t="str">
        <f aca="false">IF((D200="b"),F200," ")</f>
        <v> </v>
      </c>
      <c r="R200" s="180" t="str">
        <f aca="false">IF((D200="o"),F200," ")</f>
        <v> </v>
      </c>
      <c r="S200" s="180" t="str">
        <f aca="false">IF((D200="f"),F200," ")</f>
        <v> </v>
      </c>
      <c r="U200" s="371"/>
    </row>
    <row r="201" customFormat="false" ht="12.75" hidden="false" customHeight="false" outlineLevel="0" collapsed="false">
      <c r="D201" s="371" t="str">
        <f aca="false">IF((F201&lt;&gt;0),"Enter Letter"," ")</f>
        <v> </v>
      </c>
      <c r="G201" s="180" t="str">
        <f aca="false">IF((D201="d"),F201," ")</f>
        <v> </v>
      </c>
      <c r="H201" s="180" t="str">
        <f aca="false">IF((D201="h"),F201," ")</f>
        <v> </v>
      </c>
      <c r="I201" s="180" t="str">
        <f aca="false">IF((D201="r"),F201," ")</f>
        <v> </v>
      </c>
      <c r="J201" s="180" t="str">
        <f aca="false">IF((D201="t"),F201," ")</f>
        <v> </v>
      </c>
      <c r="K201" s="180" t="str">
        <f aca="false">IF((D201="e"),F201," ")</f>
        <v> </v>
      </c>
      <c r="L201" s="180" t="str">
        <f aca="false">IF((D201="p"),F201," ")</f>
        <v> </v>
      </c>
      <c r="M201" s="180" t="str">
        <f aca="false">IF((D201="g"),F201," ")</f>
        <v> </v>
      </c>
      <c r="N201" s="180" t="str">
        <f aca="false">IF((D201="a"),F201," ")</f>
        <v> </v>
      </c>
      <c r="O201" s="180" t="str">
        <f aca="false">IF((D201="l"),F201," ")</f>
        <v> </v>
      </c>
      <c r="P201" s="180" t="str">
        <f aca="false">IF((D201="i"),F201," ")</f>
        <v> </v>
      </c>
      <c r="Q201" s="180" t="str">
        <f aca="false">IF((D201="b"),F201," ")</f>
        <v> </v>
      </c>
      <c r="R201" s="180" t="str">
        <f aca="false">IF((D201="o"),F201," ")</f>
        <v> </v>
      </c>
      <c r="S201" s="180" t="str">
        <f aca="false">IF((D201="f"),F201," ")</f>
        <v> </v>
      </c>
      <c r="U201" s="371"/>
    </row>
    <row r="202" customFormat="false" ht="12.75" hidden="false" customHeight="false" outlineLevel="0" collapsed="false">
      <c r="D202" s="371" t="str">
        <f aca="false">IF((F202&lt;&gt;0),"Enter Letter"," ")</f>
        <v> </v>
      </c>
      <c r="G202" s="180" t="str">
        <f aca="false">IF((D202="d"),F202," ")</f>
        <v> </v>
      </c>
      <c r="H202" s="180" t="str">
        <f aca="false">IF((D202="h"),F202," ")</f>
        <v> </v>
      </c>
      <c r="I202" s="180" t="str">
        <f aca="false">IF((D202="r"),F202," ")</f>
        <v> </v>
      </c>
      <c r="J202" s="180" t="str">
        <f aca="false">IF((D202="t"),F202," ")</f>
        <v> </v>
      </c>
      <c r="K202" s="180" t="str">
        <f aca="false">IF((D202="e"),F202," ")</f>
        <v> </v>
      </c>
      <c r="L202" s="180" t="str">
        <f aca="false">IF((D202="p"),F202," ")</f>
        <v> </v>
      </c>
      <c r="M202" s="180" t="str">
        <f aca="false">IF((D202="g"),F202," ")</f>
        <v> </v>
      </c>
      <c r="N202" s="180" t="str">
        <f aca="false">IF((D202="a"),F202," ")</f>
        <v> </v>
      </c>
      <c r="O202" s="180" t="str">
        <f aca="false">IF((D202="l"),F202," ")</f>
        <v> </v>
      </c>
      <c r="P202" s="180" t="str">
        <f aca="false">IF((D202="i"),F202," ")</f>
        <v> </v>
      </c>
      <c r="Q202" s="180" t="str">
        <f aca="false">IF((D202="b"),F202," ")</f>
        <v> </v>
      </c>
      <c r="R202" s="180" t="str">
        <f aca="false">IF((D202="o"),F202," ")</f>
        <v> </v>
      </c>
      <c r="S202" s="180" t="str">
        <f aca="false">IF((D202="f"),F202," ")</f>
        <v> </v>
      </c>
      <c r="U202" s="371"/>
    </row>
    <row r="203" customFormat="false" ht="12.75" hidden="false" customHeight="false" outlineLevel="0" collapsed="false">
      <c r="D203" s="371" t="str">
        <f aca="false">IF((F203&lt;&gt;0),"Enter Letter"," ")</f>
        <v> </v>
      </c>
      <c r="G203" s="180" t="str">
        <f aca="false">IF((D203="d"),F203," ")</f>
        <v> </v>
      </c>
      <c r="H203" s="180" t="str">
        <f aca="false">IF((D203="h"),F203," ")</f>
        <v> </v>
      </c>
      <c r="I203" s="180" t="str">
        <f aca="false">IF((D203="r"),F203," ")</f>
        <v> </v>
      </c>
      <c r="J203" s="180" t="str">
        <f aca="false">IF((D203="t"),F203," ")</f>
        <v> </v>
      </c>
      <c r="K203" s="180" t="str">
        <f aca="false">IF((D203="e"),F203," ")</f>
        <v> </v>
      </c>
      <c r="L203" s="180" t="str">
        <f aca="false">IF((D203="p"),F203," ")</f>
        <v> </v>
      </c>
      <c r="M203" s="180" t="str">
        <f aca="false">IF((D203="g"),F203," ")</f>
        <v> </v>
      </c>
      <c r="N203" s="180" t="str">
        <f aca="false">IF((D203="a"),F203," ")</f>
        <v> </v>
      </c>
      <c r="O203" s="180" t="str">
        <f aca="false">IF((D203="l"),F203," ")</f>
        <v> </v>
      </c>
      <c r="P203" s="180" t="str">
        <f aca="false">IF((D203="i"),F203," ")</f>
        <v> </v>
      </c>
      <c r="Q203" s="180" t="str">
        <f aca="false">IF((D203="b"),F203," ")</f>
        <v> </v>
      </c>
      <c r="R203" s="180" t="str">
        <f aca="false">IF((D203="o"),F203," ")</f>
        <v> </v>
      </c>
      <c r="S203" s="180" t="str">
        <f aca="false">IF((D203="f"),F203," ")</f>
        <v> </v>
      </c>
      <c r="U203" s="371"/>
    </row>
    <row r="204" customFormat="false" ht="12.75" hidden="false" customHeight="false" outlineLevel="0" collapsed="false">
      <c r="D204" s="371" t="str">
        <f aca="false">IF((F204&lt;&gt;0),"Enter Letter"," ")</f>
        <v> </v>
      </c>
      <c r="G204" s="180" t="str">
        <f aca="false">IF((D204="d"),F204," ")</f>
        <v> </v>
      </c>
      <c r="H204" s="180" t="str">
        <f aca="false">IF((D204="h"),F204," ")</f>
        <v> </v>
      </c>
      <c r="I204" s="180" t="str">
        <f aca="false">IF((D204="r"),F204," ")</f>
        <v> </v>
      </c>
      <c r="J204" s="180" t="str">
        <f aca="false">IF((D204="t"),F204," ")</f>
        <v> </v>
      </c>
      <c r="K204" s="180" t="str">
        <f aca="false">IF((D204="e"),F204," ")</f>
        <v> </v>
      </c>
      <c r="L204" s="180" t="str">
        <f aca="false">IF((D204="p"),F204," ")</f>
        <v> </v>
      </c>
      <c r="M204" s="180" t="str">
        <f aca="false">IF((D204="g"),F204," ")</f>
        <v> </v>
      </c>
      <c r="N204" s="180" t="str">
        <f aca="false">IF((D204="a"),F204," ")</f>
        <v> </v>
      </c>
      <c r="O204" s="180" t="str">
        <f aca="false">IF((D204="l"),F204," ")</f>
        <v> </v>
      </c>
      <c r="P204" s="180" t="str">
        <f aca="false">IF((D204="i"),F204," ")</f>
        <v> </v>
      </c>
      <c r="Q204" s="180" t="str">
        <f aca="false">IF((D204="b"),F204," ")</f>
        <v> </v>
      </c>
      <c r="R204" s="180" t="str">
        <f aca="false">IF((D204="o"),F204," ")</f>
        <v> </v>
      </c>
      <c r="S204" s="180" t="str">
        <f aca="false">IF((D204="f"),F204," ")</f>
        <v> </v>
      </c>
      <c r="U204" s="371"/>
    </row>
    <row r="205" customFormat="false" ht="12.75" hidden="false" customHeight="false" outlineLevel="0" collapsed="false">
      <c r="U205" s="371"/>
    </row>
    <row r="206" customFormat="false" ht="12.75" hidden="false" customHeight="false" outlineLevel="0" collapsed="false">
      <c r="U206" s="371"/>
    </row>
    <row r="207" customFormat="false" ht="12.75" hidden="false" customHeight="false" outlineLevel="0" collapsed="false">
      <c r="U207" s="371"/>
    </row>
    <row r="208" customFormat="false" ht="12.75" hidden="false" customHeight="false" outlineLevel="0" collapsed="false">
      <c r="U208" s="371"/>
    </row>
    <row r="209" customFormat="false" ht="12.75" hidden="false" customHeight="false" outlineLevel="0" collapsed="false">
      <c r="U209" s="371"/>
    </row>
    <row r="210" customFormat="false" ht="12.75" hidden="false" customHeight="false" outlineLevel="0" collapsed="false">
      <c r="U210" s="371"/>
    </row>
    <row r="211" customFormat="false" ht="12.75" hidden="false" customHeight="false" outlineLevel="0" collapsed="false">
      <c r="U211" s="371"/>
    </row>
    <row r="212" customFormat="false" ht="12.75" hidden="false" customHeight="false" outlineLevel="0" collapsed="false">
      <c r="U212" s="371"/>
    </row>
    <row r="213" customFormat="false" ht="12.75" hidden="false" customHeight="false" outlineLevel="0" collapsed="false">
      <c r="U213" s="371"/>
    </row>
    <row r="214" customFormat="false" ht="12.75" hidden="false" customHeight="false" outlineLevel="0" collapsed="false">
      <c r="U214" s="371"/>
    </row>
    <row r="215" customFormat="false" ht="12.75" hidden="false" customHeight="false" outlineLevel="0" collapsed="false">
      <c r="U215" s="371"/>
    </row>
    <row r="216" customFormat="false" ht="12.75" hidden="false" customHeight="false" outlineLevel="0" collapsed="false">
      <c r="U216" s="371"/>
    </row>
    <row r="217" customFormat="false" ht="12.75" hidden="false" customHeight="false" outlineLevel="0" collapsed="false">
      <c r="U217" s="371"/>
    </row>
    <row r="218" customFormat="false" ht="12.75" hidden="false" customHeight="false" outlineLevel="0" collapsed="false">
      <c r="U218" s="371"/>
    </row>
    <row r="219" customFormat="false" ht="12.75" hidden="false" customHeight="false" outlineLevel="0" collapsed="false">
      <c r="U219" s="371"/>
    </row>
    <row r="220" customFormat="false" ht="12.75" hidden="false" customHeight="false" outlineLevel="0" collapsed="false">
      <c r="U220" s="371"/>
    </row>
    <row r="221" customFormat="false" ht="12.75" hidden="false" customHeight="false" outlineLevel="0" collapsed="false">
      <c r="U221" s="371"/>
    </row>
    <row r="222" customFormat="false" ht="12.75" hidden="false" customHeight="false" outlineLevel="0" collapsed="false">
      <c r="U222" s="371"/>
    </row>
    <row r="223" customFormat="false" ht="12.75" hidden="false" customHeight="false" outlineLevel="0" collapsed="false">
      <c r="U223" s="371"/>
    </row>
    <row r="224" customFormat="false" ht="12.75" hidden="false" customHeight="false" outlineLevel="0" collapsed="false">
      <c r="U224" s="371"/>
    </row>
    <row r="225" customFormat="false" ht="12.75" hidden="false" customHeight="false" outlineLevel="0" collapsed="false">
      <c r="U225" s="371"/>
    </row>
    <row r="226" customFormat="false" ht="12.75" hidden="false" customHeight="false" outlineLevel="0" collapsed="false">
      <c r="U226" s="371"/>
    </row>
    <row r="227" customFormat="false" ht="12.75" hidden="false" customHeight="false" outlineLevel="0" collapsed="false">
      <c r="U227" s="371"/>
    </row>
    <row r="228" customFormat="false" ht="12.75" hidden="false" customHeight="false" outlineLevel="0" collapsed="false">
      <c r="U228" s="371"/>
    </row>
    <row r="229" customFormat="false" ht="12.75" hidden="false" customHeight="false" outlineLevel="0" collapsed="false">
      <c r="U229" s="371"/>
    </row>
    <row r="230" customFormat="false" ht="12.75" hidden="false" customHeight="false" outlineLevel="0" collapsed="false">
      <c r="U230" s="371"/>
    </row>
    <row r="231" customFormat="false" ht="12.75" hidden="false" customHeight="false" outlineLevel="0" collapsed="false">
      <c r="U231" s="371"/>
    </row>
    <row r="232" customFormat="false" ht="12.75" hidden="false" customHeight="false" outlineLevel="0" collapsed="false">
      <c r="U232" s="371"/>
    </row>
    <row r="233" customFormat="false" ht="12.75" hidden="false" customHeight="false" outlineLevel="0" collapsed="false">
      <c r="U233" s="371"/>
    </row>
    <row r="234" customFormat="false" ht="12.75" hidden="false" customHeight="false" outlineLevel="0" collapsed="false">
      <c r="U234" s="371"/>
    </row>
    <row r="235" customFormat="false" ht="12.75" hidden="false" customHeight="false" outlineLevel="0" collapsed="false">
      <c r="U235" s="371"/>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customHeight="false" zeroHeight="false" outlineLevelRow="0" outlineLevelCol="0"/>
  <cols>
    <col collapsed="false" customWidth="true" hidden="false" outlineLevel="0" max="1" min="1" style="344" width="9.66"/>
    <col collapsed="false" customWidth="true" hidden="false" outlineLevel="0" max="2" min="2" style="345" width="14.66"/>
    <col collapsed="false" customWidth="true" hidden="false" outlineLevel="0" max="3" min="3" style="180" width="13.66"/>
    <col collapsed="false" customWidth="true" hidden="false" outlineLevel="0" max="4" min="4" style="346" width="12.66"/>
    <col collapsed="false" customWidth="true" hidden="false" outlineLevel="0" max="5" min="5" style="347" width="12.66"/>
    <col collapsed="false" customWidth="true" hidden="false" outlineLevel="0" max="6" min="6" style="180" width="12.66"/>
    <col collapsed="false" customWidth="false" hidden="false" outlineLevel="0" max="257" min="7" style="180" width="9.15"/>
  </cols>
  <sheetData>
    <row r="1" customFormat="false" ht="12.75" hidden="false" customHeight="true" outlineLevel="0" collapsed="false">
      <c r="A1" s="348" t="s">
        <v>240</v>
      </c>
      <c r="B1" s="349" t="s">
        <v>241</v>
      </c>
      <c r="C1" s="350" t="s">
        <v>242</v>
      </c>
      <c r="D1" s="351" t="n">
        <f aca="false">SUM(D4:D58)</f>
        <v>0</v>
      </c>
      <c r="E1" s="350" t="n">
        <f aca="false">SUM(E4:E58)/2</f>
        <v>3000</v>
      </c>
      <c r="F1" s="350" t="n">
        <f aca="false">SUM(F4:F58)/2</f>
        <v>0</v>
      </c>
      <c r="G1" s="352"/>
      <c r="H1" s="352"/>
      <c r="I1" s="352"/>
      <c r="J1" s="352"/>
      <c r="K1" s="352"/>
      <c r="L1" s="352"/>
      <c r="M1" s="352"/>
      <c r="N1" s="352"/>
      <c r="O1" s="352"/>
      <c r="P1" s="352"/>
      <c r="Q1" s="352"/>
      <c r="R1" s="352"/>
      <c r="S1" s="352"/>
      <c r="T1" s="352"/>
      <c r="U1" s="352"/>
      <c r="V1" s="352"/>
      <c r="W1" s="352"/>
      <c r="X1" s="352"/>
      <c r="Y1" s="352"/>
      <c r="Z1" s="352"/>
      <c r="AA1" s="352"/>
      <c r="AB1" s="352"/>
      <c r="AC1" s="352"/>
      <c r="AD1" s="352"/>
      <c r="AE1" s="352"/>
      <c r="AF1" s="352"/>
      <c r="AG1" s="352"/>
      <c r="AH1" s="352"/>
      <c r="AI1" s="352"/>
      <c r="AJ1" s="352"/>
      <c r="AK1" s="352"/>
      <c r="AL1" s="352"/>
      <c r="AM1" s="352"/>
      <c r="AN1" s="352"/>
      <c r="AO1" s="352"/>
      <c r="AP1" s="352"/>
      <c r="AQ1" s="352"/>
      <c r="AR1" s="352"/>
      <c r="AS1" s="352"/>
      <c r="AT1" s="352"/>
      <c r="AU1" s="352"/>
      <c r="AV1" s="352"/>
      <c r="AW1" s="352"/>
      <c r="AX1" s="352"/>
      <c r="AY1" s="352"/>
      <c r="AZ1" s="352"/>
      <c r="BA1" s="352"/>
      <c r="BB1" s="352"/>
      <c r="BC1" s="352"/>
      <c r="BD1" s="352"/>
      <c r="BE1" s="352"/>
      <c r="BF1" s="352"/>
      <c r="BG1" s="352"/>
      <c r="BH1" s="352"/>
      <c r="BI1" s="352"/>
      <c r="BJ1" s="352"/>
      <c r="BK1" s="352"/>
      <c r="BL1" s="352"/>
      <c r="BM1" s="352"/>
      <c r="BN1" s="352"/>
      <c r="BO1" s="352"/>
      <c r="BP1" s="352"/>
      <c r="BQ1" s="352"/>
      <c r="BR1" s="352"/>
      <c r="BS1" s="352"/>
      <c r="BT1" s="352"/>
      <c r="BU1" s="352"/>
      <c r="BV1" s="352"/>
      <c r="BW1" s="352"/>
      <c r="BX1" s="352"/>
      <c r="BY1" s="352"/>
      <c r="BZ1" s="352"/>
      <c r="CA1" s="352"/>
      <c r="CB1" s="352"/>
      <c r="CC1" s="352"/>
      <c r="CD1" s="352"/>
      <c r="CE1" s="352"/>
      <c r="CF1" s="352"/>
      <c r="CG1" s="352"/>
      <c r="CH1" s="352"/>
      <c r="CI1" s="352"/>
      <c r="CJ1" s="352"/>
      <c r="CK1" s="352"/>
      <c r="CL1" s="352"/>
      <c r="CM1" s="352"/>
      <c r="CN1" s="352"/>
      <c r="CO1" s="352"/>
      <c r="CP1" s="352"/>
      <c r="CQ1" s="352"/>
      <c r="CR1" s="352"/>
      <c r="CS1" s="352"/>
      <c r="CT1" s="352"/>
      <c r="CU1" s="352"/>
      <c r="CV1" s="352"/>
      <c r="CW1" s="352"/>
      <c r="CX1" s="352"/>
      <c r="CY1" s="352"/>
      <c r="CZ1" s="352"/>
      <c r="DA1" s="352"/>
      <c r="DB1" s="352"/>
      <c r="DC1" s="352"/>
      <c r="DD1" s="352"/>
      <c r="DE1" s="352"/>
      <c r="DF1" s="352"/>
      <c r="DG1" s="352"/>
      <c r="DH1" s="352"/>
      <c r="DI1" s="352"/>
      <c r="DJ1" s="352"/>
      <c r="DK1" s="352"/>
      <c r="DL1" s="352"/>
      <c r="DM1" s="352"/>
      <c r="DN1" s="352"/>
      <c r="DO1" s="352"/>
      <c r="DP1" s="352"/>
      <c r="DQ1" s="352"/>
      <c r="DR1" s="352"/>
      <c r="DS1" s="352"/>
      <c r="DT1" s="352"/>
      <c r="DU1" s="352"/>
      <c r="DV1" s="352"/>
      <c r="DW1" s="352"/>
      <c r="DX1" s="352"/>
      <c r="DY1" s="352"/>
      <c r="DZ1" s="352"/>
      <c r="EA1" s="352"/>
      <c r="EB1" s="352"/>
      <c r="EC1" s="352"/>
      <c r="ED1" s="352"/>
      <c r="EE1" s="352"/>
      <c r="EF1" s="352"/>
      <c r="EG1" s="352"/>
      <c r="EH1" s="352"/>
      <c r="EI1" s="352"/>
      <c r="EJ1" s="352"/>
      <c r="EK1" s="352"/>
      <c r="EL1" s="352"/>
      <c r="EM1" s="352"/>
      <c r="EN1" s="352"/>
      <c r="EO1" s="352"/>
      <c r="EP1" s="352"/>
      <c r="EQ1" s="352"/>
      <c r="ER1" s="352"/>
      <c r="ES1" s="352"/>
      <c r="ET1" s="352"/>
      <c r="EU1" s="352"/>
      <c r="EV1" s="352"/>
      <c r="EW1" s="352"/>
      <c r="EX1" s="352"/>
      <c r="EY1" s="352"/>
      <c r="EZ1" s="352"/>
      <c r="FA1" s="352"/>
      <c r="FB1" s="352"/>
      <c r="FC1" s="352"/>
      <c r="FD1" s="352"/>
      <c r="FE1" s="352"/>
      <c r="FF1" s="352"/>
      <c r="FG1" s="352"/>
      <c r="FH1" s="352"/>
      <c r="FI1" s="352"/>
      <c r="FJ1" s="352"/>
      <c r="FK1" s="352"/>
      <c r="FL1" s="352"/>
      <c r="FM1" s="352"/>
      <c r="FN1" s="352"/>
      <c r="FO1" s="352"/>
      <c r="FP1" s="352"/>
      <c r="FQ1" s="352"/>
      <c r="FR1" s="352"/>
      <c r="FS1" s="352"/>
      <c r="FT1" s="352"/>
      <c r="FU1" s="352"/>
      <c r="FV1" s="352"/>
      <c r="FW1" s="352"/>
      <c r="FX1" s="352"/>
      <c r="FY1" s="352"/>
      <c r="FZ1" s="352"/>
      <c r="GA1" s="352"/>
      <c r="GB1" s="352"/>
      <c r="GC1" s="352"/>
      <c r="GD1" s="352"/>
      <c r="GE1" s="352"/>
      <c r="GF1" s="352"/>
      <c r="GG1" s="352"/>
      <c r="GH1" s="352"/>
      <c r="GI1" s="352"/>
      <c r="GJ1" s="352"/>
      <c r="GK1" s="352"/>
      <c r="GL1" s="352"/>
      <c r="GM1" s="352"/>
      <c r="GN1" s="352"/>
      <c r="GO1" s="352"/>
      <c r="GP1" s="352"/>
      <c r="GQ1" s="352"/>
      <c r="GR1" s="352"/>
      <c r="GS1" s="352"/>
      <c r="GT1" s="352"/>
      <c r="GU1" s="352"/>
      <c r="GV1" s="352"/>
      <c r="GW1" s="352"/>
      <c r="GX1" s="352"/>
      <c r="GY1" s="352"/>
      <c r="GZ1" s="352"/>
      <c r="HA1" s="352"/>
      <c r="HB1" s="352"/>
      <c r="HC1" s="352"/>
      <c r="HD1" s="352"/>
      <c r="HE1" s="352"/>
      <c r="HF1" s="352"/>
      <c r="HG1" s="352"/>
      <c r="HH1" s="352"/>
      <c r="HI1" s="352"/>
      <c r="HJ1" s="352"/>
      <c r="HK1" s="352"/>
      <c r="HL1" s="352"/>
      <c r="HM1" s="352"/>
      <c r="HN1" s="352"/>
      <c r="HO1" s="352"/>
      <c r="HP1" s="352"/>
      <c r="HQ1" s="352"/>
      <c r="HR1" s="352"/>
      <c r="HS1" s="352"/>
      <c r="HT1" s="352"/>
      <c r="HU1" s="352"/>
      <c r="HV1" s="352"/>
      <c r="HW1" s="352"/>
      <c r="HX1" s="352"/>
      <c r="HY1" s="352"/>
      <c r="HZ1" s="352"/>
      <c r="IA1" s="352"/>
      <c r="IB1" s="352"/>
      <c r="IC1" s="352"/>
      <c r="ID1" s="352"/>
      <c r="IE1" s="352"/>
      <c r="IF1" s="352"/>
      <c r="IG1" s="352"/>
      <c r="IH1" s="352"/>
      <c r="II1" s="352"/>
      <c r="IJ1" s="352"/>
      <c r="IK1" s="352"/>
      <c r="IL1" s="352"/>
      <c r="IM1" s="352"/>
      <c r="IN1" s="352"/>
      <c r="IO1" s="352"/>
      <c r="IP1" s="352"/>
      <c r="IQ1" s="352"/>
      <c r="IR1" s="352"/>
      <c r="IS1" s="352"/>
      <c r="IT1" s="352"/>
      <c r="IU1" s="352"/>
      <c r="IV1" s="352"/>
      <c r="IW1" s="352"/>
    </row>
    <row r="2" customFormat="false" ht="12.75" hidden="false" customHeight="true" outlineLevel="0" collapsed="false">
      <c r="A2" s="348"/>
      <c r="B2" s="349"/>
      <c r="C2" s="353" t="s">
        <v>243</v>
      </c>
      <c r="D2" s="354" t="s">
        <v>244</v>
      </c>
      <c r="E2" s="353" t="s">
        <v>245</v>
      </c>
      <c r="F2" s="353" t="s">
        <v>246</v>
      </c>
      <c r="G2" s="352"/>
      <c r="H2" s="352"/>
      <c r="I2" s="352"/>
      <c r="J2" s="352"/>
      <c r="K2" s="352"/>
      <c r="L2" s="352"/>
      <c r="M2" s="352"/>
      <c r="N2" s="352"/>
      <c r="O2" s="352"/>
      <c r="P2" s="352"/>
      <c r="Q2" s="352"/>
      <c r="R2" s="352"/>
      <c r="S2" s="352"/>
      <c r="T2" s="352"/>
      <c r="U2" s="352"/>
      <c r="V2" s="352"/>
      <c r="W2" s="352"/>
      <c r="X2" s="352"/>
      <c r="Y2" s="352"/>
      <c r="Z2" s="352"/>
      <c r="AA2" s="352"/>
      <c r="AB2" s="352"/>
      <c r="AC2" s="352"/>
      <c r="AD2" s="352"/>
      <c r="AE2" s="352"/>
      <c r="AF2" s="352"/>
      <c r="AG2" s="352"/>
      <c r="AH2" s="352"/>
      <c r="AI2" s="352"/>
      <c r="AJ2" s="352"/>
      <c r="AK2" s="352"/>
      <c r="AL2" s="352"/>
      <c r="AM2" s="352"/>
      <c r="AN2" s="352"/>
      <c r="AO2" s="352"/>
      <c r="AP2" s="352"/>
      <c r="AQ2" s="352"/>
      <c r="AR2" s="352"/>
      <c r="AS2" s="352"/>
      <c r="AT2" s="352"/>
      <c r="AU2" s="352"/>
      <c r="AV2" s="352"/>
      <c r="AW2" s="352"/>
      <c r="AX2" s="352"/>
      <c r="AY2" s="352"/>
      <c r="AZ2" s="352"/>
      <c r="BA2" s="352"/>
      <c r="BB2" s="352"/>
      <c r="BC2" s="352"/>
      <c r="BD2" s="352"/>
      <c r="BE2" s="352"/>
      <c r="BF2" s="352"/>
      <c r="BG2" s="352"/>
      <c r="BH2" s="352"/>
      <c r="BI2" s="352"/>
      <c r="BJ2" s="352"/>
      <c r="BK2" s="352"/>
      <c r="BL2" s="352"/>
      <c r="BM2" s="352"/>
      <c r="BN2" s="352"/>
      <c r="BO2" s="352"/>
      <c r="BP2" s="352"/>
      <c r="BQ2" s="352"/>
      <c r="BR2" s="352"/>
      <c r="BS2" s="352"/>
      <c r="BT2" s="352"/>
      <c r="BU2" s="352"/>
      <c r="BV2" s="352"/>
      <c r="BW2" s="352"/>
      <c r="BX2" s="352"/>
      <c r="BY2" s="352"/>
      <c r="BZ2" s="352"/>
      <c r="CA2" s="352"/>
      <c r="CB2" s="352"/>
      <c r="CC2" s="352"/>
      <c r="CD2" s="352"/>
      <c r="CE2" s="352"/>
      <c r="CF2" s="352"/>
      <c r="CG2" s="352"/>
      <c r="CH2" s="352"/>
      <c r="CI2" s="352"/>
      <c r="CJ2" s="352"/>
      <c r="CK2" s="352"/>
      <c r="CL2" s="352"/>
      <c r="CM2" s="352"/>
      <c r="CN2" s="352"/>
      <c r="CO2" s="352"/>
      <c r="CP2" s="352"/>
      <c r="CQ2" s="352"/>
      <c r="CR2" s="352"/>
      <c r="CS2" s="352"/>
      <c r="CT2" s="352"/>
      <c r="CU2" s="352"/>
      <c r="CV2" s="352"/>
      <c r="CW2" s="352"/>
      <c r="CX2" s="352"/>
      <c r="CY2" s="352"/>
      <c r="CZ2" s="352"/>
      <c r="DA2" s="352"/>
      <c r="DB2" s="352"/>
      <c r="DC2" s="352"/>
      <c r="DD2" s="352"/>
      <c r="DE2" s="352"/>
      <c r="DF2" s="352"/>
      <c r="DG2" s="352"/>
      <c r="DH2" s="352"/>
      <c r="DI2" s="352"/>
      <c r="DJ2" s="352"/>
      <c r="DK2" s="352"/>
      <c r="DL2" s="352"/>
      <c r="DM2" s="352"/>
      <c r="DN2" s="352"/>
      <c r="DO2" s="352"/>
      <c r="DP2" s="352"/>
      <c r="DQ2" s="352"/>
      <c r="DR2" s="352"/>
      <c r="DS2" s="352"/>
      <c r="DT2" s="352"/>
      <c r="DU2" s="352"/>
      <c r="DV2" s="352"/>
      <c r="DW2" s="352"/>
      <c r="DX2" s="352"/>
      <c r="DY2" s="352"/>
      <c r="DZ2" s="352"/>
      <c r="EA2" s="352"/>
      <c r="EB2" s="352"/>
      <c r="EC2" s="352"/>
      <c r="ED2" s="352"/>
      <c r="EE2" s="352"/>
      <c r="EF2" s="352"/>
      <c r="EG2" s="352"/>
      <c r="EH2" s="352"/>
      <c r="EI2" s="352"/>
      <c r="EJ2" s="352"/>
      <c r="EK2" s="352"/>
      <c r="EL2" s="352"/>
      <c r="EM2" s="352"/>
      <c r="EN2" s="352"/>
      <c r="EO2" s="352"/>
      <c r="EP2" s="352"/>
      <c r="EQ2" s="352"/>
      <c r="ER2" s="352"/>
      <c r="ES2" s="352"/>
      <c r="ET2" s="352"/>
      <c r="EU2" s="352"/>
      <c r="EV2" s="352"/>
      <c r="EW2" s="352"/>
      <c r="EX2" s="352"/>
      <c r="EY2" s="352"/>
      <c r="EZ2" s="352"/>
      <c r="FA2" s="352"/>
      <c r="FB2" s="352"/>
      <c r="FC2" s="352"/>
      <c r="FD2" s="352"/>
      <c r="FE2" s="352"/>
      <c r="FF2" s="352"/>
      <c r="FG2" s="352"/>
      <c r="FH2" s="352"/>
      <c r="FI2" s="352"/>
      <c r="FJ2" s="352"/>
      <c r="FK2" s="352"/>
      <c r="FL2" s="352"/>
      <c r="FM2" s="352"/>
      <c r="FN2" s="352"/>
      <c r="FO2" s="352"/>
      <c r="FP2" s="352"/>
      <c r="FQ2" s="352"/>
      <c r="FR2" s="352"/>
      <c r="FS2" s="352"/>
      <c r="FT2" s="352"/>
      <c r="FU2" s="352"/>
      <c r="FV2" s="352"/>
      <c r="FW2" s="352"/>
      <c r="FX2" s="352"/>
      <c r="FY2" s="352"/>
      <c r="FZ2" s="352"/>
      <c r="GA2" s="352"/>
      <c r="GB2" s="352"/>
      <c r="GC2" s="352"/>
      <c r="GD2" s="352"/>
      <c r="GE2" s="352"/>
      <c r="GF2" s="352"/>
      <c r="GG2" s="352"/>
      <c r="GH2" s="352"/>
      <c r="GI2" s="352"/>
      <c r="GJ2" s="352"/>
      <c r="GK2" s="352"/>
      <c r="GL2" s="352"/>
      <c r="GM2" s="352"/>
      <c r="GN2" s="352"/>
      <c r="GO2" s="352"/>
      <c r="GP2" s="352"/>
      <c r="GQ2" s="352"/>
      <c r="GR2" s="352"/>
      <c r="GS2" s="352"/>
      <c r="GT2" s="352"/>
      <c r="GU2" s="352"/>
      <c r="GV2" s="352"/>
      <c r="GW2" s="352"/>
      <c r="GX2" s="352"/>
      <c r="GY2" s="352"/>
      <c r="GZ2" s="352"/>
      <c r="HA2" s="352"/>
      <c r="HB2" s="352"/>
      <c r="HC2" s="352"/>
      <c r="HD2" s="352"/>
      <c r="HE2" s="352"/>
      <c r="HF2" s="352"/>
      <c r="HG2" s="352"/>
      <c r="HH2" s="352"/>
      <c r="HI2" s="352"/>
      <c r="HJ2" s="352"/>
      <c r="HK2" s="352"/>
      <c r="HL2" s="352"/>
      <c r="HM2" s="352"/>
      <c r="HN2" s="352"/>
      <c r="HO2" s="352"/>
      <c r="HP2" s="352"/>
      <c r="HQ2" s="352"/>
      <c r="HR2" s="352"/>
      <c r="HS2" s="352"/>
      <c r="HT2" s="352"/>
      <c r="HU2" s="352"/>
      <c r="HV2" s="352"/>
      <c r="HW2" s="352"/>
      <c r="HX2" s="352"/>
      <c r="HY2" s="352"/>
      <c r="HZ2" s="352"/>
      <c r="IA2" s="352"/>
      <c r="IB2" s="352"/>
      <c r="IC2" s="352"/>
      <c r="ID2" s="352"/>
      <c r="IE2" s="352"/>
      <c r="IF2" s="352"/>
      <c r="IG2" s="352"/>
      <c r="IH2" s="352"/>
      <c r="II2" s="352"/>
      <c r="IJ2" s="352"/>
      <c r="IK2" s="352"/>
      <c r="IL2" s="352"/>
      <c r="IM2" s="352"/>
      <c r="IN2" s="352"/>
      <c r="IO2" s="352"/>
      <c r="IP2" s="352"/>
      <c r="IQ2" s="352"/>
      <c r="IR2" s="352"/>
      <c r="IS2" s="352"/>
      <c r="IT2" s="352"/>
      <c r="IU2" s="352"/>
      <c r="IV2" s="352"/>
      <c r="IW2" s="352"/>
    </row>
    <row r="3" customFormat="false" ht="24" hidden="false" customHeight="true" outlineLevel="0" collapsed="false">
      <c r="A3" s="348"/>
      <c r="B3" s="349"/>
      <c r="C3" s="353"/>
      <c r="D3" s="354"/>
      <c r="E3" s="353"/>
      <c r="F3" s="353"/>
      <c r="G3" s="355"/>
      <c r="H3" s="355"/>
      <c r="I3" s="355"/>
      <c r="J3" s="355"/>
      <c r="K3" s="355"/>
      <c r="L3" s="355"/>
      <c r="M3" s="355"/>
      <c r="N3" s="355"/>
      <c r="O3" s="355"/>
      <c r="P3" s="355"/>
      <c r="Q3" s="355"/>
      <c r="R3" s="355"/>
      <c r="S3" s="355"/>
      <c r="T3" s="355"/>
      <c r="U3" s="355"/>
      <c r="V3" s="355"/>
      <c r="W3" s="355"/>
      <c r="X3" s="355"/>
      <c r="Y3" s="355"/>
      <c r="Z3" s="355"/>
      <c r="AA3" s="355"/>
      <c r="AB3" s="355"/>
      <c r="AC3" s="355"/>
      <c r="AD3" s="355"/>
      <c r="AE3" s="355"/>
      <c r="AF3" s="355"/>
      <c r="AG3" s="355"/>
      <c r="AH3" s="355"/>
      <c r="AI3" s="355"/>
      <c r="AJ3" s="355"/>
      <c r="AK3" s="355"/>
      <c r="AL3" s="355"/>
      <c r="AM3" s="355"/>
      <c r="AN3" s="355"/>
      <c r="AO3" s="355"/>
      <c r="AP3" s="355"/>
      <c r="AQ3" s="355"/>
      <c r="AR3" s="355"/>
      <c r="AS3" s="355"/>
      <c r="AT3" s="355"/>
      <c r="AU3" s="355"/>
      <c r="AV3" s="355"/>
      <c r="AW3" s="355"/>
      <c r="AX3" s="355"/>
      <c r="AY3" s="355"/>
      <c r="AZ3" s="355"/>
      <c r="BA3" s="355"/>
      <c r="BB3" s="355"/>
      <c r="BC3" s="355"/>
      <c r="BD3" s="355"/>
      <c r="BE3" s="355"/>
      <c r="BF3" s="355"/>
      <c r="BG3" s="355"/>
      <c r="BH3" s="355"/>
      <c r="BI3" s="355"/>
      <c r="BJ3" s="355"/>
      <c r="BK3" s="355"/>
      <c r="BL3" s="355"/>
      <c r="BM3" s="355"/>
      <c r="BN3" s="355"/>
      <c r="BO3" s="355"/>
      <c r="BP3" s="355"/>
      <c r="BQ3" s="355"/>
      <c r="BR3" s="355"/>
      <c r="BS3" s="355"/>
      <c r="BT3" s="355"/>
      <c r="BU3" s="355"/>
      <c r="BV3" s="355"/>
      <c r="BW3" s="355"/>
      <c r="BX3" s="355"/>
      <c r="BY3" s="355"/>
      <c r="BZ3" s="355"/>
      <c r="CA3" s="355"/>
      <c r="CB3" s="355"/>
      <c r="CC3" s="355"/>
      <c r="CD3" s="355"/>
      <c r="CE3" s="355"/>
      <c r="CF3" s="355"/>
      <c r="CG3" s="355"/>
      <c r="CH3" s="355"/>
      <c r="CI3" s="355"/>
      <c r="CJ3" s="355"/>
      <c r="CK3" s="355"/>
      <c r="CL3" s="355"/>
      <c r="CM3" s="355"/>
      <c r="CN3" s="355"/>
      <c r="CO3" s="355"/>
      <c r="CP3" s="355"/>
      <c r="CQ3" s="355"/>
      <c r="CR3" s="355"/>
      <c r="CS3" s="355"/>
      <c r="CT3" s="355"/>
      <c r="CU3" s="355"/>
      <c r="CV3" s="355"/>
      <c r="CW3" s="355"/>
      <c r="CX3" s="355"/>
      <c r="CY3" s="355"/>
      <c r="CZ3" s="355"/>
      <c r="DA3" s="355"/>
      <c r="DB3" s="355"/>
      <c r="DC3" s="355"/>
      <c r="DD3" s="355"/>
      <c r="DE3" s="355"/>
      <c r="DF3" s="355"/>
      <c r="DG3" s="355"/>
      <c r="DH3" s="355"/>
      <c r="DI3" s="355"/>
      <c r="DJ3" s="355"/>
      <c r="DK3" s="355"/>
      <c r="DL3" s="355"/>
      <c r="DM3" s="355"/>
      <c r="DN3" s="355"/>
      <c r="DO3" s="355"/>
      <c r="DP3" s="355"/>
      <c r="DQ3" s="355"/>
      <c r="DR3" s="355"/>
      <c r="DS3" s="355"/>
      <c r="DT3" s="355"/>
      <c r="DU3" s="355"/>
      <c r="DV3" s="355"/>
      <c r="DW3" s="355"/>
      <c r="DX3" s="355"/>
      <c r="DY3" s="355"/>
      <c r="DZ3" s="355"/>
      <c r="EA3" s="355"/>
      <c r="EB3" s="355"/>
      <c r="EC3" s="355"/>
      <c r="ED3" s="355"/>
      <c r="EE3" s="355"/>
      <c r="EF3" s="355"/>
      <c r="EG3" s="355"/>
      <c r="EH3" s="355"/>
      <c r="EI3" s="355"/>
      <c r="EJ3" s="355"/>
      <c r="EK3" s="355"/>
      <c r="EL3" s="355"/>
      <c r="EM3" s="355"/>
      <c r="EN3" s="355"/>
      <c r="EO3" s="355"/>
      <c r="EP3" s="355"/>
      <c r="EQ3" s="355"/>
      <c r="ER3" s="355"/>
      <c r="ES3" s="355"/>
      <c r="ET3" s="355"/>
      <c r="EU3" s="355"/>
      <c r="EV3" s="355"/>
      <c r="EW3" s="355"/>
      <c r="EX3" s="355"/>
      <c r="EY3" s="355"/>
      <c r="EZ3" s="355"/>
      <c r="FA3" s="355"/>
      <c r="FB3" s="355"/>
      <c r="FC3" s="355"/>
      <c r="FD3" s="355"/>
      <c r="FE3" s="355"/>
      <c r="FF3" s="355"/>
      <c r="FG3" s="355"/>
      <c r="FH3" s="355"/>
      <c r="FI3" s="355"/>
      <c r="FJ3" s="355"/>
      <c r="FK3" s="355"/>
      <c r="FL3" s="355"/>
      <c r="FM3" s="355"/>
      <c r="FN3" s="355"/>
      <c r="FO3" s="355"/>
      <c r="FP3" s="355"/>
      <c r="FQ3" s="355"/>
      <c r="FR3" s="355"/>
      <c r="FS3" s="355"/>
      <c r="FT3" s="355"/>
      <c r="FU3" s="355"/>
      <c r="FV3" s="355"/>
      <c r="FW3" s="355"/>
      <c r="FX3" s="355"/>
      <c r="FY3" s="355"/>
      <c r="FZ3" s="355"/>
      <c r="GA3" s="355"/>
      <c r="GB3" s="355"/>
      <c r="GC3" s="355"/>
      <c r="GD3" s="355"/>
      <c r="GE3" s="355"/>
      <c r="GF3" s="355"/>
      <c r="GG3" s="355"/>
      <c r="GH3" s="355"/>
      <c r="GI3" s="355"/>
      <c r="GJ3" s="355"/>
      <c r="GK3" s="355"/>
      <c r="GL3" s="355"/>
      <c r="GM3" s="355"/>
      <c r="GN3" s="355"/>
      <c r="GO3" s="355"/>
      <c r="GP3" s="355"/>
      <c r="GQ3" s="355"/>
      <c r="GR3" s="355"/>
      <c r="GS3" s="355"/>
      <c r="GT3" s="355"/>
      <c r="GU3" s="355"/>
      <c r="GV3" s="355"/>
      <c r="GW3" s="355"/>
      <c r="GX3" s="355"/>
      <c r="GY3" s="355"/>
      <c r="GZ3" s="355"/>
      <c r="HA3" s="355"/>
      <c r="HB3" s="355"/>
      <c r="HC3" s="355"/>
      <c r="HD3" s="355"/>
      <c r="HE3" s="355"/>
      <c r="HF3" s="355"/>
      <c r="HG3" s="355"/>
      <c r="HH3" s="355"/>
      <c r="HI3" s="355"/>
      <c r="HJ3" s="355"/>
      <c r="HK3" s="355"/>
      <c r="HL3" s="355"/>
      <c r="HM3" s="355"/>
      <c r="HN3" s="355"/>
      <c r="HO3" s="355"/>
      <c r="HP3" s="355"/>
      <c r="HQ3" s="355"/>
      <c r="HR3" s="355"/>
      <c r="HS3" s="355"/>
      <c r="HT3" s="355"/>
      <c r="HU3" s="355"/>
      <c r="HV3" s="355"/>
      <c r="HW3" s="355"/>
      <c r="HX3" s="355"/>
      <c r="HY3" s="355"/>
      <c r="HZ3" s="355"/>
      <c r="IA3" s="355"/>
      <c r="IB3" s="355"/>
      <c r="IC3" s="355"/>
      <c r="ID3" s="355"/>
      <c r="IE3" s="355"/>
      <c r="IF3" s="355"/>
      <c r="IG3" s="355"/>
      <c r="IH3" s="355"/>
      <c r="II3" s="355"/>
      <c r="IJ3" s="355"/>
      <c r="IK3" s="355"/>
      <c r="IL3" s="355"/>
      <c r="IM3" s="355"/>
      <c r="IN3" s="355"/>
      <c r="IO3" s="355"/>
      <c r="IP3" s="355"/>
      <c r="IQ3" s="355"/>
      <c r="IR3" s="355"/>
      <c r="IS3" s="355"/>
      <c r="IT3" s="355"/>
      <c r="IU3" s="355"/>
      <c r="IV3" s="355"/>
      <c r="IW3" s="355"/>
    </row>
    <row r="5" customFormat="false" ht="12.75" hidden="false" customHeight="false" outlineLevel="0" collapsed="false">
      <c r="A5" s="356" t="n">
        <v>46139</v>
      </c>
      <c r="B5" s="357" t="n">
        <v>46139</v>
      </c>
      <c r="C5" s="358"/>
      <c r="D5" s="359"/>
      <c r="E5" s="360"/>
      <c r="F5" s="361"/>
    </row>
    <row r="6" customFormat="false" ht="12.75" hidden="false" customHeight="false" outlineLevel="0" collapsed="false">
      <c r="A6" s="362" t="n">
        <v>46140</v>
      </c>
      <c r="B6" s="345" t="n">
        <v>46140</v>
      </c>
      <c r="F6" s="363"/>
    </row>
    <row r="7" customFormat="false" ht="12.75" hidden="false" customHeight="false" outlineLevel="0" collapsed="false">
      <c r="A7" s="362" t="n">
        <v>46141</v>
      </c>
      <c r="B7" s="345" t="n">
        <v>46141</v>
      </c>
      <c r="F7" s="363"/>
    </row>
    <row r="8" customFormat="false" ht="12.75" hidden="false" customHeight="false" outlineLevel="0" collapsed="false">
      <c r="A8" s="362" t="n">
        <v>46142</v>
      </c>
      <c r="B8" s="345" t="n">
        <v>46142</v>
      </c>
      <c r="F8" s="363"/>
    </row>
    <row r="9" customFormat="false" ht="12.75" hidden="false" customHeight="false" outlineLevel="0" collapsed="false">
      <c r="A9" s="362" t="n">
        <v>46143</v>
      </c>
      <c r="B9" s="345" t="n">
        <v>46143</v>
      </c>
      <c r="F9" s="363"/>
    </row>
    <row r="10" customFormat="false" ht="12.75" hidden="false" customHeight="false" outlineLevel="0" collapsed="false">
      <c r="A10" s="362" t="n">
        <v>46144</v>
      </c>
      <c r="B10" s="345" t="n">
        <v>46144</v>
      </c>
      <c r="F10" s="363"/>
    </row>
    <row r="11" customFormat="false" ht="12.75" hidden="false" customHeight="false" outlineLevel="0" collapsed="false">
      <c r="A11" s="362" t="n">
        <v>46145</v>
      </c>
      <c r="B11" s="345" t="n">
        <v>46145</v>
      </c>
      <c r="F11" s="363"/>
    </row>
    <row r="12" customFormat="false" ht="12.75" hidden="false" customHeight="false" outlineLevel="0" collapsed="false">
      <c r="A12" s="362" t="n">
        <v>46145</v>
      </c>
      <c r="B12" s="345" t="s">
        <v>247</v>
      </c>
      <c r="F12" s="363"/>
    </row>
    <row r="13" customFormat="false" ht="12.75" hidden="false" customHeight="false" outlineLevel="0" collapsed="false">
      <c r="A13" s="362" t="n">
        <v>46145</v>
      </c>
      <c r="B13" s="345" t="s">
        <v>248</v>
      </c>
      <c r="F13" s="363"/>
    </row>
    <row r="14" customFormat="false" ht="12.75" hidden="false" customHeight="false" outlineLevel="0" collapsed="false">
      <c r="A14" s="364"/>
      <c r="B14" s="365"/>
      <c r="C14" s="366"/>
      <c r="D14" s="367"/>
      <c r="E14" s="368" t="n">
        <f aca="false">SUM(E5:E13)</f>
        <v>0</v>
      </c>
      <c r="F14" s="369" t="n">
        <f aca="false">SUM(F5:F13)</f>
        <v>0</v>
      </c>
    </row>
    <row r="16" customFormat="false" ht="12.75" hidden="false" customHeight="false" outlineLevel="0" collapsed="false">
      <c r="A16" s="356" t="n">
        <v>46146</v>
      </c>
      <c r="B16" s="357" t="n">
        <v>46146</v>
      </c>
      <c r="C16" s="358"/>
      <c r="D16" s="359"/>
      <c r="E16" s="360"/>
      <c r="F16" s="361"/>
    </row>
    <row r="17" customFormat="false" ht="12.75" hidden="false" customHeight="false" outlineLevel="0" collapsed="false">
      <c r="A17" s="362" t="n">
        <v>46147</v>
      </c>
      <c r="B17" s="345" t="n">
        <v>46147</v>
      </c>
      <c r="E17" s="347" t="n">
        <v>200</v>
      </c>
      <c r="F17" s="363"/>
    </row>
    <row r="18" customFormat="false" ht="12.75" hidden="false" customHeight="false" outlineLevel="0" collapsed="false">
      <c r="A18" s="362" t="n">
        <v>46148</v>
      </c>
      <c r="B18" s="345" t="n">
        <v>46148</v>
      </c>
      <c r="E18" s="347" t="n">
        <v>200</v>
      </c>
      <c r="F18" s="363"/>
    </row>
    <row r="19" customFormat="false" ht="12.75" hidden="false" customHeight="false" outlineLevel="0" collapsed="false">
      <c r="A19" s="362" t="n">
        <v>46149</v>
      </c>
      <c r="B19" s="345" t="n">
        <v>46149</v>
      </c>
      <c r="E19" s="347" t="n">
        <v>200</v>
      </c>
      <c r="F19" s="363"/>
    </row>
    <row r="20" customFormat="false" ht="12.75" hidden="false" customHeight="false" outlineLevel="0" collapsed="false">
      <c r="A20" s="362" t="n">
        <v>46150</v>
      </c>
      <c r="B20" s="345" t="n">
        <v>46150</v>
      </c>
      <c r="E20" s="347" t="n">
        <v>200</v>
      </c>
      <c r="F20" s="363"/>
    </row>
    <row r="21" customFormat="false" ht="12.75" hidden="false" customHeight="false" outlineLevel="0" collapsed="false">
      <c r="A21" s="362" t="n">
        <v>46151</v>
      </c>
      <c r="B21" s="345" t="n">
        <v>46151</v>
      </c>
      <c r="E21" s="347" t="n">
        <v>200</v>
      </c>
      <c r="F21" s="363"/>
    </row>
    <row r="22" customFormat="false" ht="12.75" hidden="false" customHeight="false" outlineLevel="0" collapsed="false">
      <c r="A22" s="362" t="n">
        <v>46152</v>
      </c>
      <c r="B22" s="345" t="n">
        <v>46152</v>
      </c>
      <c r="F22" s="363"/>
    </row>
    <row r="23" customFormat="false" ht="12.75" hidden="false" customHeight="false" outlineLevel="0" collapsed="false">
      <c r="A23" s="362" t="n">
        <v>46152</v>
      </c>
      <c r="B23" s="345" t="s">
        <v>247</v>
      </c>
      <c r="F23" s="363"/>
    </row>
    <row r="24" customFormat="false" ht="12.75" hidden="false" customHeight="false" outlineLevel="0" collapsed="false">
      <c r="A24" s="362" t="n">
        <v>46152</v>
      </c>
      <c r="B24" s="345" t="s">
        <v>248</v>
      </c>
      <c r="F24" s="363"/>
    </row>
    <row r="25" customFormat="false" ht="12.75" hidden="false" customHeight="false" outlineLevel="0" collapsed="false">
      <c r="A25" s="364"/>
      <c r="B25" s="365"/>
      <c r="C25" s="366"/>
      <c r="D25" s="367"/>
      <c r="E25" s="368" t="n">
        <f aca="false">SUM(E16:E24)</f>
        <v>1000</v>
      </c>
      <c r="F25" s="369" t="n">
        <f aca="false">SUM(F16:F24)</f>
        <v>0</v>
      </c>
    </row>
    <row r="27" customFormat="false" ht="12.75" hidden="false" customHeight="false" outlineLevel="0" collapsed="false">
      <c r="A27" s="356" t="n">
        <v>46153</v>
      </c>
      <c r="B27" s="357" t="n">
        <v>46153</v>
      </c>
      <c r="C27" s="358"/>
      <c r="D27" s="359"/>
      <c r="E27" s="360"/>
      <c r="F27" s="361"/>
    </row>
    <row r="28" customFormat="false" ht="12.75" hidden="false" customHeight="false" outlineLevel="0" collapsed="false">
      <c r="A28" s="362" t="n">
        <v>46154</v>
      </c>
      <c r="B28" s="345" t="n">
        <v>46154</v>
      </c>
      <c r="E28" s="347" t="n">
        <v>200</v>
      </c>
      <c r="F28" s="363"/>
    </row>
    <row r="29" customFormat="false" ht="12.75" hidden="false" customHeight="false" outlineLevel="0" collapsed="false">
      <c r="A29" s="362" t="n">
        <v>46155</v>
      </c>
      <c r="B29" s="345" t="n">
        <v>46155</v>
      </c>
      <c r="E29" s="347" t="n">
        <v>200</v>
      </c>
      <c r="F29" s="363"/>
    </row>
    <row r="30" customFormat="false" ht="12.75" hidden="false" customHeight="false" outlineLevel="0" collapsed="false">
      <c r="A30" s="362" t="n">
        <v>46156</v>
      </c>
      <c r="B30" s="345" t="n">
        <v>46156</v>
      </c>
      <c r="E30" s="347" t="n">
        <v>200</v>
      </c>
      <c r="F30" s="363"/>
    </row>
    <row r="31" customFormat="false" ht="12.75" hidden="false" customHeight="false" outlineLevel="0" collapsed="false">
      <c r="A31" s="362" t="n">
        <v>46157</v>
      </c>
      <c r="B31" s="345" t="n">
        <v>46157</v>
      </c>
      <c r="E31" s="347" t="n">
        <v>200</v>
      </c>
      <c r="F31" s="363"/>
    </row>
    <row r="32" customFormat="false" ht="12.75" hidden="false" customHeight="false" outlineLevel="0" collapsed="false">
      <c r="A32" s="362" t="n">
        <v>46158</v>
      </c>
      <c r="B32" s="345" t="n">
        <v>46158</v>
      </c>
      <c r="E32" s="347" t="n">
        <v>200</v>
      </c>
      <c r="F32" s="363"/>
    </row>
    <row r="33" customFormat="false" ht="12.75" hidden="false" customHeight="false" outlineLevel="0" collapsed="false">
      <c r="A33" s="362" t="n">
        <v>46159</v>
      </c>
      <c r="B33" s="345" t="n">
        <v>46159</v>
      </c>
      <c r="F33" s="363"/>
    </row>
    <row r="34" customFormat="false" ht="12.75" hidden="false" customHeight="false" outlineLevel="0" collapsed="false">
      <c r="A34" s="362" t="n">
        <v>46159</v>
      </c>
      <c r="B34" s="345" t="s">
        <v>247</v>
      </c>
      <c r="F34" s="363"/>
    </row>
    <row r="35" customFormat="false" ht="12.75" hidden="false" customHeight="false" outlineLevel="0" collapsed="false">
      <c r="A35" s="362" t="n">
        <v>46159</v>
      </c>
      <c r="B35" s="345" t="s">
        <v>248</v>
      </c>
      <c r="F35" s="363"/>
    </row>
    <row r="36" customFormat="false" ht="12.75" hidden="false" customHeight="false" outlineLevel="0" collapsed="false">
      <c r="A36" s="364"/>
      <c r="B36" s="365"/>
      <c r="C36" s="366"/>
      <c r="D36" s="367"/>
      <c r="E36" s="368" t="n">
        <f aca="false">SUM(E27:E35)</f>
        <v>1000</v>
      </c>
      <c r="F36" s="369" t="n">
        <f aca="false">SUM(F27:F35)</f>
        <v>0</v>
      </c>
    </row>
    <row r="38" customFormat="false" ht="12.75" hidden="false" customHeight="false" outlineLevel="0" collapsed="false">
      <c r="A38" s="356" t="n">
        <v>46160</v>
      </c>
      <c r="B38" s="357" t="n">
        <v>46160</v>
      </c>
      <c r="C38" s="358"/>
      <c r="D38" s="359"/>
      <c r="E38" s="360"/>
      <c r="F38" s="361"/>
    </row>
    <row r="39" customFormat="false" ht="12.75" hidden="false" customHeight="false" outlineLevel="0" collapsed="false">
      <c r="A39" s="362" t="n">
        <v>46161</v>
      </c>
      <c r="B39" s="345" t="n">
        <v>46161</v>
      </c>
      <c r="E39" s="347" t="n">
        <v>200</v>
      </c>
      <c r="F39" s="363"/>
    </row>
    <row r="40" customFormat="false" ht="12.75" hidden="false" customHeight="false" outlineLevel="0" collapsed="false">
      <c r="A40" s="362" t="n">
        <v>46162</v>
      </c>
      <c r="B40" s="345" t="n">
        <v>46162</v>
      </c>
      <c r="E40" s="347" t="n">
        <v>200</v>
      </c>
      <c r="F40" s="363"/>
    </row>
    <row r="41" customFormat="false" ht="12.75" hidden="false" customHeight="false" outlineLevel="0" collapsed="false">
      <c r="A41" s="362" t="n">
        <v>46163</v>
      </c>
      <c r="B41" s="345" t="n">
        <v>46163</v>
      </c>
      <c r="E41" s="347" t="n">
        <v>200</v>
      </c>
      <c r="F41" s="363"/>
    </row>
    <row r="42" customFormat="false" ht="12.75" hidden="false" customHeight="false" outlineLevel="0" collapsed="false">
      <c r="A42" s="362" t="n">
        <v>46164</v>
      </c>
      <c r="B42" s="345" t="n">
        <v>46164</v>
      </c>
      <c r="E42" s="347" t="n">
        <v>200</v>
      </c>
      <c r="F42" s="363"/>
    </row>
    <row r="43" customFormat="false" ht="12.75" hidden="false" customHeight="false" outlineLevel="0" collapsed="false">
      <c r="A43" s="362" t="n">
        <v>46165</v>
      </c>
      <c r="B43" s="345" t="n">
        <v>46165</v>
      </c>
      <c r="E43" s="347" t="n">
        <v>200</v>
      </c>
      <c r="F43" s="363"/>
    </row>
    <row r="44" customFormat="false" ht="12.75" hidden="false" customHeight="false" outlineLevel="0" collapsed="false">
      <c r="A44" s="362" t="n">
        <v>46166</v>
      </c>
      <c r="B44" s="345" t="n">
        <v>46166</v>
      </c>
      <c r="F44" s="363"/>
    </row>
    <row r="45" customFormat="false" ht="12.75" hidden="false" customHeight="false" outlineLevel="0" collapsed="false">
      <c r="A45" s="362" t="n">
        <v>46166</v>
      </c>
      <c r="B45" s="345" t="s">
        <v>247</v>
      </c>
      <c r="F45" s="363"/>
    </row>
    <row r="46" customFormat="false" ht="12.75" hidden="false" customHeight="false" outlineLevel="0" collapsed="false">
      <c r="A46" s="362" t="n">
        <v>46166</v>
      </c>
      <c r="B46" s="345" t="s">
        <v>248</v>
      </c>
      <c r="F46" s="363"/>
    </row>
    <row r="47" customFormat="false" ht="12.75" hidden="false" customHeight="false" outlineLevel="0" collapsed="false">
      <c r="A47" s="364"/>
      <c r="B47" s="365"/>
      <c r="C47" s="366"/>
      <c r="D47" s="367"/>
      <c r="E47" s="368" t="n">
        <f aca="false">SUM(E38:E46)</f>
        <v>1000</v>
      </c>
      <c r="F47" s="369" t="n">
        <f aca="false">SUM(F38:F46)</f>
        <v>0</v>
      </c>
    </row>
    <row r="49" customFormat="false" ht="12.75" hidden="false" customHeight="false" outlineLevel="0" collapsed="false">
      <c r="A49" s="356" t="n">
        <v>46167</v>
      </c>
      <c r="B49" s="357" t="n">
        <v>46167</v>
      </c>
      <c r="C49" s="358"/>
      <c r="D49" s="359"/>
      <c r="E49" s="360"/>
      <c r="F49" s="361"/>
    </row>
    <row r="50" customFormat="false" ht="12.75" hidden="false" customHeight="false" outlineLevel="0" collapsed="false">
      <c r="A50" s="362" t="n">
        <v>46168</v>
      </c>
      <c r="B50" s="345" t="n">
        <v>46168</v>
      </c>
      <c r="F50" s="363"/>
    </row>
    <row r="51" customFormat="false" ht="12.75" hidden="false" customHeight="false" outlineLevel="0" collapsed="false">
      <c r="A51" s="362" t="n">
        <v>46169</v>
      </c>
      <c r="B51" s="345" t="n">
        <v>46169</v>
      </c>
      <c r="F51" s="363"/>
    </row>
    <row r="52" customFormat="false" ht="12.75" hidden="false" customHeight="false" outlineLevel="0" collapsed="false">
      <c r="A52" s="362" t="n">
        <v>46170</v>
      </c>
      <c r="B52" s="345" t="n">
        <v>46170</v>
      </c>
      <c r="F52" s="363"/>
    </row>
    <row r="53" customFormat="false" ht="12.75" hidden="false" customHeight="false" outlineLevel="0" collapsed="false">
      <c r="A53" s="362" t="n">
        <v>46171</v>
      </c>
      <c r="B53" s="345" t="n">
        <v>46171</v>
      </c>
      <c r="F53" s="363"/>
    </row>
    <row r="54" customFormat="false" ht="12.75" hidden="false" customHeight="false" outlineLevel="0" collapsed="false">
      <c r="A54" s="362" t="n">
        <v>46172</v>
      </c>
      <c r="B54" s="345" t="n">
        <v>46172</v>
      </c>
      <c r="F54" s="363"/>
    </row>
    <row r="55" customFormat="false" ht="12.75" hidden="false" customHeight="false" outlineLevel="0" collapsed="false">
      <c r="A55" s="362" t="n">
        <v>46173</v>
      </c>
      <c r="B55" s="345" t="n">
        <v>46173</v>
      </c>
      <c r="F55" s="363"/>
    </row>
    <row r="56" customFormat="false" ht="12.75" hidden="false" customHeight="false" outlineLevel="0" collapsed="false">
      <c r="A56" s="362" t="n">
        <v>46173</v>
      </c>
      <c r="B56" s="345" t="s">
        <v>247</v>
      </c>
      <c r="F56" s="363"/>
    </row>
    <row r="57" customFormat="false" ht="12.75" hidden="false" customHeight="false" outlineLevel="0" collapsed="false">
      <c r="A57" s="362" t="n">
        <v>46173</v>
      </c>
      <c r="B57" s="345" t="s">
        <v>248</v>
      </c>
      <c r="F57" s="363"/>
    </row>
    <row r="58" customFormat="false" ht="12.75" hidden="false" customHeight="false" outlineLevel="0" collapsed="false">
      <c r="A58" s="364"/>
      <c r="B58" s="365"/>
      <c r="C58" s="366"/>
      <c r="D58" s="367"/>
      <c r="E58" s="368" t="n">
        <f aca="false">SUM(E49:E57)</f>
        <v>0</v>
      </c>
      <c r="F58" s="369" t="n">
        <f aca="false">SUM(F49:F57)</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customHeight="false" zeroHeight="false" outlineLevelRow="0" outlineLevelCol="0"/>
  <cols>
    <col collapsed="false" customWidth="false" hidden="false" outlineLevel="0" max="1" min="1" style="370" width="9.15"/>
    <col collapsed="false" customWidth="true" hidden="false" outlineLevel="0" max="2" min="2" style="179" width="23.99"/>
    <col collapsed="false" customWidth="true" hidden="false" outlineLevel="0" max="3" min="3" style="179" width="15.99"/>
    <col collapsed="false" customWidth="false" hidden="false" outlineLevel="0" max="5" min="4" style="371" width="9.15"/>
    <col collapsed="false" customWidth="true" hidden="false" outlineLevel="0" max="6" min="6" style="372" width="12.66"/>
    <col collapsed="false" customWidth="true" hidden="false" outlineLevel="0" max="7" min="7" style="180" width="9.99"/>
    <col collapsed="false" customWidth="true" hidden="false" outlineLevel="0" max="8" min="8" style="180" width="9.49"/>
    <col collapsed="false" customWidth="true" hidden="false" outlineLevel="0" max="10" min="9" style="180" width="8.66"/>
    <col collapsed="false" customWidth="true" hidden="false" outlineLevel="0" max="11" min="11" style="180" width="7.99"/>
    <col collapsed="false" customWidth="true" hidden="false" outlineLevel="0" max="12" min="12" style="180" width="7.66"/>
    <col collapsed="false" customWidth="true" hidden="false" outlineLevel="0" max="13" min="13" style="180" width="8.66"/>
    <col collapsed="false" customWidth="true" hidden="false" outlineLevel="0" max="14" min="14" style="180" width="8.82"/>
    <col collapsed="false" customWidth="true" hidden="false" outlineLevel="0" max="15" min="15" style="180" width="9.49"/>
    <col collapsed="false" customWidth="true" hidden="false" outlineLevel="0" max="18" min="16" style="180" width="7.66"/>
    <col collapsed="false" customWidth="true" hidden="false" outlineLevel="0" max="19" min="19" style="180" width="8.15"/>
    <col collapsed="false" customWidth="true" hidden="false" outlineLevel="0" max="20" min="20" style="179" width="12.82"/>
    <col collapsed="false" customWidth="true" hidden="false" outlineLevel="0" max="21" min="21" style="180" width="8.49"/>
    <col collapsed="false" customWidth="false" hidden="false" outlineLevel="0" max="257" min="22" style="179" width="9.15"/>
  </cols>
  <sheetData>
    <row r="1" customFormat="false" ht="13.5" hidden="false" customHeight="true" outlineLevel="0" collapsed="false">
      <c r="A1" s="389" t="n">
        <f aca="false">E1+SalesMay!$D$1+PurchasesApr!A1</f>
        <v>0</v>
      </c>
      <c r="B1" s="390" t="s">
        <v>249</v>
      </c>
      <c r="C1" s="391" t="s">
        <v>242</v>
      </c>
      <c r="D1" s="375" t="str">
        <f aca="false">IF((F1-SUM(G1:S1)&lt;&gt;0),(F1-SUM(G1:S1))," ")</f>
        <v> </v>
      </c>
      <c r="E1" s="351" t="n">
        <f aca="false">SUM(E5:E199)</f>
        <v>0</v>
      </c>
      <c r="F1" s="350" t="n">
        <f aca="false">SUM(F5:F199)</f>
        <v>300</v>
      </c>
      <c r="G1" s="350" t="n">
        <f aca="false">SUM(G5:G199)</f>
        <v>300</v>
      </c>
      <c r="H1" s="350" t="n">
        <f aca="false">SUM(H5:H199)</f>
        <v>0</v>
      </c>
      <c r="I1" s="350" t="n">
        <f aca="false">SUM(I5:I199)</f>
        <v>0</v>
      </c>
      <c r="J1" s="350" t="n">
        <f aca="false">SUM(J5:J199)</f>
        <v>0</v>
      </c>
      <c r="K1" s="350" t="n">
        <f aca="false">SUM(K5:K199)</f>
        <v>0</v>
      </c>
      <c r="L1" s="350" t="n">
        <f aca="false">SUM(L5:L199)</f>
        <v>0</v>
      </c>
      <c r="M1" s="350" t="n">
        <f aca="false">SUM(M5:M199)</f>
        <v>0</v>
      </c>
      <c r="N1" s="350" t="n">
        <f aca="false">SUM(N5:N199)</f>
        <v>0</v>
      </c>
      <c r="O1" s="350" t="n">
        <f aca="false">SUM(O5:O199)</f>
        <v>0</v>
      </c>
      <c r="P1" s="350" t="n">
        <f aca="false">SUM(P5:P199)</f>
        <v>0</v>
      </c>
      <c r="Q1" s="350" t="n">
        <f aca="false">SUM(Q5:Q199)</f>
        <v>0</v>
      </c>
      <c r="R1" s="350" t="n">
        <f aca="false">SUM(R5:R199)</f>
        <v>0</v>
      </c>
      <c r="S1" s="392" t="n">
        <f aca="false">SUM(S5:S199)</f>
        <v>0</v>
      </c>
      <c r="T1" s="393" t="n">
        <f aca="false">S1+PurchasesApr!T1</f>
        <v>0</v>
      </c>
      <c r="U1" s="392" t="n">
        <f aca="false">SUM(U4:U199)</f>
        <v>0</v>
      </c>
      <c r="V1" s="180"/>
      <c r="W1" s="180"/>
      <c r="X1" s="180"/>
      <c r="Y1" s="180"/>
      <c r="Z1" s="180"/>
      <c r="AA1" s="180"/>
      <c r="AB1" s="180"/>
      <c r="AC1" s="180"/>
      <c r="AD1" s="180"/>
      <c r="AE1" s="180"/>
      <c r="AF1" s="180"/>
      <c r="AG1" s="180"/>
      <c r="AH1" s="180"/>
      <c r="AI1" s="180"/>
      <c r="AJ1" s="180"/>
      <c r="AK1" s="180"/>
      <c r="AL1" s="180"/>
      <c r="AM1" s="180"/>
      <c r="AN1" s="180"/>
      <c r="AO1" s="180"/>
      <c r="AP1" s="180"/>
      <c r="AQ1" s="180"/>
      <c r="AR1" s="180"/>
      <c r="AS1" s="180"/>
      <c r="AT1" s="180"/>
      <c r="AU1" s="180"/>
      <c r="AV1" s="180"/>
      <c r="AW1" s="180"/>
      <c r="AX1" s="180"/>
      <c r="AY1" s="180"/>
      <c r="AZ1" s="180"/>
      <c r="BA1" s="180"/>
      <c r="BB1" s="180"/>
      <c r="BC1" s="180"/>
      <c r="BD1" s="180"/>
      <c r="BE1" s="180"/>
      <c r="BF1" s="180"/>
      <c r="BG1" s="180"/>
      <c r="BH1" s="180"/>
      <c r="BI1" s="180"/>
      <c r="BJ1" s="180"/>
      <c r="BK1" s="180"/>
      <c r="BL1" s="180"/>
      <c r="BM1" s="180"/>
      <c r="BN1" s="180"/>
      <c r="BO1" s="180"/>
      <c r="BP1" s="180"/>
      <c r="BQ1" s="180"/>
      <c r="BR1" s="180"/>
      <c r="BS1" s="180"/>
      <c r="BT1" s="180"/>
      <c r="BU1" s="180"/>
      <c r="BV1" s="180"/>
      <c r="BW1" s="180"/>
      <c r="BX1" s="180"/>
      <c r="BY1" s="180"/>
      <c r="BZ1" s="180"/>
      <c r="CA1" s="180"/>
      <c r="CB1" s="180"/>
      <c r="CC1" s="180"/>
      <c r="CD1" s="180"/>
      <c r="CE1" s="180"/>
      <c r="CF1" s="180"/>
      <c r="CG1" s="180"/>
      <c r="CH1" s="180"/>
      <c r="CI1" s="180"/>
      <c r="CJ1" s="180"/>
      <c r="CK1" s="180"/>
      <c r="CL1" s="180"/>
      <c r="CM1" s="180"/>
      <c r="CN1" s="180"/>
      <c r="CO1" s="180"/>
      <c r="CP1" s="180"/>
      <c r="CQ1" s="180"/>
      <c r="CR1" s="180"/>
      <c r="CS1" s="180"/>
      <c r="CT1" s="180"/>
      <c r="CU1" s="180"/>
      <c r="CV1" s="180"/>
      <c r="CW1" s="180"/>
      <c r="CX1" s="180"/>
      <c r="CY1" s="180"/>
      <c r="CZ1" s="180"/>
      <c r="DA1" s="180"/>
      <c r="DB1" s="180"/>
      <c r="DC1" s="180"/>
      <c r="DD1" s="180"/>
      <c r="DE1" s="180"/>
      <c r="DF1" s="180"/>
      <c r="DG1" s="180"/>
      <c r="DH1" s="180"/>
      <c r="DI1" s="180"/>
      <c r="DJ1" s="180"/>
      <c r="DK1" s="180"/>
      <c r="DL1" s="180"/>
      <c r="DM1" s="180"/>
      <c r="DN1" s="180"/>
      <c r="DO1" s="180"/>
      <c r="DP1" s="180"/>
      <c r="DQ1" s="180"/>
      <c r="DR1" s="180"/>
      <c r="DS1" s="180"/>
      <c r="DT1" s="180"/>
      <c r="DU1" s="180"/>
      <c r="DV1" s="180"/>
      <c r="DW1" s="180"/>
      <c r="DX1" s="180"/>
      <c r="DY1" s="180"/>
      <c r="DZ1" s="180"/>
      <c r="EA1" s="180"/>
      <c r="EB1" s="180"/>
      <c r="EC1" s="180"/>
      <c r="ED1" s="180"/>
      <c r="EE1" s="180"/>
      <c r="EF1" s="180"/>
      <c r="EG1" s="180"/>
      <c r="EH1" s="180"/>
      <c r="EI1" s="180"/>
      <c r="EJ1" s="180"/>
      <c r="EK1" s="180"/>
      <c r="EL1" s="180"/>
      <c r="EM1" s="180"/>
      <c r="EN1" s="180"/>
      <c r="EO1" s="180"/>
      <c r="EP1" s="180"/>
      <c r="EQ1" s="180"/>
      <c r="ER1" s="180"/>
      <c r="ES1" s="180"/>
      <c r="ET1" s="180"/>
      <c r="EU1" s="180"/>
      <c r="EV1" s="180"/>
      <c r="EW1" s="180"/>
      <c r="EX1" s="180"/>
      <c r="EY1" s="180"/>
      <c r="EZ1" s="180"/>
      <c r="FA1" s="180"/>
      <c r="FB1" s="180"/>
      <c r="FC1" s="180"/>
      <c r="FD1" s="180"/>
      <c r="FE1" s="180"/>
      <c r="FF1" s="180"/>
      <c r="FG1" s="180"/>
      <c r="FH1" s="180"/>
      <c r="FI1" s="180"/>
      <c r="FJ1" s="180"/>
      <c r="FK1" s="180"/>
      <c r="FL1" s="180"/>
      <c r="FM1" s="180"/>
      <c r="FN1" s="180"/>
      <c r="FO1" s="180"/>
      <c r="FP1" s="180"/>
      <c r="FQ1" s="180"/>
      <c r="FR1" s="180"/>
      <c r="FS1" s="180"/>
      <c r="FT1" s="180"/>
      <c r="FU1" s="180"/>
      <c r="FV1" s="180"/>
      <c r="FW1" s="180"/>
      <c r="FX1" s="180"/>
      <c r="FY1" s="180"/>
      <c r="FZ1" s="180"/>
      <c r="GA1" s="180"/>
      <c r="GB1" s="180"/>
      <c r="GC1" s="180"/>
      <c r="GD1" s="180"/>
      <c r="GE1" s="180"/>
      <c r="GF1" s="180"/>
      <c r="GG1" s="180"/>
      <c r="GH1" s="180"/>
      <c r="GI1" s="180"/>
      <c r="GJ1" s="180"/>
      <c r="GK1" s="180"/>
      <c r="GL1" s="180"/>
      <c r="GM1" s="180"/>
      <c r="GN1" s="180"/>
      <c r="GO1" s="180"/>
      <c r="GP1" s="180"/>
      <c r="GQ1" s="180"/>
      <c r="GR1" s="180"/>
      <c r="GS1" s="180"/>
      <c r="GT1" s="180"/>
      <c r="GU1" s="180"/>
      <c r="GV1" s="180"/>
      <c r="GW1" s="180"/>
      <c r="GX1" s="180"/>
      <c r="GY1" s="180"/>
      <c r="GZ1" s="180"/>
      <c r="HA1" s="180"/>
      <c r="HB1" s="180"/>
      <c r="HC1" s="180"/>
      <c r="HD1" s="180"/>
      <c r="HE1" s="180"/>
      <c r="HF1" s="180"/>
      <c r="HG1" s="180"/>
      <c r="HH1" s="180"/>
      <c r="HI1" s="180"/>
      <c r="HJ1" s="180"/>
      <c r="HK1" s="180"/>
      <c r="HL1" s="180"/>
      <c r="HM1" s="180"/>
      <c r="HN1" s="180"/>
      <c r="HO1" s="180"/>
      <c r="HP1" s="180"/>
      <c r="HQ1" s="180"/>
      <c r="HR1" s="180"/>
      <c r="HS1" s="180"/>
      <c r="HT1" s="180"/>
      <c r="HU1" s="180"/>
      <c r="HV1" s="180"/>
      <c r="HW1" s="180"/>
      <c r="HX1" s="180"/>
      <c r="HY1" s="180"/>
      <c r="HZ1" s="180"/>
      <c r="IA1" s="180"/>
      <c r="IB1" s="180"/>
      <c r="IC1" s="180"/>
      <c r="ID1" s="180"/>
      <c r="IE1" s="180"/>
      <c r="IF1" s="180"/>
      <c r="IG1" s="180"/>
      <c r="IH1" s="180"/>
      <c r="II1" s="180"/>
      <c r="IJ1" s="180"/>
      <c r="IK1" s="180"/>
      <c r="IL1" s="180"/>
      <c r="IM1" s="180"/>
      <c r="IN1" s="180"/>
      <c r="IO1" s="180"/>
      <c r="IP1" s="180"/>
      <c r="IQ1" s="180"/>
      <c r="IR1" s="180"/>
      <c r="IS1" s="180"/>
      <c r="IT1" s="180"/>
      <c r="IU1" s="180"/>
      <c r="IV1" s="180"/>
      <c r="IW1" s="180"/>
    </row>
    <row r="2" customFormat="false" ht="13.5" hidden="false" customHeight="true" outlineLevel="0" collapsed="false">
      <c r="A2" s="394" t="n">
        <f aca="false">U1+PurchasesApr!A2</f>
        <v>0</v>
      </c>
      <c r="B2" s="239" t="s">
        <v>250</v>
      </c>
      <c r="C2" s="378" t="s">
        <v>251</v>
      </c>
      <c r="D2" s="378" t="s">
        <v>252</v>
      </c>
      <c r="E2" s="378" t="s">
        <v>253</v>
      </c>
      <c r="F2" s="206" t="s">
        <v>254</v>
      </c>
      <c r="G2" s="379" t="s">
        <v>255</v>
      </c>
      <c r="H2" s="379"/>
      <c r="I2" s="380" t="n">
        <f aca="false">G1+H1+I1+J1+PurchasesApr!I2</f>
        <v>1980</v>
      </c>
      <c r="J2" s="380"/>
      <c r="K2" s="206" t="s">
        <v>256</v>
      </c>
      <c r="L2" s="206" t="s">
        <v>257</v>
      </c>
      <c r="M2" s="206" t="s">
        <v>258</v>
      </c>
      <c r="N2" s="206" t="s">
        <v>290</v>
      </c>
      <c r="O2" s="206" t="s">
        <v>260</v>
      </c>
      <c r="P2" s="206" t="s">
        <v>261</v>
      </c>
      <c r="Q2" s="206" t="s">
        <v>262</v>
      </c>
      <c r="R2" s="206" t="s">
        <v>263</v>
      </c>
      <c r="S2" s="381" t="s">
        <v>264</v>
      </c>
      <c r="T2" s="382" t="str">
        <f aca="false">IF(T1&gt;'Fixed Assets'!$D$74,"ENTER VEHICLE CHANGES        on Fixed Asset schedule","Motor Vehicles: make, model, date reg. and reg. Mark")</f>
        <v>Motor Vehicles: make, model, date reg. and reg. Mark</v>
      </c>
      <c r="U2" s="381" t="s">
        <v>118</v>
      </c>
      <c r="V2" s="180"/>
      <c r="W2" s="180"/>
      <c r="X2" s="180"/>
      <c r="Y2" s="180"/>
      <c r="Z2" s="180"/>
      <c r="AA2" s="180"/>
      <c r="AB2" s="180"/>
      <c r="AC2" s="180"/>
      <c r="AD2" s="180"/>
      <c r="AE2" s="180"/>
      <c r="AF2" s="180"/>
      <c r="AG2" s="180"/>
      <c r="AH2" s="180"/>
      <c r="AI2" s="180"/>
      <c r="AJ2" s="180"/>
      <c r="AK2" s="180"/>
      <c r="AL2" s="180"/>
      <c r="AM2" s="180"/>
      <c r="AN2" s="180"/>
      <c r="AO2" s="180"/>
      <c r="AP2" s="180"/>
      <c r="AQ2" s="180"/>
      <c r="AR2" s="180"/>
      <c r="AS2" s="180"/>
      <c r="AT2" s="180"/>
      <c r="AU2" s="180"/>
      <c r="AV2" s="180"/>
      <c r="AW2" s="180"/>
      <c r="AX2" s="180"/>
      <c r="AY2" s="180"/>
      <c r="AZ2" s="180"/>
      <c r="BA2" s="180"/>
      <c r="BB2" s="180"/>
      <c r="BC2" s="180"/>
      <c r="BD2" s="180"/>
      <c r="BE2" s="180"/>
      <c r="BF2" s="180"/>
      <c r="BG2" s="180"/>
      <c r="BH2" s="180"/>
      <c r="BI2" s="180"/>
      <c r="BJ2" s="180"/>
      <c r="BK2" s="180"/>
      <c r="BL2" s="180"/>
      <c r="BM2" s="180"/>
      <c r="BN2" s="180"/>
      <c r="BO2" s="180"/>
      <c r="BP2" s="180"/>
      <c r="BQ2" s="180"/>
      <c r="BR2" s="180"/>
      <c r="BS2" s="180"/>
      <c r="BT2" s="180"/>
      <c r="BU2" s="180"/>
      <c r="BV2" s="180"/>
      <c r="BW2" s="180"/>
      <c r="BX2" s="180"/>
      <c r="BY2" s="180"/>
      <c r="BZ2" s="180"/>
      <c r="CA2" s="180"/>
      <c r="CB2" s="180"/>
      <c r="CC2" s="180"/>
      <c r="CD2" s="180"/>
      <c r="CE2" s="180"/>
      <c r="CF2" s="180"/>
      <c r="CG2" s="180"/>
      <c r="CH2" s="180"/>
      <c r="CI2" s="180"/>
      <c r="CJ2" s="180"/>
      <c r="CK2" s="180"/>
      <c r="CL2" s="180"/>
      <c r="CM2" s="180"/>
      <c r="CN2" s="180"/>
      <c r="CO2" s="180"/>
      <c r="CP2" s="180"/>
      <c r="CQ2" s="180"/>
      <c r="CR2" s="180"/>
      <c r="CS2" s="180"/>
      <c r="CT2" s="180"/>
      <c r="CU2" s="180"/>
      <c r="CV2" s="180"/>
      <c r="CW2" s="180"/>
      <c r="CX2" s="180"/>
      <c r="CY2" s="180"/>
      <c r="CZ2" s="180"/>
      <c r="DA2" s="180"/>
      <c r="DB2" s="180"/>
      <c r="DC2" s="180"/>
      <c r="DD2" s="180"/>
      <c r="DE2" s="180"/>
      <c r="DF2" s="180"/>
      <c r="DG2" s="180"/>
      <c r="DH2" s="180"/>
      <c r="DI2" s="180"/>
      <c r="DJ2" s="180"/>
      <c r="DK2" s="180"/>
      <c r="DL2" s="180"/>
      <c r="DM2" s="180"/>
      <c r="DN2" s="180"/>
      <c r="DO2" s="180"/>
      <c r="DP2" s="180"/>
      <c r="DQ2" s="180"/>
      <c r="DR2" s="180"/>
      <c r="DS2" s="180"/>
      <c r="DT2" s="180"/>
      <c r="DU2" s="180"/>
      <c r="DV2" s="180"/>
      <c r="DW2" s="180"/>
      <c r="DX2" s="180"/>
      <c r="DY2" s="180"/>
      <c r="DZ2" s="180"/>
      <c r="EA2" s="180"/>
      <c r="EB2" s="180"/>
      <c r="EC2" s="180"/>
      <c r="ED2" s="180"/>
      <c r="EE2" s="180"/>
      <c r="EF2" s="180"/>
      <c r="EG2" s="180"/>
      <c r="EH2" s="180"/>
      <c r="EI2" s="180"/>
      <c r="EJ2" s="180"/>
      <c r="EK2" s="180"/>
      <c r="EL2" s="180"/>
      <c r="EM2" s="180"/>
      <c r="EN2" s="180"/>
      <c r="EO2" s="180"/>
      <c r="EP2" s="180"/>
      <c r="EQ2" s="180"/>
      <c r="ER2" s="180"/>
      <c r="ES2" s="180"/>
      <c r="ET2" s="180"/>
      <c r="EU2" s="180"/>
      <c r="EV2" s="180"/>
      <c r="EW2" s="180"/>
      <c r="EX2" s="180"/>
      <c r="EY2" s="180"/>
      <c r="EZ2" s="180"/>
      <c r="FA2" s="180"/>
      <c r="FB2" s="180"/>
      <c r="FC2" s="180"/>
      <c r="FD2" s="180"/>
      <c r="FE2" s="180"/>
      <c r="FF2" s="180"/>
      <c r="FG2" s="180"/>
      <c r="FH2" s="180"/>
      <c r="FI2" s="180"/>
      <c r="FJ2" s="180"/>
      <c r="FK2" s="180"/>
      <c r="FL2" s="180"/>
      <c r="FM2" s="180"/>
      <c r="FN2" s="180"/>
      <c r="FO2" s="180"/>
      <c r="FP2" s="180"/>
      <c r="FQ2" s="180"/>
      <c r="FR2" s="180"/>
      <c r="FS2" s="180"/>
      <c r="FT2" s="180"/>
      <c r="FU2" s="180"/>
      <c r="FV2" s="180"/>
      <c r="FW2" s="180"/>
      <c r="FX2" s="180"/>
      <c r="FY2" s="180"/>
      <c r="FZ2" s="180"/>
      <c r="GA2" s="180"/>
      <c r="GB2" s="180"/>
      <c r="GC2" s="180"/>
      <c r="GD2" s="180"/>
      <c r="GE2" s="180"/>
      <c r="GF2" s="180"/>
      <c r="GG2" s="180"/>
      <c r="GH2" s="180"/>
      <c r="GI2" s="180"/>
      <c r="GJ2" s="180"/>
      <c r="GK2" s="180"/>
      <c r="GL2" s="180"/>
      <c r="GM2" s="180"/>
      <c r="GN2" s="180"/>
      <c r="GO2" s="180"/>
      <c r="GP2" s="180"/>
      <c r="GQ2" s="180"/>
      <c r="GR2" s="180"/>
      <c r="GS2" s="180"/>
      <c r="GT2" s="180"/>
      <c r="GU2" s="180"/>
      <c r="GV2" s="180"/>
      <c r="GW2" s="180"/>
      <c r="GX2" s="180"/>
      <c r="GY2" s="180"/>
      <c r="GZ2" s="180"/>
      <c r="HA2" s="180"/>
      <c r="HB2" s="180"/>
      <c r="HC2" s="180"/>
      <c r="HD2" s="180"/>
      <c r="HE2" s="180"/>
      <c r="HF2" s="180"/>
      <c r="HG2" s="180"/>
      <c r="HH2" s="180"/>
      <c r="HI2" s="180"/>
      <c r="HJ2" s="180"/>
      <c r="HK2" s="180"/>
      <c r="HL2" s="180"/>
      <c r="HM2" s="180"/>
      <c r="HN2" s="180"/>
      <c r="HO2" s="180"/>
      <c r="HP2" s="180"/>
      <c r="HQ2" s="180"/>
      <c r="HR2" s="180"/>
      <c r="HS2" s="180"/>
      <c r="HT2" s="180"/>
      <c r="HU2" s="180"/>
      <c r="HV2" s="180"/>
      <c r="HW2" s="180"/>
      <c r="HX2" s="180"/>
      <c r="HY2" s="180"/>
      <c r="HZ2" s="180"/>
      <c r="IA2" s="180"/>
      <c r="IB2" s="180"/>
      <c r="IC2" s="180"/>
      <c r="ID2" s="180"/>
      <c r="IE2" s="180"/>
      <c r="IF2" s="180"/>
      <c r="IG2" s="180"/>
      <c r="IH2" s="180"/>
      <c r="II2" s="180"/>
      <c r="IJ2" s="180"/>
      <c r="IK2" s="180"/>
      <c r="IL2" s="180"/>
      <c r="IM2" s="180"/>
      <c r="IN2" s="180"/>
      <c r="IO2" s="180"/>
      <c r="IP2" s="180"/>
      <c r="IQ2" s="180"/>
      <c r="IR2" s="180"/>
      <c r="IS2" s="180"/>
      <c r="IT2" s="180"/>
      <c r="IU2" s="180"/>
      <c r="IV2" s="180"/>
      <c r="IW2" s="180"/>
    </row>
    <row r="3" customFormat="false" ht="45" hidden="false" customHeight="true" outlineLevel="0" collapsed="false">
      <c r="A3" s="383" t="s">
        <v>265</v>
      </c>
      <c r="B3" s="206" t="s">
        <v>266</v>
      </c>
      <c r="C3" s="378"/>
      <c r="D3" s="378"/>
      <c r="E3" s="378"/>
      <c r="F3" s="378"/>
      <c r="G3" s="206" t="s">
        <v>113</v>
      </c>
      <c r="H3" s="206" t="s">
        <v>267</v>
      </c>
      <c r="I3" s="206" t="s">
        <v>115</v>
      </c>
      <c r="J3" s="206" t="s">
        <v>116</v>
      </c>
      <c r="K3" s="206"/>
      <c r="L3" s="206"/>
      <c r="M3" s="206"/>
      <c r="N3" s="206"/>
      <c r="O3" s="206"/>
      <c r="P3" s="206"/>
      <c r="Q3" s="206"/>
      <c r="R3" s="206"/>
      <c r="S3" s="381"/>
      <c r="T3" s="382"/>
      <c r="U3" s="381"/>
      <c r="V3" s="384"/>
      <c r="W3" s="384"/>
      <c r="X3" s="384"/>
      <c r="Y3" s="384"/>
      <c r="Z3" s="384"/>
      <c r="AA3" s="384"/>
      <c r="AB3" s="384"/>
      <c r="AC3" s="384"/>
      <c r="AD3" s="384"/>
      <c r="AE3" s="384"/>
      <c r="AF3" s="384"/>
      <c r="AG3" s="384"/>
      <c r="AH3" s="384"/>
      <c r="AI3" s="384"/>
      <c r="AJ3" s="384"/>
      <c r="AK3" s="384"/>
      <c r="AL3" s="384"/>
      <c r="AM3" s="384"/>
      <c r="AN3" s="384"/>
      <c r="AO3" s="384"/>
      <c r="AP3" s="384"/>
      <c r="AQ3" s="384"/>
      <c r="AR3" s="384"/>
      <c r="AS3" s="384"/>
      <c r="AT3" s="384"/>
      <c r="AU3" s="384"/>
      <c r="AV3" s="384"/>
      <c r="AW3" s="384"/>
      <c r="AX3" s="384"/>
      <c r="AY3" s="384"/>
      <c r="AZ3" s="384"/>
      <c r="BA3" s="384"/>
      <c r="BB3" s="384"/>
      <c r="BC3" s="384"/>
      <c r="BD3" s="384"/>
      <c r="BE3" s="384"/>
      <c r="BF3" s="384"/>
      <c r="BG3" s="384"/>
      <c r="BH3" s="384"/>
      <c r="BI3" s="384"/>
      <c r="BJ3" s="384"/>
      <c r="BK3" s="384"/>
      <c r="BL3" s="384"/>
      <c r="BM3" s="384"/>
      <c r="BN3" s="384"/>
      <c r="BO3" s="384"/>
      <c r="BP3" s="384"/>
      <c r="BQ3" s="384"/>
      <c r="BR3" s="384"/>
      <c r="BS3" s="384"/>
      <c r="BT3" s="384"/>
      <c r="BU3" s="384"/>
      <c r="BV3" s="384"/>
      <c r="BW3" s="384"/>
      <c r="BX3" s="384"/>
      <c r="BY3" s="384"/>
      <c r="BZ3" s="384"/>
      <c r="CA3" s="384"/>
      <c r="CB3" s="384"/>
      <c r="CC3" s="384"/>
      <c r="CD3" s="384"/>
      <c r="CE3" s="384"/>
      <c r="CF3" s="384"/>
      <c r="CG3" s="384"/>
      <c r="CH3" s="384"/>
      <c r="CI3" s="384"/>
      <c r="CJ3" s="384"/>
      <c r="CK3" s="384"/>
      <c r="CL3" s="384"/>
      <c r="CM3" s="384"/>
      <c r="CN3" s="384"/>
      <c r="CO3" s="384"/>
      <c r="CP3" s="384"/>
      <c r="CQ3" s="384"/>
      <c r="CR3" s="384"/>
      <c r="CS3" s="384"/>
      <c r="CT3" s="384"/>
      <c r="CU3" s="384"/>
      <c r="CV3" s="384"/>
      <c r="CW3" s="384"/>
      <c r="CX3" s="384"/>
      <c r="CY3" s="384"/>
      <c r="CZ3" s="384"/>
      <c r="DA3" s="384"/>
      <c r="DB3" s="384"/>
      <c r="DC3" s="384"/>
      <c r="DD3" s="384"/>
      <c r="DE3" s="384"/>
      <c r="DF3" s="384"/>
      <c r="DG3" s="384"/>
      <c r="DH3" s="384"/>
      <c r="DI3" s="384"/>
      <c r="DJ3" s="384"/>
      <c r="DK3" s="384"/>
      <c r="DL3" s="384"/>
      <c r="DM3" s="384"/>
      <c r="DN3" s="384"/>
      <c r="DO3" s="384"/>
      <c r="DP3" s="384"/>
      <c r="DQ3" s="384"/>
      <c r="DR3" s="384"/>
      <c r="DS3" s="384"/>
      <c r="DT3" s="384"/>
      <c r="DU3" s="384"/>
      <c r="DV3" s="384"/>
      <c r="DW3" s="384"/>
      <c r="DX3" s="384"/>
      <c r="DY3" s="384"/>
      <c r="DZ3" s="384"/>
      <c r="EA3" s="384"/>
      <c r="EB3" s="384"/>
      <c r="EC3" s="384"/>
      <c r="ED3" s="384"/>
      <c r="EE3" s="384"/>
      <c r="EF3" s="384"/>
      <c r="EG3" s="384"/>
      <c r="EH3" s="384"/>
      <c r="EI3" s="384"/>
      <c r="EJ3" s="384"/>
      <c r="EK3" s="384"/>
      <c r="EL3" s="384"/>
      <c r="EM3" s="384"/>
      <c r="EN3" s="384"/>
      <c r="EO3" s="384"/>
      <c r="EP3" s="384"/>
      <c r="EQ3" s="384"/>
      <c r="ER3" s="384"/>
      <c r="ES3" s="384"/>
      <c r="ET3" s="384"/>
      <c r="EU3" s="384"/>
      <c r="EV3" s="384"/>
      <c r="EW3" s="384"/>
      <c r="EX3" s="384"/>
      <c r="EY3" s="384"/>
      <c r="EZ3" s="384"/>
      <c r="FA3" s="384"/>
      <c r="FB3" s="384"/>
      <c r="FC3" s="384"/>
      <c r="FD3" s="384"/>
      <c r="FE3" s="384"/>
      <c r="FF3" s="384"/>
      <c r="FG3" s="384"/>
      <c r="FH3" s="384"/>
      <c r="FI3" s="384"/>
      <c r="FJ3" s="384"/>
      <c r="FK3" s="384"/>
      <c r="FL3" s="384"/>
      <c r="FM3" s="384"/>
      <c r="FN3" s="384"/>
      <c r="FO3" s="384"/>
      <c r="FP3" s="384"/>
      <c r="FQ3" s="384"/>
      <c r="FR3" s="384"/>
      <c r="FS3" s="384"/>
      <c r="FT3" s="384"/>
      <c r="FU3" s="384"/>
      <c r="FV3" s="384"/>
      <c r="FW3" s="384"/>
      <c r="FX3" s="384"/>
      <c r="FY3" s="384"/>
      <c r="FZ3" s="384"/>
      <c r="GA3" s="384"/>
      <c r="GB3" s="384"/>
      <c r="GC3" s="384"/>
      <c r="GD3" s="384"/>
      <c r="GE3" s="384"/>
      <c r="GF3" s="384"/>
      <c r="GG3" s="384"/>
      <c r="GH3" s="384"/>
      <c r="GI3" s="384"/>
      <c r="GJ3" s="384"/>
      <c r="GK3" s="384"/>
      <c r="GL3" s="384"/>
      <c r="GM3" s="384"/>
      <c r="GN3" s="384"/>
      <c r="GO3" s="384"/>
      <c r="GP3" s="384"/>
      <c r="GQ3" s="384"/>
      <c r="GR3" s="384"/>
      <c r="GS3" s="384"/>
      <c r="GT3" s="384"/>
      <c r="GU3" s="384"/>
      <c r="GV3" s="384"/>
      <c r="GW3" s="384"/>
      <c r="GX3" s="384"/>
      <c r="GY3" s="384"/>
      <c r="GZ3" s="384"/>
      <c r="HA3" s="384"/>
      <c r="HB3" s="384"/>
      <c r="HC3" s="384"/>
      <c r="HD3" s="384"/>
      <c r="HE3" s="384"/>
      <c r="HF3" s="384"/>
      <c r="HG3" s="384"/>
      <c r="HH3" s="384"/>
      <c r="HI3" s="384"/>
      <c r="HJ3" s="384"/>
      <c r="HK3" s="384"/>
      <c r="HL3" s="384"/>
      <c r="HM3" s="384"/>
      <c r="HN3" s="384"/>
      <c r="HO3" s="384"/>
      <c r="HP3" s="384"/>
      <c r="HQ3" s="384"/>
      <c r="HR3" s="384"/>
      <c r="HS3" s="384"/>
      <c r="HT3" s="384"/>
      <c r="HU3" s="384"/>
      <c r="HV3" s="384"/>
      <c r="HW3" s="384"/>
      <c r="HX3" s="384"/>
      <c r="HY3" s="384"/>
      <c r="HZ3" s="384"/>
      <c r="IA3" s="384"/>
      <c r="IB3" s="384"/>
      <c r="IC3" s="384"/>
      <c r="ID3" s="384"/>
      <c r="IE3" s="384"/>
      <c r="IF3" s="384"/>
      <c r="IG3" s="384"/>
      <c r="IH3" s="384"/>
      <c r="II3" s="384"/>
      <c r="IJ3" s="384"/>
      <c r="IK3" s="384"/>
      <c r="IL3" s="384"/>
      <c r="IM3" s="384"/>
      <c r="IN3" s="384"/>
      <c r="IO3" s="384"/>
      <c r="IP3" s="384"/>
      <c r="IQ3" s="384"/>
      <c r="IR3" s="384"/>
      <c r="IS3" s="384"/>
      <c r="IT3" s="384"/>
      <c r="IU3" s="384"/>
      <c r="IV3" s="384"/>
      <c r="IW3" s="384"/>
    </row>
    <row r="4" customFormat="false" ht="12.75" hidden="false" customHeight="false" outlineLevel="0" collapsed="false">
      <c r="A4" s="385" t="str">
        <f aca="false">IF((E1&lt;&gt;0),Admin!$B$6," ")</f>
        <v> </v>
      </c>
      <c r="B4" s="206"/>
      <c r="C4" s="206"/>
      <c r="D4" s="206"/>
      <c r="E4" s="206"/>
      <c r="F4" s="206"/>
      <c r="G4" s="374" t="s">
        <v>268</v>
      </c>
      <c r="H4" s="374" t="s">
        <v>269</v>
      </c>
      <c r="I4" s="374" t="s">
        <v>270</v>
      </c>
      <c r="J4" s="374" t="s">
        <v>271</v>
      </c>
      <c r="K4" s="374" t="s">
        <v>272</v>
      </c>
      <c r="L4" s="374" t="s">
        <v>273</v>
      </c>
      <c r="M4" s="374" t="s">
        <v>274</v>
      </c>
      <c r="N4" s="374" t="s">
        <v>275</v>
      </c>
      <c r="O4" s="374" t="s">
        <v>276</v>
      </c>
      <c r="P4" s="374" t="s">
        <v>277</v>
      </c>
      <c r="Q4" s="374" t="s">
        <v>278</v>
      </c>
      <c r="R4" s="374" t="s">
        <v>279</v>
      </c>
      <c r="S4" s="386" t="s">
        <v>280</v>
      </c>
      <c r="T4" s="382"/>
      <c r="U4" s="393" t="n">
        <f aca="false">IF((A1&lt;Admin!$F$22),((A1-PurchasesApr!A1)*Admin!$G$21),(A1*Admin!$G$21-(A1-Admin!$F$21)*(Admin!$G$21-Admin!$G$22)-PurchasesApr!A2))</f>
        <v>0</v>
      </c>
      <c r="V4" s="387"/>
      <c r="W4" s="387"/>
      <c r="X4" s="387"/>
      <c r="Y4" s="387"/>
      <c r="Z4" s="387"/>
      <c r="AA4" s="387"/>
      <c r="AB4" s="387"/>
      <c r="AC4" s="387"/>
      <c r="AD4" s="387"/>
      <c r="AE4" s="387"/>
      <c r="AF4" s="387"/>
      <c r="AG4" s="387"/>
      <c r="AH4" s="387"/>
      <c r="AI4" s="387"/>
      <c r="AJ4" s="387"/>
      <c r="AK4" s="387"/>
      <c r="AL4" s="387"/>
      <c r="AM4" s="387"/>
      <c r="AN4" s="387"/>
      <c r="AO4" s="387"/>
      <c r="AP4" s="387"/>
      <c r="AQ4" s="387"/>
      <c r="AR4" s="387"/>
      <c r="AS4" s="387"/>
      <c r="AT4" s="387"/>
      <c r="AU4" s="387"/>
      <c r="AV4" s="387"/>
      <c r="AW4" s="387"/>
      <c r="AX4" s="387"/>
      <c r="AY4" s="387"/>
      <c r="AZ4" s="387"/>
      <c r="BA4" s="387"/>
      <c r="BB4" s="387"/>
      <c r="BC4" s="387"/>
      <c r="BD4" s="387"/>
      <c r="BE4" s="387"/>
      <c r="BF4" s="387"/>
      <c r="BG4" s="387"/>
      <c r="BH4" s="387"/>
      <c r="BI4" s="387"/>
      <c r="BJ4" s="387"/>
      <c r="BK4" s="387"/>
      <c r="BL4" s="387"/>
      <c r="BM4" s="387"/>
      <c r="BN4" s="387"/>
      <c r="BO4" s="387"/>
      <c r="BP4" s="387"/>
      <c r="BQ4" s="387"/>
      <c r="BR4" s="387"/>
      <c r="BS4" s="387"/>
      <c r="BT4" s="387"/>
      <c r="BU4" s="387"/>
      <c r="BV4" s="387"/>
      <c r="BW4" s="387"/>
      <c r="BX4" s="387"/>
      <c r="BY4" s="387"/>
      <c r="BZ4" s="387"/>
      <c r="CA4" s="387"/>
      <c r="CB4" s="387"/>
      <c r="CC4" s="387"/>
      <c r="CD4" s="387"/>
      <c r="CE4" s="387"/>
      <c r="CF4" s="387"/>
      <c r="CG4" s="387"/>
      <c r="CH4" s="387"/>
      <c r="CI4" s="387"/>
      <c r="CJ4" s="387"/>
      <c r="CK4" s="387"/>
      <c r="CL4" s="387"/>
      <c r="CM4" s="387"/>
      <c r="CN4" s="387"/>
      <c r="CO4" s="387"/>
      <c r="CP4" s="387"/>
      <c r="CQ4" s="387"/>
      <c r="CR4" s="387"/>
      <c r="CS4" s="387"/>
      <c r="CT4" s="387"/>
      <c r="CU4" s="387"/>
      <c r="CV4" s="387"/>
      <c r="CW4" s="387"/>
      <c r="CX4" s="387"/>
      <c r="CY4" s="387"/>
      <c r="CZ4" s="387"/>
      <c r="DA4" s="387"/>
      <c r="DB4" s="387"/>
      <c r="DC4" s="387"/>
      <c r="DD4" s="387"/>
      <c r="DE4" s="387"/>
      <c r="DF4" s="387"/>
      <c r="DG4" s="387"/>
      <c r="DH4" s="387"/>
      <c r="DI4" s="387"/>
      <c r="DJ4" s="387"/>
      <c r="DK4" s="387"/>
      <c r="DL4" s="387"/>
      <c r="DM4" s="387"/>
      <c r="DN4" s="387"/>
      <c r="DO4" s="387"/>
      <c r="DP4" s="387"/>
      <c r="DQ4" s="387"/>
      <c r="DR4" s="387"/>
      <c r="DS4" s="387"/>
      <c r="DT4" s="387"/>
      <c r="DU4" s="387"/>
      <c r="DV4" s="387"/>
      <c r="DW4" s="387"/>
      <c r="DX4" s="387"/>
      <c r="DY4" s="387"/>
      <c r="DZ4" s="387"/>
      <c r="EA4" s="387"/>
      <c r="EB4" s="387"/>
      <c r="EC4" s="387"/>
      <c r="ED4" s="387"/>
      <c r="EE4" s="387"/>
      <c r="EF4" s="387"/>
      <c r="EG4" s="387"/>
      <c r="EH4" s="387"/>
      <c r="EI4" s="387"/>
      <c r="EJ4" s="387"/>
      <c r="EK4" s="387"/>
      <c r="EL4" s="387"/>
      <c r="EM4" s="387"/>
      <c r="EN4" s="387"/>
      <c r="EO4" s="387"/>
      <c r="EP4" s="387"/>
      <c r="EQ4" s="387"/>
      <c r="ER4" s="387"/>
      <c r="ES4" s="387"/>
      <c r="ET4" s="387"/>
      <c r="EU4" s="387"/>
      <c r="EV4" s="387"/>
      <c r="EW4" s="387"/>
      <c r="EX4" s="387"/>
      <c r="EY4" s="387"/>
      <c r="EZ4" s="387"/>
      <c r="FA4" s="387"/>
      <c r="FB4" s="387"/>
      <c r="FC4" s="387"/>
      <c r="FD4" s="387"/>
      <c r="FE4" s="387"/>
      <c r="FF4" s="387"/>
      <c r="FG4" s="387"/>
      <c r="FH4" s="387"/>
      <c r="FI4" s="387"/>
      <c r="FJ4" s="387"/>
      <c r="FK4" s="387"/>
      <c r="FL4" s="387"/>
      <c r="FM4" s="387"/>
      <c r="FN4" s="387"/>
      <c r="FO4" s="387"/>
      <c r="FP4" s="387"/>
      <c r="FQ4" s="387"/>
      <c r="FR4" s="387"/>
      <c r="FS4" s="387"/>
      <c r="FT4" s="387"/>
      <c r="FU4" s="387"/>
      <c r="FV4" s="387"/>
      <c r="FW4" s="387"/>
      <c r="FX4" s="387"/>
      <c r="FY4" s="387"/>
      <c r="FZ4" s="387"/>
      <c r="GA4" s="387"/>
      <c r="GB4" s="387"/>
      <c r="GC4" s="387"/>
      <c r="GD4" s="387"/>
      <c r="GE4" s="387"/>
      <c r="GF4" s="387"/>
      <c r="GG4" s="387"/>
      <c r="GH4" s="387"/>
      <c r="GI4" s="387"/>
      <c r="GJ4" s="387"/>
      <c r="GK4" s="387"/>
      <c r="GL4" s="387"/>
      <c r="GM4" s="387"/>
      <c r="GN4" s="387"/>
      <c r="GO4" s="387"/>
      <c r="GP4" s="387"/>
      <c r="GQ4" s="387"/>
      <c r="GR4" s="387"/>
      <c r="GS4" s="387"/>
      <c r="GT4" s="387"/>
      <c r="GU4" s="387"/>
      <c r="GV4" s="387"/>
      <c r="GW4" s="387"/>
      <c r="GX4" s="387"/>
      <c r="GY4" s="387"/>
      <c r="GZ4" s="387"/>
      <c r="HA4" s="387"/>
      <c r="HB4" s="387"/>
      <c r="HC4" s="387"/>
      <c r="HD4" s="387"/>
      <c r="HE4" s="387"/>
      <c r="HF4" s="387"/>
      <c r="HG4" s="387"/>
      <c r="HH4" s="387"/>
      <c r="HI4" s="387"/>
      <c r="HJ4" s="387"/>
      <c r="HK4" s="387"/>
      <c r="HL4" s="387"/>
      <c r="HM4" s="387"/>
      <c r="HN4" s="387"/>
      <c r="HO4" s="387"/>
      <c r="HP4" s="387"/>
      <c r="HQ4" s="387"/>
      <c r="HR4" s="387"/>
      <c r="HS4" s="387"/>
      <c r="HT4" s="387"/>
      <c r="HU4" s="387"/>
      <c r="HV4" s="387"/>
      <c r="HW4" s="387"/>
      <c r="HX4" s="387"/>
      <c r="HY4" s="387"/>
      <c r="HZ4" s="387"/>
      <c r="IA4" s="387"/>
      <c r="IB4" s="387"/>
      <c r="IC4" s="387"/>
      <c r="ID4" s="387"/>
      <c r="IE4" s="387"/>
      <c r="IF4" s="387"/>
      <c r="IG4" s="387"/>
      <c r="IH4" s="387"/>
      <c r="II4" s="387"/>
      <c r="IJ4" s="387"/>
      <c r="IK4" s="387"/>
      <c r="IL4" s="387"/>
      <c r="IM4" s="387"/>
      <c r="IN4" s="387"/>
      <c r="IO4" s="387"/>
      <c r="IP4" s="387"/>
      <c r="IQ4" s="387"/>
      <c r="IR4" s="387"/>
      <c r="IS4" s="387"/>
      <c r="IT4" s="387"/>
      <c r="IU4" s="387"/>
      <c r="IV4" s="387"/>
      <c r="IW4" s="387"/>
    </row>
    <row r="5" customFormat="false" ht="12.75" hidden="false" customHeight="false" outlineLevel="0" collapsed="false">
      <c r="A5" s="370" t="n">
        <v>46157</v>
      </c>
      <c r="B5" s="388" t="s">
        <v>286</v>
      </c>
      <c r="C5" s="371"/>
      <c r="D5" s="371" t="s">
        <v>287</v>
      </c>
      <c r="F5" s="371" t="n">
        <v>300</v>
      </c>
      <c r="G5" s="180" t="n">
        <f aca="false">IF((D5="d"),F5," ")</f>
        <v>300</v>
      </c>
      <c r="H5" s="180" t="str">
        <f aca="false">IF((D5="h"),F5," ")</f>
        <v> </v>
      </c>
      <c r="I5" s="180" t="str">
        <f aca="false">IF((D5="r"),F5," ")</f>
        <v> </v>
      </c>
      <c r="J5" s="180" t="str">
        <f aca="false">IF((D5="t"),F5," ")</f>
        <v> </v>
      </c>
      <c r="K5" s="180" t="str">
        <f aca="false">IF((D5="e"),F5," ")</f>
        <v> </v>
      </c>
      <c r="L5" s="180" t="str">
        <f aca="false">IF((D5="p"),F5," ")</f>
        <v> </v>
      </c>
      <c r="M5" s="180" t="str">
        <f aca="false">IF((D5="g"),F5," ")</f>
        <v> </v>
      </c>
      <c r="N5" s="180" t="str">
        <f aca="false">IF((D5="a"),F5," ")</f>
        <v> </v>
      </c>
      <c r="O5" s="180" t="str">
        <f aca="false">IF((D5="l"),F5," ")</f>
        <v> </v>
      </c>
      <c r="P5" s="180" t="str">
        <f aca="false">IF((D5="i"),F5," ")</f>
        <v> </v>
      </c>
      <c r="Q5" s="180" t="str">
        <f aca="false">IF((D5="b"),F5," ")</f>
        <v> </v>
      </c>
      <c r="R5" s="180" t="str">
        <f aca="false">IF((D5="o"),F5," ")</f>
        <v> </v>
      </c>
      <c r="S5" s="180" t="str">
        <f aca="false">IF((D5="f"),F5," ")</f>
        <v> </v>
      </c>
      <c r="T5" s="371"/>
      <c r="U5" s="371"/>
      <c r="V5" s="371"/>
      <c r="W5" s="371"/>
      <c r="X5" s="371"/>
      <c r="Y5" s="371"/>
      <c r="Z5" s="371"/>
      <c r="AA5" s="371"/>
      <c r="AB5" s="371"/>
      <c r="AC5" s="371"/>
      <c r="AD5" s="371"/>
      <c r="AE5" s="371"/>
      <c r="AF5" s="371"/>
      <c r="AG5" s="371"/>
      <c r="AH5" s="371"/>
      <c r="AI5" s="371"/>
      <c r="AJ5" s="371"/>
      <c r="AK5" s="371"/>
      <c r="AL5" s="371"/>
      <c r="AM5" s="371"/>
      <c r="AN5" s="371"/>
      <c r="AO5" s="371"/>
      <c r="AP5" s="371"/>
      <c r="AQ5" s="371"/>
      <c r="AR5" s="371"/>
      <c r="AS5" s="371"/>
      <c r="AT5" s="371"/>
      <c r="AU5" s="371"/>
      <c r="AV5" s="371"/>
      <c r="AW5" s="371"/>
      <c r="AX5" s="371"/>
      <c r="AY5" s="371"/>
      <c r="AZ5" s="371"/>
      <c r="BA5" s="371"/>
      <c r="BB5" s="371"/>
      <c r="BC5" s="371"/>
      <c r="BD5" s="371"/>
      <c r="BE5" s="371"/>
      <c r="BF5" s="371"/>
      <c r="BG5" s="371"/>
      <c r="BH5" s="371"/>
      <c r="BI5" s="371"/>
      <c r="BJ5" s="371"/>
      <c r="BK5" s="371"/>
      <c r="BL5" s="371"/>
      <c r="BM5" s="371"/>
      <c r="BN5" s="371"/>
      <c r="BO5" s="371"/>
      <c r="BP5" s="371"/>
      <c r="BQ5" s="371"/>
      <c r="BR5" s="371"/>
      <c r="BS5" s="371"/>
      <c r="BT5" s="371"/>
      <c r="BU5" s="371"/>
      <c r="BV5" s="371"/>
      <c r="BW5" s="371"/>
      <c r="BX5" s="371"/>
      <c r="BY5" s="371"/>
      <c r="BZ5" s="371"/>
      <c r="CA5" s="371"/>
      <c r="CB5" s="371"/>
      <c r="CC5" s="371"/>
      <c r="CD5" s="371"/>
      <c r="CE5" s="371"/>
      <c r="CF5" s="371"/>
      <c r="CG5" s="371"/>
      <c r="CH5" s="371"/>
      <c r="CI5" s="371"/>
      <c r="CJ5" s="371"/>
      <c r="CK5" s="371"/>
      <c r="CL5" s="371"/>
      <c r="CM5" s="371"/>
      <c r="CN5" s="371"/>
      <c r="CO5" s="371"/>
      <c r="CP5" s="371"/>
      <c r="CQ5" s="371"/>
      <c r="CR5" s="371"/>
      <c r="CS5" s="371"/>
      <c r="CT5" s="371"/>
      <c r="CU5" s="371"/>
      <c r="CV5" s="371"/>
      <c r="CW5" s="371"/>
      <c r="CX5" s="371"/>
      <c r="CY5" s="371"/>
      <c r="CZ5" s="371"/>
      <c r="DA5" s="371"/>
      <c r="DB5" s="371"/>
      <c r="DC5" s="371"/>
      <c r="DD5" s="371"/>
      <c r="DE5" s="371"/>
      <c r="DF5" s="371"/>
      <c r="DG5" s="371"/>
      <c r="DH5" s="371"/>
      <c r="DI5" s="371"/>
      <c r="DJ5" s="371"/>
      <c r="DK5" s="371"/>
      <c r="DL5" s="371"/>
      <c r="DM5" s="371"/>
      <c r="DN5" s="371"/>
      <c r="DO5" s="371"/>
      <c r="DP5" s="371"/>
      <c r="DQ5" s="371"/>
      <c r="DR5" s="371"/>
      <c r="DS5" s="371"/>
      <c r="DT5" s="371"/>
      <c r="DU5" s="371"/>
      <c r="DV5" s="371"/>
      <c r="DW5" s="371"/>
      <c r="DX5" s="371"/>
      <c r="DY5" s="371"/>
      <c r="DZ5" s="371"/>
      <c r="EA5" s="371"/>
      <c r="EB5" s="371"/>
      <c r="EC5" s="371"/>
      <c r="ED5" s="371"/>
      <c r="EE5" s="371"/>
      <c r="EF5" s="371"/>
      <c r="EG5" s="371"/>
      <c r="EH5" s="371"/>
      <c r="EI5" s="371"/>
      <c r="EJ5" s="371"/>
      <c r="EK5" s="371"/>
      <c r="EL5" s="371"/>
      <c r="EM5" s="371"/>
      <c r="EN5" s="371"/>
      <c r="EO5" s="371"/>
      <c r="EP5" s="371"/>
      <c r="EQ5" s="371"/>
      <c r="ER5" s="371"/>
      <c r="ES5" s="371"/>
      <c r="ET5" s="371"/>
      <c r="EU5" s="371"/>
      <c r="EV5" s="371"/>
      <c r="EW5" s="371"/>
      <c r="EX5" s="371"/>
      <c r="EY5" s="371"/>
      <c r="EZ5" s="371"/>
      <c r="FA5" s="371"/>
      <c r="FB5" s="371"/>
      <c r="FC5" s="371"/>
      <c r="FD5" s="371"/>
      <c r="FE5" s="371"/>
      <c r="FF5" s="371"/>
      <c r="FG5" s="371"/>
      <c r="FH5" s="371"/>
      <c r="FI5" s="371"/>
      <c r="FJ5" s="371"/>
      <c r="FK5" s="371"/>
      <c r="FL5" s="371"/>
      <c r="FM5" s="371"/>
      <c r="FN5" s="371"/>
      <c r="FO5" s="371"/>
      <c r="FP5" s="371"/>
      <c r="FQ5" s="371"/>
      <c r="FR5" s="371"/>
      <c r="FS5" s="371"/>
      <c r="FT5" s="371"/>
      <c r="FU5" s="371"/>
      <c r="FV5" s="371"/>
      <c r="FW5" s="371"/>
      <c r="FX5" s="371"/>
      <c r="FY5" s="371"/>
      <c r="FZ5" s="371"/>
      <c r="GA5" s="371"/>
      <c r="GB5" s="371"/>
      <c r="GC5" s="371"/>
      <c r="GD5" s="371"/>
      <c r="GE5" s="371"/>
      <c r="GF5" s="371"/>
      <c r="GG5" s="371"/>
      <c r="GH5" s="371"/>
      <c r="GI5" s="371"/>
      <c r="GJ5" s="371"/>
      <c r="GK5" s="371"/>
      <c r="GL5" s="371"/>
      <c r="GM5" s="371"/>
      <c r="GN5" s="371"/>
      <c r="GO5" s="371"/>
      <c r="GP5" s="371"/>
      <c r="GQ5" s="371"/>
      <c r="GR5" s="371"/>
      <c r="GS5" s="371"/>
      <c r="GT5" s="371"/>
      <c r="GU5" s="371"/>
      <c r="GV5" s="371"/>
      <c r="GW5" s="371"/>
      <c r="GX5" s="371"/>
      <c r="GY5" s="371"/>
      <c r="GZ5" s="371"/>
      <c r="HA5" s="371"/>
      <c r="HB5" s="371"/>
      <c r="HC5" s="371"/>
      <c r="HD5" s="371"/>
      <c r="HE5" s="371"/>
      <c r="HF5" s="371"/>
      <c r="HG5" s="371"/>
      <c r="HH5" s="371"/>
      <c r="HI5" s="371"/>
      <c r="HJ5" s="371"/>
      <c r="HK5" s="371"/>
      <c r="HL5" s="371"/>
      <c r="HM5" s="371"/>
      <c r="HN5" s="371"/>
      <c r="HO5" s="371"/>
      <c r="HP5" s="371"/>
      <c r="HQ5" s="371"/>
      <c r="HR5" s="371"/>
      <c r="HS5" s="371"/>
      <c r="HT5" s="371"/>
      <c r="HU5" s="371"/>
      <c r="HV5" s="371"/>
      <c r="HW5" s="371"/>
      <c r="HX5" s="371"/>
      <c r="HY5" s="371"/>
      <c r="HZ5" s="371"/>
      <c r="IA5" s="371"/>
      <c r="IB5" s="371"/>
      <c r="IC5" s="371"/>
      <c r="ID5" s="371"/>
      <c r="IE5" s="371"/>
      <c r="IF5" s="371"/>
      <c r="IG5" s="371"/>
      <c r="IH5" s="371"/>
      <c r="II5" s="371"/>
      <c r="IJ5" s="371"/>
      <c r="IK5" s="371"/>
      <c r="IL5" s="371"/>
      <c r="IM5" s="371"/>
      <c r="IN5" s="371"/>
      <c r="IO5" s="371"/>
      <c r="IP5" s="371"/>
      <c r="IQ5" s="371"/>
      <c r="IR5" s="371"/>
      <c r="IS5" s="371"/>
      <c r="IT5" s="371"/>
      <c r="IU5" s="371"/>
      <c r="IV5" s="371"/>
      <c r="IW5" s="371"/>
    </row>
    <row r="6" customFormat="false" ht="12.75" hidden="false" customHeight="false" outlineLevel="0" collapsed="false">
      <c r="G6" s="180" t="str">
        <f aca="false">IF((D6="d"),F6," ")</f>
        <v> </v>
      </c>
      <c r="H6" s="180" t="str">
        <f aca="false">IF((D6="h"),F6," ")</f>
        <v> </v>
      </c>
      <c r="I6" s="180" t="str">
        <f aca="false">IF((D6="r"),F6," ")</f>
        <v> </v>
      </c>
      <c r="J6" s="180" t="str">
        <f aca="false">IF((D6="t"),F6," ")</f>
        <v> </v>
      </c>
      <c r="K6" s="180" t="str">
        <f aca="false">IF((D6="e"),F6," ")</f>
        <v> </v>
      </c>
      <c r="L6" s="180" t="str">
        <f aca="false">IF((D6="p"),F6," ")</f>
        <v> </v>
      </c>
      <c r="M6" s="180" t="str">
        <f aca="false">IF((D6="g"),F6," ")</f>
        <v> </v>
      </c>
      <c r="N6" s="180" t="str">
        <f aca="false">IF((D6="a"),F6," ")</f>
        <v> </v>
      </c>
      <c r="O6" s="180" t="str">
        <f aca="false">IF((D6="l"),F6," ")</f>
        <v> </v>
      </c>
      <c r="P6" s="180" t="str">
        <f aca="false">IF((D6="i"),F6," ")</f>
        <v> </v>
      </c>
      <c r="Q6" s="180" t="str">
        <f aca="false">IF((D6="b"),F6," ")</f>
        <v> </v>
      </c>
      <c r="R6" s="180" t="str">
        <f aca="false">IF((D6="o"),F6," ")</f>
        <v> </v>
      </c>
      <c r="S6" s="180" t="str">
        <f aca="false">IF((D6="f"),F6," ")</f>
        <v> </v>
      </c>
      <c r="U6" s="371"/>
    </row>
    <row r="7" customFormat="false" ht="12.75" hidden="false" customHeight="false" outlineLevel="0" collapsed="false">
      <c r="G7" s="180" t="str">
        <f aca="false">IF((D7="d"),F7," ")</f>
        <v> </v>
      </c>
      <c r="H7" s="180" t="str">
        <f aca="false">IF((D7="h"),F7," ")</f>
        <v> </v>
      </c>
      <c r="I7" s="180" t="str">
        <f aca="false">IF((D7="r"),F7," ")</f>
        <v> </v>
      </c>
      <c r="J7" s="180" t="str">
        <f aca="false">IF((D7="t"),F7," ")</f>
        <v> </v>
      </c>
      <c r="K7" s="180" t="str">
        <f aca="false">IF((D7="e"),F7," ")</f>
        <v> </v>
      </c>
      <c r="L7" s="180" t="str">
        <f aca="false">IF((D7="p"),F7," ")</f>
        <v> </v>
      </c>
      <c r="M7" s="180" t="str">
        <f aca="false">IF((D7="g"),F7," ")</f>
        <v> </v>
      </c>
      <c r="N7" s="180" t="str">
        <f aca="false">IF((D7="a"),F7," ")</f>
        <v> </v>
      </c>
      <c r="O7" s="180" t="str">
        <f aca="false">IF((D7="l"),F7," ")</f>
        <v> </v>
      </c>
      <c r="P7" s="180" t="str">
        <f aca="false">IF((D7="i"),F7," ")</f>
        <v> </v>
      </c>
      <c r="Q7" s="180" t="str">
        <f aca="false">IF((D7="b"),F7," ")</f>
        <v> </v>
      </c>
      <c r="R7" s="180" t="str">
        <f aca="false">IF((D7="o"),F7," ")</f>
        <v> </v>
      </c>
      <c r="S7" s="180" t="str">
        <f aca="false">IF((D7="f"),F7," ")</f>
        <v> </v>
      </c>
      <c r="U7" s="371"/>
    </row>
    <row r="8" customFormat="false" ht="12.75" hidden="false" customHeight="false" outlineLevel="0" collapsed="false">
      <c r="G8" s="180" t="str">
        <f aca="false">IF((D8="d"),F8," ")</f>
        <v> </v>
      </c>
      <c r="H8" s="180" t="str">
        <f aca="false">IF((D8="h"),F8," ")</f>
        <v> </v>
      </c>
      <c r="I8" s="180" t="str">
        <f aca="false">IF((D8="r"),F8," ")</f>
        <v> </v>
      </c>
      <c r="J8" s="180" t="str">
        <f aca="false">IF((D8="t"),F8," ")</f>
        <v> </v>
      </c>
      <c r="K8" s="180" t="str">
        <f aca="false">IF((D8="e"),F8," ")</f>
        <v> </v>
      </c>
      <c r="L8" s="180" t="str">
        <f aca="false">IF((D8="p"),F8," ")</f>
        <v> </v>
      </c>
      <c r="M8" s="180" t="str">
        <f aca="false">IF((D8="g"),F8," ")</f>
        <v> </v>
      </c>
      <c r="N8" s="180" t="str">
        <f aca="false">IF((D8="a"),F8," ")</f>
        <v> </v>
      </c>
      <c r="O8" s="180" t="str">
        <f aca="false">IF((D8="l"),F8," ")</f>
        <v> </v>
      </c>
      <c r="P8" s="180" t="str">
        <f aca="false">IF((D8="i"),F8," ")</f>
        <v> </v>
      </c>
      <c r="Q8" s="180" t="str">
        <f aca="false">IF((D8="b"),F8," ")</f>
        <v> </v>
      </c>
      <c r="R8" s="180" t="str">
        <f aca="false">IF((D8="o"),F8," ")</f>
        <v> </v>
      </c>
      <c r="S8" s="180" t="str">
        <f aca="false">IF((D8="f"),F8," ")</f>
        <v> </v>
      </c>
      <c r="U8" s="371"/>
    </row>
    <row r="9" customFormat="false" ht="12.75" hidden="false" customHeight="false" outlineLevel="0" collapsed="false">
      <c r="G9" s="180" t="str">
        <f aca="false">IF((D9="d"),F9," ")</f>
        <v> </v>
      </c>
      <c r="H9" s="180" t="str">
        <f aca="false">IF((D9="h"),F9," ")</f>
        <v> </v>
      </c>
      <c r="I9" s="180" t="str">
        <f aca="false">IF((D9="r"),F9," ")</f>
        <v> </v>
      </c>
      <c r="J9" s="180" t="str">
        <f aca="false">IF((D9="t"),F9," ")</f>
        <v> </v>
      </c>
      <c r="K9" s="180" t="str">
        <f aca="false">IF((D9="e"),F9," ")</f>
        <v> </v>
      </c>
      <c r="L9" s="180" t="str">
        <f aca="false">IF((D9="p"),F9," ")</f>
        <v> </v>
      </c>
      <c r="M9" s="180" t="str">
        <f aca="false">IF((D9="g"),F9," ")</f>
        <v> </v>
      </c>
      <c r="N9" s="180" t="str">
        <f aca="false">IF((D9="a"),F9," ")</f>
        <v> </v>
      </c>
      <c r="O9" s="180" t="str">
        <f aca="false">IF((D9="l"),F9," ")</f>
        <v> </v>
      </c>
      <c r="P9" s="180" t="str">
        <f aca="false">IF((D9="i"),F9," ")</f>
        <v> </v>
      </c>
      <c r="Q9" s="180" t="str">
        <f aca="false">IF((D9="b"),F9," ")</f>
        <v> </v>
      </c>
      <c r="R9" s="180" t="str">
        <f aca="false">IF((D9="o"),F9," ")</f>
        <v> </v>
      </c>
      <c r="S9" s="180" t="str">
        <f aca="false">IF((D9="f"),F9," ")</f>
        <v> </v>
      </c>
      <c r="U9" s="371"/>
    </row>
    <row r="10" customFormat="false" ht="12.75" hidden="false" customHeight="false" outlineLevel="0" collapsed="false">
      <c r="G10" s="180" t="str">
        <f aca="false">IF((D10="d"),F10," ")</f>
        <v> </v>
      </c>
      <c r="H10" s="180" t="str">
        <f aca="false">IF((D10="h"),F10," ")</f>
        <v> </v>
      </c>
      <c r="I10" s="180" t="str">
        <f aca="false">IF((D10="r"),F10," ")</f>
        <v> </v>
      </c>
      <c r="J10" s="180" t="str">
        <f aca="false">IF((D10="t"),F10," ")</f>
        <v> </v>
      </c>
      <c r="K10" s="180" t="str">
        <f aca="false">IF((D10="e"),F10," ")</f>
        <v> </v>
      </c>
      <c r="L10" s="180" t="str">
        <f aca="false">IF((D10="p"),F10," ")</f>
        <v> </v>
      </c>
      <c r="M10" s="180" t="str">
        <f aca="false">IF((D10="g"),F10," ")</f>
        <v> </v>
      </c>
      <c r="N10" s="180" t="str">
        <f aca="false">IF((D10="a"),F10," ")</f>
        <v> </v>
      </c>
      <c r="O10" s="180" t="str">
        <f aca="false">IF((D10="l"),F10," ")</f>
        <v> </v>
      </c>
      <c r="P10" s="180" t="str">
        <f aca="false">IF((D10="i"),F10," ")</f>
        <v> </v>
      </c>
      <c r="Q10" s="180" t="str">
        <f aca="false">IF((D10="b"),F10," ")</f>
        <v> </v>
      </c>
      <c r="R10" s="180" t="str">
        <f aca="false">IF((D10="o"),F10," ")</f>
        <v> </v>
      </c>
      <c r="S10" s="180" t="str">
        <f aca="false">IF((D10="f"),F10," ")</f>
        <v> </v>
      </c>
      <c r="U10" s="371"/>
    </row>
    <row r="11" customFormat="false" ht="12.75" hidden="false" customHeight="false" outlineLevel="0" collapsed="false">
      <c r="G11" s="180" t="str">
        <f aca="false">IF((D11="d"),F11," ")</f>
        <v> </v>
      </c>
      <c r="H11" s="180" t="str">
        <f aca="false">IF((D11="h"),F11," ")</f>
        <v> </v>
      </c>
      <c r="I11" s="180" t="str">
        <f aca="false">IF((D11="r"),F11," ")</f>
        <v> </v>
      </c>
      <c r="J11" s="180" t="str">
        <f aca="false">IF((D11="t"),F11," ")</f>
        <v> </v>
      </c>
      <c r="K11" s="180" t="str">
        <f aca="false">IF((D11="e"),F11," ")</f>
        <v> </v>
      </c>
      <c r="L11" s="180" t="str">
        <f aca="false">IF((D11="p"),F11," ")</f>
        <v> </v>
      </c>
      <c r="M11" s="180" t="str">
        <f aca="false">IF((D11="g"),F11," ")</f>
        <v> </v>
      </c>
      <c r="N11" s="180" t="str">
        <f aca="false">IF((D11="a"),F11," ")</f>
        <v> </v>
      </c>
      <c r="O11" s="180" t="str">
        <f aca="false">IF((D11="l"),F11," ")</f>
        <v> </v>
      </c>
      <c r="P11" s="180" t="str">
        <f aca="false">IF((D11="i"),F11," ")</f>
        <v> </v>
      </c>
      <c r="Q11" s="180" t="str">
        <f aca="false">IF((D11="b"),F11," ")</f>
        <v> </v>
      </c>
      <c r="R11" s="180" t="str">
        <f aca="false">IF((D11="o"),F11," ")</f>
        <v> </v>
      </c>
      <c r="S11" s="180" t="str">
        <f aca="false">IF((D11="f"),F11," ")</f>
        <v> </v>
      </c>
      <c r="U11" s="371"/>
    </row>
    <row r="12" customFormat="false" ht="12.75" hidden="false" customHeight="false" outlineLevel="0" collapsed="false">
      <c r="G12" s="180" t="str">
        <f aca="false">IF((D12="d"),F12," ")</f>
        <v> </v>
      </c>
      <c r="H12" s="180" t="str">
        <f aca="false">IF((D12="h"),F12," ")</f>
        <v> </v>
      </c>
      <c r="I12" s="180" t="str">
        <f aca="false">IF((D12="r"),F12," ")</f>
        <v> </v>
      </c>
      <c r="J12" s="180" t="str">
        <f aca="false">IF((D12="t"),F12," ")</f>
        <v> </v>
      </c>
      <c r="K12" s="180" t="str">
        <f aca="false">IF((D12="e"),F12," ")</f>
        <v> </v>
      </c>
      <c r="L12" s="180" t="str">
        <f aca="false">IF((D12="p"),F12," ")</f>
        <v> </v>
      </c>
      <c r="M12" s="180" t="str">
        <f aca="false">IF((D12="g"),F12," ")</f>
        <v> </v>
      </c>
      <c r="N12" s="180" t="str">
        <f aca="false">IF((D12="a"),F12," ")</f>
        <v> </v>
      </c>
      <c r="O12" s="180" t="str">
        <f aca="false">IF((D12="l"),F12," ")</f>
        <v> </v>
      </c>
      <c r="P12" s="180" t="str">
        <f aca="false">IF((D12="i"),F12," ")</f>
        <v> </v>
      </c>
      <c r="Q12" s="180" t="str">
        <f aca="false">IF((D12="b"),F12," ")</f>
        <v> </v>
      </c>
      <c r="R12" s="180" t="str">
        <f aca="false">IF((D12="o"),F12," ")</f>
        <v> </v>
      </c>
      <c r="S12" s="180" t="str">
        <f aca="false">IF((D12="f"),F12," ")</f>
        <v> </v>
      </c>
      <c r="U12" s="371"/>
    </row>
    <row r="13" customFormat="false" ht="12.75" hidden="false" customHeight="false" outlineLevel="0" collapsed="false">
      <c r="G13" s="180" t="str">
        <f aca="false">IF((D13="d"),F13," ")</f>
        <v> </v>
      </c>
      <c r="H13" s="180" t="str">
        <f aca="false">IF((D13="h"),F13," ")</f>
        <v> </v>
      </c>
      <c r="I13" s="180" t="str">
        <f aca="false">IF((D13="r"),F13," ")</f>
        <v> </v>
      </c>
      <c r="J13" s="180" t="str">
        <f aca="false">IF((D13="t"),F13," ")</f>
        <v> </v>
      </c>
      <c r="K13" s="180" t="str">
        <f aca="false">IF((D13="e"),F13," ")</f>
        <v> </v>
      </c>
      <c r="L13" s="180" t="str">
        <f aca="false">IF((D13="p"),F13," ")</f>
        <v> </v>
      </c>
      <c r="M13" s="180" t="str">
        <f aca="false">IF((D13="g"),F13," ")</f>
        <v> </v>
      </c>
      <c r="N13" s="180" t="str">
        <f aca="false">IF((D13="a"),F13," ")</f>
        <v> </v>
      </c>
      <c r="O13" s="180" t="str">
        <f aca="false">IF((D13="l"),F13," ")</f>
        <v> </v>
      </c>
      <c r="P13" s="180" t="str">
        <f aca="false">IF((D13="i"),F13," ")</f>
        <v> </v>
      </c>
      <c r="Q13" s="180" t="str">
        <f aca="false">IF((D13="b"),F13," ")</f>
        <v> </v>
      </c>
      <c r="R13" s="180" t="str">
        <f aca="false">IF((D13="o"),F13," ")</f>
        <v> </v>
      </c>
      <c r="S13" s="180" t="str">
        <f aca="false">IF((D13="f"),F13," ")</f>
        <v> </v>
      </c>
      <c r="U13" s="371"/>
    </row>
    <row r="14" customFormat="false" ht="12.75" hidden="false" customHeight="false" outlineLevel="0" collapsed="false">
      <c r="G14" s="180" t="str">
        <f aca="false">IF((D14="d"),F14," ")</f>
        <v> </v>
      </c>
      <c r="H14" s="180" t="str">
        <f aca="false">IF((D14="h"),F14," ")</f>
        <v> </v>
      </c>
      <c r="I14" s="180" t="str">
        <f aca="false">IF((D14="r"),F14," ")</f>
        <v> </v>
      </c>
      <c r="J14" s="180" t="str">
        <f aca="false">IF((D14="t"),F14," ")</f>
        <v> </v>
      </c>
      <c r="K14" s="180" t="str">
        <f aca="false">IF((D14="e"),F14," ")</f>
        <v> </v>
      </c>
      <c r="L14" s="180" t="str">
        <f aca="false">IF((D14="p"),F14," ")</f>
        <v> </v>
      </c>
      <c r="M14" s="180" t="str">
        <f aca="false">IF((D14="g"),F14," ")</f>
        <v> </v>
      </c>
      <c r="N14" s="180" t="str">
        <f aca="false">IF((D14="a"),F14," ")</f>
        <v> </v>
      </c>
      <c r="O14" s="180" t="str">
        <f aca="false">IF((D14="l"),F14," ")</f>
        <v> </v>
      </c>
      <c r="P14" s="180" t="str">
        <f aca="false">IF((D14="i"),F14," ")</f>
        <v> </v>
      </c>
      <c r="Q14" s="180" t="str">
        <f aca="false">IF((D14="b"),F14," ")</f>
        <v> </v>
      </c>
      <c r="R14" s="180" t="str">
        <f aca="false">IF((D14="o"),F14," ")</f>
        <v> </v>
      </c>
      <c r="S14" s="180" t="str">
        <f aca="false">IF((D14="f"),F14," ")</f>
        <v> </v>
      </c>
      <c r="U14" s="371"/>
    </row>
    <row r="15" customFormat="false" ht="12.75" hidden="false" customHeight="false" outlineLevel="0" collapsed="false">
      <c r="G15" s="180" t="str">
        <f aca="false">IF((D15="d"),F15," ")</f>
        <v> </v>
      </c>
      <c r="H15" s="180" t="str">
        <f aca="false">IF((D15="h"),F15," ")</f>
        <v> </v>
      </c>
      <c r="I15" s="180" t="str">
        <f aca="false">IF((D15="r"),F15," ")</f>
        <v> </v>
      </c>
      <c r="J15" s="180" t="str">
        <f aca="false">IF((D15="t"),F15," ")</f>
        <v> </v>
      </c>
      <c r="K15" s="180" t="str">
        <f aca="false">IF((D15="e"),F15," ")</f>
        <v> </v>
      </c>
      <c r="L15" s="180" t="str">
        <f aca="false">IF((D15="p"),F15," ")</f>
        <v> </v>
      </c>
      <c r="M15" s="180" t="str">
        <f aca="false">IF((D15="g"),F15," ")</f>
        <v> </v>
      </c>
      <c r="N15" s="180" t="str">
        <f aca="false">IF((D15="a"),F15," ")</f>
        <v> </v>
      </c>
      <c r="O15" s="180" t="str">
        <f aca="false">IF((D15="l"),F15," ")</f>
        <v> </v>
      </c>
      <c r="P15" s="180" t="str">
        <f aca="false">IF((D15="i"),F15," ")</f>
        <v> </v>
      </c>
      <c r="Q15" s="180" t="str">
        <f aca="false">IF((D15="b"),F15," ")</f>
        <v> </v>
      </c>
      <c r="R15" s="180" t="str">
        <f aca="false">IF((D15="o"),F15," ")</f>
        <v> </v>
      </c>
      <c r="S15" s="180" t="str">
        <f aca="false">IF((D15="f"),F15," ")</f>
        <v> </v>
      </c>
      <c r="U15" s="371"/>
    </row>
    <row r="16" customFormat="false" ht="12.75" hidden="false" customHeight="false" outlineLevel="0" collapsed="false">
      <c r="G16" s="180" t="str">
        <f aca="false">IF((D16="d"),F16," ")</f>
        <v> </v>
      </c>
      <c r="H16" s="180" t="str">
        <f aca="false">IF((D16="h"),F16," ")</f>
        <v> </v>
      </c>
      <c r="I16" s="180" t="str">
        <f aca="false">IF((D16="r"),F16," ")</f>
        <v> </v>
      </c>
      <c r="J16" s="180" t="str">
        <f aca="false">IF((D16="t"),F16," ")</f>
        <v> </v>
      </c>
      <c r="K16" s="180" t="str">
        <f aca="false">IF((D16="e"),F16," ")</f>
        <v> </v>
      </c>
      <c r="L16" s="180" t="str">
        <f aca="false">IF((D16="p"),F16," ")</f>
        <v> </v>
      </c>
      <c r="M16" s="180" t="str">
        <f aca="false">IF((D16="g"),F16," ")</f>
        <v> </v>
      </c>
      <c r="N16" s="180" t="str">
        <f aca="false">IF((D16="a"),F16," ")</f>
        <v> </v>
      </c>
      <c r="O16" s="180" t="str">
        <f aca="false">IF((D16="l"),F16," ")</f>
        <v> </v>
      </c>
      <c r="P16" s="180" t="str">
        <f aca="false">IF((D16="i"),F16," ")</f>
        <v> </v>
      </c>
      <c r="Q16" s="180" t="str">
        <f aca="false">IF((D16="b"),F16," ")</f>
        <v> </v>
      </c>
      <c r="R16" s="180" t="str">
        <f aca="false">IF((D16="o"),F16," ")</f>
        <v> </v>
      </c>
      <c r="S16" s="180" t="str">
        <f aca="false">IF((D16="f"),F16," ")</f>
        <v> </v>
      </c>
      <c r="U16" s="371"/>
    </row>
    <row r="17" customFormat="false" ht="12.75" hidden="false" customHeight="false" outlineLevel="0" collapsed="false">
      <c r="G17" s="180" t="str">
        <f aca="false">IF((D17="d"),F17," ")</f>
        <v> </v>
      </c>
      <c r="H17" s="180" t="str">
        <f aca="false">IF((D17="h"),F17," ")</f>
        <v> </v>
      </c>
      <c r="I17" s="180" t="str">
        <f aca="false">IF((D17="r"),F17," ")</f>
        <v> </v>
      </c>
      <c r="J17" s="180" t="str">
        <f aca="false">IF((D17="t"),F17," ")</f>
        <v> </v>
      </c>
      <c r="K17" s="180" t="str">
        <f aca="false">IF((D17="e"),F17," ")</f>
        <v> </v>
      </c>
      <c r="L17" s="180" t="str">
        <f aca="false">IF((D17="p"),F17," ")</f>
        <v> </v>
      </c>
      <c r="M17" s="180" t="str">
        <f aca="false">IF((D17="g"),F17," ")</f>
        <v> </v>
      </c>
      <c r="N17" s="180" t="str">
        <f aca="false">IF((D17="a"),F17," ")</f>
        <v> </v>
      </c>
      <c r="O17" s="180" t="str">
        <f aca="false">IF((D17="l"),F17," ")</f>
        <v> </v>
      </c>
      <c r="P17" s="180" t="str">
        <f aca="false">IF((D17="i"),F17," ")</f>
        <v> </v>
      </c>
      <c r="Q17" s="180" t="str">
        <f aca="false">IF((D17="b"),F17," ")</f>
        <v> </v>
      </c>
      <c r="R17" s="180" t="str">
        <f aca="false">IF((D17="o"),F17," ")</f>
        <v> </v>
      </c>
      <c r="S17" s="180" t="str">
        <f aca="false">IF((D17="f"),F17," ")</f>
        <v> </v>
      </c>
      <c r="U17" s="371"/>
    </row>
    <row r="18" customFormat="false" ht="12.75" hidden="false" customHeight="false" outlineLevel="0" collapsed="false">
      <c r="G18" s="180" t="str">
        <f aca="false">IF((D18="d"),F18," ")</f>
        <v> </v>
      </c>
      <c r="H18" s="180" t="str">
        <f aca="false">IF((D18="h"),F18," ")</f>
        <v> </v>
      </c>
      <c r="I18" s="180" t="str">
        <f aca="false">IF((D18="r"),F18," ")</f>
        <v> </v>
      </c>
      <c r="J18" s="180" t="str">
        <f aca="false">IF((D18="t"),F18," ")</f>
        <v> </v>
      </c>
      <c r="K18" s="180" t="str">
        <f aca="false">IF((D18="e"),F18," ")</f>
        <v> </v>
      </c>
      <c r="L18" s="180" t="str">
        <f aca="false">IF((D18="p"),F18," ")</f>
        <v> </v>
      </c>
      <c r="M18" s="180" t="str">
        <f aca="false">IF((D18="g"),F18," ")</f>
        <v> </v>
      </c>
      <c r="N18" s="180" t="str">
        <f aca="false">IF((D18="a"),F18," ")</f>
        <v> </v>
      </c>
      <c r="O18" s="180" t="str">
        <f aca="false">IF((D18="l"),F18," ")</f>
        <v> </v>
      </c>
      <c r="P18" s="180" t="str">
        <f aca="false">IF((D18="i"),F18," ")</f>
        <v> </v>
      </c>
      <c r="Q18" s="180" t="str">
        <f aca="false">IF((D18="b"),F18," ")</f>
        <v> </v>
      </c>
      <c r="R18" s="180" t="str">
        <f aca="false">IF((D18="o"),F18," ")</f>
        <v> </v>
      </c>
      <c r="S18" s="180" t="str">
        <f aca="false">IF((D18="f"),F18," ")</f>
        <v> </v>
      </c>
      <c r="U18" s="371"/>
    </row>
    <row r="19" customFormat="false" ht="12.75" hidden="false" customHeight="false" outlineLevel="0" collapsed="false">
      <c r="G19" s="180" t="str">
        <f aca="false">IF((D19="d"),F19," ")</f>
        <v> </v>
      </c>
      <c r="H19" s="180" t="str">
        <f aca="false">IF((D19="h"),F19," ")</f>
        <v> </v>
      </c>
      <c r="I19" s="180" t="str">
        <f aca="false">IF((D19="r"),F19," ")</f>
        <v> </v>
      </c>
      <c r="J19" s="180" t="str">
        <f aca="false">IF((D19="t"),F19," ")</f>
        <v> </v>
      </c>
      <c r="K19" s="180" t="str">
        <f aca="false">IF((D19="e"),F19," ")</f>
        <v> </v>
      </c>
      <c r="L19" s="180" t="str">
        <f aca="false">IF((D19="p"),F19," ")</f>
        <v> </v>
      </c>
      <c r="M19" s="180" t="str">
        <f aca="false">IF((D19="g"),F19," ")</f>
        <v> </v>
      </c>
      <c r="N19" s="180" t="str">
        <f aca="false">IF((D19="a"),F19," ")</f>
        <v> </v>
      </c>
      <c r="O19" s="180" t="str">
        <f aca="false">IF((D19="l"),F19," ")</f>
        <v> </v>
      </c>
      <c r="P19" s="180" t="str">
        <f aca="false">IF((D19="i"),F19," ")</f>
        <v> </v>
      </c>
      <c r="Q19" s="180" t="str">
        <f aca="false">IF((D19="b"),F19," ")</f>
        <v> </v>
      </c>
      <c r="R19" s="180" t="str">
        <f aca="false">IF((D19="o"),F19," ")</f>
        <v> </v>
      </c>
      <c r="S19" s="180" t="str">
        <f aca="false">IF((D19="f"),F19," ")</f>
        <v> </v>
      </c>
      <c r="U19" s="371"/>
    </row>
    <row r="20" customFormat="false" ht="12.75" hidden="false" customHeight="false" outlineLevel="0" collapsed="false">
      <c r="G20" s="180" t="str">
        <f aca="false">IF((D20="d"),F20," ")</f>
        <v> </v>
      </c>
      <c r="H20" s="180" t="str">
        <f aca="false">IF((D20="h"),F20," ")</f>
        <v> </v>
      </c>
      <c r="I20" s="180" t="str">
        <f aca="false">IF((D20="r"),F20," ")</f>
        <v> </v>
      </c>
      <c r="J20" s="180" t="str">
        <f aca="false">IF((D20="t"),F20," ")</f>
        <v> </v>
      </c>
      <c r="K20" s="180" t="str">
        <f aca="false">IF((D20="e"),F20," ")</f>
        <v> </v>
      </c>
      <c r="L20" s="180" t="str">
        <f aca="false">IF((D20="p"),F20," ")</f>
        <v> </v>
      </c>
      <c r="M20" s="180" t="str">
        <f aca="false">IF((D20="g"),F20," ")</f>
        <v> </v>
      </c>
      <c r="N20" s="180" t="str">
        <f aca="false">IF((D20="a"),F20," ")</f>
        <v> </v>
      </c>
      <c r="O20" s="180" t="str">
        <f aca="false">IF((D20="l"),F20," ")</f>
        <v> </v>
      </c>
      <c r="P20" s="180" t="str">
        <f aca="false">IF((D20="i"),F20," ")</f>
        <v> </v>
      </c>
      <c r="Q20" s="180" t="str">
        <f aca="false">IF((D20="b"),F20," ")</f>
        <v> </v>
      </c>
      <c r="R20" s="180" t="str">
        <f aca="false">IF((D20="o"),F20," ")</f>
        <v> </v>
      </c>
      <c r="S20" s="180" t="str">
        <f aca="false">IF((D20="f"),F20," ")</f>
        <v> </v>
      </c>
      <c r="U20" s="371"/>
    </row>
    <row r="21" customFormat="false" ht="12.75" hidden="false" customHeight="false" outlineLevel="0" collapsed="false">
      <c r="G21" s="180" t="str">
        <f aca="false">IF((D21="d"),F21," ")</f>
        <v> </v>
      </c>
      <c r="H21" s="180" t="str">
        <f aca="false">IF((D21="h"),F21," ")</f>
        <v> </v>
      </c>
      <c r="I21" s="180" t="str">
        <f aca="false">IF((D21="r"),F21," ")</f>
        <v> </v>
      </c>
      <c r="J21" s="180" t="str">
        <f aca="false">IF((D21="t"),F21," ")</f>
        <v> </v>
      </c>
      <c r="K21" s="180" t="str">
        <f aca="false">IF((D21="e"),F21," ")</f>
        <v> </v>
      </c>
      <c r="L21" s="180" t="str">
        <f aca="false">IF((D21="p"),F21," ")</f>
        <v> </v>
      </c>
      <c r="M21" s="180" t="str">
        <f aca="false">IF((D21="g"),F21," ")</f>
        <v> </v>
      </c>
      <c r="N21" s="180" t="str">
        <f aca="false">IF((D21="a"),F21," ")</f>
        <v> </v>
      </c>
      <c r="O21" s="180" t="str">
        <f aca="false">IF((D21="l"),F21," ")</f>
        <v> </v>
      </c>
      <c r="P21" s="180" t="str">
        <f aca="false">IF((D21="i"),F21," ")</f>
        <v> </v>
      </c>
      <c r="Q21" s="180" t="str">
        <f aca="false">IF((D21="b"),F21," ")</f>
        <v> </v>
      </c>
      <c r="R21" s="180" t="str">
        <f aca="false">IF((D21="o"),F21," ")</f>
        <v> </v>
      </c>
      <c r="S21" s="180" t="str">
        <f aca="false">IF((D21="f"),F21," ")</f>
        <v> </v>
      </c>
      <c r="U21" s="371"/>
    </row>
    <row r="22" customFormat="false" ht="12.75" hidden="false" customHeight="false" outlineLevel="0" collapsed="false">
      <c r="G22" s="180" t="str">
        <f aca="false">IF((D22="d"),F22," ")</f>
        <v> </v>
      </c>
      <c r="H22" s="180" t="str">
        <f aca="false">IF((D22="h"),F22," ")</f>
        <v> </v>
      </c>
      <c r="I22" s="180" t="str">
        <f aca="false">IF((D22="r"),F22," ")</f>
        <v> </v>
      </c>
      <c r="J22" s="180" t="str">
        <f aca="false">IF((D22="t"),F22," ")</f>
        <v> </v>
      </c>
      <c r="K22" s="180" t="str">
        <f aca="false">IF((D22="e"),F22," ")</f>
        <v> </v>
      </c>
      <c r="L22" s="180" t="str">
        <f aca="false">IF((D22="p"),F22," ")</f>
        <v> </v>
      </c>
      <c r="M22" s="180" t="str">
        <f aca="false">IF((D22="g"),F22," ")</f>
        <v> </v>
      </c>
      <c r="N22" s="180" t="str">
        <f aca="false">IF((D22="a"),F22," ")</f>
        <v> </v>
      </c>
      <c r="O22" s="180" t="str">
        <f aca="false">IF((D22="l"),F22," ")</f>
        <v> </v>
      </c>
      <c r="P22" s="180" t="str">
        <f aca="false">IF((D22="i"),F22," ")</f>
        <v> </v>
      </c>
      <c r="Q22" s="180" t="str">
        <f aca="false">IF((D22="b"),F22," ")</f>
        <v> </v>
      </c>
      <c r="R22" s="180" t="str">
        <f aca="false">IF((D22="o"),F22," ")</f>
        <v> </v>
      </c>
      <c r="S22" s="180" t="str">
        <f aca="false">IF((D22="f"),F22," ")</f>
        <v> </v>
      </c>
      <c r="U22" s="371"/>
    </row>
    <row r="23" customFormat="false" ht="12.75" hidden="false" customHeight="false" outlineLevel="0" collapsed="false">
      <c r="G23" s="180" t="str">
        <f aca="false">IF((D23="d"),F23," ")</f>
        <v> </v>
      </c>
      <c r="H23" s="180" t="str">
        <f aca="false">IF((D23="h"),F23," ")</f>
        <v> </v>
      </c>
      <c r="I23" s="180" t="str">
        <f aca="false">IF((D23="r"),F23," ")</f>
        <v> </v>
      </c>
      <c r="J23" s="180" t="str">
        <f aca="false">IF((D23="t"),F23," ")</f>
        <v> </v>
      </c>
      <c r="K23" s="180" t="str">
        <f aca="false">IF((D23="e"),F23," ")</f>
        <v> </v>
      </c>
      <c r="L23" s="180" t="str">
        <f aca="false">IF((D23="p"),F23," ")</f>
        <v> </v>
      </c>
      <c r="M23" s="180" t="str">
        <f aca="false">IF((D23="g"),F23," ")</f>
        <v> </v>
      </c>
      <c r="N23" s="180" t="str">
        <f aca="false">IF((D23="a"),F23," ")</f>
        <v> </v>
      </c>
      <c r="O23" s="180" t="str">
        <f aca="false">IF((D23="l"),F23," ")</f>
        <v> </v>
      </c>
      <c r="P23" s="180" t="str">
        <f aca="false">IF((D23="i"),F23," ")</f>
        <v> </v>
      </c>
      <c r="Q23" s="180" t="str">
        <f aca="false">IF((D23="b"),F23," ")</f>
        <v> </v>
      </c>
      <c r="R23" s="180" t="str">
        <f aca="false">IF((D23="o"),F23," ")</f>
        <v> </v>
      </c>
      <c r="S23" s="180" t="str">
        <f aca="false">IF((D23="f"),F23," ")</f>
        <v> </v>
      </c>
      <c r="U23" s="371"/>
    </row>
    <row r="24" customFormat="false" ht="12.75" hidden="false" customHeight="false" outlineLevel="0" collapsed="false">
      <c r="G24" s="180" t="str">
        <f aca="false">IF((D24="d"),F24," ")</f>
        <v> </v>
      </c>
      <c r="H24" s="180" t="str">
        <f aca="false">IF((D24="h"),F24," ")</f>
        <v> </v>
      </c>
      <c r="I24" s="180" t="str">
        <f aca="false">IF((D24="r"),F24," ")</f>
        <v> </v>
      </c>
      <c r="J24" s="180" t="str">
        <f aca="false">IF((D24="t"),F24," ")</f>
        <v> </v>
      </c>
      <c r="K24" s="180" t="str">
        <f aca="false">IF((D24="e"),F24," ")</f>
        <v> </v>
      </c>
      <c r="L24" s="180" t="str">
        <f aca="false">IF((D24="p"),F24," ")</f>
        <v> </v>
      </c>
      <c r="M24" s="180" t="str">
        <f aca="false">IF((D24="g"),F24," ")</f>
        <v> </v>
      </c>
      <c r="N24" s="180" t="str">
        <f aca="false">IF((D24="a"),F24," ")</f>
        <v> </v>
      </c>
      <c r="O24" s="180" t="str">
        <f aca="false">IF((D24="l"),F24," ")</f>
        <v> </v>
      </c>
      <c r="P24" s="180" t="str">
        <f aca="false">IF((D24="i"),F24," ")</f>
        <v> </v>
      </c>
      <c r="Q24" s="180" t="str">
        <f aca="false">IF((D24="b"),F24," ")</f>
        <v> </v>
      </c>
      <c r="R24" s="180" t="str">
        <f aca="false">IF((D24="o"),F24," ")</f>
        <v> </v>
      </c>
      <c r="S24" s="180" t="str">
        <f aca="false">IF((D24="f"),F24," ")</f>
        <v> </v>
      </c>
      <c r="U24" s="371"/>
    </row>
    <row r="25" customFormat="false" ht="12.75" hidden="false" customHeight="false" outlineLevel="0" collapsed="false">
      <c r="G25" s="180" t="str">
        <f aca="false">IF((D25="d"),F25," ")</f>
        <v> </v>
      </c>
      <c r="H25" s="180" t="str">
        <f aca="false">IF((D25="h"),F25," ")</f>
        <v> </v>
      </c>
      <c r="I25" s="180" t="str">
        <f aca="false">IF((D25="r"),F25," ")</f>
        <v> </v>
      </c>
      <c r="J25" s="180" t="str">
        <f aca="false">IF((D25="t"),F25," ")</f>
        <v> </v>
      </c>
      <c r="K25" s="180" t="str">
        <f aca="false">IF((D25="e"),F25," ")</f>
        <v> </v>
      </c>
      <c r="L25" s="180" t="str">
        <f aca="false">IF((D25="p"),F25," ")</f>
        <v> </v>
      </c>
      <c r="M25" s="180" t="str">
        <f aca="false">IF((D25="g"),F25," ")</f>
        <v> </v>
      </c>
      <c r="N25" s="180" t="str">
        <f aca="false">IF((D25="a"),F25," ")</f>
        <v> </v>
      </c>
      <c r="O25" s="180" t="str">
        <f aca="false">IF((D25="l"),F25," ")</f>
        <v> </v>
      </c>
      <c r="P25" s="180" t="str">
        <f aca="false">IF((D25="i"),F25," ")</f>
        <v> </v>
      </c>
      <c r="Q25" s="180" t="str">
        <f aca="false">IF((D25="b"),F25," ")</f>
        <v> </v>
      </c>
      <c r="R25" s="180" t="str">
        <f aca="false">IF((D25="o"),F25," ")</f>
        <v> </v>
      </c>
      <c r="S25" s="180" t="str">
        <f aca="false">IF((D25="f"),F25," ")</f>
        <v> </v>
      </c>
      <c r="U25" s="371"/>
    </row>
    <row r="26" customFormat="false" ht="12.75" hidden="false" customHeight="false" outlineLevel="0" collapsed="false">
      <c r="G26" s="180" t="str">
        <f aca="false">IF((D26="d"),F26," ")</f>
        <v> </v>
      </c>
      <c r="H26" s="180" t="str">
        <f aca="false">IF((D26="h"),F26," ")</f>
        <v> </v>
      </c>
      <c r="I26" s="180" t="str">
        <f aca="false">IF((D26="r"),F26," ")</f>
        <v> </v>
      </c>
      <c r="J26" s="180" t="str">
        <f aca="false">IF((D26="t"),F26," ")</f>
        <v> </v>
      </c>
      <c r="K26" s="180" t="str">
        <f aca="false">IF((D26="e"),F26," ")</f>
        <v> </v>
      </c>
      <c r="L26" s="180" t="str">
        <f aca="false">IF((D26="p"),F26," ")</f>
        <v> </v>
      </c>
      <c r="M26" s="180" t="str">
        <f aca="false">IF((D26="g"),F26," ")</f>
        <v> </v>
      </c>
      <c r="N26" s="180" t="str">
        <f aca="false">IF((D26="a"),F26," ")</f>
        <v> </v>
      </c>
      <c r="O26" s="180" t="str">
        <f aca="false">IF((D26="l"),F26," ")</f>
        <v> </v>
      </c>
      <c r="P26" s="180" t="str">
        <f aca="false">IF((D26="i"),F26," ")</f>
        <v> </v>
      </c>
      <c r="Q26" s="180" t="str">
        <f aca="false">IF((D26="b"),F26," ")</f>
        <v> </v>
      </c>
      <c r="R26" s="180" t="str">
        <f aca="false">IF((D26="o"),F26," ")</f>
        <v> </v>
      </c>
      <c r="S26" s="180" t="str">
        <f aca="false">IF((D26="f"),F26," ")</f>
        <v> </v>
      </c>
      <c r="U26" s="371"/>
    </row>
    <row r="27" customFormat="false" ht="12.75" hidden="false" customHeight="false" outlineLevel="0" collapsed="false">
      <c r="G27" s="180" t="str">
        <f aca="false">IF((D27="d"),F27," ")</f>
        <v> </v>
      </c>
      <c r="H27" s="180" t="str">
        <f aca="false">IF((D27="h"),F27," ")</f>
        <v> </v>
      </c>
      <c r="I27" s="180" t="str">
        <f aca="false">IF((D27="r"),F27," ")</f>
        <v> </v>
      </c>
      <c r="J27" s="180" t="str">
        <f aca="false">IF((D27="t"),F27," ")</f>
        <v> </v>
      </c>
      <c r="K27" s="180" t="str">
        <f aca="false">IF((D27="e"),F27," ")</f>
        <v> </v>
      </c>
      <c r="L27" s="180" t="str">
        <f aca="false">IF((D27="p"),F27," ")</f>
        <v> </v>
      </c>
      <c r="M27" s="180" t="str">
        <f aca="false">IF((D27="g"),F27," ")</f>
        <v> </v>
      </c>
      <c r="N27" s="180" t="str">
        <f aca="false">IF((D27="a"),F27," ")</f>
        <v> </v>
      </c>
      <c r="O27" s="180" t="str">
        <f aca="false">IF((D27="l"),F27," ")</f>
        <v> </v>
      </c>
      <c r="P27" s="180" t="str">
        <f aca="false">IF((D27="i"),F27," ")</f>
        <v> </v>
      </c>
      <c r="Q27" s="180" t="str">
        <f aca="false">IF((D27="b"),F27," ")</f>
        <v> </v>
      </c>
      <c r="R27" s="180" t="str">
        <f aca="false">IF((D27="o"),F27," ")</f>
        <v> </v>
      </c>
      <c r="S27" s="180" t="str">
        <f aca="false">IF((D27="f"),F27," ")</f>
        <v> </v>
      </c>
      <c r="U27" s="371"/>
    </row>
    <row r="28" customFormat="false" ht="12.75" hidden="false" customHeight="false" outlineLevel="0" collapsed="false">
      <c r="G28" s="180" t="str">
        <f aca="false">IF((D28="d"),F28," ")</f>
        <v> </v>
      </c>
      <c r="H28" s="180" t="str">
        <f aca="false">IF((D28="h"),F28," ")</f>
        <v> </v>
      </c>
      <c r="I28" s="180" t="str">
        <f aca="false">IF((D28="r"),F28," ")</f>
        <v> </v>
      </c>
      <c r="J28" s="180" t="str">
        <f aca="false">IF((D28="t"),F28," ")</f>
        <v> </v>
      </c>
      <c r="K28" s="180" t="str">
        <f aca="false">IF((D28="e"),F28," ")</f>
        <v> </v>
      </c>
      <c r="L28" s="180" t="str">
        <f aca="false">IF((D28="p"),F28," ")</f>
        <v> </v>
      </c>
      <c r="M28" s="180" t="str">
        <f aca="false">IF((D28="g"),F28," ")</f>
        <v> </v>
      </c>
      <c r="N28" s="180" t="str">
        <f aca="false">IF((D28="a"),F28," ")</f>
        <v> </v>
      </c>
      <c r="O28" s="180" t="str">
        <f aca="false">IF((D28="l"),F28," ")</f>
        <v> </v>
      </c>
      <c r="P28" s="180" t="str">
        <f aca="false">IF((D28="i"),F28," ")</f>
        <v> </v>
      </c>
      <c r="Q28" s="180" t="str">
        <f aca="false">IF((D28="b"),F28," ")</f>
        <v> </v>
      </c>
      <c r="R28" s="180" t="str">
        <f aca="false">IF((D28="o"),F28," ")</f>
        <v> </v>
      </c>
      <c r="S28" s="180" t="str">
        <f aca="false">IF((D28="f"),F28," ")</f>
        <v> </v>
      </c>
      <c r="U28" s="371"/>
    </row>
    <row r="29" customFormat="false" ht="12.75" hidden="false" customHeight="false" outlineLevel="0" collapsed="false">
      <c r="G29" s="180" t="str">
        <f aca="false">IF((D29="d"),F29," ")</f>
        <v> </v>
      </c>
      <c r="H29" s="180" t="str">
        <f aca="false">IF((D29="h"),F29," ")</f>
        <v> </v>
      </c>
      <c r="I29" s="180" t="str">
        <f aca="false">IF((D29="r"),F29," ")</f>
        <v> </v>
      </c>
      <c r="J29" s="180" t="str">
        <f aca="false">IF((D29="t"),F29," ")</f>
        <v> </v>
      </c>
      <c r="K29" s="180" t="str">
        <f aca="false">IF((D29="e"),F29," ")</f>
        <v> </v>
      </c>
      <c r="L29" s="180" t="str">
        <f aca="false">IF((D29="p"),F29," ")</f>
        <v> </v>
      </c>
      <c r="M29" s="180" t="str">
        <f aca="false">IF((D29="g"),F29," ")</f>
        <v> </v>
      </c>
      <c r="N29" s="180" t="str">
        <f aca="false">IF((D29="a"),F29," ")</f>
        <v> </v>
      </c>
      <c r="O29" s="180" t="str">
        <f aca="false">IF((D29="l"),F29," ")</f>
        <v> </v>
      </c>
      <c r="P29" s="180" t="str">
        <f aca="false">IF((D29="i"),F29," ")</f>
        <v> </v>
      </c>
      <c r="Q29" s="180" t="str">
        <f aca="false">IF((D29="b"),F29," ")</f>
        <v> </v>
      </c>
      <c r="R29" s="180" t="str">
        <f aca="false">IF((D29="o"),F29," ")</f>
        <v> </v>
      </c>
      <c r="S29" s="180" t="str">
        <f aca="false">IF((D29="f"),F29," ")</f>
        <v> </v>
      </c>
      <c r="U29" s="371"/>
    </row>
    <row r="30" customFormat="false" ht="12.75" hidden="false" customHeight="false" outlineLevel="0" collapsed="false">
      <c r="G30" s="180" t="str">
        <f aca="false">IF((D30="d"),F30," ")</f>
        <v> </v>
      </c>
      <c r="H30" s="180" t="str">
        <f aca="false">IF((D30="h"),F30," ")</f>
        <v> </v>
      </c>
      <c r="I30" s="180" t="str">
        <f aca="false">IF((D30="r"),F30," ")</f>
        <v> </v>
      </c>
      <c r="J30" s="180" t="str">
        <f aca="false">IF((D30="t"),F30," ")</f>
        <v> </v>
      </c>
      <c r="K30" s="180" t="str">
        <f aca="false">IF((D30="e"),F30," ")</f>
        <v> </v>
      </c>
      <c r="L30" s="180" t="str">
        <f aca="false">IF((D30="p"),F30," ")</f>
        <v> </v>
      </c>
      <c r="M30" s="180" t="str">
        <f aca="false">IF((D30="g"),F30," ")</f>
        <v> </v>
      </c>
      <c r="N30" s="180" t="str">
        <f aca="false">IF((D30="a"),F30," ")</f>
        <v> </v>
      </c>
      <c r="O30" s="180" t="str">
        <f aca="false">IF((D30="l"),F30," ")</f>
        <v> </v>
      </c>
      <c r="P30" s="180" t="str">
        <f aca="false">IF((D30="i"),F30," ")</f>
        <v> </v>
      </c>
      <c r="Q30" s="180" t="str">
        <f aca="false">IF((D30="b"),F30," ")</f>
        <v> </v>
      </c>
      <c r="R30" s="180" t="str">
        <f aca="false">IF((D30="o"),F30," ")</f>
        <v> </v>
      </c>
      <c r="S30" s="180" t="str">
        <f aca="false">IF((D30="f"),F30," ")</f>
        <v> </v>
      </c>
      <c r="U30" s="371"/>
    </row>
    <row r="31" customFormat="false" ht="12.75" hidden="false" customHeight="false" outlineLevel="0" collapsed="false">
      <c r="G31" s="180" t="str">
        <f aca="false">IF((D31="d"),F31," ")</f>
        <v> </v>
      </c>
      <c r="H31" s="180" t="str">
        <f aca="false">IF((D31="h"),F31," ")</f>
        <v> </v>
      </c>
      <c r="I31" s="180" t="str">
        <f aca="false">IF((D31="r"),F31," ")</f>
        <v> </v>
      </c>
      <c r="J31" s="180" t="str">
        <f aca="false">IF((D31="t"),F31," ")</f>
        <v> </v>
      </c>
      <c r="K31" s="180" t="str">
        <f aca="false">IF((D31="e"),F31," ")</f>
        <v> </v>
      </c>
      <c r="L31" s="180" t="str">
        <f aca="false">IF((D31="p"),F31," ")</f>
        <v> </v>
      </c>
      <c r="M31" s="180" t="str">
        <f aca="false">IF((D31="g"),F31," ")</f>
        <v> </v>
      </c>
      <c r="N31" s="180" t="str">
        <f aca="false">IF((D31="a"),F31," ")</f>
        <v> </v>
      </c>
      <c r="O31" s="180" t="str">
        <f aca="false">IF((D31="l"),F31," ")</f>
        <v> </v>
      </c>
      <c r="P31" s="180" t="str">
        <f aca="false">IF((D31="i"),F31," ")</f>
        <v> </v>
      </c>
      <c r="Q31" s="180" t="str">
        <f aca="false">IF((D31="b"),F31," ")</f>
        <v> </v>
      </c>
      <c r="R31" s="180" t="str">
        <f aca="false">IF((D31="o"),F31," ")</f>
        <v> </v>
      </c>
      <c r="S31" s="180" t="str">
        <f aca="false">IF((D31="f"),F31," ")</f>
        <v> </v>
      </c>
      <c r="U31" s="371"/>
    </row>
    <row r="32" customFormat="false" ht="12.75" hidden="false" customHeight="false" outlineLevel="0" collapsed="false">
      <c r="G32" s="180" t="str">
        <f aca="false">IF((D32="d"),F32," ")</f>
        <v> </v>
      </c>
      <c r="H32" s="180" t="str">
        <f aca="false">IF((D32="h"),F32," ")</f>
        <v> </v>
      </c>
      <c r="I32" s="180" t="str">
        <f aca="false">IF((D32="r"),F32," ")</f>
        <v> </v>
      </c>
      <c r="J32" s="180" t="str">
        <f aca="false">IF((D32="t"),F32," ")</f>
        <v> </v>
      </c>
      <c r="K32" s="180" t="str">
        <f aca="false">IF((D32="e"),F32," ")</f>
        <v> </v>
      </c>
      <c r="L32" s="180" t="str">
        <f aca="false">IF((D32="p"),F32," ")</f>
        <v> </v>
      </c>
      <c r="M32" s="180" t="str">
        <f aca="false">IF((D32="g"),F32," ")</f>
        <v> </v>
      </c>
      <c r="N32" s="180" t="str">
        <f aca="false">IF((D32="a"),F32," ")</f>
        <v> </v>
      </c>
      <c r="O32" s="180" t="str">
        <f aca="false">IF((D32="l"),F32," ")</f>
        <v> </v>
      </c>
      <c r="P32" s="180" t="str">
        <f aca="false">IF((D32="i"),F32," ")</f>
        <v> </v>
      </c>
      <c r="Q32" s="180" t="str">
        <f aca="false">IF((D32="b"),F32," ")</f>
        <v> </v>
      </c>
      <c r="R32" s="180" t="str">
        <f aca="false">IF((D32="o"),F32," ")</f>
        <v> </v>
      </c>
      <c r="S32" s="180" t="str">
        <f aca="false">IF((D32="f"),F32," ")</f>
        <v> </v>
      </c>
      <c r="U32" s="371"/>
    </row>
    <row r="33" customFormat="false" ht="12.75" hidden="false" customHeight="false" outlineLevel="0" collapsed="false">
      <c r="G33" s="180" t="str">
        <f aca="false">IF((D33="d"),F33," ")</f>
        <v> </v>
      </c>
      <c r="H33" s="180" t="str">
        <f aca="false">IF((D33="h"),F33," ")</f>
        <v> </v>
      </c>
      <c r="I33" s="180" t="str">
        <f aca="false">IF((D33="r"),F33," ")</f>
        <v> </v>
      </c>
      <c r="J33" s="180" t="str">
        <f aca="false">IF((D33="t"),F33," ")</f>
        <v> </v>
      </c>
      <c r="K33" s="180" t="str">
        <f aca="false">IF((D33="e"),F33," ")</f>
        <v> </v>
      </c>
      <c r="L33" s="180" t="str">
        <f aca="false">IF((D33="p"),F33," ")</f>
        <v> </v>
      </c>
      <c r="M33" s="180" t="str">
        <f aca="false">IF((D33="g"),F33," ")</f>
        <v> </v>
      </c>
      <c r="N33" s="180" t="str">
        <f aca="false">IF((D33="a"),F33," ")</f>
        <v> </v>
      </c>
      <c r="O33" s="180" t="str">
        <f aca="false">IF((D33="l"),F33," ")</f>
        <v> </v>
      </c>
      <c r="P33" s="180" t="str">
        <f aca="false">IF((D33="i"),F33," ")</f>
        <v> </v>
      </c>
      <c r="Q33" s="180" t="str">
        <f aca="false">IF((D33="b"),F33," ")</f>
        <v> </v>
      </c>
      <c r="R33" s="180" t="str">
        <f aca="false">IF((D33="o"),F33," ")</f>
        <v> </v>
      </c>
      <c r="S33" s="180" t="str">
        <f aca="false">IF((D33="f"),F33," ")</f>
        <v> </v>
      </c>
      <c r="U33" s="371"/>
    </row>
    <row r="34" customFormat="false" ht="12.75" hidden="false" customHeight="false" outlineLevel="0" collapsed="false">
      <c r="G34" s="180" t="str">
        <f aca="false">IF((D34="d"),F34," ")</f>
        <v> </v>
      </c>
      <c r="H34" s="180" t="str">
        <f aca="false">IF((D34="h"),F34," ")</f>
        <v> </v>
      </c>
      <c r="I34" s="180" t="str">
        <f aca="false">IF((D34="r"),F34," ")</f>
        <v> </v>
      </c>
      <c r="J34" s="180" t="str">
        <f aca="false">IF((D34="t"),F34," ")</f>
        <v> </v>
      </c>
      <c r="K34" s="180" t="str">
        <f aca="false">IF((D34="e"),F34," ")</f>
        <v> </v>
      </c>
      <c r="L34" s="180" t="str">
        <f aca="false">IF((D34="p"),F34," ")</f>
        <v> </v>
      </c>
      <c r="M34" s="180" t="str">
        <f aca="false">IF((D34="g"),F34," ")</f>
        <v> </v>
      </c>
      <c r="N34" s="180" t="str">
        <f aca="false">IF((D34="a"),F34," ")</f>
        <v> </v>
      </c>
      <c r="O34" s="180" t="str">
        <f aca="false">IF((D34="l"),F34," ")</f>
        <v> </v>
      </c>
      <c r="P34" s="180" t="str">
        <f aca="false">IF((D34="i"),F34," ")</f>
        <v> </v>
      </c>
      <c r="Q34" s="180" t="str">
        <f aca="false">IF((D34="b"),F34," ")</f>
        <v> </v>
      </c>
      <c r="R34" s="180" t="str">
        <f aca="false">IF((D34="o"),F34," ")</f>
        <v> </v>
      </c>
      <c r="S34" s="180" t="str">
        <f aca="false">IF((D34="f"),F34," ")</f>
        <v> </v>
      </c>
      <c r="U34" s="371"/>
    </row>
    <row r="35" customFormat="false" ht="12.75" hidden="false" customHeight="false" outlineLevel="0" collapsed="false">
      <c r="G35" s="180" t="str">
        <f aca="false">IF((D35="d"),F35," ")</f>
        <v> </v>
      </c>
      <c r="H35" s="180" t="str">
        <f aca="false">IF((D35="h"),F35," ")</f>
        <v> </v>
      </c>
      <c r="I35" s="180" t="str">
        <f aca="false">IF((D35="r"),F35," ")</f>
        <v> </v>
      </c>
      <c r="J35" s="180" t="str">
        <f aca="false">IF((D35="t"),F35," ")</f>
        <v> </v>
      </c>
      <c r="K35" s="180" t="str">
        <f aca="false">IF((D35="e"),F35," ")</f>
        <v> </v>
      </c>
      <c r="L35" s="180" t="str">
        <f aca="false">IF((D35="p"),F35," ")</f>
        <v> </v>
      </c>
      <c r="M35" s="180" t="str">
        <f aca="false">IF((D35="g"),F35," ")</f>
        <v> </v>
      </c>
      <c r="N35" s="180" t="str">
        <f aca="false">IF((D35="a"),F35," ")</f>
        <v> </v>
      </c>
      <c r="O35" s="180" t="str">
        <f aca="false">IF((D35="l"),F35," ")</f>
        <v> </v>
      </c>
      <c r="P35" s="180" t="str">
        <f aca="false">IF((D35="i"),F35," ")</f>
        <v> </v>
      </c>
      <c r="Q35" s="180" t="str">
        <f aca="false">IF((D35="b"),F35," ")</f>
        <v> </v>
      </c>
      <c r="R35" s="180" t="str">
        <f aca="false">IF((D35="o"),F35," ")</f>
        <v> </v>
      </c>
      <c r="S35" s="180" t="str">
        <f aca="false">IF((D35="f"),F35," ")</f>
        <v> </v>
      </c>
      <c r="U35" s="371"/>
    </row>
    <row r="36" customFormat="false" ht="12.75" hidden="false" customHeight="false" outlineLevel="0" collapsed="false">
      <c r="G36" s="180" t="str">
        <f aca="false">IF((D36="d"),F36," ")</f>
        <v> </v>
      </c>
      <c r="H36" s="180" t="str">
        <f aca="false">IF((D36="h"),F36," ")</f>
        <v> </v>
      </c>
      <c r="I36" s="180" t="str">
        <f aca="false">IF((D36="r"),F36," ")</f>
        <v> </v>
      </c>
      <c r="J36" s="180" t="str">
        <f aca="false">IF((D36="t"),F36," ")</f>
        <v> </v>
      </c>
      <c r="K36" s="180" t="str">
        <f aca="false">IF((D36="e"),F36," ")</f>
        <v> </v>
      </c>
      <c r="L36" s="180" t="str">
        <f aca="false">IF((D36="p"),F36," ")</f>
        <v> </v>
      </c>
      <c r="M36" s="180" t="str">
        <f aca="false">IF((D36="g"),F36," ")</f>
        <v> </v>
      </c>
      <c r="N36" s="180" t="str">
        <f aca="false">IF((D36="a"),F36," ")</f>
        <v> </v>
      </c>
      <c r="O36" s="180" t="str">
        <f aca="false">IF((D36="l"),F36," ")</f>
        <v> </v>
      </c>
      <c r="P36" s="180" t="str">
        <f aca="false">IF((D36="i"),F36," ")</f>
        <v> </v>
      </c>
      <c r="Q36" s="180" t="str">
        <f aca="false">IF((D36="b"),F36," ")</f>
        <v> </v>
      </c>
      <c r="R36" s="180" t="str">
        <f aca="false">IF((D36="o"),F36," ")</f>
        <v> </v>
      </c>
      <c r="S36" s="180" t="str">
        <f aca="false">IF((D36="f"),F36," ")</f>
        <v> </v>
      </c>
      <c r="U36" s="371"/>
    </row>
    <row r="37" customFormat="false" ht="12.75" hidden="false" customHeight="false" outlineLevel="0" collapsed="false">
      <c r="D37" s="371" t="str">
        <f aca="false">IF((F37&lt;&gt;0),"Enter Letter"," ")</f>
        <v> </v>
      </c>
      <c r="G37" s="180" t="str">
        <f aca="false">IF((D37="d"),F37," ")</f>
        <v> </v>
      </c>
      <c r="H37" s="180" t="str">
        <f aca="false">IF((D37="h"),F37," ")</f>
        <v> </v>
      </c>
      <c r="I37" s="180" t="str">
        <f aca="false">IF((D37="r"),F37," ")</f>
        <v> </v>
      </c>
      <c r="J37" s="180" t="str">
        <f aca="false">IF((D37="t"),F37," ")</f>
        <v> </v>
      </c>
      <c r="K37" s="180" t="str">
        <f aca="false">IF((D37="e"),F37," ")</f>
        <v> </v>
      </c>
      <c r="L37" s="180" t="str">
        <f aca="false">IF((D37="p"),F37," ")</f>
        <v> </v>
      </c>
      <c r="M37" s="180" t="str">
        <f aca="false">IF((D37="g"),F37," ")</f>
        <v> </v>
      </c>
      <c r="N37" s="180" t="str">
        <f aca="false">IF((D37="a"),F37," ")</f>
        <v> </v>
      </c>
      <c r="O37" s="180" t="str">
        <f aca="false">IF((D37="l"),F37," ")</f>
        <v> </v>
      </c>
      <c r="P37" s="180" t="str">
        <f aca="false">IF((D37="i"),F37," ")</f>
        <v> </v>
      </c>
      <c r="Q37" s="180" t="str">
        <f aca="false">IF((D37="b"),F37," ")</f>
        <v> </v>
      </c>
      <c r="R37" s="180" t="str">
        <f aca="false">IF((D37="o"),F37," ")</f>
        <v> </v>
      </c>
      <c r="S37" s="180" t="str">
        <f aca="false">IF((D37="f"),F37," ")</f>
        <v> </v>
      </c>
      <c r="U37" s="371"/>
    </row>
    <row r="38" customFormat="false" ht="12.75" hidden="false" customHeight="false" outlineLevel="0" collapsed="false">
      <c r="D38" s="371" t="str">
        <f aca="false">IF((F38&lt;&gt;0),"Enter Letter"," ")</f>
        <v> </v>
      </c>
      <c r="G38" s="180" t="str">
        <f aca="false">IF((D38="d"),F38," ")</f>
        <v> </v>
      </c>
      <c r="H38" s="180" t="str">
        <f aca="false">IF((D38="h"),F38," ")</f>
        <v> </v>
      </c>
      <c r="I38" s="180" t="str">
        <f aca="false">IF((D38="r"),F38," ")</f>
        <v> </v>
      </c>
      <c r="J38" s="180" t="str">
        <f aca="false">IF((D38="t"),F38," ")</f>
        <v> </v>
      </c>
      <c r="K38" s="180" t="str">
        <f aca="false">IF((D38="e"),F38," ")</f>
        <v> </v>
      </c>
      <c r="L38" s="180" t="str">
        <f aca="false">IF((D38="p"),F38," ")</f>
        <v> </v>
      </c>
      <c r="M38" s="180" t="str">
        <f aca="false">IF((D38="g"),F38," ")</f>
        <v> </v>
      </c>
      <c r="N38" s="180" t="str">
        <f aca="false">IF((D38="a"),F38," ")</f>
        <v> </v>
      </c>
      <c r="O38" s="180" t="str">
        <f aca="false">IF((D38="l"),F38," ")</f>
        <v> </v>
      </c>
      <c r="P38" s="180" t="str">
        <f aca="false">IF((D38="i"),F38," ")</f>
        <v> </v>
      </c>
      <c r="Q38" s="180" t="str">
        <f aca="false">IF((D38="b"),F38," ")</f>
        <v> </v>
      </c>
      <c r="R38" s="180" t="str">
        <f aca="false">IF((D38="o"),F38," ")</f>
        <v> </v>
      </c>
      <c r="S38" s="180" t="str">
        <f aca="false">IF((D38="f"),F38," ")</f>
        <v> </v>
      </c>
      <c r="U38" s="371"/>
    </row>
    <row r="39" customFormat="false" ht="12.75" hidden="false" customHeight="false" outlineLevel="0" collapsed="false">
      <c r="D39" s="371" t="str">
        <f aca="false">IF((F39&lt;&gt;0),"Enter Letter"," ")</f>
        <v> </v>
      </c>
      <c r="G39" s="180" t="str">
        <f aca="false">IF((D39="d"),F39," ")</f>
        <v> </v>
      </c>
      <c r="H39" s="180" t="str">
        <f aca="false">IF((D39="h"),F39," ")</f>
        <v> </v>
      </c>
      <c r="I39" s="180" t="str">
        <f aca="false">IF((D39="r"),F39," ")</f>
        <v> </v>
      </c>
      <c r="J39" s="180" t="str">
        <f aca="false">IF((D39="t"),F39," ")</f>
        <v> </v>
      </c>
      <c r="K39" s="180" t="str">
        <f aca="false">IF((D39="e"),F39," ")</f>
        <v> </v>
      </c>
      <c r="L39" s="180" t="str">
        <f aca="false">IF((D39="p"),F39," ")</f>
        <v> </v>
      </c>
      <c r="M39" s="180" t="str">
        <f aca="false">IF((D39="g"),F39," ")</f>
        <v> </v>
      </c>
      <c r="N39" s="180" t="str">
        <f aca="false">IF((D39="a"),F39," ")</f>
        <v> </v>
      </c>
      <c r="O39" s="180" t="str">
        <f aca="false">IF((D39="l"),F39," ")</f>
        <v> </v>
      </c>
      <c r="P39" s="180" t="str">
        <f aca="false">IF((D39="i"),F39," ")</f>
        <v> </v>
      </c>
      <c r="Q39" s="180" t="str">
        <f aca="false">IF((D39="b"),F39," ")</f>
        <v> </v>
      </c>
      <c r="R39" s="180" t="str">
        <f aca="false">IF((D39="o"),F39," ")</f>
        <v> </v>
      </c>
      <c r="S39" s="180" t="str">
        <f aca="false">IF((D39="f"),F39," ")</f>
        <v> </v>
      </c>
      <c r="U39" s="371"/>
    </row>
    <row r="40" customFormat="false" ht="12.75" hidden="false" customHeight="false" outlineLevel="0" collapsed="false">
      <c r="D40" s="371" t="str">
        <f aca="false">IF((F40&lt;&gt;0),"Enter Letter"," ")</f>
        <v> </v>
      </c>
      <c r="G40" s="180" t="str">
        <f aca="false">IF((D40="d"),F40," ")</f>
        <v> </v>
      </c>
      <c r="H40" s="180" t="str">
        <f aca="false">IF((D40="h"),F40," ")</f>
        <v> </v>
      </c>
      <c r="I40" s="180" t="str">
        <f aca="false">IF((D40="r"),F40," ")</f>
        <v> </v>
      </c>
      <c r="J40" s="180" t="str">
        <f aca="false">IF((D40="t"),F40," ")</f>
        <v> </v>
      </c>
      <c r="K40" s="180" t="str">
        <f aca="false">IF((D40="e"),F40," ")</f>
        <v> </v>
      </c>
      <c r="L40" s="180" t="str">
        <f aca="false">IF((D40="p"),F40," ")</f>
        <v> </v>
      </c>
      <c r="M40" s="180" t="str">
        <f aca="false">IF((D40="g"),F40," ")</f>
        <v> </v>
      </c>
      <c r="N40" s="180" t="str">
        <f aca="false">IF((D40="a"),F40," ")</f>
        <v> </v>
      </c>
      <c r="O40" s="180" t="str">
        <f aca="false">IF((D40="l"),F40," ")</f>
        <v> </v>
      </c>
      <c r="P40" s="180" t="str">
        <f aca="false">IF((D40="i"),F40," ")</f>
        <v> </v>
      </c>
      <c r="Q40" s="180" t="str">
        <f aca="false">IF((D40="b"),F40," ")</f>
        <v> </v>
      </c>
      <c r="R40" s="180" t="str">
        <f aca="false">IF((D40="o"),F40," ")</f>
        <v> </v>
      </c>
      <c r="S40" s="180" t="str">
        <f aca="false">IF((D40="f"),F40," ")</f>
        <v> </v>
      </c>
      <c r="U40" s="371"/>
    </row>
    <row r="41" customFormat="false" ht="12.75" hidden="false" customHeight="false" outlineLevel="0" collapsed="false">
      <c r="D41" s="371" t="str">
        <f aca="false">IF((F41&lt;&gt;0),"Enter Letter"," ")</f>
        <v> </v>
      </c>
      <c r="G41" s="180" t="str">
        <f aca="false">IF((D41="d"),F41," ")</f>
        <v> </v>
      </c>
      <c r="H41" s="180" t="str">
        <f aca="false">IF((D41="h"),F41," ")</f>
        <v> </v>
      </c>
      <c r="I41" s="180" t="str">
        <f aca="false">IF((D41="r"),F41," ")</f>
        <v> </v>
      </c>
      <c r="J41" s="180" t="str">
        <f aca="false">IF((D41="t"),F41," ")</f>
        <v> </v>
      </c>
      <c r="K41" s="180" t="str">
        <f aca="false">IF((D41="e"),F41," ")</f>
        <v> </v>
      </c>
      <c r="L41" s="180" t="str">
        <f aca="false">IF((D41="p"),F41," ")</f>
        <v> </v>
      </c>
      <c r="M41" s="180" t="str">
        <f aca="false">IF((D41="g"),F41," ")</f>
        <v> </v>
      </c>
      <c r="N41" s="180" t="str">
        <f aca="false">IF((D41="a"),F41," ")</f>
        <v> </v>
      </c>
      <c r="O41" s="180" t="str">
        <f aca="false">IF((D41="l"),F41," ")</f>
        <v> </v>
      </c>
      <c r="P41" s="180" t="str">
        <f aca="false">IF((D41="i"),F41," ")</f>
        <v> </v>
      </c>
      <c r="Q41" s="180" t="str">
        <f aca="false">IF((D41="b"),F41," ")</f>
        <v> </v>
      </c>
      <c r="R41" s="180" t="str">
        <f aca="false">IF((D41="o"),F41," ")</f>
        <v> </v>
      </c>
      <c r="S41" s="180" t="str">
        <f aca="false">IF((D41="f"),F41," ")</f>
        <v> </v>
      </c>
      <c r="U41" s="371"/>
    </row>
    <row r="42" customFormat="false" ht="12.75" hidden="false" customHeight="false" outlineLevel="0" collapsed="false">
      <c r="D42" s="371" t="str">
        <f aca="false">IF((F42&lt;&gt;0),"Enter Letter"," ")</f>
        <v> </v>
      </c>
      <c r="G42" s="180" t="str">
        <f aca="false">IF((D42="d"),F42," ")</f>
        <v> </v>
      </c>
      <c r="H42" s="180" t="str">
        <f aca="false">IF((D42="h"),F42," ")</f>
        <v> </v>
      </c>
      <c r="I42" s="180" t="str">
        <f aca="false">IF((D42="r"),F42," ")</f>
        <v> </v>
      </c>
      <c r="J42" s="180" t="str">
        <f aca="false">IF((D42="t"),F42," ")</f>
        <v> </v>
      </c>
      <c r="K42" s="180" t="str">
        <f aca="false">IF((D42="e"),F42," ")</f>
        <v> </v>
      </c>
      <c r="L42" s="180" t="str">
        <f aca="false">IF((D42="p"),F42," ")</f>
        <v> </v>
      </c>
      <c r="M42" s="180" t="str">
        <f aca="false">IF((D42="g"),F42," ")</f>
        <v> </v>
      </c>
      <c r="N42" s="180" t="str">
        <f aca="false">IF((D42="a"),F42," ")</f>
        <v> </v>
      </c>
      <c r="O42" s="180" t="str">
        <f aca="false">IF((D42="l"),F42," ")</f>
        <v> </v>
      </c>
      <c r="P42" s="180" t="str">
        <f aca="false">IF((D42="i"),F42," ")</f>
        <v> </v>
      </c>
      <c r="Q42" s="180" t="str">
        <f aca="false">IF((D42="b"),F42," ")</f>
        <v> </v>
      </c>
      <c r="R42" s="180" t="str">
        <f aca="false">IF((D42="o"),F42," ")</f>
        <v> </v>
      </c>
      <c r="S42" s="180" t="str">
        <f aca="false">IF((D42="f"),F42," ")</f>
        <v> </v>
      </c>
      <c r="U42" s="371"/>
    </row>
    <row r="43" customFormat="false" ht="12.75" hidden="false" customHeight="false" outlineLevel="0" collapsed="false">
      <c r="D43" s="371" t="str">
        <f aca="false">IF((F43&lt;&gt;0),"Enter Letter"," ")</f>
        <v> </v>
      </c>
      <c r="G43" s="180" t="str">
        <f aca="false">IF((D43="d"),F43," ")</f>
        <v> </v>
      </c>
      <c r="H43" s="180" t="str">
        <f aca="false">IF((D43="h"),F43," ")</f>
        <v> </v>
      </c>
      <c r="I43" s="180" t="str">
        <f aca="false">IF((D43="r"),F43," ")</f>
        <v> </v>
      </c>
      <c r="J43" s="180" t="str">
        <f aca="false">IF((D43="t"),F43," ")</f>
        <v> </v>
      </c>
      <c r="K43" s="180" t="str">
        <f aca="false">IF((D43="e"),F43," ")</f>
        <v> </v>
      </c>
      <c r="L43" s="180" t="str">
        <f aca="false">IF((D43="p"),F43," ")</f>
        <v> </v>
      </c>
      <c r="M43" s="180" t="str">
        <f aca="false">IF((D43="g"),F43," ")</f>
        <v> </v>
      </c>
      <c r="N43" s="180" t="str">
        <f aca="false">IF((D43="a"),F43," ")</f>
        <v> </v>
      </c>
      <c r="O43" s="180" t="str">
        <f aca="false">IF((D43="l"),F43," ")</f>
        <v> </v>
      </c>
      <c r="P43" s="180" t="str">
        <f aca="false">IF((D43="i"),F43," ")</f>
        <v> </v>
      </c>
      <c r="Q43" s="180" t="str">
        <f aca="false">IF((D43="b"),F43," ")</f>
        <v> </v>
      </c>
      <c r="R43" s="180" t="str">
        <f aca="false">IF((D43="o"),F43," ")</f>
        <v> </v>
      </c>
      <c r="S43" s="180" t="str">
        <f aca="false">IF((D43="f"),F43," ")</f>
        <v> </v>
      </c>
      <c r="U43" s="371"/>
    </row>
    <row r="44" customFormat="false" ht="12.75" hidden="false" customHeight="false" outlineLevel="0" collapsed="false">
      <c r="D44" s="371" t="str">
        <f aca="false">IF((F44&lt;&gt;0),"Enter Letter"," ")</f>
        <v> </v>
      </c>
      <c r="G44" s="180" t="str">
        <f aca="false">IF((D44="d"),F44," ")</f>
        <v> </v>
      </c>
      <c r="H44" s="180" t="str">
        <f aca="false">IF((D44="h"),F44," ")</f>
        <v> </v>
      </c>
      <c r="I44" s="180" t="str">
        <f aca="false">IF((D44="r"),F44," ")</f>
        <v> </v>
      </c>
      <c r="J44" s="180" t="str">
        <f aca="false">IF((D44="t"),F44," ")</f>
        <v> </v>
      </c>
      <c r="K44" s="180" t="str">
        <f aca="false">IF((D44="e"),F44," ")</f>
        <v> </v>
      </c>
      <c r="L44" s="180" t="str">
        <f aca="false">IF((D44="p"),F44," ")</f>
        <v> </v>
      </c>
      <c r="M44" s="180" t="str">
        <f aca="false">IF((D44="g"),F44," ")</f>
        <v> </v>
      </c>
      <c r="N44" s="180" t="str">
        <f aca="false">IF((D44="a"),F44," ")</f>
        <v> </v>
      </c>
      <c r="O44" s="180" t="str">
        <f aca="false">IF((D44="l"),F44," ")</f>
        <v> </v>
      </c>
      <c r="P44" s="180" t="str">
        <f aca="false">IF((D44="i"),F44," ")</f>
        <v> </v>
      </c>
      <c r="Q44" s="180" t="str">
        <f aca="false">IF((D44="b"),F44," ")</f>
        <v> </v>
      </c>
      <c r="R44" s="180" t="str">
        <f aca="false">IF((D44="o"),F44," ")</f>
        <v> </v>
      </c>
      <c r="S44" s="180" t="str">
        <f aca="false">IF((D44="f"),F44," ")</f>
        <v> </v>
      </c>
      <c r="U44" s="371"/>
    </row>
    <row r="45" customFormat="false" ht="12.75" hidden="false" customHeight="false" outlineLevel="0" collapsed="false">
      <c r="D45" s="371" t="str">
        <f aca="false">IF((F45&lt;&gt;0),"Enter Letter"," ")</f>
        <v> </v>
      </c>
      <c r="G45" s="180" t="str">
        <f aca="false">IF((D45="d"),F45," ")</f>
        <v> </v>
      </c>
      <c r="H45" s="180" t="str">
        <f aca="false">IF((D45="h"),F45," ")</f>
        <v> </v>
      </c>
      <c r="I45" s="180" t="str">
        <f aca="false">IF((D45="r"),F45," ")</f>
        <v> </v>
      </c>
      <c r="J45" s="180" t="str">
        <f aca="false">IF((D45="t"),F45," ")</f>
        <v> </v>
      </c>
      <c r="K45" s="180" t="str">
        <f aca="false">IF((D45="e"),F45," ")</f>
        <v> </v>
      </c>
      <c r="L45" s="180" t="str">
        <f aca="false">IF((D45="p"),F45," ")</f>
        <v> </v>
      </c>
      <c r="M45" s="180" t="str">
        <f aca="false">IF((D45="g"),F45," ")</f>
        <v> </v>
      </c>
      <c r="N45" s="180" t="str">
        <f aca="false">IF((D45="a"),F45," ")</f>
        <v> </v>
      </c>
      <c r="O45" s="180" t="str">
        <f aca="false">IF((D45="l"),F45," ")</f>
        <v> </v>
      </c>
      <c r="P45" s="180" t="str">
        <f aca="false">IF((D45="i"),F45," ")</f>
        <v> </v>
      </c>
      <c r="Q45" s="180" t="str">
        <f aca="false">IF((D45="b"),F45," ")</f>
        <v> </v>
      </c>
      <c r="R45" s="180" t="str">
        <f aca="false">IF((D45="o"),F45," ")</f>
        <v> </v>
      </c>
      <c r="S45" s="180" t="str">
        <f aca="false">IF((D45="f"),F45," ")</f>
        <v> </v>
      </c>
      <c r="U45" s="371"/>
    </row>
    <row r="46" customFormat="false" ht="12.75" hidden="false" customHeight="false" outlineLevel="0" collapsed="false">
      <c r="D46" s="371" t="str">
        <f aca="false">IF((F46&lt;&gt;0),"Enter Letter"," ")</f>
        <v> </v>
      </c>
      <c r="G46" s="180" t="str">
        <f aca="false">IF((D46="d"),F46," ")</f>
        <v> </v>
      </c>
      <c r="H46" s="180" t="str">
        <f aca="false">IF((D46="h"),F46," ")</f>
        <v> </v>
      </c>
      <c r="I46" s="180" t="str">
        <f aca="false">IF((D46="r"),F46," ")</f>
        <v> </v>
      </c>
      <c r="J46" s="180" t="str">
        <f aca="false">IF((D46="t"),F46," ")</f>
        <v> </v>
      </c>
      <c r="K46" s="180" t="str">
        <f aca="false">IF((D46="e"),F46," ")</f>
        <v> </v>
      </c>
      <c r="L46" s="180" t="str">
        <f aca="false">IF((D46="p"),F46," ")</f>
        <v> </v>
      </c>
      <c r="M46" s="180" t="str">
        <f aca="false">IF((D46="g"),F46," ")</f>
        <v> </v>
      </c>
      <c r="N46" s="180" t="str">
        <f aca="false">IF((D46="a"),F46," ")</f>
        <v> </v>
      </c>
      <c r="O46" s="180" t="str">
        <f aca="false">IF((D46="l"),F46," ")</f>
        <v> </v>
      </c>
      <c r="P46" s="180" t="str">
        <f aca="false">IF((D46="i"),F46," ")</f>
        <v> </v>
      </c>
      <c r="Q46" s="180" t="str">
        <f aca="false">IF((D46="b"),F46," ")</f>
        <v> </v>
      </c>
      <c r="R46" s="180" t="str">
        <f aca="false">IF((D46="o"),F46," ")</f>
        <v> </v>
      </c>
      <c r="S46" s="180" t="str">
        <f aca="false">IF((D46="f"),F46," ")</f>
        <v> </v>
      </c>
      <c r="U46" s="371"/>
    </row>
    <row r="47" customFormat="false" ht="12.75" hidden="false" customHeight="false" outlineLevel="0" collapsed="false">
      <c r="D47" s="371" t="str">
        <f aca="false">IF((F47&lt;&gt;0),"Enter Letter"," ")</f>
        <v> </v>
      </c>
      <c r="G47" s="180" t="str">
        <f aca="false">IF((D47="d"),F47," ")</f>
        <v> </v>
      </c>
      <c r="H47" s="180" t="str">
        <f aca="false">IF((D47="h"),F47," ")</f>
        <v> </v>
      </c>
      <c r="I47" s="180" t="str">
        <f aca="false">IF((D47="r"),F47," ")</f>
        <v> </v>
      </c>
      <c r="J47" s="180" t="str">
        <f aca="false">IF((D47="t"),F47," ")</f>
        <v> </v>
      </c>
      <c r="K47" s="180" t="str">
        <f aca="false">IF((D47="e"),F47," ")</f>
        <v> </v>
      </c>
      <c r="L47" s="180" t="str">
        <f aca="false">IF((D47="p"),F47," ")</f>
        <v> </v>
      </c>
      <c r="M47" s="180" t="str">
        <f aca="false">IF((D47="g"),F47," ")</f>
        <v> </v>
      </c>
      <c r="N47" s="180" t="str">
        <f aca="false">IF((D47="a"),F47," ")</f>
        <v> </v>
      </c>
      <c r="O47" s="180" t="str">
        <f aca="false">IF((D47="l"),F47," ")</f>
        <v> </v>
      </c>
      <c r="P47" s="180" t="str">
        <f aca="false">IF((D47="i"),F47," ")</f>
        <v> </v>
      </c>
      <c r="Q47" s="180" t="str">
        <f aca="false">IF((D47="b"),F47," ")</f>
        <v> </v>
      </c>
      <c r="R47" s="180" t="str">
        <f aca="false">IF((D47="o"),F47," ")</f>
        <v> </v>
      </c>
      <c r="S47" s="180" t="str">
        <f aca="false">IF((D47="f"),F47," ")</f>
        <v> </v>
      </c>
      <c r="U47" s="371"/>
    </row>
    <row r="48" customFormat="false" ht="12.75" hidden="false" customHeight="false" outlineLevel="0" collapsed="false">
      <c r="D48" s="371" t="str">
        <f aca="false">IF((F48&lt;&gt;0),"Enter Letter"," ")</f>
        <v> </v>
      </c>
      <c r="G48" s="180" t="str">
        <f aca="false">IF((D48="d"),F48," ")</f>
        <v> </v>
      </c>
      <c r="H48" s="180" t="str">
        <f aca="false">IF((D48="h"),F48," ")</f>
        <v> </v>
      </c>
      <c r="I48" s="180" t="str">
        <f aca="false">IF((D48="r"),F48," ")</f>
        <v> </v>
      </c>
      <c r="J48" s="180" t="str">
        <f aca="false">IF((D48="t"),F48," ")</f>
        <v> </v>
      </c>
      <c r="K48" s="180" t="str">
        <f aca="false">IF((D48="e"),F48," ")</f>
        <v> </v>
      </c>
      <c r="L48" s="180" t="str">
        <f aca="false">IF((D48="p"),F48," ")</f>
        <v> </v>
      </c>
      <c r="M48" s="180" t="str">
        <f aca="false">IF((D48="g"),F48," ")</f>
        <v> </v>
      </c>
      <c r="N48" s="180" t="str">
        <f aca="false">IF((D48="a"),F48," ")</f>
        <v> </v>
      </c>
      <c r="O48" s="180" t="str">
        <f aca="false">IF((D48="l"),F48," ")</f>
        <v> </v>
      </c>
      <c r="P48" s="180" t="str">
        <f aca="false">IF((D48="i"),F48," ")</f>
        <v> </v>
      </c>
      <c r="Q48" s="180" t="str">
        <f aca="false">IF((D48="b"),F48," ")</f>
        <v> </v>
      </c>
      <c r="R48" s="180" t="str">
        <f aca="false">IF((D48="o"),F48," ")</f>
        <v> </v>
      </c>
      <c r="S48" s="180" t="str">
        <f aca="false">IF((D48="f"),F48," ")</f>
        <v> </v>
      </c>
      <c r="U48" s="371"/>
    </row>
    <row r="49" customFormat="false" ht="12.75" hidden="false" customHeight="false" outlineLevel="0" collapsed="false">
      <c r="D49" s="371" t="str">
        <f aca="false">IF((F49&lt;&gt;0),"Enter Letter"," ")</f>
        <v> </v>
      </c>
      <c r="G49" s="180" t="str">
        <f aca="false">IF((D49="d"),F49," ")</f>
        <v> </v>
      </c>
      <c r="H49" s="180" t="str">
        <f aca="false">IF((D49="h"),F49," ")</f>
        <v> </v>
      </c>
      <c r="I49" s="180" t="str">
        <f aca="false">IF((D49="r"),F49," ")</f>
        <v> </v>
      </c>
      <c r="J49" s="180" t="str">
        <f aca="false">IF((D49="t"),F49," ")</f>
        <v> </v>
      </c>
      <c r="K49" s="180" t="str">
        <f aca="false">IF((D49="e"),F49," ")</f>
        <v> </v>
      </c>
      <c r="L49" s="180" t="str">
        <f aca="false">IF((D49="p"),F49," ")</f>
        <v> </v>
      </c>
      <c r="M49" s="180" t="str">
        <f aca="false">IF((D49="g"),F49," ")</f>
        <v> </v>
      </c>
      <c r="N49" s="180" t="str">
        <f aca="false">IF((D49="a"),F49," ")</f>
        <v> </v>
      </c>
      <c r="O49" s="180" t="str">
        <f aca="false">IF((D49="l"),F49," ")</f>
        <v> </v>
      </c>
      <c r="P49" s="180" t="str">
        <f aca="false">IF((D49="i"),F49," ")</f>
        <v> </v>
      </c>
      <c r="Q49" s="180" t="str">
        <f aca="false">IF((D49="b"),F49," ")</f>
        <v> </v>
      </c>
      <c r="R49" s="180" t="str">
        <f aca="false">IF((D49="o"),F49," ")</f>
        <v> </v>
      </c>
      <c r="S49" s="180" t="str">
        <f aca="false">IF((D49="f"),F49," ")</f>
        <v> </v>
      </c>
      <c r="U49" s="371"/>
    </row>
    <row r="50" customFormat="false" ht="12.75" hidden="false" customHeight="false" outlineLevel="0" collapsed="false">
      <c r="D50" s="371" t="str">
        <f aca="false">IF((F50&lt;&gt;0),"Enter Letter"," ")</f>
        <v> </v>
      </c>
      <c r="G50" s="180" t="str">
        <f aca="false">IF((D50="d"),F50," ")</f>
        <v> </v>
      </c>
      <c r="H50" s="180" t="str">
        <f aca="false">IF((D50="h"),F50," ")</f>
        <v> </v>
      </c>
      <c r="I50" s="180" t="str">
        <f aca="false">IF((D50="r"),F50," ")</f>
        <v> </v>
      </c>
      <c r="J50" s="180" t="str">
        <f aca="false">IF((D50="t"),F50," ")</f>
        <v> </v>
      </c>
      <c r="K50" s="180" t="str">
        <f aca="false">IF((D50="e"),F50," ")</f>
        <v> </v>
      </c>
      <c r="L50" s="180" t="str">
        <f aca="false">IF((D50="p"),F50," ")</f>
        <v> </v>
      </c>
      <c r="M50" s="180" t="str">
        <f aca="false">IF((D50="g"),F50," ")</f>
        <v> </v>
      </c>
      <c r="N50" s="180" t="str">
        <f aca="false">IF((D50="a"),F50," ")</f>
        <v> </v>
      </c>
      <c r="O50" s="180" t="str">
        <f aca="false">IF((D50="l"),F50," ")</f>
        <v> </v>
      </c>
      <c r="P50" s="180" t="str">
        <f aca="false">IF((D50="i"),F50," ")</f>
        <v> </v>
      </c>
      <c r="Q50" s="180" t="str">
        <f aca="false">IF((D50="b"),F50," ")</f>
        <v> </v>
      </c>
      <c r="R50" s="180" t="str">
        <f aca="false">IF((D50="o"),F50," ")</f>
        <v> </v>
      </c>
      <c r="S50" s="180" t="str">
        <f aca="false">IF((D50="f"),F50," ")</f>
        <v> </v>
      </c>
      <c r="U50" s="371"/>
    </row>
    <row r="51" customFormat="false" ht="12.75" hidden="false" customHeight="false" outlineLevel="0" collapsed="false">
      <c r="D51" s="371" t="str">
        <f aca="false">IF((F51&lt;&gt;0),"Enter Letter"," ")</f>
        <v> </v>
      </c>
      <c r="G51" s="180" t="str">
        <f aca="false">IF((D51="d"),F51," ")</f>
        <v> </v>
      </c>
      <c r="H51" s="180" t="str">
        <f aca="false">IF((D51="h"),F51," ")</f>
        <v> </v>
      </c>
      <c r="I51" s="180" t="str">
        <f aca="false">IF((D51="r"),F51," ")</f>
        <v> </v>
      </c>
      <c r="J51" s="180" t="str">
        <f aca="false">IF((D51="t"),F51," ")</f>
        <v> </v>
      </c>
      <c r="K51" s="180" t="str">
        <f aca="false">IF((D51="e"),F51," ")</f>
        <v> </v>
      </c>
      <c r="L51" s="180" t="str">
        <f aca="false">IF((D51="p"),F51," ")</f>
        <v> </v>
      </c>
      <c r="M51" s="180" t="str">
        <f aca="false">IF((D51="g"),F51," ")</f>
        <v> </v>
      </c>
      <c r="N51" s="180" t="str">
        <f aca="false">IF((D51="a"),F51," ")</f>
        <v> </v>
      </c>
      <c r="O51" s="180" t="str">
        <f aca="false">IF((D51="l"),F51," ")</f>
        <v> </v>
      </c>
      <c r="P51" s="180" t="str">
        <f aca="false">IF((D51="i"),F51," ")</f>
        <v> </v>
      </c>
      <c r="Q51" s="180" t="str">
        <f aca="false">IF((D51="b"),F51," ")</f>
        <v> </v>
      </c>
      <c r="R51" s="180" t="str">
        <f aca="false">IF((D51="o"),F51," ")</f>
        <v> </v>
      </c>
      <c r="S51" s="180" t="str">
        <f aca="false">IF((D51="f"),F51," ")</f>
        <v> </v>
      </c>
      <c r="U51" s="371"/>
    </row>
    <row r="52" customFormat="false" ht="12.75" hidden="false" customHeight="false" outlineLevel="0" collapsed="false">
      <c r="D52" s="371" t="str">
        <f aca="false">IF((F52&lt;&gt;0),"Enter Letter"," ")</f>
        <v> </v>
      </c>
      <c r="G52" s="180" t="str">
        <f aca="false">IF((D52="d"),F52," ")</f>
        <v> </v>
      </c>
      <c r="H52" s="180" t="str">
        <f aca="false">IF((D52="h"),F52," ")</f>
        <v> </v>
      </c>
      <c r="I52" s="180" t="str">
        <f aca="false">IF((D52="r"),F52," ")</f>
        <v> </v>
      </c>
      <c r="J52" s="180" t="str">
        <f aca="false">IF((D52="t"),F52," ")</f>
        <v> </v>
      </c>
      <c r="K52" s="180" t="str">
        <f aca="false">IF((D52="e"),F52," ")</f>
        <v> </v>
      </c>
      <c r="L52" s="180" t="str">
        <f aca="false">IF((D52="p"),F52," ")</f>
        <v> </v>
      </c>
      <c r="M52" s="180" t="str">
        <f aca="false">IF((D52="g"),F52," ")</f>
        <v> </v>
      </c>
      <c r="N52" s="180" t="str">
        <f aca="false">IF((D52="a"),F52," ")</f>
        <v> </v>
      </c>
      <c r="O52" s="180" t="str">
        <f aca="false">IF((D52="l"),F52," ")</f>
        <v> </v>
      </c>
      <c r="P52" s="180" t="str">
        <f aca="false">IF((D52="i"),F52," ")</f>
        <v> </v>
      </c>
      <c r="Q52" s="180" t="str">
        <f aca="false">IF((D52="b"),F52," ")</f>
        <v> </v>
      </c>
      <c r="R52" s="180" t="str">
        <f aca="false">IF((D52="o"),F52," ")</f>
        <v> </v>
      </c>
      <c r="S52" s="180" t="str">
        <f aca="false">IF((D52="f"),F52," ")</f>
        <v> </v>
      </c>
      <c r="U52" s="371"/>
    </row>
    <row r="53" customFormat="false" ht="12.75" hidden="false" customHeight="false" outlineLevel="0" collapsed="false">
      <c r="D53" s="371" t="str">
        <f aca="false">IF((F53&lt;&gt;0),"Enter Letter"," ")</f>
        <v> </v>
      </c>
      <c r="G53" s="180" t="str">
        <f aca="false">IF((D53="d"),F53," ")</f>
        <v> </v>
      </c>
      <c r="H53" s="180" t="str">
        <f aca="false">IF((D53="h"),F53," ")</f>
        <v> </v>
      </c>
      <c r="I53" s="180" t="str">
        <f aca="false">IF((D53="r"),F53," ")</f>
        <v> </v>
      </c>
      <c r="J53" s="180" t="str">
        <f aca="false">IF((D53="t"),F53," ")</f>
        <v> </v>
      </c>
      <c r="K53" s="180" t="str">
        <f aca="false">IF((D53="e"),F53," ")</f>
        <v> </v>
      </c>
      <c r="L53" s="180" t="str">
        <f aca="false">IF((D53="p"),F53," ")</f>
        <v> </v>
      </c>
      <c r="M53" s="180" t="str">
        <f aca="false">IF((D53="g"),F53," ")</f>
        <v> </v>
      </c>
      <c r="N53" s="180" t="str">
        <f aca="false">IF((D53="a"),F53," ")</f>
        <v> </v>
      </c>
      <c r="O53" s="180" t="str">
        <f aca="false">IF((D53="l"),F53," ")</f>
        <v> </v>
      </c>
      <c r="P53" s="180" t="str">
        <f aca="false">IF((D53="i"),F53," ")</f>
        <v> </v>
      </c>
      <c r="Q53" s="180" t="str">
        <f aca="false">IF((D53="b"),F53," ")</f>
        <v> </v>
      </c>
      <c r="R53" s="180" t="str">
        <f aca="false">IF((D53="o"),F53," ")</f>
        <v> </v>
      </c>
      <c r="S53" s="180" t="str">
        <f aca="false">IF((D53="f"),F53," ")</f>
        <v> </v>
      </c>
      <c r="U53" s="371"/>
    </row>
    <row r="54" customFormat="false" ht="12.75" hidden="false" customHeight="false" outlineLevel="0" collapsed="false">
      <c r="D54" s="371" t="str">
        <f aca="false">IF((F54&lt;&gt;0),"Enter Letter"," ")</f>
        <v> </v>
      </c>
      <c r="G54" s="180" t="str">
        <f aca="false">IF((D54="d"),F54," ")</f>
        <v> </v>
      </c>
      <c r="H54" s="180" t="str">
        <f aca="false">IF((D54="h"),F54," ")</f>
        <v> </v>
      </c>
      <c r="I54" s="180" t="str">
        <f aca="false">IF((D54="r"),F54," ")</f>
        <v> </v>
      </c>
      <c r="J54" s="180" t="str">
        <f aca="false">IF((D54="t"),F54," ")</f>
        <v> </v>
      </c>
      <c r="K54" s="180" t="str">
        <f aca="false">IF((D54="e"),F54," ")</f>
        <v> </v>
      </c>
      <c r="L54" s="180" t="str">
        <f aca="false">IF((D54="p"),F54," ")</f>
        <v> </v>
      </c>
      <c r="M54" s="180" t="str">
        <f aca="false">IF((D54="g"),F54," ")</f>
        <v> </v>
      </c>
      <c r="N54" s="180" t="str">
        <f aca="false">IF((D54="a"),F54," ")</f>
        <v> </v>
      </c>
      <c r="O54" s="180" t="str">
        <f aca="false">IF((D54="l"),F54," ")</f>
        <v> </v>
      </c>
      <c r="P54" s="180" t="str">
        <f aca="false">IF((D54="i"),F54," ")</f>
        <v> </v>
      </c>
      <c r="Q54" s="180" t="str">
        <f aca="false">IF((D54="b"),F54," ")</f>
        <v> </v>
      </c>
      <c r="R54" s="180" t="str">
        <f aca="false">IF((D54="o"),F54," ")</f>
        <v> </v>
      </c>
      <c r="S54" s="180" t="str">
        <f aca="false">IF((D54="f"),F54," ")</f>
        <v> </v>
      </c>
      <c r="U54" s="371"/>
    </row>
    <row r="55" customFormat="false" ht="12.75" hidden="false" customHeight="false" outlineLevel="0" collapsed="false">
      <c r="D55" s="371" t="str">
        <f aca="false">IF((F55&lt;&gt;0),"Enter Letter"," ")</f>
        <v> </v>
      </c>
      <c r="G55" s="180" t="str">
        <f aca="false">IF((D55="d"),F55," ")</f>
        <v> </v>
      </c>
      <c r="H55" s="180" t="str">
        <f aca="false">IF((D55="h"),F55," ")</f>
        <v> </v>
      </c>
      <c r="I55" s="180" t="str">
        <f aca="false">IF((D55="r"),F55," ")</f>
        <v> </v>
      </c>
      <c r="J55" s="180" t="str">
        <f aca="false">IF((D55="t"),F55," ")</f>
        <v> </v>
      </c>
      <c r="K55" s="180" t="str">
        <f aca="false">IF((D55="e"),F55," ")</f>
        <v> </v>
      </c>
      <c r="L55" s="180" t="str">
        <f aca="false">IF((D55="p"),F55," ")</f>
        <v> </v>
      </c>
      <c r="M55" s="180" t="str">
        <f aca="false">IF((D55="g"),F55," ")</f>
        <v> </v>
      </c>
      <c r="N55" s="180" t="str">
        <f aca="false">IF((D55="a"),F55," ")</f>
        <v> </v>
      </c>
      <c r="O55" s="180" t="str">
        <f aca="false">IF((D55="l"),F55," ")</f>
        <v> </v>
      </c>
      <c r="P55" s="180" t="str">
        <f aca="false">IF((D55="i"),F55," ")</f>
        <v> </v>
      </c>
      <c r="Q55" s="180" t="str">
        <f aca="false">IF((D55="b"),F55," ")</f>
        <v> </v>
      </c>
      <c r="R55" s="180" t="str">
        <f aca="false">IF((D55="o"),F55," ")</f>
        <v> </v>
      </c>
      <c r="S55" s="180" t="str">
        <f aca="false">IF((D55="f"),F55," ")</f>
        <v> </v>
      </c>
      <c r="U55" s="371"/>
    </row>
    <row r="56" customFormat="false" ht="12.75" hidden="false" customHeight="false" outlineLevel="0" collapsed="false">
      <c r="D56" s="371" t="str">
        <f aca="false">IF((F56&lt;&gt;0),"Enter Letter"," ")</f>
        <v> </v>
      </c>
      <c r="G56" s="180" t="str">
        <f aca="false">IF((D56="d"),F56," ")</f>
        <v> </v>
      </c>
      <c r="H56" s="180" t="str">
        <f aca="false">IF((D56="h"),F56," ")</f>
        <v> </v>
      </c>
      <c r="I56" s="180" t="str">
        <f aca="false">IF((D56="r"),F56," ")</f>
        <v> </v>
      </c>
      <c r="J56" s="180" t="str">
        <f aca="false">IF((D56="t"),F56," ")</f>
        <v> </v>
      </c>
      <c r="K56" s="180" t="str">
        <f aca="false">IF((D56="e"),F56," ")</f>
        <v> </v>
      </c>
      <c r="L56" s="180" t="str">
        <f aca="false">IF((D56="p"),F56," ")</f>
        <v> </v>
      </c>
      <c r="M56" s="180" t="str">
        <f aca="false">IF((D56="g"),F56," ")</f>
        <v> </v>
      </c>
      <c r="N56" s="180" t="str">
        <f aca="false">IF((D56="a"),F56," ")</f>
        <v> </v>
      </c>
      <c r="O56" s="180" t="str">
        <f aca="false">IF((D56="l"),F56," ")</f>
        <v> </v>
      </c>
      <c r="P56" s="180" t="str">
        <f aca="false">IF((D56="i"),F56," ")</f>
        <v> </v>
      </c>
      <c r="Q56" s="180" t="str">
        <f aca="false">IF((D56="b"),F56," ")</f>
        <v> </v>
      </c>
      <c r="R56" s="180" t="str">
        <f aca="false">IF((D56="o"),F56," ")</f>
        <v> </v>
      </c>
      <c r="S56" s="180" t="str">
        <f aca="false">IF((D56="f"),F56," ")</f>
        <v> </v>
      </c>
      <c r="U56" s="371"/>
    </row>
    <row r="57" customFormat="false" ht="12.75" hidden="false" customHeight="false" outlineLevel="0" collapsed="false">
      <c r="D57" s="371" t="str">
        <f aca="false">IF((F57&lt;&gt;0),"Enter Letter"," ")</f>
        <v> </v>
      </c>
      <c r="G57" s="180" t="str">
        <f aca="false">IF((D57="d"),F57," ")</f>
        <v> </v>
      </c>
      <c r="H57" s="180" t="str">
        <f aca="false">IF((D57="h"),F57," ")</f>
        <v> </v>
      </c>
      <c r="I57" s="180" t="str">
        <f aca="false">IF((D57="r"),F57," ")</f>
        <v> </v>
      </c>
      <c r="J57" s="180" t="str">
        <f aca="false">IF((D57="t"),F57," ")</f>
        <v> </v>
      </c>
      <c r="K57" s="180" t="str">
        <f aca="false">IF((D57="e"),F57," ")</f>
        <v> </v>
      </c>
      <c r="L57" s="180" t="str">
        <f aca="false">IF((D57="p"),F57," ")</f>
        <v> </v>
      </c>
      <c r="M57" s="180" t="str">
        <f aca="false">IF((D57="g"),F57," ")</f>
        <v> </v>
      </c>
      <c r="N57" s="180" t="str">
        <f aca="false">IF((D57="a"),F57," ")</f>
        <v> </v>
      </c>
      <c r="O57" s="180" t="str">
        <f aca="false">IF((D57="l"),F57," ")</f>
        <v> </v>
      </c>
      <c r="P57" s="180" t="str">
        <f aca="false">IF((D57="i"),F57," ")</f>
        <v> </v>
      </c>
      <c r="Q57" s="180" t="str">
        <f aca="false">IF((D57="b"),F57," ")</f>
        <v> </v>
      </c>
      <c r="R57" s="180" t="str">
        <f aca="false">IF((D57="o"),F57," ")</f>
        <v> </v>
      </c>
      <c r="S57" s="180" t="str">
        <f aca="false">IF((D57="f"),F57," ")</f>
        <v> </v>
      </c>
      <c r="U57" s="371"/>
    </row>
    <row r="58" customFormat="false" ht="12.75" hidden="false" customHeight="false" outlineLevel="0" collapsed="false">
      <c r="D58" s="371" t="str">
        <f aca="false">IF((F58&lt;&gt;0),"Enter Letter"," ")</f>
        <v> </v>
      </c>
      <c r="G58" s="180" t="str">
        <f aca="false">IF((D58="d"),F58," ")</f>
        <v> </v>
      </c>
      <c r="H58" s="180" t="str">
        <f aca="false">IF((D58="h"),F58," ")</f>
        <v> </v>
      </c>
      <c r="I58" s="180" t="str">
        <f aca="false">IF((D58="r"),F58," ")</f>
        <v> </v>
      </c>
      <c r="J58" s="180" t="str">
        <f aca="false">IF((D58="t"),F58," ")</f>
        <v> </v>
      </c>
      <c r="K58" s="180" t="str">
        <f aca="false">IF((D58="e"),F58," ")</f>
        <v> </v>
      </c>
      <c r="L58" s="180" t="str">
        <f aca="false">IF((D58="p"),F58," ")</f>
        <v> </v>
      </c>
      <c r="M58" s="180" t="str">
        <f aca="false">IF((D58="g"),F58," ")</f>
        <v> </v>
      </c>
      <c r="N58" s="180" t="str">
        <f aca="false">IF((D58="a"),F58," ")</f>
        <v> </v>
      </c>
      <c r="O58" s="180" t="str">
        <f aca="false">IF((D58="l"),F58," ")</f>
        <v> </v>
      </c>
      <c r="P58" s="180" t="str">
        <f aca="false">IF((D58="i"),F58," ")</f>
        <v> </v>
      </c>
      <c r="Q58" s="180" t="str">
        <f aca="false">IF((D58="b"),F58," ")</f>
        <v> </v>
      </c>
      <c r="R58" s="180" t="str">
        <f aca="false">IF((D58="o"),F58," ")</f>
        <v> </v>
      </c>
      <c r="S58" s="180" t="str">
        <f aca="false">IF((D58="f"),F58," ")</f>
        <v> </v>
      </c>
      <c r="U58" s="371"/>
    </row>
    <row r="59" customFormat="false" ht="12.75" hidden="false" customHeight="false" outlineLevel="0" collapsed="false">
      <c r="D59" s="371" t="str">
        <f aca="false">IF((F59&lt;&gt;0),"Enter Letter"," ")</f>
        <v> </v>
      </c>
      <c r="G59" s="180" t="str">
        <f aca="false">IF((D59="d"),F59," ")</f>
        <v> </v>
      </c>
      <c r="H59" s="180" t="str">
        <f aca="false">IF((D59="h"),F59," ")</f>
        <v> </v>
      </c>
      <c r="I59" s="180" t="str">
        <f aca="false">IF((D59="r"),F59," ")</f>
        <v> </v>
      </c>
      <c r="J59" s="180" t="str">
        <f aca="false">IF((D59="t"),F59," ")</f>
        <v> </v>
      </c>
      <c r="K59" s="180" t="str">
        <f aca="false">IF((D59="e"),F59," ")</f>
        <v> </v>
      </c>
      <c r="L59" s="180" t="str">
        <f aca="false">IF((D59="p"),F59," ")</f>
        <v> </v>
      </c>
      <c r="M59" s="180" t="str">
        <f aca="false">IF((D59="g"),F59," ")</f>
        <v> </v>
      </c>
      <c r="N59" s="180" t="str">
        <f aca="false">IF((D59="a"),F59," ")</f>
        <v> </v>
      </c>
      <c r="O59" s="180" t="str">
        <f aca="false">IF((D59="l"),F59," ")</f>
        <v> </v>
      </c>
      <c r="P59" s="180" t="str">
        <f aca="false">IF((D59="i"),F59," ")</f>
        <v> </v>
      </c>
      <c r="Q59" s="180" t="str">
        <f aca="false">IF((D59="b"),F59," ")</f>
        <v> </v>
      </c>
      <c r="R59" s="180" t="str">
        <f aca="false">IF((D59="o"),F59," ")</f>
        <v> </v>
      </c>
      <c r="S59" s="180" t="str">
        <f aca="false">IF((D59="f"),F59," ")</f>
        <v> </v>
      </c>
      <c r="U59" s="371"/>
    </row>
    <row r="60" customFormat="false" ht="12.75" hidden="false" customHeight="false" outlineLevel="0" collapsed="false">
      <c r="D60" s="371" t="str">
        <f aca="false">IF((F60&lt;&gt;0),"Enter Letter"," ")</f>
        <v> </v>
      </c>
      <c r="G60" s="180" t="str">
        <f aca="false">IF((D60="d"),F60," ")</f>
        <v> </v>
      </c>
      <c r="H60" s="180" t="str">
        <f aca="false">IF((D60="h"),F60," ")</f>
        <v> </v>
      </c>
      <c r="I60" s="180" t="str">
        <f aca="false">IF((D60="r"),F60," ")</f>
        <v> </v>
      </c>
      <c r="J60" s="180" t="str">
        <f aca="false">IF((D60="t"),F60," ")</f>
        <v> </v>
      </c>
      <c r="K60" s="180" t="str">
        <f aca="false">IF((D60="e"),F60," ")</f>
        <v> </v>
      </c>
      <c r="L60" s="180" t="str">
        <f aca="false">IF((D60="p"),F60," ")</f>
        <v> </v>
      </c>
      <c r="M60" s="180" t="str">
        <f aca="false">IF((D60="g"),F60," ")</f>
        <v> </v>
      </c>
      <c r="N60" s="180" t="str">
        <f aca="false">IF((D60="a"),F60," ")</f>
        <v> </v>
      </c>
      <c r="O60" s="180" t="str">
        <f aca="false">IF((D60="l"),F60," ")</f>
        <v> </v>
      </c>
      <c r="P60" s="180" t="str">
        <f aca="false">IF((D60="i"),F60," ")</f>
        <v> </v>
      </c>
      <c r="Q60" s="180" t="str">
        <f aca="false">IF((D60="b"),F60," ")</f>
        <v> </v>
      </c>
      <c r="R60" s="180" t="str">
        <f aca="false">IF((D60="o"),F60," ")</f>
        <v> </v>
      </c>
      <c r="S60" s="180" t="str">
        <f aca="false">IF((D60="f"),F60," ")</f>
        <v> </v>
      </c>
      <c r="U60" s="371"/>
    </row>
    <row r="61" customFormat="false" ht="12.75" hidden="false" customHeight="false" outlineLevel="0" collapsed="false">
      <c r="D61" s="371" t="str">
        <f aca="false">IF((F61&lt;&gt;0),"Enter Letter"," ")</f>
        <v> </v>
      </c>
      <c r="G61" s="180" t="str">
        <f aca="false">IF((D61="d"),F61," ")</f>
        <v> </v>
      </c>
      <c r="H61" s="180" t="str">
        <f aca="false">IF((D61="h"),F61," ")</f>
        <v> </v>
      </c>
      <c r="I61" s="180" t="str">
        <f aca="false">IF((D61="r"),F61," ")</f>
        <v> </v>
      </c>
      <c r="J61" s="180" t="str">
        <f aca="false">IF((D61="t"),F61," ")</f>
        <v> </v>
      </c>
      <c r="K61" s="180" t="str">
        <f aca="false">IF((D61="e"),F61," ")</f>
        <v> </v>
      </c>
      <c r="L61" s="180" t="str">
        <f aca="false">IF((D61="p"),F61," ")</f>
        <v> </v>
      </c>
      <c r="M61" s="180" t="str">
        <f aca="false">IF((D61="g"),F61," ")</f>
        <v> </v>
      </c>
      <c r="N61" s="180" t="str">
        <f aca="false">IF((D61="a"),F61," ")</f>
        <v> </v>
      </c>
      <c r="O61" s="180" t="str">
        <f aca="false">IF((D61="l"),F61," ")</f>
        <v> </v>
      </c>
      <c r="P61" s="180" t="str">
        <f aca="false">IF((D61="i"),F61," ")</f>
        <v> </v>
      </c>
      <c r="Q61" s="180" t="str">
        <f aca="false">IF((D61="b"),F61," ")</f>
        <v> </v>
      </c>
      <c r="R61" s="180" t="str">
        <f aca="false">IF((D61="o"),F61," ")</f>
        <v> </v>
      </c>
      <c r="S61" s="180" t="str">
        <f aca="false">IF((D61="f"),F61," ")</f>
        <v> </v>
      </c>
      <c r="U61" s="371"/>
    </row>
    <row r="62" customFormat="false" ht="12.75" hidden="false" customHeight="false" outlineLevel="0" collapsed="false">
      <c r="D62" s="371" t="str">
        <f aca="false">IF((F62&lt;&gt;0),"Enter Letter"," ")</f>
        <v> </v>
      </c>
      <c r="G62" s="180" t="str">
        <f aca="false">IF((D62="d"),F62," ")</f>
        <v> </v>
      </c>
      <c r="H62" s="180" t="str">
        <f aca="false">IF((D62="h"),F62," ")</f>
        <v> </v>
      </c>
      <c r="I62" s="180" t="str">
        <f aca="false">IF((D62="r"),F62," ")</f>
        <v> </v>
      </c>
      <c r="J62" s="180" t="str">
        <f aca="false">IF((D62="t"),F62," ")</f>
        <v> </v>
      </c>
      <c r="K62" s="180" t="str">
        <f aca="false">IF((D62="e"),F62," ")</f>
        <v> </v>
      </c>
      <c r="L62" s="180" t="str">
        <f aca="false">IF((D62="p"),F62," ")</f>
        <v> </v>
      </c>
      <c r="M62" s="180" t="str">
        <f aca="false">IF((D62="g"),F62," ")</f>
        <v> </v>
      </c>
      <c r="N62" s="180" t="str">
        <f aca="false">IF((D62="a"),F62," ")</f>
        <v> </v>
      </c>
      <c r="O62" s="180" t="str">
        <f aca="false">IF((D62="l"),F62," ")</f>
        <v> </v>
      </c>
      <c r="P62" s="180" t="str">
        <f aca="false">IF((D62="i"),F62," ")</f>
        <v> </v>
      </c>
      <c r="Q62" s="180" t="str">
        <f aca="false">IF((D62="b"),F62," ")</f>
        <v> </v>
      </c>
      <c r="R62" s="180" t="str">
        <f aca="false">IF((D62="o"),F62," ")</f>
        <v> </v>
      </c>
      <c r="S62" s="180" t="str">
        <f aca="false">IF((D62="f"),F62," ")</f>
        <v> </v>
      </c>
      <c r="U62" s="371"/>
    </row>
    <row r="63" customFormat="false" ht="12.75" hidden="false" customHeight="false" outlineLevel="0" collapsed="false">
      <c r="D63" s="371" t="str">
        <f aca="false">IF((F63&lt;&gt;0),"Enter Letter"," ")</f>
        <v> </v>
      </c>
      <c r="G63" s="180" t="str">
        <f aca="false">IF((D63="d"),F63," ")</f>
        <v> </v>
      </c>
      <c r="H63" s="180" t="str">
        <f aca="false">IF((D63="h"),F63," ")</f>
        <v> </v>
      </c>
      <c r="I63" s="180" t="str">
        <f aca="false">IF((D63="r"),F63," ")</f>
        <v> </v>
      </c>
      <c r="J63" s="180" t="str">
        <f aca="false">IF((D63="t"),F63," ")</f>
        <v> </v>
      </c>
      <c r="K63" s="180" t="str">
        <f aca="false">IF((D63="e"),F63," ")</f>
        <v> </v>
      </c>
      <c r="L63" s="180" t="str">
        <f aca="false">IF((D63="p"),F63," ")</f>
        <v> </v>
      </c>
      <c r="M63" s="180" t="str">
        <f aca="false">IF((D63="g"),F63," ")</f>
        <v> </v>
      </c>
      <c r="N63" s="180" t="str">
        <f aca="false">IF((D63="a"),F63," ")</f>
        <v> </v>
      </c>
      <c r="O63" s="180" t="str">
        <f aca="false">IF((D63="l"),F63," ")</f>
        <v> </v>
      </c>
      <c r="P63" s="180" t="str">
        <f aca="false">IF((D63="i"),F63," ")</f>
        <v> </v>
      </c>
      <c r="Q63" s="180" t="str">
        <f aca="false">IF((D63="b"),F63," ")</f>
        <v> </v>
      </c>
      <c r="R63" s="180" t="str">
        <f aca="false">IF((D63="o"),F63," ")</f>
        <v> </v>
      </c>
      <c r="S63" s="180" t="str">
        <f aca="false">IF((D63="f"),F63," ")</f>
        <v> </v>
      </c>
      <c r="U63" s="371"/>
    </row>
    <row r="64" customFormat="false" ht="12.75" hidden="false" customHeight="false" outlineLevel="0" collapsed="false">
      <c r="D64" s="371" t="str">
        <f aca="false">IF((F64&lt;&gt;0),"Enter Letter"," ")</f>
        <v> </v>
      </c>
      <c r="G64" s="180" t="str">
        <f aca="false">IF((D64="d"),F64," ")</f>
        <v> </v>
      </c>
      <c r="H64" s="180" t="str">
        <f aca="false">IF((D64="h"),F64," ")</f>
        <v> </v>
      </c>
      <c r="I64" s="180" t="str">
        <f aca="false">IF((D64="r"),F64," ")</f>
        <v> </v>
      </c>
      <c r="J64" s="180" t="str">
        <f aca="false">IF((D64="t"),F64," ")</f>
        <v> </v>
      </c>
      <c r="K64" s="180" t="str">
        <f aca="false">IF((D64="e"),F64," ")</f>
        <v> </v>
      </c>
      <c r="L64" s="180" t="str">
        <f aca="false">IF((D64="p"),F64," ")</f>
        <v> </v>
      </c>
      <c r="M64" s="180" t="str">
        <f aca="false">IF((D64="g"),F64," ")</f>
        <v> </v>
      </c>
      <c r="N64" s="180" t="str">
        <f aca="false">IF((D64="a"),F64," ")</f>
        <v> </v>
      </c>
      <c r="O64" s="180" t="str">
        <f aca="false">IF((D64="l"),F64," ")</f>
        <v> </v>
      </c>
      <c r="P64" s="180" t="str">
        <f aca="false">IF((D64="i"),F64," ")</f>
        <v> </v>
      </c>
      <c r="Q64" s="180" t="str">
        <f aca="false">IF((D64="b"),F64," ")</f>
        <v> </v>
      </c>
      <c r="R64" s="180" t="str">
        <f aca="false">IF((D64="o"),F64," ")</f>
        <v> </v>
      </c>
      <c r="S64" s="180" t="str">
        <f aca="false">IF((D64="f"),F64," ")</f>
        <v> </v>
      </c>
      <c r="U64" s="371"/>
    </row>
    <row r="65" customFormat="false" ht="12.75" hidden="false" customHeight="false" outlineLevel="0" collapsed="false">
      <c r="D65" s="371" t="str">
        <f aca="false">IF((F65&lt;&gt;0),"Enter Letter"," ")</f>
        <v> </v>
      </c>
      <c r="G65" s="180" t="str">
        <f aca="false">IF((D65="d"),F65," ")</f>
        <v> </v>
      </c>
      <c r="H65" s="180" t="str">
        <f aca="false">IF((D65="h"),F65," ")</f>
        <v> </v>
      </c>
      <c r="I65" s="180" t="str">
        <f aca="false">IF((D65="r"),F65," ")</f>
        <v> </v>
      </c>
      <c r="J65" s="180" t="str">
        <f aca="false">IF((D65="t"),F65," ")</f>
        <v> </v>
      </c>
      <c r="K65" s="180" t="str">
        <f aca="false">IF((D65="e"),F65," ")</f>
        <v> </v>
      </c>
      <c r="L65" s="180" t="str">
        <f aca="false">IF((D65="p"),F65," ")</f>
        <v> </v>
      </c>
      <c r="M65" s="180" t="str">
        <f aca="false">IF((D65="g"),F65," ")</f>
        <v> </v>
      </c>
      <c r="N65" s="180" t="str">
        <f aca="false">IF((D65="a"),F65," ")</f>
        <v> </v>
      </c>
      <c r="O65" s="180" t="str">
        <f aca="false">IF((D65="l"),F65," ")</f>
        <v> </v>
      </c>
      <c r="P65" s="180" t="str">
        <f aca="false">IF((D65="i"),F65," ")</f>
        <v> </v>
      </c>
      <c r="Q65" s="180" t="str">
        <f aca="false">IF((D65="b"),F65," ")</f>
        <v> </v>
      </c>
      <c r="R65" s="180" t="str">
        <f aca="false">IF((D65="o"),F65," ")</f>
        <v> </v>
      </c>
      <c r="S65" s="180" t="str">
        <f aca="false">IF((D65="f"),F65," ")</f>
        <v> </v>
      </c>
      <c r="U65" s="371"/>
    </row>
    <row r="66" customFormat="false" ht="12.75" hidden="false" customHeight="false" outlineLevel="0" collapsed="false">
      <c r="D66" s="371" t="str">
        <f aca="false">IF((F66&lt;&gt;0),"Enter Letter"," ")</f>
        <v> </v>
      </c>
      <c r="G66" s="180" t="str">
        <f aca="false">IF((D66="d"),F66," ")</f>
        <v> </v>
      </c>
      <c r="H66" s="180" t="str">
        <f aca="false">IF((D66="h"),F66," ")</f>
        <v> </v>
      </c>
      <c r="I66" s="180" t="str">
        <f aca="false">IF((D66="r"),F66," ")</f>
        <v> </v>
      </c>
      <c r="J66" s="180" t="str">
        <f aca="false">IF((D66="t"),F66," ")</f>
        <v> </v>
      </c>
      <c r="K66" s="180" t="str">
        <f aca="false">IF((D66="e"),F66," ")</f>
        <v> </v>
      </c>
      <c r="L66" s="180" t="str">
        <f aca="false">IF((D66="p"),F66," ")</f>
        <v> </v>
      </c>
      <c r="M66" s="180" t="str">
        <f aca="false">IF((D66="g"),F66," ")</f>
        <v> </v>
      </c>
      <c r="N66" s="180" t="str">
        <f aca="false">IF((D66="a"),F66," ")</f>
        <v> </v>
      </c>
      <c r="O66" s="180" t="str">
        <f aca="false">IF((D66="l"),F66," ")</f>
        <v> </v>
      </c>
      <c r="P66" s="180" t="str">
        <f aca="false">IF((D66="i"),F66," ")</f>
        <v> </v>
      </c>
      <c r="Q66" s="180" t="str">
        <f aca="false">IF((D66="b"),F66," ")</f>
        <v> </v>
      </c>
      <c r="R66" s="180" t="str">
        <f aca="false">IF((D66="o"),F66," ")</f>
        <v> </v>
      </c>
      <c r="S66" s="180" t="str">
        <f aca="false">IF((D66="f"),F66," ")</f>
        <v> </v>
      </c>
      <c r="U66" s="371"/>
    </row>
    <row r="67" customFormat="false" ht="12.75" hidden="false" customHeight="false" outlineLevel="0" collapsed="false">
      <c r="D67" s="371" t="str">
        <f aca="false">IF((F67&lt;&gt;0),"Enter Letter"," ")</f>
        <v> </v>
      </c>
      <c r="G67" s="180" t="str">
        <f aca="false">IF((D67="d"),F67," ")</f>
        <v> </v>
      </c>
      <c r="H67" s="180" t="str">
        <f aca="false">IF((D67="h"),F67," ")</f>
        <v> </v>
      </c>
      <c r="I67" s="180" t="str">
        <f aca="false">IF((D67="r"),F67," ")</f>
        <v> </v>
      </c>
      <c r="J67" s="180" t="str">
        <f aca="false">IF((D67="t"),F67," ")</f>
        <v> </v>
      </c>
      <c r="K67" s="180" t="str">
        <f aca="false">IF((D67="e"),F67," ")</f>
        <v> </v>
      </c>
      <c r="L67" s="180" t="str">
        <f aca="false">IF((D67="p"),F67," ")</f>
        <v> </v>
      </c>
      <c r="M67" s="180" t="str">
        <f aca="false">IF((D67="g"),F67," ")</f>
        <v> </v>
      </c>
      <c r="N67" s="180" t="str">
        <f aca="false">IF((D67="a"),F67," ")</f>
        <v> </v>
      </c>
      <c r="O67" s="180" t="str">
        <f aca="false">IF((D67="l"),F67," ")</f>
        <v> </v>
      </c>
      <c r="P67" s="180" t="str">
        <f aca="false">IF((D67="i"),F67," ")</f>
        <v> </v>
      </c>
      <c r="Q67" s="180" t="str">
        <f aca="false">IF((D67="b"),F67," ")</f>
        <v> </v>
      </c>
      <c r="R67" s="180" t="str">
        <f aca="false">IF((D67="o"),F67," ")</f>
        <v> </v>
      </c>
      <c r="S67" s="180" t="str">
        <f aca="false">IF((D67="f"),F67," ")</f>
        <v> </v>
      </c>
      <c r="U67" s="371"/>
    </row>
    <row r="68" customFormat="false" ht="12.75" hidden="false" customHeight="false" outlineLevel="0" collapsed="false">
      <c r="D68" s="371" t="str">
        <f aca="false">IF((F68&lt;&gt;0),"Enter Letter"," ")</f>
        <v> </v>
      </c>
      <c r="G68" s="180" t="str">
        <f aca="false">IF((D68="d"),F68," ")</f>
        <v> </v>
      </c>
      <c r="H68" s="180" t="str">
        <f aca="false">IF((D68="h"),F68," ")</f>
        <v> </v>
      </c>
      <c r="I68" s="180" t="str">
        <f aca="false">IF((D68="r"),F68," ")</f>
        <v> </v>
      </c>
      <c r="J68" s="180" t="str">
        <f aca="false">IF((D68="t"),F68," ")</f>
        <v> </v>
      </c>
      <c r="K68" s="180" t="str">
        <f aca="false">IF((D68="e"),F68," ")</f>
        <v> </v>
      </c>
      <c r="L68" s="180" t="str">
        <f aca="false">IF((D68="p"),F68," ")</f>
        <v> </v>
      </c>
      <c r="M68" s="180" t="str">
        <f aca="false">IF((D68="g"),F68," ")</f>
        <v> </v>
      </c>
      <c r="N68" s="180" t="str">
        <f aca="false">IF((D68="a"),F68," ")</f>
        <v> </v>
      </c>
      <c r="O68" s="180" t="str">
        <f aca="false">IF((D68="l"),F68," ")</f>
        <v> </v>
      </c>
      <c r="P68" s="180" t="str">
        <f aca="false">IF((D68="i"),F68," ")</f>
        <v> </v>
      </c>
      <c r="Q68" s="180" t="str">
        <f aca="false">IF((D68="b"),F68," ")</f>
        <v> </v>
      </c>
      <c r="R68" s="180" t="str">
        <f aca="false">IF((D68="o"),F68," ")</f>
        <v> </v>
      </c>
      <c r="S68" s="180" t="str">
        <f aca="false">IF((D68="f"),F68," ")</f>
        <v> </v>
      </c>
      <c r="U68" s="371"/>
    </row>
    <row r="69" customFormat="false" ht="12.75" hidden="false" customHeight="false" outlineLevel="0" collapsed="false">
      <c r="D69" s="371" t="str">
        <f aca="false">IF((F69&lt;&gt;0),"Enter Letter"," ")</f>
        <v> </v>
      </c>
      <c r="G69" s="180" t="str">
        <f aca="false">IF((D69="d"),F69," ")</f>
        <v> </v>
      </c>
      <c r="H69" s="180" t="str">
        <f aca="false">IF((D69="h"),F69," ")</f>
        <v> </v>
      </c>
      <c r="I69" s="180" t="str">
        <f aca="false">IF((D69="r"),F69," ")</f>
        <v> </v>
      </c>
      <c r="J69" s="180" t="str">
        <f aca="false">IF((D69="t"),F69," ")</f>
        <v> </v>
      </c>
      <c r="K69" s="180" t="str">
        <f aca="false">IF((D69="e"),F69," ")</f>
        <v> </v>
      </c>
      <c r="L69" s="180" t="str">
        <f aca="false">IF((D69="p"),F69," ")</f>
        <v> </v>
      </c>
      <c r="M69" s="180" t="str">
        <f aca="false">IF((D69="g"),F69," ")</f>
        <v> </v>
      </c>
      <c r="N69" s="180" t="str">
        <f aca="false">IF((D69="a"),F69," ")</f>
        <v> </v>
      </c>
      <c r="O69" s="180" t="str">
        <f aca="false">IF((D69="l"),F69," ")</f>
        <v> </v>
      </c>
      <c r="P69" s="180" t="str">
        <f aca="false">IF((D69="i"),F69," ")</f>
        <v> </v>
      </c>
      <c r="Q69" s="180" t="str">
        <f aca="false">IF((D69="b"),F69," ")</f>
        <v> </v>
      </c>
      <c r="R69" s="180" t="str">
        <f aca="false">IF((D69="o"),F69," ")</f>
        <v> </v>
      </c>
      <c r="S69" s="180" t="str">
        <f aca="false">IF((D69="f"),F69," ")</f>
        <v> </v>
      </c>
      <c r="U69" s="371"/>
    </row>
    <row r="70" customFormat="false" ht="12.75" hidden="false" customHeight="false" outlineLevel="0" collapsed="false">
      <c r="D70" s="371" t="str">
        <f aca="false">IF((F70&lt;&gt;0),"Enter Letter"," ")</f>
        <v> </v>
      </c>
      <c r="G70" s="180" t="str">
        <f aca="false">IF((D70="d"),F70," ")</f>
        <v> </v>
      </c>
      <c r="H70" s="180" t="str">
        <f aca="false">IF((D70="h"),F70," ")</f>
        <v> </v>
      </c>
      <c r="I70" s="180" t="str">
        <f aca="false">IF((D70="r"),F70," ")</f>
        <v> </v>
      </c>
      <c r="J70" s="180" t="str">
        <f aca="false">IF((D70="t"),F70," ")</f>
        <v> </v>
      </c>
      <c r="K70" s="180" t="str">
        <f aca="false">IF((D70="e"),F70," ")</f>
        <v> </v>
      </c>
      <c r="L70" s="180" t="str">
        <f aca="false">IF((D70="p"),F70," ")</f>
        <v> </v>
      </c>
      <c r="M70" s="180" t="str">
        <f aca="false">IF((D70="g"),F70," ")</f>
        <v> </v>
      </c>
      <c r="N70" s="180" t="str">
        <f aca="false">IF((D70="a"),F70," ")</f>
        <v> </v>
      </c>
      <c r="O70" s="180" t="str">
        <f aca="false">IF((D70="l"),F70," ")</f>
        <v> </v>
      </c>
      <c r="P70" s="180" t="str">
        <f aca="false">IF((D70="i"),F70," ")</f>
        <v> </v>
      </c>
      <c r="Q70" s="180" t="str">
        <f aca="false">IF((D70="b"),F70," ")</f>
        <v> </v>
      </c>
      <c r="R70" s="180" t="str">
        <f aca="false">IF((D70="o"),F70," ")</f>
        <v> </v>
      </c>
      <c r="S70" s="180" t="str">
        <f aca="false">IF((D70="f"),F70," ")</f>
        <v> </v>
      </c>
      <c r="U70" s="371"/>
    </row>
    <row r="71" customFormat="false" ht="12.75" hidden="false" customHeight="false" outlineLevel="0" collapsed="false">
      <c r="D71" s="371" t="str">
        <f aca="false">IF((F71&lt;&gt;0),"Enter Letter"," ")</f>
        <v> </v>
      </c>
      <c r="G71" s="180" t="str">
        <f aca="false">IF((D71="d"),F71," ")</f>
        <v> </v>
      </c>
      <c r="H71" s="180" t="str">
        <f aca="false">IF((D71="h"),F71," ")</f>
        <v> </v>
      </c>
      <c r="I71" s="180" t="str">
        <f aca="false">IF((D71="r"),F71," ")</f>
        <v> </v>
      </c>
      <c r="J71" s="180" t="str">
        <f aca="false">IF((D71="t"),F71," ")</f>
        <v> </v>
      </c>
      <c r="K71" s="180" t="str">
        <f aca="false">IF((D71="e"),F71," ")</f>
        <v> </v>
      </c>
      <c r="L71" s="180" t="str">
        <f aca="false">IF((D71="p"),F71," ")</f>
        <v> </v>
      </c>
      <c r="M71" s="180" t="str">
        <f aca="false">IF((D71="g"),F71," ")</f>
        <v> </v>
      </c>
      <c r="N71" s="180" t="str">
        <f aca="false">IF((D71="a"),F71," ")</f>
        <v> </v>
      </c>
      <c r="O71" s="180" t="str">
        <f aca="false">IF((D71="l"),F71," ")</f>
        <v> </v>
      </c>
      <c r="P71" s="180" t="str">
        <f aca="false">IF((D71="i"),F71," ")</f>
        <v> </v>
      </c>
      <c r="Q71" s="180" t="str">
        <f aca="false">IF((D71="b"),F71," ")</f>
        <v> </v>
      </c>
      <c r="R71" s="180" t="str">
        <f aca="false">IF((D71="o"),F71," ")</f>
        <v> </v>
      </c>
      <c r="S71" s="180" t="str">
        <f aca="false">IF((D71="f"),F71," ")</f>
        <v> </v>
      </c>
      <c r="U71" s="371"/>
    </row>
    <row r="72" customFormat="false" ht="12.75" hidden="false" customHeight="false" outlineLevel="0" collapsed="false">
      <c r="D72" s="371" t="str">
        <f aca="false">IF((F72&lt;&gt;0),"Enter Letter"," ")</f>
        <v> </v>
      </c>
      <c r="G72" s="180" t="str">
        <f aca="false">IF((D72="d"),F72," ")</f>
        <v> </v>
      </c>
      <c r="H72" s="180" t="str">
        <f aca="false">IF((D72="h"),F72," ")</f>
        <v> </v>
      </c>
      <c r="I72" s="180" t="str">
        <f aca="false">IF((D72="r"),F72," ")</f>
        <v> </v>
      </c>
      <c r="J72" s="180" t="str">
        <f aca="false">IF((D72="t"),F72," ")</f>
        <v> </v>
      </c>
      <c r="K72" s="180" t="str">
        <f aca="false">IF((D72="e"),F72," ")</f>
        <v> </v>
      </c>
      <c r="L72" s="180" t="str">
        <f aca="false">IF((D72="p"),F72," ")</f>
        <v> </v>
      </c>
      <c r="M72" s="180" t="str">
        <f aca="false">IF((D72="g"),F72," ")</f>
        <v> </v>
      </c>
      <c r="N72" s="180" t="str">
        <f aca="false">IF((D72="a"),F72," ")</f>
        <v> </v>
      </c>
      <c r="O72" s="180" t="str">
        <f aca="false">IF((D72="l"),F72," ")</f>
        <v> </v>
      </c>
      <c r="P72" s="180" t="str">
        <f aca="false">IF((D72="i"),F72," ")</f>
        <v> </v>
      </c>
      <c r="Q72" s="180" t="str">
        <f aca="false">IF((D72="b"),F72," ")</f>
        <v> </v>
      </c>
      <c r="R72" s="180" t="str">
        <f aca="false">IF((D72="o"),F72," ")</f>
        <v> </v>
      </c>
      <c r="S72" s="180" t="str">
        <f aca="false">IF((D72="f"),F72," ")</f>
        <v> </v>
      </c>
      <c r="U72" s="371"/>
    </row>
    <row r="73" customFormat="false" ht="12.75" hidden="false" customHeight="false" outlineLevel="0" collapsed="false">
      <c r="D73" s="371" t="str">
        <f aca="false">IF((F73&lt;&gt;0),"Enter Letter"," ")</f>
        <v> </v>
      </c>
      <c r="G73" s="180" t="str">
        <f aca="false">IF((D73="d"),F73," ")</f>
        <v> </v>
      </c>
      <c r="H73" s="180" t="str">
        <f aca="false">IF((D73="h"),F73," ")</f>
        <v> </v>
      </c>
      <c r="I73" s="180" t="str">
        <f aca="false">IF((D73="r"),F73," ")</f>
        <v> </v>
      </c>
      <c r="J73" s="180" t="str">
        <f aca="false">IF((D73="t"),F73," ")</f>
        <v> </v>
      </c>
      <c r="K73" s="180" t="str">
        <f aca="false">IF((D73="e"),F73," ")</f>
        <v> </v>
      </c>
      <c r="L73" s="180" t="str">
        <f aca="false">IF((D73="p"),F73," ")</f>
        <v> </v>
      </c>
      <c r="M73" s="180" t="str">
        <f aca="false">IF((D73="g"),F73," ")</f>
        <v> </v>
      </c>
      <c r="N73" s="180" t="str">
        <f aca="false">IF((D73="a"),F73," ")</f>
        <v> </v>
      </c>
      <c r="O73" s="180" t="str">
        <f aca="false">IF((D73="l"),F73," ")</f>
        <v> </v>
      </c>
      <c r="P73" s="180" t="str">
        <f aca="false">IF((D73="i"),F73," ")</f>
        <v> </v>
      </c>
      <c r="Q73" s="180" t="str">
        <f aca="false">IF((D73="b"),F73," ")</f>
        <v> </v>
      </c>
      <c r="R73" s="180" t="str">
        <f aca="false">IF((D73="o"),F73," ")</f>
        <v> </v>
      </c>
      <c r="S73" s="180" t="str">
        <f aca="false">IF((D73="f"),F73," ")</f>
        <v> </v>
      </c>
      <c r="U73" s="371"/>
    </row>
    <row r="74" customFormat="false" ht="12.75" hidden="false" customHeight="false" outlineLevel="0" collapsed="false">
      <c r="D74" s="371" t="str">
        <f aca="false">IF((F74&lt;&gt;0),"Enter Letter"," ")</f>
        <v> </v>
      </c>
      <c r="G74" s="180" t="str">
        <f aca="false">IF((D74="d"),F74," ")</f>
        <v> </v>
      </c>
      <c r="H74" s="180" t="str">
        <f aca="false">IF((D74="h"),F74," ")</f>
        <v> </v>
      </c>
      <c r="I74" s="180" t="str">
        <f aca="false">IF((D74="r"),F74," ")</f>
        <v> </v>
      </c>
      <c r="J74" s="180" t="str">
        <f aca="false">IF((D74="t"),F74," ")</f>
        <v> </v>
      </c>
      <c r="K74" s="180" t="str">
        <f aca="false">IF((D74="e"),F74," ")</f>
        <v> </v>
      </c>
      <c r="L74" s="180" t="str">
        <f aca="false">IF((D74="p"),F74," ")</f>
        <v> </v>
      </c>
      <c r="M74" s="180" t="str">
        <f aca="false">IF((D74="g"),F74," ")</f>
        <v> </v>
      </c>
      <c r="N74" s="180" t="str">
        <f aca="false">IF((D74="a"),F74," ")</f>
        <v> </v>
      </c>
      <c r="O74" s="180" t="str">
        <f aca="false">IF((D74="l"),F74," ")</f>
        <v> </v>
      </c>
      <c r="P74" s="180" t="str">
        <f aca="false">IF((D74="i"),F74," ")</f>
        <v> </v>
      </c>
      <c r="Q74" s="180" t="str">
        <f aca="false">IF((D74="b"),F74," ")</f>
        <v> </v>
      </c>
      <c r="R74" s="180" t="str">
        <f aca="false">IF((D74="o"),F74," ")</f>
        <v> </v>
      </c>
      <c r="S74" s="180" t="str">
        <f aca="false">IF((D74="f"),F74," ")</f>
        <v> </v>
      </c>
      <c r="U74" s="371"/>
    </row>
    <row r="75" customFormat="false" ht="12.75" hidden="false" customHeight="false" outlineLevel="0" collapsed="false">
      <c r="D75" s="371" t="str">
        <f aca="false">IF((F75&lt;&gt;0),"Enter Letter"," ")</f>
        <v> </v>
      </c>
      <c r="G75" s="180" t="str">
        <f aca="false">IF((D75="d"),F75," ")</f>
        <v> </v>
      </c>
      <c r="H75" s="180" t="str">
        <f aca="false">IF((D75="h"),F75," ")</f>
        <v> </v>
      </c>
      <c r="I75" s="180" t="str">
        <f aca="false">IF((D75="r"),F75," ")</f>
        <v> </v>
      </c>
      <c r="J75" s="180" t="str">
        <f aca="false">IF((D75="t"),F75," ")</f>
        <v> </v>
      </c>
      <c r="K75" s="180" t="str">
        <f aca="false">IF((D75="e"),F75," ")</f>
        <v> </v>
      </c>
      <c r="L75" s="180" t="str">
        <f aca="false">IF((D75="p"),F75," ")</f>
        <v> </v>
      </c>
      <c r="M75" s="180" t="str">
        <f aca="false">IF((D75="g"),F75," ")</f>
        <v> </v>
      </c>
      <c r="N75" s="180" t="str">
        <f aca="false">IF((D75="a"),F75," ")</f>
        <v> </v>
      </c>
      <c r="O75" s="180" t="str">
        <f aca="false">IF((D75="l"),F75," ")</f>
        <v> </v>
      </c>
      <c r="P75" s="180" t="str">
        <f aca="false">IF((D75="i"),F75," ")</f>
        <v> </v>
      </c>
      <c r="Q75" s="180" t="str">
        <f aca="false">IF((D75="b"),F75," ")</f>
        <v> </v>
      </c>
      <c r="R75" s="180" t="str">
        <f aca="false">IF((D75="o"),F75," ")</f>
        <v> </v>
      </c>
      <c r="S75" s="180" t="str">
        <f aca="false">IF((D75="f"),F75," ")</f>
        <v> </v>
      </c>
      <c r="U75" s="371"/>
    </row>
    <row r="76" customFormat="false" ht="12.75" hidden="false" customHeight="false" outlineLevel="0" collapsed="false">
      <c r="D76" s="371" t="str">
        <f aca="false">IF((F76&lt;&gt;0),"Enter Letter"," ")</f>
        <v> </v>
      </c>
      <c r="G76" s="180" t="str">
        <f aca="false">IF((D76="d"),F76," ")</f>
        <v> </v>
      </c>
      <c r="H76" s="180" t="str">
        <f aca="false">IF((D76="h"),F76," ")</f>
        <v> </v>
      </c>
      <c r="I76" s="180" t="str">
        <f aca="false">IF((D76="r"),F76," ")</f>
        <v> </v>
      </c>
      <c r="J76" s="180" t="str">
        <f aca="false">IF((D76="t"),F76," ")</f>
        <v> </v>
      </c>
      <c r="K76" s="180" t="str">
        <f aca="false">IF((D76="e"),F76," ")</f>
        <v> </v>
      </c>
      <c r="L76" s="180" t="str">
        <f aca="false">IF((D76="p"),F76," ")</f>
        <v> </v>
      </c>
      <c r="M76" s="180" t="str">
        <f aca="false">IF((D76="g"),F76," ")</f>
        <v> </v>
      </c>
      <c r="N76" s="180" t="str">
        <f aca="false">IF((D76="a"),F76," ")</f>
        <v> </v>
      </c>
      <c r="O76" s="180" t="str">
        <f aca="false">IF((D76="l"),F76," ")</f>
        <v> </v>
      </c>
      <c r="P76" s="180" t="str">
        <f aca="false">IF((D76="i"),F76," ")</f>
        <v> </v>
      </c>
      <c r="Q76" s="180" t="str">
        <f aca="false">IF((D76="b"),F76," ")</f>
        <v> </v>
      </c>
      <c r="R76" s="180" t="str">
        <f aca="false">IF((D76="o"),F76," ")</f>
        <v> </v>
      </c>
      <c r="S76" s="180" t="str">
        <f aca="false">IF((D76="f"),F76," ")</f>
        <v> </v>
      </c>
      <c r="U76" s="371"/>
    </row>
    <row r="77" customFormat="false" ht="12.75" hidden="false" customHeight="false" outlineLevel="0" collapsed="false">
      <c r="D77" s="371" t="str">
        <f aca="false">IF((F77&lt;&gt;0),"Enter Letter"," ")</f>
        <v> </v>
      </c>
      <c r="G77" s="180" t="str">
        <f aca="false">IF((D77="d"),F77," ")</f>
        <v> </v>
      </c>
      <c r="H77" s="180" t="str">
        <f aca="false">IF((D77="h"),F77," ")</f>
        <v> </v>
      </c>
      <c r="I77" s="180" t="str">
        <f aca="false">IF((D77="r"),F77," ")</f>
        <v> </v>
      </c>
      <c r="J77" s="180" t="str">
        <f aca="false">IF((D77="t"),F77," ")</f>
        <v> </v>
      </c>
      <c r="K77" s="180" t="str">
        <f aca="false">IF((D77="e"),F77," ")</f>
        <v> </v>
      </c>
      <c r="L77" s="180" t="str">
        <f aca="false">IF((D77="p"),F77," ")</f>
        <v> </v>
      </c>
      <c r="M77" s="180" t="str">
        <f aca="false">IF((D77="g"),F77," ")</f>
        <v> </v>
      </c>
      <c r="N77" s="180" t="str">
        <f aca="false">IF((D77="a"),F77," ")</f>
        <v> </v>
      </c>
      <c r="O77" s="180" t="str">
        <f aca="false">IF((D77="l"),F77," ")</f>
        <v> </v>
      </c>
      <c r="P77" s="180" t="str">
        <f aca="false">IF((D77="i"),F77," ")</f>
        <v> </v>
      </c>
      <c r="Q77" s="180" t="str">
        <f aca="false">IF((D77="b"),F77," ")</f>
        <v> </v>
      </c>
      <c r="R77" s="180" t="str">
        <f aca="false">IF((D77="o"),F77," ")</f>
        <v> </v>
      </c>
      <c r="S77" s="180" t="str">
        <f aca="false">IF((D77="f"),F77," ")</f>
        <v> </v>
      </c>
      <c r="U77" s="371"/>
    </row>
    <row r="78" customFormat="false" ht="12.75" hidden="false" customHeight="false" outlineLevel="0" collapsed="false">
      <c r="D78" s="371" t="str">
        <f aca="false">IF((F78&lt;&gt;0),"Enter Letter"," ")</f>
        <v> </v>
      </c>
      <c r="G78" s="180" t="str">
        <f aca="false">IF((D78="d"),F78," ")</f>
        <v> </v>
      </c>
      <c r="H78" s="180" t="str">
        <f aca="false">IF((D78="h"),F78," ")</f>
        <v> </v>
      </c>
      <c r="I78" s="180" t="str">
        <f aca="false">IF((D78="r"),F78," ")</f>
        <v> </v>
      </c>
      <c r="J78" s="180" t="str">
        <f aca="false">IF((D78="t"),F78," ")</f>
        <v> </v>
      </c>
      <c r="K78" s="180" t="str">
        <f aca="false">IF((D78="e"),F78," ")</f>
        <v> </v>
      </c>
      <c r="L78" s="180" t="str">
        <f aca="false">IF((D78="p"),F78," ")</f>
        <v> </v>
      </c>
      <c r="M78" s="180" t="str">
        <f aca="false">IF((D78="g"),F78," ")</f>
        <v> </v>
      </c>
      <c r="N78" s="180" t="str">
        <f aca="false">IF((D78="a"),F78," ")</f>
        <v> </v>
      </c>
      <c r="O78" s="180" t="str">
        <f aca="false">IF((D78="l"),F78," ")</f>
        <v> </v>
      </c>
      <c r="P78" s="180" t="str">
        <f aca="false">IF((D78="i"),F78," ")</f>
        <v> </v>
      </c>
      <c r="Q78" s="180" t="str">
        <f aca="false">IF((D78="b"),F78," ")</f>
        <v> </v>
      </c>
      <c r="R78" s="180" t="str">
        <f aca="false">IF((D78="o"),F78," ")</f>
        <v> </v>
      </c>
      <c r="S78" s="180" t="str">
        <f aca="false">IF((D78="f"),F78," ")</f>
        <v> </v>
      </c>
      <c r="U78" s="371"/>
    </row>
    <row r="79" customFormat="false" ht="12.75" hidden="false" customHeight="false" outlineLevel="0" collapsed="false">
      <c r="D79" s="371" t="str">
        <f aca="false">IF((F79&lt;&gt;0),"Enter Letter"," ")</f>
        <v> </v>
      </c>
      <c r="G79" s="180" t="str">
        <f aca="false">IF((D79="d"),F79," ")</f>
        <v> </v>
      </c>
      <c r="H79" s="180" t="str">
        <f aca="false">IF((D79="h"),F79," ")</f>
        <v> </v>
      </c>
      <c r="I79" s="180" t="str">
        <f aca="false">IF((D79="r"),F79," ")</f>
        <v> </v>
      </c>
      <c r="J79" s="180" t="str">
        <f aca="false">IF((D79="t"),F79," ")</f>
        <v> </v>
      </c>
      <c r="K79" s="180" t="str">
        <f aca="false">IF((D79="e"),F79," ")</f>
        <v> </v>
      </c>
      <c r="L79" s="180" t="str">
        <f aca="false">IF((D79="p"),F79," ")</f>
        <v> </v>
      </c>
      <c r="M79" s="180" t="str">
        <f aca="false">IF((D79="g"),F79," ")</f>
        <v> </v>
      </c>
      <c r="N79" s="180" t="str">
        <f aca="false">IF((D79="a"),F79," ")</f>
        <v> </v>
      </c>
      <c r="O79" s="180" t="str">
        <f aca="false">IF((D79="l"),F79," ")</f>
        <v> </v>
      </c>
      <c r="P79" s="180" t="str">
        <f aca="false">IF((D79="i"),F79," ")</f>
        <v> </v>
      </c>
      <c r="Q79" s="180" t="str">
        <f aca="false">IF((D79="b"),F79," ")</f>
        <v> </v>
      </c>
      <c r="R79" s="180" t="str">
        <f aca="false">IF((D79="o"),F79," ")</f>
        <v> </v>
      </c>
      <c r="S79" s="180" t="str">
        <f aca="false">IF((D79="f"),F79," ")</f>
        <v> </v>
      </c>
      <c r="U79" s="371"/>
    </row>
    <row r="80" customFormat="false" ht="12.75" hidden="false" customHeight="false" outlineLevel="0" collapsed="false">
      <c r="D80" s="371" t="str">
        <f aca="false">IF((F80&lt;&gt;0),"Enter Letter"," ")</f>
        <v> </v>
      </c>
      <c r="G80" s="180" t="str">
        <f aca="false">IF((D80="d"),F80," ")</f>
        <v> </v>
      </c>
      <c r="H80" s="180" t="str">
        <f aca="false">IF((D80="h"),F80," ")</f>
        <v> </v>
      </c>
      <c r="I80" s="180" t="str">
        <f aca="false">IF((D80="r"),F80," ")</f>
        <v> </v>
      </c>
      <c r="J80" s="180" t="str">
        <f aca="false">IF((D80="t"),F80," ")</f>
        <v> </v>
      </c>
      <c r="K80" s="180" t="str">
        <f aca="false">IF((D80="e"),F80," ")</f>
        <v> </v>
      </c>
      <c r="L80" s="180" t="str">
        <f aca="false">IF((D80="p"),F80," ")</f>
        <v> </v>
      </c>
      <c r="M80" s="180" t="str">
        <f aca="false">IF((D80="g"),F80," ")</f>
        <v> </v>
      </c>
      <c r="N80" s="180" t="str">
        <f aca="false">IF((D80="a"),F80," ")</f>
        <v> </v>
      </c>
      <c r="O80" s="180" t="str">
        <f aca="false">IF((D80="l"),F80," ")</f>
        <v> </v>
      </c>
      <c r="P80" s="180" t="str">
        <f aca="false">IF((D80="i"),F80," ")</f>
        <v> </v>
      </c>
      <c r="Q80" s="180" t="str">
        <f aca="false">IF((D80="b"),F80," ")</f>
        <v> </v>
      </c>
      <c r="R80" s="180" t="str">
        <f aca="false">IF((D80="o"),F80," ")</f>
        <v> </v>
      </c>
      <c r="S80" s="180" t="str">
        <f aca="false">IF((D80="f"),F80," ")</f>
        <v> </v>
      </c>
      <c r="U80" s="371"/>
    </row>
    <row r="81" customFormat="false" ht="12.75" hidden="false" customHeight="false" outlineLevel="0" collapsed="false">
      <c r="D81" s="371" t="str">
        <f aca="false">IF((F81&lt;&gt;0),"Enter Letter"," ")</f>
        <v> </v>
      </c>
      <c r="G81" s="180" t="str">
        <f aca="false">IF((D81="d"),F81," ")</f>
        <v> </v>
      </c>
      <c r="H81" s="180" t="str">
        <f aca="false">IF((D81="h"),F81," ")</f>
        <v> </v>
      </c>
      <c r="I81" s="180" t="str">
        <f aca="false">IF((D81="r"),F81," ")</f>
        <v> </v>
      </c>
      <c r="J81" s="180" t="str">
        <f aca="false">IF((D81="t"),F81," ")</f>
        <v> </v>
      </c>
      <c r="K81" s="180" t="str">
        <f aca="false">IF((D81="e"),F81," ")</f>
        <v> </v>
      </c>
      <c r="L81" s="180" t="str">
        <f aca="false">IF((D81="p"),F81," ")</f>
        <v> </v>
      </c>
      <c r="M81" s="180" t="str">
        <f aca="false">IF((D81="g"),F81," ")</f>
        <v> </v>
      </c>
      <c r="N81" s="180" t="str">
        <f aca="false">IF((D81="a"),F81," ")</f>
        <v> </v>
      </c>
      <c r="O81" s="180" t="str">
        <f aca="false">IF((D81="l"),F81," ")</f>
        <v> </v>
      </c>
      <c r="P81" s="180" t="str">
        <f aca="false">IF((D81="i"),F81," ")</f>
        <v> </v>
      </c>
      <c r="Q81" s="180" t="str">
        <f aca="false">IF((D81="b"),F81," ")</f>
        <v> </v>
      </c>
      <c r="R81" s="180" t="str">
        <f aca="false">IF((D81="o"),F81," ")</f>
        <v> </v>
      </c>
      <c r="S81" s="180" t="str">
        <f aca="false">IF((D81="f"),F81," ")</f>
        <v> </v>
      </c>
      <c r="U81" s="371"/>
    </row>
    <row r="82" customFormat="false" ht="12.75" hidden="false" customHeight="false" outlineLevel="0" collapsed="false">
      <c r="D82" s="371" t="str">
        <f aca="false">IF((F82&lt;&gt;0),"Enter Letter"," ")</f>
        <v> </v>
      </c>
      <c r="G82" s="180" t="str">
        <f aca="false">IF((D82="d"),F82," ")</f>
        <v> </v>
      </c>
      <c r="H82" s="180" t="str">
        <f aca="false">IF((D82="h"),F82," ")</f>
        <v> </v>
      </c>
      <c r="I82" s="180" t="str">
        <f aca="false">IF((D82="r"),F82," ")</f>
        <v> </v>
      </c>
      <c r="J82" s="180" t="str">
        <f aca="false">IF((D82="t"),F82," ")</f>
        <v> </v>
      </c>
      <c r="K82" s="180" t="str">
        <f aca="false">IF((D82="e"),F82," ")</f>
        <v> </v>
      </c>
      <c r="L82" s="180" t="str">
        <f aca="false">IF((D82="p"),F82," ")</f>
        <v> </v>
      </c>
      <c r="M82" s="180" t="str">
        <f aca="false">IF((D82="g"),F82," ")</f>
        <v> </v>
      </c>
      <c r="N82" s="180" t="str">
        <f aca="false">IF((D82="a"),F82," ")</f>
        <v> </v>
      </c>
      <c r="O82" s="180" t="str">
        <f aca="false">IF((D82="l"),F82," ")</f>
        <v> </v>
      </c>
      <c r="P82" s="180" t="str">
        <f aca="false">IF((D82="i"),F82," ")</f>
        <v> </v>
      </c>
      <c r="Q82" s="180" t="str">
        <f aca="false">IF((D82="b"),F82," ")</f>
        <v> </v>
      </c>
      <c r="R82" s="180" t="str">
        <f aca="false">IF((D82="o"),F82," ")</f>
        <v> </v>
      </c>
      <c r="S82" s="180" t="str">
        <f aca="false">IF((D82="f"),F82," ")</f>
        <v> </v>
      </c>
      <c r="U82" s="371"/>
    </row>
    <row r="83" customFormat="false" ht="12.75" hidden="false" customHeight="false" outlineLevel="0" collapsed="false">
      <c r="D83" s="371" t="str">
        <f aca="false">IF((F83&lt;&gt;0),"Enter Letter"," ")</f>
        <v> </v>
      </c>
      <c r="G83" s="180" t="str">
        <f aca="false">IF((D83="d"),F83," ")</f>
        <v> </v>
      </c>
      <c r="H83" s="180" t="str">
        <f aca="false">IF((D83="h"),F83," ")</f>
        <v> </v>
      </c>
      <c r="I83" s="180" t="str">
        <f aca="false">IF((D83="r"),F83," ")</f>
        <v> </v>
      </c>
      <c r="J83" s="180" t="str">
        <f aca="false">IF((D83="t"),F83," ")</f>
        <v> </v>
      </c>
      <c r="K83" s="180" t="str">
        <f aca="false">IF((D83="e"),F83," ")</f>
        <v> </v>
      </c>
      <c r="L83" s="180" t="str">
        <f aca="false">IF((D83="p"),F83," ")</f>
        <v> </v>
      </c>
      <c r="M83" s="180" t="str">
        <f aca="false">IF((D83="g"),F83," ")</f>
        <v> </v>
      </c>
      <c r="N83" s="180" t="str">
        <f aca="false">IF((D83="a"),F83," ")</f>
        <v> </v>
      </c>
      <c r="O83" s="180" t="str">
        <f aca="false">IF((D83="l"),F83," ")</f>
        <v> </v>
      </c>
      <c r="P83" s="180" t="str">
        <f aca="false">IF((D83="i"),F83," ")</f>
        <v> </v>
      </c>
      <c r="Q83" s="180" t="str">
        <f aca="false">IF((D83="b"),F83," ")</f>
        <v> </v>
      </c>
      <c r="R83" s="180" t="str">
        <f aca="false">IF((D83="o"),F83," ")</f>
        <v> </v>
      </c>
      <c r="S83" s="180" t="str">
        <f aca="false">IF((D83="f"),F83," ")</f>
        <v> </v>
      </c>
      <c r="U83" s="371"/>
    </row>
    <row r="84" customFormat="false" ht="12.75" hidden="false" customHeight="false" outlineLevel="0" collapsed="false">
      <c r="D84" s="371" t="str">
        <f aca="false">IF((F84&lt;&gt;0),"Enter Letter"," ")</f>
        <v> </v>
      </c>
      <c r="G84" s="180" t="str">
        <f aca="false">IF((D84="d"),F84," ")</f>
        <v> </v>
      </c>
      <c r="H84" s="180" t="str">
        <f aca="false">IF((D84="h"),F84," ")</f>
        <v> </v>
      </c>
      <c r="I84" s="180" t="str">
        <f aca="false">IF((D84="r"),F84," ")</f>
        <v> </v>
      </c>
      <c r="J84" s="180" t="str">
        <f aca="false">IF((D84="t"),F84," ")</f>
        <v> </v>
      </c>
      <c r="K84" s="180" t="str">
        <f aca="false">IF((D84="e"),F84," ")</f>
        <v> </v>
      </c>
      <c r="L84" s="180" t="str">
        <f aca="false">IF((D84="p"),F84," ")</f>
        <v> </v>
      </c>
      <c r="M84" s="180" t="str">
        <f aca="false">IF((D84="g"),F84," ")</f>
        <v> </v>
      </c>
      <c r="N84" s="180" t="str">
        <f aca="false">IF((D84="a"),F84," ")</f>
        <v> </v>
      </c>
      <c r="O84" s="180" t="str">
        <f aca="false">IF((D84="l"),F84," ")</f>
        <v> </v>
      </c>
      <c r="P84" s="180" t="str">
        <f aca="false">IF((D84="i"),F84," ")</f>
        <v> </v>
      </c>
      <c r="Q84" s="180" t="str">
        <f aca="false">IF((D84="b"),F84," ")</f>
        <v> </v>
      </c>
      <c r="R84" s="180" t="str">
        <f aca="false">IF((D84="o"),F84," ")</f>
        <v> </v>
      </c>
      <c r="S84" s="180" t="str">
        <f aca="false">IF((D84="f"),F84," ")</f>
        <v> </v>
      </c>
      <c r="U84" s="371"/>
    </row>
    <row r="85" customFormat="false" ht="12.75" hidden="false" customHeight="false" outlineLevel="0" collapsed="false">
      <c r="D85" s="371" t="str">
        <f aca="false">IF((F85&lt;&gt;0),"Enter Letter"," ")</f>
        <v> </v>
      </c>
      <c r="G85" s="180" t="str">
        <f aca="false">IF((D85="d"),F85," ")</f>
        <v> </v>
      </c>
      <c r="H85" s="180" t="str">
        <f aca="false">IF((D85="h"),F85," ")</f>
        <v> </v>
      </c>
      <c r="I85" s="180" t="str">
        <f aca="false">IF((D85="r"),F85," ")</f>
        <v> </v>
      </c>
      <c r="J85" s="180" t="str">
        <f aca="false">IF((D85="t"),F85," ")</f>
        <v> </v>
      </c>
      <c r="K85" s="180" t="str">
        <f aca="false">IF((D85="e"),F85," ")</f>
        <v> </v>
      </c>
      <c r="L85" s="180" t="str">
        <f aca="false">IF((D85="p"),F85," ")</f>
        <v> </v>
      </c>
      <c r="M85" s="180" t="str">
        <f aca="false">IF((D85="g"),F85," ")</f>
        <v> </v>
      </c>
      <c r="N85" s="180" t="str">
        <f aca="false">IF((D85="a"),F85," ")</f>
        <v> </v>
      </c>
      <c r="O85" s="180" t="str">
        <f aca="false">IF((D85="l"),F85," ")</f>
        <v> </v>
      </c>
      <c r="P85" s="180" t="str">
        <f aca="false">IF((D85="i"),F85," ")</f>
        <v> </v>
      </c>
      <c r="Q85" s="180" t="str">
        <f aca="false">IF((D85="b"),F85," ")</f>
        <v> </v>
      </c>
      <c r="R85" s="180" t="str">
        <f aca="false">IF((D85="o"),F85," ")</f>
        <v> </v>
      </c>
      <c r="S85" s="180" t="str">
        <f aca="false">IF((D85="f"),F85," ")</f>
        <v> </v>
      </c>
      <c r="U85" s="371"/>
    </row>
    <row r="86" customFormat="false" ht="12.75" hidden="false" customHeight="false" outlineLevel="0" collapsed="false">
      <c r="D86" s="371" t="str">
        <f aca="false">IF((F86&lt;&gt;0),"Enter Letter"," ")</f>
        <v> </v>
      </c>
      <c r="G86" s="180" t="str">
        <f aca="false">IF((D86="d"),F86," ")</f>
        <v> </v>
      </c>
      <c r="H86" s="180" t="str">
        <f aca="false">IF((D86="h"),F86," ")</f>
        <v> </v>
      </c>
      <c r="I86" s="180" t="str">
        <f aca="false">IF((D86="r"),F86," ")</f>
        <v> </v>
      </c>
      <c r="J86" s="180" t="str">
        <f aca="false">IF((D86="t"),F86," ")</f>
        <v> </v>
      </c>
      <c r="K86" s="180" t="str">
        <f aca="false">IF((D86="e"),F86," ")</f>
        <v> </v>
      </c>
      <c r="L86" s="180" t="str">
        <f aca="false">IF((D86="p"),F86," ")</f>
        <v> </v>
      </c>
      <c r="M86" s="180" t="str">
        <f aca="false">IF((D86="g"),F86," ")</f>
        <v> </v>
      </c>
      <c r="N86" s="180" t="str">
        <f aca="false">IF((D86="a"),F86," ")</f>
        <v> </v>
      </c>
      <c r="O86" s="180" t="str">
        <f aca="false">IF((D86="l"),F86," ")</f>
        <v> </v>
      </c>
      <c r="P86" s="180" t="str">
        <f aca="false">IF((D86="i"),F86," ")</f>
        <v> </v>
      </c>
      <c r="Q86" s="180" t="str">
        <f aca="false">IF((D86="b"),F86," ")</f>
        <v> </v>
      </c>
      <c r="R86" s="180" t="str">
        <f aca="false">IF((D86="o"),F86," ")</f>
        <v> </v>
      </c>
      <c r="S86" s="180" t="str">
        <f aca="false">IF((D86="f"),F86," ")</f>
        <v> </v>
      </c>
      <c r="U86" s="371"/>
    </row>
    <row r="87" customFormat="false" ht="12.75" hidden="false" customHeight="false" outlineLevel="0" collapsed="false">
      <c r="D87" s="371" t="str">
        <f aca="false">IF((F87&lt;&gt;0),"Enter Letter"," ")</f>
        <v> </v>
      </c>
      <c r="G87" s="180" t="str">
        <f aca="false">IF((D87="d"),F87," ")</f>
        <v> </v>
      </c>
      <c r="H87" s="180" t="str">
        <f aca="false">IF((D87="h"),F87," ")</f>
        <v> </v>
      </c>
      <c r="I87" s="180" t="str">
        <f aca="false">IF((D87="r"),F87," ")</f>
        <v> </v>
      </c>
      <c r="J87" s="180" t="str">
        <f aca="false">IF((D87="t"),F87," ")</f>
        <v> </v>
      </c>
      <c r="K87" s="180" t="str">
        <f aca="false">IF((D87="e"),F87," ")</f>
        <v> </v>
      </c>
      <c r="L87" s="180" t="str">
        <f aca="false">IF((D87="p"),F87," ")</f>
        <v> </v>
      </c>
      <c r="M87" s="180" t="str">
        <f aca="false">IF((D87="g"),F87," ")</f>
        <v> </v>
      </c>
      <c r="N87" s="180" t="str">
        <f aca="false">IF((D87="a"),F87," ")</f>
        <v> </v>
      </c>
      <c r="O87" s="180" t="str">
        <f aca="false">IF((D87="l"),F87," ")</f>
        <v> </v>
      </c>
      <c r="P87" s="180" t="str">
        <f aca="false">IF((D87="i"),F87," ")</f>
        <v> </v>
      </c>
      <c r="Q87" s="180" t="str">
        <f aca="false">IF((D87="b"),F87," ")</f>
        <v> </v>
      </c>
      <c r="R87" s="180" t="str">
        <f aca="false">IF((D87="o"),F87," ")</f>
        <v> </v>
      </c>
      <c r="S87" s="180" t="str">
        <f aca="false">IF((D87="f"),F87," ")</f>
        <v> </v>
      </c>
      <c r="U87" s="371"/>
    </row>
    <row r="88" customFormat="false" ht="12.75" hidden="false" customHeight="false" outlineLevel="0" collapsed="false">
      <c r="D88" s="371" t="str">
        <f aca="false">IF((F88&lt;&gt;0),"Enter Letter"," ")</f>
        <v> </v>
      </c>
      <c r="G88" s="180" t="str">
        <f aca="false">IF((D88="d"),F88," ")</f>
        <v> </v>
      </c>
      <c r="H88" s="180" t="str">
        <f aca="false">IF((D88="h"),F88," ")</f>
        <v> </v>
      </c>
      <c r="I88" s="180" t="str">
        <f aca="false">IF((D88="r"),F88," ")</f>
        <v> </v>
      </c>
      <c r="J88" s="180" t="str">
        <f aca="false">IF((D88="t"),F88," ")</f>
        <v> </v>
      </c>
      <c r="K88" s="180" t="str">
        <f aca="false">IF((D88="e"),F88," ")</f>
        <v> </v>
      </c>
      <c r="L88" s="180" t="str">
        <f aca="false">IF((D88="p"),F88," ")</f>
        <v> </v>
      </c>
      <c r="M88" s="180" t="str">
        <f aca="false">IF((D88="g"),F88," ")</f>
        <v> </v>
      </c>
      <c r="N88" s="180" t="str">
        <f aca="false">IF((D88="a"),F88," ")</f>
        <v> </v>
      </c>
      <c r="O88" s="180" t="str">
        <f aca="false">IF((D88="l"),F88," ")</f>
        <v> </v>
      </c>
      <c r="P88" s="180" t="str">
        <f aca="false">IF((D88="i"),F88," ")</f>
        <v> </v>
      </c>
      <c r="Q88" s="180" t="str">
        <f aca="false">IF((D88="b"),F88," ")</f>
        <v> </v>
      </c>
      <c r="R88" s="180" t="str">
        <f aca="false">IF((D88="o"),F88," ")</f>
        <v> </v>
      </c>
      <c r="S88" s="180" t="str">
        <f aca="false">IF((D88="f"),F88," ")</f>
        <v> </v>
      </c>
      <c r="U88" s="371"/>
    </row>
    <row r="89" customFormat="false" ht="12.75" hidden="false" customHeight="false" outlineLevel="0" collapsed="false">
      <c r="D89" s="371" t="str">
        <f aca="false">IF((F89&lt;&gt;0),"Enter Letter"," ")</f>
        <v> </v>
      </c>
      <c r="G89" s="180" t="str">
        <f aca="false">IF((D89="d"),F89," ")</f>
        <v> </v>
      </c>
      <c r="H89" s="180" t="str">
        <f aca="false">IF((D89="h"),F89," ")</f>
        <v> </v>
      </c>
      <c r="I89" s="180" t="str">
        <f aca="false">IF((D89="r"),F89," ")</f>
        <v> </v>
      </c>
      <c r="J89" s="180" t="str">
        <f aca="false">IF((D89="t"),F89," ")</f>
        <v> </v>
      </c>
      <c r="K89" s="180" t="str">
        <f aca="false">IF((D89="e"),F89," ")</f>
        <v> </v>
      </c>
      <c r="L89" s="180" t="str">
        <f aca="false">IF((D89="p"),F89," ")</f>
        <v> </v>
      </c>
      <c r="M89" s="180" t="str">
        <f aca="false">IF((D89="g"),F89," ")</f>
        <v> </v>
      </c>
      <c r="N89" s="180" t="str">
        <f aca="false">IF((D89="a"),F89," ")</f>
        <v> </v>
      </c>
      <c r="O89" s="180" t="str">
        <f aca="false">IF((D89="l"),F89," ")</f>
        <v> </v>
      </c>
      <c r="P89" s="180" t="str">
        <f aca="false">IF((D89="i"),F89," ")</f>
        <v> </v>
      </c>
      <c r="Q89" s="180" t="str">
        <f aca="false">IF((D89="b"),F89," ")</f>
        <v> </v>
      </c>
      <c r="R89" s="180" t="str">
        <f aca="false">IF((D89="o"),F89," ")</f>
        <v> </v>
      </c>
      <c r="S89" s="180" t="str">
        <f aca="false">IF((D89="f"),F89," ")</f>
        <v> </v>
      </c>
      <c r="U89" s="371"/>
    </row>
    <row r="90" customFormat="false" ht="12.75" hidden="false" customHeight="false" outlineLevel="0" collapsed="false">
      <c r="D90" s="371" t="str">
        <f aca="false">IF((F90&lt;&gt;0),"Enter Letter"," ")</f>
        <v> </v>
      </c>
      <c r="G90" s="180" t="str">
        <f aca="false">IF((D90="d"),F90," ")</f>
        <v> </v>
      </c>
      <c r="H90" s="180" t="str">
        <f aca="false">IF((D90="h"),F90," ")</f>
        <v> </v>
      </c>
      <c r="I90" s="180" t="str">
        <f aca="false">IF((D90="r"),F90," ")</f>
        <v> </v>
      </c>
      <c r="J90" s="180" t="str">
        <f aca="false">IF((D90="t"),F90," ")</f>
        <v> </v>
      </c>
      <c r="K90" s="180" t="str">
        <f aca="false">IF((D90="e"),F90," ")</f>
        <v> </v>
      </c>
      <c r="L90" s="180" t="str">
        <f aca="false">IF((D90="p"),F90," ")</f>
        <v> </v>
      </c>
      <c r="M90" s="180" t="str">
        <f aca="false">IF((D90="g"),F90," ")</f>
        <v> </v>
      </c>
      <c r="N90" s="180" t="str">
        <f aca="false">IF((D90="a"),F90," ")</f>
        <v> </v>
      </c>
      <c r="O90" s="180" t="str">
        <f aca="false">IF((D90="l"),F90," ")</f>
        <v> </v>
      </c>
      <c r="P90" s="180" t="str">
        <f aca="false">IF((D90="i"),F90," ")</f>
        <v> </v>
      </c>
      <c r="Q90" s="180" t="str">
        <f aca="false">IF((D90="b"),F90," ")</f>
        <v> </v>
      </c>
      <c r="R90" s="180" t="str">
        <f aca="false">IF((D90="o"),F90," ")</f>
        <v> </v>
      </c>
      <c r="S90" s="180" t="str">
        <f aca="false">IF((D90="f"),F90," ")</f>
        <v> </v>
      </c>
      <c r="U90" s="371"/>
    </row>
    <row r="91" customFormat="false" ht="12.75" hidden="false" customHeight="false" outlineLevel="0" collapsed="false">
      <c r="D91" s="371" t="str">
        <f aca="false">IF((F91&lt;&gt;0),"Enter Letter"," ")</f>
        <v> </v>
      </c>
      <c r="G91" s="180" t="str">
        <f aca="false">IF((D91="d"),F91," ")</f>
        <v> </v>
      </c>
      <c r="H91" s="180" t="str">
        <f aca="false">IF((D91="h"),F91," ")</f>
        <v> </v>
      </c>
      <c r="I91" s="180" t="str">
        <f aca="false">IF((D91="r"),F91," ")</f>
        <v> </v>
      </c>
      <c r="J91" s="180" t="str">
        <f aca="false">IF((D91="t"),F91," ")</f>
        <v> </v>
      </c>
      <c r="K91" s="180" t="str">
        <f aca="false">IF((D91="e"),F91," ")</f>
        <v> </v>
      </c>
      <c r="L91" s="180" t="str">
        <f aca="false">IF((D91="p"),F91," ")</f>
        <v> </v>
      </c>
      <c r="M91" s="180" t="str">
        <f aca="false">IF((D91="g"),F91," ")</f>
        <v> </v>
      </c>
      <c r="N91" s="180" t="str">
        <f aca="false">IF((D91="a"),F91," ")</f>
        <v> </v>
      </c>
      <c r="O91" s="180" t="str">
        <f aca="false">IF((D91="l"),F91," ")</f>
        <v> </v>
      </c>
      <c r="P91" s="180" t="str">
        <f aca="false">IF((D91="i"),F91," ")</f>
        <v> </v>
      </c>
      <c r="Q91" s="180" t="str">
        <f aca="false">IF((D91="b"),F91," ")</f>
        <v> </v>
      </c>
      <c r="R91" s="180" t="str">
        <f aca="false">IF((D91="o"),F91," ")</f>
        <v> </v>
      </c>
      <c r="S91" s="180" t="str">
        <f aca="false">IF((D91="f"),F91," ")</f>
        <v> </v>
      </c>
      <c r="U91" s="371"/>
    </row>
    <row r="92" customFormat="false" ht="12.75" hidden="false" customHeight="false" outlineLevel="0" collapsed="false">
      <c r="D92" s="371" t="str">
        <f aca="false">IF((F92&lt;&gt;0),"Enter Letter"," ")</f>
        <v> </v>
      </c>
      <c r="G92" s="180" t="str">
        <f aca="false">IF((D92="d"),F92," ")</f>
        <v> </v>
      </c>
      <c r="H92" s="180" t="str">
        <f aca="false">IF((D92="h"),F92," ")</f>
        <v> </v>
      </c>
      <c r="I92" s="180" t="str">
        <f aca="false">IF((D92="r"),F92," ")</f>
        <v> </v>
      </c>
      <c r="J92" s="180" t="str">
        <f aca="false">IF((D92="t"),F92," ")</f>
        <v> </v>
      </c>
      <c r="K92" s="180" t="str">
        <f aca="false">IF((D92="e"),F92," ")</f>
        <v> </v>
      </c>
      <c r="L92" s="180" t="str">
        <f aca="false">IF((D92="p"),F92," ")</f>
        <v> </v>
      </c>
      <c r="M92" s="180" t="str">
        <f aca="false">IF((D92="g"),F92," ")</f>
        <v> </v>
      </c>
      <c r="N92" s="180" t="str">
        <f aca="false">IF((D92="a"),F92," ")</f>
        <v> </v>
      </c>
      <c r="O92" s="180" t="str">
        <f aca="false">IF((D92="l"),F92," ")</f>
        <v> </v>
      </c>
      <c r="P92" s="180" t="str">
        <f aca="false">IF((D92="i"),F92," ")</f>
        <v> </v>
      </c>
      <c r="Q92" s="180" t="str">
        <f aca="false">IF((D92="b"),F92," ")</f>
        <v> </v>
      </c>
      <c r="R92" s="180" t="str">
        <f aca="false">IF((D92="o"),F92," ")</f>
        <v> </v>
      </c>
      <c r="S92" s="180" t="str">
        <f aca="false">IF((D92="f"),F92," ")</f>
        <v> </v>
      </c>
      <c r="U92" s="371"/>
    </row>
    <row r="93" customFormat="false" ht="12.75" hidden="false" customHeight="false" outlineLevel="0" collapsed="false">
      <c r="D93" s="371" t="str">
        <f aca="false">IF((F93&lt;&gt;0),"Enter Letter"," ")</f>
        <v> </v>
      </c>
      <c r="G93" s="180" t="str">
        <f aca="false">IF((D93="d"),F93," ")</f>
        <v> </v>
      </c>
      <c r="H93" s="180" t="str">
        <f aca="false">IF((D93="h"),F93," ")</f>
        <v> </v>
      </c>
      <c r="I93" s="180" t="str">
        <f aca="false">IF((D93="r"),F93," ")</f>
        <v> </v>
      </c>
      <c r="J93" s="180" t="str">
        <f aca="false">IF((D93="t"),F93," ")</f>
        <v> </v>
      </c>
      <c r="K93" s="180" t="str">
        <f aca="false">IF((D93="e"),F93," ")</f>
        <v> </v>
      </c>
      <c r="L93" s="180" t="str">
        <f aca="false">IF((D93="p"),F93," ")</f>
        <v> </v>
      </c>
      <c r="M93" s="180" t="str">
        <f aca="false">IF((D93="g"),F93," ")</f>
        <v> </v>
      </c>
      <c r="N93" s="180" t="str">
        <f aca="false">IF((D93="a"),F93," ")</f>
        <v> </v>
      </c>
      <c r="O93" s="180" t="str">
        <f aca="false">IF((D93="l"),F93," ")</f>
        <v> </v>
      </c>
      <c r="P93" s="180" t="str">
        <f aca="false">IF((D93="i"),F93," ")</f>
        <v> </v>
      </c>
      <c r="Q93" s="180" t="str">
        <f aca="false">IF((D93="b"),F93," ")</f>
        <v> </v>
      </c>
      <c r="R93" s="180" t="str">
        <f aca="false">IF((D93="o"),F93," ")</f>
        <v> </v>
      </c>
      <c r="S93" s="180" t="str">
        <f aca="false">IF((D93="f"),F93," ")</f>
        <v> </v>
      </c>
      <c r="U93" s="371"/>
    </row>
    <row r="94" customFormat="false" ht="12.75" hidden="false" customHeight="false" outlineLevel="0" collapsed="false">
      <c r="D94" s="371" t="str">
        <f aca="false">IF((F94&lt;&gt;0),"Enter Letter"," ")</f>
        <v> </v>
      </c>
      <c r="G94" s="180" t="str">
        <f aca="false">IF((D94="d"),F94," ")</f>
        <v> </v>
      </c>
      <c r="H94" s="180" t="str">
        <f aca="false">IF((D94="h"),F94," ")</f>
        <v> </v>
      </c>
      <c r="I94" s="180" t="str">
        <f aca="false">IF((D94="r"),F94," ")</f>
        <v> </v>
      </c>
      <c r="J94" s="180" t="str">
        <f aca="false">IF((D94="t"),F94," ")</f>
        <v> </v>
      </c>
      <c r="K94" s="180" t="str">
        <f aca="false">IF((D94="e"),F94," ")</f>
        <v> </v>
      </c>
      <c r="L94" s="180" t="str">
        <f aca="false">IF((D94="p"),F94," ")</f>
        <v> </v>
      </c>
      <c r="M94" s="180" t="str">
        <f aca="false">IF((D94="g"),F94," ")</f>
        <v> </v>
      </c>
      <c r="N94" s="180" t="str">
        <f aca="false">IF((D94="a"),F94," ")</f>
        <v> </v>
      </c>
      <c r="O94" s="180" t="str">
        <f aca="false">IF((D94="l"),F94," ")</f>
        <v> </v>
      </c>
      <c r="P94" s="180" t="str">
        <f aca="false">IF((D94="i"),F94," ")</f>
        <v> </v>
      </c>
      <c r="Q94" s="180" t="str">
        <f aca="false">IF((D94="b"),F94," ")</f>
        <v> </v>
      </c>
      <c r="R94" s="180" t="str">
        <f aca="false">IF((D94="o"),F94," ")</f>
        <v> </v>
      </c>
      <c r="S94" s="180" t="str">
        <f aca="false">IF((D94="f"),F94," ")</f>
        <v> </v>
      </c>
      <c r="U94" s="371"/>
    </row>
    <row r="95" customFormat="false" ht="12.75" hidden="false" customHeight="false" outlineLevel="0" collapsed="false">
      <c r="D95" s="371" t="str">
        <f aca="false">IF((F95&lt;&gt;0),"Enter Letter"," ")</f>
        <v> </v>
      </c>
      <c r="G95" s="180" t="str">
        <f aca="false">IF((D95="d"),F95," ")</f>
        <v> </v>
      </c>
      <c r="H95" s="180" t="str">
        <f aca="false">IF((D95="h"),F95," ")</f>
        <v> </v>
      </c>
      <c r="I95" s="180" t="str">
        <f aca="false">IF((D95="r"),F95," ")</f>
        <v> </v>
      </c>
      <c r="J95" s="180" t="str">
        <f aca="false">IF((D95="t"),F95," ")</f>
        <v> </v>
      </c>
      <c r="K95" s="180" t="str">
        <f aca="false">IF((D95="e"),F95," ")</f>
        <v> </v>
      </c>
      <c r="L95" s="180" t="str">
        <f aca="false">IF((D95="p"),F95," ")</f>
        <v> </v>
      </c>
      <c r="M95" s="180" t="str">
        <f aca="false">IF((D95="g"),F95," ")</f>
        <v> </v>
      </c>
      <c r="N95" s="180" t="str">
        <f aca="false">IF((D95="a"),F95," ")</f>
        <v> </v>
      </c>
      <c r="O95" s="180" t="str">
        <f aca="false">IF((D95="l"),F95," ")</f>
        <v> </v>
      </c>
      <c r="P95" s="180" t="str">
        <f aca="false">IF((D95="i"),F95," ")</f>
        <v> </v>
      </c>
      <c r="Q95" s="180" t="str">
        <f aca="false">IF((D95="b"),F95," ")</f>
        <v> </v>
      </c>
      <c r="R95" s="180" t="str">
        <f aca="false">IF((D95="o"),F95," ")</f>
        <v> </v>
      </c>
      <c r="S95" s="180" t="str">
        <f aca="false">IF((D95="f"),F95," ")</f>
        <v> </v>
      </c>
      <c r="U95" s="371"/>
    </row>
    <row r="96" customFormat="false" ht="12.75" hidden="false" customHeight="false" outlineLevel="0" collapsed="false">
      <c r="D96" s="371" t="str">
        <f aca="false">IF((F96&lt;&gt;0),"Enter Letter"," ")</f>
        <v> </v>
      </c>
      <c r="G96" s="180" t="str">
        <f aca="false">IF((D96="d"),F96," ")</f>
        <v> </v>
      </c>
      <c r="H96" s="180" t="str">
        <f aca="false">IF((D96="h"),F96," ")</f>
        <v> </v>
      </c>
      <c r="I96" s="180" t="str">
        <f aca="false">IF((D96="r"),F96," ")</f>
        <v> </v>
      </c>
      <c r="J96" s="180" t="str">
        <f aca="false">IF((D96="t"),F96," ")</f>
        <v> </v>
      </c>
      <c r="K96" s="180" t="str">
        <f aca="false">IF((D96="e"),F96," ")</f>
        <v> </v>
      </c>
      <c r="L96" s="180" t="str">
        <f aca="false">IF((D96="p"),F96," ")</f>
        <v> </v>
      </c>
      <c r="M96" s="180" t="str">
        <f aca="false">IF((D96="g"),F96," ")</f>
        <v> </v>
      </c>
      <c r="N96" s="180" t="str">
        <f aca="false">IF((D96="a"),F96," ")</f>
        <v> </v>
      </c>
      <c r="O96" s="180" t="str">
        <f aca="false">IF((D96="l"),F96," ")</f>
        <v> </v>
      </c>
      <c r="P96" s="180" t="str">
        <f aca="false">IF((D96="i"),F96," ")</f>
        <v> </v>
      </c>
      <c r="Q96" s="180" t="str">
        <f aca="false">IF((D96="b"),F96," ")</f>
        <v> </v>
      </c>
      <c r="R96" s="180" t="str">
        <f aca="false">IF((D96="o"),F96," ")</f>
        <v> </v>
      </c>
      <c r="S96" s="180" t="str">
        <f aca="false">IF((D96="f"),F96," ")</f>
        <v> </v>
      </c>
      <c r="U96" s="371"/>
    </row>
    <row r="97" customFormat="false" ht="12.75" hidden="false" customHeight="false" outlineLevel="0" collapsed="false">
      <c r="D97" s="371" t="str">
        <f aca="false">IF((F97&lt;&gt;0),"Enter Letter"," ")</f>
        <v> </v>
      </c>
      <c r="G97" s="180" t="str">
        <f aca="false">IF((D97="d"),F97," ")</f>
        <v> </v>
      </c>
      <c r="H97" s="180" t="str">
        <f aca="false">IF((D97="h"),F97," ")</f>
        <v> </v>
      </c>
      <c r="I97" s="180" t="str">
        <f aca="false">IF((D97="r"),F97," ")</f>
        <v> </v>
      </c>
      <c r="J97" s="180" t="str">
        <f aca="false">IF((D97="t"),F97," ")</f>
        <v> </v>
      </c>
      <c r="K97" s="180" t="str">
        <f aca="false">IF((D97="e"),F97," ")</f>
        <v> </v>
      </c>
      <c r="L97" s="180" t="str">
        <f aca="false">IF((D97="p"),F97," ")</f>
        <v> </v>
      </c>
      <c r="M97" s="180" t="str">
        <f aca="false">IF((D97="g"),F97," ")</f>
        <v> </v>
      </c>
      <c r="N97" s="180" t="str">
        <f aca="false">IF((D97="a"),F97," ")</f>
        <v> </v>
      </c>
      <c r="O97" s="180" t="str">
        <f aca="false">IF((D97="l"),F97," ")</f>
        <v> </v>
      </c>
      <c r="P97" s="180" t="str">
        <f aca="false">IF((D97="i"),F97," ")</f>
        <v> </v>
      </c>
      <c r="Q97" s="180" t="str">
        <f aca="false">IF((D97="b"),F97," ")</f>
        <v> </v>
      </c>
      <c r="R97" s="180" t="str">
        <f aca="false">IF((D97="o"),F97," ")</f>
        <v> </v>
      </c>
      <c r="S97" s="180" t="str">
        <f aca="false">IF((D97="f"),F97," ")</f>
        <v> </v>
      </c>
      <c r="U97" s="371"/>
    </row>
    <row r="98" customFormat="false" ht="12.75" hidden="false" customHeight="false" outlineLevel="0" collapsed="false">
      <c r="D98" s="371" t="str">
        <f aca="false">IF((F98&lt;&gt;0),"Enter Letter"," ")</f>
        <v> </v>
      </c>
      <c r="G98" s="180" t="str">
        <f aca="false">IF((D98="d"),F98," ")</f>
        <v> </v>
      </c>
      <c r="H98" s="180" t="str">
        <f aca="false">IF((D98="h"),F98," ")</f>
        <v> </v>
      </c>
      <c r="I98" s="180" t="str">
        <f aca="false">IF((D98="r"),F98," ")</f>
        <v> </v>
      </c>
      <c r="J98" s="180" t="str">
        <f aca="false">IF((D98="t"),F98," ")</f>
        <v> </v>
      </c>
      <c r="K98" s="180" t="str">
        <f aca="false">IF((D98="e"),F98," ")</f>
        <v> </v>
      </c>
      <c r="L98" s="180" t="str">
        <f aca="false">IF((D98="p"),F98," ")</f>
        <v> </v>
      </c>
      <c r="M98" s="180" t="str">
        <f aca="false">IF((D98="g"),F98," ")</f>
        <v> </v>
      </c>
      <c r="N98" s="180" t="str">
        <f aca="false">IF((D98="a"),F98," ")</f>
        <v> </v>
      </c>
      <c r="O98" s="180" t="str">
        <f aca="false">IF((D98="l"),F98," ")</f>
        <v> </v>
      </c>
      <c r="P98" s="180" t="str">
        <f aca="false">IF((D98="i"),F98," ")</f>
        <v> </v>
      </c>
      <c r="Q98" s="180" t="str">
        <f aca="false">IF((D98="b"),F98," ")</f>
        <v> </v>
      </c>
      <c r="R98" s="180" t="str">
        <f aca="false">IF((D98="o"),F98," ")</f>
        <v> </v>
      </c>
      <c r="S98" s="180" t="str">
        <f aca="false">IF((D98="f"),F98," ")</f>
        <v> </v>
      </c>
      <c r="U98" s="371"/>
    </row>
    <row r="99" customFormat="false" ht="12.75" hidden="false" customHeight="false" outlineLevel="0" collapsed="false">
      <c r="D99" s="371" t="str">
        <f aca="false">IF((F99&lt;&gt;0),"Enter Letter"," ")</f>
        <v> </v>
      </c>
      <c r="G99" s="180" t="str">
        <f aca="false">IF((D99="d"),F99," ")</f>
        <v> </v>
      </c>
      <c r="H99" s="180" t="str">
        <f aca="false">IF((D99="h"),F99," ")</f>
        <v> </v>
      </c>
      <c r="I99" s="180" t="str">
        <f aca="false">IF((D99="r"),F99," ")</f>
        <v> </v>
      </c>
      <c r="J99" s="180" t="str">
        <f aca="false">IF((D99="t"),F99," ")</f>
        <v> </v>
      </c>
      <c r="K99" s="180" t="str">
        <f aca="false">IF((D99="e"),F99," ")</f>
        <v> </v>
      </c>
      <c r="L99" s="180" t="str">
        <f aca="false">IF((D99="p"),F99," ")</f>
        <v> </v>
      </c>
      <c r="M99" s="180" t="str">
        <f aca="false">IF((D99="g"),F99," ")</f>
        <v> </v>
      </c>
      <c r="N99" s="180" t="str">
        <f aca="false">IF((D99="a"),F99," ")</f>
        <v> </v>
      </c>
      <c r="O99" s="180" t="str">
        <f aca="false">IF((D99="l"),F99," ")</f>
        <v> </v>
      </c>
      <c r="P99" s="180" t="str">
        <f aca="false">IF((D99="i"),F99," ")</f>
        <v> </v>
      </c>
      <c r="Q99" s="180" t="str">
        <f aca="false">IF((D99="b"),F99," ")</f>
        <v> </v>
      </c>
      <c r="R99" s="180" t="str">
        <f aca="false">IF((D99="o"),F99," ")</f>
        <v> </v>
      </c>
      <c r="S99" s="180" t="str">
        <f aca="false">IF((D99="f"),F99," ")</f>
        <v> </v>
      </c>
      <c r="U99" s="371"/>
    </row>
    <row r="100" customFormat="false" ht="12.75" hidden="false" customHeight="false" outlineLevel="0" collapsed="false">
      <c r="D100" s="371" t="str">
        <f aca="false">IF((F100&lt;&gt;0),"Enter Letter"," ")</f>
        <v> </v>
      </c>
      <c r="G100" s="180" t="str">
        <f aca="false">IF((D100="d"),F100," ")</f>
        <v> </v>
      </c>
      <c r="H100" s="180" t="str">
        <f aca="false">IF((D100="h"),F100," ")</f>
        <v> </v>
      </c>
      <c r="I100" s="180" t="str">
        <f aca="false">IF((D100="r"),F100," ")</f>
        <v> </v>
      </c>
      <c r="J100" s="180" t="str">
        <f aca="false">IF((D100="t"),F100," ")</f>
        <v> </v>
      </c>
      <c r="K100" s="180" t="str">
        <f aca="false">IF((D100="e"),F100," ")</f>
        <v> </v>
      </c>
      <c r="L100" s="180" t="str">
        <f aca="false">IF((D100="p"),F100," ")</f>
        <v> </v>
      </c>
      <c r="M100" s="180" t="str">
        <f aca="false">IF((D100="g"),F100," ")</f>
        <v> </v>
      </c>
      <c r="N100" s="180" t="str">
        <f aca="false">IF((D100="a"),F100," ")</f>
        <v> </v>
      </c>
      <c r="O100" s="180" t="str">
        <f aca="false">IF((D100="l"),F100," ")</f>
        <v> </v>
      </c>
      <c r="P100" s="180" t="str">
        <f aca="false">IF((D100="i"),F100," ")</f>
        <v> </v>
      </c>
      <c r="Q100" s="180" t="str">
        <f aca="false">IF((D100="b"),F100," ")</f>
        <v> </v>
      </c>
      <c r="R100" s="180" t="str">
        <f aca="false">IF((D100="o"),F100," ")</f>
        <v> </v>
      </c>
      <c r="S100" s="180" t="str">
        <f aca="false">IF((D100="f"),F100," ")</f>
        <v> </v>
      </c>
      <c r="U100" s="371"/>
    </row>
    <row r="101" customFormat="false" ht="12.75" hidden="false" customHeight="false" outlineLevel="0" collapsed="false">
      <c r="D101" s="371" t="str">
        <f aca="false">IF((F101&lt;&gt;0),"Enter Letter"," ")</f>
        <v> </v>
      </c>
      <c r="G101" s="180" t="str">
        <f aca="false">IF((D101="d"),F101," ")</f>
        <v> </v>
      </c>
      <c r="H101" s="180" t="str">
        <f aca="false">IF((D101="h"),F101," ")</f>
        <v> </v>
      </c>
      <c r="I101" s="180" t="str">
        <f aca="false">IF((D101="r"),F101," ")</f>
        <v> </v>
      </c>
      <c r="J101" s="180" t="str">
        <f aca="false">IF((D101="t"),F101," ")</f>
        <v> </v>
      </c>
      <c r="K101" s="180" t="str">
        <f aca="false">IF((D101="e"),F101," ")</f>
        <v> </v>
      </c>
      <c r="L101" s="180" t="str">
        <f aca="false">IF((D101="p"),F101," ")</f>
        <v> </v>
      </c>
      <c r="M101" s="180" t="str">
        <f aca="false">IF((D101="g"),F101," ")</f>
        <v> </v>
      </c>
      <c r="N101" s="180" t="str">
        <f aca="false">IF((D101="a"),F101," ")</f>
        <v> </v>
      </c>
      <c r="O101" s="180" t="str">
        <f aca="false">IF((D101="l"),F101," ")</f>
        <v> </v>
      </c>
      <c r="P101" s="180" t="str">
        <f aca="false">IF((D101="i"),F101," ")</f>
        <v> </v>
      </c>
      <c r="Q101" s="180" t="str">
        <f aca="false">IF((D101="b"),F101," ")</f>
        <v> </v>
      </c>
      <c r="R101" s="180" t="str">
        <f aca="false">IF((D101="o"),F101," ")</f>
        <v> </v>
      </c>
      <c r="S101" s="180" t="str">
        <f aca="false">IF((D101="f"),F101," ")</f>
        <v> </v>
      </c>
      <c r="U101" s="371"/>
    </row>
    <row r="102" customFormat="false" ht="12.75" hidden="false" customHeight="false" outlineLevel="0" collapsed="false">
      <c r="D102" s="371" t="str">
        <f aca="false">IF((F102&lt;&gt;0),"Enter Letter"," ")</f>
        <v> </v>
      </c>
      <c r="G102" s="180" t="str">
        <f aca="false">IF((D102="d"),F102," ")</f>
        <v> </v>
      </c>
      <c r="H102" s="180" t="str">
        <f aca="false">IF((D102="h"),F102," ")</f>
        <v> </v>
      </c>
      <c r="I102" s="180" t="str">
        <f aca="false">IF((D102="r"),F102," ")</f>
        <v> </v>
      </c>
      <c r="J102" s="180" t="str">
        <f aca="false">IF((D102="t"),F102," ")</f>
        <v> </v>
      </c>
      <c r="K102" s="180" t="str">
        <f aca="false">IF((D102="e"),F102," ")</f>
        <v> </v>
      </c>
      <c r="L102" s="180" t="str">
        <f aca="false">IF((D102="p"),F102," ")</f>
        <v> </v>
      </c>
      <c r="M102" s="180" t="str">
        <f aca="false">IF((D102="g"),F102," ")</f>
        <v> </v>
      </c>
      <c r="N102" s="180" t="str">
        <f aca="false">IF((D102="a"),F102," ")</f>
        <v> </v>
      </c>
      <c r="O102" s="180" t="str">
        <f aca="false">IF((D102="l"),F102," ")</f>
        <v> </v>
      </c>
      <c r="P102" s="180" t="str">
        <f aca="false">IF((D102="i"),F102," ")</f>
        <v> </v>
      </c>
      <c r="Q102" s="180" t="str">
        <f aca="false">IF((D102="b"),F102," ")</f>
        <v> </v>
      </c>
      <c r="R102" s="180" t="str">
        <f aca="false">IF((D102="o"),F102," ")</f>
        <v> </v>
      </c>
      <c r="S102" s="180" t="str">
        <f aca="false">IF((D102="f"),F102," ")</f>
        <v> </v>
      </c>
      <c r="U102" s="371"/>
    </row>
    <row r="103" customFormat="false" ht="12.75" hidden="false" customHeight="false" outlineLevel="0" collapsed="false">
      <c r="D103" s="371" t="str">
        <f aca="false">IF((F103&lt;&gt;0),"Enter Letter"," ")</f>
        <v> </v>
      </c>
      <c r="G103" s="180" t="str">
        <f aca="false">IF((D103="d"),F103," ")</f>
        <v> </v>
      </c>
      <c r="H103" s="180" t="str">
        <f aca="false">IF((D103="h"),F103," ")</f>
        <v> </v>
      </c>
      <c r="I103" s="180" t="str">
        <f aca="false">IF((D103="r"),F103," ")</f>
        <v> </v>
      </c>
      <c r="J103" s="180" t="str">
        <f aca="false">IF((D103="t"),F103," ")</f>
        <v> </v>
      </c>
      <c r="K103" s="180" t="str">
        <f aca="false">IF((D103="e"),F103," ")</f>
        <v> </v>
      </c>
      <c r="L103" s="180" t="str">
        <f aca="false">IF((D103="p"),F103," ")</f>
        <v> </v>
      </c>
      <c r="M103" s="180" t="str">
        <f aca="false">IF((D103="g"),F103," ")</f>
        <v> </v>
      </c>
      <c r="N103" s="180" t="str">
        <f aca="false">IF((D103="a"),F103," ")</f>
        <v> </v>
      </c>
      <c r="O103" s="180" t="str">
        <f aca="false">IF((D103="l"),F103," ")</f>
        <v> </v>
      </c>
      <c r="P103" s="180" t="str">
        <f aca="false">IF((D103="i"),F103," ")</f>
        <v> </v>
      </c>
      <c r="Q103" s="180" t="str">
        <f aca="false">IF((D103="b"),F103," ")</f>
        <v> </v>
      </c>
      <c r="R103" s="180" t="str">
        <f aca="false">IF((D103="o"),F103," ")</f>
        <v> </v>
      </c>
      <c r="S103" s="180" t="str">
        <f aca="false">IF((D103="f"),F103," ")</f>
        <v> </v>
      </c>
      <c r="U103" s="371"/>
    </row>
    <row r="104" customFormat="false" ht="12.75" hidden="false" customHeight="false" outlineLevel="0" collapsed="false">
      <c r="D104" s="371" t="str">
        <f aca="false">IF((F104&lt;&gt;0),"Enter Letter"," ")</f>
        <v> </v>
      </c>
      <c r="G104" s="180" t="str">
        <f aca="false">IF((D104="d"),F104," ")</f>
        <v> </v>
      </c>
      <c r="H104" s="180" t="str">
        <f aca="false">IF((D104="h"),F104," ")</f>
        <v> </v>
      </c>
      <c r="I104" s="180" t="str">
        <f aca="false">IF((D104="r"),F104," ")</f>
        <v> </v>
      </c>
      <c r="J104" s="180" t="str">
        <f aca="false">IF((D104="t"),F104," ")</f>
        <v> </v>
      </c>
      <c r="K104" s="180" t="str">
        <f aca="false">IF((D104="e"),F104," ")</f>
        <v> </v>
      </c>
      <c r="L104" s="180" t="str">
        <f aca="false">IF((D104="p"),F104," ")</f>
        <v> </v>
      </c>
      <c r="M104" s="180" t="str">
        <f aca="false">IF((D104="g"),F104," ")</f>
        <v> </v>
      </c>
      <c r="N104" s="180" t="str">
        <f aca="false">IF((D104="a"),F104," ")</f>
        <v> </v>
      </c>
      <c r="O104" s="180" t="str">
        <f aca="false">IF((D104="l"),F104," ")</f>
        <v> </v>
      </c>
      <c r="P104" s="180" t="str">
        <f aca="false">IF((D104="i"),F104," ")</f>
        <v> </v>
      </c>
      <c r="Q104" s="180" t="str">
        <f aca="false">IF((D104="b"),F104," ")</f>
        <v> </v>
      </c>
      <c r="R104" s="180" t="str">
        <f aca="false">IF((D104="o"),F104," ")</f>
        <v> </v>
      </c>
      <c r="S104" s="180" t="str">
        <f aca="false">IF((D104="f"),F104," ")</f>
        <v> </v>
      </c>
      <c r="U104" s="371"/>
    </row>
    <row r="105" customFormat="false" ht="12.75" hidden="false" customHeight="false" outlineLevel="0" collapsed="false">
      <c r="D105" s="371" t="str">
        <f aca="false">IF((F105&lt;&gt;0),"Enter Letter"," ")</f>
        <v> </v>
      </c>
      <c r="G105" s="180" t="str">
        <f aca="false">IF((D105="d"),F105," ")</f>
        <v> </v>
      </c>
      <c r="H105" s="180" t="str">
        <f aca="false">IF((D105="h"),F105," ")</f>
        <v> </v>
      </c>
      <c r="I105" s="180" t="str">
        <f aca="false">IF((D105="r"),F105," ")</f>
        <v> </v>
      </c>
      <c r="J105" s="180" t="str">
        <f aca="false">IF((D105="t"),F105," ")</f>
        <v> </v>
      </c>
      <c r="K105" s="180" t="str">
        <f aca="false">IF((D105="e"),F105," ")</f>
        <v> </v>
      </c>
      <c r="L105" s="180" t="str">
        <f aca="false">IF((D105="p"),F105," ")</f>
        <v> </v>
      </c>
      <c r="M105" s="180" t="str">
        <f aca="false">IF((D105="g"),F105," ")</f>
        <v> </v>
      </c>
      <c r="N105" s="180" t="str">
        <f aca="false">IF((D105="a"),F105," ")</f>
        <v> </v>
      </c>
      <c r="O105" s="180" t="str">
        <f aca="false">IF((D105="l"),F105," ")</f>
        <v> </v>
      </c>
      <c r="P105" s="180" t="str">
        <f aca="false">IF((D105="i"),F105," ")</f>
        <v> </v>
      </c>
      <c r="Q105" s="180" t="str">
        <f aca="false">IF((D105="b"),F105," ")</f>
        <v> </v>
      </c>
      <c r="R105" s="180" t="str">
        <f aca="false">IF((D105="o"),F105," ")</f>
        <v> </v>
      </c>
      <c r="S105" s="180" t="str">
        <f aca="false">IF((D105="f"),F105," ")</f>
        <v> </v>
      </c>
      <c r="U105" s="371"/>
    </row>
    <row r="106" customFormat="false" ht="12.75" hidden="false" customHeight="false" outlineLevel="0" collapsed="false">
      <c r="D106" s="371" t="str">
        <f aca="false">IF((F106&lt;&gt;0),"Enter Letter"," ")</f>
        <v> </v>
      </c>
      <c r="G106" s="180" t="str">
        <f aca="false">IF((D106="d"),F106," ")</f>
        <v> </v>
      </c>
      <c r="H106" s="180" t="str">
        <f aca="false">IF((D106="h"),F106," ")</f>
        <v> </v>
      </c>
      <c r="I106" s="180" t="str">
        <f aca="false">IF((D106="r"),F106," ")</f>
        <v> </v>
      </c>
      <c r="J106" s="180" t="str">
        <f aca="false">IF((D106="t"),F106," ")</f>
        <v> </v>
      </c>
      <c r="K106" s="180" t="str">
        <f aca="false">IF((D106="e"),F106," ")</f>
        <v> </v>
      </c>
      <c r="L106" s="180" t="str">
        <f aca="false">IF((D106="p"),F106," ")</f>
        <v> </v>
      </c>
      <c r="M106" s="180" t="str">
        <f aca="false">IF((D106="g"),F106," ")</f>
        <v> </v>
      </c>
      <c r="N106" s="180" t="str">
        <f aca="false">IF((D106="a"),F106," ")</f>
        <v> </v>
      </c>
      <c r="O106" s="180" t="str">
        <f aca="false">IF((D106="l"),F106," ")</f>
        <v> </v>
      </c>
      <c r="P106" s="180" t="str">
        <f aca="false">IF((D106="i"),F106," ")</f>
        <v> </v>
      </c>
      <c r="Q106" s="180" t="str">
        <f aca="false">IF((D106="b"),F106," ")</f>
        <v> </v>
      </c>
      <c r="R106" s="180" t="str">
        <f aca="false">IF((D106="o"),F106," ")</f>
        <v> </v>
      </c>
      <c r="S106" s="180" t="str">
        <f aca="false">IF((D106="f"),F106," ")</f>
        <v> </v>
      </c>
      <c r="U106" s="371"/>
    </row>
    <row r="107" customFormat="false" ht="12.75" hidden="false" customHeight="false" outlineLevel="0" collapsed="false">
      <c r="D107" s="371" t="str">
        <f aca="false">IF((F107&lt;&gt;0),"Enter Letter"," ")</f>
        <v> </v>
      </c>
      <c r="G107" s="180" t="str">
        <f aca="false">IF((D107="d"),F107," ")</f>
        <v> </v>
      </c>
      <c r="H107" s="180" t="str">
        <f aca="false">IF((D107="h"),F107," ")</f>
        <v> </v>
      </c>
      <c r="I107" s="180" t="str">
        <f aca="false">IF((D107="r"),F107," ")</f>
        <v> </v>
      </c>
      <c r="J107" s="180" t="str">
        <f aca="false">IF((D107="t"),F107," ")</f>
        <v> </v>
      </c>
      <c r="K107" s="180" t="str">
        <f aca="false">IF((D107="e"),F107," ")</f>
        <v> </v>
      </c>
      <c r="L107" s="180" t="str">
        <f aca="false">IF((D107="p"),F107," ")</f>
        <v> </v>
      </c>
      <c r="M107" s="180" t="str">
        <f aca="false">IF((D107="g"),F107," ")</f>
        <v> </v>
      </c>
      <c r="N107" s="180" t="str">
        <f aca="false">IF((D107="a"),F107," ")</f>
        <v> </v>
      </c>
      <c r="O107" s="180" t="str">
        <f aca="false">IF((D107="l"),F107," ")</f>
        <v> </v>
      </c>
      <c r="P107" s="180" t="str">
        <f aca="false">IF((D107="i"),F107," ")</f>
        <v> </v>
      </c>
      <c r="Q107" s="180" t="str">
        <f aca="false">IF((D107="b"),F107," ")</f>
        <v> </v>
      </c>
      <c r="R107" s="180" t="str">
        <f aca="false">IF((D107="o"),F107," ")</f>
        <v> </v>
      </c>
      <c r="S107" s="180" t="str">
        <f aca="false">IF((D107="f"),F107," ")</f>
        <v> </v>
      </c>
      <c r="U107" s="371"/>
    </row>
    <row r="108" customFormat="false" ht="12.75" hidden="false" customHeight="false" outlineLevel="0" collapsed="false">
      <c r="D108" s="371" t="str">
        <f aca="false">IF((F108&lt;&gt;0),"Enter Letter"," ")</f>
        <v> </v>
      </c>
      <c r="G108" s="180" t="str">
        <f aca="false">IF((D108="d"),F108," ")</f>
        <v> </v>
      </c>
      <c r="H108" s="180" t="str">
        <f aca="false">IF((D108="h"),F108," ")</f>
        <v> </v>
      </c>
      <c r="I108" s="180" t="str">
        <f aca="false">IF((D108="r"),F108," ")</f>
        <v> </v>
      </c>
      <c r="J108" s="180" t="str">
        <f aca="false">IF((D108="t"),F108," ")</f>
        <v> </v>
      </c>
      <c r="K108" s="180" t="str">
        <f aca="false">IF((D108="e"),F108," ")</f>
        <v> </v>
      </c>
      <c r="L108" s="180" t="str">
        <f aca="false">IF((D108="p"),F108," ")</f>
        <v> </v>
      </c>
      <c r="M108" s="180" t="str">
        <f aca="false">IF((D108="g"),F108," ")</f>
        <v> </v>
      </c>
      <c r="N108" s="180" t="str">
        <f aca="false">IF((D108="a"),F108," ")</f>
        <v> </v>
      </c>
      <c r="O108" s="180" t="str">
        <f aca="false">IF((D108="l"),F108," ")</f>
        <v> </v>
      </c>
      <c r="P108" s="180" t="str">
        <f aca="false">IF((D108="i"),F108," ")</f>
        <v> </v>
      </c>
      <c r="Q108" s="180" t="str">
        <f aca="false">IF((D108="b"),F108," ")</f>
        <v> </v>
      </c>
      <c r="R108" s="180" t="str">
        <f aca="false">IF((D108="o"),F108," ")</f>
        <v> </v>
      </c>
      <c r="S108" s="180" t="str">
        <f aca="false">IF((D108="f"),F108," ")</f>
        <v> </v>
      </c>
      <c r="U108" s="371"/>
    </row>
    <row r="109" customFormat="false" ht="12.75" hidden="false" customHeight="false" outlineLevel="0" collapsed="false">
      <c r="D109" s="371" t="str">
        <f aca="false">IF((F109&lt;&gt;0),"Enter Letter"," ")</f>
        <v> </v>
      </c>
      <c r="G109" s="180" t="str">
        <f aca="false">IF((D109="d"),F109," ")</f>
        <v> </v>
      </c>
      <c r="H109" s="180" t="str">
        <f aca="false">IF((D109="h"),F109," ")</f>
        <v> </v>
      </c>
      <c r="I109" s="180" t="str">
        <f aca="false">IF((D109="r"),F109," ")</f>
        <v> </v>
      </c>
      <c r="J109" s="180" t="str">
        <f aca="false">IF((D109="t"),F109," ")</f>
        <v> </v>
      </c>
      <c r="K109" s="180" t="str">
        <f aca="false">IF((D109="e"),F109," ")</f>
        <v> </v>
      </c>
      <c r="L109" s="180" t="str">
        <f aca="false">IF((D109="p"),F109," ")</f>
        <v> </v>
      </c>
      <c r="M109" s="180" t="str">
        <f aca="false">IF((D109="g"),F109," ")</f>
        <v> </v>
      </c>
      <c r="N109" s="180" t="str">
        <f aca="false">IF((D109="a"),F109," ")</f>
        <v> </v>
      </c>
      <c r="O109" s="180" t="str">
        <f aca="false">IF((D109="l"),F109," ")</f>
        <v> </v>
      </c>
      <c r="P109" s="180" t="str">
        <f aca="false">IF((D109="i"),F109," ")</f>
        <v> </v>
      </c>
      <c r="Q109" s="180" t="str">
        <f aca="false">IF((D109="b"),F109," ")</f>
        <v> </v>
      </c>
      <c r="R109" s="180" t="str">
        <f aca="false">IF((D109="o"),F109," ")</f>
        <v> </v>
      </c>
      <c r="S109" s="180" t="str">
        <f aca="false">IF((D109="f"),F109," ")</f>
        <v> </v>
      </c>
      <c r="U109" s="371"/>
    </row>
    <row r="110" customFormat="false" ht="12.75" hidden="false" customHeight="false" outlineLevel="0" collapsed="false">
      <c r="D110" s="371" t="str">
        <f aca="false">IF((F110&lt;&gt;0),"Enter Letter"," ")</f>
        <v> </v>
      </c>
      <c r="G110" s="180" t="str">
        <f aca="false">IF((D110="d"),F110," ")</f>
        <v> </v>
      </c>
      <c r="H110" s="180" t="str">
        <f aca="false">IF((D110="h"),F110," ")</f>
        <v> </v>
      </c>
      <c r="I110" s="180" t="str">
        <f aca="false">IF((D110="r"),F110," ")</f>
        <v> </v>
      </c>
      <c r="J110" s="180" t="str">
        <f aca="false">IF((D110="t"),F110," ")</f>
        <v> </v>
      </c>
      <c r="K110" s="180" t="str">
        <f aca="false">IF((D110="e"),F110," ")</f>
        <v> </v>
      </c>
      <c r="L110" s="180" t="str">
        <f aca="false">IF((D110="p"),F110," ")</f>
        <v> </v>
      </c>
      <c r="M110" s="180" t="str">
        <f aca="false">IF((D110="g"),F110," ")</f>
        <v> </v>
      </c>
      <c r="N110" s="180" t="str">
        <f aca="false">IF((D110="a"),F110," ")</f>
        <v> </v>
      </c>
      <c r="O110" s="180" t="str">
        <f aca="false">IF((D110="l"),F110," ")</f>
        <v> </v>
      </c>
      <c r="P110" s="180" t="str">
        <f aca="false">IF((D110="i"),F110," ")</f>
        <v> </v>
      </c>
      <c r="Q110" s="180" t="str">
        <f aca="false">IF((D110="b"),F110," ")</f>
        <v> </v>
      </c>
      <c r="R110" s="180" t="str">
        <f aca="false">IF((D110="o"),F110," ")</f>
        <v> </v>
      </c>
      <c r="S110" s="180" t="str">
        <f aca="false">IF((D110="f"),F110," ")</f>
        <v> </v>
      </c>
      <c r="U110" s="371"/>
    </row>
    <row r="111" customFormat="false" ht="12.75" hidden="false" customHeight="false" outlineLevel="0" collapsed="false">
      <c r="D111" s="371" t="str">
        <f aca="false">IF((F111&lt;&gt;0),"Enter Letter"," ")</f>
        <v> </v>
      </c>
      <c r="G111" s="180" t="str">
        <f aca="false">IF((D111="d"),F111," ")</f>
        <v> </v>
      </c>
      <c r="H111" s="180" t="str">
        <f aca="false">IF((D111="h"),F111," ")</f>
        <v> </v>
      </c>
      <c r="I111" s="180" t="str">
        <f aca="false">IF((D111="r"),F111," ")</f>
        <v> </v>
      </c>
      <c r="J111" s="180" t="str">
        <f aca="false">IF((D111="t"),F111," ")</f>
        <v> </v>
      </c>
      <c r="K111" s="180" t="str">
        <f aca="false">IF((D111="e"),F111," ")</f>
        <v> </v>
      </c>
      <c r="L111" s="180" t="str">
        <f aca="false">IF((D111="p"),F111," ")</f>
        <v> </v>
      </c>
      <c r="M111" s="180" t="str">
        <f aca="false">IF((D111="g"),F111," ")</f>
        <v> </v>
      </c>
      <c r="N111" s="180" t="str">
        <f aca="false">IF((D111="a"),F111," ")</f>
        <v> </v>
      </c>
      <c r="O111" s="180" t="str">
        <f aca="false">IF((D111="l"),F111," ")</f>
        <v> </v>
      </c>
      <c r="P111" s="180" t="str">
        <f aca="false">IF((D111="i"),F111," ")</f>
        <v> </v>
      </c>
      <c r="Q111" s="180" t="str">
        <f aca="false">IF((D111="b"),F111," ")</f>
        <v> </v>
      </c>
      <c r="R111" s="180" t="str">
        <f aca="false">IF((D111="o"),F111," ")</f>
        <v> </v>
      </c>
      <c r="S111" s="180" t="str">
        <f aca="false">IF((D111="f"),F111," ")</f>
        <v> </v>
      </c>
      <c r="U111" s="371"/>
    </row>
    <row r="112" customFormat="false" ht="12.75" hidden="false" customHeight="false" outlineLevel="0" collapsed="false">
      <c r="D112" s="371" t="str">
        <f aca="false">IF((F112&lt;&gt;0),"Enter Letter"," ")</f>
        <v> </v>
      </c>
      <c r="G112" s="180" t="str">
        <f aca="false">IF((D112="d"),F112," ")</f>
        <v> </v>
      </c>
      <c r="H112" s="180" t="str">
        <f aca="false">IF((D112="h"),F112," ")</f>
        <v> </v>
      </c>
      <c r="I112" s="180" t="str">
        <f aca="false">IF((D112="r"),F112," ")</f>
        <v> </v>
      </c>
      <c r="J112" s="180" t="str">
        <f aca="false">IF((D112="t"),F112," ")</f>
        <v> </v>
      </c>
      <c r="K112" s="180" t="str">
        <f aca="false">IF((D112="e"),F112," ")</f>
        <v> </v>
      </c>
      <c r="L112" s="180" t="str">
        <f aca="false">IF((D112="p"),F112," ")</f>
        <v> </v>
      </c>
      <c r="M112" s="180" t="str">
        <f aca="false">IF((D112="g"),F112," ")</f>
        <v> </v>
      </c>
      <c r="N112" s="180" t="str">
        <f aca="false">IF((D112="a"),F112," ")</f>
        <v> </v>
      </c>
      <c r="O112" s="180" t="str">
        <f aca="false">IF((D112="l"),F112," ")</f>
        <v> </v>
      </c>
      <c r="P112" s="180" t="str">
        <f aca="false">IF((D112="i"),F112," ")</f>
        <v> </v>
      </c>
      <c r="Q112" s="180" t="str">
        <f aca="false">IF((D112="b"),F112," ")</f>
        <v> </v>
      </c>
      <c r="R112" s="180" t="str">
        <f aca="false">IF((D112="o"),F112," ")</f>
        <v> </v>
      </c>
      <c r="S112" s="180" t="str">
        <f aca="false">IF((D112="f"),F112," ")</f>
        <v> </v>
      </c>
      <c r="U112" s="371"/>
    </row>
    <row r="113" customFormat="false" ht="12.75" hidden="false" customHeight="false" outlineLevel="0" collapsed="false">
      <c r="D113" s="371" t="str">
        <f aca="false">IF((F113&lt;&gt;0),"Enter Letter"," ")</f>
        <v> </v>
      </c>
      <c r="G113" s="180" t="str">
        <f aca="false">IF((D113="d"),F113," ")</f>
        <v> </v>
      </c>
      <c r="H113" s="180" t="str">
        <f aca="false">IF((D113="h"),F113," ")</f>
        <v> </v>
      </c>
      <c r="I113" s="180" t="str">
        <f aca="false">IF((D113="r"),F113," ")</f>
        <v> </v>
      </c>
      <c r="J113" s="180" t="str">
        <f aca="false">IF((D113="t"),F113," ")</f>
        <v> </v>
      </c>
      <c r="K113" s="180" t="str">
        <f aca="false">IF((D113="e"),F113," ")</f>
        <v> </v>
      </c>
      <c r="L113" s="180" t="str">
        <f aca="false">IF((D113="p"),F113," ")</f>
        <v> </v>
      </c>
      <c r="M113" s="180" t="str">
        <f aca="false">IF((D113="g"),F113," ")</f>
        <v> </v>
      </c>
      <c r="N113" s="180" t="str">
        <f aca="false">IF((D113="a"),F113," ")</f>
        <v> </v>
      </c>
      <c r="O113" s="180" t="str">
        <f aca="false">IF((D113="l"),F113," ")</f>
        <v> </v>
      </c>
      <c r="P113" s="180" t="str">
        <f aca="false">IF((D113="i"),F113," ")</f>
        <v> </v>
      </c>
      <c r="Q113" s="180" t="str">
        <f aca="false">IF((D113="b"),F113," ")</f>
        <v> </v>
      </c>
      <c r="R113" s="180" t="str">
        <f aca="false">IF((D113="o"),F113," ")</f>
        <v> </v>
      </c>
      <c r="S113" s="180" t="str">
        <f aca="false">IF((D113="f"),F113," ")</f>
        <v> </v>
      </c>
      <c r="U113" s="371"/>
    </row>
    <row r="114" customFormat="false" ht="12.75" hidden="false" customHeight="false" outlineLevel="0" collapsed="false">
      <c r="D114" s="371" t="str">
        <f aca="false">IF((F114&lt;&gt;0),"Enter Letter"," ")</f>
        <v> </v>
      </c>
      <c r="G114" s="180" t="str">
        <f aca="false">IF((D114="d"),F114," ")</f>
        <v> </v>
      </c>
      <c r="H114" s="180" t="str">
        <f aca="false">IF((D114="h"),F114," ")</f>
        <v> </v>
      </c>
      <c r="I114" s="180" t="str">
        <f aca="false">IF((D114="r"),F114," ")</f>
        <v> </v>
      </c>
      <c r="J114" s="180" t="str">
        <f aca="false">IF((D114="t"),F114," ")</f>
        <v> </v>
      </c>
      <c r="K114" s="180" t="str">
        <f aca="false">IF((D114="e"),F114," ")</f>
        <v> </v>
      </c>
      <c r="L114" s="180" t="str">
        <f aca="false">IF((D114="p"),F114," ")</f>
        <v> </v>
      </c>
      <c r="M114" s="180" t="str">
        <f aca="false">IF((D114="g"),F114," ")</f>
        <v> </v>
      </c>
      <c r="N114" s="180" t="str">
        <f aca="false">IF((D114="a"),F114," ")</f>
        <v> </v>
      </c>
      <c r="O114" s="180" t="str">
        <f aca="false">IF((D114="l"),F114," ")</f>
        <v> </v>
      </c>
      <c r="P114" s="180" t="str">
        <f aca="false">IF((D114="i"),F114," ")</f>
        <v> </v>
      </c>
      <c r="Q114" s="180" t="str">
        <f aca="false">IF((D114="b"),F114," ")</f>
        <v> </v>
      </c>
      <c r="R114" s="180" t="str">
        <f aca="false">IF((D114="o"),F114," ")</f>
        <v> </v>
      </c>
      <c r="S114" s="180" t="str">
        <f aca="false">IF((D114="f"),F114," ")</f>
        <v> </v>
      </c>
      <c r="U114" s="371"/>
    </row>
    <row r="115" customFormat="false" ht="12.75" hidden="false" customHeight="false" outlineLevel="0" collapsed="false">
      <c r="D115" s="371" t="str">
        <f aca="false">IF((F115&lt;&gt;0),"Enter Letter"," ")</f>
        <v> </v>
      </c>
      <c r="G115" s="180" t="str">
        <f aca="false">IF((D115="d"),F115," ")</f>
        <v> </v>
      </c>
      <c r="H115" s="180" t="str">
        <f aca="false">IF((D115="h"),F115," ")</f>
        <v> </v>
      </c>
      <c r="I115" s="180" t="str">
        <f aca="false">IF((D115="r"),F115," ")</f>
        <v> </v>
      </c>
      <c r="J115" s="180" t="str">
        <f aca="false">IF((D115="t"),F115," ")</f>
        <v> </v>
      </c>
      <c r="K115" s="180" t="str">
        <f aca="false">IF((D115="e"),F115," ")</f>
        <v> </v>
      </c>
      <c r="L115" s="180" t="str">
        <f aca="false">IF((D115="p"),F115," ")</f>
        <v> </v>
      </c>
      <c r="M115" s="180" t="str">
        <f aca="false">IF((D115="g"),F115," ")</f>
        <v> </v>
      </c>
      <c r="N115" s="180" t="str">
        <f aca="false">IF((D115="a"),F115," ")</f>
        <v> </v>
      </c>
      <c r="O115" s="180" t="str">
        <f aca="false">IF((D115="l"),F115," ")</f>
        <v> </v>
      </c>
      <c r="P115" s="180" t="str">
        <f aca="false">IF((D115="i"),F115," ")</f>
        <v> </v>
      </c>
      <c r="Q115" s="180" t="str">
        <f aca="false">IF((D115="b"),F115," ")</f>
        <v> </v>
      </c>
      <c r="R115" s="180" t="str">
        <f aca="false">IF((D115="o"),F115," ")</f>
        <v> </v>
      </c>
      <c r="S115" s="180" t="str">
        <f aca="false">IF((D115="f"),F115," ")</f>
        <v> </v>
      </c>
      <c r="U115" s="371"/>
    </row>
    <row r="116" customFormat="false" ht="12.75" hidden="false" customHeight="false" outlineLevel="0" collapsed="false">
      <c r="D116" s="371" t="str">
        <f aca="false">IF((F116&lt;&gt;0),"Enter Letter"," ")</f>
        <v> </v>
      </c>
      <c r="G116" s="180" t="str">
        <f aca="false">IF((D116="d"),F116," ")</f>
        <v> </v>
      </c>
      <c r="H116" s="180" t="str">
        <f aca="false">IF((D116="h"),F116," ")</f>
        <v> </v>
      </c>
      <c r="I116" s="180" t="str">
        <f aca="false">IF((D116="r"),F116," ")</f>
        <v> </v>
      </c>
      <c r="J116" s="180" t="str">
        <f aca="false">IF((D116="t"),F116," ")</f>
        <v> </v>
      </c>
      <c r="K116" s="180" t="str">
        <f aca="false">IF((D116="e"),F116," ")</f>
        <v> </v>
      </c>
      <c r="L116" s="180" t="str">
        <f aca="false">IF((D116="p"),F116," ")</f>
        <v> </v>
      </c>
      <c r="M116" s="180" t="str">
        <f aca="false">IF((D116="g"),F116," ")</f>
        <v> </v>
      </c>
      <c r="N116" s="180" t="str">
        <f aca="false">IF((D116="a"),F116," ")</f>
        <v> </v>
      </c>
      <c r="O116" s="180" t="str">
        <f aca="false">IF((D116="l"),F116," ")</f>
        <v> </v>
      </c>
      <c r="P116" s="180" t="str">
        <f aca="false">IF((D116="i"),F116," ")</f>
        <v> </v>
      </c>
      <c r="Q116" s="180" t="str">
        <f aca="false">IF((D116="b"),F116," ")</f>
        <v> </v>
      </c>
      <c r="R116" s="180" t="str">
        <f aca="false">IF((D116="o"),F116," ")</f>
        <v> </v>
      </c>
      <c r="S116" s="180" t="str">
        <f aca="false">IF((D116="f"),F116," ")</f>
        <v> </v>
      </c>
      <c r="U116" s="371"/>
    </row>
    <row r="117" customFormat="false" ht="12.75" hidden="false" customHeight="false" outlineLevel="0" collapsed="false">
      <c r="D117" s="371" t="str">
        <f aca="false">IF((F117&lt;&gt;0),"Enter Letter"," ")</f>
        <v> </v>
      </c>
      <c r="G117" s="180" t="str">
        <f aca="false">IF((D117="d"),F117," ")</f>
        <v> </v>
      </c>
      <c r="H117" s="180" t="str">
        <f aca="false">IF((D117="h"),F117," ")</f>
        <v> </v>
      </c>
      <c r="I117" s="180" t="str">
        <f aca="false">IF((D117="r"),F117," ")</f>
        <v> </v>
      </c>
      <c r="J117" s="180" t="str">
        <f aca="false">IF((D117="t"),F117," ")</f>
        <v> </v>
      </c>
      <c r="K117" s="180" t="str">
        <f aca="false">IF((D117="e"),F117," ")</f>
        <v> </v>
      </c>
      <c r="L117" s="180" t="str">
        <f aca="false">IF((D117="p"),F117," ")</f>
        <v> </v>
      </c>
      <c r="M117" s="180" t="str">
        <f aca="false">IF((D117="g"),F117," ")</f>
        <v> </v>
      </c>
      <c r="N117" s="180" t="str">
        <f aca="false">IF((D117="a"),F117," ")</f>
        <v> </v>
      </c>
      <c r="O117" s="180" t="str">
        <f aca="false">IF((D117="l"),F117," ")</f>
        <v> </v>
      </c>
      <c r="P117" s="180" t="str">
        <f aca="false">IF((D117="i"),F117," ")</f>
        <v> </v>
      </c>
      <c r="Q117" s="180" t="str">
        <f aca="false">IF((D117="b"),F117," ")</f>
        <v> </v>
      </c>
      <c r="R117" s="180" t="str">
        <f aca="false">IF((D117="o"),F117," ")</f>
        <v> </v>
      </c>
      <c r="S117" s="180" t="str">
        <f aca="false">IF((D117="f"),F117," ")</f>
        <v> </v>
      </c>
      <c r="U117" s="371"/>
    </row>
    <row r="118" customFormat="false" ht="12.75" hidden="false" customHeight="false" outlineLevel="0" collapsed="false">
      <c r="D118" s="371" t="str">
        <f aca="false">IF((F118&lt;&gt;0),"Enter Letter"," ")</f>
        <v> </v>
      </c>
      <c r="G118" s="180" t="str">
        <f aca="false">IF((D118="d"),F118," ")</f>
        <v> </v>
      </c>
      <c r="H118" s="180" t="str">
        <f aca="false">IF((D118="h"),F118," ")</f>
        <v> </v>
      </c>
      <c r="I118" s="180" t="str">
        <f aca="false">IF((D118="r"),F118," ")</f>
        <v> </v>
      </c>
      <c r="J118" s="180" t="str">
        <f aca="false">IF((D118="t"),F118," ")</f>
        <v> </v>
      </c>
      <c r="K118" s="180" t="str">
        <f aca="false">IF((D118="e"),F118," ")</f>
        <v> </v>
      </c>
      <c r="L118" s="180" t="str">
        <f aca="false">IF((D118="p"),F118," ")</f>
        <v> </v>
      </c>
      <c r="M118" s="180" t="str">
        <f aca="false">IF((D118="g"),F118," ")</f>
        <v> </v>
      </c>
      <c r="N118" s="180" t="str">
        <f aca="false">IF((D118="a"),F118," ")</f>
        <v> </v>
      </c>
      <c r="O118" s="180" t="str">
        <f aca="false">IF((D118="l"),F118," ")</f>
        <v> </v>
      </c>
      <c r="P118" s="180" t="str">
        <f aca="false">IF((D118="i"),F118," ")</f>
        <v> </v>
      </c>
      <c r="Q118" s="180" t="str">
        <f aca="false">IF((D118="b"),F118," ")</f>
        <v> </v>
      </c>
      <c r="R118" s="180" t="str">
        <f aca="false">IF((D118="o"),F118," ")</f>
        <v> </v>
      </c>
      <c r="S118" s="180" t="str">
        <f aca="false">IF((D118="f"),F118," ")</f>
        <v> </v>
      </c>
      <c r="U118" s="371"/>
    </row>
    <row r="119" customFormat="false" ht="12.75" hidden="false" customHeight="false" outlineLevel="0" collapsed="false">
      <c r="D119" s="371" t="str">
        <f aca="false">IF((F119&lt;&gt;0),"Enter Letter"," ")</f>
        <v> </v>
      </c>
      <c r="G119" s="180" t="str">
        <f aca="false">IF((D119="d"),F119," ")</f>
        <v> </v>
      </c>
      <c r="H119" s="180" t="str">
        <f aca="false">IF((D119="h"),F119," ")</f>
        <v> </v>
      </c>
      <c r="I119" s="180" t="str">
        <f aca="false">IF((D119="r"),F119," ")</f>
        <v> </v>
      </c>
      <c r="J119" s="180" t="str">
        <f aca="false">IF((D119="t"),F119," ")</f>
        <v> </v>
      </c>
      <c r="K119" s="180" t="str">
        <f aca="false">IF((D119="e"),F119," ")</f>
        <v> </v>
      </c>
      <c r="L119" s="180" t="str">
        <f aca="false">IF((D119="p"),F119," ")</f>
        <v> </v>
      </c>
      <c r="M119" s="180" t="str">
        <f aca="false">IF((D119="g"),F119," ")</f>
        <v> </v>
      </c>
      <c r="N119" s="180" t="str">
        <f aca="false">IF((D119="a"),F119," ")</f>
        <v> </v>
      </c>
      <c r="O119" s="180" t="str">
        <f aca="false">IF((D119="l"),F119," ")</f>
        <v> </v>
      </c>
      <c r="P119" s="180" t="str">
        <f aca="false">IF((D119="i"),F119," ")</f>
        <v> </v>
      </c>
      <c r="Q119" s="180" t="str">
        <f aca="false">IF((D119="b"),F119," ")</f>
        <v> </v>
      </c>
      <c r="R119" s="180" t="str">
        <f aca="false">IF((D119="o"),F119," ")</f>
        <v> </v>
      </c>
      <c r="S119" s="180" t="str">
        <f aca="false">IF((D119="f"),F119," ")</f>
        <v> </v>
      </c>
      <c r="U119" s="371"/>
    </row>
    <row r="120" customFormat="false" ht="12.75" hidden="false" customHeight="false" outlineLevel="0" collapsed="false">
      <c r="D120" s="371" t="str">
        <f aca="false">IF((F120&lt;&gt;0),"Enter Letter"," ")</f>
        <v> </v>
      </c>
      <c r="G120" s="180" t="str">
        <f aca="false">IF((D120="d"),F120," ")</f>
        <v> </v>
      </c>
      <c r="H120" s="180" t="str">
        <f aca="false">IF((D120="h"),F120," ")</f>
        <v> </v>
      </c>
      <c r="I120" s="180" t="str">
        <f aca="false">IF((D120="r"),F120," ")</f>
        <v> </v>
      </c>
      <c r="J120" s="180" t="str">
        <f aca="false">IF((D120="t"),F120," ")</f>
        <v> </v>
      </c>
      <c r="K120" s="180" t="str">
        <f aca="false">IF((D120="e"),F120," ")</f>
        <v> </v>
      </c>
      <c r="L120" s="180" t="str">
        <f aca="false">IF((D120="p"),F120," ")</f>
        <v> </v>
      </c>
      <c r="M120" s="180" t="str">
        <f aca="false">IF((D120="g"),F120," ")</f>
        <v> </v>
      </c>
      <c r="N120" s="180" t="str">
        <f aca="false">IF((D120="a"),F120," ")</f>
        <v> </v>
      </c>
      <c r="O120" s="180" t="str">
        <f aca="false">IF((D120="l"),F120," ")</f>
        <v> </v>
      </c>
      <c r="P120" s="180" t="str">
        <f aca="false">IF((D120="i"),F120," ")</f>
        <v> </v>
      </c>
      <c r="Q120" s="180" t="str">
        <f aca="false">IF((D120="b"),F120," ")</f>
        <v> </v>
      </c>
      <c r="R120" s="180" t="str">
        <f aca="false">IF((D120="o"),F120," ")</f>
        <v> </v>
      </c>
      <c r="S120" s="180" t="str">
        <f aca="false">IF((D120="f"),F120," ")</f>
        <v> </v>
      </c>
      <c r="U120" s="371"/>
    </row>
    <row r="121" customFormat="false" ht="12.75" hidden="false" customHeight="false" outlineLevel="0" collapsed="false">
      <c r="D121" s="371" t="str">
        <f aca="false">IF((F121&lt;&gt;0),"Enter Letter"," ")</f>
        <v> </v>
      </c>
      <c r="G121" s="180" t="str">
        <f aca="false">IF((D121="d"),F121," ")</f>
        <v> </v>
      </c>
      <c r="H121" s="180" t="str">
        <f aca="false">IF((D121="h"),F121," ")</f>
        <v> </v>
      </c>
      <c r="I121" s="180" t="str">
        <f aca="false">IF((D121="r"),F121," ")</f>
        <v> </v>
      </c>
      <c r="J121" s="180" t="str">
        <f aca="false">IF((D121="t"),F121," ")</f>
        <v> </v>
      </c>
      <c r="K121" s="180" t="str">
        <f aca="false">IF((D121="e"),F121," ")</f>
        <v> </v>
      </c>
      <c r="L121" s="180" t="str">
        <f aca="false">IF((D121="p"),F121," ")</f>
        <v> </v>
      </c>
      <c r="M121" s="180" t="str">
        <f aca="false">IF((D121="g"),F121," ")</f>
        <v> </v>
      </c>
      <c r="N121" s="180" t="str">
        <f aca="false">IF((D121="a"),F121," ")</f>
        <v> </v>
      </c>
      <c r="O121" s="180" t="str">
        <f aca="false">IF((D121="l"),F121," ")</f>
        <v> </v>
      </c>
      <c r="P121" s="180" t="str">
        <f aca="false">IF((D121="i"),F121," ")</f>
        <v> </v>
      </c>
      <c r="Q121" s="180" t="str">
        <f aca="false">IF((D121="b"),F121," ")</f>
        <v> </v>
      </c>
      <c r="R121" s="180" t="str">
        <f aca="false">IF((D121="o"),F121," ")</f>
        <v> </v>
      </c>
      <c r="S121" s="180" t="str">
        <f aca="false">IF((D121="f"),F121," ")</f>
        <v> </v>
      </c>
      <c r="U121" s="371"/>
    </row>
    <row r="122" customFormat="false" ht="12.75" hidden="false" customHeight="false" outlineLevel="0" collapsed="false">
      <c r="D122" s="371" t="str">
        <f aca="false">IF((F122&lt;&gt;0),"Enter Letter"," ")</f>
        <v> </v>
      </c>
      <c r="G122" s="180" t="str">
        <f aca="false">IF((D122="d"),F122," ")</f>
        <v> </v>
      </c>
      <c r="H122" s="180" t="str">
        <f aca="false">IF((D122="h"),F122," ")</f>
        <v> </v>
      </c>
      <c r="I122" s="180" t="str">
        <f aca="false">IF((D122="r"),F122," ")</f>
        <v> </v>
      </c>
      <c r="J122" s="180" t="str">
        <f aca="false">IF((D122="t"),F122," ")</f>
        <v> </v>
      </c>
      <c r="K122" s="180" t="str">
        <f aca="false">IF((D122="e"),F122," ")</f>
        <v> </v>
      </c>
      <c r="L122" s="180" t="str">
        <f aca="false">IF((D122="p"),F122," ")</f>
        <v> </v>
      </c>
      <c r="M122" s="180" t="str">
        <f aca="false">IF((D122="g"),F122," ")</f>
        <v> </v>
      </c>
      <c r="N122" s="180" t="str">
        <f aca="false">IF((D122="a"),F122," ")</f>
        <v> </v>
      </c>
      <c r="O122" s="180" t="str">
        <f aca="false">IF((D122="l"),F122," ")</f>
        <v> </v>
      </c>
      <c r="P122" s="180" t="str">
        <f aca="false">IF((D122="i"),F122," ")</f>
        <v> </v>
      </c>
      <c r="Q122" s="180" t="str">
        <f aca="false">IF((D122="b"),F122," ")</f>
        <v> </v>
      </c>
      <c r="R122" s="180" t="str">
        <f aca="false">IF((D122="o"),F122," ")</f>
        <v> </v>
      </c>
      <c r="S122" s="180" t="str">
        <f aca="false">IF((D122="f"),F122," ")</f>
        <v> </v>
      </c>
      <c r="U122" s="371"/>
    </row>
    <row r="123" customFormat="false" ht="12.75" hidden="false" customHeight="false" outlineLevel="0" collapsed="false">
      <c r="D123" s="371" t="str">
        <f aca="false">IF((F123&lt;&gt;0),"Enter Letter"," ")</f>
        <v> </v>
      </c>
      <c r="G123" s="180" t="str">
        <f aca="false">IF((D123="d"),F123," ")</f>
        <v> </v>
      </c>
      <c r="H123" s="180" t="str">
        <f aca="false">IF((D123="h"),F123," ")</f>
        <v> </v>
      </c>
      <c r="I123" s="180" t="str">
        <f aca="false">IF((D123="r"),F123," ")</f>
        <v> </v>
      </c>
      <c r="J123" s="180" t="str">
        <f aca="false">IF((D123="t"),F123," ")</f>
        <v> </v>
      </c>
      <c r="K123" s="180" t="str">
        <f aca="false">IF((D123="e"),F123," ")</f>
        <v> </v>
      </c>
      <c r="L123" s="180" t="str">
        <f aca="false">IF((D123="p"),F123," ")</f>
        <v> </v>
      </c>
      <c r="M123" s="180" t="str">
        <f aca="false">IF((D123="g"),F123," ")</f>
        <v> </v>
      </c>
      <c r="N123" s="180" t="str">
        <f aca="false">IF((D123="a"),F123," ")</f>
        <v> </v>
      </c>
      <c r="O123" s="180" t="str">
        <f aca="false">IF((D123="l"),F123," ")</f>
        <v> </v>
      </c>
      <c r="P123" s="180" t="str">
        <f aca="false">IF((D123="i"),F123," ")</f>
        <v> </v>
      </c>
      <c r="Q123" s="180" t="str">
        <f aca="false">IF((D123="b"),F123," ")</f>
        <v> </v>
      </c>
      <c r="R123" s="180" t="str">
        <f aca="false">IF((D123="o"),F123," ")</f>
        <v> </v>
      </c>
      <c r="S123" s="180" t="str">
        <f aca="false">IF((D123="f"),F123," ")</f>
        <v> </v>
      </c>
      <c r="U123" s="371"/>
    </row>
    <row r="124" customFormat="false" ht="12.75" hidden="false" customHeight="false" outlineLevel="0" collapsed="false">
      <c r="D124" s="371" t="str">
        <f aca="false">IF((F124&lt;&gt;0),"Enter Letter"," ")</f>
        <v> </v>
      </c>
      <c r="G124" s="180" t="str">
        <f aca="false">IF((D124="d"),F124," ")</f>
        <v> </v>
      </c>
      <c r="H124" s="180" t="str">
        <f aca="false">IF((D124="h"),F124," ")</f>
        <v> </v>
      </c>
      <c r="I124" s="180" t="str">
        <f aca="false">IF((D124="r"),F124," ")</f>
        <v> </v>
      </c>
      <c r="J124" s="180" t="str">
        <f aca="false">IF((D124="t"),F124," ")</f>
        <v> </v>
      </c>
      <c r="K124" s="180" t="str">
        <f aca="false">IF((D124="e"),F124," ")</f>
        <v> </v>
      </c>
      <c r="L124" s="180" t="str">
        <f aca="false">IF((D124="p"),F124," ")</f>
        <v> </v>
      </c>
      <c r="M124" s="180" t="str">
        <f aca="false">IF((D124="g"),F124," ")</f>
        <v> </v>
      </c>
      <c r="N124" s="180" t="str">
        <f aca="false">IF((D124="a"),F124," ")</f>
        <v> </v>
      </c>
      <c r="O124" s="180" t="str">
        <f aca="false">IF((D124="l"),F124," ")</f>
        <v> </v>
      </c>
      <c r="P124" s="180" t="str">
        <f aca="false">IF((D124="i"),F124," ")</f>
        <v> </v>
      </c>
      <c r="Q124" s="180" t="str">
        <f aca="false">IF((D124="b"),F124," ")</f>
        <v> </v>
      </c>
      <c r="R124" s="180" t="str">
        <f aca="false">IF((D124="o"),F124," ")</f>
        <v> </v>
      </c>
      <c r="S124" s="180" t="str">
        <f aca="false">IF((D124="f"),F124," ")</f>
        <v> </v>
      </c>
      <c r="U124" s="371"/>
    </row>
    <row r="125" customFormat="false" ht="12.75" hidden="false" customHeight="false" outlineLevel="0" collapsed="false">
      <c r="D125" s="371" t="str">
        <f aca="false">IF((F125&lt;&gt;0),"Enter Letter"," ")</f>
        <v> </v>
      </c>
      <c r="G125" s="180" t="str">
        <f aca="false">IF((D125="d"),F125," ")</f>
        <v> </v>
      </c>
      <c r="H125" s="180" t="str">
        <f aca="false">IF((D125="h"),F125," ")</f>
        <v> </v>
      </c>
      <c r="I125" s="180" t="str">
        <f aca="false">IF((D125="r"),F125," ")</f>
        <v> </v>
      </c>
      <c r="J125" s="180" t="str">
        <f aca="false">IF((D125="t"),F125," ")</f>
        <v> </v>
      </c>
      <c r="K125" s="180" t="str">
        <f aca="false">IF((D125="e"),F125," ")</f>
        <v> </v>
      </c>
      <c r="L125" s="180" t="str">
        <f aca="false">IF((D125="p"),F125," ")</f>
        <v> </v>
      </c>
      <c r="M125" s="180" t="str">
        <f aca="false">IF((D125="g"),F125," ")</f>
        <v> </v>
      </c>
      <c r="N125" s="180" t="str">
        <f aca="false">IF((D125="a"),F125," ")</f>
        <v> </v>
      </c>
      <c r="O125" s="180" t="str">
        <f aca="false">IF((D125="l"),F125," ")</f>
        <v> </v>
      </c>
      <c r="P125" s="180" t="str">
        <f aca="false">IF((D125="i"),F125," ")</f>
        <v> </v>
      </c>
      <c r="Q125" s="180" t="str">
        <f aca="false">IF((D125="b"),F125," ")</f>
        <v> </v>
      </c>
      <c r="R125" s="180" t="str">
        <f aca="false">IF((D125="o"),F125," ")</f>
        <v> </v>
      </c>
      <c r="S125" s="180" t="str">
        <f aca="false">IF((D125="f"),F125," ")</f>
        <v> </v>
      </c>
      <c r="U125" s="371"/>
    </row>
    <row r="126" customFormat="false" ht="12.75" hidden="false" customHeight="false" outlineLevel="0" collapsed="false">
      <c r="D126" s="371" t="str">
        <f aca="false">IF((F126&lt;&gt;0),"Enter Letter"," ")</f>
        <v> </v>
      </c>
      <c r="G126" s="180" t="str">
        <f aca="false">IF((D126="d"),F126," ")</f>
        <v> </v>
      </c>
      <c r="H126" s="180" t="str">
        <f aca="false">IF((D126="h"),F126," ")</f>
        <v> </v>
      </c>
      <c r="I126" s="180" t="str">
        <f aca="false">IF((D126="r"),F126," ")</f>
        <v> </v>
      </c>
      <c r="J126" s="180" t="str">
        <f aca="false">IF((D126="t"),F126," ")</f>
        <v> </v>
      </c>
      <c r="K126" s="180" t="str">
        <f aca="false">IF((D126="e"),F126," ")</f>
        <v> </v>
      </c>
      <c r="L126" s="180" t="str">
        <f aca="false">IF((D126="p"),F126," ")</f>
        <v> </v>
      </c>
      <c r="M126" s="180" t="str">
        <f aca="false">IF((D126="g"),F126," ")</f>
        <v> </v>
      </c>
      <c r="N126" s="180" t="str">
        <f aca="false">IF((D126="a"),F126," ")</f>
        <v> </v>
      </c>
      <c r="O126" s="180" t="str">
        <f aca="false">IF((D126="l"),F126," ")</f>
        <v> </v>
      </c>
      <c r="P126" s="180" t="str">
        <f aca="false">IF((D126="i"),F126," ")</f>
        <v> </v>
      </c>
      <c r="Q126" s="180" t="str">
        <f aca="false">IF((D126="b"),F126," ")</f>
        <v> </v>
      </c>
      <c r="R126" s="180" t="str">
        <f aca="false">IF((D126="o"),F126," ")</f>
        <v> </v>
      </c>
      <c r="S126" s="180" t="str">
        <f aca="false">IF((D126="f"),F126," ")</f>
        <v> </v>
      </c>
      <c r="U126" s="371"/>
    </row>
    <row r="127" customFormat="false" ht="12.75" hidden="false" customHeight="false" outlineLevel="0" collapsed="false">
      <c r="D127" s="371" t="str">
        <f aca="false">IF((F127&lt;&gt;0),"Enter Letter"," ")</f>
        <v> </v>
      </c>
      <c r="G127" s="180" t="str">
        <f aca="false">IF((D127="d"),F127," ")</f>
        <v> </v>
      </c>
      <c r="H127" s="180" t="str">
        <f aca="false">IF((D127="h"),F127," ")</f>
        <v> </v>
      </c>
      <c r="I127" s="180" t="str">
        <f aca="false">IF((D127="r"),F127," ")</f>
        <v> </v>
      </c>
      <c r="J127" s="180" t="str">
        <f aca="false">IF((D127="t"),F127," ")</f>
        <v> </v>
      </c>
      <c r="K127" s="180" t="str">
        <f aca="false">IF((D127="e"),F127," ")</f>
        <v> </v>
      </c>
      <c r="L127" s="180" t="str">
        <f aca="false">IF((D127="p"),F127," ")</f>
        <v> </v>
      </c>
      <c r="M127" s="180" t="str">
        <f aca="false">IF((D127="g"),F127," ")</f>
        <v> </v>
      </c>
      <c r="N127" s="180" t="str">
        <f aca="false">IF((D127="a"),F127," ")</f>
        <v> </v>
      </c>
      <c r="O127" s="180" t="str">
        <f aca="false">IF((D127="l"),F127," ")</f>
        <v> </v>
      </c>
      <c r="P127" s="180" t="str">
        <f aca="false">IF((D127="i"),F127," ")</f>
        <v> </v>
      </c>
      <c r="Q127" s="180" t="str">
        <f aca="false">IF((D127="b"),F127," ")</f>
        <v> </v>
      </c>
      <c r="R127" s="180" t="str">
        <f aca="false">IF((D127="o"),F127," ")</f>
        <v> </v>
      </c>
      <c r="S127" s="180" t="str">
        <f aca="false">IF((D127="f"),F127," ")</f>
        <v> </v>
      </c>
      <c r="U127" s="371"/>
    </row>
    <row r="128" customFormat="false" ht="12.75" hidden="false" customHeight="false" outlineLevel="0" collapsed="false">
      <c r="D128" s="371" t="str">
        <f aca="false">IF((F128&lt;&gt;0),"Enter Letter"," ")</f>
        <v> </v>
      </c>
      <c r="G128" s="180" t="str">
        <f aca="false">IF((D128="d"),F128," ")</f>
        <v> </v>
      </c>
      <c r="H128" s="180" t="str">
        <f aca="false">IF((D128="h"),F128," ")</f>
        <v> </v>
      </c>
      <c r="I128" s="180" t="str">
        <f aca="false">IF((D128="r"),F128," ")</f>
        <v> </v>
      </c>
      <c r="J128" s="180" t="str">
        <f aca="false">IF((D128="t"),F128," ")</f>
        <v> </v>
      </c>
      <c r="K128" s="180" t="str">
        <f aca="false">IF((D128="e"),F128," ")</f>
        <v> </v>
      </c>
      <c r="L128" s="180" t="str">
        <f aca="false">IF((D128="p"),F128," ")</f>
        <v> </v>
      </c>
      <c r="M128" s="180" t="str">
        <f aca="false">IF((D128="g"),F128," ")</f>
        <v> </v>
      </c>
      <c r="N128" s="180" t="str">
        <f aca="false">IF((D128="a"),F128," ")</f>
        <v> </v>
      </c>
      <c r="O128" s="180" t="str">
        <f aca="false">IF((D128="l"),F128," ")</f>
        <v> </v>
      </c>
      <c r="P128" s="180" t="str">
        <f aca="false">IF((D128="i"),F128," ")</f>
        <v> </v>
      </c>
      <c r="Q128" s="180" t="str">
        <f aca="false">IF((D128="b"),F128," ")</f>
        <v> </v>
      </c>
      <c r="R128" s="180" t="str">
        <f aca="false">IF((D128="o"),F128," ")</f>
        <v> </v>
      </c>
      <c r="S128" s="180" t="str">
        <f aca="false">IF((D128="f"),F128," ")</f>
        <v> </v>
      </c>
      <c r="U128" s="371"/>
    </row>
    <row r="129" customFormat="false" ht="12.75" hidden="false" customHeight="false" outlineLevel="0" collapsed="false">
      <c r="D129" s="371" t="str">
        <f aca="false">IF((F129&lt;&gt;0),"Enter Letter"," ")</f>
        <v> </v>
      </c>
      <c r="G129" s="180" t="str">
        <f aca="false">IF((D129="d"),F129," ")</f>
        <v> </v>
      </c>
      <c r="H129" s="180" t="str">
        <f aca="false">IF((D129="h"),F129," ")</f>
        <v> </v>
      </c>
      <c r="I129" s="180" t="str">
        <f aca="false">IF((D129="r"),F129," ")</f>
        <v> </v>
      </c>
      <c r="J129" s="180" t="str">
        <f aca="false">IF((D129="t"),F129," ")</f>
        <v> </v>
      </c>
      <c r="K129" s="180" t="str">
        <f aca="false">IF((D129="e"),F129," ")</f>
        <v> </v>
      </c>
      <c r="L129" s="180" t="str">
        <f aca="false">IF((D129="p"),F129," ")</f>
        <v> </v>
      </c>
      <c r="M129" s="180" t="str">
        <f aca="false">IF((D129="g"),F129," ")</f>
        <v> </v>
      </c>
      <c r="N129" s="180" t="str">
        <f aca="false">IF((D129="a"),F129," ")</f>
        <v> </v>
      </c>
      <c r="O129" s="180" t="str">
        <f aca="false">IF((D129="l"),F129," ")</f>
        <v> </v>
      </c>
      <c r="P129" s="180" t="str">
        <f aca="false">IF((D129="i"),F129," ")</f>
        <v> </v>
      </c>
      <c r="Q129" s="180" t="str">
        <f aca="false">IF((D129="b"),F129," ")</f>
        <v> </v>
      </c>
      <c r="R129" s="180" t="str">
        <f aca="false">IF((D129="o"),F129," ")</f>
        <v> </v>
      </c>
      <c r="S129" s="180" t="str">
        <f aca="false">IF((D129="f"),F129," ")</f>
        <v> </v>
      </c>
      <c r="U129" s="371"/>
    </row>
    <row r="130" customFormat="false" ht="12.75" hidden="false" customHeight="false" outlineLevel="0" collapsed="false">
      <c r="D130" s="371" t="str">
        <f aca="false">IF((F130&lt;&gt;0),"Enter Letter"," ")</f>
        <v> </v>
      </c>
      <c r="G130" s="180" t="str">
        <f aca="false">IF((D130="d"),F130," ")</f>
        <v> </v>
      </c>
      <c r="H130" s="180" t="str">
        <f aca="false">IF((D130="h"),F130," ")</f>
        <v> </v>
      </c>
      <c r="I130" s="180" t="str">
        <f aca="false">IF((D130="r"),F130," ")</f>
        <v> </v>
      </c>
      <c r="J130" s="180" t="str">
        <f aca="false">IF((D130="t"),F130," ")</f>
        <v> </v>
      </c>
      <c r="K130" s="180" t="str">
        <f aca="false">IF((D130="e"),F130," ")</f>
        <v> </v>
      </c>
      <c r="L130" s="180" t="str">
        <f aca="false">IF((D130="p"),F130," ")</f>
        <v> </v>
      </c>
      <c r="M130" s="180" t="str">
        <f aca="false">IF((D130="g"),F130," ")</f>
        <v> </v>
      </c>
      <c r="N130" s="180" t="str">
        <f aca="false">IF((D130="a"),F130," ")</f>
        <v> </v>
      </c>
      <c r="O130" s="180" t="str">
        <f aca="false">IF((D130="l"),F130," ")</f>
        <v> </v>
      </c>
      <c r="P130" s="180" t="str">
        <f aca="false">IF((D130="i"),F130," ")</f>
        <v> </v>
      </c>
      <c r="Q130" s="180" t="str">
        <f aca="false">IF((D130="b"),F130," ")</f>
        <v> </v>
      </c>
      <c r="R130" s="180" t="str">
        <f aca="false">IF((D130="o"),F130," ")</f>
        <v> </v>
      </c>
      <c r="S130" s="180" t="str">
        <f aca="false">IF((D130="f"),F130," ")</f>
        <v> </v>
      </c>
      <c r="U130" s="371"/>
    </row>
    <row r="131" customFormat="false" ht="12.75" hidden="false" customHeight="false" outlineLevel="0" collapsed="false">
      <c r="D131" s="371" t="str">
        <f aca="false">IF((F131&lt;&gt;0),"Enter Letter"," ")</f>
        <v> </v>
      </c>
      <c r="G131" s="180" t="str">
        <f aca="false">IF((D131="d"),F131," ")</f>
        <v> </v>
      </c>
      <c r="H131" s="180" t="str">
        <f aca="false">IF((D131="h"),F131," ")</f>
        <v> </v>
      </c>
      <c r="I131" s="180" t="str">
        <f aca="false">IF((D131="r"),F131," ")</f>
        <v> </v>
      </c>
      <c r="J131" s="180" t="str">
        <f aca="false">IF((D131="t"),F131," ")</f>
        <v> </v>
      </c>
      <c r="K131" s="180" t="str">
        <f aca="false">IF((D131="e"),F131," ")</f>
        <v> </v>
      </c>
      <c r="L131" s="180" t="str">
        <f aca="false">IF((D131="p"),F131," ")</f>
        <v> </v>
      </c>
      <c r="M131" s="180" t="str">
        <f aca="false">IF((D131="g"),F131," ")</f>
        <v> </v>
      </c>
      <c r="N131" s="180" t="str">
        <f aca="false">IF((D131="a"),F131," ")</f>
        <v> </v>
      </c>
      <c r="O131" s="180" t="str">
        <f aca="false">IF((D131="l"),F131," ")</f>
        <v> </v>
      </c>
      <c r="P131" s="180" t="str">
        <f aca="false">IF((D131="i"),F131," ")</f>
        <v> </v>
      </c>
      <c r="Q131" s="180" t="str">
        <f aca="false">IF((D131="b"),F131," ")</f>
        <v> </v>
      </c>
      <c r="R131" s="180" t="str">
        <f aca="false">IF((D131="o"),F131," ")</f>
        <v> </v>
      </c>
      <c r="S131" s="180" t="str">
        <f aca="false">IF((D131="f"),F131," ")</f>
        <v> </v>
      </c>
      <c r="U131" s="371"/>
    </row>
    <row r="132" customFormat="false" ht="12.75" hidden="false" customHeight="false" outlineLevel="0" collapsed="false">
      <c r="D132" s="371" t="str">
        <f aca="false">IF((F132&lt;&gt;0),"Enter Letter"," ")</f>
        <v> </v>
      </c>
      <c r="G132" s="180" t="str">
        <f aca="false">IF((D132="d"),F132," ")</f>
        <v> </v>
      </c>
      <c r="H132" s="180" t="str">
        <f aca="false">IF((D132="h"),F132," ")</f>
        <v> </v>
      </c>
      <c r="I132" s="180" t="str">
        <f aca="false">IF((D132="r"),F132," ")</f>
        <v> </v>
      </c>
      <c r="J132" s="180" t="str">
        <f aca="false">IF((D132="t"),F132," ")</f>
        <v> </v>
      </c>
      <c r="K132" s="180" t="str">
        <f aca="false">IF((D132="e"),F132," ")</f>
        <v> </v>
      </c>
      <c r="L132" s="180" t="str">
        <f aca="false">IF((D132="p"),F132," ")</f>
        <v> </v>
      </c>
      <c r="M132" s="180" t="str">
        <f aca="false">IF((D132="g"),F132," ")</f>
        <v> </v>
      </c>
      <c r="N132" s="180" t="str">
        <f aca="false">IF((D132="a"),F132," ")</f>
        <v> </v>
      </c>
      <c r="O132" s="180" t="str">
        <f aca="false">IF((D132="l"),F132," ")</f>
        <v> </v>
      </c>
      <c r="P132" s="180" t="str">
        <f aca="false">IF((D132="i"),F132," ")</f>
        <v> </v>
      </c>
      <c r="Q132" s="180" t="str">
        <f aca="false">IF((D132="b"),F132," ")</f>
        <v> </v>
      </c>
      <c r="R132" s="180" t="str">
        <f aca="false">IF((D132="o"),F132," ")</f>
        <v> </v>
      </c>
      <c r="S132" s="180" t="str">
        <f aca="false">IF((D132="f"),F132," ")</f>
        <v> </v>
      </c>
      <c r="U132" s="371"/>
    </row>
    <row r="133" customFormat="false" ht="12.75" hidden="false" customHeight="false" outlineLevel="0" collapsed="false">
      <c r="D133" s="371" t="str">
        <f aca="false">IF((F133&lt;&gt;0),"Enter Letter"," ")</f>
        <v> </v>
      </c>
      <c r="G133" s="180" t="str">
        <f aca="false">IF((D133="d"),F133," ")</f>
        <v> </v>
      </c>
      <c r="H133" s="180" t="str">
        <f aca="false">IF((D133="h"),F133," ")</f>
        <v> </v>
      </c>
      <c r="I133" s="180" t="str">
        <f aca="false">IF((D133="r"),F133," ")</f>
        <v> </v>
      </c>
      <c r="J133" s="180" t="str">
        <f aca="false">IF((D133="t"),F133," ")</f>
        <v> </v>
      </c>
      <c r="K133" s="180" t="str">
        <f aca="false">IF((D133="e"),F133," ")</f>
        <v> </v>
      </c>
      <c r="L133" s="180" t="str">
        <f aca="false">IF((D133="p"),F133," ")</f>
        <v> </v>
      </c>
      <c r="M133" s="180" t="str">
        <f aca="false">IF((D133="g"),F133," ")</f>
        <v> </v>
      </c>
      <c r="N133" s="180" t="str">
        <f aca="false">IF((D133="a"),F133," ")</f>
        <v> </v>
      </c>
      <c r="O133" s="180" t="str">
        <f aca="false">IF((D133="l"),F133," ")</f>
        <v> </v>
      </c>
      <c r="P133" s="180" t="str">
        <f aca="false">IF((D133="i"),F133," ")</f>
        <v> </v>
      </c>
      <c r="Q133" s="180" t="str">
        <f aca="false">IF((D133="b"),F133," ")</f>
        <v> </v>
      </c>
      <c r="R133" s="180" t="str">
        <f aca="false">IF((D133="o"),F133," ")</f>
        <v> </v>
      </c>
      <c r="S133" s="180" t="str">
        <f aca="false">IF((D133="f"),F133," ")</f>
        <v> </v>
      </c>
      <c r="U133" s="371"/>
    </row>
    <row r="134" customFormat="false" ht="12.75" hidden="false" customHeight="false" outlineLevel="0" collapsed="false">
      <c r="D134" s="371" t="str">
        <f aca="false">IF((F134&lt;&gt;0),"Enter Letter"," ")</f>
        <v> </v>
      </c>
      <c r="G134" s="180" t="str">
        <f aca="false">IF((D134="d"),F134," ")</f>
        <v> </v>
      </c>
      <c r="H134" s="180" t="str">
        <f aca="false">IF((D134="h"),F134," ")</f>
        <v> </v>
      </c>
      <c r="I134" s="180" t="str">
        <f aca="false">IF((D134="r"),F134," ")</f>
        <v> </v>
      </c>
      <c r="J134" s="180" t="str">
        <f aca="false">IF((D134="t"),F134," ")</f>
        <v> </v>
      </c>
      <c r="K134" s="180" t="str">
        <f aca="false">IF((D134="e"),F134," ")</f>
        <v> </v>
      </c>
      <c r="L134" s="180" t="str">
        <f aca="false">IF((D134="p"),F134," ")</f>
        <v> </v>
      </c>
      <c r="M134" s="180" t="str">
        <f aca="false">IF((D134="g"),F134," ")</f>
        <v> </v>
      </c>
      <c r="N134" s="180" t="str">
        <f aca="false">IF((D134="a"),F134," ")</f>
        <v> </v>
      </c>
      <c r="O134" s="180" t="str">
        <f aca="false">IF((D134="l"),F134," ")</f>
        <v> </v>
      </c>
      <c r="P134" s="180" t="str">
        <f aca="false">IF((D134="i"),F134," ")</f>
        <v> </v>
      </c>
      <c r="Q134" s="180" t="str">
        <f aca="false">IF((D134="b"),F134," ")</f>
        <v> </v>
      </c>
      <c r="R134" s="180" t="str">
        <f aca="false">IF((D134="o"),F134," ")</f>
        <v> </v>
      </c>
      <c r="S134" s="180" t="str">
        <f aca="false">IF((D134="f"),F134," ")</f>
        <v> </v>
      </c>
      <c r="U134" s="371"/>
    </row>
    <row r="135" customFormat="false" ht="12.75" hidden="false" customHeight="false" outlineLevel="0" collapsed="false">
      <c r="D135" s="371" t="str">
        <f aca="false">IF((F135&lt;&gt;0),"Enter Letter"," ")</f>
        <v> </v>
      </c>
      <c r="G135" s="180" t="str">
        <f aca="false">IF((D135="d"),F135," ")</f>
        <v> </v>
      </c>
      <c r="H135" s="180" t="str">
        <f aca="false">IF((D135="h"),F135," ")</f>
        <v> </v>
      </c>
      <c r="I135" s="180" t="str">
        <f aca="false">IF((D135="r"),F135," ")</f>
        <v> </v>
      </c>
      <c r="J135" s="180" t="str">
        <f aca="false">IF((D135="t"),F135," ")</f>
        <v> </v>
      </c>
      <c r="K135" s="180" t="str">
        <f aca="false">IF((D135="e"),F135," ")</f>
        <v> </v>
      </c>
      <c r="L135" s="180" t="str">
        <f aca="false">IF((D135="p"),F135," ")</f>
        <v> </v>
      </c>
      <c r="M135" s="180" t="str">
        <f aca="false">IF((D135="g"),F135," ")</f>
        <v> </v>
      </c>
      <c r="N135" s="180" t="str">
        <f aca="false">IF((D135="a"),F135," ")</f>
        <v> </v>
      </c>
      <c r="O135" s="180" t="str">
        <f aca="false">IF((D135="l"),F135," ")</f>
        <v> </v>
      </c>
      <c r="P135" s="180" t="str">
        <f aca="false">IF((D135="i"),F135," ")</f>
        <v> </v>
      </c>
      <c r="Q135" s="180" t="str">
        <f aca="false">IF((D135="b"),F135," ")</f>
        <v> </v>
      </c>
      <c r="R135" s="180" t="str">
        <f aca="false">IF((D135="o"),F135," ")</f>
        <v> </v>
      </c>
      <c r="S135" s="180" t="str">
        <f aca="false">IF((D135="f"),F135," ")</f>
        <v> </v>
      </c>
      <c r="U135" s="371"/>
    </row>
    <row r="136" customFormat="false" ht="12.75" hidden="false" customHeight="false" outlineLevel="0" collapsed="false">
      <c r="D136" s="371" t="str">
        <f aca="false">IF((F136&lt;&gt;0),"Enter Letter"," ")</f>
        <v> </v>
      </c>
      <c r="G136" s="180" t="str">
        <f aca="false">IF((D136="d"),F136," ")</f>
        <v> </v>
      </c>
      <c r="H136" s="180" t="str">
        <f aca="false">IF((D136="h"),F136," ")</f>
        <v> </v>
      </c>
      <c r="I136" s="180" t="str">
        <f aca="false">IF((D136="r"),F136," ")</f>
        <v> </v>
      </c>
      <c r="J136" s="180" t="str">
        <f aca="false">IF((D136="t"),F136," ")</f>
        <v> </v>
      </c>
      <c r="K136" s="180" t="str">
        <f aca="false">IF((D136="e"),F136," ")</f>
        <v> </v>
      </c>
      <c r="L136" s="180" t="str">
        <f aca="false">IF((D136="p"),F136," ")</f>
        <v> </v>
      </c>
      <c r="M136" s="180" t="str">
        <f aca="false">IF((D136="g"),F136," ")</f>
        <v> </v>
      </c>
      <c r="N136" s="180" t="str">
        <f aca="false">IF((D136="a"),F136," ")</f>
        <v> </v>
      </c>
      <c r="O136" s="180" t="str">
        <f aca="false">IF((D136="l"),F136," ")</f>
        <v> </v>
      </c>
      <c r="P136" s="180" t="str">
        <f aca="false">IF((D136="i"),F136," ")</f>
        <v> </v>
      </c>
      <c r="Q136" s="180" t="str">
        <f aca="false">IF((D136="b"),F136," ")</f>
        <v> </v>
      </c>
      <c r="R136" s="180" t="str">
        <f aca="false">IF((D136="o"),F136," ")</f>
        <v> </v>
      </c>
      <c r="S136" s="180" t="str">
        <f aca="false">IF((D136="f"),F136," ")</f>
        <v> </v>
      </c>
      <c r="U136" s="371"/>
    </row>
    <row r="137" customFormat="false" ht="12.75" hidden="false" customHeight="false" outlineLevel="0" collapsed="false">
      <c r="D137" s="371" t="str">
        <f aca="false">IF((F137&lt;&gt;0),"Enter Letter"," ")</f>
        <v> </v>
      </c>
      <c r="G137" s="180" t="str">
        <f aca="false">IF((D137="d"),F137," ")</f>
        <v> </v>
      </c>
      <c r="H137" s="180" t="str">
        <f aca="false">IF((D137="h"),F137," ")</f>
        <v> </v>
      </c>
      <c r="I137" s="180" t="str">
        <f aca="false">IF((D137="r"),F137," ")</f>
        <v> </v>
      </c>
      <c r="J137" s="180" t="str">
        <f aca="false">IF((D137="t"),F137," ")</f>
        <v> </v>
      </c>
      <c r="K137" s="180" t="str">
        <f aca="false">IF((D137="e"),F137," ")</f>
        <v> </v>
      </c>
      <c r="L137" s="180" t="str">
        <f aca="false">IF((D137="p"),F137," ")</f>
        <v> </v>
      </c>
      <c r="M137" s="180" t="str">
        <f aca="false">IF((D137="g"),F137," ")</f>
        <v> </v>
      </c>
      <c r="N137" s="180" t="str">
        <f aca="false">IF((D137="a"),F137," ")</f>
        <v> </v>
      </c>
      <c r="O137" s="180" t="str">
        <f aca="false">IF((D137="l"),F137," ")</f>
        <v> </v>
      </c>
      <c r="P137" s="180" t="str">
        <f aca="false">IF((D137="i"),F137," ")</f>
        <v> </v>
      </c>
      <c r="Q137" s="180" t="str">
        <f aca="false">IF((D137="b"),F137," ")</f>
        <v> </v>
      </c>
      <c r="R137" s="180" t="str">
        <f aca="false">IF((D137="o"),F137," ")</f>
        <v> </v>
      </c>
      <c r="S137" s="180" t="str">
        <f aca="false">IF((D137="f"),F137," ")</f>
        <v> </v>
      </c>
      <c r="U137" s="371"/>
    </row>
    <row r="138" customFormat="false" ht="12.75" hidden="false" customHeight="false" outlineLevel="0" collapsed="false">
      <c r="D138" s="371" t="str">
        <f aca="false">IF((F138&lt;&gt;0),"Enter Letter"," ")</f>
        <v> </v>
      </c>
      <c r="G138" s="180" t="str">
        <f aca="false">IF((D138="d"),F138," ")</f>
        <v> </v>
      </c>
      <c r="H138" s="180" t="str">
        <f aca="false">IF((D138="h"),F138," ")</f>
        <v> </v>
      </c>
      <c r="I138" s="180" t="str">
        <f aca="false">IF((D138="r"),F138," ")</f>
        <v> </v>
      </c>
      <c r="J138" s="180" t="str">
        <f aca="false">IF((D138="t"),F138," ")</f>
        <v> </v>
      </c>
      <c r="K138" s="180" t="str">
        <f aca="false">IF((D138="e"),F138," ")</f>
        <v> </v>
      </c>
      <c r="L138" s="180" t="str">
        <f aca="false">IF((D138="p"),F138," ")</f>
        <v> </v>
      </c>
      <c r="M138" s="180" t="str">
        <f aca="false">IF((D138="g"),F138," ")</f>
        <v> </v>
      </c>
      <c r="N138" s="180" t="str">
        <f aca="false">IF((D138="a"),F138," ")</f>
        <v> </v>
      </c>
      <c r="O138" s="180" t="str">
        <f aca="false">IF((D138="l"),F138," ")</f>
        <v> </v>
      </c>
      <c r="P138" s="180" t="str">
        <f aca="false">IF((D138="i"),F138," ")</f>
        <v> </v>
      </c>
      <c r="Q138" s="180" t="str">
        <f aca="false">IF((D138="b"),F138," ")</f>
        <v> </v>
      </c>
      <c r="R138" s="180" t="str">
        <f aca="false">IF((D138="o"),F138," ")</f>
        <v> </v>
      </c>
      <c r="S138" s="180" t="str">
        <f aca="false">IF((D138="f"),F138," ")</f>
        <v> </v>
      </c>
      <c r="U138" s="371"/>
    </row>
    <row r="139" customFormat="false" ht="12.75" hidden="false" customHeight="false" outlineLevel="0" collapsed="false">
      <c r="D139" s="371" t="str">
        <f aca="false">IF((F139&lt;&gt;0),"Enter Letter"," ")</f>
        <v> </v>
      </c>
      <c r="G139" s="180" t="str">
        <f aca="false">IF((D139="d"),F139," ")</f>
        <v> </v>
      </c>
      <c r="H139" s="180" t="str">
        <f aca="false">IF((D139="h"),F139," ")</f>
        <v> </v>
      </c>
      <c r="I139" s="180" t="str">
        <f aca="false">IF((D139="r"),F139," ")</f>
        <v> </v>
      </c>
      <c r="J139" s="180" t="str">
        <f aca="false">IF((D139="t"),F139," ")</f>
        <v> </v>
      </c>
      <c r="K139" s="180" t="str">
        <f aca="false">IF((D139="e"),F139," ")</f>
        <v> </v>
      </c>
      <c r="L139" s="180" t="str">
        <f aca="false">IF((D139="p"),F139," ")</f>
        <v> </v>
      </c>
      <c r="M139" s="180" t="str">
        <f aca="false">IF((D139="g"),F139," ")</f>
        <v> </v>
      </c>
      <c r="N139" s="180" t="str">
        <f aca="false">IF((D139="a"),F139," ")</f>
        <v> </v>
      </c>
      <c r="O139" s="180" t="str">
        <f aca="false">IF((D139="l"),F139," ")</f>
        <v> </v>
      </c>
      <c r="P139" s="180" t="str">
        <f aca="false">IF((D139="i"),F139," ")</f>
        <v> </v>
      </c>
      <c r="Q139" s="180" t="str">
        <f aca="false">IF((D139="b"),F139," ")</f>
        <v> </v>
      </c>
      <c r="R139" s="180" t="str">
        <f aca="false">IF((D139="o"),F139," ")</f>
        <v> </v>
      </c>
      <c r="S139" s="180" t="str">
        <f aca="false">IF((D139="f"),F139," ")</f>
        <v> </v>
      </c>
      <c r="U139" s="371"/>
    </row>
    <row r="140" customFormat="false" ht="12.75" hidden="false" customHeight="false" outlineLevel="0" collapsed="false">
      <c r="D140" s="371" t="str">
        <f aca="false">IF((F140&lt;&gt;0),"Enter Letter"," ")</f>
        <v> </v>
      </c>
      <c r="G140" s="180" t="str">
        <f aca="false">IF((D140="d"),F140," ")</f>
        <v> </v>
      </c>
      <c r="H140" s="180" t="str">
        <f aca="false">IF((D140="h"),F140," ")</f>
        <v> </v>
      </c>
      <c r="I140" s="180" t="str">
        <f aca="false">IF((D140="r"),F140," ")</f>
        <v> </v>
      </c>
      <c r="J140" s="180" t="str">
        <f aca="false">IF((D140="t"),F140," ")</f>
        <v> </v>
      </c>
      <c r="K140" s="180" t="str">
        <f aca="false">IF((D140="e"),F140," ")</f>
        <v> </v>
      </c>
      <c r="L140" s="180" t="str">
        <f aca="false">IF((D140="p"),F140," ")</f>
        <v> </v>
      </c>
      <c r="M140" s="180" t="str">
        <f aca="false">IF((D140="g"),F140," ")</f>
        <v> </v>
      </c>
      <c r="N140" s="180" t="str">
        <f aca="false">IF((D140="a"),F140," ")</f>
        <v> </v>
      </c>
      <c r="O140" s="180" t="str">
        <f aca="false">IF((D140="l"),F140," ")</f>
        <v> </v>
      </c>
      <c r="P140" s="180" t="str">
        <f aca="false">IF((D140="i"),F140," ")</f>
        <v> </v>
      </c>
      <c r="Q140" s="180" t="str">
        <f aca="false">IF((D140="b"),F140," ")</f>
        <v> </v>
      </c>
      <c r="R140" s="180" t="str">
        <f aca="false">IF((D140="o"),F140," ")</f>
        <v> </v>
      </c>
      <c r="S140" s="180" t="str">
        <f aca="false">IF((D140="f"),F140," ")</f>
        <v> </v>
      </c>
      <c r="U140" s="371"/>
    </row>
    <row r="141" customFormat="false" ht="12.75" hidden="false" customHeight="false" outlineLevel="0" collapsed="false">
      <c r="D141" s="371" t="str">
        <f aca="false">IF((F141&lt;&gt;0),"Enter Letter"," ")</f>
        <v> </v>
      </c>
      <c r="G141" s="180" t="str">
        <f aca="false">IF((D141="d"),F141," ")</f>
        <v> </v>
      </c>
      <c r="H141" s="180" t="str">
        <f aca="false">IF((D141="h"),F141," ")</f>
        <v> </v>
      </c>
      <c r="I141" s="180" t="str">
        <f aca="false">IF((D141="r"),F141," ")</f>
        <v> </v>
      </c>
      <c r="J141" s="180" t="str">
        <f aca="false">IF((D141="t"),F141," ")</f>
        <v> </v>
      </c>
      <c r="K141" s="180" t="str">
        <f aca="false">IF((D141="e"),F141," ")</f>
        <v> </v>
      </c>
      <c r="L141" s="180" t="str">
        <f aca="false">IF((D141="p"),F141," ")</f>
        <v> </v>
      </c>
      <c r="M141" s="180" t="str">
        <f aca="false">IF((D141="g"),F141," ")</f>
        <v> </v>
      </c>
      <c r="N141" s="180" t="str">
        <f aca="false">IF((D141="a"),F141," ")</f>
        <v> </v>
      </c>
      <c r="O141" s="180" t="str">
        <f aca="false">IF((D141="l"),F141," ")</f>
        <v> </v>
      </c>
      <c r="P141" s="180" t="str">
        <f aca="false">IF((D141="i"),F141," ")</f>
        <v> </v>
      </c>
      <c r="Q141" s="180" t="str">
        <f aca="false">IF((D141="b"),F141," ")</f>
        <v> </v>
      </c>
      <c r="R141" s="180" t="str">
        <f aca="false">IF((D141="o"),F141," ")</f>
        <v> </v>
      </c>
      <c r="S141" s="180" t="str">
        <f aca="false">IF((D141="f"),F141," ")</f>
        <v> </v>
      </c>
      <c r="U141" s="371"/>
    </row>
    <row r="142" customFormat="false" ht="12.75" hidden="false" customHeight="false" outlineLevel="0" collapsed="false">
      <c r="D142" s="371" t="str">
        <f aca="false">IF((F142&lt;&gt;0),"Enter Letter"," ")</f>
        <v> </v>
      </c>
      <c r="G142" s="180" t="str">
        <f aca="false">IF((D142="d"),F142," ")</f>
        <v> </v>
      </c>
      <c r="H142" s="180" t="str">
        <f aca="false">IF((D142="h"),F142," ")</f>
        <v> </v>
      </c>
      <c r="I142" s="180" t="str">
        <f aca="false">IF((D142="r"),F142," ")</f>
        <v> </v>
      </c>
      <c r="J142" s="180" t="str">
        <f aca="false">IF((D142="t"),F142," ")</f>
        <v> </v>
      </c>
      <c r="K142" s="180" t="str">
        <f aca="false">IF((D142="e"),F142," ")</f>
        <v> </v>
      </c>
      <c r="L142" s="180" t="str">
        <f aca="false">IF((D142="p"),F142," ")</f>
        <v> </v>
      </c>
      <c r="M142" s="180" t="str">
        <f aca="false">IF((D142="g"),F142," ")</f>
        <v> </v>
      </c>
      <c r="N142" s="180" t="str">
        <f aca="false">IF((D142="a"),F142," ")</f>
        <v> </v>
      </c>
      <c r="O142" s="180" t="str">
        <f aca="false">IF((D142="l"),F142," ")</f>
        <v> </v>
      </c>
      <c r="P142" s="180" t="str">
        <f aca="false">IF((D142="i"),F142," ")</f>
        <v> </v>
      </c>
      <c r="Q142" s="180" t="str">
        <f aca="false">IF((D142="b"),F142," ")</f>
        <v> </v>
      </c>
      <c r="R142" s="180" t="str">
        <f aca="false">IF((D142="o"),F142," ")</f>
        <v> </v>
      </c>
      <c r="S142" s="180" t="str">
        <f aca="false">IF((D142="f"),F142," ")</f>
        <v> </v>
      </c>
      <c r="U142" s="371"/>
    </row>
    <row r="143" customFormat="false" ht="12.75" hidden="false" customHeight="false" outlineLevel="0" collapsed="false">
      <c r="D143" s="371" t="str">
        <f aca="false">IF((F143&lt;&gt;0),"Enter Letter"," ")</f>
        <v> </v>
      </c>
      <c r="G143" s="180" t="str">
        <f aca="false">IF((D143="d"),F143," ")</f>
        <v> </v>
      </c>
      <c r="H143" s="180" t="str">
        <f aca="false">IF((D143="h"),F143," ")</f>
        <v> </v>
      </c>
      <c r="I143" s="180" t="str">
        <f aca="false">IF((D143="r"),F143," ")</f>
        <v> </v>
      </c>
      <c r="J143" s="180" t="str">
        <f aca="false">IF((D143="t"),F143," ")</f>
        <v> </v>
      </c>
      <c r="K143" s="180" t="str">
        <f aca="false">IF((D143="e"),F143," ")</f>
        <v> </v>
      </c>
      <c r="L143" s="180" t="str">
        <f aca="false">IF((D143="p"),F143," ")</f>
        <v> </v>
      </c>
      <c r="M143" s="180" t="str">
        <f aca="false">IF((D143="g"),F143," ")</f>
        <v> </v>
      </c>
      <c r="N143" s="180" t="str">
        <f aca="false">IF((D143="a"),F143," ")</f>
        <v> </v>
      </c>
      <c r="O143" s="180" t="str">
        <f aca="false">IF((D143="l"),F143," ")</f>
        <v> </v>
      </c>
      <c r="P143" s="180" t="str">
        <f aca="false">IF((D143="i"),F143," ")</f>
        <v> </v>
      </c>
      <c r="Q143" s="180" t="str">
        <f aca="false">IF((D143="b"),F143," ")</f>
        <v> </v>
      </c>
      <c r="R143" s="180" t="str">
        <f aca="false">IF((D143="o"),F143," ")</f>
        <v> </v>
      </c>
      <c r="S143" s="180" t="str">
        <f aca="false">IF((D143="f"),F143," ")</f>
        <v> </v>
      </c>
      <c r="U143" s="371"/>
    </row>
    <row r="144" customFormat="false" ht="12.75" hidden="false" customHeight="false" outlineLevel="0" collapsed="false">
      <c r="D144" s="371" t="str">
        <f aca="false">IF((F144&lt;&gt;0),"Enter Letter"," ")</f>
        <v> </v>
      </c>
      <c r="G144" s="180" t="str">
        <f aca="false">IF((D144="d"),F144," ")</f>
        <v> </v>
      </c>
      <c r="H144" s="180" t="str">
        <f aca="false">IF((D144="h"),F144," ")</f>
        <v> </v>
      </c>
      <c r="I144" s="180" t="str">
        <f aca="false">IF((D144="r"),F144," ")</f>
        <v> </v>
      </c>
      <c r="J144" s="180" t="str">
        <f aca="false">IF((D144="t"),F144," ")</f>
        <v> </v>
      </c>
      <c r="K144" s="180" t="str">
        <f aca="false">IF((D144="e"),F144," ")</f>
        <v> </v>
      </c>
      <c r="L144" s="180" t="str">
        <f aca="false">IF((D144="p"),F144," ")</f>
        <v> </v>
      </c>
      <c r="M144" s="180" t="str">
        <f aca="false">IF((D144="g"),F144," ")</f>
        <v> </v>
      </c>
      <c r="N144" s="180" t="str">
        <f aca="false">IF((D144="a"),F144," ")</f>
        <v> </v>
      </c>
      <c r="O144" s="180" t="str">
        <f aca="false">IF((D144="l"),F144," ")</f>
        <v> </v>
      </c>
      <c r="P144" s="180" t="str">
        <f aca="false">IF((D144="i"),F144," ")</f>
        <v> </v>
      </c>
      <c r="Q144" s="180" t="str">
        <f aca="false">IF((D144="b"),F144," ")</f>
        <v> </v>
      </c>
      <c r="R144" s="180" t="str">
        <f aca="false">IF((D144="o"),F144," ")</f>
        <v> </v>
      </c>
      <c r="S144" s="180" t="str">
        <f aca="false">IF((D144="f"),F144," ")</f>
        <v> </v>
      </c>
      <c r="U144" s="371"/>
    </row>
    <row r="145" customFormat="false" ht="12.75" hidden="false" customHeight="false" outlineLevel="0" collapsed="false">
      <c r="D145" s="371" t="str">
        <f aca="false">IF((F145&lt;&gt;0),"Enter Letter"," ")</f>
        <v> </v>
      </c>
      <c r="G145" s="180" t="str">
        <f aca="false">IF((D145="d"),F145," ")</f>
        <v> </v>
      </c>
      <c r="H145" s="180" t="str">
        <f aca="false">IF((D145="h"),F145," ")</f>
        <v> </v>
      </c>
      <c r="I145" s="180" t="str">
        <f aca="false">IF((D145="r"),F145," ")</f>
        <v> </v>
      </c>
      <c r="J145" s="180" t="str">
        <f aca="false">IF((D145="t"),F145," ")</f>
        <v> </v>
      </c>
      <c r="K145" s="180" t="str">
        <f aca="false">IF((D145="e"),F145," ")</f>
        <v> </v>
      </c>
      <c r="L145" s="180" t="str">
        <f aca="false">IF((D145="p"),F145," ")</f>
        <v> </v>
      </c>
      <c r="M145" s="180" t="str">
        <f aca="false">IF((D145="g"),F145," ")</f>
        <v> </v>
      </c>
      <c r="N145" s="180" t="str">
        <f aca="false">IF((D145="a"),F145," ")</f>
        <v> </v>
      </c>
      <c r="O145" s="180" t="str">
        <f aca="false">IF((D145="l"),F145," ")</f>
        <v> </v>
      </c>
      <c r="P145" s="180" t="str">
        <f aca="false">IF((D145="i"),F145," ")</f>
        <v> </v>
      </c>
      <c r="Q145" s="180" t="str">
        <f aca="false">IF((D145="b"),F145," ")</f>
        <v> </v>
      </c>
      <c r="R145" s="180" t="str">
        <f aca="false">IF((D145="o"),F145," ")</f>
        <v> </v>
      </c>
      <c r="S145" s="180" t="str">
        <f aca="false">IF((D145="f"),F145," ")</f>
        <v> </v>
      </c>
      <c r="U145" s="371"/>
    </row>
    <row r="146" customFormat="false" ht="12.75" hidden="false" customHeight="false" outlineLevel="0" collapsed="false">
      <c r="D146" s="371" t="str">
        <f aca="false">IF((F146&lt;&gt;0),"Enter Letter"," ")</f>
        <v> </v>
      </c>
      <c r="G146" s="180" t="str">
        <f aca="false">IF((D146="d"),F146," ")</f>
        <v> </v>
      </c>
      <c r="H146" s="180" t="str">
        <f aca="false">IF((D146="h"),F146," ")</f>
        <v> </v>
      </c>
      <c r="I146" s="180" t="str">
        <f aca="false">IF((D146="r"),F146," ")</f>
        <v> </v>
      </c>
      <c r="J146" s="180" t="str">
        <f aca="false">IF((D146="t"),F146," ")</f>
        <v> </v>
      </c>
      <c r="K146" s="180" t="str">
        <f aca="false">IF((D146="e"),F146," ")</f>
        <v> </v>
      </c>
      <c r="L146" s="180" t="str">
        <f aca="false">IF((D146="p"),F146," ")</f>
        <v> </v>
      </c>
      <c r="M146" s="180" t="str">
        <f aca="false">IF((D146="g"),F146," ")</f>
        <v> </v>
      </c>
      <c r="N146" s="180" t="str">
        <f aca="false">IF((D146="a"),F146," ")</f>
        <v> </v>
      </c>
      <c r="O146" s="180" t="str">
        <f aca="false">IF((D146="l"),F146," ")</f>
        <v> </v>
      </c>
      <c r="P146" s="180" t="str">
        <f aca="false">IF((D146="i"),F146," ")</f>
        <v> </v>
      </c>
      <c r="Q146" s="180" t="str">
        <f aca="false">IF((D146="b"),F146," ")</f>
        <v> </v>
      </c>
      <c r="R146" s="180" t="str">
        <f aca="false">IF((D146="o"),F146," ")</f>
        <v> </v>
      </c>
      <c r="S146" s="180" t="str">
        <f aca="false">IF((D146="f"),F146," ")</f>
        <v> </v>
      </c>
      <c r="U146" s="371"/>
    </row>
    <row r="147" customFormat="false" ht="12.75" hidden="false" customHeight="false" outlineLevel="0" collapsed="false">
      <c r="D147" s="371" t="str">
        <f aca="false">IF((F147&lt;&gt;0),"Enter Letter"," ")</f>
        <v> </v>
      </c>
      <c r="G147" s="180" t="str">
        <f aca="false">IF((D147="d"),F147," ")</f>
        <v> </v>
      </c>
      <c r="H147" s="180" t="str">
        <f aca="false">IF((D147="h"),F147," ")</f>
        <v> </v>
      </c>
      <c r="I147" s="180" t="str">
        <f aca="false">IF((D147="r"),F147," ")</f>
        <v> </v>
      </c>
      <c r="J147" s="180" t="str">
        <f aca="false">IF((D147="t"),F147," ")</f>
        <v> </v>
      </c>
      <c r="K147" s="180" t="str">
        <f aca="false">IF((D147="e"),F147," ")</f>
        <v> </v>
      </c>
      <c r="L147" s="180" t="str">
        <f aca="false">IF((D147="p"),F147," ")</f>
        <v> </v>
      </c>
      <c r="M147" s="180" t="str">
        <f aca="false">IF((D147="g"),F147," ")</f>
        <v> </v>
      </c>
      <c r="N147" s="180" t="str">
        <f aca="false">IF((D147="a"),F147," ")</f>
        <v> </v>
      </c>
      <c r="O147" s="180" t="str">
        <f aca="false">IF((D147="l"),F147," ")</f>
        <v> </v>
      </c>
      <c r="P147" s="180" t="str">
        <f aca="false">IF((D147="i"),F147," ")</f>
        <v> </v>
      </c>
      <c r="Q147" s="180" t="str">
        <f aca="false">IF((D147="b"),F147," ")</f>
        <v> </v>
      </c>
      <c r="R147" s="180" t="str">
        <f aca="false">IF((D147="o"),F147," ")</f>
        <v> </v>
      </c>
      <c r="S147" s="180" t="str">
        <f aca="false">IF((D147="f"),F147," ")</f>
        <v> </v>
      </c>
      <c r="U147" s="371"/>
    </row>
    <row r="148" customFormat="false" ht="12.75" hidden="false" customHeight="false" outlineLevel="0" collapsed="false">
      <c r="D148" s="371" t="str">
        <f aca="false">IF((F148&lt;&gt;0),"Enter Letter"," ")</f>
        <v> </v>
      </c>
      <c r="G148" s="180" t="str">
        <f aca="false">IF((D148="d"),F148," ")</f>
        <v> </v>
      </c>
      <c r="H148" s="180" t="str">
        <f aca="false">IF((D148="h"),F148," ")</f>
        <v> </v>
      </c>
      <c r="I148" s="180" t="str">
        <f aca="false">IF((D148="r"),F148," ")</f>
        <v> </v>
      </c>
      <c r="J148" s="180" t="str">
        <f aca="false">IF((D148="t"),F148," ")</f>
        <v> </v>
      </c>
      <c r="K148" s="180" t="str">
        <f aca="false">IF((D148="e"),F148," ")</f>
        <v> </v>
      </c>
      <c r="L148" s="180" t="str">
        <f aca="false">IF((D148="p"),F148," ")</f>
        <v> </v>
      </c>
      <c r="M148" s="180" t="str">
        <f aca="false">IF((D148="g"),F148," ")</f>
        <v> </v>
      </c>
      <c r="N148" s="180" t="str">
        <f aca="false">IF((D148="a"),F148," ")</f>
        <v> </v>
      </c>
      <c r="O148" s="180" t="str">
        <f aca="false">IF((D148="l"),F148," ")</f>
        <v> </v>
      </c>
      <c r="P148" s="180" t="str">
        <f aca="false">IF((D148="i"),F148," ")</f>
        <v> </v>
      </c>
      <c r="Q148" s="180" t="str">
        <f aca="false">IF((D148="b"),F148," ")</f>
        <v> </v>
      </c>
      <c r="R148" s="180" t="str">
        <f aca="false">IF((D148="o"),F148," ")</f>
        <v> </v>
      </c>
      <c r="S148" s="180" t="str">
        <f aca="false">IF((D148="f"),F148," ")</f>
        <v> </v>
      </c>
      <c r="U148" s="371"/>
    </row>
    <row r="149" customFormat="false" ht="12.75" hidden="false" customHeight="false" outlineLevel="0" collapsed="false">
      <c r="D149" s="371" t="str">
        <f aca="false">IF((F149&lt;&gt;0),"Enter Letter"," ")</f>
        <v> </v>
      </c>
      <c r="G149" s="180" t="str">
        <f aca="false">IF((D149="d"),F149," ")</f>
        <v> </v>
      </c>
      <c r="H149" s="180" t="str">
        <f aca="false">IF((D149="h"),F149," ")</f>
        <v> </v>
      </c>
      <c r="I149" s="180" t="str">
        <f aca="false">IF((D149="r"),F149," ")</f>
        <v> </v>
      </c>
      <c r="J149" s="180" t="str">
        <f aca="false">IF((D149="t"),F149," ")</f>
        <v> </v>
      </c>
      <c r="K149" s="180" t="str">
        <f aca="false">IF((D149="e"),F149," ")</f>
        <v> </v>
      </c>
      <c r="L149" s="180" t="str">
        <f aca="false">IF((D149="p"),F149," ")</f>
        <v> </v>
      </c>
      <c r="M149" s="180" t="str">
        <f aca="false">IF((D149="g"),F149," ")</f>
        <v> </v>
      </c>
      <c r="N149" s="180" t="str">
        <f aca="false">IF((D149="a"),F149," ")</f>
        <v> </v>
      </c>
      <c r="O149" s="180" t="str">
        <f aca="false">IF((D149="l"),F149," ")</f>
        <v> </v>
      </c>
      <c r="P149" s="180" t="str">
        <f aca="false">IF((D149="i"),F149," ")</f>
        <v> </v>
      </c>
      <c r="Q149" s="180" t="str">
        <f aca="false">IF((D149="b"),F149," ")</f>
        <v> </v>
      </c>
      <c r="R149" s="180" t="str">
        <f aca="false">IF((D149="o"),F149," ")</f>
        <v> </v>
      </c>
      <c r="S149" s="180" t="str">
        <f aca="false">IF((D149="f"),F149," ")</f>
        <v> </v>
      </c>
      <c r="U149" s="371"/>
    </row>
    <row r="150" customFormat="false" ht="12.75" hidden="false" customHeight="false" outlineLevel="0" collapsed="false">
      <c r="D150" s="371" t="str">
        <f aca="false">IF((F150&lt;&gt;0),"Enter Letter"," ")</f>
        <v> </v>
      </c>
      <c r="G150" s="180" t="str">
        <f aca="false">IF((D150="d"),F150," ")</f>
        <v> </v>
      </c>
      <c r="H150" s="180" t="str">
        <f aca="false">IF((D150="h"),F150," ")</f>
        <v> </v>
      </c>
      <c r="I150" s="180" t="str">
        <f aca="false">IF((D150="r"),F150," ")</f>
        <v> </v>
      </c>
      <c r="J150" s="180" t="str">
        <f aca="false">IF((D150="t"),F150," ")</f>
        <v> </v>
      </c>
      <c r="K150" s="180" t="str">
        <f aca="false">IF((D150="e"),F150," ")</f>
        <v> </v>
      </c>
      <c r="L150" s="180" t="str">
        <f aca="false">IF((D150="p"),F150," ")</f>
        <v> </v>
      </c>
      <c r="M150" s="180" t="str">
        <f aca="false">IF((D150="g"),F150," ")</f>
        <v> </v>
      </c>
      <c r="N150" s="180" t="str">
        <f aca="false">IF((D150="a"),F150," ")</f>
        <v> </v>
      </c>
      <c r="O150" s="180" t="str">
        <f aca="false">IF((D150="l"),F150," ")</f>
        <v> </v>
      </c>
      <c r="P150" s="180" t="str">
        <f aca="false">IF((D150="i"),F150," ")</f>
        <v> </v>
      </c>
      <c r="Q150" s="180" t="str">
        <f aca="false">IF((D150="b"),F150," ")</f>
        <v> </v>
      </c>
      <c r="R150" s="180" t="str">
        <f aca="false">IF((D150="o"),F150," ")</f>
        <v> </v>
      </c>
      <c r="S150" s="180" t="str">
        <f aca="false">IF((D150="f"),F150," ")</f>
        <v> </v>
      </c>
      <c r="U150" s="371"/>
    </row>
    <row r="151" customFormat="false" ht="12.75" hidden="false" customHeight="false" outlineLevel="0" collapsed="false">
      <c r="D151" s="371" t="str">
        <f aca="false">IF((F151&lt;&gt;0),"Enter Letter"," ")</f>
        <v> </v>
      </c>
      <c r="G151" s="180" t="str">
        <f aca="false">IF((D151="d"),F151," ")</f>
        <v> </v>
      </c>
      <c r="H151" s="180" t="str">
        <f aca="false">IF((D151="h"),F151," ")</f>
        <v> </v>
      </c>
      <c r="I151" s="180" t="str">
        <f aca="false">IF((D151="r"),F151," ")</f>
        <v> </v>
      </c>
      <c r="J151" s="180" t="str">
        <f aca="false">IF((D151="t"),F151," ")</f>
        <v> </v>
      </c>
      <c r="K151" s="180" t="str">
        <f aca="false">IF((D151="e"),F151," ")</f>
        <v> </v>
      </c>
      <c r="L151" s="180" t="str">
        <f aca="false">IF((D151="p"),F151," ")</f>
        <v> </v>
      </c>
      <c r="M151" s="180" t="str">
        <f aca="false">IF((D151="g"),F151," ")</f>
        <v> </v>
      </c>
      <c r="N151" s="180" t="str">
        <f aca="false">IF((D151="a"),F151," ")</f>
        <v> </v>
      </c>
      <c r="O151" s="180" t="str">
        <f aca="false">IF((D151="l"),F151," ")</f>
        <v> </v>
      </c>
      <c r="P151" s="180" t="str">
        <f aca="false">IF((D151="i"),F151," ")</f>
        <v> </v>
      </c>
      <c r="Q151" s="180" t="str">
        <f aca="false">IF((D151="b"),F151," ")</f>
        <v> </v>
      </c>
      <c r="R151" s="180" t="str">
        <f aca="false">IF((D151="o"),F151," ")</f>
        <v> </v>
      </c>
      <c r="S151" s="180" t="str">
        <f aca="false">IF((D151="f"),F151," ")</f>
        <v> </v>
      </c>
      <c r="U151" s="371"/>
    </row>
    <row r="152" customFormat="false" ht="12.75" hidden="false" customHeight="false" outlineLevel="0" collapsed="false">
      <c r="D152" s="371" t="str">
        <f aca="false">IF((F152&lt;&gt;0),"Enter Letter"," ")</f>
        <v> </v>
      </c>
      <c r="G152" s="180" t="str">
        <f aca="false">IF((D152="d"),F152," ")</f>
        <v> </v>
      </c>
      <c r="H152" s="180" t="str">
        <f aca="false">IF((D152="h"),F152," ")</f>
        <v> </v>
      </c>
      <c r="I152" s="180" t="str">
        <f aca="false">IF((D152="r"),F152," ")</f>
        <v> </v>
      </c>
      <c r="J152" s="180" t="str">
        <f aca="false">IF((D152="t"),F152," ")</f>
        <v> </v>
      </c>
      <c r="K152" s="180" t="str">
        <f aca="false">IF((D152="e"),F152," ")</f>
        <v> </v>
      </c>
      <c r="L152" s="180" t="str">
        <f aca="false">IF((D152="p"),F152," ")</f>
        <v> </v>
      </c>
      <c r="M152" s="180" t="str">
        <f aca="false">IF((D152="g"),F152," ")</f>
        <v> </v>
      </c>
      <c r="N152" s="180" t="str">
        <f aca="false">IF((D152="a"),F152," ")</f>
        <v> </v>
      </c>
      <c r="O152" s="180" t="str">
        <f aca="false">IF((D152="l"),F152," ")</f>
        <v> </v>
      </c>
      <c r="P152" s="180" t="str">
        <f aca="false">IF((D152="i"),F152," ")</f>
        <v> </v>
      </c>
      <c r="Q152" s="180" t="str">
        <f aca="false">IF((D152="b"),F152," ")</f>
        <v> </v>
      </c>
      <c r="R152" s="180" t="str">
        <f aca="false">IF((D152="o"),F152," ")</f>
        <v> </v>
      </c>
      <c r="S152" s="180" t="str">
        <f aca="false">IF((D152="f"),F152," ")</f>
        <v> </v>
      </c>
      <c r="U152" s="371"/>
    </row>
    <row r="153" customFormat="false" ht="12.75" hidden="false" customHeight="false" outlineLevel="0" collapsed="false">
      <c r="D153" s="371" t="str">
        <f aca="false">IF((F153&lt;&gt;0),"Enter Letter"," ")</f>
        <v> </v>
      </c>
      <c r="G153" s="180" t="str">
        <f aca="false">IF((D153="d"),F153," ")</f>
        <v> </v>
      </c>
      <c r="H153" s="180" t="str">
        <f aca="false">IF((D153="h"),F153," ")</f>
        <v> </v>
      </c>
      <c r="I153" s="180" t="str">
        <f aca="false">IF((D153="r"),F153," ")</f>
        <v> </v>
      </c>
      <c r="J153" s="180" t="str">
        <f aca="false">IF((D153="t"),F153," ")</f>
        <v> </v>
      </c>
      <c r="K153" s="180" t="str">
        <f aca="false">IF((D153="e"),F153," ")</f>
        <v> </v>
      </c>
      <c r="L153" s="180" t="str">
        <f aca="false">IF((D153="p"),F153," ")</f>
        <v> </v>
      </c>
      <c r="M153" s="180" t="str">
        <f aca="false">IF((D153="g"),F153," ")</f>
        <v> </v>
      </c>
      <c r="N153" s="180" t="str">
        <f aca="false">IF((D153="a"),F153," ")</f>
        <v> </v>
      </c>
      <c r="O153" s="180" t="str">
        <f aca="false">IF((D153="l"),F153," ")</f>
        <v> </v>
      </c>
      <c r="P153" s="180" t="str">
        <f aca="false">IF((D153="i"),F153," ")</f>
        <v> </v>
      </c>
      <c r="Q153" s="180" t="str">
        <f aca="false">IF((D153="b"),F153," ")</f>
        <v> </v>
      </c>
      <c r="R153" s="180" t="str">
        <f aca="false">IF((D153="o"),F153," ")</f>
        <v> </v>
      </c>
      <c r="S153" s="180" t="str">
        <f aca="false">IF((D153="f"),F153," ")</f>
        <v> </v>
      </c>
      <c r="U153" s="371"/>
    </row>
    <row r="154" customFormat="false" ht="12.75" hidden="false" customHeight="false" outlineLevel="0" collapsed="false">
      <c r="D154" s="371" t="str">
        <f aca="false">IF((F154&lt;&gt;0),"Enter Letter"," ")</f>
        <v> </v>
      </c>
      <c r="G154" s="180" t="str">
        <f aca="false">IF((D154="d"),F154," ")</f>
        <v> </v>
      </c>
      <c r="H154" s="180" t="str">
        <f aca="false">IF((D154="h"),F154," ")</f>
        <v> </v>
      </c>
      <c r="I154" s="180" t="str">
        <f aca="false">IF((D154="r"),F154," ")</f>
        <v> </v>
      </c>
      <c r="J154" s="180" t="str">
        <f aca="false">IF((D154="t"),F154," ")</f>
        <v> </v>
      </c>
      <c r="K154" s="180" t="str">
        <f aca="false">IF((D154="e"),F154," ")</f>
        <v> </v>
      </c>
      <c r="L154" s="180" t="str">
        <f aca="false">IF((D154="p"),F154," ")</f>
        <v> </v>
      </c>
      <c r="M154" s="180" t="str">
        <f aca="false">IF((D154="g"),F154," ")</f>
        <v> </v>
      </c>
      <c r="N154" s="180" t="str">
        <f aca="false">IF((D154="a"),F154," ")</f>
        <v> </v>
      </c>
      <c r="O154" s="180" t="str">
        <f aca="false">IF((D154="l"),F154," ")</f>
        <v> </v>
      </c>
      <c r="P154" s="180" t="str">
        <f aca="false">IF((D154="i"),F154," ")</f>
        <v> </v>
      </c>
      <c r="Q154" s="180" t="str">
        <f aca="false">IF((D154="b"),F154," ")</f>
        <v> </v>
      </c>
      <c r="R154" s="180" t="str">
        <f aca="false">IF((D154="o"),F154," ")</f>
        <v> </v>
      </c>
      <c r="S154" s="180" t="str">
        <f aca="false">IF((D154="f"),F154," ")</f>
        <v> </v>
      </c>
      <c r="U154" s="371"/>
    </row>
    <row r="155" customFormat="false" ht="12.75" hidden="false" customHeight="false" outlineLevel="0" collapsed="false">
      <c r="D155" s="371" t="str">
        <f aca="false">IF((F155&lt;&gt;0),"Enter Letter"," ")</f>
        <v> </v>
      </c>
      <c r="G155" s="180" t="str">
        <f aca="false">IF((D155="d"),F155," ")</f>
        <v> </v>
      </c>
      <c r="H155" s="180" t="str">
        <f aca="false">IF((D155="h"),F155," ")</f>
        <v> </v>
      </c>
      <c r="I155" s="180" t="str">
        <f aca="false">IF((D155="r"),F155," ")</f>
        <v> </v>
      </c>
      <c r="J155" s="180" t="str">
        <f aca="false">IF((D155="t"),F155," ")</f>
        <v> </v>
      </c>
      <c r="K155" s="180" t="str">
        <f aca="false">IF((D155="e"),F155," ")</f>
        <v> </v>
      </c>
      <c r="L155" s="180" t="str">
        <f aca="false">IF((D155="p"),F155," ")</f>
        <v> </v>
      </c>
      <c r="M155" s="180" t="str">
        <f aca="false">IF((D155="g"),F155," ")</f>
        <v> </v>
      </c>
      <c r="N155" s="180" t="str">
        <f aca="false">IF((D155="a"),F155," ")</f>
        <v> </v>
      </c>
      <c r="O155" s="180" t="str">
        <f aca="false">IF((D155="l"),F155," ")</f>
        <v> </v>
      </c>
      <c r="P155" s="180" t="str">
        <f aca="false">IF((D155="i"),F155," ")</f>
        <v> </v>
      </c>
      <c r="Q155" s="180" t="str">
        <f aca="false">IF((D155="b"),F155," ")</f>
        <v> </v>
      </c>
      <c r="R155" s="180" t="str">
        <f aca="false">IF((D155="o"),F155," ")</f>
        <v> </v>
      </c>
      <c r="S155" s="180" t="str">
        <f aca="false">IF((D155="f"),F155," ")</f>
        <v> </v>
      </c>
      <c r="U155" s="371"/>
    </row>
    <row r="156" customFormat="false" ht="12.75" hidden="false" customHeight="false" outlineLevel="0" collapsed="false">
      <c r="D156" s="371" t="str">
        <f aca="false">IF((F156&lt;&gt;0),"Enter Letter"," ")</f>
        <v> </v>
      </c>
      <c r="G156" s="180" t="str">
        <f aca="false">IF((D156="d"),F156," ")</f>
        <v> </v>
      </c>
      <c r="H156" s="180" t="str">
        <f aca="false">IF((D156="h"),F156," ")</f>
        <v> </v>
      </c>
      <c r="I156" s="180" t="str">
        <f aca="false">IF((D156="r"),F156," ")</f>
        <v> </v>
      </c>
      <c r="J156" s="180" t="str">
        <f aca="false">IF((D156="t"),F156," ")</f>
        <v> </v>
      </c>
      <c r="K156" s="180" t="str">
        <f aca="false">IF((D156="e"),F156," ")</f>
        <v> </v>
      </c>
      <c r="L156" s="180" t="str">
        <f aca="false">IF((D156="p"),F156," ")</f>
        <v> </v>
      </c>
      <c r="M156" s="180" t="str">
        <f aca="false">IF((D156="g"),F156," ")</f>
        <v> </v>
      </c>
      <c r="N156" s="180" t="str">
        <f aca="false">IF((D156="a"),F156," ")</f>
        <v> </v>
      </c>
      <c r="O156" s="180" t="str">
        <f aca="false">IF((D156="l"),F156," ")</f>
        <v> </v>
      </c>
      <c r="P156" s="180" t="str">
        <f aca="false">IF((D156="i"),F156," ")</f>
        <v> </v>
      </c>
      <c r="Q156" s="180" t="str">
        <f aca="false">IF((D156="b"),F156," ")</f>
        <v> </v>
      </c>
      <c r="R156" s="180" t="str">
        <f aca="false">IF((D156="o"),F156," ")</f>
        <v> </v>
      </c>
      <c r="S156" s="180" t="str">
        <f aca="false">IF((D156="f"),F156," ")</f>
        <v> </v>
      </c>
      <c r="U156" s="371"/>
    </row>
    <row r="157" customFormat="false" ht="12.75" hidden="false" customHeight="false" outlineLevel="0" collapsed="false">
      <c r="D157" s="371" t="str">
        <f aca="false">IF((F157&lt;&gt;0),"Enter Letter"," ")</f>
        <v> </v>
      </c>
      <c r="G157" s="180" t="str">
        <f aca="false">IF((D157="d"),F157," ")</f>
        <v> </v>
      </c>
      <c r="H157" s="180" t="str">
        <f aca="false">IF((D157="h"),F157," ")</f>
        <v> </v>
      </c>
      <c r="I157" s="180" t="str">
        <f aca="false">IF((D157="r"),F157," ")</f>
        <v> </v>
      </c>
      <c r="J157" s="180" t="str">
        <f aca="false">IF((D157="t"),F157," ")</f>
        <v> </v>
      </c>
      <c r="K157" s="180" t="str">
        <f aca="false">IF((D157="e"),F157," ")</f>
        <v> </v>
      </c>
      <c r="L157" s="180" t="str">
        <f aca="false">IF((D157="p"),F157," ")</f>
        <v> </v>
      </c>
      <c r="M157" s="180" t="str">
        <f aca="false">IF((D157="g"),F157," ")</f>
        <v> </v>
      </c>
      <c r="N157" s="180" t="str">
        <f aca="false">IF((D157="a"),F157," ")</f>
        <v> </v>
      </c>
      <c r="O157" s="180" t="str">
        <f aca="false">IF((D157="l"),F157," ")</f>
        <v> </v>
      </c>
      <c r="P157" s="180" t="str">
        <f aca="false">IF((D157="i"),F157," ")</f>
        <v> </v>
      </c>
      <c r="Q157" s="180" t="str">
        <f aca="false">IF((D157="b"),F157," ")</f>
        <v> </v>
      </c>
      <c r="R157" s="180" t="str">
        <f aca="false">IF((D157="o"),F157," ")</f>
        <v> </v>
      </c>
      <c r="S157" s="180" t="str">
        <f aca="false">IF((D157="f"),F157," ")</f>
        <v> </v>
      </c>
      <c r="U157" s="371"/>
    </row>
    <row r="158" customFormat="false" ht="12.75" hidden="false" customHeight="false" outlineLevel="0" collapsed="false">
      <c r="D158" s="371" t="str">
        <f aca="false">IF((F158&lt;&gt;0),"Enter Letter"," ")</f>
        <v> </v>
      </c>
      <c r="G158" s="180" t="str">
        <f aca="false">IF((D158="d"),F158," ")</f>
        <v> </v>
      </c>
      <c r="H158" s="180" t="str">
        <f aca="false">IF((D158="h"),F158," ")</f>
        <v> </v>
      </c>
      <c r="I158" s="180" t="str">
        <f aca="false">IF((D158="r"),F158," ")</f>
        <v> </v>
      </c>
      <c r="J158" s="180" t="str">
        <f aca="false">IF((D158="t"),F158," ")</f>
        <v> </v>
      </c>
      <c r="K158" s="180" t="str">
        <f aca="false">IF((D158="e"),F158," ")</f>
        <v> </v>
      </c>
      <c r="L158" s="180" t="str">
        <f aca="false">IF((D158="p"),F158," ")</f>
        <v> </v>
      </c>
      <c r="M158" s="180" t="str">
        <f aca="false">IF((D158="g"),F158," ")</f>
        <v> </v>
      </c>
      <c r="N158" s="180" t="str">
        <f aca="false">IF((D158="a"),F158," ")</f>
        <v> </v>
      </c>
      <c r="O158" s="180" t="str">
        <f aca="false">IF((D158="l"),F158," ")</f>
        <v> </v>
      </c>
      <c r="P158" s="180" t="str">
        <f aca="false">IF((D158="i"),F158," ")</f>
        <v> </v>
      </c>
      <c r="Q158" s="180" t="str">
        <f aca="false">IF((D158="b"),F158," ")</f>
        <v> </v>
      </c>
      <c r="R158" s="180" t="str">
        <f aca="false">IF((D158="o"),F158," ")</f>
        <v> </v>
      </c>
      <c r="S158" s="180" t="str">
        <f aca="false">IF((D158="f"),F158," ")</f>
        <v> </v>
      </c>
      <c r="U158" s="371"/>
    </row>
    <row r="159" customFormat="false" ht="12.75" hidden="false" customHeight="false" outlineLevel="0" collapsed="false">
      <c r="D159" s="371" t="str">
        <f aca="false">IF((F159&lt;&gt;0),"Enter Letter"," ")</f>
        <v> </v>
      </c>
      <c r="G159" s="180" t="str">
        <f aca="false">IF((D159="d"),F159," ")</f>
        <v> </v>
      </c>
      <c r="H159" s="180" t="str">
        <f aca="false">IF((D159="h"),F159," ")</f>
        <v> </v>
      </c>
      <c r="I159" s="180" t="str">
        <f aca="false">IF((D159="r"),F159," ")</f>
        <v> </v>
      </c>
      <c r="J159" s="180" t="str">
        <f aca="false">IF((D159="t"),F159," ")</f>
        <v> </v>
      </c>
      <c r="K159" s="180" t="str">
        <f aca="false">IF((D159="e"),F159," ")</f>
        <v> </v>
      </c>
      <c r="L159" s="180" t="str">
        <f aca="false">IF((D159="p"),F159," ")</f>
        <v> </v>
      </c>
      <c r="M159" s="180" t="str">
        <f aca="false">IF((D159="g"),F159," ")</f>
        <v> </v>
      </c>
      <c r="N159" s="180" t="str">
        <f aca="false">IF((D159="a"),F159," ")</f>
        <v> </v>
      </c>
      <c r="O159" s="180" t="str">
        <f aca="false">IF((D159="l"),F159," ")</f>
        <v> </v>
      </c>
      <c r="P159" s="180" t="str">
        <f aca="false">IF((D159="i"),F159," ")</f>
        <v> </v>
      </c>
      <c r="Q159" s="180" t="str">
        <f aca="false">IF((D159="b"),F159," ")</f>
        <v> </v>
      </c>
      <c r="R159" s="180" t="str">
        <f aca="false">IF((D159="o"),F159," ")</f>
        <v> </v>
      </c>
      <c r="S159" s="180" t="str">
        <f aca="false">IF((D159="f"),F159," ")</f>
        <v> </v>
      </c>
      <c r="U159" s="371"/>
    </row>
    <row r="160" customFormat="false" ht="12.75" hidden="false" customHeight="false" outlineLevel="0" collapsed="false">
      <c r="D160" s="371" t="str">
        <f aca="false">IF((F160&lt;&gt;0),"Enter Letter"," ")</f>
        <v> </v>
      </c>
      <c r="G160" s="180" t="str">
        <f aca="false">IF((D160="d"),F160," ")</f>
        <v> </v>
      </c>
      <c r="H160" s="180" t="str">
        <f aca="false">IF((D160="h"),F160," ")</f>
        <v> </v>
      </c>
      <c r="I160" s="180" t="str">
        <f aca="false">IF((D160="r"),F160," ")</f>
        <v> </v>
      </c>
      <c r="J160" s="180" t="str">
        <f aca="false">IF((D160="t"),F160," ")</f>
        <v> </v>
      </c>
      <c r="K160" s="180" t="str">
        <f aca="false">IF((D160="e"),F160," ")</f>
        <v> </v>
      </c>
      <c r="L160" s="180" t="str">
        <f aca="false">IF((D160="p"),F160," ")</f>
        <v> </v>
      </c>
      <c r="M160" s="180" t="str">
        <f aca="false">IF((D160="g"),F160," ")</f>
        <v> </v>
      </c>
      <c r="N160" s="180" t="str">
        <f aca="false">IF((D160="a"),F160," ")</f>
        <v> </v>
      </c>
      <c r="O160" s="180" t="str">
        <f aca="false">IF((D160="l"),F160," ")</f>
        <v> </v>
      </c>
      <c r="P160" s="180" t="str">
        <f aca="false">IF((D160="i"),F160," ")</f>
        <v> </v>
      </c>
      <c r="Q160" s="180" t="str">
        <f aca="false">IF((D160="b"),F160," ")</f>
        <v> </v>
      </c>
      <c r="R160" s="180" t="str">
        <f aca="false">IF((D160="o"),F160," ")</f>
        <v> </v>
      </c>
      <c r="S160" s="180" t="str">
        <f aca="false">IF((D160="f"),F160," ")</f>
        <v> </v>
      </c>
      <c r="U160" s="371"/>
    </row>
    <row r="161" customFormat="false" ht="12.75" hidden="false" customHeight="false" outlineLevel="0" collapsed="false">
      <c r="D161" s="371" t="str">
        <f aca="false">IF((F161&lt;&gt;0),"Enter Letter"," ")</f>
        <v> </v>
      </c>
      <c r="G161" s="180" t="str">
        <f aca="false">IF((D161="d"),F161," ")</f>
        <v> </v>
      </c>
      <c r="H161" s="180" t="str">
        <f aca="false">IF((D161="h"),F161," ")</f>
        <v> </v>
      </c>
      <c r="I161" s="180" t="str">
        <f aca="false">IF((D161="r"),F161," ")</f>
        <v> </v>
      </c>
      <c r="J161" s="180" t="str">
        <f aca="false">IF((D161="t"),F161," ")</f>
        <v> </v>
      </c>
      <c r="K161" s="180" t="str">
        <f aca="false">IF((D161="e"),F161," ")</f>
        <v> </v>
      </c>
      <c r="L161" s="180" t="str">
        <f aca="false">IF((D161="p"),F161," ")</f>
        <v> </v>
      </c>
      <c r="M161" s="180" t="str">
        <f aca="false">IF((D161="g"),F161," ")</f>
        <v> </v>
      </c>
      <c r="N161" s="180" t="str">
        <f aca="false">IF((D161="a"),F161," ")</f>
        <v> </v>
      </c>
      <c r="O161" s="180" t="str">
        <f aca="false">IF((D161="l"),F161," ")</f>
        <v> </v>
      </c>
      <c r="P161" s="180" t="str">
        <f aca="false">IF((D161="i"),F161," ")</f>
        <v> </v>
      </c>
      <c r="Q161" s="180" t="str">
        <f aca="false">IF((D161="b"),F161," ")</f>
        <v> </v>
      </c>
      <c r="R161" s="180" t="str">
        <f aca="false">IF((D161="o"),F161," ")</f>
        <v> </v>
      </c>
      <c r="S161" s="180" t="str">
        <f aca="false">IF((D161="f"),F161," ")</f>
        <v> </v>
      </c>
      <c r="U161" s="371"/>
    </row>
    <row r="162" customFormat="false" ht="12.75" hidden="false" customHeight="false" outlineLevel="0" collapsed="false">
      <c r="D162" s="371" t="str">
        <f aca="false">IF((F162&lt;&gt;0),"Enter Letter"," ")</f>
        <v> </v>
      </c>
      <c r="G162" s="180" t="str">
        <f aca="false">IF((D162="d"),F162," ")</f>
        <v> </v>
      </c>
      <c r="H162" s="180" t="str">
        <f aca="false">IF((D162="h"),F162," ")</f>
        <v> </v>
      </c>
      <c r="I162" s="180" t="str">
        <f aca="false">IF((D162="r"),F162," ")</f>
        <v> </v>
      </c>
      <c r="J162" s="180" t="str">
        <f aca="false">IF((D162="t"),F162," ")</f>
        <v> </v>
      </c>
      <c r="K162" s="180" t="str">
        <f aca="false">IF((D162="e"),F162," ")</f>
        <v> </v>
      </c>
      <c r="L162" s="180" t="str">
        <f aca="false">IF((D162="p"),F162," ")</f>
        <v> </v>
      </c>
      <c r="M162" s="180" t="str">
        <f aca="false">IF((D162="g"),F162," ")</f>
        <v> </v>
      </c>
      <c r="N162" s="180" t="str">
        <f aca="false">IF((D162="a"),F162," ")</f>
        <v> </v>
      </c>
      <c r="O162" s="180" t="str">
        <f aca="false">IF((D162="l"),F162," ")</f>
        <v> </v>
      </c>
      <c r="P162" s="180" t="str">
        <f aca="false">IF((D162="i"),F162," ")</f>
        <v> </v>
      </c>
      <c r="Q162" s="180" t="str">
        <f aca="false">IF((D162="b"),F162," ")</f>
        <v> </v>
      </c>
      <c r="R162" s="180" t="str">
        <f aca="false">IF((D162="o"),F162," ")</f>
        <v> </v>
      </c>
      <c r="S162" s="180" t="str">
        <f aca="false">IF((D162="f"),F162," ")</f>
        <v> </v>
      </c>
      <c r="U162" s="371"/>
    </row>
    <row r="163" customFormat="false" ht="12.75" hidden="false" customHeight="false" outlineLevel="0" collapsed="false">
      <c r="D163" s="371" t="str">
        <f aca="false">IF((F163&lt;&gt;0),"Enter Letter"," ")</f>
        <v> </v>
      </c>
      <c r="G163" s="180" t="str">
        <f aca="false">IF((D163="d"),F163," ")</f>
        <v> </v>
      </c>
      <c r="H163" s="180" t="str">
        <f aca="false">IF((D163="h"),F163," ")</f>
        <v> </v>
      </c>
      <c r="I163" s="180" t="str">
        <f aca="false">IF((D163="r"),F163," ")</f>
        <v> </v>
      </c>
      <c r="J163" s="180" t="str">
        <f aca="false">IF((D163="t"),F163," ")</f>
        <v> </v>
      </c>
      <c r="K163" s="180" t="str">
        <f aca="false">IF((D163="e"),F163," ")</f>
        <v> </v>
      </c>
      <c r="L163" s="180" t="str">
        <f aca="false">IF((D163="p"),F163," ")</f>
        <v> </v>
      </c>
      <c r="M163" s="180" t="str">
        <f aca="false">IF((D163="g"),F163," ")</f>
        <v> </v>
      </c>
      <c r="N163" s="180" t="str">
        <f aca="false">IF((D163="a"),F163," ")</f>
        <v> </v>
      </c>
      <c r="O163" s="180" t="str">
        <f aca="false">IF((D163="l"),F163," ")</f>
        <v> </v>
      </c>
      <c r="P163" s="180" t="str">
        <f aca="false">IF((D163="i"),F163," ")</f>
        <v> </v>
      </c>
      <c r="Q163" s="180" t="str">
        <f aca="false">IF((D163="b"),F163," ")</f>
        <v> </v>
      </c>
      <c r="R163" s="180" t="str">
        <f aca="false">IF((D163="o"),F163," ")</f>
        <v> </v>
      </c>
      <c r="S163" s="180" t="str">
        <f aca="false">IF((D163="f"),F163," ")</f>
        <v> </v>
      </c>
      <c r="U163" s="371"/>
    </row>
    <row r="164" customFormat="false" ht="12.75" hidden="false" customHeight="false" outlineLevel="0" collapsed="false">
      <c r="D164" s="371" t="str">
        <f aca="false">IF((F164&lt;&gt;0),"Enter Letter"," ")</f>
        <v> </v>
      </c>
      <c r="G164" s="180" t="str">
        <f aca="false">IF((D164="d"),F164," ")</f>
        <v> </v>
      </c>
      <c r="H164" s="180" t="str">
        <f aca="false">IF((D164="h"),F164," ")</f>
        <v> </v>
      </c>
      <c r="I164" s="180" t="str">
        <f aca="false">IF((D164="r"),F164," ")</f>
        <v> </v>
      </c>
      <c r="J164" s="180" t="str">
        <f aca="false">IF((D164="t"),F164," ")</f>
        <v> </v>
      </c>
      <c r="K164" s="180" t="str">
        <f aca="false">IF((D164="e"),F164," ")</f>
        <v> </v>
      </c>
      <c r="L164" s="180" t="str">
        <f aca="false">IF((D164="p"),F164," ")</f>
        <v> </v>
      </c>
      <c r="M164" s="180" t="str">
        <f aca="false">IF((D164="g"),F164," ")</f>
        <v> </v>
      </c>
      <c r="N164" s="180" t="str">
        <f aca="false">IF((D164="a"),F164," ")</f>
        <v> </v>
      </c>
      <c r="O164" s="180" t="str">
        <f aca="false">IF((D164="l"),F164," ")</f>
        <v> </v>
      </c>
      <c r="P164" s="180" t="str">
        <f aca="false">IF((D164="i"),F164," ")</f>
        <v> </v>
      </c>
      <c r="Q164" s="180" t="str">
        <f aca="false">IF((D164="b"),F164," ")</f>
        <v> </v>
      </c>
      <c r="R164" s="180" t="str">
        <f aca="false">IF((D164="o"),F164," ")</f>
        <v> </v>
      </c>
      <c r="S164" s="180" t="str">
        <f aca="false">IF((D164="f"),F164," ")</f>
        <v> </v>
      </c>
      <c r="U164" s="371"/>
    </row>
    <row r="165" customFormat="false" ht="12.75" hidden="false" customHeight="false" outlineLevel="0" collapsed="false">
      <c r="D165" s="371" t="str">
        <f aca="false">IF((F165&lt;&gt;0),"Enter Letter"," ")</f>
        <v> </v>
      </c>
      <c r="G165" s="180" t="str">
        <f aca="false">IF((D165="d"),F165," ")</f>
        <v> </v>
      </c>
      <c r="H165" s="180" t="str">
        <f aca="false">IF((D165="h"),F165," ")</f>
        <v> </v>
      </c>
      <c r="I165" s="180" t="str">
        <f aca="false">IF((D165="r"),F165," ")</f>
        <v> </v>
      </c>
      <c r="J165" s="180" t="str">
        <f aca="false">IF((D165="t"),F165," ")</f>
        <v> </v>
      </c>
      <c r="K165" s="180" t="str">
        <f aca="false">IF((D165="e"),F165," ")</f>
        <v> </v>
      </c>
      <c r="L165" s="180" t="str">
        <f aca="false">IF((D165="p"),F165," ")</f>
        <v> </v>
      </c>
      <c r="M165" s="180" t="str">
        <f aca="false">IF((D165="g"),F165," ")</f>
        <v> </v>
      </c>
      <c r="N165" s="180" t="str">
        <f aca="false">IF((D165="a"),F165," ")</f>
        <v> </v>
      </c>
      <c r="O165" s="180" t="str">
        <f aca="false">IF((D165="l"),F165," ")</f>
        <v> </v>
      </c>
      <c r="P165" s="180" t="str">
        <f aca="false">IF((D165="i"),F165," ")</f>
        <v> </v>
      </c>
      <c r="Q165" s="180" t="str">
        <f aca="false">IF((D165="b"),F165," ")</f>
        <v> </v>
      </c>
      <c r="R165" s="180" t="str">
        <f aca="false">IF((D165="o"),F165," ")</f>
        <v> </v>
      </c>
      <c r="S165" s="180" t="str">
        <f aca="false">IF((D165="f"),F165," ")</f>
        <v> </v>
      </c>
      <c r="U165" s="371"/>
    </row>
    <row r="166" customFormat="false" ht="12.75" hidden="false" customHeight="false" outlineLevel="0" collapsed="false">
      <c r="D166" s="371" t="str">
        <f aca="false">IF((F166&lt;&gt;0),"Enter Letter"," ")</f>
        <v> </v>
      </c>
      <c r="G166" s="180" t="str">
        <f aca="false">IF((D166="d"),F166," ")</f>
        <v> </v>
      </c>
      <c r="H166" s="180" t="str">
        <f aca="false">IF((D166="h"),F166," ")</f>
        <v> </v>
      </c>
      <c r="I166" s="180" t="str">
        <f aca="false">IF((D166="r"),F166," ")</f>
        <v> </v>
      </c>
      <c r="J166" s="180" t="str">
        <f aca="false">IF((D166="t"),F166," ")</f>
        <v> </v>
      </c>
      <c r="K166" s="180" t="str">
        <f aca="false">IF((D166="e"),F166," ")</f>
        <v> </v>
      </c>
      <c r="L166" s="180" t="str">
        <f aca="false">IF((D166="p"),F166," ")</f>
        <v> </v>
      </c>
      <c r="M166" s="180" t="str">
        <f aca="false">IF((D166="g"),F166," ")</f>
        <v> </v>
      </c>
      <c r="N166" s="180" t="str">
        <f aca="false">IF((D166="a"),F166," ")</f>
        <v> </v>
      </c>
      <c r="O166" s="180" t="str">
        <f aca="false">IF((D166="l"),F166," ")</f>
        <v> </v>
      </c>
      <c r="P166" s="180" t="str">
        <f aca="false">IF((D166="i"),F166," ")</f>
        <v> </v>
      </c>
      <c r="Q166" s="180" t="str">
        <f aca="false">IF((D166="b"),F166," ")</f>
        <v> </v>
      </c>
      <c r="R166" s="180" t="str">
        <f aca="false">IF((D166="o"),F166," ")</f>
        <v> </v>
      </c>
      <c r="S166" s="180" t="str">
        <f aca="false">IF((D166="f"),F166," ")</f>
        <v> </v>
      </c>
      <c r="U166" s="371"/>
    </row>
    <row r="167" customFormat="false" ht="12.75" hidden="false" customHeight="false" outlineLevel="0" collapsed="false">
      <c r="D167" s="371" t="str">
        <f aca="false">IF((F167&lt;&gt;0),"Enter Letter"," ")</f>
        <v> </v>
      </c>
      <c r="G167" s="180" t="str">
        <f aca="false">IF((D167="d"),F167," ")</f>
        <v> </v>
      </c>
      <c r="H167" s="180" t="str">
        <f aca="false">IF((D167="h"),F167," ")</f>
        <v> </v>
      </c>
      <c r="I167" s="180" t="str">
        <f aca="false">IF((D167="r"),F167," ")</f>
        <v> </v>
      </c>
      <c r="J167" s="180" t="str">
        <f aca="false">IF((D167="t"),F167," ")</f>
        <v> </v>
      </c>
      <c r="K167" s="180" t="str">
        <f aca="false">IF((D167="e"),F167," ")</f>
        <v> </v>
      </c>
      <c r="L167" s="180" t="str">
        <f aca="false">IF((D167="p"),F167," ")</f>
        <v> </v>
      </c>
      <c r="M167" s="180" t="str">
        <f aca="false">IF((D167="g"),F167," ")</f>
        <v> </v>
      </c>
      <c r="N167" s="180" t="str">
        <f aca="false">IF((D167="a"),F167," ")</f>
        <v> </v>
      </c>
      <c r="O167" s="180" t="str">
        <f aca="false">IF((D167="l"),F167," ")</f>
        <v> </v>
      </c>
      <c r="P167" s="180" t="str">
        <f aca="false">IF((D167="i"),F167," ")</f>
        <v> </v>
      </c>
      <c r="Q167" s="180" t="str">
        <f aca="false">IF((D167="b"),F167," ")</f>
        <v> </v>
      </c>
      <c r="R167" s="180" t="str">
        <f aca="false">IF((D167="o"),F167," ")</f>
        <v> </v>
      </c>
      <c r="S167" s="180" t="str">
        <f aca="false">IF((D167="f"),F167," ")</f>
        <v> </v>
      </c>
      <c r="U167" s="371"/>
    </row>
    <row r="168" customFormat="false" ht="12.75" hidden="false" customHeight="false" outlineLevel="0" collapsed="false">
      <c r="D168" s="371" t="str">
        <f aca="false">IF((F168&lt;&gt;0),"Enter Letter"," ")</f>
        <v> </v>
      </c>
      <c r="G168" s="180" t="str">
        <f aca="false">IF((D168="d"),F168," ")</f>
        <v> </v>
      </c>
      <c r="H168" s="180" t="str">
        <f aca="false">IF((D168="h"),F168," ")</f>
        <v> </v>
      </c>
      <c r="I168" s="180" t="str">
        <f aca="false">IF((D168="r"),F168," ")</f>
        <v> </v>
      </c>
      <c r="J168" s="180" t="str">
        <f aca="false">IF((D168="t"),F168," ")</f>
        <v> </v>
      </c>
      <c r="K168" s="180" t="str">
        <f aca="false">IF((D168="e"),F168," ")</f>
        <v> </v>
      </c>
      <c r="L168" s="180" t="str">
        <f aca="false">IF((D168="p"),F168," ")</f>
        <v> </v>
      </c>
      <c r="M168" s="180" t="str">
        <f aca="false">IF((D168="g"),F168," ")</f>
        <v> </v>
      </c>
      <c r="N168" s="180" t="str">
        <f aca="false">IF((D168="a"),F168," ")</f>
        <v> </v>
      </c>
      <c r="O168" s="180" t="str">
        <f aca="false">IF((D168="l"),F168," ")</f>
        <v> </v>
      </c>
      <c r="P168" s="180" t="str">
        <f aca="false">IF((D168="i"),F168," ")</f>
        <v> </v>
      </c>
      <c r="Q168" s="180" t="str">
        <f aca="false">IF((D168="b"),F168," ")</f>
        <v> </v>
      </c>
      <c r="R168" s="180" t="str">
        <f aca="false">IF((D168="o"),F168," ")</f>
        <v> </v>
      </c>
      <c r="S168" s="180" t="str">
        <f aca="false">IF((D168="f"),F168," ")</f>
        <v> </v>
      </c>
      <c r="U168" s="371"/>
    </row>
    <row r="169" customFormat="false" ht="12.75" hidden="false" customHeight="false" outlineLevel="0" collapsed="false">
      <c r="D169" s="371" t="str">
        <f aca="false">IF((F169&lt;&gt;0),"Enter Letter"," ")</f>
        <v> </v>
      </c>
      <c r="G169" s="180" t="str">
        <f aca="false">IF((D169="d"),F169," ")</f>
        <v> </v>
      </c>
      <c r="H169" s="180" t="str">
        <f aca="false">IF((D169="h"),F169," ")</f>
        <v> </v>
      </c>
      <c r="I169" s="180" t="str">
        <f aca="false">IF((D169="r"),F169," ")</f>
        <v> </v>
      </c>
      <c r="J169" s="180" t="str">
        <f aca="false">IF((D169="t"),F169," ")</f>
        <v> </v>
      </c>
      <c r="K169" s="180" t="str">
        <f aca="false">IF((D169="e"),F169," ")</f>
        <v> </v>
      </c>
      <c r="L169" s="180" t="str">
        <f aca="false">IF((D169="p"),F169," ")</f>
        <v> </v>
      </c>
      <c r="M169" s="180" t="str">
        <f aca="false">IF((D169="g"),F169," ")</f>
        <v> </v>
      </c>
      <c r="N169" s="180" t="str">
        <f aca="false">IF((D169="a"),F169," ")</f>
        <v> </v>
      </c>
      <c r="O169" s="180" t="str">
        <f aca="false">IF((D169="l"),F169," ")</f>
        <v> </v>
      </c>
      <c r="P169" s="180" t="str">
        <f aca="false">IF((D169="i"),F169," ")</f>
        <v> </v>
      </c>
      <c r="Q169" s="180" t="str">
        <f aca="false">IF((D169="b"),F169," ")</f>
        <v> </v>
      </c>
      <c r="R169" s="180" t="str">
        <f aca="false">IF((D169="o"),F169," ")</f>
        <v> </v>
      </c>
      <c r="S169" s="180" t="str">
        <f aca="false">IF((D169="f"),F169," ")</f>
        <v> </v>
      </c>
      <c r="U169" s="371"/>
    </row>
    <row r="170" customFormat="false" ht="12.75" hidden="false" customHeight="false" outlineLevel="0" collapsed="false">
      <c r="D170" s="371" t="str">
        <f aca="false">IF((F170&lt;&gt;0),"Enter Letter"," ")</f>
        <v> </v>
      </c>
      <c r="G170" s="180" t="str">
        <f aca="false">IF((D170="d"),F170," ")</f>
        <v> </v>
      </c>
      <c r="H170" s="180" t="str">
        <f aca="false">IF((D170="h"),F170," ")</f>
        <v> </v>
      </c>
      <c r="I170" s="180" t="str">
        <f aca="false">IF((D170="r"),F170," ")</f>
        <v> </v>
      </c>
      <c r="J170" s="180" t="str">
        <f aca="false">IF((D170="t"),F170," ")</f>
        <v> </v>
      </c>
      <c r="K170" s="180" t="str">
        <f aca="false">IF((D170="e"),F170," ")</f>
        <v> </v>
      </c>
      <c r="L170" s="180" t="str">
        <f aca="false">IF((D170="p"),F170," ")</f>
        <v> </v>
      </c>
      <c r="M170" s="180" t="str">
        <f aca="false">IF((D170="g"),F170," ")</f>
        <v> </v>
      </c>
      <c r="N170" s="180" t="str">
        <f aca="false">IF((D170="a"),F170," ")</f>
        <v> </v>
      </c>
      <c r="O170" s="180" t="str">
        <f aca="false">IF((D170="l"),F170," ")</f>
        <v> </v>
      </c>
      <c r="P170" s="180" t="str">
        <f aca="false">IF((D170="i"),F170," ")</f>
        <v> </v>
      </c>
      <c r="Q170" s="180" t="str">
        <f aca="false">IF((D170="b"),F170," ")</f>
        <v> </v>
      </c>
      <c r="R170" s="180" t="str">
        <f aca="false">IF((D170="o"),F170," ")</f>
        <v> </v>
      </c>
      <c r="S170" s="180" t="str">
        <f aca="false">IF((D170="f"),F170," ")</f>
        <v> </v>
      </c>
      <c r="U170" s="371"/>
    </row>
    <row r="171" customFormat="false" ht="12.75" hidden="false" customHeight="false" outlineLevel="0" collapsed="false">
      <c r="D171" s="371" t="str">
        <f aca="false">IF((F171&lt;&gt;0),"Enter Letter"," ")</f>
        <v> </v>
      </c>
      <c r="G171" s="180" t="str">
        <f aca="false">IF((D171="d"),F171," ")</f>
        <v> </v>
      </c>
      <c r="H171" s="180" t="str">
        <f aca="false">IF((D171="h"),F171," ")</f>
        <v> </v>
      </c>
      <c r="I171" s="180" t="str">
        <f aca="false">IF((D171="r"),F171," ")</f>
        <v> </v>
      </c>
      <c r="J171" s="180" t="str">
        <f aca="false">IF((D171="t"),F171," ")</f>
        <v> </v>
      </c>
      <c r="K171" s="180" t="str">
        <f aca="false">IF((D171="e"),F171," ")</f>
        <v> </v>
      </c>
      <c r="L171" s="180" t="str">
        <f aca="false">IF((D171="p"),F171," ")</f>
        <v> </v>
      </c>
      <c r="M171" s="180" t="str">
        <f aca="false">IF((D171="g"),F171," ")</f>
        <v> </v>
      </c>
      <c r="N171" s="180" t="str">
        <f aca="false">IF((D171="a"),F171," ")</f>
        <v> </v>
      </c>
      <c r="O171" s="180" t="str">
        <f aca="false">IF((D171="l"),F171," ")</f>
        <v> </v>
      </c>
      <c r="P171" s="180" t="str">
        <f aca="false">IF((D171="i"),F171," ")</f>
        <v> </v>
      </c>
      <c r="Q171" s="180" t="str">
        <f aca="false">IF((D171="b"),F171," ")</f>
        <v> </v>
      </c>
      <c r="R171" s="180" t="str">
        <f aca="false">IF((D171="o"),F171," ")</f>
        <v> </v>
      </c>
      <c r="S171" s="180" t="str">
        <f aca="false">IF((D171="f"),F171," ")</f>
        <v> </v>
      </c>
      <c r="U171" s="371"/>
    </row>
    <row r="172" customFormat="false" ht="12.75" hidden="false" customHeight="false" outlineLevel="0" collapsed="false">
      <c r="D172" s="371" t="str">
        <f aca="false">IF((F172&lt;&gt;0),"Enter Letter"," ")</f>
        <v> </v>
      </c>
      <c r="G172" s="180" t="str">
        <f aca="false">IF((D172="d"),F172," ")</f>
        <v> </v>
      </c>
      <c r="H172" s="180" t="str">
        <f aca="false">IF((D172="h"),F172," ")</f>
        <v> </v>
      </c>
      <c r="I172" s="180" t="str">
        <f aca="false">IF((D172="r"),F172," ")</f>
        <v> </v>
      </c>
      <c r="J172" s="180" t="str">
        <f aca="false">IF((D172="t"),F172," ")</f>
        <v> </v>
      </c>
      <c r="K172" s="180" t="str">
        <f aca="false">IF((D172="e"),F172," ")</f>
        <v> </v>
      </c>
      <c r="L172" s="180" t="str">
        <f aca="false">IF((D172="p"),F172," ")</f>
        <v> </v>
      </c>
      <c r="M172" s="180" t="str">
        <f aca="false">IF((D172="g"),F172," ")</f>
        <v> </v>
      </c>
      <c r="N172" s="180" t="str">
        <f aca="false">IF((D172="a"),F172," ")</f>
        <v> </v>
      </c>
      <c r="O172" s="180" t="str">
        <f aca="false">IF((D172="l"),F172," ")</f>
        <v> </v>
      </c>
      <c r="P172" s="180" t="str">
        <f aca="false">IF((D172="i"),F172," ")</f>
        <v> </v>
      </c>
      <c r="Q172" s="180" t="str">
        <f aca="false">IF((D172="b"),F172," ")</f>
        <v> </v>
      </c>
      <c r="R172" s="180" t="str">
        <f aca="false">IF((D172="o"),F172," ")</f>
        <v> </v>
      </c>
      <c r="S172" s="180" t="str">
        <f aca="false">IF((D172="f"),F172," ")</f>
        <v> </v>
      </c>
      <c r="U172" s="371"/>
    </row>
    <row r="173" customFormat="false" ht="12.75" hidden="false" customHeight="false" outlineLevel="0" collapsed="false">
      <c r="D173" s="371" t="str">
        <f aca="false">IF((F173&lt;&gt;0),"Enter Letter"," ")</f>
        <v> </v>
      </c>
      <c r="G173" s="180" t="str">
        <f aca="false">IF((D173="d"),F173," ")</f>
        <v> </v>
      </c>
      <c r="H173" s="180" t="str">
        <f aca="false">IF((D173="h"),F173," ")</f>
        <v> </v>
      </c>
      <c r="I173" s="180" t="str">
        <f aca="false">IF((D173="r"),F173," ")</f>
        <v> </v>
      </c>
      <c r="J173" s="180" t="str">
        <f aca="false">IF((D173="t"),F173," ")</f>
        <v> </v>
      </c>
      <c r="K173" s="180" t="str">
        <f aca="false">IF((D173="e"),F173," ")</f>
        <v> </v>
      </c>
      <c r="L173" s="180" t="str">
        <f aca="false">IF((D173="p"),F173," ")</f>
        <v> </v>
      </c>
      <c r="M173" s="180" t="str">
        <f aca="false">IF((D173="g"),F173," ")</f>
        <v> </v>
      </c>
      <c r="N173" s="180" t="str">
        <f aca="false">IF((D173="a"),F173," ")</f>
        <v> </v>
      </c>
      <c r="O173" s="180" t="str">
        <f aca="false">IF((D173="l"),F173," ")</f>
        <v> </v>
      </c>
      <c r="P173" s="180" t="str">
        <f aca="false">IF((D173="i"),F173," ")</f>
        <v> </v>
      </c>
      <c r="Q173" s="180" t="str">
        <f aca="false">IF((D173="b"),F173," ")</f>
        <v> </v>
      </c>
      <c r="R173" s="180" t="str">
        <f aca="false">IF((D173="o"),F173," ")</f>
        <v> </v>
      </c>
      <c r="S173" s="180" t="str">
        <f aca="false">IF((D173="f"),F173," ")</f>
        <v> </v>
      </c>
      <c r="U173" s="371"/>
    </row>
    <row r="174" customFormat="false" ht="12.75" hidden="false" customHeight="false" outlineLevel="0" collapsed="false">
      <c r="D174" s="371" t="str">
        <f aca="false">IF((F174&lt;&gt;0),"Enter Letter"," ")</f>
        <v> </v>
      </c>
      <c r="G174" s="180" t="str">
        <f aca="false">IF((D174="d"),F174," ")</f>
        <v> </v>
      </c>
      <c r="H174" s="180" t="str">
        <f aca="false">IF((D174="h"),F174," ")</f>
        <v> </v>
      </c>
      <c r="I174" s="180" t="str">
        <f aca="false">IF((D174="r"),F174," ")</f>
        <v> </v>
      </c>
      <c r="J174" s="180" t="str">
        <f aca="false">IF((D174="t"),F174," ")</f>
        <v> </v>
      </c>
      <c r="K174" s="180" t="str">
        <f aca="false">IF((D174="e"),F174," ")</f>
        <v> </v>
      </c>
      <c r="L174" s="180" t="str">
        <f aca="false">IF((D174="p"),F174," ")</f>
        <v> </v>
      </c>
      <c r="M174" s="180" t="str">
        <f aca="false">IF((D174="g"),F174," ")</f>
        <v> </v>
      </c>
      <c r="N174" s="180" t="str">
        <f aca="false">IF((D174="a"),F174," ")</f>
        <v> </v>
      </c>
      <c r="O174" s="180" t="str">
        <f aca="false">IF((D174="l"),F174," ")</f>
        <v> </v>
      </c>
      <c r="P174" s="180" t="str">
        <f aca="false">IF((D174="i"),F174," ")</f>
        <v> </v>
      </c>
      <c r="Q174" s="180" t="str">
        <f aca="false">IF((D174="b"),F174," ")</f>
        <v> </v>
      </c>
      <c r="R174" s="180" t="str">
        <f aca="false">IF((D174="o"),F174," ")</f>
        <v> </v>
      </c>
      <c r="S174" s="180" t="str">
        <f aca="false">IF((D174="f"),F174," ")</f>
        <v> </v>
      </c>
      <c r="U174" s="371"/>
    </row>
    <row r="175" customFormat="false" ht="12.75" hidden="false" customHeight="false" outlineLevel="0" collapsed="false">
      <c r="D175" s="371" t="str">
        <f aca="false">IF((F175&lt;&gt;0),"Enter Letter"," ")</f>
        <v> </v>
      </c>
      <c r="G175" s="180" t="str">
        <f aca="false">IF((D175="d"),F175," ")</f>
        <v> </v>
      </c>
      <c r="H175" s="180" t="str">
        <f aca="false">IF((D175="h"),F175," ")</f>
        <v> </v>
      </c>
      <c r="I175" s="180" t="str">
        <f aca="false">IF((D175="r"),F175," ")</f>
        <v> </v>
      </c>
      <c r="J175" s="180" t="str">
        <f aca="false">IF((D175="t"),F175," ")</f>
        <v> </v>
      </c>
      <c r="K175" s="180" t="str">
        <f aca="false">IF((D175="e"),F175," ")</f>
        <v> </v>
      </c>
      <c r="L175" s="180" t="str">
        <f aca="false">IF((D175="p"),F175," ")</f>
        <v> </v>
      </c>
      <c r="M175" s="180" t="str">
        <f aca="false">IF((D175="g"),F175," ")</f>
        <v> </v>
      </c>
      <c r="N175" s="180" t="str">
        <f aca="false">IF((D175="a"),F175," ")</f>
        <v> </v>
      </c>
      <c r="O175" s="180" t="str">
        <f aca="false">IF((D175="l"),F175," ")</f>
        <v> </v>
      </c>
      <c r="P175" s="180" t="str">
        <f aca="false">IF((D175="i"),F175," ")</f>
        <v> </v>
      </c>
      <c r="Q175" s="180" t="str">
        <f aca="false">IF((D175="b"),F175," ")</f>
        <v> </v>
      </c>
      <c r="R175" s="180" t="str">
        <f aca="false">IF((D175="o"),F175," ")</f>
        <v> </v>
      </c>
      <c r="S175" s="180" t="str">
        <f aca="false">IF((D175="f"),F175," ")</f>
        <v> </v>
      </c>
      <c r="U175" s="371"/>
    </row>
    <row r="176" customFormat="false" ht="12.75" hidden="false" customHeight="false" outlineLevel="0" collapsed="false">
      <c r="D176" s="371" t="str">
        <f aca="false">IF((F176&lt;&gt;0),"Enter Letter"," ")</f>
        <v> </v>
      </c>
      <c r="G176" s="180" t="str">
        <f aca="false">IF((D176="d"),F176," ")</f>
        <v> </v>
      </c>
      <c r="H176" s="180" t="str">
        <f aca="false">IF((D176="h"),F176," ")</f>
        <v> </v>
      </c>
      <c r="I176" s="180" t="str">
        <f aca="false">IF((D176="r"),F176," ")</f>
        <v> </v>
      </c>
      <c r="J176" s="180" t="str">
        <f aca="false">IF((D176="t"),F176," ")</f>
        <v> </v>
      </c>
      <c r="K176" s="180" t="str">
        <f aca="false">IF((D176="e"),F176," ")</f>
        <v> </v>
      </c>
      <c r="L176" s="180" t="str">
        <f aca="false">IF((D176="p"),F176," ")</f>
        <v> </v>
      </c>
      <c r="M176" s="180" t="str">
        <f aca="false">IF((D176="g"),F176," ")</f>
        <v> </v>
      </c>
      <c r="N176" s="180" t="str">
        <f aca="false">IF((D176="a"),F176," ")</f>
        <v> </v>
      </c>
      <c r="O176" s="180" t="str">
        <f aca="false">IF((D176="l"),F176," ")</f>
        <v> </v>
      </c>
      <c r="P176" s="180" t="str">
        <f aca="false">IF((D176="i"),F176," ")</f>
        <v> </v>
      </c>
      <c r="Q176" s="180" t="str">
        <f aca="false">IF((D176="b"),F176," ")</f>
        <v> </v>
      </c>
      <c r="R176" s="180" t="str">
        <f aca="false">IF((D176="o"),F176," ")</f>
        <v> </v>
      </c>
      <c r="S176" s="180" t="str">
        <f aca="false">IF((D176="f"),F176," ")</f>
        <v> </v>
      </c>
      <c r="U176" s="371"/>
    </row>
    <row r="177" customFormat="false" ht="12.75" hidden="false" customHeight="false" outlineLevel="0" collapsed="false">
      <c r="D177" s="371" t="str">
        <f aca="false">IF((F177&lt;&gt;0),"Enter Letter"," ")</f>
        <v> </v>
      </c>
      <c r="G177" s="180" t="str">
        <f aca="false">IF((D177="d"),F177," ")</f>
        <v> </v>
      </c>
      <c r="H177" s="180" t="str">
        <f aca="false">IF((D177="h"),F177," ")</f>
        <v> </v>
      </c>
      <c r="I177" s="180" t="str">
        <f aca="false">IF((D177="r"),F177," ")</f>
        <v> </v>
      </c>
      <c r="J177" s="180" t="str">
        <f aca="false">IF((D177="t"),F177," ")</f>
        <v> </v>
      </c>
      <c r="K177" s="180" t="str">
        <f aca="false">IF((D177="e"),F177," ")</f>
        <v> </v>
      </c>
      <c r="L177" s="180" t="str">
        <f aca="false">IF((D177="p"),F177," ")</f>
        <v> </v>
      </c>
      <c r="M177" s="180" t="str">
        <f aca="false">IF((D177="g"),F177," ")</f>
        <v> </v>
      </c>
      <c r="N177" s="180" t="str">
        <f aca="false">IF((D177="a"),F177," ")</f>
        <v> </v>
      </c>
      <c r="O177" s="180" t="str">
        <f aca="false">IF((D177="l"),F177," ")</f>
        <v> </v>
      </c>
      <c r="P177" s="180" t="str">
        <f aca="false">IF((D177="i"),F177," ")</f>
        <v> </v>
      </c>
      <c r="Q177" s="180" t="str">
        <f aca="false">IF((D177="b"),F177," ")</f>
        <v> </v>
      </c>
      <c r="R177" s="180" t="str">
        <f aca="false">IF((D177="o"),F177," ")</f>
        <v> </v>
      </c>
      <c r="S177" s="180" t="str">
        <f aca="false">IF((D177="f"),F177," ")</f>
        <v> </v>
      </c>
      <c r="U177" s="371"/>
    </row>
    <row r="178" customFormat="false" ht="12.75" hidden="false" customHeight="false" outlineLevel="0" collapsed="false">
      <c r="D178" s="371" t="str">
        <f aca="false">IF((F178&lt;&gt;0),"Enter Letter"," ")</f>
        <v> </v>
      </c>
      <c r="G178" s="180" t="str">
        <f aca="false">IF((D178="d"),F178," ")</f>
        <v> </v>
      </c>
      <c r="H178" s="180" t="str">
        <f aca="false">IF((D178="h"),F178," ")</f>
        <v> </v>
      </c>
      <c r="I178" s="180" t="str">
        <f aca="false">IF((D178="r"),F178," ")</f>
        <v> </v>
      </c>
      <c r="J178" s="180" t="str">
        <f aca="false">IF((D178="t"),F178," ")</f>
        <v> </v>
      </c>
      <c r="K178" s="180" t="str">
        <f aca="false">IF((D178="e"),F178," ")</f>
        <v> </v>
      </c>
      <c r="L178" s="180" t="str">
        <f aca="false">IF((D178="p"),F178," ")</f>
        <v> </v>
      </c>
      <c r="M178" s="180" t="str">
        <f aca="false">IF((D178="g"),F178," ")</f>
        <v> </v>
      </c>
      <c r="N178" s="180" t="str">
        <f aca="false">IF((D178="a"),F178," ")</f>
        <v> </v>
      </c>
      <c r="O178" s="180" t="str">
        <f aca="false">IF((D178="l"),F178," ")</f>
        <v> </v>
      </c>
      <c r="P178" s="180" t="str">
        <f aca="false">IF((D178="i"),F178," ")</f>
        <v> </v>
      </c>
      <c r="Q178" s="180" t="str">
        <f aca="false">IF((D178="b"),F178," ")</f>
        <v> </v>
      </c>
      <c r="R178" s="180" t="str">
        <f aca="false">IF((D178="o"),F178," ")</f>
        <v> </v>
      </c>
      <c r="S178" s="180" t="str">
        <f aca="false">IF((D178="f"),F178," ")</f>
        <v> </v>
      </c>
      <c r="U178" s="371"/>
    </row>
    <row r="179" customFormat="false" ht="12.75" hidden="false" customHeight="false" outlineLevel="0" collapsed="false">
      <c r="D179" s="371" t="str">
        <f aca="false">IF((F179&lt;&gt;0),"Enter Letter"," ")</f>
        <v> </v>
      </c>
      <c r="G179" s="180" t="str">
        <f aca="false">IF((D179="d"),F179," ")</f>
        <v> </v>
      </c>
      <c r="H179" s="180" t="str">
        <f aca="false">IF((D179="h"),F179," ")</f>
        <v> </v>
      </c>
      <c r="I179" s="180" t="str">
        <f aca="false">IF((D179="r"),F179," ")</f>
        <v> </v>
      </c>
      <c r="J179" s="180" t="str">
        <f aca="false">IF((D179="t"),F179," ")</f>
        <v> </v>
      </c>
      <c r="K179" s="180" t="str">
        <f aca="false">IF((D179="e"),F179," ")</f>
        <v> </v>
      </c>
      <c r="L179" s="180" t="str">
        <f aca="false">IF((D179="p"),F179," ")</f>
        <v> </v>
      </c>
      <c r="M179" s="180" t="str">
        <f aca="false">IF((D179="g"),F179," ")</f>
        <v> </v>
      </c>
      <c r="N179" s="180" t="str">
        <f aca="false">IF((D179="a"),F179," ")</f>
        <v> </v>
      </c>
      <c r="O179" s="180" t="str">
        <f aca="false">IF((D179="l"),F179," ")</f>
        <v> </v>
      </c>
      <c r="P179" s="180" t="str">
        <f aca="false">IF((D179="i"),F179," ")</f>
        <v> </v>
      </c>
      <c r="Q179" s="180" t="str">
        <f aca="false">IF((D179="b"),F179," ")</f>
        <v> </v>
      </c>
      <c r="R179" s="180" t="str">
        <f aca="false">IF((D179="o"),F179," ")</f>
        <v> </v>
      </c>
      <c r="S179" s="180" t="str">
        <f aca="false">IF((D179="f"),F179," ")</f>
        <v> </v>
      </c>
      <c r="U179" s="371"/>
    </row>
    <row r="180" customFormat="false" ht="12.75" hidden="false" customHeight="false" outlineLevel="0" collapsed="false">
      <c r="D180" s="371" t="str">
        <f aca="false">IF((F180&lt;&gt;0),"Enter Letter"," ")</f>
        <v> </v>
      </c>
      <c r="G180" s="180" t="str">
        <f aca="false">IF((D180="d"),F180," ")</f>
        <v> </v>
      </c>
      <c r="H180" s="180" t="str">
        <f aca="false">IF((D180="h"),F180," ")</f>
        <v> </v>
      </c>
      <c r="I180" s="180" t="str">
        <f aca="false">IF((D180="r"),F180," ")</f>
        <v> </v>
      </c>
      <c r="J180" s="180" t="str">
        <f aca="false">IF((D180="t"),F180," ")</f>
        <v> </v>
      </c>
      <c r="K180" s="180" t="str">
        <f aca="false">IF((D180="e"),F180," ")</f>
        <v> </v>
      </c>
      <c r="L180" s="180" t="str">
        <f aca="false">IF((D180="p"),F180," ")</f>
        <v> </v>
      </c>
      <c r="M180" s="180" t="str">
        <f aca="false">IF((D180="g"),F180," ")</f>
        <v> </v>
      </c>
      <c r="N180" s="180" t="str">
        <f aca="false">IF((D180="a"),F180," ")</f>
        <v> </v>
      </c>
      <c r="O180" s="180" t="str">
        <f aca="false">IF((D180="l"),F180," ")</f>
        <v> </v>
      </c>
      <c r="P180" s="180" t="str">
        <f aca="false">IF((D180="i"),F180," ")</f>
        <v> </v>
      </c>
      <c r="Q180" s="180" t="str">
        <f aca="false">IF((D180="b"),F180," ")</f>
        <v> </v>
      </c>
      <c r="R180" s="180" t="str">
        <f aca="false">IF((D180="o"),F180," ")</f>
        <v> </v>
      </c>
      <c r="S180" s="180" t="str">
        <f aca="false">IF((D180="f"),F180," ")</f>
        <v> </v>
      </c>
      <c r="U180" s="371"/>
    </row>
    <row r="181" customFormat="false" ht="12.75" hidden="false" customHeight="false" outlineLevel="0" collapsed="false">
      <c r="D181" s="371" t="str">
        <f aca="false">IF((F181&lt;&gt;0),"Enter Letter"," ")</f>
        <v> </v>
      </c>
      <c r="G181" s="180" t="str">
        <f aca="false">IF((D181="d"),F181," ")</f>
        <v> </v>
      </c>
      <c r="H181" s="180" t="str">
        <f aca="false">IF((D181="h"),F181," ")</f>
        <v> </v>
      </c>
      <c r="I181" s="180" t="str">
        <f aca="false">IF((D181="r"),F181," ")</f>
        <v> </v>
      </c>
      <c r="J181" s="180" t="str">
        <f aca="false">IF((D181="t"),F181," ")</f>
        <v> </v>
      </c>
      <c r="K181" s="180" t="str">
        <f aca="false">IF((D181="e"),F181," ")</f>
        <v> </v>
      </c>
      <c r="L181" s="180" t="str">
        <f aca="false">IF((D181="p"),F181," ")</f>
        <v> </v>
      </c>
      <c r="M181" s="180" t="str">
        <f aca="false">IF((D181="g"),F181," ")</f>
        <v> </v>
      </c>
      <c r="N181" s="180" t="str">
        <f aca="false">IF((D181="a"),F181," ")</f>
        <v> </v>
      </c>
      <c r="O181" s="180" t="str">
        <f aca="false">IF((D181="l"),F181," ")</f>
        <v> </v>
      </c>
      <c r="P181" s="180" t="str">
        <f aca="false">IF((D181="i"),F181," ")</f>
        <v> </v>
      </c>
      <c r="Q181" s="180" t="str">
        <f aca="false">IF((D181="b"),F181," ")</f>
        <v> </v>
      </c>
      <c r="R181" s="180" t="str">
        <f aca="false">IF((D181="o"),F181," ")</f>
        <v> </v>
      </c>
      <c r="S181" s="180" t="str">
        <f aca="false">IF((D181="f"),F181," ")</f>
        <v> </v>
      </c>
      <c r="U181" s="371"/>
    </row>
    <row r="182" customFormat="false" ht="12.75" hidden="false" customHeight="false" outlineLevel="0" collapsed="false">
      <c r="D182" s="371" t="str">
        <f aca="false">IF((F182&lt;&gt;0),"Enter Letter"," ")</f>
        <v> </v>
      </c>
      <c r="G182" s="180" t="str">
        <f aca="false">IF((D182="d"),F182," ")</f>
        <v> </v>
      </c>
      <c r="H182" s="180" t="str">
        <f aca="false">IF((D182="h"),F182," ")</f>
        <v> </v>
      </c>
      <c r="I182" s="180" t="str">
        <f aca="false">IF((D182="r"),F182," ")</f>
        <v> </v>
      </c>
      <c r="J182" s="180" t="str">
        <f aca="false">IF((D182="t"),F182," ")</f>
        <v> </v>
      </c>
      <c r="K182" s="180" t="str">
        <f aca="false">IF((D182="e"),F182," ")</f>
        <v> </v>
      </c>
      <c r="L182" s="180" t="str">
        <f aca="false">IF((D182="p"),F182," ")</f>
        <v> </v>
      </c>
      <c r="M182" s="180" t="str">
        <f aca="false">IF((D182="g"),F182," ")</f>
        <v> </v>
      </c>
      <c r="N182" s="180" t="str">
        <f aca="false">IF((D182="a"),F182," ")</f>
        <v> </v>
      </c>
      <c r="O182" s="180" t="str">
        <f aca="false">IF((D182="l"),F182," ")</f>
        <v> </v>
      </c>
      <c r="P182" s="180" t="str">
        <f aca="false">IF((D182="i"),F182," ")</f>
        <v> </v>
      </c>
      <c r="Q182" s="180" t="str">
        <f aca="false">IF((D182="b"),F182," ")</f>
        <v> </v>
      </c>
      <c r="R182" s="180" t="str">
        <f aca="false">IF((D182="o"),F182," ")</f>
        <v> </v>
      </c>
      <c r="S182" s="180" t="str">
        <f aca="false">IF((D182="f"),F182," ")</f>
        <v> </v>
      </c>
      <c r="U182" s="371"/>
    </row>
    <row r="183" customFormat="false" ht="12.75" hidden="false" customHeight="false" outlineLevel="0" collapsed="false">
      <c r="D183" s="371" t="str">
        <f aca="false">IF((F183&lt;&gt;0),"Enter Letter"," ")</f>
        <v> </v>
      </c>
      <c r="G183" s="180" t="str">
        <f aca="false">IF((D183="d"),F183," ")</f>
        <v> </v>
      </c>
      <c r="H183" s="180" t="str">
        <f aca="false">IF((D183="h"),F183," ")</f>
        <v> </v>
      </c>
      <c r="I183" s="180" t="str">
        <f aca="false">IF((D183="r"),F183," ")</f>
        <v> </v>
      </c>
      <c r="J183" s="180" t="str">
        <f aca="false">IF((D183="t"),F183," ")</f>
        <v> </v>
      </c>
      <c r="K183" s="180" t="str">
        <f aca="false">IF((D183="e"),F183," ")</f>
        <v> </v>
      </c>
      <c r="L183" s="180" t="str">
        <f aca="false">IF((D183="p"),F183," ")</f>
        <v> </v>
      </c>
      <c r="M183" s="180" t="str">
        <f aca="false">IF((D183="g"),F183," ")</f>
        <v> </v>
      </c>
      <c r="N183" s="180" t="str">
        <f aca="false">IF((D183="a"),F183," ")</f>
        <v> </v>
      </c>
      <c r="O183" s="180" t="str">
        <f aca="false">IF((D183="l"),F183," ")</f>
        <v> </v>
      </c>
      <c r="P183" s="180" t="str">
        <f aca="false">IF((D183="i"),F183," ")</f>
        <v> </v>
      </c>
      <c r="Q183" s="180" t="str">
        <f aca="false">IF((D183="b"),F183," ")</f>
        <v> </v>
      </c>
      <c r="R183" s="180" t="str">
        <f aca="false">IF((D183="o"),F183," ")</f>
        <v> </v>
      </c>
      <c r="S183" s="180" t="str">
        <f aca="false">IF((D183="f"),F183," ")</f>
        <v> </v>
      </c>
      <c r="U183" s="371"/>
    </row>
    <row r="184" customFormat="false" ht="12.75" hidden="false" customHeight="false" outlineLevel="0" collapsed="false">
      <c r="D184" s="371" t="str">
        <f aca="false">IF((F184&lt;&gt;0),"Enter Letter"," ")</f>
        <v> </v>
      </c>
      <c r="G184" s="180" t="str">
        <f aca="false">IF((D184="d"),F184," ")</f>
        <v> </v>
      </c>
      <c r="H184" s="180" t="str">
        <f aca="false">IF((D184="h"),F184," ")</f>
        <v> </v>
      </c>
      <c r="I184" s="180" t="str">
        <f aca="false">IF((D184="r"),F184," ")</f>
        <v> </v>
      </c>
      <c r="J184" s="180" t="str">
        <f aca="false">IF((D184="t"),F184," ")</f>
        <v> </v>
      </c>
      <c r="K184" s="180" t="str">
        <f aca="false">IF((D184="e"),F184," ")</f>
        <v> </v>
      </c>
      <c r="L184" s="180" t="str">
        <f aca="false">IF((D184="p"),F184," ")</f>
        <v> </v>
      </c>
      <c r="M184" s="180" t="str">
        <f aca="false">IF((D184="g"),F184," ")</f>
        <v> </v>
      </c>
      <c r="N184" s="180" t="str">
        <f aca="false">IF((D184="a"),F184," ")</f>
        <v> </v>
      </c>
      <c r="O184" s="180" t="str">
        <f aca="false">IF((D184="l"),F184," ")</f>
        <v> </v>
      </c>
      <c r="P184" s="180" t="str">
        <f aca="false">IF((D184="i"),F184," ")</f>
        <v> </v>
      </c>
      <c r="Q184" s="180" t="str">
        <f aca="false">IF((D184="b"),F184," ")</f>
        <v> </v>
      </c>
      <c r="R184" s="180" t="str">
        <f aca="false">IF((D184="o"),F184," ")</f>
        <v> </v>
      </c>
      <c r="S184" s="180" t="str">
        <f aca="false">IF((D184="f"),F184," ")</f>
        <v> </v>
      </c>
      <c r="U184" s="371"/>
    </row>
    <row r="185" customFormat="false" ht="12.75" hidden="false" customHeight="false" outlineLevel="0" collapsed="false">
      <c r="D185" s="371" t="str">
        <f aca="false">IF((F185&lt;&gt;0),"Enter Letter"," ")</f>
        <v> </v>
      </c>
      <c r="G185" s="180" t="str">
        <f aca="false">IF((D185="d"),F185," ")</f>
        <v> </v>
      </c>
      <c r="H185" s="180" t="str">
        <f aca="false">IF((D185="h"),F185," ")</f>
        <v> </v>
      </c>
      <c r="I185" s="180" t="str">
        <f aca="false">IF((D185="r"),F185," ")</f>
        <v> </v>
      </c>
      <c r="J185" s="180" t="str">
        <f aca="false">IF((D185="t"),F185," ")</f>
        <v> </v>
      </c>
      <c r="K185" s="180" t="str">
        <f aca="false">IF((D185="e"),F185," ")</f>
        <v> </v>
      </c>
      <c r="L185" s="180" t="str">
        <f aca="false">IF((D185="p"),F185," ")</f>
        <v> </v>
      </c>
      <c r="M185" s="180" t="str">
        <f aca="false">IF((D185="g"),F185," ")</f>
        <v> </v>
      </c>
      <c r="N185" s="180" t="str">
        <f aca="false">IF((D185="a"),F185," ")</f>
        <v> </v>
      </c>
      <c r="O185" s="180" t="str">
        <f aca="false">IF((D185="l"),F185," ")</f>
        <v> </v>
      </c>
      <c r="P185" s="180" t="str">
        <f aca="false">IF((D185="i"),F185," ")</f>
        <v> </v>
      </c>
      <c r="Q185" s="180" t="str">
        <f aca="false">IF((D185="b"),F185," ")</f>
        <v> </v>
      </c>
      <c r="R185" s="180" t="str">
        <f aca="false">IF((D185="o"),F185," ")</f>
        <v> </v>
      </c>
      <c r="S185" s="180" t="str">
        <f aca="false">IF((D185="f"),F185," ")</f>
        <v> </v>
      </c>
      <c r="U185" s="371"/>
    </row>
    <row r="186" customFormat="false" ht="12.75" hidden="false" customHeight="false" outlineLevel="0" collapsed="false">
      <c r="D186" s="371" t="str">
        <f aca="false">IF((F186&lt;&gt;0),"Enter Letter"," ")</f>
        <v> </v>
      </c>
      <c r="G186" s="180" t="str">
        <f aca="false">IF((D186="d"),F186," ")</f>
        <v> </v>
      </c>
      <c r="H186" s="180" t="str">
        <f aca="false">IF((D186="h"),F186," ")</f>
        <v> </v>
      </c>
      <c r="I186" s="180" t="str">
        <f aca="false">IF((D186="r"),F186," ")</f>
        <v> </v>
      </c>
      <c r="J186" s="180" t="str">
        <f aca="false">IF((D186="t"),F186," ")</f>
        <v> </v>
      </c>
      <c r="K186" s="180" t="str">
        <f aca="false">IF((D186="e"),F186," ")</f>
        <v> </v>
      </c>
      <c r="L186" s="180" t="str">
        <f aca="false">IF((D186="p"),F186," ")</f>
        <v> </v>
      </c>
      <c r="M186" s="180" t="str">
        <f aca="false">IF((D186="g"),F186," ")</f>
        <v> </v>
      </c>
      <c r="N186" s="180" t="str">
        <f aca="false">IF((D186="a"),F186," ")</f>
        <v> </v>
      </c>
      <c r="O186" s="180" t="str">
        <f aca="false">IF((D186="l"),F186," ")</f>
        <v> </v>
      </c>
      <c r="P186" s="180" t="str">
        <f aca="false">IF((D186="i"),F186," ")</f>
        <v> </v>
      </c>
      <c r="Q186" s="180" t="str">
        <f aca="false">IF((D186="b"),F186," ")</f>
        <v> </v>
      </c>
      <c r="R186" s="180" t="str">
        <f aca="false">IF((D186="o"),F186," ")</f>
        <v> </v>
      </c>
      <c r="S186" s="180" t="str">
        <f aca="false">IF((D186="f"),F186," ")</f>
        <v> </v>
      </c>
      <c r="U186" s="371"/>
    </row>
    <row r="187" customFormat="false" ht="12.75" hidden="false" customHeight="false" outlineLevel="0" collapsed="false">
      <c r="D187" s="371" t="str">
        <f aca="false">IF((F187&lt;&gt;0),"Enter Letter"," ")</f>
        <v> </v>
      </c>
      <c r="G187" s="180" t="str">
        <f aca="false">IF((D187="d"),F187," ")</f>
        <v> </v>
      </c>
      <c r="H187" s="180" t="str">
        <f aca="false">IF((D187="h"),F187," ")</f>
        <v> </v>
      </c>
      <c r="I187" s="180" t="str">
        <f aca="false">IF((D187="r"),F187," ")</f>
        <v> </v>
      </c>
      <c r="J187" s="180" t="str">
        <f aca="false">IF((D187="t"),F187," ")</f>
        <v> </v>
      </c>
      <c r="K187" s="180" t="str">
        <f aca="false">IF((D187="e"),F187," ")</f>
        <v> </v>
      </c>
      <c r="L187" s="180" t="str">
        <f aca="false">IF((D187="p"),F187," ")</f>
        <v> </v>
      </c>
      <c r="M187" s="180" t="str">
        <f aca="false">IF((D187="g"),F187," ")</f>
        <v> </v>
      </c>
      <c r="N187" s="180" t="str">
        <f aca="false">IF((D187="a"),F187," ")</f>
        <v> </v>
      </c>
      <c r="O187" s="180" t="str">
        <f aca="false">IF((D187="l"),F187," ")</f>
        <v> </v>
      </c>
      <c r="P187" s="180" t="str">
        <f aca="false">IF((D187="i"),F187," ")</f>
        <v> </v>
      </c>
      <c r="Q187" s="180" t="str">
        <f aca="false">IF((D187="b"),F187," ")</f>
        <v> </v>
      </c>
      <c r="R187" s="180" t="str">
        <f aca="false">IF((D187="o"),F187," ")</f>
        <v> </v>
      </c>
      <c r="S187" s="180" t="str">
        <f aca="false">IF((D187="f"),F187," ")</f>
        <v> </v>
      </c>
      <c r="U187" s="371"/>
    </row>
    <row r="188" customFormat="false" ht="12.75" hidden="false" customHeight="false" outlineLevel="0" collapsed="false">
      <c r="D188" s="371" t="str">
        <f aca="false">IF((F188&lt;&gt;0),"Enter Letter"," ")</f>
        <v> </v>
      </c>
      <c r="G188" s="180" t="str">
        <f aca="false">IF((D188="d"),F188," ")</f>
        <v> </v>
      </c>
      <c r="H188" s="180" t="str">
        <f aca="false">IF((D188="h"),F188," ")</f>
        <v> </v>
      </c>
      <c r="I188" s="180" t="str">
        <f aca="false">IF((D188="r"),F188," ")</f>
        <v> </v>
      </c>
      <c r="J188" s="180" t="str">
        <f aca="false">IF((D188="t"),F188," ")</f>
        <v> </v>
      </c>
      <c r="K188" s="180" t="str">
        <f aca="false">IF((D188="e"),F188," ")</f>
        <v> </v>
      </c>
      <c r="L188" s="180" t="str">
        <f aca="false">IF((D188="p"),F188," ")</f>
        <v> </v>
      </c>
      <c r="M188" s="180" t="str">
        <f aca="false">IF((D188="g"),F188," ")</f>
        <v> </v>
      </c>
      <c r="N188" s="180" t="str">
        <f aca="false">IF((D188="a"),F188," ")</f>
        <v> </v>
      </c>
      <c r="O188" s="180" t="str">
        <f aca="false">IF((D188="l"),F188," ")</f>
        <v> </v>
      </c>
      <c r="P188" s="180" t="str">
        <f aca="false">IF((D188="i"),F188," ")</f>
        <v> </v>
      </c>
      <c r="Q188" s="180" t="str">
        <f aca="false">IF((D188="b"),F188," ")</f>
        <v> </v>
      </c>
      <c r="R188" s="180" t="str">
        <f aca="false">IF((D188="o"),F188," ")</f>
        <v> </v>
      </c>
      <c r="S188" s="180" t="str">
        <f aca="false">IF((D188="f"),F188," ")</f>
        <v> </v>
      </c>
      <c r="U188" s="371"/>
    </row>
    <row r="189" customFormat="false" ht="12.75" hidden="false" customHeight="false" outlineLevel="0" collapsed="false">
      <c r="D189" s="371" t="str">
        <f aca="false">IF((F189&lt;&gt;0),"Enter Letter"," ")</f>
        <v> </v>
      </c>
      <c r="G189" s="180" t="str">
        <f aca="false">IF((D189="d"),F189," ")</f>
        <v> </v>
      </c>
      <c r="H189" s="180" t="str">
        <f aca="false">IF((D189="h"),F189," ")</f>
        <v> </v>
      </c>
      <c r="I189" s="180" t="str">
        <f aca="false">IF((D189="r"),F189," ")</f>
        <v> </v>
      </c>
      <c r="J189" s="180" t="str">
        <f aca="false">IF((D189="t"),F189," ")</f>
        <v> </v>
      </c>
      <c r="K189" s="180" t="str">
        <f aca="false">IF((D189="e"),F189," ")</f>
        <v> </v>
      </c>
      <c r="L189" s="180" t="str">
        <f aca="false">IF((D189="p"),F189," ")</f>
        <v> </v>
      </c>
      <c r="M189" s="180" t="str">
        <f aca="false">IF((D189="g"),F189," ")</f>
        <v> </v>
      </c>
      <c r="N189" s="180" t="str">
        <f aca="false">IF((D189="a"),F189," ")</f>
        <v> </v>
      </c>
      <c r="O189" s="180" t="str">
        <f aca="false">IF((D189="l"),F189," ")</f>
        <v> </v>
      </c>
      <c r="P189" s="180" t="str">
        <f aca="false">IF((D189="i"),F189," ")</f>
        <v> </v>
      </c>
      <c r="Q189" s="180" t="str">
        <f aca="false">IF((D189="b"),F189," ")</f>
        <v> </v>
      </c>
      <c r="R189" s="180" t="str">
        <f aca="false">IF((D189="o"),F189," ")</f>
        <v> </v>
      </c>
      <c r="S189" s="180" t="str">
        <f aca="false">IF((D189="f"),F189," ")</f>
        <v> </v>
      </c>
      <c r="U189" s="371"/>
    </row>
    <row r="190" customFormat="false" ht="12.75" hidden="false" customHeight="false" outlineLevel="0" collapsed="false">
      <c r="D190" s="371" t="str">
        <f aca="false">IF((F190&lt;&gt;0),"Enter Letter"," ")</f>
        <v> </v>
      </c>
      <c r="G190" s="180" t="str">
        <f aca="false">IF((D190="d"),F190," ")</f>
        <v> </v>
      </c>
      <c r="H190" s="180" t="str">
        <f aca="false">IF((D190="h"),F190," ")</f>
        <v> </v>
      </c>
      <c r="I190" s="180" t="str">
        <f aca="false">IF((D190="r"),F190," ")</f>
        <v> </v>
      </c>
      <c r="J190" s="180" t="str">
        <f aca="false">IF((D190="t"),F190," ")</f>
        <v> </v>
      </c>
      <c r="K190" s="180" t="str">
        <f aca="false">IF((D190="e"),F190," ")</f>
        <v> </v>
      </c>
      <c r="L190" s="180" t="str">
        <f aca="false">IF((D190="p"),F190," ")</f>
        <v> </v>
      </c>
      <c r="M190" s="180" t="str">
        <f aca="false">IF((D190="g"),F190," ")</f>
        <v> </v>
      </c>
      <c r="N190" s="180" t="str">
        <f aca="false">IF((D190="a"),F190," ")</f>
        <v> </v>
      </c>
      <c r="O190" s="180" t="str">
        <f aca="false">IF((D190="l"),F190," ")</f>
        <v> </v>
      </c>
      <c r="P190" s="180" t="str">
        <f aca="false">IF((D190="i"),F190," ")</f>
        <v> </v>
      </c>
      <c r="Q190" s="180" t="str">
        <f aca="false">IF((D190="b"),F190," ")</f>
        <v> </v>
      </c>
      <c r="R190" s="180" t="str">
        <f aca="false">IF((D190="o"),F190," ")</f>
        <v> </v>
      </c>
      <c r="S190" s="180" t="str">
        <f aca="false">IF((D190="f"),F190," ")</f>
        <v> </v>
      </c>
      <c r="U190" s="371"/>
    </row>
    <row r="191" customFormat="false" ht="12.75" hidden="false" customHeight="false" outlineLevel="0" collapsed="false">
      <c r="D191" s="371" t="str">
        <f aca="false">IF((F191&lt;&gt;0),"Enter Letter"," ")</f>
        <v> </v>
      </c>
      <c r="G191" s="180" t="str">
        <f aca="false">IF((D191="d"),F191," ")</f>
        <v> </v>
      </c>
      <c r="H191" s="180" t="str">
        <f aca="false">IF((D191="h"),F191," ")</f>
        <v> </v>
      </c>
      <c r="I191" s="180" t="str">
        <f aca="false">IF((D191="r"),F191," ")</f>
        <v> </v>
      </c>
      <c r="J191" s="180" t="str">
        <f aca="false">IF((D191="t"),F191," ")</f>
        <v> </v>
      </c>
      <c r="K191" s="180" t="str">
        <f aca="false">IF((D191="e"),F191," ")</f>
        <v> </v>
      </c>
      <c r="L191" s="180" t="str">
        <f aca="false">IF((D191="p"),F191," ")</f>
        <v> </v>
      </c>
      <c r="M191" s="180" t="str">
        <f aca="false">IF((D191="g"),F191," ")</f>
        <v> </v>
      </c>
      <c r="N191" s="180" t="str">
        <f aca="false">IF((D191="a"),F191," ")</f>
        <v> </v>
      </c>
      <c r="O191" s="180" t="str">
        <f aca="false">IF((D191="l"),F191," ")</f>
        <v> </v>
      </c>
      <c r="P191" s="180" t="str">
        <f aca="false">IF((D191="i"),F191," ")</f>
        <v> </v>
      </c>
      <c r="Q191" s="180" t="str">
        <f aca="false">IF((D191="b"),F191," ")</f>
        <v> </v>
      </c>
      <c r="R191" s="180" t="str">
        <f aca="false">IF((D191="o"),F191," ")</f>
        <v> </v>
      </c>
      <c r="S191" s="180" t="str">
        <f aca="false">IF((D191="f"),F191," ")</f>
        <v> </v>
      </c>
      <c r="U191" s="371"/>
    </row>
    <row r="192" customFormat="false" ht="12.75" hidden="false" customHeight="false" outlineLevel="0" collapsed="false">
      <c r="D192" s="371" t="str">
        <f aca="false">IF((F192&lt;&gt;0),"Enter Letter"," ")</f>
        <v> </v>
      </c>
      <c r="G192" s="180" t="str">
        <f aca="false">IF((D192="d"),F192," ")</f>
        <v> </v>
      </c>
      <c r="H192" s="180" t="str">
        <f aca="false">IF((D192="h"),F192," ")</f>
        <v> </v>
      </c>
      <c r="I192" s="180" t="str">
        <f aca="false">IF((D192="r"),F192," ")</f>
        <v> </v>
      </c>
      <c r="J192" s="180" t="str">
        <f aca="false">IF((D192="t"),F192," ")</f>
        <v> </v>
      </c>
      <c r="K192" s="180" t="str">
        <f aca="false">IF((D192="e"),F192," ")</f>
        <v> </v>
      </c>
      <c r="L192" s="180" t="str">
        <f aca="false">IF((D192="p"),F192," ")</f>
        <v> </v>
      </c>
      <c r="M192" s="180" t="str">
        <f aca="false">IF((D192="g"),F192," ")</f>
        <v> </v>
      </c>
      <c r="N192" s="180" t="str">
        <f aca="false">IF((D192="a"),F192," ")</f>
        <v> </v>
      </c>
      <c r="O192" s="180" t="str">
        <f aca="false">IF((D192="l"),F192," ")</f>
        <v> </v>
      </c>
      <c r="P192" s="180" t="str">
        <f aca="false">IF((D192="i"),F192," ")</f>
        <v> </v>
      </c>
      <c r="Q192" s="180" t="str">
        <f aca="false">IF((D192="b"),F192," ")</f>
        <v> </v>
      </c>
      <c r="R192" s="180" t="str">
        <f aca="false">IF((D192="o"),F192," ")</f>
        <v> </v>
      </c>
      <c r="S192" s="180" t="str">
        <f aca="false">IF((D192="f"),F192," ")</f>
        <v> </v>
      </c>
      <c r="U192" s="371"/>
    </row>
    <row r="193" customFormat="false" ht="12.75" hidden="false" customHeight="false" outlineLevel="0" collapsed="false">
      <c r="D193" s="371" t="str">
        <f aca="false">IF((F193&lt;&gt;0),"Enter Letter"," ")</f>
        <v> </v>
      </c>
      <c r="G193" s="180" t="str">
        <f aca="false">IF((D193="d"),F193," ")</f>
        <v> </v>
      </c>
      <c r="H193" s="180" t="str">
        <f aca="false">IF((D193="h"),F193," ")</f>
        <v> </v>
      </c>
      <c r="I193" s="180" t="str">
        <f aca="false">IF((D193="r"),F193," ")</f>
        <v> </v>
      </c>
      <c r="J193" s="180" t="str">
        <f aca="false">IF((D193="t"),F193," ")</f>
        <v> </v>
      </c>
      <c r="K193" s="180" t="str">
        <f aca="false">IF((D193="e"),F193," ")</f>
        <v> </v>
      </c>
      <c r="L193" s="180" t="str">
        <f aca="false">IF((D193="p"),F193," ")</f>
        <v> </v>
      </c>
      <c r="M193" s="180" t="str">
        <f aca="false">IF((D193="g"),F193," ")</f>
        <v> </v>
      </c>
      <c r="N193" s="180" t="str">
        <f aca="false">IF((D193="a"),F193," ")</f>
        <v> </v>
      </c>
      <c r="O193" s="180" t="str">
        <f aca="false">IF((D193="l"),F193," ")</f>
        <v> </v>
      </c>
      <c r="P193" s="180" t="str">
        <f aca="false">IF((D193="i"),F193," ")</f>
        <v> </v>
      </c>
      <c r="Q193" s="180" t="str">
        <f aca="false">IF((D193="b"),F193," ")</f>
        <v> </v>
      </c>
      <c r="R193" s="180" t="str">
        <f aca="false">IF((D193="o"),F193," ")</f>
        <v> </v>
      </c>
      <c r="S193" s="180" t="str">
        <f aca="false">IF((D193="f"),F193," ")</f>
        <v> </v>
      </c>
      <c r="U193" s="371"/>
    </row>
    <row r="194" customFormat="false" ht="12.75" hidden="false" customHeight="false" outlineLevel="0" collapsed="false">
      <c r="D194" s="371" t="str">
        <f aca="false">IF((F194&lt;&gt;0),"Enter Letter"," ")</f>
        <v> </v>
      </c>
      <c r="G194" s="180" t="str">
        <f aca="false">IF((D194="d"),F194," ")</f>
        <v> </v>
      </c>
      <c r="H194" s="180" t="str">
        <f aca="false">IF((D194="h"),F194," ")</f>
        <v> </v>
      </c>
      <c r="I194" s="180" t="str">
        <f aca="false">IF((D194="r"),F194," ")</f>
        <v> </v>
      </c>
      <c r="J194" s="180" t="str">
        <f aca="false">IF((D194="t"),F194," ")</f>
        <v> </v>
      </c>
      <c r="K194" s="180" t="str">
        <f aca="false">IF((D194="e"),F194," ")</f>
        <v> </v>
      </c>
      <c r="L194" s="180" t="str">
        <f aca="false">IF((D194="p"),F194," ")</f>
        <v> </v>
      </c>
      <c r="M194" s="180" t="str">
        <f aca="false">IF((D194="g"),F194," ")</f>
        <v> </v>
      </c>
      <c r="N194" s="180" t="str">
        <f aca="false">IF((D194="a"),F194," ")</f>
        <v> </v>
      </c>
      <c r="O194" s="180" t="str">
        <f aca="false">IF((D194="l"),F194," ")</f>
        <v> </v>
      </c>
      <c r="P194" s="180" t="str">
        <f aca="false">IF((D194="i"),F194," ")</f>
        <v> </v>
      </c>
      <c r="Q194" s="180" t="str">
        <f aca="false">IF((D194="b"),F194," ")</f>
        <v> </v>
      </c>
      <c r="R194" s="180" t="str">
        <f aca="false">IF((D194="o"),F194," ")</f>
        <v> </v>
      </c>
      <c r="S194" s="180" t="str">
        <f aca="false">IF((D194="f"),F194," ")</f>
        <v> </v>
      </c>
      <c r="U194" s="371"/>
    </row>
    <row r="195" customFormat="false" ht="12.75" hidden="false" customHeight="false" outlineLevel="0" collapsed="false">
      <c r="D195" s="371" t="str">
        <f aca="false">IF((F195&lt;&gt;0),"Enter Letter"," ")</f>
        <v> </v>
      </c>
      <c r="G195" s="180" t="str">
        <f aca="false">IF((D195="d"),F195," ")</f>
        <v> </v>
      </c>
      <c r="H195" s="180" t="str">
        <f aca="false">IF((D195="h"),F195," ")</f>
        <v> </v>
      </c>
      <c r="I195" s="180" t="str">
        <f aca="false">IF((D195="r"),F195," ")</f>
        <v> </v>
      </c>
      <c r="J195" s="180" t="str">
        <f aca="false">IF((D195="t"),F195," ")</f>
        <v> </v>
      </c>
      <c r="K195" s="180" t="str">
        <f aca="false">IF((D195="e"),F195," ")</f>
        <v> </v>
      </c>
      <c r="L195" s="180" t="str">
        <f aca="false">IF((D195="p"),F195," ")</f>
        <v> </v>
      </c>
      <c r="M195" s="180" t="str">
        <f aca="false">IF((D195="g"),F195," ")</f>
        <v> </v>
      </c>
      <c r="N195" s="180" t="str">
        <f aca="false">IF((D195="a"),F195," ")</f>
        <v> </v>
      </c>
      <c r="O195" s="180" t="str">
        <f aca="false">IF((D195="l"),F195," ")</f>
        <v> </v>
      </c>
      <c r="P195" s="180" t="str">
        <f aca="false">IF((D195="i"),F195," ")</f>
        <v> </v>
      </c>
      <c r="Q195" s="180" t="str">
        <f aca="false">IF((D195="b"),F195," ")</f>
        <v> </v>
      </c>
      <c r="R195" s="180" t="str">
        <f aca="false">IF((D195="o"),F195," ")</f>
        <v> </v>
      </c>
      <c r="S195" s="180" t="str">
        <f aca="false">IF((D195="f"),F195," ")</f>
        <v> </v>
      </c>
      <c r="U195" s="371"/>
    </row>
    <row r="196" customFormat="false" ht="12.75" hidden="false" customHeight="false" outlineLevel="0" collapsed="false">
      <c r="D196" s="371" t="str">
        <f aca="false">IF((F196&lt;&gt;0),"Enter Letter"," ")</f>
        <v> </v>
      </c>
      <c r="G196" s="180" t="str">
        <f aca="false">IF((D196="d"),F196," ")</f>
        <v> </v>
      </c>
      <c r="H196" s="180" t="str">
        <f aca="false">IF((D196="h"),F196," ")</f>
        <v> </v>
      </c>
      <c r="I196" s="180" t="str">
        <f aca="false">IF((D196="r"),F196," ")</f>
        <v> </v>
      </c>
      <c r="J196" s="180" t="str">
        <f aca="false">IF((D196="t"),F196," ")</f>
        <v> </v>
      </c>
      <c r="K196" s="180" t="str">
        <f aca="false">IF((D196="e"),F196," ")</f>
        <v> </v>
      </c>
      <c r="L196" s="180" t="str">
        <f aca="false">IF((D196="p"),F196," ")</f>
        <v> </v>
      </c>
      <c r="M196" s="180" t="str">
        <f aca="false">IF((D196="g"),F196," ")</f>
        <v> </v>
      </c>
      <c r="N196" s="180" t="str">
        <f aca="false">IF((D196="a"),F196," ")</f>
        <v> </v>
      </c>
      <c r="O196" s="180" t="str">
        <f aca="false">IF((D196="l"),F196," ")</f>
        <v> </v>
      </c>
      <c r="P196" s="180" t="str">
        <f aca="false">IF((D196="i"),F196," ")</f>
        <v> </v>
      </c>
      <c r="Q196" s="180" t="str">
        <f aca="false">IF((D196="b"),F196," ")</f>
        <v> </v>
      </c>
      <c r="R196" s="180" t="str">
        <f aca="false">IF((D196="o"),F196," ")</f>
        <v> </v>
      </c>
      <c r="S196" s="180" t="str">
        <f aca="false">IF((D196="f"),F196," ")</f>
        <v> </v>
      </c>
      <c r="U196" s="371"/>
    </row>
    <row r="197" customFormat="false" ht="12.75" hidden="false" customHeight="false" outlineLevel="0" collapsed="false">
      <c r="D197" s="371" t="str">
        <f aca="false">IF((F197&lt;&gt;0),"Enter Letter"," ")</f>
        <v> </v>
      </c>
      <c r="G197" s="180" t="str">
        <f aca="false">IF((D197="d"),F197," ")</f>
        <v> </v>
      </c>
      <c r="H197" s="180" t="str">
        <f aca="false">IF((D197="h"),F197," ")</f>
        <v> </v>
      </c>
      <c r="I197" s="180" t="str">
        <f aca="false">IF((D197="r"),F197," ")</f>
        <v> </v>
      </c>
      <c r="J197" s="180" t="str">
        <f aca="false">IF((D197="t"),F197," ")</f>
        <v> </v>
      </c>
      <c r="K197" s="180" t="str">
        <f aca="false">IF((D197="e"),F197," ")</f>
        <v> </v>
      </c>
      <c r="L197" s="180" t="str">
        <f aca="false">IF((D197="p"),F197," ")</f>
        <v> </v>
      </c>
      <c r="M197" s="180" t="str">
        <f aca="false">IF((D197="g"),F197," ")</f>
        <v> </v>
      </c>
      <c r="N197" s="180" t="str">
        <f aca="false">IF((D197="a"),F197," ")</f>
        <v> </v>
      </c>
      <c r="O197" s="180" t="str">
        <f aca="false">IF((D197="l"),F197," ")</f>
        <v> </v>
      </c>
      <c r="P197" s="180" t="str">
        <f aca="false">IF((D197="i"),F197," ")</f>
        <v> </v>
      </c>
      <c r="Q197" s="180" t="str">
        <f aca="false">IF((D197="b"),F197," ")</f>
        <v> </v>
      </c>
      <c r="R197" s="180" t="str">
        <f aca="false">IF((D197="o"),F197," ")</f>
        <v> </v>
      </c>
      <c r="S197" s="180" t="str">
        <f aca="false">IF((D197="f"),F197," ")</f>
        <v> </v>
      </c>
      <c r="U197" s="371"/>
    </row>
    <row r="198" customFormat="false" ht="12.75" hidden="false" customHeight="false" outlineLevel="0" collapsed="false">
      <c r="D198" s="371" t="str">
        <f aca="false">IF((F198&lt;&gt;0),"Enter Letter"," ")</f>
        <v> </v>
      </c>
      <c r="G198" s="180" t="str">
        <f aca="false">IF((D198="d"),F198," ")</f>
        <v> </v>
      </c>
      <c r="H198" s="180" t="str">
        <f aca="false">IF((D198="h"),F198," ")</f>
        <v> </v>
      </c>
      <c r="I198" s="180" t="str">
        <f aca="false">IF((D198="r"),F198," ")</f>
        <v> </v>
      </c>
      <c r="J198" s="180" t="str">
        <f aca="false">IF((D198="t"),F198," ")</f>
        <v> </v>
      </c>
      <c r="K198" s="180" t="str">
        <f aca="false">IF((D198="e"),F198," ")</f>
        <v> </v>
      </c>
      <c r="L198" s="180" t="str">
        <f aca="false">IF((D198="p"),F198," ")</f>
        <v> </v>
      </c>
      <c r="M198" s="180" t="str">
        <f aca="false">IF((D198="g"),F198," ")</f>
        <v> </v>
      </c>
      <c r="N198" s="180" t="str">
        <f aca="false">IF((D198="a"),F198," ")</f>
        <v> </v>
      </c>
      <c r="O198" s="180" t="str">
        <f aca="false">IF((D198="l"),F198," ")</f>
        <v> </v>
      </c>
      <c r="P198" s="180" t="str">
        <f aca="false">IF((D198="i"),F198," ")</f>
        <v> </v>
      </c>
      <c r="Q198" s="180" t="str">
        <f aca="false">IF((D198="b"),F198," ")</f>
        <v> </v>
      </c>
      <c r="R198" s="180" t="str">
        <f aca="false">IF((D198="o"),F198," ")</f>
        <v> </v>
      </c>
      <c r="S198" s="180" t="str">
        <f aca="false">IF((D198="f"),F198," ")</f>
        <v> </v>
      </c>
      <c r="U198" s="371"/>
    </row>
    <row r="199" customFormat="false" ht="12.75" hidden="false" customHeight="false" outlineLevel="0" collapsed="false">
      <c r="D199" s="371" t="str">
        <f aca="false">IF((F199&lt;&gt;0),"Enter Letter"," ")</f>
        <v> </v>
      </c>
      <c r="G199" s="180" t="str">
        <f aca="false">IF((D199="d"),F199," ")</f>
        <v> </v>
      </c>
      <c r="H199" s="180" t="str">
        <f aca="false">IF((D199="h"),F199," ")</f>
        <v> </v>
      </c>
      <c r="I199" s="180" t="str">
        <f aca="false">IF((D199="r"),F199," ")</f>
        <v> </v>
      </c>
      <c r="J199" s="180" t="str">
        <f aca="false">IF((D199="t"),F199," ")</f>
        <v> </v>
      </c>
      <c r="K199" s="180" t="str">
        <f aca="false">IF((D199="e"),F199," ")</f>
        <v> </v>
      </c>
      <c r="L199" s="180" t="str">
        <f aca="false">IF((D199="p"),F199," ")</f>
        <v> </v>
      </c>
      <c r="M199" s="180" t="str">
        <f aca="false">IF((D199="g"),F199," ")</f>
        <v> </v>
      </c>
      <c r="N199" s="180" t="str">
        <f aca="false">IF((D199="a"),F199," ")</f>
        <v> </v>
      </c>
      <c r="O199" s="180" t="str">
        <f aca="false">IF((D199="l"),F199," ")</f>
        <v> </v>
      </c>
      <c r="P199" s="180" t="str">
        <f aca="false">IF((D199="i"),F199," ")</f>
        <v> </v>
      </c>
      <c r="Q199" s="180" t="str">
        <f aca="false">IF((D199="b"),F199," ")</f>
        <v> </v>
      </c>
      <c r="R199" s="180" t="str">
        <f aca="false">IF((D199="o"),F199," ")</f>
        <v> </v>
      </c>
      <c r="S199" s="180" t="str">
        <f aca="false">IF((D199="f"),F199," ")</f>
        <v> </v>
      </c>
      <c r="U199" s="371"/>
    </row>
    <row r="200" customFormat="false" ht="12.75" hidden="false" customHeight="false" outlineLevel="0" collapsed="false">
      <c r="D200" s="371" t="str">
        <f aca="false">IF((F200&lt;&gt;0),"Enter Letter"," ")</f>
        <v> </v>
      </c>
      <c r="G200" s="180" t="str">
        <f aca="false">IF((D200="d"),F200," ")</f>
        <v> </v>
      </c>
      <c r="H200" s="180" t="str">
        <f aca="false">IF((D200="h"),F200," ")</f>
        <v> </v>
      </c>
      <c r="I200" s="180" t="str">
        <f aca="false">IF((D200="r"),F200," ")</f>
        <v> </v>
      </c>
      <c r="J200" s="180" t="str">
        <f aca="false">IF((D200="t"),F200," ")</f>
        <v> </v>
      </c>
      <c r="K200" s="180" t="str">
        <f aca="false">IF((D200="e"),F200," ")</f>
        <v> </v>
      </c>
      <c r="L200" s="180" t="str">
        <f aca="false">IF((D200="p"),F200," ")</f>
        <v> </v>
      </c>
      <c r="M200" s="180" t="str">
        <f aca="false">IF((D200="g"),F200," ")</f>
        <v> </v>
      </c>
      <c r="N200" s="180" t="str">
        <f aca="false">IF((D200="a"),F200," ")</f>
        <v> </v>
      </c>
      <c r="O200" s="180" t="str">
        <f aca="false">IF((D200="l"),F200," ")</f>
        <v> </v>
      </c>
      <c r="P200" s="180" t="str">
        <f aca="false">IF((D200="i"),F200," ")</f>
        <v> </v>
      </c>
      <c r="Q200" s="180" t="str">
        <f aca="false">IF((D200="b"),F200," ")</f>
        <v> </v>
      </c>
      <c r="R200" s="180" t="str">
        <f aca="false">IF((D200="o"),F200," ")</f>
        <v> </v>
      </c>
      <c r="S200" s="180" t="str">
        <f aca="false">IF((D200="f"),F200," ")</f>
        <v> </v>
      </c>
      <c r="U200" s="371"/>
    </row>
    <row r="201" customFormat="false" ht="12.75" hidden="false" customHeight="false" outlineLevel="0" collapsed="false">
      <c r="D201" s="371" t="str">
        <f aca="false">IF((F201&lt;&gt;0),"Enter Letter"," ")</f>
        <v> </v>
      </c>
      <c r="G201" s="180" t="str">
        <f aca="false">IF((D201="d"),F201," ")</f>
        <v> </v>
      </c>
      <c r="H201" s="180" t="str">
        <f aca="false">IF((D201="h"),F201," ")</f>
        <v> </v>
      </c>
      <c r="I201" s="180" t="str">
        <f aca="false">IF((D201="r"),F201," ")</f>
        <v> </v>
      </c>
      <c r="J201" s="180" t="str">
        <f aca="false">IF((D201="t"),F201," ")</f>
        <v> </v>
      </c>
      <c r="K201" s="180" t="str">
        <f aca="false">IF((D201="e"),F201," ")</f>
        <v> </v>
      </c>
      <c r="L201" s="180" t="str">
        <f aca="false">IF((D201="p"),F201," ")</f>
        <v> </v>
      </c>
      <c r="M201" s="180" t="str">
        <f aca="false">IF((D201="g"),F201," ")</f>
        <v> </v>
      </c>
      <c r="N201" s="180" t="str">
        <f aca="false">IF((D201="a"),F201," ")</f>
        <v> </v>
      </c>
      <c r="O201" s="180" t="str">
        <f aca="false">IF((D201="l"),F201," ")</f>
        <v> </v>
      </c>
      <c r="P201" s="180" t="str">
        <f aca="false">IF((D201="i"),F201," ")</f>
        <v> </v>
      </c>
      <c r="Q201" s="180" t="str">
        <f aca="false">IF((D201="b"),F201," ")</f>
        <v> </v>
      </c>
      <c r="R201" s="180" t="str">
        <f aca="false">IF((D201="o"),F201," ")</f>
        <v> </v>
      </c>
      <c r="S201" s="180" t="str">
        <f aca="false">IF((D201="f"),F201," ")</f>
        <v> </v>
      </c>
      <c r="U201" s="371"/>
    </row>
    <row r="202" customFormat="false" ht="12.75" hidden="false" customHeight="false" outlineLevel="0" collapsed="false">
      <c r="D202" s="371" t="str">
        <f aca="false">IF((F202&lt;&gt;0),"Enter Letter"," ")</f>
        <v> </v>
      </c>
      <c r="G202" s="180" t="str">
        <f aca="false">IF((D202="d"),F202," ")</f>
        <v> </v>
      </c>
      <c r="H202" s="180" t="str">
        <f aca="false">IF((D202="h"),F202," ")</f>
        <v> </v>
      </c>
      <c r="I202" s="180" t="str">
        <f aca="false">IF((D202="r"),F202," ")</f>
        <v> </v>
      </c>
      <c r="J202" s="180" t="str">
        <f aca="false">IF((D202="t"),F202," ")</f>
        <v> </v>
      </c>
      <c r="K202" s="180" t="str">
        <f aca="false">IF((D202="e"),F202," ")</f>
        <v> </v>
      </c>
      <c r="L202" s="180" t="str">
        <f aca="false">IF((D202="p"),F202," ")</f>
        <v> </v>
      </c>
      <c r="M202" s="180" t="str">
        <f aca="false">IF((D202="g"),F202," ")</f>
        <v> </v>
      </c>
      <c r="N202" s="180" t="str">
        <f aca="false">IF((D202="a"),F202," ")</f>
        <v> </v>
      </c>
      <c r="O202" s="180" t="str">
        <f aca="false">IF((D202="l"),F202," ")</f>
        <v> </v>
      </c>
      <c r="P202" s="180" t="str">
        <f aca="false">IF((D202="i"),F202," ")</f>
        <v> </v>
      </c>
      <c r="Q202" s="180" t="str">
        <f aca="false">IF((D202="b"),F202," ")</f>
        <v> </v>
      </c>
      <c r="R202" s="180" t="str">
        <f aca="false">IF((D202="o"),F202," ")</f>
        <v> </v>
      </c>
      <c r="S202" s="180" t="str">
        <f aca="false">IF((D202="f"),F202," ")</f>
        <v> </v>
      </c>
      <c r="U202" s="371"/>
    </row>
    <row r="203" customFormat="false" ht="12.75" hidden="false" customHeight="false" outlineLevel="0" collapsed="false">
      <c r="D203" s="371" t="str">
        <f aca="false">IF((F203&lt;&gt;0),"Enter Letter"," ")</f>
        <v> </v>
      </c>
      <c r="G203" s="180" t="str">
        <f aca="false">IF((D203="d"),F203," ")</f>
        <v> </v>
      </c>
      <c r="H203" s="180" t="str">
        <f aca="false">IF((D203="h"),F203," ")</f>
        <v> </v>
      </c>
      <c r="I203" s="180" t="str">
        <f aca="false">IF((D203="r"),F203," ")</f>
        <v> </v>
      </c>
      <c r="J203" s="180" t="str">
        <f aca="false">IF((D203="t"),F203," ")</f>
        <v> </v>
      </c>
      <c r="K203" s="180" t="str">
        <f aca="false">IF((D203="e"),F203," ")</f>
        <v> </v>
      </c>
      <c r="L203" s="180" t="str">
        <f aca="false">IF((D203="p"),F203," ")</f>
        <v> </v>
      </c>
      <c r="M203" s="180" t="str">
        <f aca="false">IF((D203="g"),F203," ")</f>
        <v> </v>
      </c>
      <c r="N203" s="180" t="str">
        <f aca="false">IF((D203="a"),F203," ")</f>
        <v> </v>
      </c>
      <c r="O203" s="180" t="str">
        <f aca="false">IF((D203="l"),F203," ")</f>
        <v> </v>
      </c>
      <c r="P203" s="180" t="str">
        <f aca="false">IF((D203="i"),F203," ")</f>
        <v> </v>
      </c>
      <c r="Q203" s="180" t="str">
        <f aca="false">IF((D203="b"),F203," ")</f>
        <v> </v>
      </c>
      <c r="R203" s="180" t="str">
        <f aca="false">IF((D203="o"),F203," ")</f>
        <v> </v>
      </c>
      <c r="S203" s="180" t="str">
        <f aca="false">IF((D203="f"),F203," ")</f>
        <v> </v>
      </c>
      <c r="U203" s="371"/>
    </row>
    <row r="204" customFormat="false" ht="12.75" hidden="false" customHeight="false" outlineLevel="0" collapsed="false">
      <c r="D204" s="371" t="str">
        <f aca="false">IF((F204&lt;&gt;0),"Enter Letter"," ")</f>
        <v> </v>
      </c>
      <c r="G204" s="180" t="str">
        <f aca="false">IF((D204="d"),F204," ")</f>
        <v> </v>
      </c>
      <c r="H204" s="180" t="str">
        <f aca="false">IF((D204="h"),F204," ")</f>
        <v> </v>
      </c>
      <c r="I204" s="180" t="str">
        <f aca="false">IF((D204="r"),F204," ")</f>
        <v> </v>
      </c>
      <c r="J204" s="180" t="str">
        <f aca="false">IF((D204="t"),F204," ")</f>
        <v> </v>
      </c>
      <c r="K204" s="180" t="str">
        <f aca="false">IF((D204="e"),F204," ")</f>
        <v> </v>
      </c>
      <c r="L204" s="180" t="str">
        <f aca="false">IF((D204="p"),F204," ")</f>
        <v> </v>
      </c>
      <c r="M204" s="180" t="str">
        <f aca="false">IF((D204="g"),F204," ")</f>
        <v> </v>
      </c>
      <c r="N204" s="180" t="str">
        <f aca="false">IF((D204="a"),F204," ")</f>
        <v> </v>
      </c>
      <c r="O204" s="180" t="str">
        <f aca="false">IF((D204="l"),F204," ")</f>
        <v> </v>
      </c>
      <c r="P204" s="180" t="str">
        <f aca="false">IF((D204="i"),F204," ")</f>
        <v> </v>
      </c>
      <c r="Q204" s="180" t="str">
        <f aca="false">IF((D204="b"),F204," ")</f>
        <v> </v>
      </c>
      <c r="R204" s="180" t="str">
        <f aca="false">IF((D204="o"),F204," ")</f>
        <v> </v>
      </c>
      <c r="S204" s="180" t="str">
        <f aca="false">IF((D204="f"),F204," ")</f>
        <v> </v>
      </c>
      <c r="U204" s="371"/>
    </row>
    <row r="205" customFormat="false" ht="12.75" hidden="false" customHeight="false" outlineLevel="0" collapsed="false">
      <c r="U205" s="371"/>
    </row>
    <row r="206" customFormat="false" ht="12.75" hidden="false" customHeight="false" outlineLevel="0" collapsed="false">
      <c r="U206" s="371"/>
    </row>
    <row r="207" customFormat="false" ht="12.75" hidden="false" customHeight="false" outlineLevel="0" collapsed="false">
      <c r="U207" s="371"/>
    </row>
    <row r="208" customFormat="false" ht="12.75" hidden="false" customHeight="false" outlineLevel="0" collapsed="false">
      <c r="U208" s="371"/>
    </row>
    <row r="209" customFormat="false" ht="12.75" hidden="false" customHeight="false" outlineLevel="0" collapsed="false">
      <c r="U209" s="371"/>
    </row>
    <row r="210" customFormat="false" ht="12.75" hidden="false" customHeight="false" outlineLevel="0" collapsed="false">
      <c r="U210" s="371"/>
    </row>
    <row r="211" customFormat="false" ht="12.75" hidden="false" customHeight="false" outlineLevel="0" collapsed="false">
      <c r="U211" s="371"/>
    </row>
    <row r="212" customFormat="false" ht="12.75" hidden="false" customHeight="false" outlineLevel="0" collapsed="false">
      <c r="U212" s="371"/>
    </row>
    <row r="213" customFormat="false" ht="12.75" hidden="false" customHeight="false" outlineLevel="0" collapsed="false">
      <c r="U213" s="371"/>
    </row>
    <row r="214" customFormat="false" ht="12.75" hidden="false" customHeight="false" outlineLevel="0" collapsed="false">
      <c r="U214" s="371"/>
    </row>
    <row r="215" customFormat="false" ht="12.75" hidden="false" customHeight="false" outlineLevel="0" collapsed="false">
      <c r="U215" s="371"/>
    </row>
    <row r="216" customFormat="false" ht="12.75" hidden="false" customHeight="false" outlineLevel="0" collapsed="false">
      <c r="U216" s="371"/>
    </row>
    <row r="217" customFormat="false" ht="12.75" hidden="false" customHeight="false" outlineLevel="0" collapsed="false">
      <c r="U217" s="371"/>
    </row>
    <row r="218" customFormat="false" ht="12.75" hidden="false" customHeight="false" outlineLevel="0" collapsed="false">
      <c r="U218" s="371"/>
    </row>
    <row r="219" customFormat="false" ht="12.75" hidden="false" customHeight="false" outlineLevel="0" collapsed="false">
      <c r="U219" s="371"/>
    </row>
    <row r="220" customFormat="false" ht="12.75" hidden="false" customHeight="false" outlineLevel="0" collapsed="false">
      <c r="U220" s="371"/>
    </row>
    <row r="221" customFormat="false" ht="12.75" hidden="false" customHeight="false" outlineLevel="0" collapsed="false">
      <c r="U221" s="371"/>
    </row>
    <row r="222" customFormat="false" ht="12.75" hidden="false" customHeight="false" outlineLevel="0" collapsed="false">
      <c r="U222" s="371"/>
    </row>
    <row r="223" customFormat="false" ht="12.75" hidden="false" customHeight="false" outlineLevel="0" collapsed="false">
      <c r="U223" s="371"/>
    </row>
    <row r="224" customFormat="false" ht="12.75" hidden="false" customHeight="false" outlineLevel="0" collapsed="false">
      <c r="U224" s="371"/>
    </row>
    <row r="225" customFormat="false" ht="12.75" hidden="false" customHeight="false" outlineLevel="0" collapsed="false">
      <c r="U225" s="371"/>
    </row>
    <row r="226" customFormat="false" ht="12.75" hidden="false" customHeight="false" outlineLevel="0" collapsed="false">
      <c r="U226" s="371"/>
    </row>
    <row r="227" customFormat="false" ht="12.75" hidden="false" customHeight="false" outlineLevel="0" collapsed="false">
      <c r="U227" s="371"/>
    </row>
    <row r="228" customFormat="false" ht="12.75" hidden="false" customHeight="false" outlineLevel="0" collapsed="false">
      <c r="U228" s="371"/>
    </row>
    <row r="229" customFormat="false" ht="12.75" hidden="false" customHeight="false" outlineLevel="0" collapsed="false">
      <c r="U229" s="371"/>
    </row>
    <row r="230" customFormat="false" ht="12.75" hidden="false" customHeight="false" outlineLevel="0" collapsed="false">
      <c r="U230" s="371"/>
    </row>
    <row r="231" customFormat="false" ht="12.75" hidden="false" customHeight="false" outlineLevel="0" collapsed="false">
      <c r="U231" s="371"/>
    </row>
    <row r="232" customFormat="false" ht="12.75" hidden="false" customHeight="false" outlineLevel="0" collapsed="false">
      <c r="U232" s="371"/>
    </row>
    <row r="233" customFormat="false" ht="12.75" hidden="false" customHeight="false" outlineLevel="0" collapsed="false">
      <c r="U233" s="371"/>
    </row>
    <row r="234" customFormat="false" ht="12.75" hidden="false" customHeight="false" outlineLevel="0" collapsed="false">
      <c r="U234" s="371"/>
    </row>
    <row r="235" customFormat="false" ht="12.75" hidden="false" customHeight="false" outlineLevel="0" collapsed="false">
      <c r="U235" s="371"/>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&amp;C&amp;"Arial,Bold"&amp;12Costs and Expenses</oddHeader>
    <oddFooter>&amp;L&amp;D  &amp;T&amp;C&amp;P  of  &amp;N&amp;R&amp;F  &amp;A</oddFooter>
  </headerFooter>
  <colBreaks count="1" manualBreakCount="1">
    <brk id="6" man="true" max="65535" min="0"/>
  </colBreak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customHeight="false" zeroHeight="false" outlineLevelRow="0" outlineLevelCol="0"/>
  <cols>
    <col collapsed="false" customWidth="true" hidden="false" outlineLevel="0" max="1" min="1" style="344" width="9.66"/>
    <col collapsed="false" customWidth="true" hidden="false" outlineLevel="0" max="2" min="2" style="345" width="14.66"/>
    <col collapsed="false" customWidth="true" hidden="false" outlineLevel="0" max="3" min="3" style="180" width="13.66"/>
    <col collapsed="false" customWidth="true" hidden="false" outlineLevel="0" max="4" min="4" style="346" width="12.66"/>
    <col collapsed="false" customWidth="true" hidden="false" outlineLevel="0" max="5" min="5" style="347" width="12.66"/>
    <col collapsed="false" customWidth="true" hidden="false" outlineLevel="0" max="6" min="6" style="180" width="12.66"/>
    <col collapsed="false" customWidth="false" hidden="false" outlineLevel="0" max="257" min="7" style="180" width="9.15"/>
  </cols>
  <sheetData>
    <row r="1" customFormat="false" ht="12.75" hidden="false" customHeight="true" outlineLevel="0" collapsed="false">
      <c r="A1" s="348" t="s">
        <v>240</v>
      </c>
      <c r="B1" s="349" t="s">
        <v>241</v>
      </c>
      <c r="C1" s="350" t="s">
        <v>242</v>
      </c>
      <c r="D1" s="351" t="n">
        <f aca="false">SUM(D4:D47)</f>
        <v>0</v>
      </c>
      <c r="E1" s="350" t="n">
        <f aca="false">SUM(E4:E47)/2</f>
        <v>3000</v>
      </c>
      <c r="F1" s="350" t="n">
        <f aca="false">SUM(F4:F47)/2</f>
        <v>0</v>
      </c>
      <c r="G1" s="352"/>
      <c r="H1" s="352"/>
      <c r="I1" s="352"/>
      <c r="J1" s="352"/>
      <c r="K1" s="352"/>
      <c r="L1" s="352"/>
      <c r="M1" s="352"/>
      <c r="N1" s="352"/>
      <c r="O1" s="352"/>
      <c r="P1" s="352"/>
      <c r="Q1" s="352"/>
      <c r="R1" s="352"/>
      <c r="S1" s="352"/>
      <c r="T1" s="352"/>
      <c r="U1" s="352"/>
      <c r="V1" s="352"/>
      <c r="W1" s="352"/>
      <c r="X1" s="352"/>
      <c r="Y1" s="352"/>
      <c r="Z1" s="352"/>
      <c r="AA1" s="352"/>
      <c r="AB1" s="352"/>
      <c r="AC1" s="352"/>
      <c r="AD1" s="352"/>
      <c r="AE1" s="352"/>
      <c r="AF1" s="352"/>
      <c r="AG1" s="352"/>
      <c r="AH1" s="352"/>
      <c r="AI1" s="352"/>
      <c r="AJ1" s="352"/>
      <c r="AK1" s="352"/>
      <c r="AL1" s="352"/>
      <c r="AM1" s="352"/>
      <c r="AN1" s="352"/>
      <c r="AO1" s="352"/>
      <c r="AP1" s="352"/>
      <c r="AQ1" s="352"/>
      <c r="AR1" s="352"/>
      <c r="AS1" s="352"/>
      <c r="AT1" s="352"/>
      <c r="AU1" s="352"/>
      <c r="AV1" s="352"/>
      <c r="AW1" s="352"/>
      <c r="AX1" s="352"/>
      <c r="AY1" s="352"/>
      <c r="AZ1" s="352"/>
      <c r="BA1" s="352"/>
      <c r="BB1" s="352"/>
      <c r="BC1" s="352"/>
      <c r="BD1" s="352"/>
      <c r="BE1" s="352"/>
      <c r="BF1" s="352"/>
      <c r="BG1" s="352"/>
      <c r="BH1" s="352"/>
      <c r="BI1" s="352"/>
      <c r="BJ1" s="352"/>
      <c r="BK1" s="352"/>
      <c r="BL1" s="352"/>
      <c r="BM1" s="352"/>
      <c r="BN1" s="352"/>
      <c r="BO1" s="352"/>
      <c r="BP1" s="352"/>
      <c r="BQ1" s="352"/>
      <c r="BR1" s="352"/>
      <c r="BS1" s="352"/>
      <c r="BT1" s="352"/>
      <c r="BU1" s="352"/>
      <c r="BV1" s="352"/>
      <c r="BW1" s="352"/>
      <c r="BX1" s="352"/>
      <c r="BY1" s="352"/>
      <c r="BZ1" s="352"/>
      <c r="CA1" s="352"/>
      <c r="CB1" s="352"/>
      <c r="CC1" s="352"/>
      <c r="CD1" s="352"/>
      <c r="CE1" s="352"/>
      <c r="CF1" s="352"/>
      <c r="CG1" s="352"/>
      <c r="CH1" s="352"/>
      <c r="CI1" s="352"/>
      <c r="CJ1" s="352"/>
      <c r="CK1" s="352"/>
      <c r="CL1" s="352"/>
      <c r="CM1" s="352"/>
      <c r="CN1" s="352"/>
      <c r="CO1" s="352"/>
      <c r="CP1" s="352"/>
      <c r="CQ1" s="352"/>
      <c r="CR1" s="352"/>
      <c r="CS1" s="352"/>
      <c r="CT1" s="352"/>
      <c r="CU1" s="352"/>
      <c r="CV1" s="352"/>
      <c r="CW1" s="352"/>
      <c r="CX1" s="352"/>
      <c r="CY1" s="352"/>
      <c r="CZ1" s="352"/>
      <c r="DA1" s="352"/>
      <c r="DB1" s="352"/>
      <c r="DC1" s="352"/>
      <c r="DD1" s="352"/>
      <c r="DE1" s="352"/>
      <c r="DF1" s="352"/>
      <c r="DG1" s="352"/>
      <c r="DH1" s="352"/>
      <c r="DI1" s="352"/>
      <c r="DJ1" s="352"/>
      <c r="DK1" s="352"/>
      <c r="DL1" s="352"/>
      <c r="DM1" s="352"/>
      <c r="DN1" s="352"/>
      <c r="DO1" s="352"/>
      <c r="DP1" s="352"/>
      <c r="DQ1" s="352"/>
      <c r="DR1" s="352"/>
      <c r="DS1" s="352"/>
      <c r="DT1" s="352"/>
      <c r="DU1" s="352"/>
      <c r="DV1" s="352"/>
      <c r="DW1" s="352"/>
      <c r="DX1" s="352"/>
      <c r="DY1" s="352"/>
      <c r="DZ1" s="352"/>
      <c r="EA1" s="352"/>
      <c r="EB1" s="352"/>
      <c r="EC1" s="352"/>
      <c r="ED1" s="352"/>
      <c r="EE1" s="352"/>
      <c r="EF1" s="352"/>
      <c r="EG1" s="352"/>
      <c r="EH1" s="352"/>
      <c r="EI1" s="352"/>
      <c r="EJ1" s="352"/>
      <c r="EK1" s="352"/>
      <c r="EL1" s="352"/>
      <c r="EM1" s="352"/>
      <c r="EN1" s="352"/>
      <c r="EO1" s="352"/>
      <c r="EP1" s="352"/>
      <c r="EQ1" s="352"/>
      <c r="ER1" s="352"/>
      <c r="ES1" s="352"/>
      <c r="ET1" s="352"/>
      <c r="EU1" s="352"/>
      <c r="EV1" s="352"/>
      <c r="EW1" s="352"/>
      <c r="EX1" s="352"/>
      <c r="EY1" s="352"/>
      <c r="EZ1" s="352"/>
      <c r="FA1" s="352"/>
      <c r="FB1" s="352"/>
      <c r="FC1" s="352"/>
      <c r="FD1" s="352"/>
      <c r="FE1" s="352"/>
      <c r="FF1" s="352"/>
      <c r="FG1" s="352"/>
      <c r="FH1" s="352"/>
      <c r="FI1" s="352"/>
      <c r="FJ1" s="352"/>
      <c r="FK1" s="352"/>
      <c r="FL1" s="352"/>
      <c r="FM1" s="352"/>
      <c r="FN1" s="352"/>
      <c r="FO1" s="352"/>
      <c r="FP1" s="352"/>
      <c r="FQ1" s="352"/>
      <c r="FR1" s="352"/>
      <c r="FS1" s="352"/>
      <c r="FT1" s="352"/>
      <c r="FU1" s="352"/>
      <c r="FV1" s="352"/>
      <c r="FW1" s="352"/>
      <c r="FX1" s="352"/>
      <c r="FY1" s="352"/>
      <c r="FZ1" s="352"/>
      <c r="GA1" s="352"/>
      <c r="GB1" s="352"/>
      <c r="GC1" s="352"/>
      <c r="GD1" s="352"/>
      <c r="GE1" s="352"/>
      <c r="GF1" s="352"/>
      <c r="GG1" s="352"/>
      <c r="GH1" s="352"/>
      <c r="GI1" s="352"/>
      <c r="GJ1" s="352"/>
      <c r="GK1" s="352"/>
      <c r="GL1" s="352"/>
      <c r="GM1" s="352"/>
      <c r="GN1" s="352"/>
      <c r="GO1" s="352"/>
      <c r="GP1" s="352"/>
      <c r="GQ1" s="352"/>
      <c r="GR1" s="352"/>
      <c r="GS1" s="352"/>
      <c r="GT1" s="352"/>
      <c r="GU1" s="352"/>
      <c r="GV1" s="352"/>
      <c r="GW1" s="352"/>
      <c r="GX1" s="352"/>
      <c r="GY1" s="352"/>
      <c r="GZ1" s="352"/>
      <c r="HA1" s="352"/>
      <c r="HB1" s="352"/>
      <c r="HC1" s="352"/>
      <c r="HD1" s="352"/>
      <c r="HE1" s="352"/>
      <c r="HF1" s="352"/>
      <c r="HG1" s="352"/>
      <c r="HH1" s="352"/>
      <c r="HI1" s="352"/>
      <c r="HJ1" s="352"/>
      <c r="HK1" s="352"/>
      <c r="HL1" s="352"/>
      <c r="HM1" s="352"/>
      <c r="HN1" s="352"/>
      <c r="HO1" s="352"/>
      <c r="HP1" s="352"/>
      <c r="HQ1" s="352"/>
      <c r="HR1" s="352"/>
      <c r="HS1" s="352"/>
      <c r="HT1" s="352"/>
      <c r="HU1" s="352"/>
      <c r="HV1" s="352"/>
      <c r="HW1" s="352"/>
      <c r="HX1" s="352"/>
      <c r="HY1" s="352"/>
      <c r="HZ1" s="352"/>
      <c r="IA1" s="352"/>
      <c r="IB1" s="352"/>
      <c r="IC1" s="352"/>
      <c r="ID1" s="352"/>
      <c r="IE1" s="352"/>
      <c r="IF1" s="352"/>
      <c r="IG1" s="352"/>
      <c r="IH1" s="352"/>
      <c r="II1" s="352"/>
      <c r="IJ1" s="352"/>
      <c r="IK1" s="352"/>
      <c r="IL1" s="352"/>
      <c r="IM1" s="352"/>
      <c r="IN1" s="352"/>
      <c r="IO1" s="352"/>
      <c r="IP1" s="352"/>
      <c r="IQ1" s="352"/>
      <c r="IR1" s="352"/>
      <c r="IS1" s="352"/>
      <c r="IT1" s="352"/>
      <c r="IU1" s="352"/>
      <c r="IV1" s="352"/>
      <c r="IW1" s="352"/>
    </row>
    <row r="2" customFormat="false" ht="12.75" hidden="false" customHeight="true" outlineLevel="0" collapsed="false">
      <c r="A2" s="348"/>
      <c r="B2" s="349"/>
      <c r="C2" s="353" t="s">
        <v>243</v>
      </c>
      <c r="D2" s="354" t="s">
        <v>244</v>
      </c>
      <c r="E2" s="353" t="s">
        <v>245</v>
      </c>
      <c r="F2" s="353" t="s">
        <v>246</v>
      </c>
      <c r="G2" s="352"/>
      <c r="H2" s="352"/>
      <c r="I2" s="352"/>
      <c r="J2" s="352"/>
      <c r="K2" s="352"/>
      <c r="L2" s="352"/>
      <c r="M2" s="352"/>
      <c r="N2" s="352"/>
      <c r="O2" s="352"/>
      <c r="P2" s="352"/>
      <c r="Q2" s="352"/>
      <c r="R2" s="352"/>
      <c r="S2" s="352"/>
      <c r="T2" s="352"/>
      <c r="U2" s="352"/>
      <c r="V2" s="352"/>
      <c r="W2" s="352"/>
      <c r="X2" s="352"/>
      <c r="Y2" s="352"/>
      <c r="Z2" s="352"/>
      <c r="AA2" s="352"/>
      <c r="AB2" s="352"/>
      <c r="AC2" s="352"/>
      <c r="AD2" s="352"/>
      <c r="AE2" s="352"/>
      <c r="AF2" s="352"/>
      <c r="AG2" s="352"/>
      <c r="AH2" s="352"/>
      <c r="AI2" s="352"/>
      <c r="AJ2" s="352"/>
      <c r="AK2" s="352"/>
      <c r="AL2" s="352"/>
      <c r="AM2" s="352"/>
      <c r="AN2" s="352"/>
      <c r="AO2" s="352"/>
      <c r="AP2" s="352"/>
      <c r="AQ2" s="352"/>
      <c r="AR2" s="352"/>
      <c r="AS2" s="352"/>
      <c r="AT2" s="352"/>
      <c r="AU2" s="352"/>
      <c r="AV2" s="352"/>
      <c r="AW2" s="352"/>
      <c r="AX2" s="352"/>
      <c r="AY2" s="352"/>
      <c r="AZ2" s="352"/>
      <c r="BA2" s="352"/>
      <c r="BB2" s="352"/>
      <c r="BC2" s="352"/>
      <c r="BD2" s="352"/>
      <c r="BE2" s="352"/>
      <c r="BF2" s="352"/>
      <c r="BG2" s="352"/>
      <c r="BH2" s="352"/>
      <c r="BI2" s="352"/>
      <c r="BJ2" s="352"/>
      <c r="BK2" s="352"/>
      <c r="BL2" s="352"/>
      <c r="BM2" s="352"/>
      <c r="BN2" s="352"/>
      <c r="BO2" s="352"/>
      <c r="BP2" s="352"/>
      <c r="BQ2" s="352"/>
      <c r="BR2" s="352"/>
      <c r="BS2" s="352"/>
      <c r="BT2" s="352"/>
      <c r="BU2" s="352"/>
      <c r="BV2" s="352"/>
      <c r="BW2" s="352"/>
      <c r="BX2" s="352"/>
      <c r="BY2" s="352"/>
      <c r="BZ2" s="352"/>
      <c r="CA2" s="352"/>
      <c r="CB2" s="352"/>
      <c r="CC2" s="352"/>
      <c r="CD2" s="352"/>
      <c r="CE2" s="352"/>
      <c r="CF2" s="352"/>
      <c r="CG2" s="352"/>
      <c r="CH2" s="352"/>
      <c r="CI2" s="352"/>
      <c r="CJ2" s="352"/>
      <c r="CK2" s="352"/>
      <c r="CL2" s="352"/>
      <c r="CM2" s="352"/>
      <c r="CN2" s="352"/>
      <c r="CO2" s="352"/>
      <c r="CP2" s="352"/>
      <c r="CQ2" s="352"/>
      <c r="CR2" s="352"/>
      <c r="CS2" s="352"/>
      <c r="CT2" s="352"/>
      <c r="CU2" s="352"/>
      <c r="CV2" s="352"/>
      <c r="CW2" s="352"/>
      <c r="CX2" s="352"/>
      <c r="CY2" s="352"/>
      <c r="CZ2" s="352"/>
      <c r="DA2" s="352"/>
      <c r="DB2" s="352"/>
      <c r="DC2" s="352"/>
      <c r="DD2" s="352"/>
      <c r="DE2" s="352"/>
      <c r="DF2" s="352"/>
      <c r="DG2" s="352"/>
      <c r="DH2" s="352"/>
      <c r="DI2" s="352"/>
      <c r="DJ2" s="352"/>
      <c r="DK2" s="352"/>
      <c r="DL2" s="352"/>
      <c r="DM2" s="352"/>
      <c r="DN2" s="352"/>
      <c r="DO2" s="352"/>
      <c r="DP2" s="352"/>
      <c r="DQ2" s="352"/>
      <c r="DR2" s="352"/>
      <c r="DS2" s="352"/>
      <c r="DT2" s="352"/>
      <c r="DU2" s="352"/>
      <c r="DV2" s="352"/>
      <c r="DW2" s="352"/>
      <c r="DX2" s="352"/>
      <c r="DY2" s="352"/>
      <c r="DZ2" s="352"/>
      <c r="EA2" s="352"/>
      <c r="EB2" s="352"/>
      <c r="EC2" s="352"/>
      <c r="ED2" s="352"/>
      <c r="EE2" s="352"/>
      <c r="EF2" s="352"/>
      <c r="EG2" s="352"/>
      <c r="EH2" s="352"/>
      <c r="EI2" s="352"/>
      <c r="EJ2" s="352"/>
      <c r="EK2" s="352"/>
      <c r="EL2" s="352"/>
      <c r="EM2" s="352"/>
      <c r="EN2" s="352"/>
      <c r="EO2" s="352"/>
      <c r="EP2" s="352"/>
      <c r="EQ2" s="352"/>
      <c r="ER2" s="352"/>
      <c r="ES2" s="352"/>
      <c r="ET2" s="352"/>
      <c r="EU2" s="352"/>
      <c r="EV2" s="352"/>
      <c r="EW2" s="352"/>
      <c r="EX2" s="352"/>
      <c r="EY2" s="352"/>
      <c r="EZ2" s="352"/>
      <c r="FA2" s="352"/>
      <c r="FB2" s="352"/>
      <c r="FC2" s="352"/>
      <c r="FD2" s="352"/>
      <c r="FE2" s="352"/>
      <c r="FF2" s="352"/>
      <c r="FG2" s="352"/>
      <c r="FH2" s="352"/>
      <c r="FI2" s="352"/>
      <c r="FJ2" s="352"/>
      <c r="FK2" s="352"/>
      <c r="FL2" s="352"/>
      <c r="FM2" s="352"/>
      <c r="FN2" s="352"/>
      <c r="FO2" s="352"/>
      <c r="FP2" s="352"/>
      <c r="FQ2" s="352"/>
      <c r="FR2" s="352"/>
      <c r="FS2" s="352"/>
      <c r="FT2" s="352"/>
      <c r="FU2" s="352"/>
      <c r="FV2" s="352"/>
      <c r="FW2" s="352"/>
      <c r="FX2" s="352"/>
      <c r="FY2" s="352"/>
      <c r="FZ2" s="352"/>
      <c r="GA2" s="352"/>
      <c r="GB2" s="352"/>
      <c r="GC2" s="352"/>
      <c r="GD2" s="352"/>
      <c r="GE2" s="352"/>
      <c r="GF2" s="352"/>
      <c r="GG2" s="352"/>
      <c r="GH2" s="352"/>
      <c r="GI2" s="352"/>
      <c r="GJ2" s="352"/>
      <c r="GK2" s="352"/>
      <c r="GL2" s="352"/>
      <c r="GM2" s="352"/>
      <c r="GN2" s="352"/>
      <c r="GO2" s="352"/>
      <c r="GP2" s="352"/>
      <c r="GQ2" s="352"/>
      <c r="GR2" s="352"/>
      <c r="GS2" s="352"/>
      <c r="GT2" s="352"/>
      <c r="GU2" s="352"/>
      <c r="GV2" s="352"/>
      <c r="GW2" s="352"/>
      <c r="GX2" s="352"/>
      <c r="GY2" s="352"/>
      <c r="GZ2" s="352"/>
      <c r="HA2" s="352"/>
      <c r="HB2" s="352"/>
      <c r="HC2" s="352"/>
      <c r="HD2" s="352"/>
      <c r="HE2" s="352"/>
      <c r="HF2" s="352"/>
      <c r="HG2" s="352"/>
      <c r="HH2" s="352"/>
      <c r="HI2" s="352"/>
      <c r="HJ2" s="352"/>
      <c r="HK2" s="352"/>
      <c r="HL2" s="352"/>
      <c r="HM2" s="352"/>
      <c r="HN2" s="352"/>
      <c r="HO2" s="352"/>
      <c r="HP2" s="352"/>
      <c r="HQ2" s="352"/>
      <c r="HR2" s="352"/>
      <c r="HS2" s="352"/>
      <c r="HT2" s="352"/>
      <c r="HU2" s="352"/>
      <c r="HV2" s="352"/>
      <c r="HW2" s="352"/>
      <c r="HX2" s="352"/>
      <c r="HY2" s="352"/>
      <c r="HZ2" s="352"/>
      <c r="IA2" s="352"/>
      <c r="IB2" s="352"/>
      <c r="IC2" s="352"/>
      <c r="ID2" s="352"/>
      <c r="IE2" s="352"/>
      <c r="IF2" s="352"/>
      <c r="IG2" s="352"/>
      <c r="IH2" s="352"/>
      <c r="II2" s="352"/>
      <c r="IJ2" s="352"/>
      <c r="IK2" s="352"/>
      <c r="IL2" s="352"/>
      <c r="IM2" s="352"/>
      <c r="IN2" s="352"/>
      <c r="IO2" s="352"/>
      <c r="IP2" s="352"/>
      <c r="IQ2" s="352"/>
      <c r="IR2" s="352"/>
      <c r="IS2" s="352"/>
      <c r="IT2" s="352"/>
      <c r="IU2" s="352"/>
      <c r="IV2" s="352"/>
      <c r="IW2" s="352"/>
    </row>
    <row r="3" customFormat="false" ht="24" hidden="false" customHeight="true" outlineLevel="0" collapsed="false">
      <c r="A3" s="348"/>
      <c r="B3" s="349"/>
      <c r="C3" s="353"/>
      <c r="D3" s="354"/>
      <c r="E3" s="353"/>
      <c r="F3" s="353"/>
      <c r="G3" s="355"/>
      <c r="H3" s="355"/>
      <c r="I3" s="355"/>
      <c r="J3" s="355"/>
      <c r="K3" s="355"/>
      <c r="L3" s="355"/>
      <c r="M3" s="355"/>
      <c r="N3" s="355"/>
      <c r="O3" s="355"/>
      <c r="P3" s="355"/>
      <c r="Q3" s="355"/>
      <c r="R3" s="355"/>
      <c r="S3" s="355"/>
      <c r="T3" s="355"/>
      <c r="U3" s="355"/>
      <c r="V3" s="355"/>
      <c r="W3" s="355"/>
      <c r="X3" s="355"/>
      <c r="Y3" s="355"/>
      <c r="Z3" s="355"/>
      <c r="AA3" s="355"/>
      <c r="AB3" s="355"/>
      <c r="AC3" s="355"/>
      <c r="AD3" s="355"/>
      <c r="AE3" s="355"/>
      <c r="AF3" s="355"/>
      <c r="AG3" s="355"/>
      <c r="AH3" s="355"/>
      <c r="AI3" s="355"/>
      <c r="AJ3" s="355"/>
      <c r="AK3" s="355"/>
      <c r="AL3" s="355"/>
      <c r="AM3" s="355"/>
      <c r="AN3" s="355"/>
      <c r="AO3" s="355"/>
      <c r="AP3" s="355"/>
      <c r="AQ3" s="355"/>
      <c r="AR3" s="355"/>
      <c r="AS3" s="355"/>
      <c r="AT3" s="355"/>
      <c r="AU3" s="355"/>
      <c r="AV3" s="355"/>
      <c r="AW3" s="355"/>
      <c r="AX3" s="355"/>
      <c r="AY3" s="355"/>
      <c r="AZ3" s="355"/>
      <c r="BA3" s="355"/>
      <c r="BB3" s="355"/>
      <c r="BC3" s="355"/>
      <c r="BD3" s="355"/>
      <c r="BE3" s="355"/>
      <c r="BF3" s="355"/>
      <c r="BG3" s="355"/>
      <c r="BH3" s="355"/>
      <c r="BI3" s="355"/>
      <c r="BJ3" s="355"/>
      <c r="BK3" s="355"/>
      <c r="BL3" s="355"/>
      <c r="BM3" s="355"/>
      <c r="BN3" s="355"/>
      <c r="BO3" s="355"/>
      <c r="BP3" s="355"/>
      <c r="BQ3" s="355"/>
      <c r="BR3" s="355"/>
      <c r="BS3" s="355"/>
      <c r="BT3" s="355"/>
      <c r="BU3" s="355"/>
      <c r="BV3" s="355"/>
      <c r="BW3" s="355"/>
      <c r="BX3" s="355"/>
      <c r="BY3" s="355"/>
      <c r="BZ3" s="355"/>
      <c r="CA3" s="355"/>
      <c r="CB3" s="355"/>
      <c r="CC3" s="355"/>
      <c r="CD3" s="355"/>
      <c r="CE3" s="355"/>
      <c r="CF3" s="355"/>
      <c r="CG3" s="355"/>
      <c r="CH3" s="355"/>
      <c r="CI3" s="355"/>
      <c r="CJ3" s="355"/>
      <c r="CK3" s="355"/>
      <c r="CL3" s="355"/>
      <c r="CM3" s="355"/>
      <c r="CN3" s="355"/>
      <c r="CO3" s="355"/>
      <c r="CP3" s="355"/>
      <c r="CQ3" s="355"/>
      <c r="CR3" s="355"/>
      <c r="CS3" s="355"/>
      <c r="CT3" s="355"/>
      <c r="CU3" s="355"/>
      <c r="CV3" s="355"/>
      <c r="CW3" s="355"/>
      <c r="CX3" s="355"/>
      <c r="CY3" s="355"/>
      <c r="CZ3" s="355"/>
      <c r="DA3" s="355"/>
      <c r="DB3" s="355"/>
      <c r="DC3" s="355"/>
      <c r="DD3" s="355"/>
      <c r="DE3" s="355"/>
      <c r="DF3" s="355"/>
      <c r="DG3" s="355"/>
      <c r="DH3" s="355"/>
      <c r="DI3" s="355"/>
      <c r="DJ3" s="355"/>
      <c r="DK3" s="355"/>
      <c r="DL3" s="355"/>
      <c r="DM3" s="355"/>
      <c r="DN3" s="355"/>
      <c r="DO3" s="355"/>
      <c r="DP3" s="355"/>
      <c r="DQ3" s="355"/>
      <c r="DR3" s="355"/>
      <c r="DS3" s="355"/>
      <c r="DT3" s="355"/>
      <c r="DU3" s="355"/>
      <c r="DV3" s="355"/>
      <c r="DW3" s="355"/>
      <c r="DX3" s="355"/>
      <c r="DY3" s="355"/>
      <c r="DZ3" s="355"/>
      <c r="EA3" s="355"/>
      <c r="EB3" s="355"/>
      <c r="EC3" s="355"/>
      <c r="ED3" s="355"/>
      <c r="EE3" s="355"/>
      <c r="EF3" s="355"/>
      <c r="EG3" s="355"/>
      <c r="EH3" s="355"/>
      <c r="EI3" s="355"/>
      <c r="EJ3" s="355"/>
      <c r="EK3" s="355"/>
      <c r="EL3" s="355"/>
      <c r="EM3" s="355"/>
      <c r="EN3" s="355"/>
      <c r="EO3" s="355"/>
      <c r="EP3" s="355"/>
      <c r="EQ3" s="355"/>
      <c r="ER3" s="355"/>
      <c r="ES3" s="355"/>
      <c r="ET3" s="355"/>
      <c r="EU3" s="355"/>
      <c r="EV3" s="355"/>
      <c r="EW3" s="355"/>
      <c r="EX3" s="355"/>
      <c r="EY3" s="355"/>
      <c r="EZ3" s="355"/>
      <c r="FA3" s="355"/>
      <c r="FB3" s="355"/>
      <c r="FC3" s="355"/>
      <c r="FD3" s="355"/>
      <c r="FE3" s="355"/>
      <c r="FF3" s="355"/>
      <c r="FG3" s="355"/>
      <c r="FH3" s="355"/>
      <c r="FI3" s="355"/>
      <c r="FJ3" s="355"/>
      <c r="FK3" s="355"/>
      <c r="FL3" s="355"/>
      <c r="FM3" s="355"/>
      <c r="FN3" s="355"/>
      <c r="FO3" s="355"/>
      <c r="FP3" s="355"/>
      <c r="FQ3" s="355"/>
      <c r="FR3" s="355"/>
      <c r="FS3" s="355"/>
      <c r="FT3" s="355"/>
      <c r="FU3" s="355"/>
      <c r="FV3" s="355"/>
      <c r="FW3" s="355"/>
      <c r="FX3" s="355"/>
      <c r="FY3" s="355"/>
      <c r="FZ3" s="355"/>
      <c r="GA3" s="355"/>
      <c r="GB3" s="355"/>
      <c r="GC3" s="355"/>
      <c r="GD3" s="355"/>
      <c r="GE3" s="355"/>
      <c r="GF3" s="355"/>
      <c r="GG3" s="355"/>
      <c r="GH3" s="355"/>
      <c r="GI3" s="355"/>
      <c r="GJ3" s="355"/>
      <c r="GK3" s="355"/>
      <c r="GL3" s="355"/>
      <c r="GM3" s="355"/>
      <c r="GN3" s="355"/>
      <c r="GO3" s="355"/>
      <c r="GP3" s="355"/>
      <c r="GQ3" s="355"/>
      <c r="GR3" s="355"/>
      <c r="GS3" s="355"/>
      <c r="GT3" s="355"/>
      <c r="GU3" s="355"/>
      <c r="GV3" s="355"/>
      <c r="GW3" s="355"/>
      <c r="GX3" s="355"/>
      <c r="GY3" s="355"/>
      <c r="GZ3" s="355"/>
      <c r="HA3" s="355"/>
      <c r="HB3" s="355"/>
      <c r="HC3" s="355"/>
      <c r="HD3" s="355"/>
      <c r="HE3" s="355"/>
      <c r="HF3" s="355"/>
      <c r="HG3" s="355"/>
      <c r="HH3" s="355"/>
      <c r="HI3" s="355"/>
      <c r="HJ3" s="355"/>
      <c r="HK3" s="355"/>
      <c r="HL3" s="355"/>
      <c r="HM3" s="355"/>
      <c r="HN3" s="355"/>
      <c r="HO3" s="355"/>
      <c r="HP3" s="355"/>
      <c r="HQ3" s="355"/>
      <c r="HR3" s="355"/>
      <c r="HS3" s="355"/>
      <c r="HT3" s="355"/>
      <c r="HU3" s="355"/>
      <c r="HV3" s="355"/>
      <c r="HW3" s="355"/>
      <c r="HX3" s="355"/>
      <c r="HY3" s="355"/>
      <c r="HZ3" s="355"/>
      <c r="IA3" s="355"/>
      <c r="IB3" s="355"/>
      <c r="IC3" s="355"/>
      <c r="ID3" s="355"/>
      <c r="IE3" s="355"/>
      <c r="IF3" s="355"/>
      <c r="IG3" s="355"/>
      <c r="IH3" s="355"/>
      <c r="II3" s="355"/>
      <c r="IJ3" s="355"/>
      <c r="IK3" s="355"/>
      <c r="IL3" s="355"/>
      <c r="IM3" s="355"/>
      <c r="IN3" s="355"/>
      <c r="IO3" s="355"/>
      <c r="IP3" s="355"/>
      <c r="IQ3" s="355"/>
      <c r="IR3" s="355"/>
      <c r="IS3" s="355"/>
      <c r="IT3" s="355"/>
      <c r="IU3" s="355"/>
      <c r="IV3" s="355"/>
      <c r="IW3" s="355"/>
    </row>
    <row r="5" customFormat="false" ht="12.75" hidden="false" customHeight="false" outlineLevel="0" collapsed="false">
      <c r="A5" s="356" t="n">
        <v>46174</v>
      </c>
      <c r="B5" s="357" t="n">
        <v>46174</v>
      </c>
      <c r="C5" s="358"/>
      <c r="D5" s="359"/>
      <c r="E5" s="360"/>
      <c r="F5" s="361"/>
    </row>
    <row r="6" customFormat="false" ht="12.75" hidden="false" customHeight="false" outlineLevel="0" collapsed="false">
      <c r="A6" s="362" t="n">
        <v>46175</v>
      </c>
      <c r="B6" s="345" t="n">
        <v>46175</v>
      </c>
      <c r="E6" s="347" t="n">
        <v>200</v>
      </c>
      <c r="F6" s="363"/>
    </row>
    <row r="7" customFormat="false" ht="12.75" hidden="false" customHeight="false" outlineLevel="0" collapsed="false">
      <c r="A7" s="362" t="n">
        <v>46176</v>
      </c>
      <c r="B7" s="345" t="n">
        <v>46176</v>
      </c>
      <c r="E7" s="347" t="n">
        <v>200</v>
      </c>
      <c r="F7" s="363"/>
    </row>
    <row r="8" customFormat="false" ht="12.75" hidden="false" customHeight="false" outlineLevel="0" collapsed="false">
      <c r="A8" s="362" t="n">
        <v>46177</v>
      </c>
      <c r="B8" s="345" t="n">
        <v>46177</v>
      </c>
      <c r="E8" s="347" t="n">
        <v>200</v>
      </c>
      <c r="F8" s="363"/>
    </row>
    <row r="9" customFormat="false" ht="12.75" hidden="false" customHeight="false" outlineLevel="0" collapsed="false">
      <c r="A9" s="362" t="n">
        <v>46178</v>
      </c>
      <c r="B9" s="345" t="n">
        <v>46178</v>
      </c>
      <c r="E9" s="347" t="n">
        <v>200</v>
      </c>
      <c r="F9" s="363"/>
    </row>
    <row r="10" customFormat="false" ht="12.75" hidden="false" customHeight="false" outlineLevel="0" collapsed="false">
      <c r="A10" s="362" t="n">
        <v>46179</v>
      </c>
      <c r="B10" s="345" t="n">
        <v>46179</v>
      </c>
      <c r="E10" s="347" t="n">
        <v>200</v>
      </c>
      <c r="F10" s="363"/>
    </row>
    <row r="11" customFormat="false" ht="12.75" hidden="false" customHeight="false" outlineLevel="0" collapsed="false">
      <c r="A11" s="362" t="n">
        <v>46180</v>
      </c>
      <c r="B11" s="345" t="n">
        <v>46180</v>
      </c>
      <c r="F11" s="363"/>
    </row>
    <row r="12" customFormat="false" ht="12.75" hidden="false" customHeight="false" outlineLevel="0" collapsed="false">
      <c r="A12" s="362" t="n">
        <v>46180</v>
      </c>
      <c r="B12" s="345" t="s">
        <v>247</v>
      </c>
      <c r="F12" s="363"/>
    </row>
    <row r="13" customFormat="false" ht="12.75" hidden="false" customHeight="false" outlineLevel="0" collapsed="false">
      <c r="A13" s="362" t="n">
        <v>46180</v>
      </c>
      <c r="B13" s="345" t="s">
        <v>248</v>
      </c>
      <c r="F13" s="363"/>
    </row>
    <row r="14" customFormat="false" ht="12.75" hidden="false" customHeight="false" outlineLevel="0" collapsed="false">
      <c r="A14" s="364"/>
      <c r="B14" s="365"/>
      <c r="C14" s="366"/>
      <c r="D14" s="367"/>
      <c r="E14" s="368" t="n">
        <f aca="false">SUM(E5:E13)</f>
        <v>1000</v>
      </c>
      <c r="F14" s="369" t="n">
        <f aca="false">SUM(F5:F13)</f>
        <v>0</v>
      </c>
    </row>
    <row r="16" customFormat="false" ht="12.75" hidden="false" customHeight="false" outlineLevel="0" collapsed="false">
      <c r="A16" s="356" t="n">
        <v>46181</v>
      </c>
      <c r="B16" s="357" t="n">
        <v>46181</v>
      </c>
      <c r="C16" s="358"/>
      <c r="D16" s="359"/>
      <c r="E16" s="360"/>
      <c r="F16" s="361"/>
    </row>
    <row r="17" customFormat="false" ht="12.75" hidden="false" customHeight="false" outlineLevel="0" collapsed="false">
      <c r="A17" s="362" t="n">
        <v>46182</v>
      </c>
      <c r="B17" s="345" t="n">
        <v>46182</v>
      </c>
      <c r="E17" s="347" t="n">
        <v>200</v>
      </c>
      <c r="F17" s="363"/>
    </row>
    <row r="18" customFormat="false" ht="12.75" hidden="false" customHeight="false" outlineLevel="0" collapsed="false">
      <c r="A18" s="362" t="n">
        <v>46183</v>
      </c>
      <c r="B18" s="345" t="n">
        <v>46183</v>
      </c>
      <c r="E18" s="347" t="n">
        <v>200</v>
      </c>
      <c r="F18" s="363"/>
    </row>
    <row r="19" customFormat="false" ht="12.75" hidden="false" customHeight="false" outlineLevel="0" collapsed="false">
      <c r="A19" s="362" t="n">
        <v>46184</v>
      </c>
      <c r="B19" s="345" t="n">
        <v>46184</v>
      </c>
      <c r="E19" s="347" t="n">
        <v>200</v>
      </c>
      <c r="F19" s="363"/>
    </row>
    <row r="20" customFormat="false" ht="12.75" hidden="false" customHeight="false" outlineLevel="0" collapsed="false">
      <c r="A20" s="362" t="n">
        <v>46185</v>
      </c>
      <c r="B20" s="345" t="n">
        <v>46185</v>
      </c>
      <c r="E20" s="347" t="n">
        <v>200</v>
      </c>
      <c r="F20" s="363"/>
    </row>
    <row r="21" customFormat="false" ht="12.75" hidden="false" customHeight="false" outlineLevel="0" collapsed="false">
      <c r="A21" s="362" t="n">
        <v>46186</v>
      </c>
      <c r="B21" s="345" t="n">
        <v>46186</v>
      </c>
      <c r="E21" s="347" t="n">
        <v>200</v>
      </c>
      <c r="F21" s="363"/>
    </row>
    <row r="22" customFormat="false" ht="12.75" hidden="false" customHeight="false" outlineLevel="0" collapsed="false">
      <c r="A22" s="362" t="n">
        <v>46187</v>
      </c>
      <c r="B22" s="345" t="n">
        <v>46187</v>
      </c>
      <c r="F22" s="363"/>
    </row>
    <row r="23" customFormat="false" ht="12.75" hidden="false" customHeight="false" outlineLevel="0" collapsed="false">
      <c r="A23" s="362" t="n">
        <v>46187</v>
      </c>
      <c r="B23" s="345" t="s">
        <v>247</v>
      </c>
      <c r="F23" s="363"/>
    </row>
    <row r="24" customFormat="false" ht="12.75" hidden="false" customHeight="false" outlineLevel="0" collapsed="false">
      <c r="A24" s="362" t="n">
        <v>46187</v>
      </c>
      <c r="B24" s="345" t="s">
        <v>248</v>
      </c>
      <c r="F24" s="363"/>
    </row>
    <row r="25" customFormat="false" ht="12.75" hidden="false" customHeight="false" outlineLevel="0" collapsed="false">
      <c r="A25" s="364"/>
      <c r="B25" s="365"/>
      <c r="C25" s="366"/>
      <c r="D25" s="367"/>
      <c r="E25" s="368" t="n">
        <f aca="false">SUM(E16:E24)</f>
        <v>1000</v>
      </c>
      <c r="F25" s="369" t="n">
        <f aca="false">SUM(F16:F24)</f>
        <v>0</v>
      </c>
    </row>
    <row r="27" customFormat="false" ht="12.75" hidden="false" customHeight="false" outlineLevel="0" collapsed="false">
      <c r="A27" s="356" t="n">
        <v>46188</v>
      </c>
      <c r="B27" s="357" t="n">
        <v>46188</v>
      </c>
      <c r="C27" s="358"/>
      <c r="D27" s="359"/>
      <c r="E27" s="360"/>
      <c r="F27" s="361"/>
    </row>
    <row r="28" customFormat="false" ht="12.75" hidden="false" customHeight="false" outlineLevel="0" collapsed="false">
      <c r="A28" s="362" t="n">
        <v>46189</v>
      </c>
      <c r="B28" s="345" t="n">
        <v>46189</v>
      </c>
      <c r="E28" s="347" t="n">
        <v>200</v>
      </c>
      <c r="F28" s="363"/>
    </row>
    <row r="29" customFormat="false" ht="12.75" hidden="false" customHeight="false" outlineLevel="0" collapsed="false">
      <c r="A29" s="362" t="n">
        <v>46190</v>
      </c>
      <c r="B29" s="345" t="n">
        <v>46190</v>
      </c>
      <c r="E29" s="347" t="n">
        <v>200</v>
      </c>
      <c r="F29" s="363"/>
    </row>
    <row r="30" customFormat="false" ht="12.75" hidden="false" customHeight="false" outlineLevel="0" collapsed="false">
      <c r="A30" s="362" t="n">
        <v>46191</v>
      </c>
      <c r="B30" s="345" t="n">
        <v>46191</v>
      </c>
      <c r="E30" s="347" t="n">
        <v>200</v>
      </c>
      <c r="F30" s="363"/>
    </row>
    <row r="31" customFormat="false" ht="12.75" hidden="false" customHeight="false" outlineLevel="0" collapsed="false">
      <c r="A31" s="362" t="n">
        <v>46192</v>
      </c>
      <c r="B31" s="345" t="n">
        <v>46192</v>
      </c>
      <c r="E31" s="347" t="n">
        <v>200</v>
      </c>
      <c r="F31" s="363"/>
    </row>
    <row r="32" customFormat="false" ht="12.75" hidden="false" customHeight="false" outlineLevel="0" collapsed="false">
      <c r="A32" s="362" t="n">
        <v>46193</v>
      </c>
      <c r="B32" s="345" t="n">
        <v>46193</v>
      </c>
      <c r="E32" s="347" t="n">
        <v>200</v>
      </c>
      <c r="F32" s="363"/>
    </row>
    <row r="33" customFormat="false" ht="12.75" hidden="false" customHeight="false" outlineLevel="0" collapsed="false">
      <c r="A33" s="362" t="n">
        <v>46194</v>
      </c>
      <c r="B33" s="345" t="n">
        <v>46194</v>
      </c>
      <c r="F33" s="363"/>
    </row>
    <row r="34" customFormat="false" ht="12.75" hidden="false" customHeight="false" outlineLevel="0" collapsed="false">
      <c r="A34" s="362" t="n">
        <v>46194</v>
      </c>
      <c r="B34" s="345" t="s">
        <v>247</v>
      </c>
      <c r="F34" s="363"/>
    </row>
    <row r="35" customFormat="false" ht="12.75" hidden="false" customHeight="false" outlineLevel="0" collapsed="false">
      <c r="A35" s="362" t="n">
        <v>46194</v>
      </c>
      <c r="B35" s="345" t="s">
        <v>248</v>
      </c>
      <c r="F35" s="363"/>
    </row>
    <row r="36" customFormat="false" ht="12.75" hidden="false" customHeight="false" outlineLevel="0" collapsed="false">
      <c r="A36" s="364"/>
      <c r="B36" s="365"/>
      <c r="C36" s="366"/>
      <c r="D36" s="367"/>
      <c r="E36" s="368" t="n">
        <f aca="false">SUM(E27:E35)</f>
        <v>1000</v>
      </c>
      <c r="F36" s="369" t="n">
        <f aca="false">SUM(F27:F35)</f>
        <v>0</v>
      </c>
    </row>
    <row r="38" customFormat="false" ht="12.75" hidden="false" customHeight="false" outlineLevel="0" collapsed="false">
      <c r="A38" s="356" t="n">
        <v>46195</v>
      </c>
      <c r="B38" s="357" t="n">
        <v>46195</v>
      </c>
      <c r="C38" s="358"/>
      <c r="D38" s="359"/>
      <c r="E38" s="360"/>
      <c r="F38" s="361"/>
    </row>
    <row r="39" customFormat="false" ht="12.75" hidden="false" customHeight="false" outlineLevel="0" collapsed="false">
      <c r="A39" s="362" t="n">
        <v>46196</v>
      </c>
      <c r="B39" s="345" t="n">
        <v>46196</v>
      </c>
      <c r="F39" s="363"/>
    </row>
    <row r="40" customFormat="false" ht="12.75" hidden="false" customHeight="false" outlineLevel="0" collapsed="false">
      <c r="A40" s="362" t="n">
        <v>46197</v>
      </c>
      <c r="B40" s="345" t="n">
        <v>46197</v>
      </c>
      <c r="F40" s="363"/>
    </row>
    <row r="41" customFormat="false" ht="12.75" hidden="false" customHeight="false" outlineLevel="0" collapsed="false">
      <c r="A41" s="362" t="n">
        <v>46198</v>
      </c>
      <c r="B41" s="345" t="n">
        <v>46198</v>
      </c>
      <c r="F41" s="363"/>
    </row>
    <row r="42" customFormat="false" ht="12.75" hidden="false" customHeight="false" outlineLevel="0" collapsed="false">
      <c r="A42" s="362" t="n">
        <v>46199</v>
      </c>
      <c r="B42" s="345" t="n">
        <v>46199</v>
      </c>
      <c r="F42" s="363"/>
    </row>
    <row r="43" customFormat="false" ht="12.75" hidden="false" customHeight="false" outlineLevel="0" collapsed="false">
      <c r="A43" s="362" t="n">
        <v>46200</v>
      </c>
      <c r="B43" s="345" t="n">
        <v>46200</v>
      </c>
      <c r="F43" s="363"/>
    </row>
    <row r="44" customFormat="false" ht="12.75" hidden="false" customHeight="false" outlineLevel="0" collapsed="false">
      <c r="A44" s="362" t="n">
        <v>46201</v>
      </c>
      <c r="B44" s="345" t="n">
        <v>46201</v>
      </c>
      <c r="F44" s="363"/>
    </row>
    <row r="45" customFormat="false" ht="12.75" hidden="false" customHeight="false" outlineLevel="0" collapsed="false">
      <c r="A45" s="362" t="n">
        <v>46201</v>
      </c>
      <c r="B45" s="345" t="s">
        <v>247</v>
      </c>
      <c r="F45" s="363"/>
    </row>
    <row r="46" customFormat="false" ht="12.75" hidden="false" customHeight="false" outlineLevel="0" collapsed="false">
      <c r="A46" s="362" t="n">
        <v>46201</v>
      </c>
      <c r="B46" s="345" t="s">
        <v>248</v>
      </c>
      <c r="F46" s="363"/>
    </row>
    <row r="47" customFormat="false" ht="12.75" hidden="false" customHeight="false" outlineLevel="0" collapsed="false">
      <c r="A47" s="364"/>
      <c r="B47" s="365"/>
      <c r="C47" s="366"/>
      <c r="D47" s="367"/>
      <c r="E47" s="368" t="n">
        <f aca="false">SUM(E38:E46)</f>
        <v>0</v>
      </c>
      <c r="F47" s="369" t="n">
        <f aca="false">SUM(F38:F46)</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customHeight="false" zeroHeight="false" outlineLevelRow="0" outlineLevelCol="0"/>
  <cols>
    <col collapsed="false" customWidth="true" hidden="false" outlineLevel="0" max="1" min="1" style="370" width="9.49"/>
    <col collapsed="false" customWidth="true" hidden="false" outlineLevel="0" max="2" min="2" style="179" width="23.99"/>
    <col collapsed="false" customWidth="true" hidden="false" outlineLevel="0" max="3" min="3" style="179" width="15.99"/>
    <col collapsed="false" customWidth="false" hidden="false" outlineLevel="0" max="5" min="4" style="371" width="9.15"/>
    <col collapsed="false" customWidth="true" hidden="false" outlineLevel="0" max="6" min="6" style="372" width="12.66"/>
    <col collapsed="false" customWidth="true" hidden="false" outlineLevel="0" max="8" min="7" style="180" width="9.82"/>
    <col collapsed="false" customWidth="true" hidden="false" outlineLevel="0" max="10" min="9" style="180" width="8.66"/>
    <col collapsed="false" customWidth="true" hidden="false" outlineLevel="0" max="12" min="11" style="180" width="7.66"/>
    <col collapsed="false" customWidth="true" hidden="false" outlineLevel="0" max="14" min="13" style="180" width="9.33"/>
    <col collapsed="false" customWidth="true" hidden="false" outlineLevel="0" max="15" min="15" style="180" width="9.49"/>
    <col collapsed="false" customWidth="true" hidden="false" outlineLevel="0" max="18" min="16" style="180" width="7.66"/>
    <col collapsed="false" customWidth="true" hidden="false" outlineLevel="0" max="19" min="19" style="180" width="8.66"/>
    <col collapsed="false" customWidth="true" hidden="false" outlineLevel="0" max="20" min="20" style="179" width="12.99"/>
    <col collapsed="false" customWidth="true" hidden="false" outlineLevel="0" max="21" min="21" style="180" width="8.33"/>
    <col collapsed="false" customWidth="false" hidden="false" outlineLevel="0" max="257" min="22" style="179" width="9.15"/>
  </cols>
  <sheetData>
    <row r="1" customFormat="false" ht="13.5" hidden="false" customHeight="true" outlineLevel="0" collapsed="false">
      <c r="A1" s="389" t="n">
        <f aca="false">E1+SalesJun!$D$1+PurchasesMay!A1</f>
        <v>0</v>
      </c>
      <c r="B1" s="390" t="s">
        <v>249</v>
      </c>
      <c r="C1" s="391" t="s">
        <v>242</v>
      </c>
      <c r="D1" s="375" t="str">
        <f aca="false">IF((F1-SUM(G1:S1)&lt;&gt;0),(F1-SUM(G1:S1))," ")</f>
        <v> </v>
      </c>
      <c r="E1" s="351" t="n">
        <f aca="false">SUM(E5:E199)</f>
        <v>0</v>
      </c>
      <c r="F1" s="350" t="n">
        <f aca="false">SUM(F5:F199)</f>
        <v>8300</v>
      </c>
      <c r="G1" s="350" t="n">
        <f aca="false">SUM(G5:G199)</f>
        <v>300</v>
      </c>
      <c r="H1" s="350" t="n">
        <f aca="false">SUM(H5:H199)</f>
        <v>0</v>
      </c>
      <c r="I1" s="350" t="n">
        <f aca="false">SUM(I5:I199)</f>
        <v>0</v>
      </c>
      <c r="J1" s="350" t="n">
        <f aca="false">SUM(J5:J199)</f>
        <v>0</v>
      </c>
      <c r="K1" s="350" t="n">
        <f aca="false">SUM(K5:K199)</f>
        <v>0</v>
      </c>
      <c r="L1" s="350" t="n">
        <f aca="false">SUM(L5:L199)</f>
        <v>0</v>
      </c>
      <c r="M1" s="350" t="n">
        <f aca="false">SUM(M5:M199)</f>
        <v>0</v>
      </c>
      <c r="N1" s="350" t="n">
        <f aca="false">SUM(N5:N199)</f>
        <v>0</v>
      </c>
      <c r="O1" s="350" t="n">
        <f aca="false">SUM(O5:O199)</f>
        <v>0</v>
      </c>
      <c r="P1" s="350" t="n">
        <f aca="false">SUM(P5:P199)</f>
        <v>0</v>
      </c>
      <c r="Q1" s="350" t="n">
        <f aca="false">SUM(Q5:Q199)</f>
        <v>0</v>
      </c>
      <c r="R1" s="350" t="n">
        <f aca="false">SUM(R5:R199)</f>
        <v>0</v>
      </c>
      <c r="S1" s="392" t="n">
        <f aca="false">SUM(S5:S199)</f>
        <v>8000</v>
      </c>
      <c r="T1" s="393" t="n">
        <f aca="false">S1+PurchasesMay!T1</f>
        <v>8000</v>
      </c>
      <c r="U1" s="392" t="n">
        <f aca="false">SUM(U4:U199)</f>
        <v>0</v>
      </c>
      <c r="V1" s="180"/>
      <c r="W1" s="180"/>
      <c r="X1" s="180"/>
      <c r="Y1" s="180"/>
      <c r="Z1" s="180"/>
      <c r="AA1" s="180"/>
      <c r="AB1" s="180"/>
      <c r="AC1" s="180"/>
      <c r="AD1" s="180"/>
      <c r="AE1" s="180"/>
      <c r="AF1" s="180"/>
      <c r="AG1" s="180"/>
      <c r="AH1" s="180"/>
      <c r="AI1" s="180"/>
      <c r="AJ1" s="180"/>
      <c r="AK1" s="180"/>
      <c r="AL1" s="180"/>
      <c r="AM1" s="180"/>
      <c r="AN1" s="180"/>
      <c r="AO1" s="180"/>
      <c r="AP1" s="180"/>
      <c r="AQ1" s="180"/>
      <c r="AR1" s="180"/>
      <c r="AS1" s="180"/>
      <c r="AT1" s="180"/>
      <c r="AU1" s="180"/>
      <c r="AV1" s="180"/>
      <c r="AW1" s="180"/>
      <c r="AX1" s="180"/>
      <c r="AY1" s="180"/>
      <c r="AZ1" s="180"/>
      <c r="BA1" s="180"/>
      <c r="BB1" s="180"/>
      <c r="BC1" s="180"/>
      <c r="BD1" s="180"/>
      <c r="BE1" s="180"/>
      <c r="BF1" s="180"/>
      <c r="BG1" s="180"/>
      <c r="BH1" s="180"/>
      <c r="BI1" s="180"/>
      <c r="BJ1" s="180"/>
      <c r="BK1" s="180"/>
      <c r="BL1" s="180"/>
      <c r="BM1" s="180"/>
      <c r="BN1" s="180"/>
      <c r="BO1" s="180"/>
      <c r="BP1" s="180"/>
      <c r="BQ1" s="180"/>
      <c r="BR1" s="180"/>
      <c r="BS1" s="180"/>
      <c r="BT1" s="180"/>
      <c r="BU1" s="180"/>
      <c r="BV1" s="180"/>
      <c r="BW1" s="180"/>
      <c r="BX1" s="180"/>
      <c r="BY1" s="180"/>
      <c r="BZ1" s="180"/>
      <c r="CA1" s="180"/>
      <c r="CB1" s="180"/>
      <c r="CC1" s="180"/>
      <c r="CD1" s="180"/>
      <c r="CE1" s="180"/>
      <c r="CF1" s="180"/>
      <c r="CG1" s="180"/>
      <c r="CH1" s="180"/>
      <c r="CI1" s="180"/>
      <c r="CJ1" s="180"/>
      <c r="CK1" s="180"/>
      <c r="CL1" s="180"/>
      <c r="CM1" s="180"/>
      <c r="CN1" s="180"/>
      <c r="CO1" s="180"/>
      <c r="CP1" s="180"/>
      <c r="CQ1" s="180"/>
      <c r="CR1" s="180"/>
      <c r="CS1" s="180"/>
      <c r="CT1" s="180"/>
      <c r="CU1" s="180"/>
      <c r="CV1" s="180"/>
      <c r="CW1" s="180"/>
      <c r="CX1" s="180"/>
      <c r="CY1" s="180"/>
      <c r="CZ1" s="180"/>
      <c r="DA1" s="180"/>
      <c r="DB1" s="180"/>
      <c r="DC1" s="180"/>
      <c r="DD1" s="180"/>
      <c r="DE1" s="180"/>
      <c r="DF1" s="180"/>
      <c r="DG1" s="180"/>
      <c r="DH1" s="180"/>
      <c r="DI1" s="180"/>
      <c r="DJ1" s="180"/>
      <c r="DK1" s="180"/>
      <c r="DL1" s="180"/>
      <c r="DM1" s="180"/>
      <c r="DN1" s="180"/>
      <c r="DO1" s="180"/>
      <c r="DP1" s="180"/>
      <c r="DQ1" s="180"/>
      <c r="DR1" s="180"/>
      <c r="DS1" s="180"/>
      <c r="DT1" s="180"/>
      <c r="DU1" s="180"/>
      <c r="DV1" s="180"/>
      <c r="DW1" s="180"/>
      <c r="DX1" s="180"/>
      <c r="DY1" s="180"/>
      <c r="DZ1" s="180"/>
      <c r="EA1" s="180"/>
      <c r="EB1" s="180"/>
      <c r="EC1" s="180"/>
      <c r="ED1" s="180"/>
      <c r="EE1" s="180"/>
      <c r="EF1" s="180"/>
      <c r="EG1" s="180"/>
      <c r="EH1" s="180"/>
      <c r="EI1" s="180"/>
      <c r="EJ1" s="180"/>
      <c r="EK1" s="180"/>
      <c r="EL1" s="180"/>
      <c r="EM1" s="180"/>
      <c r="EN1" s="180"/>
      <c r="EO1" s="180"/>
      <c r="EP1" s="180"/>
      <c r="EQ1" s="180"/>
      <c r="ER1" s="180"/>
      <c r="ES1" s="180"/>
      <c r="ET1" s="180"/>
      <c r="EU1" s="180"/>
      <c r="EV1" s="180"/>
      <c r="EW1" s="180"/>
      <c r="EX1" s="180"/>
      <c r="EY1" s="180"/>
      <c r="EZ1" s="180"/>
      <c r="FA1" s="180"/>
      <c r="FB1" s="180"/>
      <c r="FC1" s="180"/>
      <c r="FD1" s="180"/>
      <c r="FE1" s="180"/>
      <c r="FF1" s="180"/>
      <c r="FG1" s="180"/>
      <c r="FH1" s="180"/>
      <c r="FI1" s="180"/>
      <c r="FJ1" s="180"/>
      <c r="FK1" s="180"/>
      <c r="FL1" s="180"/>
      <c r="FM1" s="180"/>
      <c r="FN1" s="180"/>
      <c r="FO1" s="180"/>
      <c r="FP1" s="180"/>
      <c r="FQ1" s="180"/>
      <c r="FR1" s="180"/>
      <c r="FS1" s="180"/>
      <c r="FT1" s="180"/>
      <c r="FU1" s="180"/>
      <c r="FV1" s="180"/>
      <c r="FW1" s="180"/>
      <c r="FX1" s="180"/>
      <c r="FY1" s="180"/>
      <c r="FZ1" s="180"/>
      <c r="GA1" s="180"/>
      <c r="GB1" s="180"/>
      <c r="GC1" s="180"/>
      <c r="GD1" s="180"/>
      <c r="GE1" s="180"/>
      <c r="GF1" s="180"/>
      <c r="GG1" s="180"/>
      <c r="GH1" s="180"/>
      <c r="GI1" s="180"/>
      <c r="GJ1" s="180"/>
      <c r="GK1" s="180"/>
      <c r="GL1" s="180"/>
      <c r="GM1" s="180"/>
      <c r="GN1" s="180"/>
      <c r="GO1" s="180"/>
      <c r="GP1" s="180"/>
      <c r="GQ1" s="180"/>
      <c r="GR1" s="180"/>
      <c r="GS1" s="180"/>
      <c r="GT1" s="180"/>
      <c r="GU1" s="180"/>
      <c r="GV1" s="180"/>
      <c r="GW1" s="180"/>
      <c r="GX1" s="180"/>
      <c r="GY1" s="180"/>
      <c r="GZ1" s="180"/>
      <c r="HA1" s="180"/>
      <c r="HB1" s="180"/>
      <c r="HC1" s="180"/>
      <c r="HD1" s="180"/>
      <c r="HE1" s="180"/>
      <c r="HF1" s="180"/>
      <c r="HG1" s="180"/>
      <c r="HH1" s="180"/>
      <c r="HI1" s="180"/>
      <c r="HJ1" s="180"/>
      <c r="HK1" s="180"/>
      <c r="HL1" s="180"/>
      <c r="HM1" s="180"/>
      <c r="HN1" s="180"/>
      <c r="HO1" s="180"/>
      <c r="HP1" s="180"/>
      <c r="HQ1" s="180"/>
      <c r="HR1" s="180"/>
      <c r="HS1" s="180"/>
      <c r="HT1" s="180"/>
      <c r="HU1" s="180"/>
      <c r="HV1" s="180"/>
      <c r="HW1" s="180"/>
      <c r="HX1" s="180"/>
      <c r="HY1" s="180"/>
      <c r="HZ1" s="180"/>
      <c r="IA1" s="180"/>
      <c r="IB1" s="180"/>
      <c r="IC1" s="180"/>
      <c r="ID1" s="180"/>
      <c r="IE1" s="180"/>
      <c r="IF1" s="180"/>
      <c r="IG1" s="180"/>
      <c r="IH1" s="180"/>
      <c r="II1" s="180"/>
      <c r="IJ1" s="180"/>
      <c r="IK1" s="180"/>
      <c r="IL1" s="180"/>
      <c r="IM1" s="180"/>
      <c r="IN1" s="180"/>
      <c r="IO1" s="180"/>
      <c r="IP1" s="180"/>
      <c r="IQ1" s="180"/>
      <c r="IR1" s="180"/>
      <c r="IS1" s="180"/>
      <c r="IT1" s="180"/>
      <c r="IU1" s="180"/>
      <c r="IV1" s="180"/>
      <c r="IW1" s="180"/>
    </row>
    <row r="2" customFormat="false" ht="13.5" hidden="false" customHeight="true" outlineLevel="0" collapsed="false">
      <c r="A2" s="394" t="n">
        <f aca="false">U1+PurchasesMay!A2</f>
        <v>0</v>
      </c>
      <c r="B2" s="239" t="s">
        <v>250</v>
      </c>
      <c r="C2" s="378" t="s">
        <v>251</v>
      </c>
      <c r="D2" s="378" t="s">
        <v>252</v>
      </c>
      <c r="E2" s="378" t="s">
        <v>253</v>
      </c>
      <c r="F2" s="206" t="s">
        <v>254</v>
      </c>
      <c r="G2" s="379" t="s">
        <v>255</v>
      </c>
      <c r="H2" s="379"/>
      <c r="I2" s="380" t="n">
        <f aca="false">G1+H1+I1+J1+PurchasesMay!I2</f>
        <v>2280</v>
      </c>
      <c r="J2" s="380"/>
      <c r="K2" s="206" t="s">
        <v>256</v>
      </c>
      <c r="L2" s="206" t="s">
        <v>257</v>
      </c>
      <c r="M2" s="206" t="s">
        <v>258</v>
      </c>
      <c r="N2" s="206" t="s">
        <v>290</v>
      </c>
      <c r="O2" s="206" t="s">
        <v>260</v>
      </c>
      <c r="P2" s="206" t="s">
        <v>261</v>
      </c>
      <c r="Q2" s="206" t="s">
        <v>262</v>
      </c>
      <c r="R2" s="206" t="s">
        <v>263</v>
      </c>
      <c r="S2" s="381" t="s">
        <v>264</v>
      </c>
      <c r="T2" s="382" t="str">
        <f aca="false">IF(T1&gt;'Fixed Assets'!$D$74,"ENTER VEHICLE CHANGES        on Fixed Asset schedule","Motor Vehicles: make, model, date reg. and reg. Mark")</f>
        <v>ENTER VEHICLE CHANGES        on Fixed Asset schedule</v>
      </c>
      <c r="U2" s="381" t="s">
        <v>118</v>
      </c>
      <c r="V2" s="180"/>
      <c r="W2" s="180"/>
      <c r="X2" s="180"/>
      <c r="Y2" s="180"/>
      <c r="Z2" s="180"/>
      <c r="AA2" s="180"/>
      <c r="AB2" s="180"/>
      <c r="AC2" s="180"/>
      <c r="AD2" s="180"/>
      <c r="AE2" s="180"/>
      <c r="AF2" s="180"/>
      <c r="AG2" s="180"/>
      <c r="AH2" s="180"/>
      <c r="AI2" s="180"/>
      <c r="AJ2" s="180"/>
      <c r="AK2" s="180"/>
      <c r="AL2" s="180"/>
      <c r="AM2" s="180"/>
      <c r="AN2" s="180"/>
      <c r="AO2" s="180"/>
      <c r="AP2" s="180"/>
      <c r="AQ2" s="180"/>
      <c r="AR2" s="180"/>
      <c r="AS2" s="180"/>
      <c r="AT2" s="180"/>
      <c r="AU2" s="180"/>
      <c r="AV2" s="180"/>
      <c r="AW2" s="180"/>
      <c r="AX2" s="180"/>
      <c r="AY2" s="180"/>
      <c r="AZ2" s="180"/>
      <c r="BA2" s="180"/>
      <c r="BB2" s="180"/>
      <c r="BC2" s="180"/>
      <c r="BD2" s="180"/>
      <c r="BE2" s="180"/>
      <c r="BF2" s="180"/>
      <c r="BG2" s="180"/>
      <c r="BH2" s="180"/>
      <c r="BI2" s="180"/>
      <c r="BJ2" s="180"/>
      <c r="BK2" s="180"/>
      <c r="BL2" s="180"/>
      <c r="BM2" s="180"/>
      <c r="BN2" s="180"/>
      <c r="BO2" s="180"/>
      <c r="BP2" s="180"/>
      <c r="BQ2" s="180"/>
      <c r="BR2" s="180"/>
      <c r="BS2" s="180"/>
      <c r="BT2" s="180"/>
      <c r="BU2" s="180"/>
      <c r="BV2" s="180"/>
      <c r="BW2" s="180"/>
      <c r="BX2" s="180"/>
      <c r="BY2" s="180"/>
      <c r="BZ2" s="180"/>
      <c r="CA2" s="180"/>
      <c r="CB2" s="180"/>
      <c r="CC2" s="180"/>
      <c r="CD2" s="180"/>
      <c r="CE2" s="180"/>
      <c r="CF2" s="180"/>
      <c r="CG2" s="180"/>
      <c r="CH2" s="180"/>
      <c r="CI2" s="180"/>
      <c r="CJ2" s="180"/>
      <c r="CK2" s="180"/>
      <c r="CL2" s="180"/>
      <c r="CM2" s="180"/>
      <c r="CN2" s="180"/>
      <c r="CO2" s="180"/>
      <c r="CP2" s="180"/>
      <c r="CQ2" s="180"/>
      <c r="CR2" s="180"/>
      <c r="CS2" s="180"/>
      <c r="CT2" s="180"/>
      <c r="CU2" s="180"/>
      <c r="CV2" s="180"/>
      <c r="CW2" s="180"/>
      <c r="CX2" s="180"/>
      <c r="CY2" s="180"/>
      <c r="CZ2" s="180"/>
      <c r="DA2" s="180"/>
      <c r="DB2" s="180"/>
      <c r="DC2" s="180"/>
      <c r="DD2" s="180"/>
      <c r="DE2" s="180"/>
      <c r="DF2" s="180"/>
      <c r="DG2" s="180"/>
      <c r="DH2" s="180"/>
      <c r="DI2" s="180"/>
      <c r="DJ2" s="180"/>
      <c r="DK2" s="180"/>
      <c r="DL2" s="180"/>
      <c r="DM2" s="180"/>
      <c r="DN2" s="180"/>
      <c r="DO2" s="180"/>
      <c r="DP2" s="180"/>
      <c r="DQ2" s="180"/>
      <c r="DR2" s="180"/>
      <c r="DS2" s="180"/>
      <c r="DT2" s="180"/>
      <c r="DU2" s="180"/>
      <c r="DV2" s="180"/>
      <c r="DW2" s="180"/>
      <c r="DX2" s="180"/>
      <c r="DY2" s="180"/>
      <c r="DZ2" s="180"/>
      <c r="EA2" s="180"/>
      <c r="EB2" s="180"/>
      <c r="EC2" s="180"/>
      <c r="ED2" s="180"/>
      <c r="EE2" s="180"/>
      <c r="EF2" s="180"/>
      <c r="EG2" s="180"/>
      <c r="EH2" s="180"/>
      <c r="EI2" s="180"/>
      <c r="EJ2" s="180"/>
      <c r="EK2" s="180"/>
      <c r="EL2" s="180"/>
      <c r="EM2" s="180"/>
      <c r="EN2" s="180"/>
      <c r="EO2" s="180"/>
      <c r="EP2" s="180"/>
      <c r="EQ2" s="180"/>
      <c r="ER2" s="180"/>
      <c r="ES2" s="180"/>
      <c r="ET2" s="180"/>
      <c r="EU2" s="180"/>
      <c r="EV2" s="180"/>
      <c r="EW2" s="180"/>
      <c r="EX2" s="180"/>
      <c r="EY2" s="180"/>
      <c r="EZ2" s="180"/>
      <c r="FA2" s="180"/>
      <c r="FB2" s="180"/>
      <c r="FC2" s="180"/>
      <c r="FD2" s="180"/>
      <c r="FE2" s="180"/>
      <c r="FF2" s="180"/>
      <c r="FG2" s="180"/>
      <c r="FH2" s="180"/>
      <c r="FI2" s="180"/>
      <c r="FJ2" s="180"/>
      <c r="FK2" s="180"/>
      <c r="FL2" s="180"/>
      <c r="FM2" s="180"/>
      <c r="FN2" s="180"/>
      <c r="FO2" s="180"/>
      <c r="FP2" s="180"/>
      <c r="FQ2" s="180"/>
      <c r="FR2" s="180"/>
      <c r="FS2" s="180"/>
      <c r="FT2" s="180"/>
      <c r="FU2" s="180"/>
      <c r="FV2" s="180"/>
      <c r="FW2" s="180"/>
      <c r="FX2" s="180"/>
      <c r="FY2" s="180"/>
      <c r="FZ2" s="180"/>
      <c r="GA2" s="180"/>
      <c r="GB2" s="180"/>
      <c r="GC2" s="180"/>
      <c r="GD2" s="180"/>
      <c r="GE2" s="180"/>
      <c r="GF2" s="180"/>
      <c r="GG2" s="180"/>
      <c r="GH2" s="180"/>
      <c r="GI2" s="180"/>
      <c r="GJ2" s="180"/>
      <c r="GK2" s="180"/>
      <c r="GL2" s="180"/>
      <c r="GM2" s="180"/>
      <c r="GN2" s="180"/>
      <c r="GO2" s="180"/>
      <c r="GP2" s="180"/>
      <c r="GQ2" s="180"/>
      <c r="GR2" s="180"/>
      <c r="GS2" s="180"/>
      <c r="GT2" s="180"/>
      <c r="GU2" s="180"/>
      <c r="GV2" s="180"/>
      <c r="GW2" s="180"/>
      <c r="GX2" s="180"/>
      <c r="GY2" s="180"/>
      <c r="GZ2" s="180"/>
      <c r="HA2" s="180"/>
      <c r="HB2" s="180"/>
      <c r="HC2" s="180"/>
      <c r="HD2" s="180"/>
      <c r="HE2" s="180"/>
      <c r="HF2" s="180"/>
      <c r="HG2" s="180"/>
      <c r="HH2" s="180"/>
      <c r="HI2" s="180"/>
      <c r="HJ2" s="180"/>
      <c r="HK2" s="180"/>
      <c r="HL2" s="180"/>
      <c r="HM2" s="180"/>
      <c r="HN2" s="180"/>
      <c r="HO2" s="180"/>
      <c r="HP2" s="180"/>
      <c r="HQ2" s="180"/>
      <c r="HR2" s="180"/>
      <c r="HS2" s="180"/>
      <c r="HT2" s="180"/>
      <c r="HU2" s="180"/>
      <c r="HV2" s="180"/>
      <c r="HW2" s="180"/>
      <c r="HX2" s="180"/>
      <c r="HY2" s="180"/>
      <c r="HZ2" s="180"/>
      <c r="IA2" s="180"/>
      <c r="IB2" s="180"/>
      <c r="IC2" s="180"/>
      <c r="ID2" s="180"/>
      <c r="IE2" s="180"/>
      <c r="IF2" s="180"/>
      <c r="IG2" s="180"/>
      <c r="IH2" s="180"/>
      <c r="II2" s="180"/>
      <c r="IJ2" s="180"/>
      <c r="IK2" s="180"/>
      <c r="IL2" s="180"/>
      <c r="IM2" s="180"/>
      <c r="IN2" s="180"/>
      <c r="IO2" s="180"/>
      <c r="IP2" s="180"/>
      <c r="IQ2" s="180"/>
      <c r="IR2" s="180"/>
      <c r="IS2" s="180"/>
      <c r="IT2" s="180"/>
      <c r="IU2" s="180"/>
      <c r="IV2" s="180"/>
      <c r="IW2" s="180"/>
    </row>
    <row r="3" customFormat="false" ht="45" hidden="false" customHeight="true" outlineLevel="0" collapsed="false">
      <c r="A3" s="383" t="s">
        <v>265</v>
      </c>
      <c r="B3" s="206" t="s">
        <v>266</v>
      </c>
      <c r="C3" s="378"/>
      <c r="D3" s="378"/>
      <c r="E3" s="378"/>
      <c r="F3" s="378"/>
      <c r="G3" s="206" t="s">
        <v>113</v>
      </c>
      <c r="H3" s="206" t="s">
        <v>267</v>
      </c>
      <c r="I3" s="206" t="s">
        <v>115</v>
      </c>
      <c r="J3" s="206" t="s">
        <v>116</v>
      </c>
      <c r="K3" s="206"/>
      <c r="L3" s="206"/>
      <c r="M3" s="206"/>
      <c r="N3" s="206"/>
      <c r="O3" s="206"/>
      <c r="P3" s="206"/>
      <c r="Q3" s="206"/>
      <c r="R3" s="206"/>
      <c r="S3" s="381"/>
      <c r="T3" s="382"/>
      <c r="U3" s="381"/>
      <c r="V3" s="384"/>
      <c r="W3" s="384"/>
      <c r="X3" s="384"/>
      <c r="Y3" s="384"/>
      <c r="Z3" s="384"/>
      <c r="AA3" s="384"/>
      <c r="AB3" s="384"/>
      <c r="AC3" s="384"/>
      <c r="AD3" s="384"/>
      <c r="AE3" s="384"/>
      <c r="AF3" s="384"/>
      <c r="AG3" s="384"/>
      <c r="AH3" s="384"/>
      <c r="AI3" s="384"/>
      <c r="AJ3" s="384"/>
      <c r="AK3" s="384"/>
      <c r="AL3" s="384"/>
      <c r="AM3" s="384"/>
      <c r="AN3" s="384"/>
      <c r="AO3" s="384"/>
      <c r="AP3" s="384"/>
      <c r="AQ3" s="384"/>
      <c r="AR3" s="384"/>
      <c r="AS3" s="384"/>
      <c r="AT3" s="384"/>
      <c r="AU3" s="384"/>
      <c r="AV3" s="384"/>
      <c r="AW3" s="384"/>
      <c r="AX3" s="384"/>
      <c r="AY3" s="384"/>
      <c r="AZ3" s="384"/>
      <c r="BA3" s="384"/>
      <c r="BB3" s="384"/>
      <c r="BC3" s="384"/>
      <c r="BD3" s="384"/>
      <c r="BE3" s="384"/>
      <c r="BF3" s="384"/>
      <c r="BG3" s="384"/>
      <c r="BH3" s="384"/>
      <c r="BI3" s="384"/>
      <c r="BJ3" s="384"/>
      <c r="BK3" s="384"/>
      <c r="BL3" s="384"/>
      <c r="BM3" s="384"/>
      <c r="BN3" s="384"/>
      <c r="BO3" s="384"/>
      <c r="BP3" s="384"/>
      <c r="BQ3" s="384"/>
      <c r="BR3" s="384"/>
      <c r="BS3" s="384"/>
      <c r="BT3" s="384"/>
      <c r="BU3" s="384"/>
      <c r="BV3" s="384"/>
      <c r="BW3" s="384"/>
      <c r="BX3" s="384"/>
      <c r="BY3" s="384"/>
      <c r="BZ3" s="384"/>
      <c r="CA3" s="384"/>
      <c r="CB3" s="384"/>
      <c r="CC3" s="384"/>
      <c r="CD3" s="384"/>
      <c r="CE3" s="384"/>
      <c r="CF3" s="384"/>
      <c r="CG3" s="384"/>
      <c r="CH3" s="384"/>
      <c r="CI3" s="384"/>
      <c r="CJ3" s="384"/>
      <c r="CK3" s="384"/>
      <c r="CL3" s="384"/>
      <c r="CM3" s="384"/>
      <c r="CN3" s="384"/>
      <c r="CO3" s="384"/>
      <c r="CP3" s="384"/>
      <c r="CQ3" s="384"/>
      <c r="CR3" s="384"/>
      <c r="CS3" s="384"/>
      <c r="CT3" s="384"/>
      <c r="CU3" s="384"/>
      <c r="CV3" s="384"/>
      <c r="CW3" s="384"/>
      <c r="CX3" s="384"/>
      <c r="CY3" s="384"/>
      <c r="CZ3" s="384"/>
      <c r="DA3" s="384"/>
      <c r="DB3" s="384"/>
      <c r="DC3" s="384"/>
      <c r="DD3" s="384"/>
      <c r="DE3" s="384"/>
      <c r="DF3" s="384"/>
      <c r="DG3" s="384"/>
      <c r="DH3" s="384"/>
      <c r="DI3" s="384"/>
      <c r="DJ3" s="384"/>
      <c r="DK3" s="384"/>
      <c r="DL3" s="384"/>
      <c r="DM3" s="384"/>
      <c r="DN3" s="384"/>
      <c r="DO3" s="384"/>
      <c r="DP3" s="384"/>
      <c r="DQ3" s="384"/>
      <c r="DR3" s="384"/>
      <c r="DS3" s="384"/>
      <c r="DT3" s="384"/>
      <c r="DU3" s="384"/>
      <c r="DV3" s="384"/>
      <c r="DW3" s="384"/>
      <c r="DX3" s="384"/>
      <c r="DY3" s="384"/>
      <c r="DZ3" s="384"/>
      <c r="EA3" s="384"/>
      <c r="EB3" s="384"/>
      <c r="EC3" s="384"/>
      <c r="ED3" s="384"/>
      <c r="EE3" s="384"/>
      <c r="EF3" s="384"/>
      <c r="EG3" s="384"/>
      <c r="EH3" s="384"/>
      <c r="EI3" s="384"/>
      <c r="EJ3" s="384"/>
      <c r="EK3" s="384"/>
      <c r="EL3" s="384"/>
      <c r="EM3" s="384"/>
      <c r="EN3" s="384"/>
      <c r="EO3" s="384"/>
      <c r="EP3" s="384"/>
      <c r="EQ3" s="384"/>
      <c r="ER3" s="384"/>
      <c r="ES3" s="384"/>
      <c r="ET3" s="384"/>
      <c r="EU3" s="384"/>
      <c r="EV3" s="384"/>
      <c r="EW3" s="384"/>
      <c r="EX3" s="384"/>
      <c r="EY3" s="384"/>
      <c r="EZ3" s="384"/>
      <c r="FA3" s="384"/>
      <c r="FB3" s="384"/>
      <c r="FC3" s="384"/>
      <c r="FD3" s="384"/>
      <c r="FE3" s="384"/>
      <c r="FF3" s="384"/>
      <c r="FG3" s="384"/>
      <c r="FH3" s="384"/>
      <c r="FI3" s="384"/>
      <c r="FJ3" s="384"/>
      <c r="FK3" s="384"/>
      <c r="FL3" s="384"/>
      <c r="FM3" s="384"/>
      <c r="FN3" s="384"/>
      <c r="FO3" s="384"/>
      <c r="FP3" s="384"/>
      <c r="FQ3" s="384"/>
      <c r="FR3" s="384"/>
      <c r="FS3" s="384"/>
      <c r="FT3" s="384"/>
      <c r="FU3" s="384"/>
      <c r="FV3" s="384"/>
      <c r="FW3" s="384"/>
      <c r="FX3" s="384"/>
      <c r="FY3" s="384"/>
      <c r="FZ3" s="384"/>
      <c r="GA3" s="384"/>
      <c r="GB3" s="384"/>
      <c r="GC3" s="384"/>
      <c r="GD3" s="384"/>
      <c r="GE3" s="384"/>
      <c r="GF3" s="384"/>
      <c r="GG3" s="384"/>
      <c r="GH3" s="384"/>
      <c r="GI3" s="384"/>
      <c r="GJ3" s="384"/>
      <c r="GK3" s="384"/>
      <c r="GL3" s="384"/>
      <c r="GM3" s="384"/>
      <c r="GN3" s="384"/>
      <c r="GO3" s="384"/>
      <c r="GP3" s="384"/>
      <c r="GQ3" s="384"/>
      <c r="GR3" s="384"/>
      <c r="GS3" s="384"/>
      <c r="GT3" s="384"/>
      <c r="GU3" s="384"/>
      <c r="GV3" s="384"/>
      <c r="GW3" s="384"/>
      <c r="GX3" s="384"/>
      <c r="GY3" s="384"/>
      <c r="GZ3" s="384"/>
      <c r="HA3" s="384"/>
      <c r="HB3" s="384"/>
      <c r="HC3" s="384"/>
      <c r="HD3" s="384"/>
      <c r="HE3" s="384"/>
      <c r="HF3" s="384"/>
      <c r="HG3" s="384"/>
      <c r="HH3" s="384"/>
      <c r="HI3" s="384"/>
      <c r="HJ3" s="384"/>
      <c r="HK3" s="384"/>
      <c r="HL3" s="384"/>
      <c r="HM3" s="384"/>
      <c r="HN3" s="384"/>
      <c r="HO3" s="384"/>
      <c r="HP3" s="384"/>
      <c r="HQ3" s="384"/>
      <c r="HR3" s="384"/>
      <c r="HS3" s="384"/>
      <c r="HT3" s="384"/>
      <c r="HU3" s="384"/>
      <c r="HV3" s="384"/>
      <c r="HW3" s="384"/>
      <c r="HX3" s="384"/>
      <c r="HY3" s="384"/>
      <c r="HZ3" s="384"/>
      <c r="IA3" s="384"/>
      <c r="IB3" s="384"/>
      <c r="IC3" s="384"/>
      <c r="ID3" s="384"/>
      <c r="IE3" s="384"/>
      <c r="IF3" s="384"/>
      <c r="IG3" s="384"/>
      <c r="IH3" s="384"/>
      <c r="II3" s="384"/>
      <c r="IJ3" s="384"/>
      <c r="IK3" s="384"/>
      <c r="IL3" s="384"/>
      <c r="IM3" s="384"/>
      <c r="IN3" s="384"/>
      <c r="IO3" s="384"/>
      <c r="IP3" s="384"/>
      <c r="IQ3" s="384"/>
      <c r="IR3" s="384"/>
      <c r="IS3" s="384"/>
      <c r="IT3" s="384"/>
      <c r="IU3" s="384"/>
      <c r="IV3" s="384"/>
      <c r="IW3" s="384"/>
    </row>
    <row r="4" customFormat="false" ht="12.75" hidden="false" customHeight="false" outlineLevel="0" collapsed="false">
      <c r="A4" s="385" t="str">
        <f aca="false">IF((E1&lt;&gt;0),Admin!$B$7," ")</f>
        <v> </v>
      </c>
      <c r="B4" s="206"/>
      <c r="C4" s="206"/>
      <c r="D4" s="206"/>
      <c r="E4" s="206"/>
      <c r="F4" s="206"/>
      <c r="G4" s="374" t="s">
        <v>268</v>
      </c>
      <c r="H4" s="374" t="s">
        <v>269</v>
      </c>
      <c r="I4" s="374" t="s">
        <v>270</v>
      </c>
      <c r="J4" s="374" t="s">
        <v>271</v>
      </c>
      <c r="K4" s="374" t="s">
        <v>272</v>
      </c>
      <c r="L4" s="374" t="s">
        <v>273</v>
      </c>
      <c r="M4" s="374" t="s">
        <v>274</v>
      </c>
      <c r="N4" s="374" t="s">
        <v>275</v>
      </c>
      <c r="O4" s="374" t="s">
        <v>276</v>
      </c>
      <c r="P4" s="374" t="s">
        <v>277</v>
      </c>
      <c r="Q4" s="374" t="s">
        <v>278</v>
      </c>
      <c r="R4" s="374" t="s">
        <v>279</v>
      </c>
      <c r="S4" s="386" t="s">
        <v>280</v>
      </c>
      <c r="T4" s="382"/>
      <c r="U4" s="393" t="n">
        <f aca="false">IF((A1&lt;Admin!$F$22),((A1-PurchasesMay!A1)*Admin!$G$21),(A1*Admin!$G$21-(A1-Admin!$F$21)*(Admin!$G$21-Admin!$G$22)-PurchasesMay!A2))</f>
        <v>0</v>
      </c>
      <c r="V4" s="387"/>
      <c r="W4" s="387"/>
      <c r="X4" s="387"/>
      <c r="Y4" s="387"/>
      <c r="Z4" s="387"/>
      <c r="AA4" s="387"/>
      <c r="AB4" s="387"/>
      <c r="AC4" s="387"/>
      <c r="AD4" s="387"/>
      <c r="AE4" s="387"/>
      <c r="AF4" s="387"/>
      <c r="AG4" s="387"/>
      <c r="AH4" s="387"/>
      <c r="AI4" s="387"/>
      <c r="AJ4" s="387"/>
      <c r="AK4" s="387"/>
      <c r="AL4" s="387"/>
      <c r="AM4" s="387"/>
      <c r="AN4" s="387"/>
      <c r="AO4" s="387"/>
      <c r="AP4" s="387"/>
      <c r="AQ4" s="387"/>
      <c r="AR4" s="387"/>
      <c r="AS4" s="387"/>
      <c r="AT4" s="387"/>
      <c r="AU4" s="387"/>
      <c r="AV4" s="387"/>
      <c r="AW4" s="387"/>
      <c r="AX4" s="387"/>
      <c r="AY4" s="387"/>
      <c r="AZ4" s="387"/>
      <c r="BA4" s="387"/>
      <c r="BB4" s="387"/>
      <c r="BC4" s="387"/>
      <c r="BD4" s="387"/>
      <c r="BE4" s="387"/>
      <c r="BF4" s="387"/>
      <c r="BG4" s="387"/>
      <c r="BH4" s="387"/>
      <c r="BI4" s="387"/>
      <c r="BJ4" s="387"/>
      <c r="BK4" s="387"/>
      <c r="BL4" s="387"/>
      <c r="BM4" s="387"/>
      <c r="BN4" s="387"/>
      <c r="BO4" s="387"/>
      <c r="BP4" s="387"/>
      <c r="BQ4" s="387"/>
      <c r="BR4" s="387"/>
      <c r="BS4" s="387"/>
      <c r="BT4" s="387"/>
      <c r="BU4" s="387"/>
      <c r="BV4" s="387"/>
      <c r="BW4" s="387"/>
      <c r="BX4" s="387"/>
      <c r="BY4" s="387"/>
      <c r="BZ4" s="387"/>
      <c r="CA4" s="387"/>
      <c r="CB4" s="387"/>
      <c r="CC4" s="387"/>
      <c r="CD4" s="387"/>
      <c r="CE4" s="387"/>
      <c r="CF4" s="387"/>
      <c r="CG4" s="387"/>
      <c r="CH4" s="387"/>
      <c r="CI4" s="387"/>
      <c r="CJ4" s="387"/>
      <c r="CK4" s="387"/>
      <c r="CL4" s="387"/>
      <c r="CM4" s="387"/>
      <c r="CN4" s="387"/>
      <c r="CO4" s="387"/>
      <c r="CP4" s="387"/>
      <c r="CQ4" s="387"/>
      <c r="CR4" s="387"/>
      <c r="CS4" s="387"/>
      <c r="CT4" s="387"/>
      <c r="CU4" s="387"/>
      <c r="CV4" s="387"/>
      <c r="CW4" s="387"/>
      <c r="CX4" s="387"/>
      <c r="CY4" s="387"/>
      <c r="CZ4" s="387"/>
      <c r="DA4" s="387"/>
      <c r="DB4" s="387"/>
      <c r="DC4" s="387"/>
      <c r="DD4" s="387"/>
      <c r="DE4" s="387"/>
      <c r="DF4" s="387"/>
      <c r="DG4" s="387"/>
      <c r="DH4" s="387"/>
      <c r="DI4" s="387"/>
      <c r="DJ4" s="387"/>
      <c r="DK4" s="387"/>
      <c r="DL4" s="387"/>
      <c r="DM4" s="387"/>
      <c r="DN4" s="387"/>
      <c r="DO4" s="387"/>
      <c r="DP4" s="387"/>
      <c r="DQ4" s="387"/>
      <c r="DR4" s="387"/>
      <c r="DS4" s="387"/>
      <c r="DT4" s="387"/>
      <c r="DU4" s="387"/>
      <c r="DV4" s="387"/>
      <c r="DW4" s="387"/>
      <c r="DX4" s="387"/>
      <c r="DY4" s="387"/>
      <c r="DZ4" s="387"/>
      <c r="EA4" s="387"/>
      <c r="EB4" s="387"/>
      <c r="EC4" s="387"/>
      <c r="ED4" s="387"/>
      <c r="EE4" s="387"/>
      <c r="EF4" s="387"/>
      <c r="EG4" s="387"/>
      <c r="EH4" s="387"/>
      <c r="EI4" s="387"/>
      <c r="EJ4" s="387"/>
      <c r="EK4" s="387"/>
      <c r="EL4" s="387"/>
      <c r="EM4" s="387"/>
      <c r="EN4" s="387"/>
      <c r="EO4" s="387"/>
      <c r="EP4" s="387"/>
      <c r="EQ4" s="387"/>
      <c r="ER4" s="387"/>
      <c r="ES4" s="387"/>
      <c r="ET4" s="387"/>
      <c r="EU4" s="387"/>
      <c r="EV4" s="387"/>
      <c r="EW4" s="387"/>
      <c r="EX4" s="387"/>
      <c r="EY4" s="387"/>
      <c r="EZ4" s="387"/>
      <c r="FA4" s="387"/>
      <c r="FB4" s="387"/>
      <c r="FC4" s="387"/>
      <c r="FD4" s="387"/>
      <c r="FE4" s="387"/>
      <c r="FF4" s="387"/>
      <c r="FG4" s="387"/>
      <c r="FH4" s="387"/>
      <c r="FI4" s="387"/>
      <c r="FJ4" s="387"/>
      <c r="FK4" s="387"/>
      <c r="FL4" s="387"/>
      <c r="FM4" s="387"/>
      <c r="FN4" s="387"/>
      <c r="FO4" s="387"/>
      <c r="FP4" s="387"/>
      <c r="FQ4" s="387"/>
      <c r="FR4" s="387"/>
      <c r="FS4" s="387"/>
      <c r="FT4" s="387"/>
      <c r="FU4" s="387"/>
      <c r="FV4" s="387"/>
      <c r="FW4" s="387"/>
      <c r="FX4" s="387"/>
      <c r="FY4" s="387"/>
      <c r="FZ4" s="387"/>
      <c r="GA4" s="387"/>
      <c r="GB4" s="387"/>
      <c r="GC4" s="387"/>
      <c r="GD4" s="387"/>
      <c r="GE4" s="387"/>
      <c r="GF4" s="387"/>
      <c r="GG4" s="387"/>
      <c r="GH4" s="387"/>
      <c r="GI4" s="387"/>
      <c r="GJ4" s="387"/>
      <c r="GK4" s="387"/>
      <c r="GL4" s="387"/>
      <c r="GM4" s="387"/>
      <c r="GN4" s="387"/>
      <c r="GO4" s="387"/>
      <c r="GP4" s="387"/>
      <c r="GQ4" s="387"/>
      <c r="GR4" s="387"/>
      <c r="GS4" s="387"/>
      <c r="GT4" s="387"/>
      <c r="GU4" s="387"/>
      <c r="GV4" s="387"/>
      <c r="GW4" s="387"/>
      <c r="GX4" s="387"/>
      <c r="GY4" s="387"/>
      <c r="GZ4" s="387"/>
      <c r="HA4" s="387"/>
      <c r="HB4" s="387"/>
      <c r="HC4" s="387"/>
      <c r="HD4" s="387"/>
      <c r="HE4" s="387"/>
      <c r="HF4" s="387"/>
      <c r="HG4" s="387"/>
      <c r="HH4" s="387"/>
      <c r="HI4" s="387"/>
      <c r="HJ4" s="387"/>
      <c r="HK4" s="387"/>
      <c r="HL4" s="387"/>
      <c r="HM4" s="387"/>
      <c r="HN4" s="387"/>
      <c r="HO4" s="387"/>
      <c r="HP4" s="387"/>
      <c r="HQ4" s="387"/>
      <c r="HR4" s="387"/>
      <c r="HS4" s="387"/>
      <c r="HT4" s="387"/>
      <c r="HU4" s="387"/>
      <c r="HV4" s="387"/>
      <c r="HW4" s="387"/>
      <c r="HX4" s="387"/>
      <c r="HY4" s="387"/>
      <c r="HZ4" s="387"/>
      <c r="IA4" s="387"/>
      <c r="IB4" s="387"/>
      <c r="IC4" s="387"/>
      <c r="ID4" s="387"/>
      <c r="IE4" s="387"/>
      <c r="IF4" s="387"/>
      <c r="IG4" s="387"/>
      <c r="IH4" s="387"/>
      <c r="II4" s="387"/>
      <c r="IJ4" s="387"/>
      <c r="IK4" s="387"/>
      <c r="IL4" s="387"/>
      <c r="IM4" s="387"/>
      <c r="IN4" s="387"/>
      <c r="IO4" s="387"/>
      <c r="IP4" s="387"/>
      <c r="IQ4" s="387"/>
      <c r="IR4" s="387"/>
      <c r="IS4" s="387"/>
      <c r="IT4" s="387"/>
      <c r="IU4" s="387"/>
      <c r="IV4" s="387"/>
      <c r="IW4" s="387"/>
    </row>
    <row r="5" customFormat="false" ht="12.75" hidden="false" customHeight="false" outlineLevel="0" collapsed="false">
      <c r="A5" s="370" t="n">
        <v>46174</v>
      </c>
      <c r="B5" s="388" t="s">
        <v>291</v>
      </c>
      <c r="C5" s="371" t="s">
        <v>193</v>
      </c>
      <c r="D5" s="371" t="s">
        <v>292</v>
      </c>
      <c r="F5" s="371" t="n">
        <v>8000</v>
      </c>
      <c r="G5" s="180" t="str">
        <f aca="false">IF((D5="d"),F5," ")</f>
        <v> </v>
      </c>
      <c r="H5" s="180" t="str">
        <f aca="false">IF((D5="h"),F5," ")</f>
        <v> </v>
      </c>
      <c r="I5" s="180" t="str">
        <f aca="false">IF((D5="r"),F5," ")</f>
        <v> </v>
      </c>
      <c r="J5" s="180" t="str">
        <f aca="false">IF((D5="t"),F5," ")</f>
        <v> </v>
      </c>
      <c r="K5" s="180" t="str">
        <f aca="false">IF((D5="e"),F5," ")</f>
        <v> </v>
      </c>
      <c r="L5" s="180" t="str">
        <f aca="false">IF((D5="p"),F5," ")</f>
        <v> </v>
      </c>
      <c r="M5" s="180" t="str">
        <f aca="false">IF((D5="g"),F5," ")</f>
        <v> </v>
      </c>
      <c r="N5" s="180" t="str">
        <f aca="false">IF((D5="a"),F5," ")</f>
        <v> </v>
      </c>
      <c r="O5" s="180" t="str">
        <f aca="false">IF((D5="l"),F5," ")</f>
        <v> </v>
      </c>
      <c r="P5" s="180" t="str">
        <f aca="false">IF((D5="i"),F5," ")</f>
        <v> </v>
      </c>
      <c r="Q5" s="180" t="str">
        <f aca="false">IF((D5="b"),F5," ")</f>
        <v> </v>
      </c>
      <c r="R5" s="180" t="str">
        <f aca="false">IF((D5="o"),F5," ")</f>
        <v> </v>
      </c>
      <c r="S5" s="180" t="n">
        <f aca="false">IF((D5="f"),F5," ")</f>
        <v>8000</v>
      </c>
      <c r="T5" s="371"/>
      <c r="U5" s="371"/>
      <c r="V5" s="371"/>
      <c r="W5" s="371"/>
      <c r="X5" s="371"/>
      <c r="Y5" s="371"/>
      <c r="Z5" s="371"/>
      <c r="AA5" s="371"/>
      <c r="AB5" s="371"/>
      <c r="AC5" s="371"/>
      <c r="AD5" s="371"/>
      <c r="AE5" s="371"/>
      <c r="AF5" s="371"/>
      <c r="AG5" s="371"/>
      <c r="AH5" s="371"/>
      <c r="AI5" s="371"/>
      <c r="AJ5" s="371"/>
      <c r="AK5" s="371"/>
      <c r="AL5" s="371"/>
      <c r="AM5" s="371"/>
      <c r="AN5" s="371"/>
      <c r="AO5" s="371"/>
      <c r="AP5" s="371"/>
      <c r="AQ5" s="371"/>
      <c r="AR5" s="371"/>
      <c r="AS5" s="371"/>
      <c r="AT5" s="371"/>
      <c r="AU5" s="371"/>
      <c r="AV5" s="371"/>
      <c r="AW5" s="371"/>
      <c r="AX5" s="371"/>
      <c r="AY5" s="371"/>
      <c r="AZ5" s="371"/>
      <c r="BA5" s="371"/>
      <c r="BB5" s="371"/>
      <c r="BC5" s="371"/>
      <c r="BD5" s="371"/>
      <c r="BE5" s="371"/>
      <c r="BF5" s="371"/>
      <c r="BG5" s="371"/>
      <c r="BH5" s="371"/>
      <c r="BI5" s="371"/>
      <c r="BJ5" s="371"/>
      <c r="BK5" s="371"/>
      <c r="BL5" s="371"/>
      <c r="BM5" s="371"/>
      <c r="BN5" s="371"/>
      <c r="BO5" s="371"/>
      <c r="BP5" s="371"/>
      <c r="BQ5" s="371"/>
      <c r="BR5" s="371"/>
      <c r="BS5" s="371"/>
      <c r="BT5" s="371"/>
      <c r="BU5" s="371"/>
      <c r="BV5" s="371"/>
      <c r="BW5" s="371"/>
      <c r="BX5" s="371"/>
      <c r="BY5" s="371"/>
      <c r="BZ5" s="371"/>
      <c r="CA5" s="371"/>
      <c r="CB5" s="371"/>
      <c r="CC5" s="371"/>
      <c r="CD5" s="371"/>
      <c r="CE5" s="371"/>
      <c r="CF5" s="371"/>
      <c r="CG5" s="371"/>
      <c r="CH5" s="371"/>
      <c r="CI5" s="371"/>
      <c r="CJ5" s="371"/>
      <c r="CK5" s="371"/>
      <c r="CL5" s="371"/>
      <c r="CM5" s="371"/>
      <c r="CN5" s="371"/>
      <c r="CO5" s="371"/>
      <c r="CP5" s="371"/>
      <c r="CQ5" s="371"/>
      <c r="CR5" s="371"/>
      <c r="CS5" s="371"/>
      <c r="CT5" s="371"/>
      <c r="CU5" s="371"/>
      <c r="CV5" s="371"/>
      <c r="CW5" s="371"/>
      <c r="CX5" s="371"/>
      <c r="CY5" s="371"/>
      <c r="CZ5" s="371"/>
      <c r="DA5" s="371"/>
      <c r="DB5" s="371"/>
      <c r="DC5" s="371"/>
      <c r="DD5" s="371"/>
      <c r="DE5" s="371"/>
      <c r="DF5" s="371"/>
      <c r="DG5" s="371"/>
      <c r="DH5" s="371"/>
      <c r="DI5" s="371"/>
      <c r="DJ5" s="371"/>
      <c r="DK5" s="371"/>
      <c r="DL5" s="371"/>
      <c r="DM5" s="371"/>
      <c r="DN5" s="371"/>
      <c r="DO5" s="371"/>
      <c r="DP5" s="371"/>
      <c r="DQ5" s="371"/>
      <c r="DR5" s="371"/>
      <c r="DS5" s="371"/>
      <c r="DT5" s="371"/>
      <c r="DU5" s="371"/>
      <c r="DV5" s="371"/>
      <c r="DW5" s="371"/>
      <c r="DX5" s="371"/>
      <c r="DY5" s="371"/>
      <c r="DZ5" s="371"/>
      <c r="EA5" s="371"/>
      <c r="EB5" s="371"/>
      <c r="EC5" s="371"/>
      <c r="ED5" s="371"/>
      <c r="EE5" s="371"/>
      <c r="EF5" s="371"/>
      <c r="EG5" s="371"/>
      <c r="EH5" s="371"/>
      <c r="EI5" s="371"/>
      <c r="EJ5" s="371"/>
      <c r="EK5" s="371"/>
      <c r="EL5" s="371"/>
      <c r="EM5" s="371"/>
      <c r="EN5" s="371"/>
      <c r="EO5" s="371"/>
      <c r="EP5" s="371"/>
      <c r="EQ5" s="371"/>
      <c r="ER5" s="371"/>
      <c r="ES5" s="371"/>
      <c r="ET5" s="371"/>
      <c r="EU5" s="371"/>
      <c r="EV5" s="371"/>
      <c r="EW5" s="371"/>
      <c r="EX5" s="371"/>
      <c r="EY5" s="371"/>
      <c r="EZ5" s="371"/>
      <c r="FA5" s="371"/>
      <c r="FB5" s="371"/>
      <c r="FC5" s="371"/>
      <c r="FD5" s="371"/>
      <c r="FE5" s="371"/>
      <c r="FF5" s="371"/>
      <c r="FG5" s="371"/>
      <c r="FH5" s="371"/>
      <c r="FI5" s="371"/>
      <c r="FJ5" s="371"/>
      <c r="FK5" s="371"/>
      <c r="FL5" s="371"/>
      <c r="FM5" s="371"/>
      <c r="FN5" s="371"/>
      <c r="FO5" s="371"/>
      <c r="FP5" s="371"/>
      <c r="FQ5" s="371"/>
      <c r="FR5" s="371"/>
      <c r="FS5" s="371"/>
      <c r="FT5" s="371"/>
      <c r="FU5" s="371"/>
      <c r="FV5" s="371"/>
      <c r="FW5" s="371"/>
      <c r="FX5" s="371"/>
      <c r="FY5" s="371"/>
      <c r="FZ5" s="371"/>
      <c r="GA5" s="371"/>
      <c r="GB5" s="371"/>
      <c r="GC5" s="371"/>
      <c r="GD5" s="371"/>
      <c r="GE5" s="371"/>
      <c r="GF5" s="371"/>
      <c r="GG5" s="371"/>
      <c r="GH5" s="371"/>
      <c r="GI5" s="371"/>
      <c r="GJ5" s="371"/>
      <c r="GK5" s="371"/>
      <c r="GL5" s="371"/>
      <c r="GM5" s="371"/>
      <c r="GN5" s="371"/>
      <c r="GO5" s="371"/>
      <c r="GP5" s="371"/>
      <c r="GQ5" s="371"/>
      <c r="GR5" s="371"/>
      <c r="GS5" s="371"/>
      <c r="GT5" s="371"/>
      <c r="GU5" s="371"/>
      <c r="GV5" s="371"/>
      <c r="GW5" s="371"/>
      <c r="GX5" s="371"/>
      <c r="GY5" s="371"/>
      <c r="GZ5" s="371"/>
      <c r="HA5" s="371"/>
      <c r="HB5" s="371"/>
      <c r="HC5" s="371"/>
      <c r="HD5" s="371"/>
      <c r="HE5" s="371"/>
      <c r="HF5" s="371"/>
      <c r="HG5" s="371"/>
      <c r="HH5" s="371"/>
      <c r="HI5" s="371"/>
      <c r="HJ5" s="371"/>
      <c r="HK5" s="371"/>
      <c r="HL5" s="371"/>
      <c r="HM5" s="371"/>
      <c r="HN5" s="371"/>
      <c r="HO5" s="371"/>
      <c r="HP5" s="371"/>
      <c r="HQ5" s="371"/>
      <c r="HR5" s="371"/>
      <c r="HS5" s="371"/>
      <c r="HT5" s="371"/>
      <c r="HU5" s="371"/>
      <c r="HV5" s="371"/>
      <c r="HW5" s="371"/>
      <c r="HX5" s="371"/>
      <c r="HY5" s="371"/>
      <c r="HZ5" s="371"/>
      <c r="IA5" s="371"/>
      <c r="IB5" s="371"/>
      <c r="IC5" s="371"/>
      <c r="ID5" s="371"/>
      <c r="IE5" s="371"/>
      <c r="IF5" s="371"/>
      <c r="IG5" s="371"/>
      <c r="IH5" s="371"/>
      <c r="II5" s="371"/>
      <c r="IJ5" s="371"/>
      <c r="IK5" s="371"/>
      <c r="IL5" s="371"/>
      <c r="IM5" s="371"/>
      <c r="IN5" s="371"/>
      <c r="IO5" s="371"/>
      <c r="IP5" s="371"/>
      <c r="IQ5" s="371"/>
      <c r="IR5" s="371"/>
      <c r="IS5" s="371"/>
      <c r="IT5" s="371"/>
      <c r="IU5" s="371"/>
      <c r="IV5" s="371"/>
      <c r="IW5" s="371"/>
    </row>
    <row r="6" customFormat="false" ht="12.75" hidden="false" customHeight="false" outlineLevel="0" collapsed="false">
      <c r="A6" s="370" t="n">
        <v>46188</v>
      </c>
      <c r="B6" s="179" t="s">
        <v>286</v>
      </c>
      <c r="D6" s="371" t="s">
        <v>287</v>
      </c>
      <c r="F6" s="372" t="n">
        <v>300</v>
      </c>
      <c r="G6" s="180" t="n">
        <f aca="false">IF((D6="d"),F6," ")</f>
        <v>300</v>
      </c>
      <c r="H6" s="180" t="str">
        <f aca="false">IF((D6="h"),F6," ")</f>
        <v> </v>
      </c>
      <c r="I6" s="180" t="str">
        <f aca="false">IF((D6="r"),F6," ")</f>
        <v> </v>
      </c>
      <c r="J6" s="180" t="str">
        <f aca="false">IF((D6="t"),F6," ")</f>
        <v> </v>
      </c>
      <c r="K6" s="180" t="str">
        <f aca="false">IF((D6="e"),F6," ")</f>
        <v> </v>
      </c>
      <c r="L6" s="180" t="str">
        <f aca="false">IF((D6="p"),F6," ")</f>
        <v> </v>
      </c>
      <c r="M6" s="180" t="str">
        <f aca="false">IF((D6="g"),F6," ")</f>
        <v> </v>
      </c>
      <c r="N6" s="180" t="str">
        <f aca="false">IF((D6="a"),F6," ")</f>
        <v> </v>
      </c>
      <c r="O6" s="180" t="str">
        <f aca="false">IF((D6="l"),F6," ")</f>
        <v> </v>
      </c>
      <c r="P6" s="180" t="str">
        <f aca="false">IF((D6="i"),F6," ")</f>
        <v> </v>
      </c>
      <c r="Q6" s="180" t="str">
        <f aca="false">IF((D6="b"),F6," ")</f>
        <v> </v>
      </c>
      <c r="R6" s="180" t="str">
        <f aca="false">IF((D6="o"),F6," ")</f>
        <v> </v>
      </c>
      <c r="S6" s="180" t="str">
        <f aca="false">IF((D6="f"),F6," ")</f>
        <v> </v>
      </c>
      <c r="U6" s="371"/>
    </row>
    <row r="7" customFormat="false" ht="12.75" hidden="false" customHeight="false" outlineLevel="0" collapsed="false">
      <c r="G7" s="180" t="str">
        <f aca="false">IF((D7="d"),F7," ")</f>
        <v> </v>
      </c>
      <c r="H7" s="180" t="str">
        <f aca="false">IF((D7="h"),F7," ")</f>
        <v> </v>
      </c>
      <c r="I7" s="180" t="str">
        <f aca="false">IF((D7="r"),F7," ")</f>
        <v> </v>
      </c>
      <c r="J7" s="180" t="str">
        <f aca="false">IF((D7="t"),F7," ")</f>
        <v> </v>
      </c>
      <c r="K7" s="180" t="str">
        <f aca="false">IF((D7="e"),F7," ")</f>
        <v> </v>
      </c>
      <c r="L7" s="180" t="str">
        <f aca="false">IF((D7="p"),F7," ")</f>
        <v> </v>
      </c>
      <c r="M7" s="180" t="str">
        <f aca="false">IF((D7="g"),F7," ")</f>
        <v> </v>
      </c>
      <c r="N7" s="180" t="str">
        <f aca="false">IF((D7="a"),F7," ")</f>
        <v> </v>
      </c>
      <c r="O7" s="180" t="str">
        <f aca="false">IF((D7="l"),F7," ")</f>
        <v> </v>
      </c>
      <c r="P7" s="180" t="str">
        <f aca="false">IF((D7="i"),F7," ")</f>
        <v> </v>
      </c>
      <c r="Q7" s="180" t="str">
        <f aca="false">IF((D7="b"),F7," ")</f>
        <v> </v>
      </c>
      <c r="R7" s="180" t="str">
        <f aca="false">IF((D7="o"),F7," ")</f>
        <v> </v>
      </c>
      <c r="S7" s="180" t="str">
        <f aca="false">IF((D7="f"),F7," ")</f>
        <v> </v>
      </c>
      <c r="U7" s="371"/>
    </row>
    <row r="8" customFormat="false" ht="12.75" hidden="false" customHeight="false" outlineLevel="0" collapsed="false">
      <c r="G8" s="180" t="str">
        <f aca="false">IF((D8="d"),F8," ")</f>
        <v> </v>
      </c>
      <c r="H8" s="180" t="str">
        <f aca="false">IF((D8="h"),F8," ")</f>
        <v> </v>
      </c>
      <c r="I8" s="180" t="str">
        <f aca="false">IF((D8="r"),F8," ")</f>
        <v> </v>
      </c>
      <c r="J8" s="180" t="str">
        <f aca="false">IF((D8="t"),F8," ")</f>
        <v> </v>
      </c>
      <c r="K8" s="180" t="str">
        <f aca="false">IF((D8="e"),F8," ")</f>
        <v> </v>
      </c>
      <c r="L8" s="180" t="str">
        <f aca="false">IF((D8="p"),F8," ")</f>
        <v> </v>
      </c>
      <c r="M8" s="180" t="str">
        <f aca="false">IF((D8="g"),F8," ")</f>
        <v> </v>
      </c>
      <c r="N8" s="180" t="str">
        <f aca="false">IF((D8="a"),F8," ")</f>
        <v> </v>
      </c>
      <c r="O8" s="180" t="str">
        <f aca="false">IF((D8="l"),F8," ")</f>
        <v> </v>
      </c>
      <c r="P8" s="180" t="str">
        <f aca="false">IF((D8="i"),F8," ")</f>
        <v> </v>
      </c>
      <c r="Q8" s="180" t="str">
        <f aca="false">IF((D8="b"),F8," ")</f>
        <v> </v>
      </c>
      <c r="R8" s="180" t="str">
        <f aca="false">IF((D8="o"),F8," ")</f>
        <v> </v>
      </c>
      <c r="S8" s="180" t="str">
        <f aca="false">IF((D8="f"),F8," ")</f>
        <v> </v>
      </c>
      <c r="U8" s="371"/>
    </row>
    <row r="9" customFormat="false" ht="12.75" hidden="false" customHeight="false" outlineLevel="0" collapsed="false">
      <c r="G9" s="180" t="str">
        <f aca="false">IF((D9="d"),F9," ")</f>
        <v> </v>
      </c>
      <c r="H9" s="180" t="str">
        <f aca="false">IF((D9="h"),F9," ")</f>
        <v> </v>
      </c>
      <c r="I9" s="180" t="str">
        <f aca="false">IF((D9="r"),F9," ")</f>
        <v> </v>
      </c>
      <c r="J9" s="180" t="str">
        <f aca="false">IF((D9="t"),F9," ")</f>
        <v> </v>
      </c>
      <c r="K9" s="180" t="str">
        <f aca="false">IF((D9="e"),F9," ")</f>
        <v> </v>
      </c>
      <c r="L9" s="180" t="str">
        <f aca="false">IF((D9="p"),F9," ")</f>
        <v> </v>
      </c>
      <c r="M9" s="180" t="str">
        <f aca="false">IF((D9="g"),F9," ")</f>
        <v> </v>
      </c>
      <c r="N9" s="180" t="str">
        <f aca="false">IF((D9="a"),F9," ")</f>
        <v> </v>
      </c>
      <c r="O9" s="180" t="str">
        <f aca="false">IF((D9="l"),F9," ")</f>
        <v> </v>
      </c>
      <c r="P9" s="180" t="str">
        <f aca="false">IF((D9="i"),F9," ")</f>
        <v> </v>
      </c>
      <c r="Q9" s="180" t="str">
        <f aca="false">IF((D9="b"),F9," ")</f>
        <v> </v>
      </c>
      <c r="R9" s="180" t="str">
        <f aca="false">IF((D9="o"),F9," ")</f>
        <v> </v>
      </c>
      <c r="S9" s="180" t="str">
        <f aca="false">IF((D9="f"),F9," ")</f>
        <v> </v>
      </c>
      <c r="U9" s="371"/>
    </row>
    <row r="10" customFormat="false" ht="12.75" hidden="false" customHeight="false" outlineLevel="0" collapsed="false">
      <c r="G10" s="180" t="str">
        <f aca="false">IF((D10="d"),F10," ")</f>
        <v> </v>
      </c>
      <c r="H10" s="180" t="str">
        <f aca="false">IF((D10="h"),F10," ")</f>
        <v> </v>
      </c>
      <c r="I10" s="180" t="str">
        <f aca="false">IF((D10="r"),F10," ")</f>
        <v> </v>
      </c>
      <c r="J10" s="180" t="str">
        <f aca="false">IF((D10="t"),F10," ")</f>
        <v> </v>
      </c>
      <c r="K10" s="180" t="str">
        <f aca="false">IF((D10="e"),F10," ")</f>
        <v> </v>
      </c>
      <c r="L10" s="180" t="str">
        <f aca="false">IF((D10="p"),F10," ")</f>
        <v> </v>
      </c>
      <c r="M10" s="180" t="str">
        <f aca="false">IF((D10="g"),F10," ")</f>
        <v> </v>
      </c>
      <c r="N10" s="180" t="str">
        <f aca="false">IF((D10="a"),F10," ")</f>
        <v> </v>
      </c>
      <c r="O10" s="180" t="str">
        <f aca="false">IF((D10="l"),F10," ")</f>
        <v> </v>
      </c>
      <c r="P10" s="180" t="str">
        <f aca="false">IF((D10="i"),F10," ")</f>
        <v> </v>
      </c>
      <c r="Q10" s="180" t="str">
        <f aca="false">IF((D10="b"),F10," ")</f>
        <v> </v>
      </c>
      <c r="R10" s="180" t="str">
        <f aca="false">IF((D10="o"),F10," ")</f>
        <v> </v>
      </c>
      <c r="S10" s="180" t="str">
        <f aca="false">IF((D10="f"),F10," ")</f>
        <v> </v>
      </c>
      <c r="U10" s="371"/>
    </row>
    <row r="11" customFormat="false" ht="12.75" hidden="false" customHeight="false" outlineLevel="0" collapsed="false">
      <c r="G11" s="180" t="str">
        <f aca="false">IF((D11="d"),F11," ")</f>
        <v> </v>
      </c>
      <c r="H11" s="180" t="str">
        <f aca="false">IF((D11="h"),F11," ")</f>
        <v> </v>
      </c>
      <c r="I11" s="180" t="str">
        <f aca="false">IF((D11="r"),F11," ")</f>
        <v> </v>
      </c>
      <c r="J11" s="180" t="str">
        <f aca="false">IF((D11="t"),F11," ")</f>
        <v> </v>
      </c>
      <c r="K11" s="180" t="str">
        <f aca="false">IF((D11="e"),F11," ")</f>
        <v> </v>
      </c>
      <c r="L11" s="180" t="str">
        <f aca="false">IF((D11="p"),F11," ")</f>
        <v> </v>
      </c>
      <c r="M11" s="180" t="str">
        <f aca="false">IF((D11="g"),F11," ")</f>
        <v> </v>
      </c>
      <c r="N11" s="180" t="str">
        <f aca="false">IF((D11="a"),F11," ")</f>
        <v> </v>
      </c>
      <c r="O11" s="180" t="str">
        <f aca="false">IF((D11="l"),F11," ")</f>
        <v> </v>
      </c>
      <c r="P11" s="180" t="str">
        <f aca="false">IF((D11="i"),F11," ")</f>
        <v> </v>
      </c>
      <c r="Q11" s="180" t="str">
        <f aca="false">IF((D11="b"),F11," ")</f>
        <v> </v>
      </c>
      <c r="R11" s="180" t="str">
        <f aca="false">IF((D11="o"),F11," ")</f>
        <v> </v>
      </c>
      <c r="S11" s="180" t="str">
        <f aca="false">IF((D11="f"),F11," ")</f>
        <v> </v>
      </c>
      <c r="U11" s="371"/>
    </row>
    <row r="12" customFormat="false" ht="12.75" hidden="false" customHeight="false" outlineLevel="0" collapsed="false">
      <c r="G12" s="180" t="str">
        <f aca="false">IF((D12="d"),F12," ")</f>
        <v> </v>
      </c>
      <c r="H12" s="180" t="str">
        <f aca="false">IF((D12="h"),F12," ")</f>
        <v> </v>
      </c>
      <c r="I12" s="180" t="str">
        <f aca="false">IF((D12="r"),F12," ")</f>
        <v> </v>
      </c>
      <c r="J12" s="180" t="str">
        <f aca="false">IF((D12="t"),F12," ")</f>
        <v> </v>
      </c>
      <c r="K12" s="180" t="str">
        <f aca="false">IF((D12="e"),F12," ")</f>
        <v> </v>
      </c>
      <c r="L12" s="180" t="str">
        <f aca="false">IF((D12="p"),F12," ")</f>
        <v> </v>
      </c>
      <c r="M12" s="180" t="str">
        <f aca="false">IF((D12="g"),F12," ")</f>
        <v> </v>
      </c>
      <c r="N12" s="180" t="str">
        <f aca="false">IF((D12="a"),F12," ")</f>
        <v> </v>
      </c>
      <c r="O12" s="180" t="str">
        <f aca="false">IF((D12="l"),F12," ")</f>
        <v> </v>
      </c>
      <c r="P12" s="180" t="str">
        <f aca="false">IF((D12="i"),F12," ")</f>
        <v> </v>
      </c>
      <c r="Q12" s="180" t="str">
        <f aca="false">IF((D12="b"),F12," ")</f>
        <v> </v>
      </c>
      <c r="R12" s="180" t="str">
        <f aca="false">IF((D12="o"),F12," ")</f>
        <v> </v>
      </c>
      <c r="S12" s="180" t="str">
        <f aca="false">IF((D12="f"),F12," ")</f>
        <v> </v>
      </c>
      <c r="U12" s="371"/>
    </row>
    <row r="13" customFormat="false" ht="12.75" hidden="false" customHeight="false" outlineLevel="0" collapsed="false">
      <c r="G13" s="180" t="str">
        <f aca="false">IF((D13="d"),F13," ")</f>
        <v> </v>
      </c>
      <c r="H13" s="180" t="str">
        <f aca="false">IF((D13="h"),F13," ")</f>
        <v> </v>
      </c>
      <c r="I13" s="180" t="str">
        <f aca="false">IF((D13="r"),F13," ")</f>
        <v> </v>
      </c>
      <c r="J13" s="180" t="str">
        <f aca="false">IF((D13="t"),F13," ")</f>
        <v> </v>
      </c>
      <c r="K13" s="180" t="str">
        <f aca="false">IF((D13="e"),F13," ")</f>
        <v> </v>
      </c>
      <c r="L13" s="180" t="str">
        <f aca="false">IF((D13="p"),F13," ")</f>
        <v> </v>
      </c>
      <c r="M13" s="180" t="str">
        <f aca="false">IF((D13="g"),F13," ")</f>
        <v> </v>
      </c>
      <c r="N13" s="180" t="str">
        <f aca="false">IF((D13="a"),F13," ")</f>
        <v> </v>
      </c>
      <c r="O13" s="180" t="str">
        <f aca="false">IF((D13="l"),F13," ")</f>
        <v> </v>
      </c>
      <c r="P13" s="180" t="str">
        <f aca="false">IF((D13="i"),F13," ")</f>
        <v> </v>
      </c>
      <c r="Q13" s="180" t="str">
        <f aca="false">IF((D13="b"),F13," ")</f>
        <v> </v>
      </c>
      <c r="R13" s="180" t="str">
        <f aca="false">IF((D13="o"),F13," ")</f>
        <v> </v>
      </c>
      <c r="S13" s="180" t="str">
        <f aca="false">IF((D13="f"),F13," ")</f>
        <v> </v>
      </c>
      <c r="U13" s="371"/>
    </row>
    <row r="14" customFormat="false" ht="12.75" hidden="false" customHeight="false" outlineLevel="0" collapsed="false">
      <c r="G14" s="180" t="str">
        <f aca="false">IF((D14="d"),F14," ")</f>
        <v> </v>
      </c>
      <c r="H14" s="180" t="str">
        <f aca="false">IF((D14="h"),F14," ")</f>
        <v> </v>
      </c>
      <c r="I14" s="180" t="str">
        <f aca="false">IF((D14="r"),F14," ")</f>
        <v> </v>
      </c>
      <c r="J14" s="180" t="str">
        <f aca="false">IF((D14="t"),F14," ")</f>
        <v> </v>
      </c>
      <c r="K14" s="180" t="str">
        <f aca="false">IF((D14="e"),F14," ")</f>
        <v> </v>
      </c>
      <c r="L14" s="180" t="str">
        <f aca="false">IF((D14="p"),F14," ")</f>
        <v> </v>
      </c>
      <c r="M14" s="180" t="str">
        <f aca="false">IF((D14="g"),F14," ")</f>
        <v> </v>
      </c>
      <c r="N14" s="180" t="str">
        <f aca="false">IF((D14="a"),F14," ")</f>
        <v> </v>
      </c>
      <c r="O14" s="180" t="str">
        <f aca="false">IF((D14="l"),F14," ")</f>
        <v> </v>
      </c>
      <c r="P14" s="180" t="str">
        <f aca="false">IF((D14="i"),F14," ")</f>
        <v> </v>
      </c>
      <c r="Q14" s="180" t="str">
        <f aca="false">IF((D14="b"),F14," ")</f>
        <v> </v>
      </c>
      <c r="R14" s="180" t="str">
        <f aca="false">IF((D14="o"),F14," ")</f>
        <v> </v>
      </c>
      <c r="S14" s="180" t="str">
        <f aca="false">IF((D14="f"),F14," ")</f>
        <v> </v>
      </c>
      <c r="U14" s="371"/>
    </row>
    <row r="15" customFormat="false" ht="12.75" hidden="false" customHeight="false" outlineLevel="0" collapsed="false">
      <c r="G15" s="180" t="str">
        <f aca="false">IF((D15="d"),F15," ")</f>
        <v> </v>
      </c>
      <c r="H15" s="180" t="str">
        <f aca="false">IF((D15="h"),F15," ")</f>
        <v> </v>
      </c>
      <c r="I15" s="180" t="str">
        <f aca="false">IF((D15="r"),F15," ")</f>
        <v> </v>
      </c>
      <c r="J15" s="180" t="str">
        <f aca="false">IF((D15="t"),F15," ")</f>
        <v> </v>
      </c>
      <c r="K15" s="180" t="str">
        <f aca="false">IF((D15="e"),F15," ")</f>
        <v> </v>
      </c>
      <c r="L15" s="180" t="str">
        <f aca="false">IF((D15="p"),F15," ")</f>
        <v> </v>
      </c>
      <c r="M15" s="180" t="str">
        <f aca="false">IF((D15="g"),F15," ")</f>
        <v> </v>
      </c>
      <c r="N15" s="180" t="str">
        <f aca="false">IF((D15="a"),F15," ")</f>
        <v> </v>
      </c>
      <c r="O15" s="180" t="str">
        <f aca="false">IF((D15="l"),F15," ")</f>
        <v> </v>
      </c>
      <c r="P15" s="180" t="str">
        <f aca="false">IF((D15="i"),F15," ")</f>
        <v> </v>
      </c>
      <c r="Q15" s="180" t="str">
        <f aca="false">IF((D15="b"),F15," ")</f>
        <v> </v>
      </c>
      <c r="R15" s="180" t="str">
        <f aca="false">IF((D15="o"),F15," ")</f>
        <v> </v>
      </c>
      <c r="S15" s="180" t="str">
        <f aca="false">IF((D15="f"),F15," ")</f>
        <v> </v>
      </c>
      <c r="U15" s="371"/>
    </row>
    <row r="16" customFormat="false" ht="12.75" hidden="false" customHeight="false" outlineLevel="0" collapsed="false">
      <c r="G16" s="180" t="str">
        <f aca="false">IF((D16="d"),F16," ")</f>
        <v> </v>
      </c>
      <c r="H16" s="180" t="str">
        <f aca="false">IF((D16="h"),F16," ")</f>
        <v> </v>
      </c>
      <c r="I16" s="180" t="str">
        <f aca="false">IF((D16="r"),F16," ")</f>
        <v> </v>
      </c>
      <c r="J16" s="180" t="str">
        <f aca="false">IF((D16="t"),F16," ")</f>
        <v> </v>
      </c>
      <c r="K16" s="180" t="str">
        <f aca="false">IF((D16="e"),F16," ")</f>
        <v> </v>
      </c>
      <c r="L16" s="180" t="str">
        <f aca="false">IF((D16="p"),F16," ")</f>
        <v> </v>
      </c>
      <c r="M16" s="180" t="str">
        <f aca="false">IF((D16="g"),F16," ")</f>
        <v> </v>
      </c>
      <c r="N16" s="180" t="str">
        <f aca="false">IF((D16="a"),F16," ")</f>
        <v> </v>
      </c>
      <c r="O16" s="180" t="str">
        <f aca="false">IF((D16="l"),F16," ")</f>
        <v> </v>
      </c>
      <c r="P16" s="180" t="str">
        <f aca="false">IF((D16="i"),F16," ")</f>
        <v> </v>
      </c>
      <c r="Q16" s="180" t="str">
        <f aca="false">IF((D16="b"),F16," ")</f>
        <v> </v>
      </c>
      <c r="R16" s="180" t="str">
        <f aca="false">IF((D16="o"),F16," ")</f>
        <v> </v>
      </c>
      <c r="S16" s="180" t="str">
        <f aca="false">IF((D16="f"),F16," ")</f>
        <v> </v>
      </c>
      <c r="U16" s="371"/>
    </row>
    <row r="17" customFormat="false" ht="12.75" hidden="false" customHeight="false" outlineLevel="0" collapsed="false">
      <c r="G17" s="180" t="str">
        <f aca="false">IF((D17="d"),F17," ")</f>
        <v> </v>
      </c>
      <c r="H17" s="180" t="str">
        <f aca="false">IF((D17="h"),F17," ")</f>
        <v> </v>
      </c>
      <c r="I17" s="180" t="str">
        <f aca="false">IF((D17="r"),F17," ")</f>
        <v> </v>
      </c>
      <c r="J17" s="180" t="str">
        <f aca="false">IF((D17="t"),F17," ")</f>
        <v> </v>
      </c>
      <c r="K17" s="180" t="str">
        <f aca="false">IF((D17="e"),F17," ")</f>
        <v> </v>
      </c>
      <c r="L17" s="180" t="str">
        <f aca="false">IF((D17="p"),F17," ")</f>
        <v> </v>
      </c>
      <c r="M17" s="180" t="str">
        <f aca="false">IF((D17="g"),F17," ")</f>
        <v> </v>
      </c>
      <c r="N17" s="180" t="str">
        <f aca="false">IF((D17="a"),F17," ")</f>
        <v> </v>
      </c>
      <c r="O17" s="180" t="str">
        <f aca="false">IF((D17="l"),F17," ")</f>
        <v> </v>
      </c>
      <c r="P17" s="180" t="str">
        <f aca="false">IF((D17="i"),F17," ")</f>
        <v> </v>
      </c>
      <c r="Q17" s="180" t="str">
        <f aca="false">IF((D17="b"),F17," ")</f>
        <v> </v>
      </c>
      <c r="R17" s="180" t="str">
        <f aca="false">IF((D17="o"),F17," ")</f>
        <v> </v>
      </c>
      <c r="S17" s="180" t="str">
        <f aca="false">IF((D17="f"),F17," ")</f>
        <v> </v>
      </c>
      <c r="U17" s="371"/>
    </row>
    <row r="18" customFormat="false" ht="12.75" hidden="false" customHeight="false" outlineLevel="0" collapsed="false">
      <c r="G18" s="180" t="str">
        <f aca="false">IF((D18="d"),F18," ")</f>
        <v> </v>
      </c>
      <c r="H18" s="180" t="str">
        <f aca="false">IF((D18="h"),F18," ")</f>
        <v> </v>
      </c>
      <c r="I18" s="180" t="str">
        <f aca="false">IF((D18="r"),F18," ")</f>
        <v> </v>
      </c>
      <c r="J18" s="180" t="str">
        <f aca="false">IF((D18="t"),F18," ")</f>
        <v> </v>
      </c>
      <c r="K18" s="180" t="str">
        <f aca="false">IF((D18="e"),F18," ")</f>
        <v> </v>
      </c>
      <c r="L18" s="180" t="str">
        <f aca="false">IF((D18="p"),F18," ")</f>
        <v> </v>
      </c>
      <c r="M18" s="180" t="str">
        <f aca="false">IF((D18="g"),F18," ")</f>
        <v> </v>
      </c>
      <c r="N18" s="180" t="str">
        <f aca="false">IF((D18="a"),F18," ")</f>
        <v> </v>
      </c>
      <c r="O18" s="180" t="str">
        <f aca="false">IF((D18="l"),F18," ")</f>
        <v> </v>
      </c>
      <c r="P18" s="180" t="str">
        <f aca="false">IF((D18="i"),F18," ")</f>
        <v> </v>
      </c>
      <c r="Q18" s="180" t="str">
        <f aca="false">IF((D18="b"),F18," ")</f>
        <v> </v>
      </c>
      <c r="R18" s="180" t="str">
        <f aca="false">IF((D18="o"),F18," ")</f>
        <v> </v>
      </c>
      <c r="S18" s="180" t="str">
        <f aca="false">IF((D18="f"),F18," ")</f>
        <v> </v>
      </c>
      <c r="U18" s="371"/>
    </row>
    <row r="19" customFormat="false" ht="12.75" hidden="false" customHeight="false" outlineLevel="0" collapsed="false">
      <c r="G19" s="180" t="str">
        <f aca="false">IF((D19="d"),F19," ")</f>
        <v> </v>
      </c>
      <c r="H19" s="180" t="str">
        <f aca="false">IF((D19="h"),F19," ")</f>
        <v> </v>
      </c>
      <c r="I19" s="180" t="str">
        <f aca="false">IF((D19="r"),F19," ")</f>
        <v> </v>
      </c>
      <c r="J19" s="180" t="str">
        <f aca="false">IF((D19="t"),F19," ")</f>
        <v> </v>
      </c>
      <c r="K19" s="180" t="str">
        <f aca="false">IF((D19="e"),F19," ")</f>
        <v> </v>
      </c>
      <c r="L19" s="180" t="str">
        <f aca="false">IF((D19="p"),F19," ")</f>
        <v> </v>
      </c>
      <c r="M19" s="180" t="str">
        <f aca="false">IF((D19="g"),F19," ")</f>
        <v> </v>
      </c>
      <c r="N19" s="180" t="str">
        <f aca="false">IF((D19="a"),F19," ")</f>
        <v> </v>
      </c>
      <c r="O19" s="180" t="str">
        <f aca="false">IF((D19="l"),F19," ")</f>
        <v> </v>
      </c>
      <c r="P19" s="180" t="str">
        <f aca="false">IF((D19="i"),F19," ")</f>
        <v> </v>
      </c>
      <c r="Q19" s="180" t="str">
        <f aca="false">IF((D19="b"),F19," ")</f>
        <v> </v>
      </c>
      <c r="R19" s="180" t="str">
        <f aca="false">IF((D19="o"),F19," ")</f>
        <v> </v>
      </c>
      <c r="S19" s="180" t="str">
        <f aca="false">IF((D19="f"),F19," ")</f>
        <v> </v>
      </c>
      <c r="U19" s="371"/>
    </row>
    <row r="20" customFormat="false" ht="12.75" hidden="false" customHeight="false" outlineLevel="0" collapsed="false">
      <c r="G20" s="180" t="str">
        <f aca="false">IF((D20="d"),F20," ")</f>
        <v> </v>
      </c>
      <c r="H20" s="180" t="str">
        <f aca="false">IF((D20="h"),F20," ")</f>
        <v> </v>
      </c>
      <c r="I20" s="180" t="str">
        <f aca="false">IF((D20="r"),F20," ")</f>
        <v> </v>
      </c>
      <c r="J20" s="180" t="str">
        <f aca="false">IF((D20="t"),F20," ")</f>
        <v> </v>
      </c>
      <c r="K20" s="180" t="str">
        <f aca="false">IF((D20="e"),F20," ")</f>
        <v> </v>
      </c>
      <c r="L20" s="180" t="str">
        <f aca="false">IF((D20="p"),F20," ")</f>
        <v> </v>
      </c>
      <c r="M20" s="180" t="str">
        <f aca="false">IF((D20="g"),F20," ")</f>
        <v> </v>
      </c>
      <c r="N20" s="180" t="str">
        <f aca="false">IF((D20="a"),F20," ")</f>
        <v> </v>
      </c>
      <c r="O20" s="180" t="str">
        <f aca="false">IF((D20="l"),F20," ")</f>
        <v> </v>
      </c>
      <c r="P20" s="180" t="str">
        <f aca="false">IF((D20="i"),F20," ")</f>
        <v> </v>
      </c>
      <c r="Q20" s="180" t="str">
        <f aca="false">IF((D20="b"),F20," ")</f>
        <v> </v>
      </c>
      <c r="R20" s="180" t="str">
        <f aca="false">IF((D20="o"),F20," ")</f>
        <v> </v>
      </c>
      <c r="S20" s="180" t="str">
        <f aca="false">IF((D20="f"),F20," ")</f>
        <v> </v>
      </c>
      <c r="U20" s="371"/>
    </row>
    <row r="21" customFormat="false" ht="12.75" hidden="false" customHeight="false" outlineLevel="0" collapsed="false">
      <c r="G21" s="180" t="str">
        <f aca="false">IF((D21="d"),F21," ")</f>
        <v> </v>
      </c>
      <c r="H21" s="180" t="str">
        <f aca="false">IF((D21="h"),F21," ")</f>
        <v> </v>
      </c>
      <c r="I21" s="180" t="str">
        <f aca="false">IF((D21="r"),F21," ")</f>
        <v> </v>
      </c>
      <c r="J21" s="180" t="str">
        <f aca="false">IF((D21="t"),F21," ")</f>
        <v> </v>
      </c>
      <c r="K21" s="180" t="str">
        <f aca="false">IF((D21="e"),F21," ")</f>
        <v> </v>
      </c>
      <c r="L21" s="180" t="str">
        <f aca="false">IF((D21="p"),F21," ")</f>
        <v> </v>
      </c>
      <c r="M21" s="180" t="str">
        <f aca="false">IF((D21="g"),F21," ")</f>
        <v> </v>
      </c>
      <c r="N21" s="180" t="str">
        <f aca="false">IF((D21="a"),F21," ")</f>
        <v> </v>
      </c>
      <c r="O21" s="180" t="str">
        <f aca="false">IF((D21="l"),F21," ")</f>
        <v> </v>
      </c>
      <c r="P21" s="180" t="str">
        <f aca="false">IF((D21="i"),F21," ")</f>
        <v> </v>
      </c>
      <c r="Q21" s="180" t="str">
        <f aca="false">IF((D21="b"),F21," ")</f>
        <v> </v>
      </c>
      <c r="R21" s="180" t="str">
        <f aca="false">IF((D21="o"),F21," ")</f>
        <v> </v>
      </c>
      <c r="S21" s="180" t="str">
        <f aca="false">IF((D21="f"),F21," ")</f>
        <v> </v>
      </c>
      <c r="U21" s="371"/>
    </row>
    <row r="22" customFormat="false" ht="12.75" hidden="false" customHeight="false" outlineLevel="0" collapsed="false">
      <c r="G22" s="180" t="str">
        <f aca="false">IF((D22="d"),F22," ")</f>
        <v> </v>
      </c>
      <c r="H22" s="180" t="str">
        <f aca="false">IF((D22="h"),F22," ")</f>
        <v> </v>
      </c>
      <c r="I22" s="180" t="str">
        <f aca="false">IF((D22="r"),F22," ")</f>
        <v> </v>
      </c>
      <c r="J22" s="180" t="str">
        <f aca="false">IF((D22="t"),F22," ")</f>
        <v> </v>
      </c>
      <c r="K22" s="180" t="str">
        <f aca="false">IF((D22="e"),F22," ")</f>
        <v> </v>
      </c>
      <c r="L22" s="180" t="str">
        <f aca="false">IF((D22="p"),F22," ")</f>
        <v> </v>
      </c>
      <c r="M22" s="180" t="str">
        <f aca="false">IF((D22="g"),F22," ")</f>
        <v> </v>
      </c>
      <c r="N22" s="180" t="str">
        <f aca="false">IF((D22="a"),F22," ")</f>
        <v> </v>
      </c>
      <c r="O22" s="180" t="str">
        <f aca="false">IF((D22="l"),F22," ")</f>
        <v> </v>
      </c>
      <c r="P22" s="180" t="str">
        <f aca="false">IF((D22="i"),F22," ")</f>
        <v> </v>
      </c>
      <c r="Q22" s="180" t="str">
        <f aca="false">IF((D22="b"),F22," ")</f>
        <v> </v>
      </c>
      <c r="R22" s="180" t="str">
        <f aca="false">IF((D22="o"),F22," ")</f>
        <v> </v>
      </c>
      <c r="S22" s="180" t="str">
        <f aca="false">IF((D22="f"),F22," ")</f>
        <v> </v>
      </c>
      <c r="U22" s="371"/>
    </row>
    <row r="23" customFormat="false" ht="12.75" hidden="false" customHeight="false" outlineLevel="0" collapsed="false">
      <c r="G23" s="180" t="str">
        <f aca="false">IF((D23="d"),F23," ")</f>
        <v> </v>
      </c>
      <c r="H23" s="180" t="str">
        <f aca="false">IF((D23="h"),F23," ")</f>
        <v> </v>
      </c>
      <c r="I23" s="180" t="str">
        <f aca="false">IF((D23="r"),F23," ")</f>
        <v> </v>
      </c>
      <c r="J23" s="180" t="str">
        <f aca="false">IF((D23="t"),F23," ")</f>
        <v> </v>
      </c>
      <c r="K23" s="180" t="str">
        <f aca="false">IF((D23="e"),F23," ")</f>
        <v> </v>
      </c>
      <c r="L23" s="180" t="str">
        <f aca="false">IF((D23="p"),F23," ")</f>
        <v> </v>
      </c>
      <c r="M23" s="180" t="str">
        <f aca="false">IF((D23="g"),F23," ")</f>
        <v> </v>
      </c>
      <c r="N23" s="180" t="str">
        <f aca="false">IF((D23="a"),F23," ")</f>
        <v> </v>
      </c>
      <c r="O23" s="180" t="str">
        <f aca="false">IF((D23="l"),F23," ")</f>
        <v> </v>
      </c>
      <c r="P23" s="180" t="str">
        <f aca="false">IF((D23="i"),F23," ")</f>
        <v> </v>
      </c>
      <c r="Q23" s="180" t="str">
        <f aca="false">IF((D23="b"),F23," ")</f>
        <v> </v>
      </c>
      <c r="R23" s="180" t="str">
        <f aca="false">IF((D23="o"),F23," ")</f>
        <v> </v>
      </c>
      <c r="S23" s="180" t="str">
        <f aca="false">IF((D23="f"),F23," ")</f>
        <v> </v>
      </c>
      <c r="U23" s="371"/>
    </row>
    <row r="24" customFormat="false" ht="12.75" hidden="false" customHeight="false" outlineLevel="0" collapsed="false">
      <c r="G24" s="180" t="str">
        <f aca="false">IF((D24="d"),F24," ")</f>
        <v> </v>
      </c>
      <c r="H24" s="180" t="str">
        <f aca="false">IF((D24="h"),F24," ")</f>
        <v> </v>
      </c>
      <c r="I24" s="180" t="str">
        <f aca="false">IF((D24="r"),F24," ")</f>
        <v> </v>
      </c>
      <c r="J24" s="180" t="str">
        <f aca="false">IF((D24="t"),F24," ")</f>
        <v> </v>
      </c>
      <c r="K24" s="180" t="str">
        <f aca="false">IF((D24="e"),F24," ")</f>
        <v> </v>
      </c>
      <c r="L24" s="180" t="str">
        <f aca="false">IF((D24="p"),F24," ")</f>
        <v> </v>
      </c>
      <c r="M24" s="180" t="str">
        <f aca="false">IF((D24="g"),F24," ")</f>
        <v> </v>
      </c>
      <c r="N24" s="180" t="str">
        <f aca="false">IF((D24="a"),F24," ")</f>
        <v> </v>
      </c>
      <c r="O24" s="180" t="str">
        <f aca="false">IF((D24="l"),F24," ")</f>
        <v> </v>
      </c>
      <c r="P24" s="180" t="str">
        <f aca="false">IF((D24="i"),F24," ")</f>
        <v> </v>
      </c>
      <c r="Q24" s="180" t="str">
        <f aca="false">IF((D24="b"),F24," ")</f>
        <v> </v>
      </c>
      <c r="R24" s="180" t="str">
        <f aca="false">IF((D24="o"),F24," ")</f>
        <v> </v>
      </c>
      <c r="S24" s="180" t="str">
        <f aca="false">IF((D24="f"),F24," ")</f>
        <v> </v>
      </c>
      <c r="U24" s="371"/>
    </row>
    <row r="25" customFormat="false" ht="12.75" hidden="false" customHeight="false" outlineLevel="0" collapsed="false">
      <c r="G25" s="180" t="str">
        <f aca="false">IF((D25="d"),F25," ")</f>
        <v> </v>
      </c>
      <c r="H25" s="180" t="str">
        <f aca="false">IF((D25="h"),F25," ")</f>
        <v> </v>
      </c>
      <c r="I25" s="180" t="str">
        <f aca="false">IF((D25="r"),F25," ")</f>
        <v> </v>
      </c>
      <c r="J25" s="180" t="str">
        <f aca="false">IF((D25="t"),F25," ")</f>
        <v> </v>
      </c>
      <c r="K25" s="180" t="str">
        <f aca="false">IF((D25="e"),F25," ")</f>
        <v> </v>
      </c>
      <c r="L25" s="180" t="str">
        <f aca="false">IF((D25="p"),F25," ")</f>
        <v> </v>
      </c>
      <c r="M25" s="180" t="str">
        <f aca="false">IF((D25="g"),F25," ")</f>
        <v> </v>
      </c>
      <c r="N25" s="180" t="str">
        <f aca="false">IF((D25="a"),F25," ")</f>
        <v> </v>
      </c>
      <c r="O25" s="180" t="str">
        <f aca="false">IF((D25="l"),F25," ")</f>
        <v> </v>
      </c>
      <c r="P25" s="180" t="str">
        <f aca="false">IF((D25="i"),F25," ")</f>
        <v> </v>
      </c>
      <c r="Q25" s="180" t="str">
        <f aca="false">IF((D25="b"),F25," ")</f>
        <v> </v>
      </c>
      <c r="R25" s="180" t="str">
        <f aca="false">IF((D25="o"),F25," ")</f>
        <v> </v>
      </c>
      <c r="S25" s="180" t="str">
        <f aca="false">IF((D25="f"),F25," ")</f>
        <v> </v>
      </c>
      <c r="U25" s="371"/>
    </row>
    <row r="26" customFormat="false" ht="12.75" hidden="false" customHeight="false" outlineLevel="0" collapsed="false">
      <c r="G26" s="180" t="str">
        <f aca="false">IF((D26="d"),F26," ")</f>
        <v> </v>
      </c>
      <c r="H26" s="180" t="str">
        <f aca="false">IF((D26="h"),F26," ")</f>
        <v> </v>
      </c>
      <c r="I26" s="180" t="str">
        <f aca="false">IF((D26="r"),F26," ")</f>
        <v> </v>
      </c>
      <c r="J26" s="180" t="str">
        <f aca="false">IF((D26="t"),F26," ")</f>
        <v> </v>
      </c>
      <c r="K26" s="180" t="str">
        <f aca="false">IF((D26="e"),F26," ")</f>
        <v> </v>
      </c>
      <c r="L26" s="180" t="str">
        <f aca="false">IF((D26="p"),F26," ")</f>
        <v> </v>
      </c>
      <c r="M26" s="180" t="str">
        <f aca="false">IF((D26="g"),F26," ")</f>
        <v> </v>
      </c>
      <c r="N26" s="180" t="str">
        <f aca="false">IF((D26="a"),F26," ")</f>
        <v> </v>
      </c>
      <c r="O26" s="180" t="str">
        <f aca="false">IF((D26="l"),F26," ")</f>
        <v> </v>
      </c>
      <c r="P26" s="180" t="str">
        <f aca="false">IF((D26="i"),F26," ")</f>
        <v> </v>
      </c>
      <c r="Q26" s="180" t="str">
        <f aca="false">IF((D26="b"),F26," ")</f>
        <v> </v>
      </c>
      <c r="R26" s="180" t="str">
        <f aca="false">IF((D26="o"),F26," ")</f>
        <v> </v>
      </c>
      <c r="S26" s="180" t="str">
        <f aca="false">IF((D26="f"),F26," ")</f>
        <v> </v>
      </c>
      <c r="U26" s="371"/>
    </row>
    <row r="27" customFormat="false" ht="12.75" hidden="false" customHeight="false" outlineLevel="0" collapsed="false">
      <c r="G27" s="180" t="str">
        <f aca="false">IF((D27="d"),F27," ")</f>
        <v> </v>
      </c>
      <c r="H27" s="180" t="str">
        <f aca="false">IF((D27="h"),F27," ")</f>
        <v> </v>
      </c>
      <c r="I27" s="180" t="str">
        <f aca="false">IF((D27="r"),F27," ")</f>
        <v> </v>
      </c>
      <c r="J27" s="180" t="str">
        <f aca="false">IF((D27="t"),F27," ")</f>
        <v> </v>
      </c>
      <c r="K27" s="180" t="str">
        <f aca="false">IF((D27="e"),F27," ")</f>
        <v> </v>
      </c>
      <c r="L27" s="180" t="str">
        <f aca="false">IF((D27="p"),F27," ")</f>
        <v> </v>
      </c>
      <c r="M27" s="180" t="str">
        <f aca="false">IF((D27="g"),F27," ")</f>
        <v> </v>
      </c>
      <c r="N27" s="180" t="str">
        <f aca="false">IF((D27="a"),F27," ")</f>
        <v> </v>
      </c>
      <c r="O27" s="180" t="str">
        <f aca="false">IF((D27="l"),F27," ")</f>
        <v> </v>
      </c>
      <c r="P27" s="180" t="str">
        <f aca="false">IF((D27="i"),F27," ")</f>
        <v> </v>
      </c>
      <c r="Q27" s="180" t="str">
        <f aca="false">IF((D27="b"),F27," ")</f>
        <v> </v>
      </c>
      <c r="R27" s="180" t="str">
        <f aca="false">IF((D27="o"),F27," ")</f>
        <v> </v>
      </c>
      <c r="S27" s="180" t="str">
        <f aca="false">IF((D27="f"),F27," ")</f>
        <v> </v>
      </c>
      <c r="U27" s="371"/>
    </row>
    <row r="28" customFormat="false" ht="12.75" hidden="false" customHeight="false" outlineLevel="0" collapsed="false">
      <c r="G28" s="180" t="str">
        <f aca="false">IF((D28="d"),F28," ")</f>
        <v> </v>
      </c>
      <c r="H28" s="180" t="str">
        <f aca="false">IF((D28="h"),F28," ")</f>
        <v> </v>
      </c>
      <c r="I28" s="180" t="str">
        <f aca="false">IF((D28="r"),F28," ")</f>
        <v> </v>
      </c>
      <c r="J28" s="180" t="str">
        <f aca="false">IF((D28="t"),F28," ")</f>
        <v> </v>
      </c>
      <c r="K28" s="180" t="str">
        <f aca="false">IF((D28="e"),F28," ")</f>
        <v> </v>
      </c>
      <c r="L28" s="180" t="str">
        <f aca="false">IF((D28="p"),F28," ")</f>
        <v> </v>
      </c>
      <c r="M28" s="180" t="str">
        <f aca="false">IF((D28="g"),F28," ")</f>
        <v> </v>
      </c>
      <c r="N28" s="180" t="str">
        <f aca="false">IF((D28="a"),F28," ")</f>
        <v> </v>
      </c>
      <c r="O28" s="180" t="str">
        <f aca="false">IF((D28="l"),F28," ")</f>
        <v> </v>
      </c>
      <c r="P28" s="180" t="str">
        <f aca="false">IF((D28="i"),F28," ")</f>
        <v> </v>
      </c>
      <c r="Q28" s="180" t="str">
        <f aca="false">IF((D28="b"),F28," ")</f>
        <v> </v>
      </c>
      <c r="R28" s="180" t="str">
        <f aca="false">IF((D28="o"),F28," ")</f>
        <v> </v>
      </c>
      <c r="S28" s="180" t="str">
        <f aca="false">IF((D28="f"),F28," ")</f>
        <v> </v>
      </c>
      <c r="U28" s="371"/>
    </row>
    <row r="29" customFormat="false" ht="12.75" hidden="false" customHeight="false" outlineLevel="0" collapsed="false">
      <c r="G29" s="180" t="str">
        <f aca="false">IF((D29="d"),F29," ")</f>
        <v> </v>
      </c>
      <c r="H29" s="180" t="str">
        <f aca="false">IF((D29="h"),F29," ")</f>
        <v> </v>
      </c>
      <c r="I29" s="180" t="str">
        <f aca="false">IF((D29="r"),F29," ")</f>
        <v> </v>
      </c>
      <c r="J29" s="180" t="str">
        <f aca="false">IF((D29="t"),F29," ")</f>
        <v> </v>
      </c>
      <c r="K29" s="180" t="str">
        <f aca="false">IF((D29="e"),F29," ")</f>
        <v> </v>
      </c>
      <c r="L29" s="180" t="str">
        <f aca="false">IF((D29="p"),F29," ")</f>
        <v> </v>
      </c>
      <c r="M29" s="180" t="str">
        <f aca="false">IF((D29="g"),F29," ")</f>
        <v> </v>
      </c>
      <c r="N29" s="180" t="str">
        <f aca="false">IF((D29="a"),F29," ")</f>
        <v> </v>
      </c>
      <c r="O29" s="180" t="str">
        <f aca="false">IF((D29="l"),F29," ")</f>
        <v> </v>
      </c>
      <c r="P29" s="180" t="str">
        <f aca="false">IF((D29="i"),F29," ")</f>
        <v> </v>
      </c>
      <c r="Q29" s="180" t="str">
        <f aca="false">IF((D29="b"),F29," ")</f>
        <v> </v>
      </c>
      <c r="R29" s="180" t="str">
        <f aca="false">IF((D29="o"),F29," ")</f>
        <v> </v>
      </c>
      <c r="S29" s="180" t="str">
        <f aca="false">IF((D29="f"),F29," ")</f>
        <v> </v>
      </c>
      <c r="U29" s="371"/>
    </row>
    <row r="30" customFormat="false" ht="12.75" hidden="false" customHeight="false" outlineLevel="0" collapsed="false">
      <c r="G30" s="180" t="str">
        <f aca="false">IF((D30="d"),F30," ")</f>
        <v> </v>
      </c>
      <c r="H30" s="180" t="str">
        <f aca="false">IF((D30="h"),F30," ")</f>
        <v> </v>
      </c>
      <c r="I30" s="180" t="str">
        <f aca="false">IF((D30="r"),F30," ")</f>
        <v> </v>
      </c>
      <c r="J30" s="180" t="str">
        <f aca="false">IF((D30="t"),F30," ")</f>
        <v> </v>
      </c>
      <c r="K30" s="180" t="str">
        <f aca="false">IF((D30="e"),F30," ")</f>
        <v> </v>
      </c>
      <c r="L30" s="180" t="str">
        <f aca="false">IF((D30="p"),F30," ")</f>
        <v> </v>
      </c>
      <c r="M30" s="180" t="str">
        <f aca="false">IF((D30="g"),F30," ")</f>
        <v> </v>
      </c>
      <c r="N30" s="180" t="str">
        <f aca="false">IF((D30="a"),F30," ")</f>
        <v> </v>
      </c>
      <c r="O30" s="180" t="str">
        <f aca="false">IF((D30="l"),F30," ")</f>
        <v> </v>
      </c>
      <c r="P30" s="180" t="str">
        <f aca="false">IF((D30="i"),F30," ")</f>
        <v> </v>
      </c>
      <c r="Q30" s="180" t="str">
        <f aca="false">IF((D30="b"),F30," ")</f>
        <v> </v>
      </c>
      <c r="R30" s="180" t="str">
        <f aca="false">IF((D30="o"),F30," ")</f>
        <v> </v>
      </c>
      <c r="S30" s="180" t="str">
        <f aca="false">IF((D30="f"),F30," ")</f>
        <v> </v>
      </c>
      <c r="U30" s="371"/>
    </row>
    <row r="31" customFormat="false" ht="12.75" hidden="false" customHeight="false" outlineLevel="0" collapsed="false">
      <c r="G31" s="180" t="str">
        <f aca="false">IF((D31="d"),F31," ")</f>
        <v> </v>
      </c>
      <c r="H31" s="180" t="str">
        <f aca="false">IF((D31="h"),F31," ")</f>
        <v> </v>
      </c>
      <c r="I31" s="180" t="str">
        <f aca="false">IF((D31="r"),F31," ")</f>
        <v> </v>
      </c>
      <c r="J31" s="180" t="str">
        <f aca="false">IF((D31="t"),F31," ")</f>
        <v> </v>
      </c>
      <c r="K31" s="180" t="str">
        <f aca="false">IF((D31="e"),F31," ")</f>
        <v> </v>
      </c>
      <c r="L31" s="180" t="str">
        <f aca="false">IF((D31="p"),F31," ")</f>
        <v> </v>
      </c>
      <c r="M31" s="180" t="str">
        <f aca="false">IF((D31="g"),F31," ")</f>
        <v> </v>
      </c>
      <c r="N31" s="180" t="str">
        <f aca="false">IF((D31="a"),F31," ")</f>
        <v> </v>
      </c>
      <c r="O31" s="180" t="str">
        <f aca="false">IF((D31="l"),F31," ")</f>
        <v> </v>
      </c>
      <c r="P31" s="180" t="str">
        <f aca="false">IF((D31="i"),F31," ")</f>
        <v> </v>
      </c>
      <c r="Q31" s="180" t="str">
        <f aca="false">IF((D31="b"),F31," ")</f>
        <v> </v>
      </c>
      <c r="R31" s="180" t="str">
        <f aca="false">IF((D31="o"),F31," ")</f>
        <v> </v>
      </c>
      <c r="S31" s="180" t="str">
        <f aca="false">IF((D31="f"),F31," ")</f>
        <v> </v>
      </c>
      <c r="U31" s="371"/>
    </row>
    <row r="32" customFormat="false" ht="12.75" hidden="false" customHeight="false" outlineLevel="0" collapsed="false">
      <c r="G32" s="180" t="str">
        <f aca="false">IF((D32="d"),F32," ")</f>
        <v> </v>
      </c>
      <c r="H32" s="180" t="str">
        <f aca="false">IF((D32="h"),F32," ")</f>
        <v> </v>
      </c>
      <c r="I32" s="180" t="str">
        <f aca="false">IF((D32="r"),F32," ")</f>
        <v> </v>
      </c>
      <c r="J32" s="180" t="str">
        <f aca="false">IF((D32="t"),F32," ")</f>
        <v> </v>
      </c>
      <c r="K32" s="180" t="str">
        <f aca="false">IF((D32="e"),F32," ")</f>
        <v> </v>
      </c>
      <c r="L32" s="180" t="str">
        <f aca="false">IF((D32="p"),F32," ")</f>
        <v> </v>
      </c>
      <c r="M32" s="180" t="str">
        <f aca="false">IF((D32="g"),F32," ")</f>
        <v> </v>
      </c>
      <c r="N32" s="180" t="str">
        <f aca="false">IF((D32="a"),F32," ")</f>
        <v> </v>
      </c>
      <c r="O32" s="180" t="str">
        <f aca="false">IF((D32="l"),F32," ")</f>
        <v> </v>
      </c>
      <c r="P32" s="180" t="str">
        <f aca="false">IF((D32="i"),F32," ")</f>
        <v> </v>
      </c>
      <c r="Q32" s="180" t="str">
        <f aca="false">IF((D32="b"),F32," ")</f>
        <v> </v>
      </c>
      <c r="R32" s="180" t="str">
        <f aca="false">IF((D32="o"),F32," ")</f>
        <v> </v>
      </c>
      <c r="S32" s="180" t="str">
        <f aca="false">IF((D32="f"),F32," ")</f>
        <v> </v>
      </c>
      <c r="U32" s="371"/>
    </row>
    <row r="33" customFormat="false" ht="12.75" hidden="false" customHeight="false" outlineLevel="0" collapsed="false">
      <c r="G33" s="180" t="str">
        <f aca="false">IF((D33="d"),F33," ")</f>
        <v> </v>
      </c>
      <c r="H33" s="180" t="str">
        <f aca="false">IF((D33="h"),F33," ")</f>
        <v> </v>
      </c>
      <c r="I33" s="180" t="str">
        <f aca="false">IF((D33="r"),F33," ")</f>
        <v> </v>
      </c>
      <c r="J33" s="180" t="str">
        <f aca="false">IF((D33="t"),F33," ")</f>
        <v> </v>
      </c>
      <c r="K33" s="180" t="str">
        <f aca="false">IF((D33="e"),F33," ")</f>
        <v> </v>
      </c>
      <c r="L33" s="180" t="str">
        <f aca="false">IF((D33="p"),F33," ")</f>
        <v> </v>
      </c>
      <c r="M33" s="180" t="str">
        <f aca="false">IF((D33="g"),F33," ")</f>
        <v> </v>
      </c>
      <c r="N33" s="180" t="str">
        <f aca="false">IF((D33="a"),F33," ")</f>
        <v> </v>
      </c>
      <c r="O33" s="180" t="str">
        <f aca="false">IF((D33="l"),F33," ")</f>
        <v> </v>
      </c>
      <c r="P33" s="180" t="str">
        <f aca="false">IF((D33="i"),F33," ")</f>
        <v> </v>
      </c>
      <c r="Q33" s="180" t="str">
        <f aca="false">IF((D33="b"),F33," ")</f>
        <v> </v>
      </c>
      <c r="R33" s="180" t="str">
        <f aca="false">IF((D33="o"),F33," ")</f>
        <v> </v>
      </c>
      <c r="S33" s="180" t="str">
        <f aca="false">IF((D33="f"),F33," ")</f>
        <v> </v>
      </c>
      <c r="U33" s="371"/>
    </row>
    <row r="34" customFormat="false" ht="12.75" hidden="false" customHeight="false" outlineLevel="0" collapsed="false">
      <c r="G34" s="180" t="str">
        <f aca="false">IF((D34="d"),F34," ")</f>
        <v> </v>
      </c>
      <c r="H34" s="180" t="str">
        <f aca="false">IF((D34="h"),F34," ")</f>
        <v> </v>
      </c>
      <c r="I34" s="180" t="str">
        <f aca="false">IF((D34="r"),F34," ")</f>
        <v> </v>
      </c>
      <c r="J34" s="180" t="str">
        <f aca="false">IF((D34="t"),F34," ")</f>
        <v> </v>
      </c>
      <c r="K34" s="180" t="str">
        <f aca="false">IF((D34="e"),F34," ")</f>
        <v> </v>
      </c>
      <c r="L34" s="180" t="str">
        <f aca="false">IF((D34="p"),F34," ")</f>
        <v> </v>
      </c>
      <c r="M34" s="180" t="str">
        <f aca="false">IF((D34="g"),F34," ")</f>
        <v> </v>
      </c>
      <c r="N34" s="180" t="str">
        <f aca="false">IF((D34="a"),F34," ")</f>
        <v> </v>
      </c>
      <c r="O34" s="180" t="str">
        <f aca="false">IF((D34="l"),F34," ")</f>
        <v> </v>
      </c>
      <c r="P34" s="180" t="str">
        <f aca="false">IF((D34="i"),F34," ")</f>
        <v> </v>
      </c>
      <c r="Q34" s="180" t="str">
        <f aca="false">IF((D34="b"),F34," ")</f>
        <v> </v>
      </c>
      <c r="R34" s="180" t="str">
        <f aca="false">IF((D34="o"),F34," ")</f>
        <v> </v>
      </c>
      <c r="S34" s="180" t="str">
        <f aca="false">IF((D34="f"),F34," ")</f>
        <v> </v>
      </c>
      <c r="U34" s="371"/>
    </row>
    <row r="35" customFormat="false" ht="12.75" hidden="false" customHeight="false" outlineLevel="0" collapsed="false">
      <c r="G35" s="180" t="str">
        <f aca="false">IF((D35="d"),F35," ")</f>
        <v> </v>
      </c>
      <c r="H35" s="180" t="str">
        <f aca="false">IF((D35="h"),F35," ")</f>
        <v> </v>
      </c>
      <c r="I35" s="180" t="str">
        <f aca="false">IF((D35="r"),F35," ")</f>
        <v> </v>
      </c>
      <c r="J35" s="180" t="str">
        <f aca="false">IF((D35="t"),F35," ")</f>
        <v> </v>
      </c>
      <c r="K35" s="180" t="str">
        <f aca="false">IF((D35="e"),F35," ")</f>
        <v> </v>
      </c>
      <c r="L35" s="180" t="str">
        <f aca="false">IF((D35="p"),F35," ")</f>
        <v> </v>
      </c>
      <c r="M35" s="180" t="str">
        <f aca="false">IF((D35="g"),F35," ")</f>
        <v> </v>
      </c>
      <c r="N35" s="180" t="str">
        <f aca="false">IF((D35="a"),F35," ")</f>
        <v> </v>
      </c>
      <c r="O35" s="180" t="str">
        <f aca="false">IF((D35="l"),F35," ")</f>
        <v> </v>
      </c>
      <c r="P35" s="180" t="str">
        <f aca="false">IF((D35="i"),F35," ")</f>
        <v> </v>
      </c>
      <c r="Q35" s="180" t="str">
        <f aca="false">IF((D35="b"),F35," ")</f>
        <v> </v>
      </c>
      <c r="R35" s="180" t="str">
        <f aca="false">IF((D35="o"),F35," ")</f>
        <v> </v>
      </c>
      <c r="S35" s="180" t="str">
        <f aca="false">IF((D35="f"),F35," ")</f>
        <v> </v>
      </c>
      <c r="U35" s="371"/>
    </row>
    <row r="36" customFormat="false" ht="12.75" hidden="false" customHeight="false" outlineLevel="0" collapsed="false">
      <c r="G36" s="180" t="str">
        <f aca="false">IF((D36="d"),F36," ")</f>
        <v> </v>
      </c>
      <c r="H36" s="180" t="str">
        <f aca="false">IF((D36="h"),F36," ")</f>
        <v> </v>
      </c>
      <c r="I36" s="180" t="str">
        <f aca="false">IF((D36="r"),F36," ")</f>
        <v> </v>
      </c>
      <c r="J36" s="180" t="str">
        <f aca="false">IF((D36="t"),F36," ")</f>
        <v> </v>
      </c>
      <c r="K36" s="180" t="str">
        <f aca="false">IF((D36="e"),F36," ")</f>
        <v> </v>
      </c>
      <c r="L36" s="180" t="str">
        <f aca="false">IF((D36="p"),F36," ")</f>
        <v> </v>
      </c>
      <c r="M36" s="180" t="str">
        <f aca="false">IF((D36="g"),F36," ")</f>
        <v> </v>
      </c>
      <c r="N36" s="180" t="str">
        <f aca="false">IF((D36="a"),F36," ")</f>
        <v> </v>
      </c>
      <c r="O36" s="180" t="str">
        <f aca="false">IF((D36="l"),F36," ")</f>
        <v> </v>
      </c>
      <c r="P36" s="180" t="str">
        <f aca="false">IF((D36="i"),F36," ")</f>
        <v> </v>
      </c>
      <c r="Q36" s="180" t="str">
        <f aca="false">IF((D36="b"),F36," ")</f>
        <v> </v>
      </c>
      <c r="R36" s="180" t="str">
        <f aca="false">IF((D36="o"),F36," ")</f>
        <v> </v>
      </c>
      <c r="S36" s="180" t="str">
        <f aca="false">IF((D36="f"),F36," ")</f>
        <v> </v>
      </c>
      <c r="U36" s="371"/>
    </row>
    <row r="37" customFormat="false" ht="12.75" hidden="false" customHeight="false" outlineLevel="0" collapsed="false">
      <c r="D37" s="371" t="str">
        <f aca="false">IF((F37&lt;&gt;0),"Enter Letter"," ")</f>
        <v> </v>
      </c>
      <c r="G37" s="180" t="str">
        <f aca="false">IF((D37="d"),F37," ")</f>
        <v> </v>
      </c>
      <c r="H37" s="180" t="str">
        <f aca="false">IF((D37="h"),F37," ")</f>
        <v> </v>
      </c>
      <c r="I37" s="180" t="str">
        <f aca="false">IF((D37="r"),F37," ")</f>
        <v> </v>
      </c>
      <c r="J37" s="180" t="str">
        <f aca="false">IF((D37="t"),F37," ")</f>
        <v> </v>
      </c>
      <c r="K37" s="180" t="str">
        <f aca="false">IF((D37="e"),F37," ")</f>
        <v> </v>
      </c>
      <c r="L37" s="180" t="str">
        <f aca="false">IF((D37="p"),F37," ")</f>
        <v> </v>
      </c>
      <c r="M37" s="180" t="str">
        <f aca="false">IF((D37="g"),F37," ")</f>
        <v> </v>
      </c>
      <c r="N37" s="180" t="str">
        <f aca="false">IF((D37="a"),F37," ")</f>
        <v> </v>
      </c>
      <c r="O37" s="180" t="str">
        <f aca="false">IF((D37="l"),F37," ")</f>
        <v> </v>
      </c>
      <c r="P37" s="180" t="str">
        <f aca="false">IF((D37="i"),F37," ")</f>
        <v> </v>
      </c>
      <c r="Q37" s="180" t="str">
        <f aca="false">IF((D37="b"),F37," ")</f>
        <v> </v>
      </c>
      <c r="R37" s="180" t="str">
        <f aca="false">IF((D37="o"),F37," ")</f>
        <v> </v>
      </c>
      <c r="S37" s="180" t="str">
        <f aca="false">IF((D37="f"),F37," ")</f>
        <v> </v>
      </c>
      <c r="U37" s="371"/>
    </row>
    <row r="38" customFormat="false" ht="12.75" hidden="false" customHeight="false" outlineLevel="0" collapsed="false">
      <c r="D38" s="371" t="str">
        <f aca="false">IF((F38&lt;&gt;0),"Enter Letter"," ")</f>
        <v> </v>
      </c>
      <c r="G38" s="180" t="str">
        <f aca="false">IF((D38="d"),F38," ")</f>
        <v> </v>
      </c>
      <c r="H38" s="180" t="str">
        <f aca="false">IF((D38="h"),F38," ")</f>
        <v> </v>
      </c>
      <c r="I38" s="180" t="str">
        <f aca="false">IF((D38="r"),F38," ")</f>
        <v> </v>
      </c>
      <c r="J38" s="180" t="str">
        <f aca="false">IF((D38="t"),F38," ")</f>
        <v> </v>
      </c>
      <c r="K38" s="180" t="str">
        <f aca="false">IF((D38="e"),F38," ")</f>
        <v> </v>
      </c>
      <c r="L38" s="180" t="str">
        <f aca="false">IF((D38="p"),F38," ")</f>
        <v> </v>
      </c>
      <c r="M38" s="180" t="str">
        <f aca="false">IF((D38="g"),F38," ")</f>
        <v> </v>
      </c>
      <c r="N38" s="180" t="str">
        <f aca="false">IF((D38="a"),F38," ")</f>
        <v> </v>
      </c>
      <c r="O38" s="180" t="str">
        <f aca="false">IF((D38="l"),F38," ")</f>
        <v> </v>
      </c>
      <c r="P38" s="180" t="str">
        <f aca="false">IF((D38="i"),F38," ")</f>
        <v> </v>
      </c>
      <c r="Q38" s="180" t="str">
        <f aca="false">IF((D38="b"),F38," ")</f>
        <v> </v>
      </c>
      <c r="R38" s="180" t="str">
        <f aca="false">IF((D38="o"),F38," ")</f>
        <v> </v>
      </c>
      <c r="S38" s="180" t="str">
        <f aca="false">IF((D38="f"),F38," ")</f>
        <v> </v>
      </c>
      <c r="U38" s="371"/>
    </row>
    <row r="39" customFormat="false" ht="12.75" hidden="false" customHeight="false" outlineLevel="0" collapsed="false">
      <c r="D39" s="371" t="str">
        <f aca="false">IF((F39&lt;&gt;0),"Enter Letter"," ")</f>
        <v> </v>
      </c>
      <c r="G39" s="180" t="str">
        <f aca="false">IF((D39="d"),F39," ")</f>
        <v> </v>
      </c>
      <c r="H39" s="180" t="str">
        <f aca="false">IF((D39="h"),F39," ")</f>
        <v> </v>
      </c>
      <c r="I39" s="180" t="str">
        <f aca="false">IF((D39="r"),F39," ")</f>
        <v> </v>
      </c>
      <c r="J39" s="180" t="str">
        <f aca="false">IF((D39="t"),F39," ")</f>
        <v> </v>
      </c>
      <c r="K39" s="180" t="str">
        <f aca="false">IF((D39="e"),F39," ")</f>
        <v> </v>
      </c>
      <c r="L39" s="180" t="str">
        <f aca="false">IF((D39="p"),F39," ")</f>
        <v> </v>
      </c>
      <c r="M39" s="180" t="str">
        <f aca="false">IF((D39="g"),F39," ")</f>
        <v> </v>
      </c>
      <c r="N39" s="180" t="str">
        <f aca="false">IF((D39="a"),F39," ")</f>
        <v> </v>
      </c>
      <c r="O39" s="180" t="str">
        <f aca="false">IF((D39="l"),F39," ")</f>
        <v> </v>
      </c>
      <c r="P39" s="180" t="str">
        <f aca="false">IF((D39="i"),F39," ")</f>
        <v> </v>
      </c>
      <c r="Q39" s="180" t="str">
        <f aca="false">IF((D39="b"),F39," ")</f>
        <v> </v>
      </c>
      <c r="R39" s="180" t="str">
        <f aca="false">IF((D39="o"),F39," ")</f>
        <v> </v>
      </c>
      <c r="S39" s="180" t="str">
        <f aca="false">IF((D39="f"),F39," ")</f>
        <v> </v>
      </c>
      <c r="U39" s="371"/>
    </row>
    <row r="40" customFormat="false" ht="12.75" hidden="false" customHeight="false" outlineLevel="0" collapsed="false">
      <c r="D40" s="371" t="str">
        <f aca="false">IF((F40&lt;&gt;0),"Enter Letter"," ")</f>
        <v> </v>
      </c>
      <c r="G40" s="180" t="str">
        <f aca="false">IF((D40="d"),F40," ")</f>
        <v> </v>
      </c>
      <c r="H40" s="180" t="str">
        <f aca="false">IF((D40="h"),F40," ")</f>
        <v> </v>
      </c>
      <c r="I40" s="180" t="str">
        <f aca="false">IF((D40="r"),F40," ")</f>
        <v> </v>
      </c>
      <c r="J40" s="180" t="str">
        <f aca="false">IF((D40="t"),F40," ")</f>
        <v> </v>
      </c>
      <c r="K40" s="180" t="str">
        <f aca="false">IF((D40="e"),F40," ")</f>
        <v> </v>
      </c>
      <c r="L40" s="180" t="str">
        <f aca="false">IF((D40="p"),F40," ")</f>
        <v> </v>
      </c>
      <c r="M40" s="180" t="str">
        <f aca="false">IF((D40="g"),F40," ")</f>
        <v> </v>
      </c>
      <c r="N40" s="180" t="str">
        <f aca="false">IF((D40="a"),F40," ")</f>
        <v> </v>
      </c>
      <c r="O40" s="180" t="str">
        <f aca="false">IF((D40="l"),F40," ")</f>
        <v> </v>
      </c>
      <c r="P40" s="180" t="str">
        <f aca="false">IF((D40="i"),F40," ")</f>
        <v> </v>
      </c>
      <c r="Q40" s="180" t="str">
        <f aca="false">IF((D40="b"),F40," ")</f>
        <v> </v>
      </c>
      <c r="R40" s="180" t="str">
        <f aca="false">IF((D40="o"),F40," ")</f>
        <v> </v>
      </c>
      <c r="S40" s="180" t="str">
        <f aca="false">IF((D40="f"),F40," ")</f>
        <v> </v>
      </c>
      <c r="U40" s="371"/>
    </row>
    <row r="41" customFormat="false" ht="12.75" hidden="false" customHeight="false" outlineLevel="0" collapsed="false">
      <c r="D41" s="371" t="str">
        <f aca="false">IF((F41&lt;&gt;0),"Enter Letter"," ")</f>
        <v> </v>
      </c>
      <c r="G41" s="180" t="str">
        <f aca="false">IF((D41="d"),F41," ")</f>
        <v> </v>
      </c>
      <c r="H41" s="180" t="str">
        <f aca="false">IF((D41="h"),F41," ")</f>
        <v> </v>
      </c>
      <c r="I41" s="180" t="str">
        <f aca="false">IF((D41="r"),F41," ")</f>
        <v> </v>
      </c>
      <c r="J41" s="180" t="str">
        <f aca="false">IF((D41="t"),F41," ")</f>
        <v> </v>
      </c>
      <c r="K41" s="180" t="str">
        <f aca="false">IF((D41="e"),F41," ")</f>
        <v> </v>
      </c>
      <c r="L41" s="180" t="str">
        <f aca="false">IF((D41="p"),F41," ")</f>
        <v> </v>
      </c>
      <c r="M41" s="180" t="str">
        <f aca="false">IF((D41="g"),F41," ")</f>
        <v> </v>
      </c>
      <c r="N41" s="180" t="str">
        <f aca="false">IF((D41="a"),F41," ")</f>
        <v> </v>
      </c>
      <c r="O41" s="180" t="str">
        <f aca="false">IF((D41="l"),F41," ")</f>
        <v> </v>
      </c>
      <c r="P41" s="180" t="str">
        <f aca="false">IF((D41="i"),F41," ")</f>
        <v> </v>
      </c>
      <c r="Q41" s="180" t="str">
        <f aca="false">IF((D41="b"),F41," ")</f>
        <v> </v>
      </c>
      <c r="R41" s="180" t="str">
        <f aca="false">IF((D41="o"),F41," ")</f>
        <v> </v>
      </c>
      <c r="S41" s="180" t="str">
        <f aca="false">IF((D41="f"),F41," ")</f>
        <v> </v>
      </c>
      <c r="U41" s="371"/>
    </row>
    <row r="42" customFormat="false" ht="12.75" hidden="false" customHeight="false" outlineLevel="0" collapsed="false">
      <c r="D42" s="371" t="str">
        <f aca="false">IF((F42&lt;&gt;0),"Enter Letter"," ")</f>
        <v> </v>
      </c>
      <c r="G42" s="180" t="str">
        <f aca="false">IF((D42="d"),F42," ")</f>
        <v> </v>
      </c>
      <c r="H42" s="180" t="str">
        <f aca="false">IF((D42="h"),F42," ")</f>
        <v> </v>
      </c>
      <c r="I42" s="180" t="str">
        <f aca="false">IF((D42="r"),F42," ")</f>
        <v> </v>
      </c>
      <c r="J42" s="180" t="str">
        <f aca="false">IF((D42="t"),F42," ")</f>
        <v> </v>
      </c>
      <c r="K42" s="180" t="str">
        <f aca="false">IF((D42="e"),F42," ")</f>
        <v> </v>
      </c>
      <c r="L42" s="180" t="str">
        <f aca="false">IF((D42="p"),F42," ")</f>
        <v> </v>
      </c>
      <c r="M42" s="180" t="str">
        <f aca="false">IF((D42="g"),F42," ")</f>
        <v> </v>
      </c>
      <c r="N42" s="180" t="str">
        <f aca="false">IF((D42="a"),F42," ")</f>
        <v> </v>
      </c>
      <c r="O42" s="180" t="str">
        <f aca="false">IF((D42="l"),F42," ")</f>
        <v> </v>
      </c>
      <c r="P42" s="180" t="str">
        <f aca="false">IF((D42="i"),F42," ")</f>
        <v> </v>
      </c>
      <c r="Q42" s="180" t="str">
        <f aca="false">IF((D42="b"),F42," ")</f>
        <v> </v>
      </c>
      <c r="R42" s="180" t="str">
        <f aca="false">IF((D42="o"),F42," ")</f>
        <v> </v>
      </c>
      <c r="S42" s="180" t="str">
        <f aca="false">IF((D42="f"),F42," ")</f>
        <v> </v>
      </c>
      <c r="U42" s="371"/>
    </row>
    <row r="43" customFormat="false" ht="12.75" hidden="false" customHeight="false" outlineLevel="0" collapsed="false">
      <c r="D43" s="371" t="str">
        <f aca="false">IF((F43&lt;&gt;0),"Enter Letter"," ")</f>
        <v> </v>
      </c>
      <c r="G43" s="180" t="str">
        <f aca="false">IF((D43="d"),F43," ")</f>
        <v> </v>
      </c>
      <c r="H43" s="180" t="str">
        <f aca="false">IF((D43="h"),F43," ")</f>
        <v> </v>
      </c>
      <c r="I43" s="180" t="str">
        <f aca="false">IF((D43="r"),F43," ")</f>
        <v> </v>
      </c>
      <c r="J43" s="180" t="str">
        <f aca="false">IF((D43="t"),F43," ")</f>
        <v> </v>
      </c>
      <c r="K43" s="180" t="str">
        <f aca="false">IF((D43="e"),F43," ")</f>
        <v> </v>
      </c>
      <c r="L43" s="180" t="str">
        <f aca="false">IF((D43="p"),F43," ")</f>
        <v> </v>
      </c>
      <c r="M43" s="180" t="str">
        <f aca="false">IF((D43="g"),F43," ")</f>
        <v> </v>
      </c>
      <c r="N43" s="180" t="str">
        <f aca="false">IF((D43="a"),F43," ")</f>
        <v> </v>
      </c>
      <c r="O43" s="180" t="str">
        <f aca="false">IF((D43="l"),F43," ")</f>
        <v> </v>
      </c>
      <c r="P43" s="180" t="str">
        <f aca="false">IF((D43="i"),F43," ")</f>
        <v> </v>
      </c>
      <c r="Q43" s="180" t="str">
        <f aca="false">IF((D43="b"),F43," ")</f>
        <v> </v>
      </c>
      <c r="R43" s="180" t="str">
        <f aca="false">IF((D43="o"),F43," ")</f>
        <v> </v>
      </c>
      <c r="S43" s="180" t="str">
        <f aca="false">IF((D43="f"),F43," ")</f>
        <v> </v>
      </c>
      <c r="U43" s="371"/>
    </row>
    <row r="44" customFormat="false" ht="12.75" hidden="false" customHeight="false" outlineLevel="0" collapsed="false">
      <c r="D44" s="371" t="str">
        <f aca="false">IF((F44&lt;&gt;0),"Enter Letter"," ")</f>
        <v> </v>
      </c>
      <c r="G44" s="180" t="str">
        <f aca="false">IF((D44="d"),F44," ")</f>
        <v> </v>
      </c>
      <c r="H44" s="180" t="str">
        <f aca="false">IF((D44="h"),F44," ")</f>
        <v> </v>
      </c>
      <c r="I44" s="180" t="str">
        <f aca="false">IF((D44="r"),F44," ")</f>
        <v> </v>
      </c>
      <c r="J44" s="180" t="str">
        <f aca="false">IF((D44="t"),F44," ")</f>
        <v> </v>
      </c>
      <c r="K44" s="180" t="str">
        <f aca="false">IF((D44="e"),F44," ")</f>
        <v> </v>
      </c>
      <c r="L44" s="180" t="str">
        <f aca="false">IF((D44="p"),F44," ")</f>
        <v> </v>
      </c>
      <c r="M44" s="180" t="str">
        <f aca="false">IF((D44="g"),F44," ")</f>
        <v> </v>
      </c>
      <c r="N44" s="180" t="str">
        <f aca="false">IF((D44="a"),F44," ")</f>
        <v> </v>
      </c>
      <c r="O44" s="180" t="str">
        <f aca="false">IF((D44="l"),F44," ")</f>
        <v> </v>
      </c>
      <c r="P44" s="180" t="str">
        <f aca="false">IF((D44="i"),F44," ")</f>
        <v> </v>
      </c>
      <c r="Q44" s="180" t="str">
        <f aca="false">IF((D44="b"),F44," ")</f>
        <v> </v>
      </c>
      <c r="R44" s="180" t="str">
        <f aca="false">IF((D44="o"),F44," ")</f>
        <v> </v>
      </c>
      <c r="S44" s="180" t="str">
        <f aca="false">IF((D44="f"),F44," ")</f>
        <v> </v>
      </c>
      <c r="U44" s="371"/>
    </row>
    <row r="45" customFormat="false" ht="12.75" hidden="false" customHeight="false" outlineLevel="0" collapsed="false">
      <c r="D45" s="371" t="str">
        <f aca="false">IF((F45&lt;&gt;0),"Enter Letter"," ")</f>
        <v> </v>
      </c>
      <c r="G45" s="180" t="str">
        <f aca="false">IF((D45="d"),F45," ")</f>
        <v> </v>
      </c>
      <c r="H45" s="180" t="str">
        <f aca="false">IF((D45="h"),F45," ")</f>
        <v> </v>
      </c>
      <c r="I45" s="180" t="str">
        <f aca="false">IF((D45="r"),F45," ")</f>
        <v> </v>
      </c>
      <c r="J45" s="180" t="str">
        <f aca="false">IF((D45="t"),F45," ")</f>
        <v> </v>
      </c>
      <c r="K45" s="180" t="str">
        <f aca="false">IF((D45="e"),F45," ")</f>
        <v> </v>
      </c>
      <c r="L45" s="180" t="str">
        <f aca="false">IF((D45="p"),F45," ")</f>
        <v> </v>
      </c>
      <c r="M45" s="180" t="str">
        <f aca="false">IF((D45="g"),F45," ")</f>
        <v> </v>
      </c>
      <c r="N45" s="180" t="str">
        <f aca="false">IF((D45="a"),F45," ")</f>
        <v> </v>
      </c>
      <c r="O45" s="180" t="str">
        <f aca="false">IF((D45="l"),F45," ")</f>
        <v> </v>
      </c>
      <c r="P45" s="180" t="str">
        <f aca="false">IF((D45="i"),F45," ")</f>
        <v> </v>
      </c>
      <c r="Q45" s="180" t="str">
        <f aca="false">IF((D45="b"),F45," ")</f>
        <v> </v>
      </c>
      <c r="R45" s="180" t="str">
        <f aca="false">IF((D45="o"),F45," ")</f>
        <v> </v>
      </c>
      <c r="S45" s="180" t="str">
        <f aca="false">IF((D45="f"),F45," ")</f>
        <v> </v>
      </c>
      <c r="U45" s="371"/>
    </row>
    <row r="46" customFormat="false" ht="12.75" hidden="false" customHeight="false" outlineLevel="0" collapsed="false">
      <c r="D46" s="371" t="str">
        <f aca="false">IF((F46&lt;&gt;0),"Enter Letter"," ")</f>
        <v> </v>
      </c>
      <c r="G46" s="180" t="str">
        <f aca="false">IF((D46="d"),F46," ")</f>
        <v> </v>
      </c>
      <c r="H46" s="180" t="str">
        <f aca="false">IF((D46="h"),F46," ")</f>
        <v> </v>
      </c>
      <c r="I46" s="180" t="str">
        <f aca="false">IF((D46="r"),F46," ")</f>
        <v> </v>
      </c>
      <c r="J46" s="180" t="str">
        <f aca="false">IF((D46="t"),F46," ")</f>
        <v> </v>
      </c>
      <c r="K46" s="180" t="str">
        <f aca="false">IF((D46="e"),F46," ")</f>
        <v> </v>
      </c>
      <c r="L46" s="180" t="str">
        <f aca="false">IF((D46="p"),F46," ")</f>
        <v> </v>
      </c>
      <c r="M46" s="180" t="str">
        <f aca="false">IF((D46="g"),F46," ")</f>
        <v> </v>
      </c>
      <c r="N46" s="180" t="str">
        <f aca="false">IF((D46="a"),F46," ")</f>
        <v> </v>
      </c>
      <c r="O46" s="180" t="str">
        <f aca="false">IF((D46="l"),F46," ")</f>
        <v> </v>
      </c>
      <c r="P46" s="180" t="str">
        <f aca="false">IF((D46="i"),F46," ")</f>
        <v> </v>
      </c>
      <c r="Q46" s="180" t="str">
        <f aca="false">IF((D46="b"),F46," ")</f>
        <v> </v>
      </c>
      <c r="R46" s="180" t="str">
        <f aca="false">IF((D46="o"),F46," ")</f>
        <v> </v>
      </c>
      <c r="S46" s="180" t="str">
        <f aca="false">IF((D46="f"),F46," ")</f>
        <v> </v>
      </c>
      <c r="U46" s="371"/>
    </row>
    <row r="47" customFormat="false" ht="12.75" hidden="false" customHeight="false" outlineLevel="0" collapsed="false">
      <c r="D47" s="371" t="str">
        <f aca="false">IF((F47&lt;&gt;0),"Enter Letter"," ")</f>
        <v> </v>
      </c>
      <c r="G47" s="180" t="str">
        <f aca="false">IF((D47="d"),F47," ")</f>
        <v> </v>
      </c>
      <c r="H47" s="180" t="str">
        <f aca="false">IF((D47="h"),F47," ")</f>
        <v> </v>
      </c>
      <c r="I47" s="180" t="str">
        <f aca="false">IF((D47="r"),F47," ")</f>
        <v> </v>
      </c>
      <c r="J47" s="180" t="str">
        <f aca="false">IF((D47="t"),F47," ")</f>
        <v> </v>
      </c>
      <c r="K47" s="180" t="str">
        <f aca="false">IF((D47="e"),F47," ")</f>
        <v> </v>
      </c>
      <c r="L47" s="180" t="str">
        <f aca="false">IF((D47="p"),F47," ")</f>
        <v> </v>
      </c>
      <c r="M47" s="180" t="str">
        <f aca="false">IF((D47="g"),F47," ")</f>
        <v> </v>
      </c>
      <c r="N47" s="180" t="str">
        <f aca="false">IF((D47="a"),F47," ")</f>
        <v> </v>
      </c>
      <c r="O47" s="180" t="str">
        <f aca="false">IF((D47="l"),F47," ")</f>
        <v> </v>
      </c>
      <c r="P47" s="180" t="str">
        <f aca="false">IF((D47="i"),F47," ")</f>
        <v> </v>
      </c>
      <c r="Q47" s="180" t="str">
        <f aca="false">IF((D47="b"),F47," ")</f>
        <v> </v>
      </c>
      <c r="R47" s="180" t="str">
        <f aca="false">IF((D47="o"),F47," ")</f>
        <v> </v>
      </c>
      <c r="S47" s="180" t="str">
        <f aca="false">IF((D47="f"),F47," ")</f>
        <v> </v>
      </c>
      <c r="U47" s="371"/>
    </row>
    <row r="48" customFormat="false" ht="12.75" hidden="false" customHeight="false" outlineLevel="0" collapsed="false">
      <c r="D48" s="371" t="str">
        <f aca="false">IF((F48&lt;&gt;0),"Enter Letter"," ")</f>
        <v> </v>
      </c>
      <c r="G48" s="180" t="str">
        <f aca="false">IF((D48="d"),F48," ")</f>
        <v> </v>
      </c>
      <c r="H48" s="180" t="str">
        <f aca="false">IF((D48="h"),F48," ")</f>
        <v> </v>
      </c>
      <c r="I48" s="180" t="str">
        <f aca="false">IF((D48="r"),F48," ")</f>
        <v> </v>
      </c>
      <c r="J48" s="180" t="str">
        <f aca="false">IF((D48="t"),F48," ")</f>
        <v> </v>
      </c>
      <c r="K48" s="180" t="str">
        <f aca="false">IF((D48="e"),F48," ")</f>
        <v> </v>
      </c>
      <c r="L48" s="180" t="str">
        <f aca="false">IF((D48="p"),F48," ")</f>
        <v> </v>
      </c>
      <c r="M48" s="180" t="str">
        <f aca="false">IF((D48="g"),F48," ")</f>
        <v> </v>
      </c>
      <c r="N48" s="180" t="str">
        <f aca="false">IF((D48="a"),F48," ")</f>
        <v> </v>
      </c>
      <c r="O48" s="180" t="str">
        <f aca="false">IF((D48="l"),F48," ")</f>
        <v> </v>
      </c>
      <c r="P48" s="180" t="str">
        <f aca="false">IF((D48="i"),F48," ")</f>
        <v> </v>
      </c>
      <c r="Q48" s="180" t="str">
        <f aca="false">IF((D48="b"),F48," ")</f>
        <v> </v>
      </c>
      <c r="R48" s="180" t="str">
        <f aca="false">IF((D48="o"),F48," ")</f>
        <v> </v>
      </c>
      <c r="S48" s="180" t="str">
        <f aca="false">IF((D48="f"),F48," ")</f>
        <v> </v>
      </c>
      <c r="U48" s="371"/>
    </row>
    <row r="49" customFormat="false" ht="12.75" hidden="false" customHeight="false" outlineLevel="0" collapsed="false">
      <c r="D49" s="371" t="str">
        <f aca="false">IF((F49&lt;&gt;0),"Enter Letter"," ")</f>
        <v> </v>
      </c>
      <c r="G49" s="180" t="str">
        <f aca="false">IF((D49="d"),F49," ")</f>
        <v> </v>
      </c>
      <c r="H49" s="180" t="str">
        <f aca="false">IF((D49="h"),F49," ")</f>
        <v> </v>
      </c>
      <c r="I49" s="180" t="str">
        <f aca="false">IF((D49="r"),F49," ")</f>
        <v> </v>
      </c>
      <c r="J49" s="180" t="str">
        <f aca="false">IF((D49="t"),F49," ")</f>
        <v> </v>
      </c>
      <c r="K49" s="180" t="str">
        <f aca="false">IF((D49="e"),F49," ")</f>
        <v> </v>
      </c>
      <c r="L49" s="180" t="str">
        <f aca="false">IF((D49="p"),F49," ")</f>
        <v> </v>
      </c>
      <c r="M49" s="180" t="str">
        <f aca="false">IF((D49="g"),F49," ")</f>
        <v> </v>
      </c>
      <c r="N49" s="180" t="str">
        <f aca="false">IF((D49="a"),F49," ")</f>
        <v> </v>
      </c>
      <c r="O49" s="180" t="str">
        <f aca="false">IF((D49="l"),F49," ")</f>
        <v> </v>
      </c>
      <c r="P49" s="180" t="str">
        <f aca="false">IF((D49="i"),F49," ")</f>
        <v> </v>
      </c>
      <c r="Q49" s="180" t="str">
        <f aca="false">IF((D49="b"),F49," ")</f>
        <v> </v>
      </c>
      <c r="R49" s="180" t="str">
        <f aca="false">IF((D49="o"),F49," ")</f>
        <v> </v>
      </c>
      <c r="S49" s="180" t="str">
        <f aca="false">IF((D49="f"),F49," ")</f>
        <v> </v>
      </c>
      <c r="U49" s="371"/>
    </row>
    <row r="50" customFormat="false" ht="12.75" hidden="false" customHeight="false" outlineLevel="0" collapsed="false">
      <c r="D50" s="371" t="str">
        <f aca="false">IF((F50&lt;&gt;0),"Enter Letter"," ")</f>
        <v> </v>
      </c>
      <c r="G50" s="180" t="str">
        <f aca="false">IF((D50="d"),F50," ")</f>
        <v> </v>
      </c>
      <c r="H50" s="180" t="str">
        <f aca="false">IF((D50="h"),F50," ")</f>
        <v> </v>
      </c>
      <c r="I50" s="180" t="str">
        <f aca="false">IF((D50="r"),F50," ")</f>
        <v> </v>
      </c>
      <c r="J50" s="180" t="str">
        <f aca="false">IF((D50="t"),F50," ")</f>
        <v> </v>
      </c>
      <c r="K50" s="180" t="str">
        <f aca="false">IF((D50="e"),F50," ")</f>
        <v> </v>
      </c>
      <c r="L50" s="180" t="str">
        <f aca="false">IF((D50="p"),F50," ")</f>
        <v> </v>
      </c>
      <c r="M50" s="180" t="str">
        <f aca="false">IF((D50="g"),F50," ")</f>
        <v> </v>
      </c>
      <c r="N50" s="180" t="str">
        <f aca="false">IF((D50="a"),F50," ")</f>
        <v> </v>
      </c>
      <c r="O50" s="180" t="str">
        <f aca="false">IF((D50="l"),F50," ")</f>
        <v> </v>
      </c>
      <c r="P50" s="180" t="str">
        <f aca="false">IF((D50="i"),F50," ")</f>
        <v> </v>
      </c>
      <c r="Q50" s="180" t="str">
        <f aca="false">IF((D50="b"),F50," ")</f>
        <v> </v>
      </c>
      <c r="R50" s="180" t="str">
        <f aca="false">IF((D50="o"),F50," ")</f>
        <v> </v>
      </c>
      <c r="S50" s="180" t="str">
        <f aca="false">IF((D50="f"),F50," ")</f>
        <v> </v>
      </c>
      <c r="U50" s="371"/>
    </row>
    <row r="51" customFormat="false" ht="12.75" hidden="false" customHeight="false" outlineLevel="0" collapsed="false">
      <c r="D51" s="371" t="str">
        <f aca="false">IF((F51&lt;&gt;0),"Enter Letter"," ")</f>
        <v> </v>
      </c>
      <c r="G51" s="180" t="str">
        <f aca="false">IF((D51="d"),F51," ")</f>
        <v> </v>
      </c>
      <c r="H51" s="180" t="str">
        <f aca="false">IF((D51="h"),F51," ")</f>
        <v> </v>
      </c>
      <c r="I51" s="180" t="str">
        <f aca="false">IF((D51="r"),F51," ")</f>
        <v> </v>
      </c>
      <c r="J51" s="180" t="str">
        <f aca="false">IF((D51="t"),F51," ")</f>
        <v> </v>
      </c>
      <c r="K51" s="180" t="str">
        <f aca="false">IF((D51="e"),F51," ")</f>
        <v> </v>
      </c>
      <c r="L51" s="180" t="str">
        <f aca="false">IF((D51="p"),F51," ")</f>
        <v> </v>
      </c>
      <c r="M51" s="180" t="str">
        <f aca="false">IF((D51="g"),F51," ")</f>
        <v> </v>
      </c>
      <c r="N51" s="180" t="str">
        <f aca="false">IF((D51="a"),F51," ")</f>
        <v> </v>
      </c>
      <c r="O51" s="180" t="str">
        <f aca="false">IF((D51="l"),F51," ")</f>
        <v> </v>
      </c>
      <c r="P51" s="180" t="str">
        <f aca="false">IF((D51="i"),F51," ")</f>
        <v> </v>
      </c>
      <c r="Q51" s="180" t="str">
        <f aca="false">IF((D51="b"),F51," ")</f>
        <v> </v>
      </c>
      <c r="R51" s="180" t="str">
        <f aca="false">IF((D51="o"),F51," ")</f>
        <v> </v>
      </c>
      <c r="S51" s="180" t="str">
        <f aca="false">IF((D51="f"),F51," ")</f>
        <v> </v>
      </c>
      <c r="U51" s="371"/>
    </row>
    <row r="52" customFormat="false" ht="12.75" hidden="false" customHeight="false" outlineLevel="0" collapsed="false">
      <c r="D52" s="371" t="str">
        <f aca="false">IF((F52&lt;&gt;0),"Enter Letter"," ")</f>
        <v> </v>
      </c>
      <c r="G52" s="180" t="str">
        <f aca="false">IF((D52="d"),F52," ")</f>
        <v> </v>
      </c>
      <c r="H52" s="180" t="str">
        <f aca="false">IF((D52="h"),F52," ")</f>
        <v> </v>
      </c>
      <c r="I52" s="180" t="str">
        <f aca="false">IF((D52="r"),F52," ")</f>
        <v> </v>
      </c>
      <c r="J52" s="180" t="str">
        <f aca="false">IF((D52="t"),F52," ")</f>
        <v> </v>
      </c>
      <c r="K52" s="180" t="str">
        <f aca="false">IF((D52="e"),F52," ")</f>
        <v> </v>
      </c>
      <c r="L52" s="180" t="str">
        <f aca="false">IF((D52="p"),F52," ")</f>
        <v> </v>
      </c>
      <c r="M52" s="180" t="str">
        <f aca="false">IF((D52="g"),F52," ")</f>
        <v> </v>
      </c>
      <c r="N52" s="180" t="str">
        <f aca="false">IF((D52="a"),F52," ")</f>
        <v> </v>
      </c>
      <c r="O52" s="180" t="str">
        <f aca="false">IF((D52="l"),F52," ")</f>
        <v> </v>
      </c>
      <c r="P52" s="180" t="str">
        <f aca="false">IF((D52="i"),F52," ")</f>
        <v> </v>
      </c>
      <c r="Q52" s="180" t="str">
        <f aca="false">IF((D52="b"),F52," ")</f>
        <v> </v>
      </c>
      <c r="R52" s="180" t="str">
        <f aca="false">IF((D52="o"),F52," ")</f>
        <v> </v>
      </c>
      <c r="S52" s="180" t="str">
        <f aca="false">IF((D52="f"),F52," ")</f>
        <v> </v>
      </c>
      <c r="U52" s="371"/>
    </row>
    <row r="53" customFormat="false" ht="12.75" hidden="false" customHeight="false" outlineLevel="0" collapsed="false">
      <c r="D53" s="371" t="str">
        <f aca="false">IF((F53&lt;&gt;0),"Enter Letter"," ")</f>
        <v> </v>
      </c>
      <c r="G53" s="180" t="str">
        <f aca="false">IF((D53="d"),F53," ")</f>
        <v> </v>
      </c>
      <c r="H53" s="180" t="str">
        <f aca="false">IF((D53="h"),F53," ")</f>
        <v> </v>
      </c>
      <c r="I53" s="180" t="str">
        <f aca="false">IF((D53="r"),F53," ")</f>
        <v> </v>
      </c>
      <c r="J53" s="180" t="str">
        <f aca="false">IF((D53="t"),F53," ")</f>
        <v> </v>
      </c>
      <c r="K53" s="180" t="str">
        <f aca="false">IF((D53="e"),F53," ")</f>
        <v> </v>
      </c>
      <c r="L53" s="180" t="str">
        <f aca="false">IF((D53="p"),F53," ")</f>
        <v> </v>
      </c>
      <c r="M53" s="180" t="str">
        <f aca="false">IF((D53="g"),F53," ")</f>
        <v> </v>
      </c>
      <c r="N53" s="180" t="str">
        <f aca="false">IF((D53="a"),F53," ")</f>
        <v> </v>
      </c>
      <c r="O53" s="180" t="str">
        <f aca="false">IF((D53="l"),F53," ")</f>
        <v> </v>
      </c>
      <c r="P53" s="180" t="str">
        <f aca="false">IF((D53="i"),F53," ")</f>
        <v> </v>
      </c>
      <c r="Q53" s="180" t="str">
        <f aca="false">IF((D53="b"),F53," ")</f>
        <v> </v>
      </c>
      <c r="R53" s="180" t="str">
        <f aca="false">IF((D53="o"),F53," ")</f>
        <v> </v>
      </c>
      <c r="S53" s="180" t="str">
        <f aca="false">IF((D53="f"),F53," ")</f>
        <v> </v>
      </c>
      <c r="U53" s="371"/>
    </row>
    <row r="54" customFormat="false" ht="12.75" hidden="false" customHeight="false" outlineLevel="0" collapsed="false">
      <c r="D54" s="371" t="str">
        <f aca="false">IF((F54&lt;&gt;0),"Enter Letter"," ")</f>
        <v> </v>
      </c>
      <c r="G54" s="180" t="str">
        <f aca="false">IF((D54="d"),F54," ")</f>
        <v> </v>
      </c>
      <c r="H54" s="180" t="str">
        <f aca="false">IF((D54="h"),F54," ")</f>
        <v> </v>
      </c>
      <c r="I54" s="180" t="str">
        <f aca="false">IF((D54="r"),F54," ")</f>
        <v> </v>
      </c>
      <c r="J54" s="180" t="str">
        <f aca="false">IF((D54="t"),F54," ")</f>
        <v> </v>
      </c>
      <c r="K54" s="180" t="str">
        <f aca="false">IF((D54="e"),F54," ")</f>
        <v> </v>
      </c>
      <c r="L54" s="180" t="str">
        <f aca="false">IF((D54="p"),F54," ")</f>
        <v> </v>
      </c>
      <c r="M54" s="180" t="str">
        <f aca="false">IF((D54="g"),F54," ")</f>
        <v> </v>
      </c>
      <c r="N54" s="180" t="str">
        <f aca="false">IF((D54="a"),F54," ")</f>
        <v> </v>
      </c>
      <c r="O54" s="180" t="str">
        <f aca="false">IF((D54="l"),F54," ")</f>
        <v> </v>
      </c>
      <c r="P54" s="180" t="str">
        <f aca="false">IF((D54="i"),F54," ")</f>
        <v> </v>
      </c>
      <c r="Q54" s="180" t="str">
        <f aca="false">IF((D54="b"),F54," ")</f>
        <v> </v>
      </c>
      <c r="R54" s="180" t="str">
        <f aca="false">IF((D54="o"),F54," ")</f>
        <v> </v>
      </c>
      <c r="S54" s="180" t="str">
        <f aca="false">IF((D54="f"),F54," ")</f>
        <v> </v>
      </c>
      <c r="U54" s="371"/>
    </row>
    <row r="55" customFormat="false" ht="12.75" hidden="false" customHeight="false" outlineLevel="0" collapsed="false">
      <c r="D55" s="371" t="str">
        <f aca="false">IF((F55&lt;&gt;0),"Enter Letter"," ")</f>
        <v> </v>
      </c>
      <c r="G55" s="180" t="str">
        <f aca="false">IF((D55="d"),F55," ")</f>
        <v> </v>
      </c>
      <c r="H55" s="180" t="str">
        <f aca="false">IF((D55="h"),F55," ")</f>
        <v> </v>
      </c>
      <c r="I55" s="180" t="str">
        <f aca="false">IF((D55="r"),F55," ")</f>
        <v> </v>
      </c>
      <c r="J55" s="180" t="str">
        <f aca="false">IF((D55="t"),F55," ")</f>
        <v> </v>
      </c>
      <c r="K55" s="180" t="str">
        <f aca="false">IF((D55="e"),F55," ")</f>
        <v> </v>
      </c>
      <c r="L55" s="180" t="str">
        <f aca="false">IF((D55="p"),F55," ")</f>
        <v> </v>
      </c>
      <c r="M55" s="180" t="str">
        <f aca="false">IF((D55="g"),F55," ")</f>
        <v> </v>
      </c>
      <c r="N55" s="180" t="str">
        <f aca="false">IF((D55="a"),F55," ")</f>
        <v> </v>
      </c>
      <c r="O55" s="180" t="str">
        <f aca="false">IF((D55="l"),F55," ")</f>
        <v> </v>
      </c>
      <c r="P55" s="180" t="str">
        <f aca="false">IF((D55="i"),F55," ")</f>
        <v> </v>
      </c>
      <c r="Q55" s="180" t="str">
        <f aca="false">IF((D55="b"),F55," ")</f>
        <v> </v>
      </c>
      <c r="R55" s="180" t="str">
        <f aca="false">IF((D55="o"),F55," ")</f>
        <v> </v>
      </c>
      <c r="S55" s="180" t="str">
        <f aca="false">IF((D55="f"),F55," ")</f>
        <v> </v>
      </c>
      <c r="U55" s="371"/>
    </row>
    <row r="56" customFormat="false" ht="12.75" hidden="false" customHeight="false" outlineLevel="0" collapsed="false">
      <c r="D56" s="371" t="str">
        <f aca="false">IF((F56&lt;&gt;0),"Enter Letter"," ")</f>
        <v> </v>
      </c>
      <c r="G56" s="180" t="str">
        <f aca="false">IF((D56="d"),F56," ")</f>
        <v> </v>
      </c>
      <c r="H56" s="180" t="str">
        <f aca="false">IF((D56="h"),F56," ")</f>
        <v> </v>
      </c>
      <c r="I56" s="180" t="str">
        <f aca="false">IF((D56="r"),F56," ")</f>
        <v> </v>
      </c>
      <c r="J56" s="180" t="str">
        <f aca="false">IF((D56="t"),F56," ")</f>
        <v> </v>
      </c>
      <c r="K56" s="180" t="str">
        <f aca="false">IF((D56="e"),F56," ")</f>
        <v> </v>
      </c>
      <c r="L56" s="180" t="str">
        <f aca="false">IF((D56="p"),F56," ")</f>
        <v> </v>
      </c>
      <c r="M56" s="180" t="str">
        <f aca="false">IF((D56="g"),F56," ")</f>
        <v> </v>
      </c>
      <c r="N56" s="180" t="str">
        <f aca="false">IF((D56="a"),F56," ")</f>
        <v> </v>
      </c>
      <c r="O56" s="180" t="str">
        <f aca="false">IF((D56="l"),F56," ")</f>
        <v> </v>
      </c>
      <c r="P56" s="180" t="str">
        <f aca="false">IF((D56="i"),F56," ")</f>
        <v> </v>
      </c>
      <c r="Q56" s="180" t="str">
        <f aca="false">IF((D56="b"),F56," ")</f>
        <v> </v>
      </c>
      <c r="R56" s="180" t="str">
        <f aca="false">IF((D56="o"),F56," ")</f>
        <v> </v>
      </c>
      <c r="S56" s="180" t="str">
        <f aca="false">IF((D56="f"),F56," ")</f>
        <v> </v>
      </c>
      <c r="U56" s="371"/>
    </row>
    <row r="57" customFormat="false" ht="12.75" hidden="false" customHeight="false" outlineLevel="0" collapsed="false">
      <c r="D57" s="371" t="str">
        <f aca="false">IF((F57&lt;&gt;0),"Enter Letter"," ")</f>
        <v> </v>
      </c>
      <c r="G57" s="180" t="str">
        <f aca="false">IF((D57="d"),F57," ")</f>
        <v> </v>
      </c>
      <c r="H57" s="180" t="str">
        <f aca="false">IF((D57="h"),F57," ")</f>
        <v> </v>
      </c>
      <c r="I57" s="180" t="str">
        <f aca="false">IF((D57="r"),F57," ")</f>
        <v> </v>
      </c>
      <c r="J57" s="180" t="str">
        <f aca="false">IF((D57="t"),F57," ")</f>
        <v> </v>
      </c>
      <c r="K57" s="180" t="str">
        <f aca="false">IF((D57="e"),F57," ")</f>
        <v> </v>
      </c>
      <c r="L57" s="180" t="str">
        <f aca="false">IF((D57="p"),F57," ")</f>
        <v> </v>
      </c>
      <c r="M57" s="180" t="str">
        <f aca="false">IF((D57="g"),F57," ")</f>
        <v> </v>
      </c>
      <c r="N57" s="180" t="str">
        <f aca="false">IF((D57="a"),F57," ")</f>
        <v> </v>
      </c>
      <c r="O57" s="180" t="str">
        <f aca="false">IF((D57="l"),F57," ")</f>
        <v> </v>
      </c>
      <c r="P57" s="180" t="str">
        <f aca="false">IF((D57="i"),F57," ")</f>
        <v> </v>
      </c>
      <c r="Q57" s="180" t="str">
        <f aca="false">IF((D57="b"),F57," ")</f>
        <v> </v>
      </c>
      <c r="R57" s="180" t="str">
        <f aca="false">IF((D57="o"),F57," ")</f>
        <v> </v>
      </c>
      <c r="S57" s="180" t="str">
        <f aca="false">IF((D57="f"),F57," ")</f>
        <v> </v>
      </c>
      <c r="U57" s="371"/>
    </row>
    <row r="58" customFormat="false" ht="12.75" hidden="false" customHeight="false" outlineLevel="0" collapsed="false">
      <c r="D58" s="371" t="str">
        <f aca="false">IF((F58&lt;&gt;0),"Enter Letter"," ")</f>
        <v> </v>
      </c>
      <c r="G58" s="180" t="str">
        <f aca="false">IF((D58="d"),F58," ")</f>
        <v> </v>
      </c>
      <c r="H58" s="180" t="str">
        <f aca="false">IF((D58="h"),F58," ")</f>
        <v> </v>
      </c>
      <c r="I58" s="180" t="str">
        <f aca="false">IF((D58="r"),F58," ")</f>
        <v> </v>
      </c>
      <c r="J58" s="180" t="str">
        <f aca="false">IF((D58="t"),F58," ")</f>
        <v> </v>
      </c>
      <c r="K58" s="180" t="str">
        <f aca="false">IF((D58="e"),F58," ")</f>
        <v> </v>
      </c>
      <c r="L58" s="180" t="str">
        <f aca="false">IF((D58="p"),F58," ")</f>
        <v> </v>
      </c>
      <c r="M58" s="180" t="str">
        <f aca="false">IF((D58="g"),F58," ")</f>
        <v> </v>
      </c>
      <c r="N58" s="180" t="str">
        <f aca="false">IF((D58="a"),F58," ")</f>
        <v> </v>
      </c>
      <c r="O58" s="180" t="str">
        <f aca="false">IF((D58="l"),F58," ")</f>
        <v> </v>
      </c>
      <c r="P58" s="180" t="str">
        <f aca="false">IF((D58="i"),F58," ")</f>
        <v> </v>
      </c>
      <c r="Q58" s="180" t="str">
        <f aca="false">IF((D58="b"),F58," ")</f>
        <v> </v>
      </c>
      <c r="R58" s="180" t="str">
        <f aca="false">IF((D58="o"),F58," ")</f>
        <v> </v>
      </c>
      <c r="S58" s="180" t="str">
        <f aca="false">IF((D58="f"),F58," ")</f>
        <v> </v>
      </c>
      <c r="U58" s="371"/>
    </row>
    <row r="59" customFormat="false" ht="12.75" hidden="false" customHeight="false" outlineLevel="0" collapsed="false">
      <c r="D59" s="371" t="str">
        <f aca="false">IF((F59&lt;&gt;0),"Enter Letter"," ")</f>
        <v> </v>
      </c>
      <c r="G59" s="180" t="str">
        <f aca="false">IF((D59="d"),F59," ")</f>
        <v> </v>
      </c>
      <c r="H59" s="180" t="str">
        <f aca="false">IF((D59="h"),F59," ")</f>
        <v> </v>
      </c>
      <c r="I59" s="180" t="str">
        <f aca="false">IF((D59="r"),F59," ")</f>
        <v> </v>
      </c>
      <c r="J59" s="180" t="str">
        <f aca="false">IF((D59="t"),F59," ")</f>
        <v> </v>
      </c>
      <c r="K59" s="180" t="str">
        <f aca="false">IF((D59="e"),F59," ")</f>
        <v> </v>
      </c>
      <c r="L59" s="180" t="str">
        <f aca="false">IF((D59="p"),F59," ")</f>
        <v> </v>
      </c>
      <c r="M59" s="180" t="str">
        <f aca="false">IF((D59="g"),F59," ")</f>
        <v> </v>
      </c>
      <c r="N59" s="180" t="str">
        <f aca="false">IF((D59="a"),F59," ")</f>
        <v> </v>
      </c>
      <c r="O59" s="180" t="str">
        <f aca="false">IF((D59="l"),F59," ")</f>
        <v> </v>
      </c>
      <c r="P59" s="180" t="str">
        <f aca="false">IF((D59="i"),F59," ")</f>
        <v> </v>
      </c>
      <c r="Q59" s="180" t="str">
        <f aca="false">IF((D59="b"),F59," ")</f>
        <v> </v>
      </c>
      <c r="R59" s="180" t="str">
        <f aca="false">IF((D59="o"),F59," ")</f>
        <v> </v>
      </c>
      <c r="S59" s="180" t="str">
        <f aca="false">IF((D59="f"),F59," ")</f>
        <v> </v>
      </c>
      <c r="U59" s="371"/>
    </row>
    <row r="60" customFormat="false" ht="12.75" hidden="false" customHeight="false" outlineLevel="0" collapsed="false">
      <c r="D60" s="371" t="str">
        <f aca="false">IF((F60&lt;&gt;0),"Enter Letter"," ")</f>
        <v> </v>
      </c>
      <c r="G60" s="180" t="str">
        <f aca="false">IF((D60="d"),F60," ")</f>
        <v> </v>
      </c>
      <c r="H60" s="180" t="str">
        <f aca="false">IF((D60="h"),F60," ")</f>
        <v> </v>
      </c>
      <c r="I60" s="180" t="str">
        <f aca="false">IF((D60="r"),F60," ")</f>
        <v> </v>
      </c>
      <c r="J60" s="180" t="str">
        <f aca="false">IF((D60="t"),F60," ")</f>
        <v> </v>
      </c>
      <c r="K60" s="180" t="str">
        <f aca="false">IF((D60="e"),F60," ")</f>
        <v> </v>
      </c>
      <c r="L60" s="180" t="str">
        <f aca="false">IF((D60="p"),F60," ")</f>
        <v> </v>
      </c>
      <c r="M60" s="180" t="str">
        <f aca="false">IF((D60="g"),F60," ")</f>
        <v> </v>
      </c>
      <c r="N60" s="180" t="str">
        <f aca="false">IF((D60="a"),F60," ")</f>
        <v> </v>
      </c>
      <c r="O60" s="180" t="str">
        <f aca="false">IF((D60="l"),F60," ")</f>
        <v> </v>
      </c>
      <c r="P60" s="180" t="str">
        <f aca="false">IF((D60="i"),F60," ")</f>
        <v> </v>
      </c>
      <c r="Q60" s="180" t="str">
        <f aca="false">IF((D60="b"),F60," ")</f>
        <v> </v>
      </c>
      <c r="R60" s="180" t="str">
        <f aca="false">IF((D60="o"),F60," ")</f>
        <v> </v>
      </c>
      <c r="S60" s="180" t="str">
        <f aca="false">IF((D60="f"),F60," ")</f>
        <v> </v>
      </c>
      <c r="U60" s="371"/>
    </row>
    <row r="61" customFormat="false" ht="12.75" hidden="false" customHeight="false" outlineLevel="0" collapsed="false">
      <c r="D61" s="371" t="str">
        <f aca="false">IF((F61&lt;&gt;0),"Enter Letter"," ")</f>
        <v> </v>
      </c>
      <c r="G61" s="180" t="str">
        <f aca="false">IF((D61="d"),F61," ")</f>
        <v> </v>
      </c>
      <c r="H61" s="180" t="str">
        <f aca="false">IF((D61="h"),F61," ")</f>
        <v> </v>
      </c>
      <c r="I61" s="180" t="str">
        <f aca="false">IF((D61="r"),F61," ")</f>
        <v> </v>
      </c>
      <c r="J61" s="180" t="str">
        <f aca="false">IF((D61="t"),F61," ")</f>
        <v> </v>
      </c>
      <c r="K61" s="180" t="str">
        <f aca="false">IF((D61="e"),F61," ")</f>
        <v> </v>
      </c>
      <c r="L61" s="180" t="str">
        <f aca="false">IF((D61="p"),F61," ")</f>
        <v> </v>
      </c>
      <c r="M61" s="180" t="str">
        <f aca="false">IF((D61="g"),F61," ")</f>
        <v> </v>
      </c>
      <c r="N61" s="180" t="str">
        <f aca="false">IF((D61="a"),F61," ")</f>
        <v> </v>
      </c>
      <c r="O61" s="180" t="str">
        <f aca="false">IF((D61="l"),F61," ")</f>
        <v> </v>
      </c>
      <c r="P61" s="180" t="str">
        <f aca="false">IF((D61="i"),F61," ")</f>
        <v> </v>
      </c>
      <c r="Q61" s="180" t="str">
        <f aca="false">IF((D61="b"),F61," ")</f>
        <v> </v>
      </c>
      <c r="R61" s="180" t="str">
        <f aca="false">IF((D61="o"),F61," ")</f>
        <v> </v>
      </c>
      <c r="S61" s="180" t="str">
        <f aca="false">IF((D61="f"),F61," ")</f>
        <v> </v>
      </c>
      <c r="U61" s="371"/>
    </row>
    <row r="62" customFormat="false" ht="12.75" hidden="false" customHeight="false" outlineLevel="0" collapsed="false">
      <c r="D62" s="371" t="str">
        <f aca="false">IF((F62&lt;&gt;0),"Enter Letter"," ")</f>
        <v> </v>
      </c>
      <c r="G62" s="180" t="str">
        <f aca="false">IF((D62="d"),F62," ")</f>
        <v> </v>
      </c>
      <c r="H62" s="180" t="str">
        <f aca="false">IF((D62="h"),F62," ")</f>
        <v> </v>
      </c>
      <c r="I62" s="180" t="str">
        <f aca="false">IF((D62="r"),F62," ")</f>
        <v> </v>
      </c>
      <c r="J62" s="180" t="str">
        <f aca="false">IF((D62="t"),F62," ")</f>
        <v> </v>
      </c>
      <c r="K62" s="180" t="str">
        <f aca="false">IF((D62="e"),F62," ")</f>
        <v> </v>
      </c>
      <c r="L62" s="180" t="str">
        <f aca="false">IF((D62="p"),F62," ")</f>
        <v> </v>
      </c>
      <c r="M62" s="180" t="str">
        <f aca="false">IF((D62="g"),F62," ")</f>
        <v> </v>
      </c>
      <c r="N62" s="180" t="str">
        <f aca="false">IF((D62="a"),F62," ")</f>
        <v> </v>
      </c>
      <c r="O62" s="180" t="str">
        <f aca="false">IF((D62="l"),F62," ")</f>
        <v> </v>
      </c>
      <c r="P62" s="180" t="str">
        <f aca="false">IF((D62="i"),F62," ")</f>
        <v> </v>
      </c>
      <c r="Q62" s="180" t="str">
        <f aca="false">IF((D62="b"),F62," ")</f>
        <v> </v>
      </c>
      <c r="R62" s="180" t="str">
        <f aca="false">IF((D62="o"),F62," ")</f>
        <v> </v>
      </c>
      <c r="S62" s="180" t="str">
        <f aca="false">IF((D62="f"),F62," ")</f>
        <v> </v>
      </c>
      <c r="U62" s="371"/>
    </row>
    <row r="63" customFormat="false" ht="12.75" hidden="false" customHeight="false" outlineLevel="0" collapsed="false">
      <c r="D63" s="371" t="str">
        <f aca="false">IF((F63&lt;&gt;0),"Enter Letter"," ")</f>
        <v> </v>
      </c>
      <c r="G63" s="180" t="str">
        <f aca="false">IF((D63="d"),F63," ")</f>
        <v> </v>
      </c>
      <c r="H63" s="180" t="str">
        <f aca="false">IF((D63="h"),F63," ")</f>
        <v> </v>
      </c>
      <c r="I63" s="180" t="str">
        <f aca="false">IF((D63="r"),F63," ")</f>
        <v> </v>
      </c>
      <c r="J63" s="180" t="str">
        <f aca="false">IF((D63="t"),F63," ")</f>
        <v> </v>
      </c>
      <c r="K63" s="180" t="str">
        <f aca="false">IF((D63="e"),F63," ")</f>
        <v> </v>
      </c>
      <c r="L63" s="180" t="str">
        <f aca="false">IF((D63="p"),F63," ")</f>
        <v> </v>
      </c>
      <c r="M63" s="180" t="str">
        <f aca="false">IF((D63="g"),F63," ")</f>
        <v> </v>
      </c>
      <c r="N63" s="180" t="str">
        <f aca="false">IF((D63="a"),F63," ")</f>
        <v> </v>
      </c>
      <c r="O63" s="180" t="str">
        <f aca="false">IF((D63="l"),F63," ")</f>
        <v> </v>
      </c>
      <c r="P63" s="180" t="str">
        <f aca="false">IF((D63="i"),F63," ")</f>
        <v> </v>
      </c>
      <c r="Q63" s="180" t="str">
        <f aca="false">IF((D63="b"),F63," ")</f>
        <v> </v>
      </c>
      <c r="R63" s="180" t="str">
        <f aca="false">IF((D63="o"),F63," ")</f>
        <v> </v>
      </c>
      <c r="S63" s="180" t="str">
        <f aca="false">IF((D63="f"),F63," ")</f>
        <v> </v>
      </c>
      <c r="U63" s="371"/>
    </row>
    <row r="64" customFormat="false" ht="12.75" hidden="false" customHeight="false" outlineLevel="0" collapsed="false">
      <c r="D64" s="371" t="str">
        <f aca="false">IF((F64&lt;&gt;0),"Enter Letter"," ")</f>
        <v> </v>
      </c>
      <c r="G64" s="180" t="str">
        <f aca="false">IF((D64="d"),F64," ")</f>
        <v> </v>
      </c>
      <c r="H64" s="180" t="str">
        <f aca="false">IF((D64="h"),F64," ")</f>
        <v> </v>
      </c>
      <c r="I64" s="180" t="str">
        <f aca="false">IF((D64="r"),F64," ")</f>
        <v> </v>
      </c>
      <c r="J64" s="180" t="str">
        <f aca="false">IF((D64="t"),F64," ")</f>
        <v> </v>
      </c>
      <c r="K64" s="180" t="str">
        <f aca="false">IF((D64="e"),F64," ")</f>
        <v> </v>
      </c>
      <c r="L64" s="180" t="str">
        <f aca="false">IF((D64="p"),F64," ")</f>
        <v> </v>
      </c>
      <c r="M64" s="180" t="str">
        <f aca="false">IF((D64="g"),F64," ")</f>
        <v> </v>
      </c>
      <c r="N64" s="180" t="str">
        <f aca="false">IF((D64="a"),F64," ")</f>
        <v> </v>
      </c>
      <c r="O64" s="180" t="str">
        <f aca="false">IF((D64="l"),F64," ")</f>
        <v> </v>
      </c>
      <c r="P64" s="180" t="str">
        <f aca="false">IF((D64="i"),F64," ")</f>
        <v> </v>
      </c>
      <c r="Q64" s="180" t="str">
        <f aca="false">IF((D64="b"),F64," ")</f>
        <v> </v>
      </c>
      <c r="R64" s="180" t="str">
        <f aca="false">IF((D64="o"),F64," ")</f>
        <v> </v>
      </c>
      <c r="S64" s="180" t="str">
        <f aca="false">IF((D64="f"),F64," ")</f>
        <v> </v>
      </c>
      <c r="U64" s="371"/>
    </row>
    <row r="65" customFormat="false" ht="12.75" hidden="false" customHeight="false" outlineLevel="0" collapsed="false">
      <c r="D65" s="371" t="str">
        <f aca="false">IF((F65&lt;&gt;0),"Enter Letter"," ")</f>
        <v> </v>
      </c>
      <c r="G65" s="180" t="str">
        <f aca="false">IF((D65="d"),F65," ")</f>
        <v> </v>
      </c>
      <c r="H65" s="180" t="str">
        <f aca="false">IF((D65="h"),F65," ")</f>
        <v> </v>
      </c>
      <c r="I65" s="180" t="str">
        <f aca="false">IF((D65="r"),F65," ")</f>
        <v> </v>
      </c>
      <c r="J65" s="180" t="str">
        <f aca="false">IF((D65="t"),F65," ")</f>
        <v> </v>
      </c>
      <c r="K65" s="180" t="str">
        <f aca="false">IF((D65="e"),F65," ")</f>
        <v> </v>
      </c>
      <c r="L65" s="180" t="str">
        <f aca="false">IF((D65="p"),F65," ")</f>
        <v> </v>
      </c>
      <c r="M65" s="180" t="str">
        <f aca="false">IF((D65="g"),F65," ")</f>
        <v> </v>
      </c>
      <c r="N65" s="180" t="str">
        <f aca="false">IF((D65="a"),F65," ")</f>
        <v> </v>
      </c>
      <c r="O65" s="180" t="str">
        <f aca="false">IF((D65="l"),F65," ")</f>
        <v> </v>
      </c>
      <c r="P65" s="180" t="str">
        <f aca="false">IF((D65="i"),F65," ")</f>
        <v> </v>
      </c>
      <c r="Q65" s="180" t="str">
        <f aca="false">IF((D65="b"),F65," ")</f>
        <v> </v>
      </c>
      <c r="R65" s="180" t="str">
        <f aca="false">IF((D65="o"),F65," ")</f>
        <v> </v>
      </c>
      <c r="S65" s="180" t="str">
        <f aca="false">IF((D65="f"),F65," ")</f>
        <v> </v>
      </c>
      <c r="U65" s="371"/>
    </row>
    <row r="66" customFormat="false" ht="12.75" hidden="false" customHeight="false" outlineLevel="0" collapsed="false">
      <c r="D66" s="371" t="str">
        <f aca="false">IF((F66&lt;&gt;0),"Enter Letter"," ")</f>
        <v> </v>
      </c>
      <c r="G66" s="180" t="str">
        <f aca="false">IF((D66="d"),F66," ")</f>
        <v> </v>
      </c>
      <c r="H66" s="180" t="str">
        <f aca="false">IF((D66="h"),F66," ")</f>
        <v> </v>
      </c>
      <c r="I66" s="180" t="str">
        <f aca="false">IF((D66="r"),F66," ")</f>
        <v> </v>
      </c>
      <c r="J66" s="180" t="str">
        <f aca="false">IF((D66="t"),F66," ")</f>
        <v> </v>
      </c>
      <c r="K66" s="180" t="str">
        <f aca="false">IF((D66="e"),F66," ")</f>
        <v> </v>
      </c>
      <c r="L66" s="180" t="str">
        <f aca="false">IF((D66="p"),F66," ")</f>
        <v> </v>
      </c>
      <c r="M66" s="180" t="str">
        <f aca="false">IF((D66="g"),F66," ")</f>
        <v> </v>
      </c>
      <c r="N66" s="180" t="str">
        <f aca="false">IF((D66="a"),F66," ")</f>
        <v> </v>
      </c>
      <c r="O66" s="180" t="str">
        <f aca="false">IF((D66="l"),F66," ")</f>
        <v> </v>
      </c>
      <c r="P66" s="180" t="str">
        <f aca="false">IF((D66="i"),F66," ")</f>
        <v> </v>
      </c>
      <c r="Q66" s="180" t="str">
        <f aca="false">IF((D66="b"),F66," ")</f>
        <v> </v>
      </c>
      <c r="R66" s="180" t="str">
        <f aca="false">IF((D66="o"),F66," ")</f>
        <v> </v>
      </c>
      <c r="S66" s="180" t="str">
        <f aca="false">IF((D66="f"),F66," ")</f>
        <v> </v>
      </c>
      <c r="U66" s="371"/>
    </row>
    <row r="67" customFormat="false" ht="12.75" hidden="false" customHeight="false" outlineLevel="0" collapsed="false">
      <c r="D67" s="371" t="str">
        <f aca="false">IF((F67&lt;&gt;0),"Enter Letter"," ")</f>
        <v> </v>
      </c>
      <c r="G67" s="180" t="str">
        <f aca="false">IF((D67="d"),F67," ")</f>
        <v> </v>
      </c>
      <c r="H67" s="180" t="str">
        <f aca="false">IF((D67="h"),F67," ")</f>
        <v> </v>
      </c>
      <c r="I67" s="180" t="str">
        <f aca="false">IF((D67="r"),F67," ")</f>
        <v> </v>
      </c>
      <c r="J67" s="180" t="str">
        <f aca="false">IF((D67="t"),F67," ")</f>
        <v> </v>
      </c>
      <c r="K67" s="180" t="str">
        <f aca="false">IF((D67="e"),F67," ")</f>
        <v> </v>
      </c>
      <c r="L67" s="180" t="str">
        <f aca="false">IF((D67="p"),F67," ")</f>
        <v> </v>
      </c>
      <c r="M67" s="180" t="str">
        <f aca="false">IF((D67="g"),F67," ")</f>
        <v> </v>
      </c>
      <c r="N67" s="180" t="str">
        <f aca="false">IF((D67="a"),F67," ")</f>
        <v> </v>
      </c>
      <c r="O67" s="180" t="str">
        <f aca="false">IF((D67="l"),F67," ")</f>
        <v> </v>
      </c>
      <c r="P67" s="180" t="str">
        <f aca="false">IF((D67="i"),F67," ")</f>
        <v> </v>
      </c>
      <c r="Q67" s="180" t="str">
        <f aca="false">IF((D67="b"),F67," ")</f>
        <v> </v>
      </c>
      <c r="R67" s="180" t="str">
        <f aca="false">IF((D67="o"),F67," ")</f>
        <v> </v>
      </c>
      <c r="S67" s="180" t="str">
        <f aca="false">IF((D67="f"),F67," ")</f>
        <v> </v>
      </c>
      <c r="U67" s="371"/>
    </row>
    <row r="68" customFormat="false" ht="12.75" hidden="false" customHeight="false" outlineLevel="0" collapsed="false">
      <c r="D68" s="371" t="str">
        <f aca="false">IF((F68&lt;&gt;0),"Enter Letter"," ")</f>
        <v> </v>
      </c>
      <c r="G68" s="180" t="str">
        <f aca="false">IF((D68="d"),F68," ")</f>
        <v> </v>
      </c>
      <c r="H68" s="180" t="str">
        <f aca="false">IF((D68="h"),F68," ")</f>
        <v> </v>
      </c>
      <c r="I68" s="180" t="str">
        <f aca="false">IF((D68="r"),F68," ")</f>
        <v> </v>
      </c>
      <c r="J68" s="180" t="str">
        <f aca="false">IF((D68="t"),F68," ")</f>
        <v> </v>
      </c>
      <c r="K68" s="180" t="str">
        <f aca="false">IF((D68="e"),F68," ")</f>
        <v> </v>
      </c>
      <c r="L68" s="180" t="str">
        <f aca="false">IF((D68="p"),F68," ")</f>
        <v> </v>
      </c>
      <c r="M68" s="180" t="str">
        <f aca="false">IF((D68="g"),F68," ")</f>
        <v> </v>
      </c>
      <c r="N68" s="180" t="str">
        <f aca="false">IF((D68="a"),F68," ")</f>
        <v> </v>
      </c>
      <c r="O68" s="180" t="str">
        <f aca="false">IF((D68="l"),F68," ")</f>
        <v> </v>
      </c>
      <c r="P68" s="180" t="str">
        <f aca="false">IF((D68="i"),F68," ")</f>
        <v> </v>
      </c>
      <c r="Q68" s="180" t="str">
        <f aca="false">IF((D68="b"),F68," ")</f>
        <v> </v>
      </c>
      <c r="R68" s="180" t="str">
        <f aca="false">IF((D68="o"),F68," ")</f>
        <v> </v>
      </c>
      <c r="S68" s="180" t="str">
        <f aca="false">IF((D68="f"),F68," ")</f>
        <v> </v>
      </c>
      <c r="U68" s="371"/>
    </row>
    <row r="69" customFormat="false" ht="12.75" hidden="false" customHeight="false" outlineLevel="0" collapsed="false">
      <c r="D69" s="371" t="str">
        <f aca="false">IF((F69&lt;&gt;0),"Enter Letter"," ")</f>
        <v> </v>
      </c>
      <c r="G69" s="180" t="str">
        <f aca="false">IF((D69="d"),F69," ")</f>
        <v> </v>
      </c>
      <c r="H69" s="180" t="str">
        <f aca="false">IF((D69="h"),F69," ")</f>
        <v> </v>
      </c>
      <c r="I69" s="180" t="str">
        <f aca="false">IF((D69="r"),F69," ")</f>
        <v> </v>
      </c>
      <c r="J69" s="180" t="str">
        <f aca="false">IF((D69="t"),F69," ")</f>
        <v> </v>
      </c>
      <c r="K69" s="180" t="str">
        <f aca="false">IF((D69="e"),F69," ")</f>
        <v> </v>
      </c>
      <c r="L69" s="180" t="str">
        <f aca="false">IF((D69="p"),F69," ")</f>
        <v> </v>
      </c>
      <c r="M69" s="180" t="str">
        <f aca="false">IF((D69="g"),F69," ")</f>
        <v> </v>
      </c>
      <c r="N69" s="180" t="str">
        <f aca="false">IF((D69="a"),F69," ")</f>
        <v> </v>
      </c>
      <c r="O69" s="180" t="str">
        <f aca="false">IF((D69="l"),F69," ")</f>
        <v> </v>
      </c>
      <c r="P69" s="180" t="str">
        <f aca="false">IF((D69="i"),F69," ")</f>
        <v> </v>
      </c>
      <c r="Q69" s="180" t="str">
        <f aca="false">IF((D69="b"),F69," ")</f>
        <v> </v>
      </c>
      <c r="R69" s="180" t="str">
        <f aca="false">IF((D69="o"),F69," ")</f>
        <v> </v>
      </c>
      <c r="S69" s="180" t="str">
        <f aca="false">IF((D69="f"),F69," ")</f>
        <v> </v>
      </c>
      <c r="U69" s="371"/>
    </row>
    <row r="70" customFormat="false" ht="12.75" hidden="false" customHeight="false" outlineLevel="0" collapsed="false">
      <c r="D70" s="371" t="str">
        <f aca="false">IF((F70&lt;&gt;0),"Enter Letter"," ")</f>
        <v> </v>
      </c>
      <c r="G70" s="180" t="str">
        <f aca="false">IF((D70="d"),F70," ")</f>
        <v> </v>
      </c>
      <c r="H70" s="180" t="str">
        <f aca="false">IF((D70="h"),F70," ")</f>
        <v> </v>
      </c>
      <c r="I70" s="180" t="str">
        <f aca="false">IF((D70="r"),F70," ")</f>
        <v> </v>
      </c>
      <c r="J70" s="180" t="str">
        <f aca="false">IF((D70="t"),F70," ")</f>
        <v> </v>
      </c>
      <c r="K70" s="180" t="str">
        <f aca="false">IF((D70="e"),F70," ")</f>
        <v> </v>
      </c>
      <c r="L70" s="180" t="str">
        <f aca="false">IF((D70="p"),F70," ")</f>
        <v> </v>
      </c>
      <c r="M70" s="180" t="str">
        <f aca="false">IF((D70="g"),F70," ")</f>
        <v> </v>
      </c>
      <c r="N70" s="180" t="str">
        <f aca="false">IF((D70="a"),F70," ")</f>
        <v> </v>
      </c>
      <c r="O70" s="180" t="str">
        <f aca="false">IF((D70="l"),F70," ")</f>
        <v> </v>
      </c>
      <c r="P70" s="180" t="str">
        <f aca="false">IF((D70="i"),F70," ")</f>
        <v> </v>
      </c>
      <c r="Q70" s="180" t="str">
        <f aca="false">IF((D70="b"),F70," ")</f>
        <v> </v>
      </c>
      <c r="R70" s="180" t="str">
        <f aca="false">IF((D70="o"),F70," ")</f>
        <v> </v>
      </c>
      <c r="S70" s="180" t="str">
        <f aca="false">IF((D70="f"),F70," ")</f>
        <v> </v>
      </c>
      <c r="U70" s="371"/>
    </row>
    <row r="71" customFormat="false" ht="12.75" hidden="false" customHeight="false" outlineLevel="0" collapsed="false">
      <c r="D71" s="371" t="str">
        <f aca="false">IF((F71&lt;&gt;0),"Enter Letter"," ")</f>
        <v> </v>
      </c>
      <c r="G71" s="180" t="str">
        <f aca="false">IF((D71="d"),F71," ")</f>
        <v> </v>
      </c>
      <c r="H71" s="180" t="str">
        <f aca="false">IF((D71="h"),F71," ")</f>
        <v> </v>
      </c>
      <c r="I71" s="180" t="str">
        <f aca="false">IF((D71="r"),F71," ")</f>
        <v> </v>
      </c>
      <c r="J71" s="180" t="str">
        <f aca="false">IF((D71="t"),F71," ")</f>
        <v> </v>
      </c>
      <c r="K71" s="180" t="str">
        <f aca="false">IF((D71="e"),F71," ")</f>
        <v> </v>
      </c>
      <c r="L71" s="180" t="str">
        <f aca="false">IF((D71="p"),F71," ")</f>
        <v> </v>
      </c>
      <c r="M71" s="180" t="str">
        <f aca="false">IF((D71="g"),F71," ")</f>
        <v> </v>
      </c>
      <c r="N71" s="180" t="str">
        <f aca="false">IF((D71="a"),F71," ")</f>
        <v> </v>
      </c>
      <c r="O71" s="180" t="str">
        <f aca="false">IF((D71="l"),F71," ")</f>
        <v> </v>
      </c>
      <c r="P71" s="180" t="str">
        <f aca="false">IF((D71="i"),F71," ")</f>
        <v> </v>
      </c>
      <c r="Q71" s="180" t="str">
        <f aca="false">IF((D71="b"),F71," ")</f>
        <v> </v>
      </c>
      <c r="R71" s="180" t="str">
        <f aca="false">IF((D71="o"),F71," ")</f>
        <v> </v>
      </c>
      <c r="S71" s="180" t="str">
        <f aca="false">IF((D71="f"),F71," ")</f>
        <v> </v>
      </c>
      <c r="U71" s="371"/>
    </row>
    <row r="72" customFormat="false" ht="12.75" hidden="false" customHeight="false" outlineLevel="0" collapsed="false">
      <c r="D72" s="371" t="str">
        <f aca="false">IF((F72&lt;&gt;0),"Enter Letter"," ")</f>
        <v> </v>
      </c>
      <c r="G72" s="180" t="str">
        <f aca="false">IF((D72="d"),F72," ")</f>
        <v> </v>
      </c>
      <c r="H72" s="180" t="str">
        <f aca="false">IF((D72="h"),F72," ")</f>
        <v> </v>
      </c>
      <c r="I72" s="180" t="str">
        <f aca="false">IF((D72="r"),F72," ")</f>
        <v> </v>
      </c>
      <c r="J72" s="180" t="str">
        <f aca="false">IF((D72="t"),F72," ")</f>
        <v> </v>
      </c>
      <c r="K72" s="180" t="str">
        <f aca="false">IF((D72="e"),F72," ")</f>
        <v> </v>
      </c>
      <c r="L72" s="180" t="str">
        <f aca="false">IF((D72="p"),F72," ")</f>
        <v> </v>
      </c>
      <c r="M72" s="180" t="str">
        <f aca="false">IF((D72="g"),F72," ")</f>
        <v> </v>
      </c>
      <c r="N72" s="180" t="str">
        <f aca="false">IF((D72="a"),F72," ")</f>
        <v> </v>
      </c>
      <c r="O72" s="180" t="str">
        <f aca="false">IF((D72="l"),F72," ")</f>
        <v> </v>
      </c>
      <c r="P72" s="180" t="str">
        <f aca="false">IF((D72="i"),F72," ")</f>
        <v> </v>
      </c>
      <c r="Q72" s="180" t="str">
        <f aca="false">IF((D72="b"),F72," ")</f>
        <v> </v>
      </c>
      <c r="R72" s="180" t="str">
        <f aca="false">IF((D72="o"),F72," ")</f>
        <v> </v>
      </c>
      <c r="S72" s="180" t="str">
        <f aca="false">IF((D72="f"),F72," ")</f>
        <v> </v>
      </c>
      <c r="U72" s="371"/>
    </row>
    <row r="73" customFormat="false" ht="12.75" hidden="false" customHeight="false" outlineLevel="0" collapsed="false">
      <c r="D73" s="371" t="str">
        <f aca="false">IF((F73&lt;&gt;0),"Enter Letter"," ")</f>
        <v> </v>
      </c>
      <c r="G73" s="180" t="str">
        <f aca="false">IF((D73="d"),F73," ")</f>
        <v> </v>
      </c>
      <c r="H73" s="180" t="str">
        <f aca="false">IF((D73="h"),F73," ")</f>
        <v> </v>
      </c>
      <c r="I73" s="180" t="str">
        <f aca="false">IF((D73="r"),F73," ")</f>
        <v> </v>
      </c>
      <c r="J73" s="180" t="str">
        <f aca="false">IF((D73="t"),F73," ")</f>
        <v> </v>
      </c>
      <c r="K73" s="180" t="str">
        <f aca="false">IF((D73="e"),F73," ")</f>
        <v> </v>
      </c>
      <c r="L73" s="180" t="str">
        <f aca="false">IF((D73="p"),F73," ")</f>
        <v> </v>
      </c>
      <c r="M73" s="180" t="str">
        <f aca="false">IF((D73="g"),F73," ")</f>
        <v> </v>
      </c>
      <c r="N73" s="180" t="str">
        <f aca="false">IF((D73="a"),F73," ")</f>
        <v> </v>
      </c>
      <c r="O73" s="180" t="str">
        <f aca="false">IF((D73="l"),F73," ")</f>
        <v> </v>
      </c>
      <c r="P73" s="180" t="str">
        <f aca="false">IF((D73="i"),F73," ")</f>
        <v> </v>
      </c>
      <c r="Q73" s="180" t="str">
        <f aca="false">IF((D73="b"),F73," ")</f>
        <v> </v>
      </c>
      <c r="R73" s="180" t="str">
        <f aca="false">IF((D73="o"),F73," ")</f>
        <v> </v>
      </c>
      <c r="S73" s="180" t="str">
        <f aca="false">IF((D73="f"),F73," ")</f>
        <v> </v>
      </c>
      <c r="U73" s="371"/>
    </row>
    <row r="74" customFormat="false" ht="12.75" hidden="false" customHeight="false" outlineLevel="0" collapsed="false">
      <c r="D74" s="371" t="str">
        <f aca="false">IF((F74&lt;&gt;0),"Enter Letter"," ")</f>
        <v> </v>
      </c>
      <c r="G74" s="180" t="str">
        <f aca="false">IF((D74="d"),F74," ")</f>
        <v> </v>
      </c>
      <c r="H74" s="180" t="str">
        <f aca="false">IF((D74="h"),F74," ")</f>
        <v> </v>
      </c>
      <c r="I74" s="180" t="str">
        <f aca="false">IF((D74="r"),F74," ")</f>
        <v> </v>
      </c>
      <c r="J74" s="180" t="str">
        <f aca="false">IF((D74="t"),F74," ")</f>
        <v> </v>
      </c>
      <c r="K74" s="180" t="str">
        <f aca="false">IF((D74="e"),F74," ")</f>
        <v> </v>
      </c>
      <c r="L74" s="180" t="str">
        <f aca="false">IF((D74="p"),F74," ")</f>
        <v> </v>
      </c>
      <c r="M74" s="180" t="str">
        <f aca="false">IF((D74="g"),F74," ")</f>
        <v> </v>
      </c>
      <c r="N74" s="180" t="str">
        <f aca="false">IF((D74="a"),F74," ")</f>
        <v> </v>
      </c>
      <c r="O74" s="180" t="str">
        <f aca="false">IF((D74="l"),F74," ")</f>
        <v> </v>
      </c>
      <c r="P74" s="180" t="str">
        <f aca="false">IF((D74="i"),F74," ")</f>
        <v> </v>
      </c>
      <c r="Q74" s="180" t="str">
        <f aca="false">IF((D74="b"),F74," ")</f>
        <v> </v>
      </c>
      <c r="R74" s="180" t="str">
        <f aca="false">IF((D74="o"),F74," ")</f>
        <v> </v>
      </c>
      <c r="S74" s="180" t="str">
        <f aca="false">IF((D74="f"),F74," ")</f>
        <v> </v>
      </c>
      <c r="U74" s="371"/>
    </row>
    <row r="75" customFormat="false" ht="12.75" hidden="false" customHeight="false" outlineLevel="0" collapsed="false">
      <c r="D75" s="371" t="str">
        <f aca="false">IF((F75&lt;&gt;0),"Enter Letter"," ")</f>
        <v> </v>
      </c>
      <c r="G75" s="180" t="str">
        <f aca="false">IF((D75="d"),F75," ")</f>
        <v> </v>
      </c>
      <c r="H75" s="180" t="str">
        <f aca="false">IF((D75="h"),F75," ")</f>
        <v> </v>
      </c>
      <c r="I75" s="180" t="str">
        <f aca="false">IF((D75="r"),F75," ")</f>
        <v> </v>
      </c>
      <c r="J75" s="180" t="str">
        <f aca="false">IF((D75="t"),F75," ")</f>
        <v> </v>
      </c>
      <c r="K75" s="180" t="str">
        <f aca="false">IF((D75="e"),F75," ")</f>
        <v> </v>
      </c>
      <c r="L75" s="180" t="str">
        <f aca="false">IF((D75="p"),F75," ")</f>
        <v> </v>
      </c>
      <c r="M75" s="180" t="str">
        <f aca="false">IF((D75="g"),F75," ")</f>
        <v> </v>
      </c>
      <c r="N75" s="180" t="str">
        <f aca="false">IF((D75="a"),F75," ")</f>
        <v> </v>
      </c>
      <c r="O75" s="180" t="str">
        <f aca="false">IF((D75="l"),F75," ")</f>
        <v> </v>
      </c>
      <c r="P75" s="180" t="str">
        <f aca="false">IF((D75="i"),F75," ")</f>
        <v> </v>
      </c>
      <c r="Q75" s="180" t="str">
        <f aca="false">IF((D75="b"),F75," ")</f>
        <v> </v>
      </c>
      <c r="R75" s="180" t="str">
        <f aca="false">IF((D75="o"),F75," ")</f>
        <v> </v>
      </c>
      <c r="S75" s="180" t="str">
        <f aca="false">IF((D75="f"),F75," ")</f>
        <v> </v>
      </c>
      <c r="U75" s="371"/>
    </row>
    <row r="76" customFormat="false" ht="12.75" hidden="false" customHeight="false" outlineLevel="0" collapsed="false">
      <c r="D76" s="371" t="str">
        <f aca="false">IF((F76&lt;&gt;0),"Enter Letter"," ")</f>
        <v> </v>
      </c>
      <c r="G76" s="180" t="str">
        <f aca="false">IF((D76="d"),F76," ")</f>
        <v> </v>
      </c>
      <c r="H76" s="180" t="str">
        <f aca="false">IF((D76="h"),F76," ")</f>
        <v> </v>
      </c>
      <c r="I76" s="180" t="str">
        <f aca="false">IF((D76="r"),F76," ")</f>
        <v> </v>
      </c>
      <c r="J76" s="180" t="str">
        <f aca="false">IF((D76="t"),F76," ")</f>
        <v> </v>
      </c>
      <c r="K76" s="180" t="str">
        <f aca="false">IF((D76="e"),F76," ")</f>
        <v> </v>
      </c>
      <c r="L76" s="180" t="str">
        <f aca="false">IF((D76="p"),F76," ")</f>
        <v> </v>
      </c>
      <c r="M76" s="180" t="str">
        <f aca="false">IF((D76="g"),F76," ")</f>
        <v> </v>
      </c>
      <c r="N76" s="180" t="str">
        <f aca="false">IF((D76="a"),F76," ")</f>
        <v> </v>
      </c>
      <c r="O76" s="180" t="str">
        <f aca="false">IF((D76="l"),F76," ")</f>
        <v> </v>
      </c>
      <c r="P76" s="180" t="str">
        <f aca="false">IF((D76="i"),F76," ")</f>
        <v> </v>
      </c>
      <c r="Q76" s="180" t="str">
        <f aca="false">IF((D76="b"),F76," ")</f>
        <v> </v>
      </c>
      <c r="R76" s="180" t="str">
        <f aca="false">IF((D76="o"),F76," ")</f>
        <v> </v>
      </c>
      <c r="S76" s="180" t="str">
        <f aca="false">IF((D76="f"),F76," ")</f>
        <v> </v>
      </c>
      <c r="U76" s="371"/>
    </row>
    <row r="77" customFormat="false" ht="12.75" hidden="false" customHeight="false" outlineLevel="0" collapsed="false">
      <c r="D77" s="371" t="str">
        <f aca="false">IF((F77&lt;&gt;0),"Enter Letter"," ")</f>
        <v> </v>
      </c>
      <c r="G77" s="180" t="str">
        <f aca="false">IF((D77="d"),F77," ")</f>
        <v> </v>
      </c>
      <c r="H77" s="180" t="str">
        <f aca="false">IF((D77="h"),F77," ")</f>
        <v> </v>
      </c>
      <c r="I77" s="180" t="str">
        <f aca="false">IF((D77="r"),F77," ")</f>
        <v> </v>
      </c>
      <c r="J77" s="180" t="str">
        <f aca="false">IF((D77="t"),F77," ")</f>
        <v> </v>
      </c>
      <c r="K77" s="180" t="str">
        <f aca="false">IF((D77="e"),F77," ")</f>
        <v> </v>
      </c>
      <c r="L77" s="180" t="str">
        <f aca="false">IF((D77="p"),F77," ")</f>
        <v> </v>
      </c>
      <c r="M77" s="180" t="str">
        <f aca="false">IF((D77="g"),F77," ")</f>
        <v> </v>
      </c>
      <c r="N77" s="180" t="str">
        <f aca="false">IF((D77="a"),F77," ")</f>
        <v> </v>
      </c>
      <c r="O77" s="180" t="str">
        <f aca="false">IF((D77="l"),F77," ")</f>
        <v> </v>
      </c>
      <c r="P77" s="180" t="str">
        <f aca="false">IF((D77="i"),F77," ")</f>
        <v> </v>
      </c>
      <c r="Q77" s="180" t="str">
        <f aca="false">IF((D77="b"),F77," ")</f>
        <v> </v>
      </c>
      <c r="R77" s="180" t="str">
        <f aca="false">IF((D77="o"),F77," ")</f>
        <v> </v>
      </c>
      <c r="S77" s="180" t="str">
        <f aca="false">IF((D77="f"),F77," ")</f>
        <v> </v>
      </c>
      <c r="U77" s="371"/>
    </row>
    <row r="78" customFormat="false" ht="12.75" hidden="false" customHeight="false" outlineLevel="0" collapsed="false">
      <c r="D78" s="371" t="str">
        <f aca="false">IF((F78&lt;&gt;0),"Enter Letter"," ")</f>
        <v> </v>
      </c>
      <c r="G78" s="180" t="str">
        <f aca="false">IF((D78="d"),F78," ")</f>
        <v> </v>
      </c>
      <c r="H78" s="180" t="str">
        <f aca="false">IF((D78="h"),F78," ")</f>
        <v> </v>
      </c>
      <c r="I78" s="180" t="str">
        <f aca="false">IF((D78="r"),F78," ")</f>
        <v> </v>
      </c>
      <c r="J78" s="180" t="str">
        <f aca="false">IF((D78="t"),F78," ")</f>
        <v> </v>
      </c>
      <c r="K78" s="180" t="str">
        <f aca="false">IF((D78="e"),F78," ")</f>
        <v> </v>
      </c>
      <c r="L78" s="180" t="str">
        <f aca="false">IF((D78="p"),F78," ")</f>
        <v> </v>
      </c>
      <c r="M78" s="180" t="str">
        <f aca="false">IF((D78="g"),F78," ")</f>
        <v> </v>
      </c>
      <c r="N78" s="180" t="str">
        <f aca="false">IF((D78="a"),F78," ")</f>
        <v> </v>
      </c>
      <c r="O78" s="180" t="str">
        <f aca="false">IF((D78="l"),F78," ")</f>
        <v> </v>
      </c>
      <c r="P78" s="180" t="str">
        <f aca="false">IF((D78="i"),F78," ")</f>
        <v> </v>
      </c>
      <c r="Q78" s="180" t="str">
        <f aca="false">IF((D78="b"),F78," ")</f>
        <v> </v>
      </c>
      <c r="R78" s="180" t="str">
        <f aca="false">IF((D78="o"),F78," ")</f>
        <v> </v>
      </c>
      <c r="S78" s="180" t="str">
        <f aca="false">IF((D78="f"),F78," ")</f>
        <v> </v>
      </c>
      <c r="U78" s="371"/>
    </row>
    <row r="79" customFormat="false" ht="12.75" hidden="false" customHeight="false" outlineLevel="0" collapsed="false">
      <c r="D79" s="371" t="str">
        <f aca="false">IF((F79&lt;&gt;0),"Enter Letter"," ")</f>
        <v> </v>
      </c>
      <c r="G79" s="180" t="str">
        <f aca="false">IF((D79="d"),F79," ")</f>
        <v> </v>
      </c>
      <c r="H79" s="180" t="str">
        <f aca="false">IF((D79="h"),F79," ")</f>
        <v> </v>
      </c>
      <c r="I79" s="180" t="str">
        <f aca="false">IF((D79="r"),F79," ")</f>
        <v> </v>
      </c>
      <c r="J79" s="180" t="str">
        <f aca="false">IF((D79="t"),F79," ")</f>
        <v> </v>
      </c>
      <c r="K79" s="180" t="str">
        <f aca="false">IF((D79="e"),F79," ")</f>
        <v> </v>
      </c>
      <c r="L79" s="180" t="str">
        <f aca="false">IF((D79="p"),F79," ")</f>
        <v> </v>
      </c>
      <c r="M79" s="180" t="str">
        <f aca="false">IF((D79="g"),F79," ")</f>
        <v> </v>
      </c>
      <c r="N79" s="180" t="str">
        <f aca="false">IF((D79="a"),F79," ")</f>
        <v> </v>
      </c>
      <c r="O79" s="180" t="str">
        <f aca="false">IF((D79="l"),F79," ")</f>
        <v> </v>
      </c>
      <c r="P79" s="180" t="str">
        <f aca="false">IF((D79="i"),F79," ")</f>
        <v> </v>
      </c>
      <c r="Q79" s="180" t="str">
        <f aca="false">IF((D79="b"),F79," ")</f>
        <v> </v>
      </c>
      <c r="R79" s="180" t="str">
        <f aca="false">IF((D79="o"),F79," ")</f>
        <v> </v>
      </c>
      <c r="S79" s="180" t="str">
        <f aca="false">IF((D79="f"),F79," ")</f>
        <v> </v>
      </c>
      <c r="U79" s="371"/>
    </row>
    <row r="80" customFormat="false" ht="12.75" hidden="false" customHeight="false" outlineLevel="0" collapsed="false">
      <c r="D80" s="371" t="str">
        <f aca="false">IF((F80&lt;&gt;0),"Enter Letter"," ")</f>
        <v> </v>
      </c>
      <c r="G80" s="180" t="str">
        <f aca="false">IF((D80="d"),F80," ")</f>
        <v> </v>
      </c>
      <c r="H80" s="180" t="str">
        <f aca="false">IF((D80="h"),F80," ")</f>
        <v> </v>
      </c>
      <c r="I80" s="180" t="str">
        <f aca="false">IF((D80="r"),F80," ")</f>
        <v> </v>
      </c>
      <c r="J80" s="180" t="str">
        <f aca="false">IF((D80="t"),F80," ")</f>
        <v> </v>
      </c>
      <c r="K80" s="180" t="str">
        <f aca="false">IF((D80="e"),F80," ")</f>
        <v> </v>
      </c>
      <c r="L80" s="180" t="str">
        <f aca="false">IF((D80="p"),F80," ")</f>
        <v> </v>
      </c>
      <c r="M80" s="180" t="str">
        <f aca="false">IF((D80="g"),F80," ")</f>
        <v> </v>
      </c>
      <c r="N80" s="180" t="str">
        <f aca="false">IF((D80="a"),F80," ")</f>
        <v> </v>
      </c>
      <c r="O80" s="180" t="str">
        <f aca="false">IF((D80="l"),F80," ")</f>
        <v> </v>
      </c>
      <c r="P80" s="180" t="str">
        <f aca="false">IF((D80="i"),F80," ")</f>
        <v> </v>
      </c>
      <c r="Q80" s="180" t="str">
        <f aca="false">IF((D80="b"),F80," ")</f>
        <v> </v>
      </c>
      <c r="R80" s="180" t="str">
        <f aca="false">IF((D80="o"),F80," ")</f>
        <v> </v>
      </c>
      <c r="S80" s="180" t="str">
        <f aca="false">IF((D80="f"),F80," ")</f>
        <v> </v>
      </c>
      <c r="U80" s="371"/>
    </row>
    <row r="81" customFormat="false" ht="12.75" hidden="false" customHeight="false" outlineLevel="0" collapsed="false">
      <c r="D81" s="371" t="str">
        <f aca="false">IF((F81&lt;&gt;0),"Enter Letter"," ")</f>
        <v> </v>
      </c>
      <c r="G81" s="180" t="str">
        <f aca="false">IF((D81="d"),F81," ")</f>
        <v> </v>
      </c>
      <c r="H81" s="180" t="str">
        <f aca="false">IF((D81="h"),F81," ")</f>
        <v> </v>
      </c>
      <c r="I81" s="180" t="str">
        <f aca="false">IF((D81="r"),F81," ")</f>
        <v> </v>
      </c>
      <c r="J81" s="180" t="str">
        <f aca="false">IF((D81="t"),F81," ")</f>
        <v> </v>
      </c>
      <c r="K81" s="180" t="str">
        <f aca="false">IF((D81="e"),F81," ")</f>
        <v> </v>
      </c>
      <c r="L81" s="180" t="str">
        <f aca="false">IF((D81="p"),F81," ")</f>
        <v> </v>
      </c>
      <c r="M81" s="180" t="str">
        <f aca="false">IF((D81="g"),F81," ")</f>
        <v> </v>
      </c>
      <c r="N81" s="180" t="str">
        <f aca="false">IF((D81="a"),F81," ")</f>
        <v> </v>
      </c>
      <c r="O81" s="180" t="str">
        <f aca="false">IF((D81="l"),F81," ")</f>
        <v> </v>
      </c>
      <c r="P81" s="180" t="str">
        <f aca="false">IF((D81="i"),F81," ")</f>
        <v> </v>
      </c>
      <c r="Q81" s="180" t="str">
        <f aca="false">IF((D81="b"),F81," ")</f>
        <v> </v>
      </c>
      <c r="R81" s="180" t="str">
        <f aca="false">IF((D81="o"),F81," ")</f>
        <v> </v>
      </c>
      <c r="S81" s="180" t="str">
        <f aca="false">IF((D81="f"),F81," ")</f>
        <v> </v>
      </c>
      <c r="U81" s="371"/>
    </row>
    <row r="82" customFormat="false" ht="12.75" hidden="false" customHeight="false" outlineLevel="0" collapsed="false">
      <c r="D82" s="371" t="str">
        <f aca="false">IF((F82&lt;&gt;0),"Enter Letter"," ")</f>
        <v> </v>
      </c>
      <c r="G82" s="180" t="str">
        <f aca="false">IF((D82="d"),F82," ")</f>
        <v> </v>
      </c>
      <c r="H82" s="180" t="str">
        <f aca="false">IF((D82="h"),F82," ")</f>
        <v> </v>
      </c>
      <c r="I82" s="180" t="str">
        <f aca="false">IF((D82="r"),F82," ")</f>
        <v> </v>
      </c>
      <c r="J82" s="180" t="str">
        <f aca="false">IF((D82="t"),F82," ")</f>
        <v> </v>
      </c>
      <c r="K82" s="180" t="str">
        <f aca="false">IF((D82="e"),F82," ")</f>
        <v> </v>
      </c>
      <c r="L82" s="180" t="str">
        <f aca="false">IF((D82="p"),F82," ")</f>
        <v> </v>
      </c>
      <c r="M82" s="180" t="str">
        <f aca="false">IF((D82="g"),F82," ")</f>
        <v> </v>
      </c>
      <c r="N82" s="180" t="str">
        <f aca="false">IF((D82="a"),F82," ")</f>
        <v> </v>
      </c>
      <c r="O82" s="180" t="str">
        <f aca="false">IF((D82="l"),F82," ")</f>
        <v> </v>
      </c>
      <c r="P82" s="180" t="str">
        <f aca="false">IF((D82="i"),F82," ")</f>
        <v> </v>
      </c>
      <c r="Q82" s="180" t="str">
        <f aca="false">IF((D82="b"),F82," ")</f>
        <v> </v>
      </c>
      <c r="R82" s="180" t="str">
        <f aca="false">IF((D82="o"),F82," ")</f>
        <v> </v>
      </c>
      <c r="S82" s="180" t="str">
        <f aca="false">IF((D82="f"),F82," ")</f>
        <v> </v>
      </c>
      <c r="U82" s="371"/>
    </row>
    <row r="83" customFormat="false" ht="12.75" hidden="false" customHeight="false" outlineLevel="0" collapsed="false">
      <c r="D83" s="371" t="str">
        <f aca="false">IF((F83&lt;&gt;0),"Enter Letter"," ")</f>
        <v> </v>
      </c>
      <c r="G83" s="180" t="str">
        <f aca="false">IF((D83="d"),F83," ")</f>
        <v> </v>
      </c>
      <c r="H83" s="180" t="str">
        <f aca="false">IF((D83="h"),F83," ")</f>
        <v> </v>
      </c>
      <c r="I83" s="180" t="str">
        <f aca="false">IF((D83="r"),F83," ")</f>
        <v> </v>
      </c>
      <c r="J83" s="180" t="str">
        <f aca="false">IF((D83="t"),F83," ")</f>
        <v> </v>
      </c>
      <c r="K83" s="180" t="str">
        <f aca="false">IF((D83="e"),F83," ")</f>
        <v> </v>
      </c>
      <c r="L83" s="180" t="str">
        <f aca="false">IF((D83="p"),F83," ")</f>
        <v> </v>
      </c>
      <c r="M83" s="180" t="str">
        <f aca="false">IF((D83="g"),F83," ")</f>
        <v> </v>
      </c>
      <c r="N83" s="180" t="str">
        <f aca="false">IF((D83="a"),F83," ")</f>
        <v> </v>
      </c>
      <c r="O83" s="180" t="str">
        <f aca="false">IF((D83="l"),F83," ")</f>
        <v> </v>
      </c>
      <c r="P83" s="180" t="str">
        <f aca="false">IF((D83="i"),F83," ")</f>
        <v> </v>
      </c>
      <c r="Q83" s="180" t="str">
        <f aca="false">IF((D83="b"),F83," ")</f>
        <v> </v>
      </c>
      <c r="R83" s="180" t="str">
        <f aca="false">IF((D83="o"),F83," ")</f>
        <v> </v>
      </c>
      <c r="S83" s="180" t="str">
        <f aca="false">IF((D83="f"),F83," ")</f>
        <v> </v>
      </c>
      <c r="U83" s="371"/>
    </row>
    <row r="84" customFormat="false" ht="12.75" hidden="false" customHeight="false" outlineLevel="0" collapsed="false">
      <c r="D84" s="371" t="str">
        <f aca="false">IF((F84&lt;&gt;0),"Enter Letter"," ")</f>
        <v> </v>
      </c>
      <c r="G84" s="180" t="str">
        <f aca="false">IF((D84="d"),F84," ")</f>
        <v> </v>
      </c>
      <c r="H84" s="180" t="str">
        <f aca="false">IF((D84="h"),F84," ")</f>
        <v> </v>
      </c>
      <c r="I84" s="180" t="str">
        <f aca="false">IF((D84="r"),F84," ")</f>
        <v> </v>
      </c>
      <c r="J84" s="180" t="str">
        <f aca="false">IF((D84="t"),F84," ")</f>
        <v> </v>
      </c>
      <c r="K84" s="180" t="str">
        <f aca="false">IF((D84="e"),F84," ")</f>
        <v> </v>
      </c>
      <c r="L84" s="180" t="str">
        <f aca="false">IF((D84="p"),F84," ")</f>
        <v> </v>
      </c>
      <c r="M84" s="180" t="str">
        <f aca="false">IF((D84="g"),F84," ")</f>
        <v> </v>
      </c>
      <c r="N84" s="180" t="str">
        <f aca="false">IF((D84="a"),F84," ")</f>
        <v> </v>
      </c>
      <c r="O84" s="180" t="str">
        <f aca="false">IF((D84="l"),F84," ")</f>
        <v> </v>
      </c>
      <c r="P84" s="180" t="str">
        <f aca="false">IF((D84="i"),F84," ")</f>
        <v> </v>
      </c>
      <c r="Q84" s="180" t="str">
        <f aca="false">IF((D84="b"),F84," ")</f>
        <v> </v>
      </c>
      <c r="R84" s="180" t="str">
        <f aca="false">IF((D84="o"),F84," ")</f>
        <v> </v>
      </c>
      <c r="S84" s="180" t="str">
        <f aca="false">IF((D84="f"),F84," ")</f>
        <v> </v>
      </c>
      <c r="U84" s="371"/>
    </row>
    <row r="85" customFormat="false" ht="12.75" hidden="false" customHeight="false" outlineLevel="0" collapsed="false">
      <c r="D85" s="371" t="str">
        <f aca="false">IF((F85&lt;&gt;0),"Enter Letter"," ")</f>
        <v> </v>
      </c>
      <c r="G85" s="180" t="str">
        <f aca="false">IF((D85="d"),F85," ")</f>
        <v> </v>
      </c>
      <c r="H85" s="180" t="str">
        <f aca="false">IF((D85="h"),F85," ")</f>
        <v> </v>
      </c>
      <c r="I85" s="180" t="str">
        <f aca="false">IF((D85="r"),F85," ")</f>
        <v> </v>
      </c>
      <c r="J85" s="180" t="str">
        <f aca="false">IF((D85="t"),F85," ")</f>
        <v> </v>
      </c>
      <c r="K85" s="180" t="str">
        <f aca="false">IF((D85="e"),F85," ")</f>
        <v> </v>
      </c>
      <c r="L85" s="180" t="str">
        <f aca="false">IF((D85="p"),F85," ")</f>
        <v> </v>
      </c>
      <c r="M85" s="180" t="str">
        <f aca="false">IF((D85="g"),F85," ")</f>
        <v> </v>
      </c>
      <c r="N85" s="180" t="str">
        <f aca="false">IF((D85="a"),F85," ")</f>
        <v> </v>
      </c>
      <c r="O85" s="180" t="str">
        <f aca="false">IF((D85="l"),F85," ")</f>
        <v> </v>
      </c>
      <c r="P85" s="180" t="str">
        <f aca="false">IF((D85="i"),F85," ")</f>
        <v> </v>
      </c>
      <c r="Q85" s="180" t="str">
        <f aca="false">IF((D85="b"),F85," ")</f>
        <v> </v>
      </c>
      <c r="R85" s="180" t="str">
        <f aca="false">IF((D85="o"),F85," ")</f>
        <v> </v>
      </c>
      <c r="S85" s="180" t="str">
        <f aca="false">IF((D85="f"),F85," ")</f>
        <v> </v>
      </c>
      <c r="U85" s="371"/>
    </row>
    <row r="86" customFormat="false" ht="12.75" hidden="false" customHeight="false" outlineLevel="0" collapsed="false">
      <c r="D86" s="371" t="str">
        <f aca="false">IF((F86&lt;&gt;0),"Enter Letter"," ")</f>
        <v> </v>
      </c>
      <c r="G86" s="180" t="str">
        <f aca="false">IF((D86="d"),F86," ")</f>
        <v> </v>
      </c>
      <c r="H86" s="180" t="str">
        <f aca="false">IF((D86="h"),F86," ")</f>
        <v> </v>
      </c>
      <c r="I86" s="180" t="str">
        <f aca="false">IF((D86="r"),F86," ")</f>
        <v> </v>
      </c>
      <c r="J86" s="180" t="str">
        <f aca="false">IF((D86="t"),F86," ")</f>
        <v> </v>
      </c>
      <c r="K86" s="180" t="str">
        <f aca="false">IF((D86="e"),F86," ")</f>
        <v> </v>
      </c>
      <c r="L86" s="180" t="str">
        <f aca="false">IF((D86="p"),F86," ")</f>
        <v> </v>
      </c>
      <c r="M86" s="180" t="str">
        <f aca="false">IF((D86="g"),F86," ")</f>
        <v> </v>
      </c>
      <c r="N86" s="180" t="str">
        <f aca="false">IF((D86="a"),F86," ")</f>
        <v> </v>
      </c>
      <c r="O86" s="180" t="str">
        <f aca="false">IF((D86="l"),F86," ")</f>
        <v> </v>
      </c>
      <c r="P86" s="180" t="str">
        <f aca="false">IF((D86="i"),F86," ")</f>
        <v> </v>
      </c>
      <c r="Q86" s="180" t="str">
        <f aca="false">IF((D86="b"),F86," ")</f>
        <v> </v>
      </c>
      <c r="R86" s="180" t="str">
        <f aca="false">IF((D86="o"),F86," ")</f>
        <v> </v>
      </c>
      <c r="S86" s="180" t="str">
        <f aca="false">IF((D86="f"),F86," ")</f>
        <v> </v>
      </c>
      <c r="U86" s="371"/>
    </row>
    <row r="87" customFormat="false" ht="12.75" hidden="false" customHeight="false" outlineLevel="0" collapsed="false">
      <c r="D87" s="371" t="str">
        <f aca="false">IF((F87&lt;&gt;0),"Enter Letter"," ")</f>
        <v> </v>
      </c>
      <c r="G87" s="180" t="str">
        <f aca="false">IF((D87="d"),F87," ")</f>
        <v> </v>
      </c>
      <c r="H87" s="180" t="str">
        <f aca="false">IF((D87="h"),F87," ")</f>
        <v> </v>
      </c>
      <c r="I87" s="180" t="str">
        <f aca="false">IF((D87="r"),F87," ")</f>
        <v> </v>
      </c>
      <c r="J87" s="180" t="str">
        <f aca="false">IF((D87="t"),F87," ")</f>
        <v> </v>
      </c>
      <c r="K87" s="180" t="str">
        <f aca="false">IF((D87="e"),F87," ")</f>
        <v> </v>
      </c>
      <c r="L87" s="180" t="str">
        <f aca="false">IF((D87="p"),F87," ")</f>
        <v> </v>
      </c>
      <c r="M87" s="180" t="str">
        <f aca="false">IF((D87="g"),F87," ")</f>
        <v> </v>
      </c>
      <c r="N87" s="180" t="str">
        <f aca="false">IF((D87="a"),F87," ")</f>
        <v> </v>
      </c>
      <c r="O87" s="180" t="str">
        <f aca="false">IF((D87="l"),F87," ")</f>
        <v> </v>
      </c>
      <c r="P87" s="180" t="str">
        <f aca="false">IF((D87="i"),F87," ")</f>
        <v> </v>
      </c>
      <c r="Q87" s="180" t="str">
        <f aca="false">IF((D87="b"),F87," ")</f>
        <v> </v>
      </c>
      <c r="R87" s="180" t="str">
        <f aca="false">IF((D87="o"),F87," ")</f>
        <v> </v>
      </c>
      <c r="S87" s="180" t="str">
        <f aca="false">IF((D87="f"),F87," ")</f>
        <v> </v>
      </c>
      <c r="U87" s="371"/>
    </row>
    <row r="88" customFormat="false" ht="12.75" hidden="false" customHeight="false" outlineLevel="0" collapsed="false">
      <c r="D88" s="371" t="str">
        <f aca="false">IF((F88&lt;&gt;0),"Enter Letter"," ")</f>
        <v> </v>
      </c>
      <c r="G88" s="180" t="str">
        <f aca="false">IF((D88="d"),F88," ")</f>
        <v> </v>
      </c>
      <c r="H88" s="180" t="str">
        <f aca="false">IF((D88="h"),F88," ")</f>
        <v> </v>
      </c>
      <c r="I88" s="180" t="str">
        <f aca="false">IF((D88="r"),F88," ")</f>
        <v> </v>
      </c>
      <c r="J88" s="180" t="str">
        <f aca="false">IF((D88="t"),F88," ")</f>
        <v> </v>
      </c>
      <c r="K88" s="180" t="str">
        <f aca="false">IF((D88="e"),F88," ")</f>
        <v> </v>
      </c>
      <c r="L88" s="180" t="str">
        <f aca="false">IF((D88="p"),F88," ")</f>
        <v> </v>
      </c>
      <c r="M88" s="180" t="str">
        <f aca="false">IF((D88="g"),F88," ")</f>
        <v> </v>
      </c>
      <c r="N88" s="180" t="str">
        <f aca="false">IF((D88="a"),F88," ")</f>
        <v> </v>
      </c>
      <c r="O88" s="180" t="str">
        <f aca="false">IF((D88="l"),F88," ")</f>
        <v> </v>
      </c>
      <c r="P88" s="180" t="str">
        <f aca="false">IF((D88="i"),F88," ")</f>
        <v> </v>
      </c>
      <c r="Q88" s="180" t="str">
        <f aca="false">IF((D88="b"),F88," ")</f>
        <v> </v>
      </c>
      <c r="R88" s="180" t="str">
        <f aca="false">IF((D88="o"),F88," ")</f>
        <v> </v>
      </c>
      <c r="S88" s="180" t="str">
        <f aca="false">IF((D88="f"),F88," ")</f>
        <v> </v>
      </c>
      <c r="U88" s="371"/>
    </row>
    <row r="89" customFormat="false" ht="12.75" hidden="false" customHeight="false" outlineLevel="0" collapsed="false">
      <c r="D89" s="371" t="str">
        <f aca="false">IF((F89&lt;&gt;0),"Enter Letter"," ")</f>
        <v> </v>
      </c>
      <c r="G89" s="180" t="str">
        <f aca="false">IF((D89="d"),F89," ")</f>
        <v> </v>
      </c>
      <c r="H89" s="180" t="str">
        <f aca="false">IF((D89="h"),F89," ")</f>
        <v> </v>
      </c>
      <c r="I89" s="180" t="str">
        <f aca="false">IF((D89="r"),F89," ")</f>
        <v> </v>
      </c>
      <c r="J89" s="180" t="str">
        <f aca="false">IF((D89="t"),F89," ")</f>
        <v> </v>
      </c>
      <c r="K89" s="180" t="str">
        <f aca="false">IF((D89="e"),F89," ")</f>
        <v> </v>
      </c>
      <c r="L89" s="180" t="str">
        <f aca="false">IF((D89="p"),F89," ")</f>
        <v> </v>
      </c>
      <c r="M89" s="180" t="str">
        <f aca="false">IF((D89="g"),F89," ")</f>
        <v> </v>
      </c>
      <c r="N89" s="180" t="str">
        <f aca="false">IF((D89="a"),F89," ")</f>
        <v> </v>
      </c>
      <c r="O89" s="180" t="str">
        <f aca="false">IF((D89="l"),F89," ")</f>
        <v> </v>
      </c>
      <c r="P89" s="180" t="str">
        <f aca="false">IF((D89="i"),F89," ")</f>
        <v> </v>
      </c>
      <c r="Q89" s="180" t="str">
        <f aca="false">IF((D89="b"),F89," ")</f>
        <v> </v>
      </c>
      <c r="R89" s="180" t="str">
        <f aca="false">IF((D89="o"),F89," ")</f>
        <v> </v>
      </c>
      <c r="S89" s="180" t="str">
        <f aca="false">IF((D89="f"),F89," ")</f>
        <v> </v>
      </c>
      <c r="U89" s="371"/>
    </row>
    <row r="90" customFormat="false" ht="12.75" hidden="false" customHeight="false" outlineLevel="0" collapsed="false">
      <c r="D90" s="371" t="str">
        <f aca="false">IF((F90&lt;&gt;0),"Enter Letter"," ")</f>
        <v> </v>
      </c>
      <c r="G90" s="180" t="str">
        <f aca="false">IF((D90="d"),F90," ")</f>
        <v> </v>
      </c>
      <c r="H90" s="180" t="str">
        <f aca="false">IF((D90="h"),F90," ")</f>
        <v> </v>
      </c>
      <c r="I90" s="180" t="str">
        <f aca="false">IF((D90="r"),F90," ")</f>
        <v> </v>
      </c>
      <c r="J90" s="180" t="str">
        <f aca="false">IF((D90="t"),F90," ")</f>
        <v> </v>
      </c>
      <c r="K90" s="180" t="str">
        <f aca="false">IF((D90="e"),F90," ")</f>
        <v> </v>
      </c>
      <c r="L90" s="180" t="str">
        <f aca="false">IF((D90="p"),F90," ")</f>
        <v> </v>
      </c>
      <c r="M90" s="180" t="str">
        <f aca="false">IF((D90="g"),F90," ")</f>
        <v> </v>
      </c>
      <c r="N90" s="180" t="str">
        <f aca="false">IF((D90="a"),F90," ")</f>
        <v> </v>
      </c>
      <c r="O90" s="180" t="str">
        <f aca="false">IF((D90="l"),F90," ")</f>
        <v> </v>
      </c>
      <c r="P90" s="180" t="str">
        <f aca="false">IF((D90="i"),F90," ")</f>
        <v> </v>
      </c>
      <c r="Q90" s="180" t="str">
        <f aca="false">IF((D90="b"),F90," ")</f>
        <v> </v>
      </c>
      <c r="R90" s="180" t="str">
        <f aca="false">IF((D90="o"),F90," ")</f>
        <v> </v>
      </c>
      <c r="S90" s="180" t="str">
        <f aca="false">IF((D90="f"),F90," ")</f>
        <v> </v>
      </c>
      <c r="U90" s="371"/>
    </row>
    <row r="91" customFormat="false" ht="12.75" hidden="false" customHeight="false" outlineLevel="0" collapsed="false">
      <c r="D91" s="371" t="str">
        <f aca="false">IF((F91&lt;&gt;0),"Enter Letter"," ")</f>
        <v> </v>
      </c>
      <c r="G91" s="180" t="str">
        <f aca="false">IF((D91="d"),F91," ")</f>
        <v> </v>
      </c>
      <c r="H91" s="180" t="str">
        <f aca="false">IF((D91="h"),F91," ")</f>
        <v> </v>
      </c>
      <c r="I91" s="180" t="str">
        <f aca="false">IF((D91="r"),F91," ")</f>
        <v> </v>
      </c>
      <c r="J91" s="180" t="str">
        <f aca="false">IF((D91="t"),F91," ")</f>
        <v> </v>
      </c>
      <c r="K91" s="180" t="str">
        <f aca="false">IF((D91="e"),F91," ")</f>
        <v> </v>
      </c>
      <c r="L91" s="180" t="str">
        <f aca="false">IF((D91="p"),F91," ")</f>
        <v> </v>
      </c>
      <c r="M91" s="180" t="str">
        <f aca="false">IF((D91="g"),F91," ")</f>
        <v> </v>
      </c>
      <c r="N91" s="180" t="str">
        <f aca="false">IF((D91="a"),F91," ")</f>
        <v> </v>
      </c>
      <c r="O91" s="180" t="str">
        <f aca="false">IF((D91="l"),F91," ")</f>
        <v> </v>
      </c>
      <c r="P91" s="180" t="str">
        <f aca="false">IF((D91="i"),F91," ")</f>
        <v> </v>
      </c>
      <c r="Q91" s="180" t="str">
        <f aca="false">IF((D91="b"),F91," ")</f>
        <v> </v>
      </c>
      <c r="R91" s="180" t="str">
        <f aca="false">IF((D91="o"),F91," ")</f>
        <v> </v>
      </c>
      <c r="S91" s="180" t="str">
        <f aca="false">IF((D91="f"),F91," ")</f>
        <v> </v>
      </c>
      <c r="U91" s="371"/>
    </row>
    <row r="92" customFormat="false" ht="12.75" hidden="false" customHeight="false" outlineLevel="0" collapsed="false">
      <c r="D92" s="371" t="str">
        <f aca="false">IF((F92&lt;&gt;0),"Enter Letter"," ")</f>
        <v> </v>
      </c>
      <c r="G92" s="180" t="str">
        <f aca="false">IF((D92="d"),F92," ")</f>
        <v> </v>
      </c>
      <c r="H92" s="180" t="str">
        <f aca="false">IF((D92="h"),F92," ")</f>
        <v> </v>
      </c>
      <c r="I92" s="180" t="str">
        <f aca="false">IF((D92="r"),F92," ")</f>
        <v> </v>
      </c>
      <c r="J92" s="180" t="str">
        <f aca="false">IF((D92="t"),F92," ")</f>
        <v> </v>
      </c>
      <c r="K92" s="180" t="str">
        <f aca="false">IF((D92="e"),F92," ")</f>
        <v> </v>
      </c>
      <c r="L92" s="180" t="str">
        <f aca="false">IF((D92="p"),F92," ")</f>
        <v> </v>
      </c>
      <c r="M92" s="180" t="str">
        <f aca="false">IF((D92="g"),F92," ")</f>
        <v> </v>
      </c>
      <c r="N92" s="180" t="str">
        <f aca="false">IF((D92="a"),F92," ")</f>
        <v> </v>
      </c>
      <c r="O92" s="180" t="str">
        <f aca="false">IF((D92="l"),F92," ")</f>
        <v> </v>
      </c>
      <c r="P92" s="180" t="str">
        <f aca="false">IF((D92="i"),F92," ")</f>
        <v> </v>
      </c>
      <c r="Q92" s="180" t="str">
        <f aca="false">IF((D92="b"),F92," ")</f>
        <v> </v>
      </c>
      <c r="R92" s="180" t="str">
        <f aca="false">IF((D92="o"),F92," ")</f>
        <v> </v>
      </c>
      <c r="S92" s="180" t="str">
        <f aca="false">IF((D92="f"),F92," ")</f>
        <v> </v>
      </c>
      <c r="U92" s="371"/>
    </row>
    <row r="93" customFormat="false" ht="12.75" hidden="false" customHeight="false" outlineLevel="0" collapsed="false">
      <c r="D93" s="371" t="str">
        <f aca="false">IF((F93&lt;&gt;0),"Enter Letter"," ")</f>
        <v> </v>
      </c>
      <c r="G93" s="180" t="str">
        <f aca="false">IF((D93="d"),F93," ")</f>
        <v> </v>
      </c>
      <c r="H93" s="180" t="str">
        <f aca="false">IF((D93="h"),F93," ")</f>
        <v> </v>
      </c>
      <c r="I93" s="180" t="str">
        <f aca="false">IF((D93="r"),F93," ")</f>
        <v> </v>
      </c>
      <c r="J93" s="180" t="str">
        <f aca="false">IF((D93="t"),F93," ")</f>
        <v> </v>
      </c>
      <c r="K93" s="180" t="str">
        <f aca="false">IF((D93="e"),F93," ")</f>
        <v> </v>
      </c>
      <c r="L93" s="180" t="str">
        <f aca="false">IF((D93="p"),F93," ")</f>
        <v> </v>
      </c>
      <c r="M93" s="180" t="str">
        <f aca="false">IF((D93="g"),F93," ")</f>
        <v> </v>
      </c>
      <c r="N93" s="180" t="str">
        <f aca="false">IF((D93="a"),F93," ")</f>
        <v> </v>
      </c>
      <c r="O93" s="180" t="str">
        <f aca="false">IF((D93="l"),F93," ")</f>
        <v> </v>
      </c>
      <c r="P93" s="180" t="str">
        <f aca="false">IF((D93="i"),F93," ")</f>
        <v> </v>
      </c>
      <c r="Q93" s="180" t="str">
        <f aca="false">IF((D93="b"),F93," ")</f>
        <v> </v>
      </c>
      <c r="R93" s="180" t="str">
        <f aca="false">IF((D93="o"),F93," ")</f>
        <v> </v>
      </c>
      <c r="S93" s="180" t="str">
        <f aca="false">IF((D93="f"),F93," ")</f>
        <v> </v>
      </c>
      <c r="U93" s="371"/>
    </row>
    <row r="94" customFormat="false" ht="12.75" hidden="false" customHeight="false" outlineLevel="0" collapsed="false">
      <c r="D94" s="371" t="str">
        <f aca="false">IF((F94&lt;&gt;0),"Enter Letter"," ")</f>
        <v> </v>
      </c>
      <c r="G94" s="180" t="str">
        <f aca="false">IF((D94="d"),F94," ")</f>
        <v> </v>
      </c>
      <c r="H94" s="180" t="str">
        <f aca="false">IF((D94="h"),F94," ")</f>
        <v> </v>
      </c>
      <c r="I94" s="180" t="str">
        <f aca="false">IF((D94="r"),F94," ")</f>
        <v> </v>
      </c>
      <c r="J94" s="180" t="str">
        <f aca="false">IF((D94="t"),F94," ")</f>
        <v> </v>
      </c>
      <c r="K94" s="180" t="str">
        <f aca="false">IF((D94="e"),F94," ")</f>
        <v> </v>
      </c>
      <c r="L94" s="180" t="str">
        <f aca="false">IF((D94="p"),F94," ")</f>
        <v> </v>
      </c>
      <c r="M94" s="180" t="str">
        <f aca="false">IF((D94="g"),F94," ")</f>
        <v> </v>
      </c>
      <c r="N94" s="180" t="str">
        <f aca="false">IF((D94="a"),F94," ")</f>
        <v> </v>
      </c>
      <c r="O94" s="180" t="str">
        <f aca="false">IF((D94="l"),F94," ")</f>
        <v> </v>
      </c>
      <c r="P94" s="180" t="str">
        <f aca="false">IF((D94="i"),F94," ")</f>
        <v> </v>
      </c>
      <c r="Q94" s="180" t="str">
        <f aca="false">IF((D94="b"),F94," ")</f>
        <v> </v>
      </c>
      <c r="R94" s="180" t="str">
        <f aca="false">IF((D94="o"),F94," ")</f>
        <v> </v>
      </c>
      <c r="S94" s="180" t="str">
        <f aca="false">IF((D94="f"),F94," ")</f>
        <v> </v>
      </c>
      <c r="U94" s="371"/>
    </row>
    <row r="95" customFormat="false" ht="12.75" hidden="false" customHeight="false" outlineLevel="0" collapsed="false">
      <c r="D95" s="371" t="str">
        <f aca="false">IF((F95&lt;&gt;0),"Enter Letter"," ")</f>
        <v> </v>
      </c>
      <c r="G95" s="180" t="str">
        <f aca="false">IF((D95="d"),F95," ")</f>
        <v> </v>
      </c>
      <c r="H95" s="180" t="str">
        <f aca="false">IF((D95="h"),F95," ")</f>
        <v> </v>
      </c>
      <c r="I95" s="180" t="str">
        <f aca="false">IF((D95="r"),F95," ")</f>
        <v> </v>
      </c>
      <c r="J95" s="180" t="str">
        <f aca="false">IF((D95="t"),F95," ")</f>
        <v> </v>
      </c>
      <c r="K95" s="180" t="str">
        <f aca="false">IF((D95="e"),F95," ")</f>
        <v> </v>
      </c>
      <c r="L95" s="180" t="str">
        <f aca="false">IF((D95="p"),F95," ")</f>
        <v> </v>
      </c>
      <c r="M95" s="180" t="str">
        <f aca="false">IF((D95="g"),F95," ")</f>
        <v> </v>
      </c>
      <c r="N95" s="180" t="str">
        <f aca="false">IF((D95="a"),F95," ")</f>
        <v> </v>
      </c>
      <c r="O95" s="180" t="str">
        <f aca="false">IF((D95="l"),F95," ")</f>
        <v> </v>
      </c>
      <c r="P95" s="180" t="str">
        <f aca="false">IF((D95="i"),F95," ")</f>
        <v> </v>
      </c>
      <c r="Q95" s="180" t="str">
        <f aca="false">IF((D95="b"),F95," ")</f>
        <v> </v>
      </c>
      <c r="R95" s="180" t="str">
        <f aca="false">IF((D95="o"),F95," ")</f>
        <v> </v>
      </c>
      <c r="S95" s="180" t="str">
        <f aca="false">IF((D95="f"),F95," ")</f>
        <v> </v>
      </c>
      <c r="U95" s="371"/>
    </row>
    <row r="96" customFormat="false" ht="12.75" hidden="false" customHeight="false" outlineLevel="0" collapsed="false">
      <c r="D96" s="371" t="str">
        <f aca="false">IF((F96&lt;&gt;0),"Enter Letter"," ")</f>
        <v> </v>
      </c>
      <c r="G96" s="180" t="str">
        <f aca="false">IF((D96="d"),F96," ")</f>
        <v> </v>
      </c>
      <c r="H96" s="180" t="str">
        <f aca="false">IF((D96="h"),F96," ")</f>
        <v> </v>
      </c>
      <c r="I96" s="180" t="str">
        <f aca="false">IF((D96="r"),F96," ")</f>
        <v> </v>
      </c>
      <c r="J96" s="180" t="str">
        <f aca="false">IF((D96="t"),F96," ")</f>
        <v> </v>
      </c>
      <c r="K96" s="180" t="str">
        <f aca="false">IF((D96="e"),F96," ")</f>
        <v> </v>
      </c>
      <c r="L96" s="180" t="str">
        <f aca="false">IF((D96="p"),F96," ")</f>
        <v> </v>
      </c>
      <c r="M96" s="180" t="str">
        <f aca="false">IF((D96="g"),F96," ")</f>
        <v> </v>
      </c>
      <c r="N96" s="180" t="str">
        <f aca="false">IF((D96="a"),F96," ")</f>
        <v> </v>
      </c>
      <c r="O96" s="180" t="str">
        <f aca="false">IF((D96="l"),F96," ")</f>
        <v> </v>
      </c>
      <c r="P96" s="180" t="str">
        <f aca="false">IF((D96="i"),F96," ")</f>
        <v> </v>
      </c>
      <c r="Q96" s="180" t="str">
        <f aca="false">IF((D96="b"),F96," ")</f>
        <v> </v>
      </c>
      <c r="R96" s="180" t="str">
        <f aca="false">IF((D96="o"),F96," ")</f>
        <v> </v>
      </c>
      <c r="S96" s="180" t="str">
        <f aca="false">IF((D96="f"),F96," ")</f>
        <v> </v>
      </c>
      <c r="U96" s="371"/>
    </row>
    <row r="97" customFormat="false" ht="12.75" hidden="false" customHeight="false" outlineLevel="0" collapsed="false">
      <c r="D97" s="371" t="str">
        <f aca="false">IF((F97&lt;&gt;0),"Enter Letter"," ")</f>
        <v> </v>
      </c>
      <c r="G97" s="180" t="str">
        <f aca="false">IF((D97="d"),F97," ")</f>
        <v> </v>
      </c>
      <c r="H97" s="180" t="str">
        <f aca="false">IF((D97="h"),F97," ")</f>
        <v> </v>
      </c>
      <c r="I97" s="180" t="str">
        <f aca="false">IF((D97="r"),F97," ")</f>
        <v> </v>
      </c>
      <c r="J97" s="180" t="str">
        <f aca="false">IF((D97="t"),F97," ")</f>
        <v> </v>
      </c>
      <c r="K97" s="180" t="str">
        <f aca="false">IF((D97="e"),F97," ")</f>
        <v> </v>
      </c>
      <c r="L97" s="180" t="str">
        <f aca="false">IF((D97="p"),F97," ")</f>
        <v> </v>
      </c>
      <c r="M97" s="180" t="str">
        <f aca="false">IF((D97="g"),F97," ")</f>
        <v> </v>
      </c>
      <c r="N97" s="180" t="str">
        <f aca="false">IF((D97="a"),F97," ")</f>
        <v> </v>
      </c>
      <c r="O97" s="180" t="str">
        <f aca="false">IF((D97="l"),F97," ")</f>
        <v> </v>
      </c>
      <c r="P97" s="180" t="str">
        <f aca="false">IF((D97="i"),F97," ")</f>
        <v> </v>
      </c>
      <c r="Q97" s="180" t="str">
        <f aca="false">IF((D97="b"),F97," ")</f>
        <v> </v>
      </c>
      <c r="R97" s="180" t="str">
        <f aca="false">IF((D97="o"),F97," ")</f>
        <v> </v>
      </c>
      <c r="S97" s="180" t="str">
        <f aca="false">IF((D97="f"),F97," ")</f>
        <v> </v>
      </c>
      <c r="U97" s="371"/>
    </row>
    <row r="98" customFormat="false" ht="12.75" hidden="false" customHeight="false" outlineLevel="0" collapsed="false">
      <c r="D98" s="371" t="str">
        <f aca="false">IF((F98&lt;&gt;0),"Enter Letter"," ")</f>
        <v> </v>
      </c>
      <c r="G98" s="180" t="str">
        <f aca="false">IF((D98="d"),F98," ")</f>
        <v> </v>
      </c>
      <c r="H98" s="180" t="str">
        <f aca="false">IF((D98="h"),F98," ")</f>
        <v> </v>
      </c>
      <c r="I98" s="180" t="str">
        <f aca="false">IF((D98="r"),F98," ")</f>
        <v> </v>
      </c>
      <c r="J98" s="180" t="str">
        <f aca="false">IF((D98="t"),F98," ")</f>
        <v> </v>
      </c>
      <c r="K98" s="180" t="str">
        <f aca="false">IF((D98="e"),F98," ")</f>
        <v> </v>
      </c>
      <c r="L98" s="180" t="str">
        <f aca="false">IF((D98="p"),F98," ")</f>
        <v> </v>
      </c>
      <c r="M98" s="180" t="str">
        <f aca="false">IF((D98="g"),F98," ")</f>
        <v> </v>
      </c>
      <c r="N98" s="180" t="str">
        <f aca="false">IF((D98="a"),F98," ")</f>
        <v> </v>
      </c>
      <c r="O98" s="180" t="str">
        <f aca="false">IF((D98="l"),F98," ")</f>
        <v> </v>
      </c>
      <c r="P98" s="180" t="str">
        <f aca="false">IF((D98="i"),F98," ")</f>
        <v> </v>
      </c>
      <c r="Q98" s="180" t="str">
        <f aca="false">IF((D98="b"),F98," ")</f>
        <v> </v>
      </c>
      <c r="R98" s="180" t="str">
        <f aca="false">IF((D98="o"),F98," ")</f>
        <v> </v>
      </c>
      <c r="S98" s="180" t="str">
        <f aca="false">IF((D98="f"),F98," ")</f>
        <v> </v>
      </c>
      <c r="U98" s="371"/>
    </row>
    <row r="99" customFormat="false" ht="12.75" hidden="false" customHeight="false" outlineLevel="0" collapsed="false">
      <c r="D99" s="371" t="str">
        <f aca="false">IF((F99&lt;&gt;0),"Enter Letter"," ")</f>
        <v> </v>
      </c>
      <c r="G99" s="180" t="str">
        <f aca="false">IF((D99="d"),F99," ")</f>
        <v> </v>
      </c>
      <c r="H99" s="180" t="str">
        <f aca="false">IF((D99="h"),F99," ")</f>
        <v> </v>
      </c>
      <c r="I99" s="180" t="str">
        <f aca="false">IF((D99="r"),F99," ")</f>
        <v> </v>
      </c>
      <c r="J99" s="180" t="str">
        <f aca="false">IF((D99="t"),F99," ")</f>
        <v> </v>
      </c>
      <c r="K99" s="180" t="str">
        <f aca="false">IF((D99="e"),F99," ")</f>
        <v> </v>
      </c>
      <c r="L99" s="180" t="str">
        <f aca="false">IF((D99="p"),F99," ")</f>
        <v> </v>
      </c>
      <c r="M99" s="180" t="str">
        <f aca="false">IF((D99="g"),F99," ")</f>
        <v> </v>
      </c>
      <c r="N99" s="180" t="str">
        <f aca="false">IF((D99="a"),F99," ")</f>
        <v> </v>
      </c>
      <c r="O99" s="180" t="str">
        <f aca="false">IF((D99="l"),F99," ")</f>
        <v> </v>
      </c>
      <c r="P99" s="180" t="str">
        <f aca="false">IF((D99="i"),F99," ")</f>
        <v> </v>
      </c>
      <c r="Q99" s="180" t="str">
        <f aca="false">IF((D99="b"),F99," ")</f>
        <v> </v>
      </c>
      <c r="R99" s="180" t="str">
        <f aca="false">IF((D99="o"),F99," ")</f>
        <v> </v>
      </c>
      <c r="S99" s="180" t="str">
        <f aca="false">IF((D99="f"),F99," ")</f>
        <v> </v>
      </c>
      <c r="U99" s="371"/>
    </row>
    <row r="100" customFormat="false" ht="12.75" hidden="false" customHeight="false" outlineLevel="0" collapsed="false">
      <c r="D100" s="371" t="str">
        <f aca="false">IF((F100&lt;&gt;0),"Enter Letter"," ")</f>
        <v> </v>
      </c>
      <c r="G100" s="180" t="str">
        <f aca="false">IF((D100="d"),F100," ")</f>
        <v> </v>
      </c>
      <c r="H100" s="180" t="str">
        <f aca="false">IF((D100="h"),F100," ")</f>
        <v> </v>
      </c>
      <c r="I100" s="180" t="str">
        <f aca="false">IF((D100="r"),F100," ")</f>
        <v> </v>
      </c>
      <c r="J100" s="180" t="str">
        <f aca="false">IF((D100="t"),F100," ")</f>
        <v> </v>
      </c>
      <c r="K100" s="180" t="str">
        <f aca="false">IF((D100="e"),F100," ")</f>
        <v> </v>
      </c>
      <c r="L100" s="180" t="str">
        <f aca="false">IF((D100="p"),F100," ")</f>
        <v> </v>
      </c>
      <c r="M100" s="180" t="str">
        <f aca="false">IF((D100="g"),F100," ")</f>
        <v> </v>
      </c>
      <c r="N100" s="180" t="str">
        <f aca="false">IF((D100="a"),F100," ")</f>
        <v> </v>
      </c>
      <c r="O100" s="180" t="str">
        <f aca="false">IF((D100="l"),F100," ")</f>
        <v> </v>
      </c>
      <c r="P100" s="180" t="str">
        <f aca="false">IF((D100="i"),F100," ")</f>
        <v> </v>
      </c>
      <c r="Q100" s="180" t="str">
        <f aca="false">IF((D100="b"),F100," ")</f>
        <v> </v>
      </c>
      <c r="R100" s="180" t="str">
        <f aca="false">IF((D100="o"),F100," ")</f>
        <v> </v>
      </c>
      <c r="S100" s="180" t="str">
        <f aca="false">IF((D100="f"),F100," ")</f>
        <v> </v>
      </c>
      <c r="U100" s="371"/>
    </row>
    <row r="101" customFormat="false" ht="12.75" hidden="false" customHeight="false" outlineLevel="0" collapsed="false">
      <c r="D101" s="371" t="str">
        <f aca="false">IF((F101&lt;&gt;0),"Enter Letter"," ")</f>
        <v> </v>
      </c>
      <c r="G101" s="180" t="str">
        <f aca="false">IF((D101="d"),F101," ")</f>
        <v> </v>
      </c>
      <c r="H101" s="180" t="str">
        <f aca="false">IF((D101="h"),F101," ")</f>
        <v> </v>
      </c>
      <c r="I101" s="180" t="str">
        <f aca="false">IF((D101="r"),F101," ")</f>
        <v> </v>
      </c>
      <c r="J101" s="180" t="str">
        <f aca="false">IF((D101="t"),F101," ")</f>
        <v> </v>
      </c>
      <c r="K101" s="180" t="str">
        <f aca="false">IF((D101="e"),F101," ")</f>
        <v> </v>
      </c>
      <c r="L101" s="180" t="str">
        <f aca="false">IF((D101="p"),F101," ")</f>
        <v> </v>
      </c>
      <c r="M101" s="180" t="str">
        <f aca="false">IF((D101="g"),F101," ")</f>
        <v> </v>
      </c>
      <c r="N101" s="180" t="str">
        <f aca="false">IF((D101="a"),F101," ")</f>
        <v> </v>
      </c>
      <c r="O101" s="180" t="str">
        <f aca="false">IF((D101="l"),F101," ")</f>
        <v> </v>
      </c>
      <c r="P101" s="180" t="str">
        <f aca="false">IF((D101="i"),F101," ")</f>
        <v> </v>
      </c>
      <c r="Q101" s="180" t="str">
        <f aca="false">IF((D101="b"),F101," ")</f>
        <v> </v>
      </c>
      <c r="R101" s="180" t="str">
        <f aca="false">IF((D101="o"),F101," ")</f>
        <v> </v>
      </c>
      <c r="S101" s="180" t="str">
        <f aca="false">IF((D101="f"),F101," ")</f>
        <v> </v>
      </c>
      <c r="U101" s="371"/>
    </row>
    <row r="102" customFormat="false" ht="12.75" hidden="false" customHeight="false" outlineLevel="0" collapsed="false">
      <c r="D102" s="371" t="str">
        <f aca="false">IF((F102&lt;&gt;0),"Enter Letter"," ")</f>
        <v> </v>
      </c>
      <c r="G102" s="180" t="str">
        <f aca="false">IF((D102="d"),F102," ")</f>
        <v> </v>
      </c>
      <c r="H102" s="180" t="str">
        <f aca="false">IF((D102="h"),F102," ")</f>
        <v> </v>
      </c>
      <c r="I102" s="180" t="str">
        <f aca="false">IF((D102="r"),F102," ")</f>
        <v> </v>
      </c>
      <c r="J102" s="180" t="str">
        <f aca="false">IF((D102="t"),F102," ")</f>
        <v> </v>
      </c>
      <c r="K102" s="180" t="str">
        <f aca="false">IF((D102="e"),F102," ")</f>
        <v> </v>
      </c>
      <c r="L102" s="180" t="str">
        <f aca="false">IF((D102="p"),F102," ")</f>
        <v> </v>
      </c>
      <c r="M102" s="180" t="str">
        <f aca="false">IF((D102="g"),F102," ")</f>
        <v> </v>
      </c>
      <c r="N102" s="180" t="str">
        <f aca="false">IF((D102="a"),F102," ")</f>
        <v> </v>
      </c>
      <c r="O102" s="180" t="str">
        <f aca="false">IF((D102="l"),F102," ")</f>
        <v> </v>
      </c>
      <c r="P102" s="180" t="str">
        <f aca="false">IF((D102="i"),F102," ")</f>
        <v> </v>
      </c>
      <c r="Q102" s="180" t="str">
        <f aca="false">IF((D102="b"),F102," ")</f>
        <v> </v>
      </c>
      <c r="R102" s="180" t="str">
        <f aca="false">IF((D102="o"),F102," ")</f>
        <v> </v>
      </c>
      <c r="S102" s="180" t="str">
        <f aca="false">IF((D102="f"),F102," ")</f>
        <v> </v>
      </c>
      <c r="U102" s="371"/>
    </row>
    <row r="103" customFormat="false" ht="12.75" hidden="false" customHeight="false" outlineLevel="0" collapsed="false">
      <c r="D103" s="371" t="str">
        <f aca="false">IF((F103&lt;&gt;0),"Enter Letter"," ")</f>
        <v> </v>
      </c>
      <c r="G103" s="180" t="str">
        <f aca="false">IF((D103="d"),F103," ")</f>
        <v> </v>
      </c>
      <c r="H103" s="180" t="str">
        <f aca="false">IF((D103="h"),F103," ")</f>
        <v> </v>
      </c>
      <c r="I103" s="180" t="str">
        <f aca="false">IF((D103="r"),F103," ")</f>
        <v> </v>
      </c>
      <c r="J103" s="180" t="str">
        <f aca="false">IF((D103="t"),F103," ")</f>
        <v> </v>
      </c>
      <c r="K103" s="180" t="str">
        <f aca="false">IF((D103="e"),F103," ")</f>
        <v> </v>
      </c>
      <c r="L103" s="180" t="str">
        <f aca="false">IF((D103="p"),F103," ")</f>
        <v> </v>
      </c>
      <c r="M103" s="180" t="str">
        <f aca="false">IF((D103="g"),F103," ")</f>
        <v> </v>
      </c>
      <c r="N103" s="180" t="str">
        <f aca="false">IF((D103="a"),F103," ")</f>
        <v> </v>
      </c>
      <c r="O103" s="180" t="str">
        <f aca="false">IF((D103="l"),F103," ")</f>
        <v> </v>
      </c>
      <c r="P103" s="180" t="str">
        <f aca="false">IF((D103="i"),F103," ")</f>
        <v> </v>
      </c>
      <c r="Q103" s="180" t="str">
        <f aca="false">IF((D103="b"),F103," ")</f>
        <v> </v>
      </c>
      <c r="R103" s="180" t="str">
        <f aca="false">IF((D103="o"),F103," ")</f>
        <v> </v>
      </c>
      <c r="S103" s="180" t="str">
        <f aca="false">IF((D103="f"),F103," ")</f>
        <v> </v>
      </c>
      <c r="U103" s="371"/>
    </row>
    <row r="104" customFormat="false" ht="12.75" hidden="false" customHeight="false" outlineLevel="0" collapsed="false">
      <c r="D104" s="371" t="str">
        <f aca="false">IF((F104&lt;&gt;0),"Enter Letter"," ")</f>
        <v> </v>
      </c>
      <c r="G104" s="180" t="str">
        <f aca="false">IF((D104="d"),F104," ")</f>
        <v> </v>
      </c>
      <c r="H104" s="180" t="str">
        <f aca="false">IF((D104="h"),F104," ")</f>
        <v> </v>
      </c>
      <c r="I104" s="180" t="str">
        <f aca="false">IF((D104="r"),F104," ")</f>
        <v> </v>
      </c>
      <c r="J104" s="180" t="str">
        <f aca="false">IF((D104="t"),F104," ")</f>
        <v> </v>
      </c>
      <c r="K104" s="180" t="str">
        <f aca="false">IF((D104="e"),F104," ")</f>
        <v> </v>
      </c>
      <c r="L104" s="180" t="str">
        <f aca="false">IF((D104="p"),F104," ")</f>
        <v> </v>
      </c>
      <c r="M104" s="180" t="str">
        <f aca="false">IF((D104="g"),F104," ")</f>
        <v> </v>
      </c>
      <c r="N104" s="180" t="str">
        <f aca="false">IF((D104="a"),F104," ")</f>
        <v> </v>
      </c>
      <c r="O104" s="180" t="str">
        <f aca="false">IF((D104="l"),F104," ")</f>
        <v> </v>
      </c>
      <c r="P104" s="180" t="str">
        <f aca="false">IF((D104="i"),F104," ")</f>
        <v> </v>
      </c>
      <c r="Q104" s="180" t="str">
        <f aca="false">IF((D104="b"),F104," ")</f>
        <v> </v>
      </c>
      <c r="R104" s="180" t="str">
        <f aca="false">IF((D104="o"),F104," ")</f>
        <v> </v>
      </c>
      <c r="S104" s="180" t="str">
        <f aca="false">IF((D104="f"),F104," ")</f>
        <v> </v>
      </c>
      <c r="U104" s="371"/>
    </row>
    <row r="105" customFormat="false" ht="12.75" hidden="false" customHeight="false" outlineLevel="0" collapsed="false">
      <c r="D105" s="371" t="str">
        <f aca="false">IF((F105&lt;&gt;0),"Enter Letter"," ")</f>
        <v> </v>
      </c>
      <c r="G105" s="180" t="str">
        <f aca="false">IF((D105="d"),F105," ")</f>
        <v> </v>
      </c>
      <c r="H105" s="180" t="str">
        <f aca="false">IF((D105="h"),F105," ")</f>
        <v> </v>
      </c>
      <c r="I105" s="180" t="str">
        <f aca="false">IF((D105="r"),F105," ")</f>
        <v> </v>
      </c>
      <c r="J105" s="180" t="str">
        <f aca="false">IF((D105="t"),F105," ")</f>
        <v> </v>
      </c>
      <c r="K105" s="180" t="str">
        <f aca="false">IF((D105="e"),F105," ")</f>
        <v> </v>
      </c>
      <c r="L105" s="180" t="str">
        <f aca="false">IF((D105="p"),F105," ")</f>
        <v> </v>
      </c>
      <c r="M105" s="180" t="str">
        <f aca="false">IF((D105="g"),F105," ")</f>
        <v> </v>
      </c>
      <c r="N105" s="180" t="str">
        <f aca="false">IF((D105="a"),F105," ")</f>
        <v> </v>
      </c>
      <c r="O105" s="180" t="str">
        <f aca="false">IF((D105="l"),F105," ")</f>
        <v> </v>
      </c>
      <c r="P105" s="180" t="str">
        <f aca="false">IF((D105="i"),F105," ")</f>
        <v> </v>
      </c>
      <c r="Q105" s="180" t="str">
        <f aca="false">IF((D105="b"),F105," ")</f>
        <v> </v>
      </c>
      <c r="R105" s="180" t="str">
        <f aca="false">IF((D105="o"),F105," ")</f>
        <v> </v>
      </c>
      <c r="S105" s="180" t="str">
        <f aca="false">IF((D105="f"),F105," ")</f>
        <v> </v>
      </c>
      <c r="U105" s="371"/>
    </row>
    <row r="106" customFormat="false" ht="12.75" hidden="false" customHeight="false" outlineLevel="0" collapsed="false">
      <c r="D106" s="371" t="str">
        <f aca="false">IF((F106&lt;&gt;0),"Enter Letter"," ")</f>
        <v> </v>
      </c>
      <c r="G106" s="180" t="str">
        <f aca="false">IF((D106="d"),F106," ")</f>
        <v> </v>
      </c>
      <c r="H106" s="180" t="str">
        <f aca="false">IF((D106="h"),F106," ")</f>
        <v> </v>
      </c>
      <c r="I106" s="180" t="str">
        <f aca="false">IF((D106="r"),F106," ")</f>
        <v> </v>
      </c>
      <c r="J106" s="180" t="str">
        <f aca="false">IF((D106="t"),F106," ")</f>
        <v> </v>
      </c>
      <c r="K106" s="180" t="str">
        <f aca="false">IF((D106="e"),F106," ")</f>
        <v> </v>
      </c>
      <c r="L106" s="180" t="str">
        <f aca="false">IF((D106="p"),F106," ")</f>
        <v> </v>
      </c>
      <c r="M106" s="180" t="str">
        <f aca="false">IF((D106="g"),F106," ")</f>
        <v> </v>
      </c>
      <c r="N106" s="180" t="str">
        <f aca="false">IF((D106="a"),F106," ")</f>
        <v> </v>
      </c>
      <c r="O106" s="180" t="str">
        <f aca="false">IF((D106="l"),F106," ")</f>
        <v> </v>
      </c>
      <c r="P106" s="180" t="str">
        <f aca="false">IF((D106="i"),F106," ")</f>
        <v> </v>
      </c>
      <c r="Q106" s="180" t="str">
        <f aca="false">IF((D106="b"),F106," ")</f>
        <v> </v>
      </c>
      <c r="R106" s="180" t="str">
        <f aca="false">IF((D106="o"),F106," ")</f>
        <v> </v>
      </c>
      <c r="S106" s="180" t="str">
        <f aca="false">IF((D106="f"),F106," ")</f>
        <v> </v>
      </c>
      <c r="U106" s="371"/>
    </row>
    <row r="107" customFormat="false" ht="12.75" hidden="false" customHeight="false" outlineLevel="0" collapsed="false">
      <c r="D107" s="371" t="str">
        <f aca="false">IF((F107&lt;&gt;0),"Enter Letter"," ")</f>
        <v> </v>
      </c>
      <c r="G107" s="180" t="str">
        <f aca="false">IF((D107="d"),F107," ")</f>
        <v> </v>
      </c>
      <c r="H107" s="180" t="str">
        <f aca="false">IF((D107="h"),F107," ")</f>
        <v> </v>
      </c>
      <c r="I107" s="180" t="str">
        <f aca="false">IF((D107="r"),F107," ")</f>
        <v> </v>
      </c>
      <c r="J107" s="180" t="str">
        <f aca="false">IF((D107="t"),F107," ")</f>
        <v> </v>
      </c>
      <c r="K107" s="180" t="str">
        <f aca="false">IF((D107="e"),F107," ")</f>
        <v> </v>
      </c>
      <c r="L107" s="180" t="str">
        <f aca="false">IF((D107="p"),F107," ")</f>
        <v> </v>
      </c>
      <c r="M107" s="180" t="str">
        <f aca="false">IF((D107="g"),F107," ")</f>
        <v> </v>
      </c>
      <c r="N107" s="180" t="str">
        <f aca="false">IF((D107="a"),F107," ")</f>
        <v> </v>
      </c>
      <c r="O107" s="180" t="str">
        <f aca="false">IF((D107="l"),F107," ")</f>
        <v> </v>
      </c>
      <c r="P107" s="180" t="str">
        <f aca="false">IF((D107="i"),F107," ")</f>
        <v> </v>
      </c>
      <c r="Q107" s="180" t="str">
        <f aca="false">IF((D107="b"),F107," ")</f>
        <v> </v>
      </c>
      <c r="R107" s="180" t="str">
        <f aca="false">IF((D107="o"),F107," ")</f>
        <v> </v>
      </c>
      <c r="S107" s="180" t="str">
        <f aca="false">IF((D107="f"),F107," ")</f>
        <v> </v>
      </c>
      <c r="U107" s="371"/>
    </row>
    <row r="108" customFormat="false" ht="12.75" hidden="false" customHeight="false" outlineLevel="0" collapsed="false">
      <c r="D108" s="371" t="str">
        <f aca="false">IF((F108&lt;&gt;0),"Enter Letter"," ")</f>
        <v> </v>
      </c>
      <c r="G108" s="180" t="str">
        <f aca="false">IF((D108="d"),F108," ")</f>
        <v> </v>
      </c>
      <c r="H108" s="180" t="str">
        <f aca="false">IF((D108="h"),F108," ")</f>
        <v> </v>
      </c>
      <c r="I108" s="180" t="str">
        <f aca="false">IF((D108="r"),F108," ")</f>
        <v> </v>
      </c>
      <c r="J108" s="180" t="str">
        <f aca="false">IF((D108="t"),F108," ")</f>
        <v> </v>
      </c>
      <c r="K108" s="180" t="str">
        <f aca="false">IF((D108="e"),F108," ")</f>
        <v> </v>
      </c>
      <c r="L108" s="180" t="str">
        <f aca="false">IF((D108="p"),F108," ")</f>
        <v> </v>
      </c>
      <c r="M108" s="180" t="str">
        <f aca="false">IF((D108="g"),F108," ")</f>
        <v> </v>
      </c>
      <c r="N108" s="180" t="str">
        <f aca="false">IF((D108="a"),F108," ")</f>
        <v> </v>
      </c>
      <c r="O108" s="180" t="str">
        <f aca="false">IF((D108="l"),F108," ")</f>
        <v> </v>
      </c>
      <c r="P108" s="180" t="str">
        <f aca="false">IF((D108="i"),F108," ")</f>
        <v> </v>
      </c>
      <c r="Q108" s="180" t="str">
        <f aca="false">IF((D108="b"),F108," ")</f>
        <v> </v>
      </c>
      <c r="R108" s="180" t="str">
        <f aca="false">IF((D108="o"),F108," ")</f>
        <v> </v>
      </c>
      <c r="S108" s="180" t="str">
        <f aca="false">IF((D108="f"),F108," ")</f>
        <v> </v>
      </c>
      <c r="U108" s="371"/>
    </row>
    <row r="109" customFormat="false" ht="12.75" hidden="false" customHeight="false" outlineLevel="0" collapsed="false">
      <c r="D109" s="371" t="str">
        <f aca="false">IF((F109&lt;&gt;0),"Enter Letter"," ")</f>
        <v> </v>
      </c>
      <c r="G109" s="180" t="str">
        <f aca="false">IF((D109="d"),F109," ")</f>
        <v> </v>
      </c>
      <c r="H109" s="180" t="str">
        <f aca="false">IF((D109="h"),F109," ")</f>
        <v> </v>
      </c>
      <c r="I109" s="180" t="str">
        <f aca="false">IF((D109="r"),F109," ")</f>
        <v> </v>
      </c>
      <c r="J109" s="180" t="str">
        <f aca="false">IF((D109="t"),F109," ")</f>
        <v> </v>
      </c>
      <c r="K109" s="180" t="str">
        <f aca="false">IF((D109="e"),F109," ")</f>
        <v> </v>
      </c>
      <c r="L109" s="180" t="str">
        <f aca="false">IF((D109="p"),F109," ")</f>
        <v> </v>
      </c>
      <c r="M109" s="180" t="str">
        <f aca="false">IF((D109="g"),F109," ")</f>
        <v> </v>
      </c>
      <c r="N109" s="180" t="str">
        <f aca="false">IF((D109="a"),F109," ")</f>
        <v> </v>
      </c>
      <c r="O109" s="180" t="str">
        <f aca="false">IF((D109="l"),F109," ")</f>
        <v> </v>
      </c>
      <c r="P109" s="180" t="str">
        <f aca="false">IF((D109="i"),F109," ")</f>
        <v> </v>
      </c>
      <c r="Q109" s="180" t="str">
        <f aca="false">IF((D109="b"),F109," ")</f>
        <v> </v>
      </c>
      <c r="R109" s="180" t="str">
        <f aca="false">IF((D109="o"),F109," ")</f>
        <v> </v>
      </c>
      <c r="S109" s="180" t="str">
        <f aca="false">IF((D109="f"),F109," ")</f>
        <v> </v>
      </c>
      <c r="U109" s="371"/>
    </row>
    <row r="110" customFormat="false" ht="12.75" hidden="false" customHeight="false" outlineLevel="0" collapsed="false">
      <c r="D110" s="371" t="str">
        <f aca="false">IF((F110&lt;&gt;0),"Enter Letter"," ")</f>
        <v> </v>
      </c>
      <c r="G110" s="180" t="str">
        <f aca="false">IF((D110="d"),F110," ")</f>
        <v> </v>
      </c>
      <c r="H110" s="180" t="str">
        <f aca="false">IF((D110="h"),F110," ")</f>
        <v> </v>
      </c>
      <c r="I110" s="180" t="str">
        <f aca="false">IF((D110="r"),F110," ")</f>
        <v> </v>
      </c>
      <c r="J110" s="180" t="str">
        <f aca="false">IF((D110="t"),F110," ")</f>
        <v> </v>
      </c>
      <c r="K110" s="180" t="str">
        <f aca="false">IF((D110="e"),F110," ")</f>
        <v> </v>
      </c>
      <c r="L110" s="180" t="str">
        <f aca="false">IF((D110="p"),F110," ")</f>
        <v> </v>
      </c>
      <c r="M110" s="180" t="str">
        <f aca="false">IF((D110="g"),F110," ")</f>
        <v> </v>
      </c>
      <c r="N110" s="180" t="str">
        <f aca="false">IF((D110="a"),F110," ")</f>
        <v> </v>
      </c>
      <c r="O110" s="180" t="str">
        <f aca="false">IF((D110="l"),F110," ")</f>
        <v> </v>
      </c>
      <c r="P110" s="180" t="str">
        <f aca="false">IF((D110="i"),F110," ")</f>
        <v> </v>
      </c>
      <c r="Q110" s="180" t="str">
        <f aca="false">IF((D110="b"),F110," ")</f>
        <v> </v>
      </c>
      <c r="R110" s="180" t="str">
        <f aca="false">IF((D110="o"),F110," ")</f>
        <v> </v>
      </c>
      <c r="S110" s="180" t="str">
        <f aca="false">IF((D110="f"),F110," ")</f>
        <v> </v>
      </c>
      <c r="U110" s="371"/>
    </row>
    <row r="111" customFormat="false" ht="12.75" hidden="false" customHeight="false" outlineLevel="0" collapsed="false">
      <c r="D111" s="371" t="str">
        <f aca="false">IF((F111&lt;&gt;0),"Enter Letter"," ")</f>
        <v> </v>
      </c>
      <c r="G111" s="180" t="str">
        <f aca="false">IF((D111="d"),F111," ")</f>
        <v> </v>
      </c>
      <c r="H111" s="180" t="str">
        <f aca="false">IF((D111="h"),F111," ")</f>
        <v> </v>
      </c>
      <c r="I111" s="180" t="str">
        <f aca="false">IF((D111="r"),F111," ")</f>
        <v> </v>
      </c>
      <c r="J111" s="180" t="str">
        <f aca="false">IF((D111="t"),F111," ")</f>
        <v> </v>
      </c>
      <c r="K111" s="180" t="str">
        <f aca="false">IF((D111="e"),F111," ")</f>
        <v> </v>
      </c>
      <c r="L111" s="180" t="str">
        <f aca="false">IF((D111="p"),F111," ")</f>
        <v> </v>
      </c>
      <c r="M111" s="180" t="str">
        <f aca="false">IF((D111="g"),F111," ")</f>
        <v> </v>
      </c>
      <c r="N111" s="180" t="str">
        <f aca="false">IF((D111="a"),F111," ")</f>
        <v> </v>
      </c>
      <c r="O111" s="180" t="str">
        <f aca="false">IF((D111="l"),F111," ")</f>
        <v> </v>
      </c>
      <c r="P111" s="180" t="str">
        <f aca="false">IF((D111="i"),F111," ")</f>
        <v> </v>
      </c>
      <c r="Q111" s="180" t="str">
        <f aca="false">IF((D111="b"),F111," ")</f>
        <v> </v>
      </c>
      <c r="R111" s="180" t="str">
        <f aca="false">IF((D111="o"),F111," ")</f>
        <v> </v>
      </c>
      <c r="S111" s="180" t="str">
        <f aca="false">IF((D111="f"),F111," ")</f>
        <v> </v>
      </c>
      <c r="U111" s="371"/>
    </row>
    <row r="112" customFormat="false" ht="12.75" hidden="false" customHeight="false" outlineLevel="0" collapsed="false">
      <c r="D112" s="371" t="str">
        <f aca="false">IF((F112&lt;&gt;0),"Enter Letter"," ")</f>
        <v> </v>
      </c>
      <c r="G112" s="180" t="str">
        <f aca="false">IF((D112="d"),F112," ")</f>
        <v> </v>
      </c>
      <c r="H112" s="180" t="str">
        <f aca="false">IF((D112="h"),F112," ")</f>
        <v> </v>
      </c>
      <c r="I112" s="180" t="str">
        <f aca="false">IF((D112="r"),F112," ")</f>
        <v> </v>
      </c>
      <c r="J112" s="180" t="str">
        <f aca="false">IF((D112="t"),F112," ")</f>
        <v> </v>
      </c>
      <c r="K112" s="180" t="str">
        <f aca="false">IF((D112="e"),F112," ")</f>
        <v> </v>
      </c>
      <c r="L112" s="180" t="str">
        <f aca="false">IF((D112="p"),F112," ")</f>
        <v> </v>
      </c>
      <c r="M112" s="180" t="str">
        <f aca="false">IF((D112="g"),F112," ")</f>
        <v> </v>
      </c>
      <c r="N112" s="180" t="str">
        <f aca="false">IF((D112="a"),F112," ")</f>
        <v> </v>
      </c>
      <c r="O112" s="180" t="str">
        <f aca="false">IF((D112="l"),F112," ")</f>
        <v> </v>
      </c>
      <c r="P112" s="180" t="str">
        <f aca="false">IF((D112="i"),F112," ")</f>
        <v> </v>
      </c>
      <c r="Q112" s="180" t="str">
        <f aca="false">IF((D112="b"),F112," ")</f>
        <v> </v>
      </c>
      <c r="R112" s="180" t="str">
        <f aca="false">IF((D112="o"),F112," ")</f>
        <v> </v>
      </c>
      <c r="S112" s="180" t="str">
        <f aca="false">IF((D112="f"),F112," ")</f>
        <v> </v>
      </c>
      <c r="U112" s="371"/>
    </row>
    <row r="113" customFormat="false" ht="12.75" hidden="false" customHeight="false" outlineLevel="0" collapsed="false">
      <c r="D113" s="371" t="str">
        <f aca="false">IF((F113&lt;&gt;0),"Enter Letter"," ")</f>
        <v> </v>
      </c>
      <c r="G113" s="180" t="str">
        <f aca="false">IF((D113="d"),F113," ")</f>
        <v> </v>
      </c>
      <c r="H113" s="180" t="str">
        <f aca="false">IF((D113="h"),F113," ")</f>
        <v> </v>
      </c>
      <c r="I113" s="180" t="str">
        <f aca="false">IF((D113="r"),F113," ")</f>
        <v> </v>
      </c>
      <c r="J113" s="180" t="str">
        <f aca="false">IF((D113="t"),F113," ")</f>
        <v> </v>
      </c>
      <c r="K113" s="180" t="str">
        <f aca="false">IF((D113="e"),F113," ")</f>
        <v> </v>
      </c>
      <c r="L113" s="180" t="str">
        <f aca="false">IF((D113="p"),F113," ")</f>
        <v> </v>
      </c>
      <c r="M113" s="180" t="str">
        <f aca="false">IF((D113="g"),F113," ")</f>
        <v> </v>
      </c>
      <c r="N113" s="180" t="str">
        <f aca="false">IF((D113="a"),F113," ")</f>
        <v> </v>
      </c>
      <c r="O113" s="180" t="str">
        <f aca="false">IF((D113="l"),F113," ")</f>
        <v> </v>
      </c>
      <c r="P113" s="180" t="str">
        <f aca="false">IF((D113="i"),F113," ")</f>
        <v> </v>
      </c>
      <c r="Q113" s="180" t="str">
        <f aca="false">IF((D113="b"),F113," ")</f>
        <v> </v>
      </c>
      <c r="R113" s="180" t="str">
        <f aca="false">IF((D113="o"),F113," ")</f>
        <v> </v>
      </c>
      <c r="S113" s="180" t="str">
        <f aca="false">IF((D113="f"),F113," ")</f>
        <v> </v>
      </c>
      <c r="U113" s="371"/>
    </row>
    <row r="114" customFormat="false" ht="12.75" hidden="false" customHeight="false" outlineLevel="0" collapsed="false">
      <c r="D114" s="371" t="str">
        <f aca="false">IF((F114&lt;&gt;0),"Enter Letter"," ")</f>
        <v> </v>
      </c>
      <c r="G114" s="180" t="str">
        <f aca="false">IF((D114="d"),F114," ")</f>
        <v> </v>
      </c>
      <c r="H114" s="180" t="str">
        <f aca="false">IF((D114="h"),F114," ")</f>
        <v> </v>
      </c>
      <c r="I114" s="180" t="str">
        <f aca="false">IF((D114="r"),F114," ")</f>
        <v> </v>
      </c>
      <c r="J114" s="180" t="str">
        <f aca="false">IF((D114="t"),F114," ")</f>
        <v> </v>
      </c>
      <c r="K114" s="180" t="str">
        <f aca="false">IF((D114="e"),F114," ")</f>
        <v> </v>
      </c>
      <c r="L114" s="180" t="str">
        <f aca="false">IF((D114="p"),F114," ")</f>
        <v> </v>
      </c>
      <c r="M114" s="180" t="str">
        <f aca="false">IF((D114="g"),F114," ")</f>
        <v> </v>
      </c>
      <c r="N114" s="180" t="str">
        <f aca="false">IF((D114="a"),F114," ")</f>
        <v> </v>
      </c>
      <c r="O114" s="180" t="str">
        <f aca="false">IF((D114="l"),F114," ")</f>
        <v> </v>
      </c>
      <c r="P114" s="180" t="str">
        <f aca="false">IF((D114="i"),F114," ")</f>
        <v> </v>
      </c>
      <c r="Q114" s="180" t="str">
        <f aca="false">IF((D114="b"),F114," ")</f>
        <v> </v>
      </c>
      <c r="R114" s="180" t="str">
        <f aca="false">IF((D114="o"),F114," ")</f>
        <v> </v>
      </c>
      <c r="S114" s="180" t="str">
        <f aca="false">IF((D114="f"),F114," ")</f>
        <v> </v>
      </c>
      <c r="U114" s="371"/>
    </row>
    <row r="115" customFormat="false" ht="12.75" hidden="false" customHeight="false" outlineLevel="0" collapsed="false">
      <c r="D115" s="371" t="str">
        <f aca="false">IF((F115&lt;&gt;0),"Enter Letter"," ")</f>
        <v> </v>
      </c>
      <c r="G115" s="180" t="str">
        <f aca="false">IF((D115="d"),F115," ")</f>
        <v> </v>
      </c>
      <c r="H115" s="180" t="str">
        <f aca="false">IF((D115="h"),F115," ")</f>
        <v> </v>
      </c>
      <c r="I115" s="180" t="str">
        <f aca="false">IF((D115="r"),F115," ")</f>
        <v> </v>
      </c>
      <c r="J115" s="180" t="str">
        <f aca="false">IF((D115="t"),F115," ")</f>
        <v> </v>
      </c>
      <c r="K115" s="180" t="str">
        <f aca="false">IF((D115="e"),F115," ")</f>
        <v> </v>
      </c>
      <c r="L115" s="180" t="str">
        <f aca="false">IF((D115="p"),F115," ")</f>
        <v> </v>
      </c>
      <c r="M115" s="180" t="str">
        <f aca="false">IF((D115="g"),F115," ")</f>
        <v> </v>
      </c>
      <c r="N115" s="180" t="str">
        <f aca="false">IF((D115="a"),F115," ")</f>
        <v> </v>
      </c>
      <c r="O115" s="180" t="str">
        <f aca="false">IF((D115="l"),F115," ")</f>
        <v> </v>
      </c>
      <c r="P115" s="180" t="str">
        <f aca="false">IF((D115="i"),F115," ")</f>
        <v> </v>
      </c>
      <c r="Q115" s="180" t="str">
        <f aca="false">IF((D115="b"),F115," ")</f>
        <v> </v>
      </c>
      <c r="R115" s="180" t="str">
        <f aca="false">IF((D115="o"),F115," ")</f>
        <v> </v>
      </c>
      <c r="S115" s="180" t="str">
        <f aca="false">IF((D115="f"),F115," ")</f>
        <v> </v>
      </c>
      <c r="U115" s="371"/>
    </row>
    <row r="116" customFormat="false" ht="12.75" hidden="false" customHeight="false" outlineLevel="0" collapsed="false">
      <c r="D116" s="371" t="str">
        <f aca="false">IF((F116&lt;&gt;0),"Enter Letter"," ")</f>
        <v> </v>
      </c>
      <c r="G116" s="180" t="str">
        <f aca="false">IF((D116="d"),F116," ")</f>
        <v> </v>
      </c>
      <c r="H116" s="180" t="str">
        <f aca="false">IF((D116="h"),F116," ")</f>
        <v> </v>
      </c>
      <c r="I116" s="180" t="str">
        <f aca="false">IF((D116="r"),F116," ")</f>
        <v> </v>
      </c>
      <c r="J116" s="180" t="str">
        <f aca="false">IF((D116="t"),F116," ")</f>
        <v> </v>
      </c>
      <c r="K116" s="180" t="str">
        <f aca="false">IF((D116="e"),F116," ")</f>
        <v> </v>
      </c>
      <c r="L116" s="180" t="str">
        <f aca="false">IF((D116="p"),F116," ")</f>
        <v> </v>
      </c>
      <c r="M116" s="180" t="str">
        <f aca="false">IF((D116="g"),F116," ")</f>
        <v> </v>
      </c>
      <c r="N116" s="180" t="str">
        <f aca="false">IF((D116="a"),F116," ")</f>
        <v> </v>
      </c>
      <c r="O116" s="180" t="str">
        <f aca="false">IF((D116="l"),F116," ")</f>
        <v> </v>
      </c>
      <c r="P116" s="180" t="str">
        <f aca="false">IF((D116="i"),F116," ")</f>
        <v> </v>
      </c>
      <c r="Q116" s="180" t="str">
        <f aca="false">IF((D116="b"),F116," ")</f>
        <v> </v>
      </c>
      <c r="R116" s="180" t="str">
        <f aca="false">IF((D116="o"),F116," ")</f>
        <v> </v>
      </c>
      <c r="S116" s="180" t="str">
        <f aca="false">IF((D116="f"),F116," ")</f>
        <v> </v>
      </c>
      <c r="U116" s="371"/>
    </row>
    <row r="117" customFormat="false" ht="12.75" hidden="false" customHeight="false" outlineLevel="0" collapsed="false">
      <c r="D117" s="371" t="str">
        <f aca="false">IF((F117&lt;&gt;0),"Enter Letter"," ")</f>
        <v> </v>
      </c>
      <c r="G117" s="180" t="str">
        <f aca="false">IF((D117="d"),F117," ")</f>
        <v> </v>
      </c>
      <c r="H117" s="180" t="str">
        <f aca="false">IF((D117="h"),F117," ")</f>
        <v> </v>
      </c>
      <c r="I117" s="180" t="str">
        <f aca="false">IF((D117="r"),F117," ")</f>
        <v> </v>
      </c>
      <c r="J117" s="180" t="str">
        <f aca="false">IF((D117="t"),F117," ")</f>
        <v> </v>
      </c>
      <c r="K117" s="180" t="str">
        <f aca="false">IF((D117="e"),F117," ")</f>
        <v> </v>
      </c>
      <c r="L117" s="180" t="str">
        <f aca="false">IF((D117="p"),F117," ")</f>
        <v> </v>
      </c>
      <c r="M117" s="180" t="str">
        <f aca="false">IF((D117="g"),F117," ")</f>
        <v> </v>
      </c>
      <c r="N117" s="180" t="str">
        <f aca="false">IF((D117="a"),F117," ")</f>
        <v> </v>
      </c>
      <c r="O117" s="180" t="str">
        <f aca="false">IF((D117="l"),F117," ")</f>
        <v> </v>
      </c>
      <c r="P117" s="180" t="str">
        <f aca="false">IF((D117="i"),F117," ")</f>
        <v> </v>
      </c>
      <c r="Q117" s="180" t="str">
        <f aca="false">IF((D117="b"),F117," ")</f>
        <v> </v>
      </c>
      <c r="R117" s="180" t="str">
        <f aca="false">IF((D117="o"),F117," ")</f>
        <v> </v>
      </c>
      <c r="S117" s="180" t="str">
        <f aca="false">IF((D117="f"),F117," ")</f>
        <v> </v>
      </c>
      <c r="U117" s="371"/>
    </row>
    <row r="118" customFormat="false" ht="12.75" hidden="false" customHeight="false" outlineLevel="0" collapsed="false">
      <c r="D118" s="371" t="str">
        <f aca="false">IF((F118&lt;&gt;0),"Enter Letter"," ")</f>
        <v> </v>
      </c>
      <c r="G118" s="180" t="str">
        <f aca="false">IF((D118="d"),F118," ")</f>
        <v> </v>
      </c>
      <c r="H118" s="180" t="str">
        <f aca="false">IF((D118="h"),F118," ")</f>
        <v> </v>
      </c>
      <c r="I118" s="180" t="str">
        <f aca="false">IF((D118="r"),F118," ")</f>
        <v> </v>
      </c>
      <c r="J118" s="180" t="str">
        <f aca="false">IF((D118="t"),F118," ")</f>
        <v> </v>
      </c>
      <c r="K118" s="180" t="str">
        <f aca="false">IF((D118="e"),F118," ")</f>
        <v> </v>
      </c>
      <c r="L118" s="180" t="str">
        <f aca="false">IF((D118="p"),F118," ")</f>
        <v> </v>
      </c>
      <c r="M118" s="180" t="str">
        <f aca="false">IF((D118="g"),F118," ")</f>
        <v> </v>
      </c>
      <c r="N118" s="180" t="str">
        <f aca="false">IF((D118="a"),F118," ")</f>
        <v> </v>
      </c>
      <c r="O118" s="180" t="str">
        <f aca="false">IF((D118="l"),F118," ")</f>
        <v> </v>
      </c>
      <c r="P118" s="180" t="str">
        <f aca="false">IF((D118="i"),F118," ")</f>
        <v> </v>
      </c>
      <c r="Q118" s="180" t="str">
        <f aca="false">IF((D118="b"),F118," ")</f>
        <v> </v>
      </c>
      <c r="R118" s="180" t="str">
        <f aca="false">IF((D118="o"),F118," ")</f>
        <v> </v>
      </c>
      <c r="S118" s="180" t="str">
        <f aca="false">IF((D118="f"),F118," ")</f>
        <v> </v>
      </c>
      <c r="U118" s="371"/>
    </row>
    <row r="119" customFormat="false" ht="12.75" hidden="false" customHeight="false" outlineLevel="0" collapsed="false">
      <c r="D119" s="371" t="str">
        <f aca="false">IF((F119&lt;&gt;0),"Enter Letter"," ")</f>
        <v> </v>
      </c>
      <c r="G119" s="180" t="str">
        <f aca="false">IF((D119="d"),F119," ")</f>
        <v> </v>
      </c>
      <c r="H119" s="180" t="str">
        <f aca="false">IF((D119="h"),F119," ")</f>
        <v> </v>
      </c>
      <c r="I119" s="180" t="str">
        <f aca="false">IF((D119="r"),F119," ")</f>
        <v> </v>
      </c>
      <c r="J119" s="180" t="str">
        <f aca="false">IF((D119="t"),F119," ")</f>
        <v> </v>
      </c>
      <c r="K119" s="180" t="str">
        <f aca="false">IF((D119="e"),F119," ")</f>
        <v> </v>
      </c>
      <c r="L119" s="180" t="str">
        <f aca="false">IF((D119="p"),F119," ")</f>
        <v> </v>
      </c>
      <c r="M119" s="180" t="str">
        <f aca="false">IF((D119="g"),F119," ")</f>
        <v> </v>
      </c>
      <c r="N119" s="180" t="str">
        <f aca="false">IF((D119="a"),F119," ")</f>
        <v> </v>
      </c>
      <c r="O119" s="180" t="str">
        <f aca="false">IF((D119="l"),F119," ")</f>
        <v> </v>
      </c>
      <c r="P119" s="180" t="str">
        <f aca="false">IF((D119="i"),F119," ")</f>
        <v> </v>
      </c>
      <c r="Q119" s="180" t="str">
        <f aca="false">IF((D119="b"),F119," ")</f>
        <v> </v>
      </c>
      <c r="R119" s="180" t="str">
        <f aca="false">IF((D119="o"),F119," ")</f>
        <v> </v>
      </c>
      <c r="S119" s="180" t="str">
        <f aca="false">IF((D119="f"),F119," ")</f>
        <v> </v>
      </c>
      <c r="U119" s="371"/>
    </row>
    <row r="120" customFormat="false" ht="12.75" hidden="false" customHeight="false" outlineLevel="0" collapsed="false">
      <c r="D120" s="371" t="str">
        <f aca="false">IF((F120&lt;&gt;0),"Enter Letter"," ")</f>
        <v> </v>
      </c>
      <c r="G120" s="180" t="str">
        <f aca="false">IF((D120="d"),F120," ")</f>
        <v> </v>
      </c>
      <c r="H120" s="180" t="str">
        <f aca="false">IF((D120="h"),F120," ")</f>
        <v> </v>
      </c>
      <c r="I120" s="180" t="str">
        <f aca="false">IF((D120="r"),F120," ")</f>
        <v> </v>
      </c>
      <c r="J120" s="180" t="str">
        <f aca="false">IF((D120="t"),F120," ")</f>
        <v> </v>
      </c>
      <c r="K120" s="180" t="str">
        <f aca="false">IF((D120="e"),F120," ")</f>
        <v> </v>
      </c>
      <c r="L120" s="180" t="str">
        <f aca="false">IF((D120="p"),F120," ")</f>
        <v> </v>
      </c>
      <c r="M120" s="180" t="str">
        <f aca="false">IF((D120="g"),F120," ")</f>
        <v> </v>
      </c>
      <c r="N120" s="180" t="str">
        <f aca="false">IF((D120="a"),F120," ")</f>
        <v> </v>
      </c>
      <c r="O120" s="180" t="str">
        <f aca="false">IF((D120="l"),F120," ")</f>
        <v> </v>
      </c>
      <c r="P120" s="180" t="str">
        <f aca="false">IF((D120="i"),F120," ")</f>
        <v> </v>
      </c>
      <c r="Q120" s="180" t="str">
        <f aca="false">IF((D120="b"),F120," ")</f>
        <v> </v>
      </c>
      <c r="R120" s="180" t="str">
        <f aca="false">IF((D120="o"),F120," ")</f>
        <v> </v>
      </c>
      <c r="S120" s="180" t="str">
        <f aca="false">IF((D120="f"),F120," ")</f>
        <v> </v>
      </c>
      <c r="U120" s="371"/>
    </row>
    <row r="121" customFormat="false" ht="12.75" hidden="false" customHeight="false" outlineLevel="0" collapsed="false">
      <c r="D121" s="371" t="str">
        <f aca="false">IF((F121&lt;&gt;0),"Enter Letter"," ")</f>
        <v> </v>
      </c>
      <c r="G121" s="180" t="str">
        <f aca="false">IF((D121="d"),F121," ")</f>
        <v> </v>
      </c>
      <c r="H121" s="180" t="str">
        <f aca="false">IF((D121="h"),F121," ")</f>
        <v> </v>
      </c>
      <c r="I121" s="180" t="str">
        <f aca="false">IF((D121="r"),F121," ")</f>
        <v> </v>
      </c>
      <c r="J121" s="180" t="str">
        <f aca="false">IF((D121="t"),F121," ")</f>
        <v> </v>
      </c>
      <c r="K121" s="180" t="str">
        <f aca="false">IF((D121="e"),F121," ")</f>
        <v> </v>
      </c>
      <c r="L121" s="180" t="str">
        <f aca="false">IF((D121="p"),F121," ")</f>
        <v> </v>
      </c>
      <c r="M121" s="180" t="str">
        <f aca="false">IF((D121="g"),F121," ")</f>
        <v> </v>
      </c>
      <c r="N121" s="180" t="str">
        <f aca="false">IF((D121="a"),F121," ")</f>
        <v> </v>
      </c>
      <c r="O121" s="180" t="str">
        <f aca="false">IF((D121="l"),F121," ")</f>
        <v> </v>
      </c>
      <c r="P121" s="180" t="str">
        <f aca="false">IF((D121="i"),F121," ")</f>
        <v> </v>
      </c>
      <c r="Q121" s="180" t="str">
        <f aca="false">IF((D121="b"),F121," ")</f>
        <v> </v>
      </c>
      <c r="R121" s="180" t="str">
        <f aca="false">IF((D121="o"),F121," ")</f>
        <v> </v>
      </c>
      <c r="S121" s="180" t="str">
        <f aca="false">IF((D121="f"),F121," ")</f>
        <v> </v>
      </c>
      <c r="U121" s="371"/>
    </row>
    <row r="122" customFormat="false" ht="12.75" hidden="false" customHeight="false" outlineLevel="0" collapsed="false">
      <c r="D122" s="371" t="str">
        <f aca="false">IF((F122&lt;&gt;0),"Enter Letter"," ")</f>
        <v> </v>
      </c>
      <c r="G122" s="180" t="str">
        <f aca="false">IF((D122="d"),F122," ")</f>
        <v> </v>
      </c>
      <c r="H122" s="180" t="str">
        <f aca="false">IF((D122="h"),F122," ")</f>
        <v> </v>
      </c>
      <c r="I122" s="180" t="str">
        <f aca="false">IF((D122="r"),F122," ")</f>
        <v> </v>
      </c>
      <c r="J122" s="180" t="str">
        <f aca="false">IF((D122="t"),F122," ")</f>
        <v> </v>
      </c>
      <c r="K122" s="180" t="str">
        <f aca="false">IF((D122="e"),F122," ")</f>
        <v> </v>
      </c>
      <c r="L122" s="180" t="str">
        <f aca="false">IF((D122="p"),F122," ")</f>
        <v> </v>
      </c>
      <c r="M122" s="180" t="str">
        <f aca="false">IF((D122="g"),F122," ")</f>
        <v> </v>
      </c>
      <c r="N122" s="180" t="str">
        <f aca="false">IF((D122="a"),F122," ")</f>
        <v> </v>
      </c>
      <c r="O122" s="180" t="str">
        <f aca="false">IF((D122="l"),F122," ")</f>
        <v> </v>
      </c>
      <c r="P122" s="180" t="str">
        <f aca="false">IF((D122="i"),F122," ")</f>
        <v> </v>
      </c>
      <c r="Q122" s="180" t="str">
        <f aca="false">IF((D122="b"),F122," ")</f>
        <v> </v>
      </c>
      <c r="R122" s="180" t="str">
        <f aca="false">IF((D122="o"),F122," ")</f>
        <v> </v>
      </c>
      <c r="S122" s="180" t="str">
        <f aca="false">IF((D122="f"),F122," ")</f>
        <v> </v>
      </c>
      <c r="U122" s="371"/>
    </row>
    <row r="123" customFormat="false" ht="12.75" hidden="false" customHeight="false" outlineLevel="0" collapsed="false">
      <c r="D123" s="371" t="str">
        <f aca="false">IF((F123&lt;&gt;0),"Enter Letter"," ")</f>
        <v> </v>
      </c>
      <c r="G123" s="180" t="str">
        <f aca="false">IF((D123="d"),F123," ")</f>
        <v> </v>
      </c>
      <c r="H123" s="180" t="str">
        <f aca="false">IF((D123="h"),F123," ")</f>
        <v> </v>
      </c>
      <c r="I123" s="180" t="str">
        <f aca="false">IF((D123="r"),F123," ")</f>
        <v> </v>
      </c>
      <c r="J123" s="180" t="str">
        <f aca="false">IF((D123="t"),F123," ")</f>
        <v> </v>
      </c>
      <c r="K123" s="180" t="str">
        <f aca="false">IF((D123="e"),F123," ")</f>
        <v> </v>
      </c>
      <c r="L123" s="180" t="str">
        <f aca="false">IF((D123="p"),F123," ")</f>
        <v> </v>
      </c>
      <c r="M123" s="180" t="str">
        <f aca="false">IF((D123="g"),F123," ")</f>
        <v> </v>
      </c>
      <c r="N123" s="180" t="str">
        <f aca="false">IF((D123="a"),F123," ")</f>
        <v> </v>
      </c>
      <c r="O123" s="180" t="str">
        <f aca="false">IF((D123="l"),F123," ")</f>
        <v> </v>
      </c>
      <c r="P123" s="180" t="str">
        <f aca="false">IF((D123="i"),F123," ")</f>
        <v> </v>
      </c>
      <c r="Q123" s="180" t="str">
        <f aca="false">IF((D123="b"),F123," ")</f>
        <v> </v>
      </c>
      <c r="R123" s="180" t="str">
        <f aca="false">IF((D123="o"),F123," ")</f>
        <v> </v>
      </c>
      <c r="S123" s="180" t="str">
        <f aca="false">IF((D123="f"),F123," ")</f>
        <v> </v>
      </c>
      <c r="U123" s="371"/>
    </row>
    <row r="124" customFormat="false" ht="12.75" hidden="false" customHeight="false" outlineLevel="0" collapsed="false">
      <c r="D124" s="371" t="str">
        <f aca="false">IF((F124&lt;&gt;0),"Enter Letter"," ")</f>
        <v> </v>
      </c>
      <c r="G124" s="180" t="str">
        <f aca="false">IF((D124="d"),F124," ")</f>
        <v> </v>
      </c>
      <c r="H124" s="180" t="str">
        <f aca="false">IF((D124="h"),F124," ")</f>
        <v> </v>
      </c>
      <c r="I124" s="180" t="str">
        <f aca="false">IF((D124="r"),F124," ")</f>
        <v> </v>
      </c>
      <c r="J124" s="180" t="str">
        <f aca="false">IF((D124="t"),F124," ")</f>
        <v> </v>
      </c>
      <c r="K124" s="180" t="str">
        <f aca="false">IF((D124="e"),F124," ")</f>
        <v> </v>
      </c>
      <c r="L124" s="180" t="str">
        <f aca="false">IF((D124="p"),F124," ")</f>
        <v> </v>
      </c>
      <c r="M124" s="180" t="str">
        <f aca="false">IF((D124="g"),F124," ")</f>
        <v> </v>
      </c>
      <c r="N124" s="180" t="str">
        <f aca="false">IF((D124="a"),F124," ")</f>
        <v> </v>
      </c>
      <c r="O124" s="180" t="str">
        <f aca="false">IF((D124="l"),F124," ")</f>
        <v> </v>
      </c>
      <c r="P124" s="180" t="str">
        <f aca="false">IF((D124="i"),F124," ")</f>
        <v> </v>
      </c>
      <c r="Q124" s="180" t="str">
        <f aca="false">IF((D124="b"),F124," ")</f>
        <v> </v>
      </c>
      <c r="R124" s="180" t="str">
        <f aca="false">IF((D124="o"),F124," ")</f>
        <v> </v>
      </c>
      <c r="S124" s="180" t="str">
        <f aca="false">IF((D124="f"),F124," ")</f>
        <v> </v>
      </c>
      <c r="U124" s="371"/>
    </row>
    <row r="125" customFormat="false" ht="12.75" hidden="false" customHeight="false" outlineLevel="0" collapsed="false">
      <c r="D125" s="371" t="str">
        <f aca="false">IF((F125&lt;&gt;0),"Enter Letter"," ")</f>
        <v> </v>
      </c>
      <c r="G125" s="180" t="str">
        <f aca="false">IF((D125="d"),F125," ")</f>
        <v> </v>
      </c>
      <c r="H125" s="180" t="str">
        <f aca="false">IF((D125="h"),F125," ")</f>
        <v> </v>
      </c>
      <c r="I125" s="180" t="str">
        <f aca="false">IF((D125="r"),F125," ")</f>
        <v> </v>
      </c>
      <c r="J125" s="180" t="str">
        <f aca="false">IF((D125="t"),F125," ")</f>
        <v> </v>
      </c>
      <c r="K125" s="180" t="str">
        <f aca="false">IF((D125="e"),F125," ")</f>
        <v> </v>
      </c>
      <c r="L125" s="180" t="str">
        <f aca="false">IF((D125="p"),F125," ")</f>
        <v> </v>
      </c>
      <c r="M125" s="180" t="str">
        <f aca="false">IF((D125="g"),F125," ")</f>
        <v> </v>
      </c>
      <c r="N125" s="180" t="str">
        <f aca="false">IF((D125="a"),F125," ")</f>
        <v> </v>
      </c>
      <c r="O125" s="180" t="str">
        <f aca="false">IF((D125="l"),F125," ")</f>
        <v> </v>
      </c>
      <c r="P125" s="180" t="str">
        <f aca="false">IF((D125="i"),F125," ")</f>
        <v> </v>
      </c>
      <c r="Q125" s="180" t="str">
        <f aca="false">IF((D125="b"),F125," ")</f>
        <v> </v>
      </c>
      <c r="R125" s="180" t="str">
        <f aca="false">IF((D125="o"),F125," ")</f>
        <v> </v>
      </c>
      <c r="S125" s="180" t="str">
        <f aca="false">IF((D125="f"),F125," ")</f>
        <v> </v>
      </c>
      <c r="U125" s="371"/>
    </row>
    <row r="126" customFormat="false" ht="12.75" hidden="false" customHeight="false" outlineLevel="0" collapsed="false">
      <c r="D126" s="371" t="str">
        <f aca="false">IF((F126&lt;&gt;0),"Enter Letter"," ")</f>
        <v> </v>
      </c>
      <c r="G126" s="180" t="str">
        <f aca="false">IF((D126="d"),F126," ")</f>
        <v> </v>
      </c>
      <c r="H126" s="180" t="str">
        <f aca="false">IF((D126="h"),F126," ")</f>
        <v> </v>
      </c>
      <c r="I126" s="180" t="str">
        <f aca="false">IF((D126="r"),F126," ")</f>
        <v> </v>
      </c>
      <c r="J126" s="180" t="str">
        <f aca="false">IF((D126="t"),F126," ")</f>
        <v> </v>
      </c>
      <c r="K126" s="180" t="str">
        <f aca="false">IF((D126="e"),F126," ")</f>
        <v> </v>
      </c>
      <c r="L126" s="180" t="str">
        <f aca="false">IF((D126="p"),F126," ")</f>
        <v> </v>
      </c>
      <c r="M126" s="180" t="str">
        <f aca="false">IF((D126="g"),F126," ")</f>
        <v> </v>
      </c>
      <c r="N126" s="180" t="str">
        <f aca="false">IF((D126="a"),F126," ")</f>
        <v> </v>
      </c>
      <c r="O126" s="180" t="str">
        <f aca="false">IF((D126="l"),F126," ")</f>
        <v> </v>
      </c>
      <c r="P126" s="180" t="str">
        <f aca="false">IF((D126="i"),F126," ")</f>
        <v> </v>
      </c>
      <c r="Q126" s="180" t="str">
        <f aca="false">IF((D126="b"),F126," ")</f>
        <v> </v>
      </c>
      <c r="R126" s="180" t="str">
        <f aca="false">IF((D126="o"),F126," ")</f>
        <v> </v>
      </c>
      <c r="S126" s="180" t="str">
        <f aca="false">IF((D126="f"),F126," ")</f>
        <v> </v>
      </c>
      <c r="U126" s="371"/>
    </row>
    <row r="127" customFormat="false" ht="12.75" hidden="false" customHeight="false" outlineLevel="0" collapsed="false">
      <c r="D127" s="371" t="str">
        <f aca="false">IF((F127&lt;&gt;0),"Enter Letter"," ")</f>
        <v> </v>
      </c>
      <c r="G127" s="180" t="str">
        <f aca="false">IF((D127="d"),F127," ")</f>
        <v> </v>
      </c>
      <c r="H127" s="180" t="str">
        <f aca="false">IF((D127="h"),F127," ")</f>
        <v> </v>
      </c>
      <c r="I127" s="180" t="str">
        <f aca="false">IF((D127="r"),F127," ")</f>
        <v> </v>
      </c>
      <c r="J127" s="180" t="str">
        <f aca="false">IF((D127="t"),F127," ")</f>
        <v> </v>
      </c>
      <c r="K127" s="180" t="str">
        <f aca="false">IF((D127="e"),F127," ")</f>
        <v> </v>
      </c>
      <c r="L127" s="180" t="str">
        <f aca="false">IF((D127="p"),F127," ")</f>
        <v> </v>
      </c>
      <c r="M127" s="180" t="str">
        <f aca="false">IF((D127="g"),F127," ")</f>
        <v> </v>
      </c>
      <c r="N127" s="180" t="str">
        <f aca="false">IF((D127="a"),F127," ")</f>
        <v> </v>
      </c>
      <c r="O127" s="180" t="str">
        <f aca="false">IF((D127="l"),F127," ")</f>
        <v> </v>
      </c>
      <c r="P127" s="180" t="str">
        <f aca="false">IF((D127="i"),F127," ")</f>
        <v> </v>
      </c>
      <c r="Q127" s="180" t="str">
        <f aca="false">IF((D127="b"),F127," ")</f>
        <v> </v>
      </c>
      <c r="R127" s="180" t="str">
        <f aca="false">IF((D127="o"),F127," ")</f>
        <v> </v>
      </c>
      <c r="S127" s="180" t="str">
        <f aca="false">IF((D127="f"),F127," ")</f>
        <v> </v>
      </c>
      <c r="U127" s="371"/>
    </row>
    <row r="128" customFormat="false" ht="12.75" hidden="false" customHeight="false" outlineLevel="0" collapsed="false">
      <c r="D128" s="371" t="str">
        <f aca="false">IF((F128&lt;&gt;0),"Enter Letter"," ")</f>
        <v> </v>
      </c>
      <c r="G128" s="180" t="str">
        <f aca="false">IF((D128="d"),F128," ")</f>
        <v> </v>
      </c>
      <c r="H128" s="180" t="str">
        <f aca="false">IF((D128="h"),F128," ")</f>
        <v> </v>
      </c>
      <c r="I128" s="180" t="str">
        <f aca="false">IF((D128="r"),F128," ")</f>
        <v> </v>
      </c>
      <c r="J128" s="180" t="str">
        <f aca="false">IF((D128="t"),F128," ")</f>
        <v> </v>
      </c>
      <c r="K128" s="180" t="str">
        <f aca="false">IF((D128="e"),F128," ")</f>
        <v> </v>
      </c>
      <c r="L128" s="180" t="str">
        <f aca="false">IF((D128="p"),F128," ")</f>
        <v> </v>
      </c>
      <c r="M128" s="180" t="str">
        <f aca="false">IF((D128="g"),F128," ")</f>
        <v> </v>
      </c>
      <c r="N128" s="180" t="str">
        <f aca="false">IF((D128="a"),F128," ")</f>
        <v> </v>
      </c>
      <c r="O128" s="180" t="str">
        <f aca="false">IF((D128="l"),F128," ")</f>
        <v> </v>
      </c>
      <c r="P128" s="180" t="str">
        <f aca="false">IF((D128="i"),F128," ")</f>
        <v> </v>
      </c>
      <c r="Q128" s="180" t="str">
        <f aca="false">IF((D128="b"),F128," ")</f>
        <v> </v>
      </c>
      <c r="R128" s="180" t="str">
        <f aca="false">IF((D128="o"),F128," ")</f>
        <v> </v>
      </c>
      <c r="S128" s="180" t="str">
        <f aca="false">IF((D128="f"),F128," ")</f>
        <v> </v>
      </c>
      <c r="U128" s="371"/>
    </row>
    <row r="129" customFormat="false" ht="12.75" hidden="false" customHeight="false" outlineLevel="0" collapsed="false">
      <c r="D129" s="371" t="str">
        <f aca="false">IF((F129&lt;&gt;0),"Enter Letter"," ")</f>
        <v> </v>
      </c>
      <c r="G129" s="180" t="str">
        <f aca="false">IF((D129="d"),F129," ")</f>
        <v> </v>
      </c>
      <c r="H129" s="180" t="str">
        <f aca="false">IF((D129="h"),F129," ")</f>
        <v> </v>
      </c>
      <c r="I129" s="180" t="str">
        <f aca="false">IF((D129="r"),F129," ")</f>
        <v> </v>
      </c>
      <c r="J129" s="180" t="str">
        <f aca="false">IF((D129="t"),F129," ")</f>
        <v> </v>
      </c>
      <c r="K129" s="180" t="str">
        <f aca="false">IF((D129="e"),F129," ")</f>
        <v> </v>
      </c>
      <c r="L129" s="180" t="str">
        <f aca="false">IF((D129="p"),F129," ")</f>
        <v> </v>
      </c>
      <c r="M129" s="180" t="str">
        <f aca="false">IF((D129="g"),F129," ")</f>
        <v> </v>
      </c>
      <c r="N129" s="180" t="str">
        <f aca="false">IF((D129="a"),F129," ")</f>
        <v> </v>
      </c>
      <c r="O129" s="180" t="str">
        <f aca="false">IF((D129="l"),F129," ")</f>
        <v> </v>
      </c>
      <c r="P129" s="180" t="str">
        <f aca="false">IF((D129="i"),F129," ")</f>
        <v> </v>
      </c>
      <c r="Q129" s="180" t="str">
        <f aca="false">IF((D129="b"),F129," ")</f>
        <v> </v>
      </c>
      <c r="R129" s="180" t="str">
        <f aca="false">IF((D129="o"),F129," ")</f>
        <v> </v>
      </c>
      <c r="S129" s="180" t="str">
        <f aca="false">IF((D129="f"),F129," ")</f>
        <v> </v>
      </c>
      <c r="U129" s="371"/>
    </row>
    <row r="130" customFormat="false" ht="12.75" hidden="false" customHeight="false" outlineLevel="0" collapsed="false">
      <c r="D130" s="371" t="str">
        <f aca="false">IF((F130&lt;&gt;0),"Enter Letter"," ")</f>
        <v> </v>
      </c>
      <c r="G130" s="180" t="str">
        <f aca="false">IF((D130="d"),F130," ")</f>
        <v> </v>
      </c>
      <c r="H130" s="180" t="str">
        <f aca="false">IF((D130="h"),F130," ")</f>
        <v> </v>
      </c>
      <c r="I130" s="180" t="str">
        <f aca="false">IF((D130="r"),F130," ")</f>
        <v> </v>
      </c>
      <c r="J130" s="180" t="str">
        <f aca="false">IF((D130="t"),F130," ")</f>
        <v> </v>
      </c>
      <c r="K130" s="180" t="str">
        <f aca="false">IF((D130="e"),F130," ")</f>
        <v> </v>
      </c>
      <c r="L130" s="180" t="str">
        <f aca="false">IF((D130="p"),F130," ")</f>
        <v> </v>
      </c>
      <c r="M130" s="180" t="str">
        <f aca="false">IF((D130="g"),F130," ")</f>
        <v> </v>
      </c>
      <c r="N130" s="180" t="str">
        <f aca="false">IF((D130="a"),F130," ")</f>
        <v> </v>
      </c>
      <c r="O130" s="180" t="str">
        <f aca="false">IF((D130="l"),F130," ")</f>
        <v> </v>
      </c>
      <c r="P130" s="180" t="str">
        <f aca="false">IF((D130="i"),F130," ")</f>
        <v> </v>
      </c>
      <c r="Q130" s="180" t="str">
        <f aca="false">IF((D130="b"),F130," ")</f>
        <v> </v>
      </c>
      <c r="R130" s="180" t="str">
        <f aca="false">IF((D130="o"),F130," ")</f>
        <v> </v>
      </c>
      <c r="S130" s="180" t="str">
        <f aca="false">IF((D130="f"),F130," ")</f>
        <v> </v>
      </c>
      <c r="U130" s="371"/>
    </row>
    <row r="131" customFormat="false" ht="12.75" hidden="false" customHeight="false" outlineLevel="0" collapsed="false">
      <c r="D131" s="371" t="str">
        <f aca="false">IF((F131&lt;&gt;0),"Enter Letter"," ")</f>
        <v> </v>
      </c>
      <c r="G131" s="180" t="str">
        <f aca="false">IF((D131="d"),F131," ")</f>
        <v> </v>
      </c>
      <c r="H131" s="180" t="str">
        <f aca="false">IF((D131="h"),F131," ")</f>
        <v> </v>
      </c>
      <c r="I131" s="180" t="str">
        <f aca="false">IF((D131="r"),F131," ")</f>
        <v> </v>
      </c>
      <c r="J131" s="180" t="str">
        <f aca="false">IF((D131="t"),F131," ")</f>
        <v> </v>
      </c>
      <c r="K131" s="180" t="str">
        <f aca="false">IF((D131="e"),F131," ")</f>
        <v> </v>
      </c>
      <c r="L131" s="180" t="str">
        <f aca="false">IF((D131="p"),F131," ")</f>
        <v> </v>
      </c>
      <c r="M131" s="180" t="str">
        <f aca="false">IF((D131="g"),F131," ")</f>
        <v> </v>
      </c>
      <c r="N131" s="180" t="str">
        <f aca="false">IF((D131="a"),F131," ")</f>
        <v> </v>
      </c>
      <c r="O131" s="180" t="str">
        <f aca="false">IF((D131="l"),F131," ")</f>
        <v> </v>
      </c>
      <c r="P131" s="180" t="str">
        <f aca="false">IF((D131="i"),F131," ")</f>
        <v> </v>
      </c>
      <c r="Q131" s="180" t="str">
        <f aca="false">IF((D131="b"),F131," ")</f>
        <v> </v>
      </c>
      <c r="R131" s="180" t="str">
        <f aca="false">IF((D131="o"),F131," ")</f>
        <v> </v>
      </c>
      <c r="S131" s="180" t="str">
        <f aca="false">IF((D131="f"),F131," ")</f>
        <v> </v>
      </c>
      <c r="U131" s="371"/>
    </row>
    <row r="132" customFormat="false" ht="12.75" hidden="false" customHeight="false" outlineLevel="0" collapsed="false">
      <c r="D132" s="371" t="str">
        <f aca="false">IF((F132&lt;&gt;0),"Enter Letter"," ")</f>
        <v> </v>
      </c>
      <c r="G132" s="180" t="str">
        <f aca="false">IF((D132="d"),F132," ")</f>
        <v> </v>
      </c>
      <c r="H132" s="180" t="str">
        <f aca="false">IF((D132="h"),F132," ")</f>
        <v> </v>
      </c>
      <c r="I132" s="180" t="str">
        <f aca="false">IF((D132="r"),F132," ")</f>
        <v> </v>
      </c>
      <c r="J132" s="180" t="str">
        <f aca="false">IF((D132="t"),F132," ")</f>
        <v> </v>
      </c>
      <c r="K132" s="180" t="str">
        <f aca="false">IF((D132="e"),F132," ")</f>
        <v> </v>
      </c>
      <c r="L132" s="180" t="str">
        <f aca="false">IF((D132="p"),F132," ")</f>
        <v> </v>
      </c>
      <c r="M132" s="180" t="str">
        <f aca="false">IF((D132="g"),F132," ")</f>
        <v> </v>
      </c>
      <c r="N132" s="180" t="str">
        <f aca="false">IF((D132="a"),F132," ")</f>
        <v> </v>
      </c>
      <c r="O132" s="180" t="str">
        <f aca="false">IF((D132="l"),F132," ")</f>
        <v> </v>
      </c>
      <c r="P132" s="180" t="str">
        <f aca="false">IF((D132="i"),F132," ")</f>
        <v> </v>
      </c>
      <c r="Q132" s="180" t="str">
        <f aca="false">IF((D132="b"),F132," ")</f>
        <v> </v>
      </c>
      <c r="R132" s="180" t="str">
        <f aca="false">IF((D132="o"),F132," ")</f>
        <v> </v>
      </c>
      <c r="S132" s="180" t="str">
        <f aca="false">IF((D132="f"),F132," ")</f>
        <v> </v>
      </c>
      <c r="U132" s="371"/>
    </row>
    <row r="133" customFormat="false" ht="12.75" hidden="false" customHeight="false" outlineLevel="0" collapsed="false">
      <c r="D133" s="371" t="str">
        <f aca="false">IF((F133&lt;&gt;0),"Enter Letter"," ")</f>
        <v> </v>
      </c>
      <c r="G133" s="180" t="str">
        <f aca="false">IF((D133="d"),F133," ")</f>
        <v> </v>
      </c>
      <c r="H133" s="180" t="str">
        <f aca="false">IF((D133="h"),F133," ")</f>
        <v> </v>
      </c>
      <c r="I133" s="180" t="str">
        <f aca="false">IF((D133="r"),F133," ")</f>
        <v> </v>
      </c>
      <c r="J133" s="180" t="str">
        <f aca="false">IF((D133="t"),F133," ")</f>
        <v> </v>
      </c>
      <c r="K133" s="180" t="str">
        <f aca="false">IF((D133="e"),F133," ")</f>
        <v> </v>
      </c>
      <c r="L133" s="180" t="str">
        <f aca="false">IF((D133="p"),F133," ")</f>
        <v> </v>
      </c>
      <c r="M133" s="180" t="str">
        <f aca="false">IF((D133="g"),F133," ")</f>
        <v> </v>
      </c>
      <c r="N133" s="180" t="str">
        <f aca="false">IF((D133="a"),F133," ")</f>
        <v> </v>
      </c>
      <c r="O133" s="180" t="str">
        <f aca="false">IF((D133="l"),F133," ")</f>
        <v> </v>
      </c>
      <c r="P133" s="180" t="str">
        <f aca="false">IF((D133="i"),F133," ")</f>
        <v> </v>
      </c>
      <c r="Q133" s="180" t="str">
        <f aca="false">IF((D133="b"),F133," ")</f>
        <v> </v>
      </c>
      <c r="R133" s="180" t="str">
        <f aca="false">IF((D133="o"),F133," ")</f>
        <v> </v>
      </c>
      <c r="S133" s="180" t="str">
        <f aca="false">IF((D133="f"),F133," ")</f>
        <v> </v>
      </c>
      <c r="U133" s="371"/>
    </row>
    <row r="134" customFormat="false" ht="12.75" hidden="false" customHeight="false" outlineLevel="0" collapsed="false">
      <c r="D134" s="371" t="str">
        <f aca="false">IF((F134&lt;&gt;0),"Enter Letter"," ")</f>
        <v> </v>
      </c>
      <c r="G134" s="180" t="str">
        <f aca="false">IF((D134="d"),F134," ")</f>
        <v> </v>
      </c>
      <c r="H134" s="180" t="str">
        <f aca="false">IF((D134="h"),F134," ")</f>
        <v> </v>
      </c>
      <c r="I134" s="180" t="str">
        <f aca="false">IF((D134="r"),F134," ")</f>
        <v> </v>
      </c>
      <c r="J134" s="180" t="str">
        <f aca="false">IF((D134="t"),F134," ")</f>
        <v> </v>
      </c>
      <c r="K134" s="180" t="str">
        <f aca="false">IF((D134="e"),F134," ")</f>
        <v> </v>
      </c>
      <c r="L134" s="180" t="str">
        <f aca="false">IF((D134="p"),F134," ")</f>
        <v> </v>
      </c>
      <c r="M134" s="180" t="str">
        <f aca="false">IF((D134="g"),F134," ")</f>
        <v> </v>
      </c>
      <c r="N134" s="180" t="str">
        <f aca="false">IF((D134="a"),F134," ")</f>
        <v> </v>
      </c>
      <c r="O134" s="180" t="str">
        <f aca="false">IF((D134="l"),F134," ")</f>
        <v> </v>
      </c>
      <c r="P134" s="180" t="str">
        <f aca="false">IF((D134="i"),F134," ")</f>
        <v> </v>
      </c>
      <c r="Q134" s="180" t="str">
        <f aca="false">IF((D134="b"),F134," ")</f>
        <v> </v>
      </c>
      <c r="R134" s="180" t="str">
        <f aca="false">IF((D134="o"),F134," ")</f>
        <v> </v>
      </c>
      <c r="S134" s="180" t="str">
        <f aca="false">IF((D134="f"),F134," ")</f>
        <v> </v>
      </c>
      <c r="U134" s="371"/>
    </row>
    <row r="135" customFormat="false" ht="12.75" hidden="false" customHeight="false" outlineLevel="0" collapsed="false">
      <c r="D135" s="371" t="str">
        <f aca="false">IF((F135&lt;&gt;0),"Enter Letter"," ")</f>
        <v> </v>
      </c>
      <c r="G135" s="180" t="str">
        <f aca="false">IF((D135="d"),F135," ")</f>
        <v> </v>
      </c>
      <c r="H135" s="180" t="str">
        <f aca="false">IF((D135="h"),F135," ")</f>
        <v> </v>
      </c>
      <c r="I135" s="180" t="str">
        <f aca="false">IF((D135="r"),F135," ")</f>
        <v> </v>
      </c>
      <c r="J135" s="180" t="str">
        <f aca="false">IF((D135="t"),F135," ")</f>
        <v> </v>
      </c>
      <c r="K135" s="180" t="str">
        <f aca="false">IF((D135="e"),F135," ")</f>
        <v> </v>
      </c>
      <c r="L135" s="180" t="str">
        <f aca="false">IF((D135="p"),F135," ")</f>
        <v> </v>
      </c>
      <c r="M135" s="180" t="str">
        <f aca="false">IF((D135="g"),F135," ")</f>
        <v> </v>
      </c>
      <c r="N135" s="180" t="str">
        <f aca="false">IF((D135="a"),F135," ")</f>
        <v> </v>
      </c>
      <c r="O135" s="180" t="str">
        <f aca="false">IF((D135="l"),F135," ")</f>
        <v> </v>
      </c>
      <c r="P135" s="180" t="str">
        <f aca="false">IF((D135="i"),F135," ")</f>
        <v> </v>
      </c>
      <c r="Q135" s="180" t="str">
        <f aca="false">IF((D135="b"),F135," ")</f>
        <v> </v>
      </c>
      <c r="R135" s="180" t="str">
        <f aca="false">IF((D135="o"),F135," ")</f>
        <v> </v>
      </c>
      <c r="S135" s="180" t="str">
        <f aca="false">IF((D135="f"),F135," ")</f>
        <v> </v>
      </c>
      <c r="U135" s="371"/>
    </row>
    <row r="136" customFormat="false" ht="12.75" hidden="false" customHeight="false" outlineLevel="0" collapsed="false">
      <c r="D136" s="371" t="str">
        <f aca="false">IF((F136&lt;&gt;0),"Enter Letter"," ")</f>
        <v> </v>
      </c>
      <c r="G136" s="180" t="str">
        <f aca="false">IF((D136="d"),F136," ")</f>
        <v> </v>
      </c>
      <c r="H136" s="180" t="str">
        <f aca="false">IF((D136="h"),F136," ")</f>
        <v> </v>
      </c>
      <c r="I136" s="180" t="str">
        <f aca="false">IF((D136="r"),F136," ")</f>
        <v> </v>
      </c>
      <c r="J136" s="180" t="str">
        <f aca="false">IF((D136="t"),F136," ")</f>
        <v> </v>
      </c>
      <c r="K136" s="180" t="str">
        <f aca="false">IF((D136="e"),F136," ")</f>
        <v> </v>
      </c>
      <c r="L136" s="180" t="str">
        <f aca="false">IF((D136="p"),F136," ")</f>
        <v> </v>
      </c>
      <c r="M136" s="180" t="str">
        <f aca="false">IF((D136="g"),F136," ")</f>
        <v> </v>
      </c>
      <c r="N136" s="180" t="str">
        <f aca="false">IF((D136="a"),F136," ")</f>
        <v> </v>
      </c>
      <c r="O136" s="180" t="str">
        <f aca="false">IF((D136="l"),F136," ")</f>
        <v> </v>
      </c>
      <c r="P136" s="180" t="str">
        <f aca="false">IF((D136="i"),F136," ")</f>
        <v> </v>
      </c>
      <c r="Q136" s="180" t="str">
        <f aca="false">IF((D136="b"),F136," ")</f>
        <v> </v>
      </c>
      <c r="R136" s="180" t="str">
        <f aca="false">IF((D136="o"),F136," ")</f>
        <v> </v>
      </c>
      <c r="S136" s="180" t="str">
        <f aca="false">IF((D136="f"),F136," ")</f>
        <v> </v>
      </c>
      <c r="U136" s="371"/>
    </row>
    <row r="137" customFormat="false" ht="12.75" hidden="false" customHeight="false" outlineLevel="0" collapsed="false">
      <c r="D137" s="371" t="str">
        <f aca="false">IF((F137&lt;&gt;0),"Enter Letter"," ")</f>
        <v> </v>
      </c>
      <c r="G137" s="180" t="str">
        <f aca="false">IF((D137="d"),F137," ")</f>
        <v> </v>
      </c>
      <c r="H137" s="180" t="str">
        <f aca="false">IF((D137="h"),F137," ")</f>
        <v> </v>
      </c>
      <c r="I137" s="180" t="str">
        <f aca="false">IF((D137="r"),F137," ")</f>
        <v> </v>
      </c>
      <c r="J137" s="180" t="str">
        <f aca="false">IF((D137="t"),F137," ")</f>
        <v> </v>
      </c>
      <c r="K137" s="180" t="str">
        <f aca="false">IF((D137="e"),F137," ")</f>
        <v> </v>
      </c>
      <c r="L137" s="180" t="str">
        <f aca="false">IF((D137="p"),F137," ")</f>
        <v> </v>
      </c>
      <c r="M137" s="180" t="str">
        <f aca="false">IF((D137="g"),F137," ")</f>
        <v> </v>
      </c>
      <c r="N137" s="180" t="str">
        <f aca="false">IF((D137="a"),F137," ")</f>
        <v> </v>
      </c>
      <c r="O137" s="180" t="str">
        <f aca="false">IF((D137="l"),F137," ")</f>
        <v> </v>
      </c>
      <c r="P137" s="180" t="str">
        <f aca="false">IF((D137="i"),F137," ")</f>
        <v> </v>
      </c>
      <c r="Q137" s="180" t="str">
        <f aca="false">IF((D137="b"),F137," ")</f>
        <v> </v>
      </c>
      <c r="R137" s="180" t="str">
        <f aca="false">IF((D137="o"),F137," ")</f>
        <v> </v>
      </c>
      <c r="S137" s="180" t="str">
        <f aca="false">IF((D137="f"),F137," ")</f>
        <v> </v>
      </c>
      <c r="U137" s="371"/>
    </row>
    <row r="138" customFormat="false" ht="12.75" hidden="false" customHeight="false" outlineLevel="0" collapsed="false">
      <c r="D138" s="371" t="str">
        <f aca="false">IF((F138&lt;&gt;0),"Enter Letter"," ")</f>
        <v> </v>
      </c>
      <c r="G138" s="180" t="str">
        <f aca="false">IF((D138="d"),F138," ")</f>
        <v> </v>
      </c>
      <c r="H138" s="180" t="str">
        <f aca="false">IF((D138="h"),F138," ")</f>
        <v> </v>
      </c>
      <c r="I138" s="180" t="str">
        <f aca="false">IF((D138="r"),F138," ")</f>
        <v> </v>
      </c>
      <c r="J138" s="180" t="str">
        <f aca="false">IF((D138="t"),F138," ")</f>
        <v> </v>
      </c>
      <c r="K138" s="180" t="str">
        <f aca="false">IF((D138="e"),F138," ")</f>
        <v> </v>
      </c>
      <c r="L138" s="180" t="str">
        <f aca="false">IF((D138="p"),F138," ")</f>
        <v> </v>
      </c>
      <c r="M138" s="180" t="str">
        <f aca="false">IF((D138="g"),F138," ")</f>
        <v> </v>
      </c>
      <c r="N138" s="180" t="str">
        <f aca="false">IF((D138="a"),F138," ")</f>
        <v> </v>
      </c>
      <c r="O138" s="180" t="str">
        <f aca="false">IF((D138="l"),F138," ")</f>
        <v> </v>
      </c>
      <c r="P138" s="180" t="str">
        <f aca="false">IF((D138="i"),F138," ")</f>
        <v> </v>
      </c>
      <c r="Q138" s="180" t="str">
        <f aca="false">IF((D138="b"),F138," ")</f>
        <v> </v>
      </c>
      <c r="R138" s="180" t="str">
        <f aca="false">IF((D138="o"),F138," ")</f>
        <v> </v>
      </c>
      <c r="S138" s="180" t="str">
        <f aca="false">IF((D138="f"),F138," ")</f>
        <v> </v>
      </c>
      <c r="U138" s="371"/>
    </row>
    <row r="139" customFormat="false" ht="12.75" hidden="false" customHeight="false" outlineLevel="0" collapsed="false">
      <c r="D139" s="371" t="str">
        <f aca="false">IF((F139&lt;&gt;0),"Enter Letter"," ")</f>
        <v> </v>
      </c>
      <c r="G139" s="180" t="str">
        <f aca="false">IF((D139="d"),F139," ")</f>
        <v> </v>
      </c>
      <c r="H139" s="180" t="str">
        <f aca="false">IF((D139="h"),F139," ")</f>
        <v> </v>
      </c>
      <c r="I139" s="180" t="str">
        <f aca="false">IF((D139="r"),F139," ")</f>
        <v> </v>
      </c>
      <c r="J139" s="180" t="str">
        <f aca="false">IF((D139="t"),F139," ")</f>
        <v> </v>
      </c>
      <c r="K139" s="180" t="str">
        <f aca="false">IF((D139="e"),F139," ")</f>
        <v> </v>
      </c>
      <c r="L139" s="180" t="str">
        <f aca="false">IF((D139="p"),F139," ")</f>
        <v> </v>
      </c>
      <c r="M139" s="180" t="str">
        <f aca="false">IF((D139="g"),F139," ")</f>
        <v> </v>
      </c>
      <c r="N139" s="180" t="str">
        <f aca="false">IF((D139="a"),F139," ")</f>
        <v> </v>
      </c>
      <c r="O139" s="180" t="str">
        <f aca="false">IF((D139="l"),F139," ")</f>
        <v> </v>
      </c>
      <c r="P139" s="180" t="str">
        <f aca="false">IF((D139="i"),F139," ")</f>
        <v> </v>
      </c>
      <c r="Q139" s="180" t="str">
        <f aca="false">IF((D139="b"),F139," ")</f>
        <v> </v>
      </c>
      <c r="R139" s="180" t="str">
        <f aca="false">IF((D139="o"),F139," ")</f>
        <v> </v>
      </c>
      <c r="S139" s="180" t="str">
        <f aca="false">IF((D139="f"),F139," ")</f>
        <v> </v>
      </c>
      <c r="U139" s="371"/>
    </row>
    <row r="140" customFormat="false" ht="12.75" hidden="false" customHeight="false" outlineLevel="0" collapsed="false">
      <c r="D140" s="371" t="str">
        <f aca="false">IF((F140&lt;&gt;0),"Enter Letter"," ")</f>
        <v> </v>
      </c>
      <c r="G140" s="180" t="str">
        <f aca="false">IF((D140="d"),F140," ")</f>
        <v> </v>
      </c>
      <c r="H140" s="180" t="str">
        <f aca="false">IF((D140="h"),F140," ")</f>
        <v> </v>
      </c>
      <c r="I140" s="180" t="str">
        <f aca="false">IF((D140="r"),F140," ")</f>
        <v> </v>
      </c>
      <c r="J140" s="180" t="str">
        <f aca="false">IF((D140="t"),F140," ")</f>
        <v> </v>
      </c>
      <c r="K140" s="180" t="str">
        <f aca="false">IF((D140="e"),F140," ")</f>
        <v> </v>
      </c>
      <c r="L140" s="180" t="str">
        <f aca="false">IF((D140="p"),F140," ")</f>
        <v> </v>
      </c>
      <c r="M140" s="180" t="str">
        <f aca="false">IF((D140="g"),F140," ")</f>
        <v> </v>
      </c>
      <c r="N140" s="180" t="str">
        <f aca="false">IF((D140="a"),F140," ")</f>
        <v> </v>
      </c>
      <c r="O140" s="180" t="str">
        <f aca="false">IF((D140="l"),F140," ")</f>
        <v> </v>
      </c>
      <c r="P140" s="180" t="str">
        <f aca="false">IF((D140="i"),F140," ")</f>
        <v> </v>
      </c>
      <c r="Q140" s="180" t="str">
        <f aca="false">IF((D140="b"),F140," ")</f>
        <v> </v>
      </c>
      <c r="R140" s="180" t="str">
        <f aca="false">IF((D140="o"),F140," ")</f>
        <v> </v>
      </c>
      <c r="S140" s="180" t="str">
        <f aca="false">IF((D140="f"),F140," ")</f>
        <v> </v>
      </c>
      <c r="U140" s="371"/>
    </row>
    <row r="141" customFormat="false" ht="12.75" hidden="false" customHeight="false" outlineLevel="0" collapsed="false">
      <c r="D141" s="371" t="str">
        <f aca="false">IF((F141&lt;&gt;0),"Enter Letter"," ")</f>
        <v> </v>
      </c>
      <c r="G141" s="180" t="str">
        <f aca="false">IF((D141="d"),F141," ")</f>
        <v> </v>
      </c>
      <c r="H141" s="180" t="str">
        <f aca="false">IF((D141="h"),F141," ")</f>
        <v> </v>
      </c>
      <c r="I141" s="180" t="str">
        <f aca="false">IF((D141="r"),F141," ")</f>
        <v> </v>
      </c>
      <c r="J141" s="180" t="str">
        <f aca="false">IF((D141="t"),F141," ")</f>
        <v> </v>
      </c>
      <c r="K141" s="180" t="str">
        <f aca="false">IF((D141="e"),F141," ")</f>
        <v> </v>
      </c>
      <c r="L141" s="180" t="str">
        <f aca="false">IF((D141="p"),F141," ")</f>
        <v> </v>
      </c>
      <c r="M141" s="180" t="str">
        <f aca="false">IF((D141="g"),F141," ")</f>
        <v> </v>
      </c>
      <c r="N141" s="180" t="str">
        <f aca="false">IF((D141="a"),F141," ")</f>
        <v> </v>
      </c>
      <c r="O141" s="180" t="str">
        <f aca="false">IF((D141="l"),F141," ")</f>
        <v> </v>
      </c>
      <c r="P141" s="180" t="str">
        <f aca="false">IF((D141="i"),F141," ")</f>
        <v> </v>
      </c>
      <c r="Q141" s="180" t="str">
        <f aca="false">IF((D141="b"),F141," ")</f>
        <v> </v>
      </c>
      <c r="R141" s="180" t="str">
        <f aca="false">IF((D141="o"),F141," ")</f>
        <v> </v>
      </c>
      <c r="S141" s="180" t="str">
        <f aca="false">IF((D141="f"),F141," ")</f>
        <v> </v>
      </c>
      <c r="U141" s="371"/>
    </row>
    <row r="142" customFormat="false" ht="12.75" hidden="false" customHeight="false" outlineLevel="0" collapsed="false">
      <c r="D142" s="371" t="str">
        <f aca="false">IF((F142&lt;&gt;0),"Enter Letter"," ")</f>
        <v> </v>
      </c>
      <c r="G142" s="180" t="str">
        <f aca="false">IF((D142="d"),F142," ")</f>
        <v> </v>
      </c>
      <c r="H142" s="180" t="str">
        <f aca="false">IF((D142="h"),F142," ")</f>
        <v> </v>
      </c>
      <c r="I142" s="180" t="str">
        <f aca="false">IF((D142="r"),F142," ")</f>
        <v> </v>
      </c>
      <c r="J142" s="180" t="str">
        <f aca="false">IF((D142="t"),F142," ")</f>
        <v> </v>
      </c>
      <c r="K142" s="180" t="str">
        <f aca="false">IF((D142="e"),F142," ")</f>
        <v> </v>
      </c>
      <c r="L142" s="180" t="str">
        <f aca="false">IF((D142="p"),F142," ")</f>
        <v> </v>
      </c>
      <c r="M142" s="180" t="str">
        <f aca="false">IF((D142="g"),F142," ")</f>
        <v> </v>
      </c>
      <c r="N142" s="180" t="str">
        <f aca="false">IF((D142="a"),F142," ")</f>
        <v> </v>
      </c>
      <c r="O142" s="180" t="str">
        <f aca="false">IF((D142="l"),F142," ")</f>
        <v> </v>
      </c>
      <c r="P142" s="180" t="str">
        <f aca="false">IF((D142="i"),F142," ")</f>
        <v> </v>
      </c>
      <c r="Q142" s="180" t="str">
        <f aca="false">IF((D142="b"),F142," ")</f>
        <v> </v>
      </c>
      <c r="R142" s="180" t="str">
        <f aca="false">IF((D142="o"),F142," ")</f>
        <v> </v>
      </c>
      <c r="S142" s="180" t="str">
        <f aca="false">IF((D142="f"),F142," ")</f>
        <v> </v>
      </c>
      <c r="U142" s="371"/>
    </row>
    <row r="143" customFormat="false" ht="12.75" hidden="false" customHeight="false" outlineLevel="0" collapsed="false">
      <c r="D143" s="371" t="str">
        <f aca="false">IF((F143&lt;&gt;0),"Enter Letter"," ")</f>
        <v> </v>
      </c>
      <c r="G143" s="180" t="str">
        <f aca="false">IF((D143="d"),F143," ")</f>
        <v> </v>
      </c>
      <c r="H143" s="180" t="str">
        <f aca="false">IF((D143="h"),F143," ")</f>
        <v> </v>
      </c>
      <c r="I143" s="180" t="str">
        <f aca="false">IF((D143="r"),F143," ")</f>
        <v> </v>
      </c>
      <c r="J143" s="180" t="str">
        <f aca="false">IF((D143="t"),F143," ")</f>
        <v> </v>
      </c>
      <c r="K143" s="180" t="str">
        <f aca="false">IF((D143="e"),F143," ")</f>
        <v> </v>
      </c>
      <c r="L143" s="180" t="str">
        <f aca="false">IF((D143="p"),F143," ")</f>
        <v> </v>
      </c>
      <c r="M143" s="180" t="str">
        <f aca="false">IF((D143="g"),F143," ")</f>
        <v> </v>
      </c>
      <c r="N143" s="180" t="str">
        <f aca="false">IF((D143="a"),F143," ")</f>
        <v> </v>
      </c>
      <c r="O143" s="180" t="str">
        <f aca="false">IF((D143="l"),F143," ")</f>
        <v> </v>
      </c>
      <c r="P143" s="180" t="str">
        <f aca="false">IF((D143="i"),F143," ")</f>
        <v> </v>
      </c>
      <c r="Q143" s="180" t="str">
        <f aca="false">IF((D143="b"),F143," ")</f>
        <v> </v>
      </c>
      <c r="R143" s="180" t="str">
        <f aca="false">IF((D143="o"),F143," ")</f>
        <v> </v>
      </c>
      <c r="S143" s="180" t="str">
        <f aca="false">IF((D143="f"),F143," ")</f>
        <v> </v>
      </c>
      <c r="U143" s="371"/>
    </row>
    <row r="144" customFormat="false" ht="12.75" hidden="false" customHeight="false" outlineLevel="0" collapsed="false">
      <c r="D144" s="371" t="str">
        <f aca="false">IF((F144&lt;&gt;0),"Enter Letter"," ")</f>
        <v> </v>
      </c>
      <c r="G144" s="180" t="str">
        <f aca="false">IF((D144="d"),F144," ")</f>
        <v> </v>
      </c>
      <c r="H144" s="180" t="str">
        <f aca="false">IF((D144="h"),F144," ")</f>
        <v> </v>
      </c>
      <c r="I144" s="180" t="str">
        <f aca="false">IF((D144="r"),F144," ")</f>
        <v> </v>
      </c>
      <c r="J144" s="180" t="str">
        <f aca="false">IF((D144="t"),F144," ")</f>
        <v> </v>
      </c>
      <c r="K144" s="180" t="str">
        <f aca="false">IF((D144="e"),F144," ")</f>
        <v> </v>
      </c>
      <c r="L144" s="180" t="str">
        <f aca="false">IF((D144="p"),F144," ")</f>
        <v> </v>
      </c>
      <c r="M144" s="180" t="str">
        <f aca="false">IF((D144="g"),F144," ")</f>
        <v> </v>
      </c>
      <c r="N144" s="180" t="str">
        <f aca="false">IF((D144="a"),F144," ")</f>
        <v> </v>
      </c>
      <c r="O144" s="180" t="str">
        <f aca="false">IF((D144="l"),F144," ")</f>
        <v> </v>
      </c>
      <c r="P144" s="180" t="str">
        <f aca="false">IF((D144="i"),F144," ")</f>
        <v> </v>
      </c>
      <c r="Q144" s="180" t="str">
        <f aca="false">IF((D144="b"),F144," ")</f>
        <v> </v>
      </c>
      <c r="R144" s="180" t="str">
        <f aca="false">IF((D144="o"),F144," ")</f>
        <v> </v>
      </c>
      <c r="S144" s="180" t="str">
        <f aca="false">IF((D144="f"),F144," ")</f>
        <v> </v>
      </c>
      <c r="U144" s="371"/>
    </row>
    <row r="145" customFormat="false" ht="12.75" hidden="false" customHeight="false" outlineLevel="0" collapsed="false">
      <c r="D145" s="371" t="str">
        <f aca="false">IF((F145&lt;&gt;0),"Enter Letter"," ")</f>
        <v> </v>
      </c>
      <c r="G145" s="180" t="str">
        <f aca="false">IF((D145="d"),F145," ")</f>
        <v> </v>
      </c>
      <c r="H145" s="180" t="str">
        <f aca="false">IF((D145="h"),F145," ")</f>
        <v> </v>
      </c>
      <c r="I145" s="180" t="str">
        <f aca="false">IF((D145="r"),F145," ")</f>
        <v> </v>
      </c>
      <c r="J145" s="180" t="str">
        <f aca="false">IF((D145="t"),F145," ")</f>
        <v> </v>
      </c>
      <c r="K145" s="180" t="str">
        <f aca="false">IF((D145="e"),F145," ")</f>
        <v> </v>
      </c>
      <c r="L145" s="180" t="str">
        <f aca="false">IF((D145="p"),F145," ")</f>
        <v> </v>
      </c>
      <c r="M145" s="180" t="str">
        <f aca="false">IF((D145="g"),F145," ")</f>
        <v> </v>
      </c>
      <c r="N145" s="180" t="str">
        <f aca="false">IF((D145="a"),F145," ")</f>
        <v> </v>
      </c>
      <c r="O145" s="180" t="str">
        <f aca="false">IF((D145="l"),F145," ")</f>
        <v> </v>
      </c>
      <c r="P145" s="180" t="str">
        <f aca="false">IF((D145="i"),F145," ")</f>
        <v> </v>
      </c>
      <c r="Q145" s="180" t="str">
        <f aca="false">IF((D145="b"),F145," ")</f>
        <v> </v>
      </c>
      <c r="R145" s="180" t="str">
        <f aca="false">IF((D145="o"),F145," ")</f>
        <v> </v>
      </c>
      <c r="S145" s="180" t="str">
        <f aca="false">IF((D145="f"),F145," ")</f>
        <v> </v>
      </c>
      <c r="U145" s="371"/>
    </row>
    <row r="146" customFormat="false" ht="12.75" hidden="false" customHeight="false" outlineLevel="0" collapsed="false">
      <c r="D146" s="371" t="str">
        <f aca="false">IF((F146&lt;&gt;0),"Enter Letter"," ")</f>
        <v> </v>
      </c>
      <c r="G146" s="180" t="str">
        <f aca="false">IF((D146="d"),F146," ")</f>
        <v> </v>
      </c>
      <c r="H146" s="180" t="str">
        <f aca="false">IF((D146="h"),F146," ")</f>
        <v> </v>
      </c>
      <c r="I146" s="180" t="str">
        <f aca="false">IF((D146="r"),F146," ")</f>
        <v> </v>
      </c>
      <c r="J146" s="180" t="str">
        <f aca="false">IF((D146="t"),F146," ")</f>
        <v> </v>
      </c>
      <c r="K146" s="180" t="str">
        <f aca="false">IF((D146="e"),F146," ")</f>
        <v> </v>
      </c>
      <c r="L146" s="180" t="str">
        <f aca="false">IF((D146="p"),F146," ")</f>
        <v> </v>
      </c>
      <c r="M146" s="180" t="str">
        <f aca="false">IF((D146="g"),F146," ")</f>
        <v> </v>
      </c>
      <c r="N146" s="180" t="str">
        <f aca="false">IF((D146="a"),F146," ")</f>
        <v> </v>
      </c>
      <c r="O146" s="180" t="str">
        <f aca="false">IF((D146="l"),F146," ")</f>
        <v> </v>
      </c>
      <c r="P146" s="180" t="str">
        <f aca="false">IF((D146="i"),F146," ")</f>
        <v> </v>
      </c>
      <c r="Q146" s="180" t="str">
        <f aca="false">IF((D146="b"),F146," ")</f>
        <v> </v>
      </c>
      <c r="R146" s="180" t="str">
        <f aca="false">IF((D146="o"),F146," ")</f>
        <v> </v>
      </c>
      <c r="S146" s="180" t="str">
        <f aca="false">IF((D146="f"),F146," ")</f>
        <v> </v>
      </c>
      <c r="U146" s="371"/>
    </row>
    <row r="147" customFormat="false" ht="12.75" hidden="false" customHeight="false" outlineLevel="0" collapsed="false">
      <c r="D147" s="371" t="str">
        <f aca="false">IF((F147&lt;&gt;0),"Enter Letter"," ")</f>
        <v> </v>
      </c>
      <c r="G147" s="180" t="str">
        <f aca="false">IF((D147="d"),F147," ")</f>
        <v> </v>
      </c>
      <c r="H147" s="180" t="str">
        <f aca="false">IF((D147="h"),F147," ")</f>
        <v> </v>
      </c>
      <c r="I147" s="180" t="str">
        <f aca="false">IF((D147="r"),F147," ")</f>
        <v> </v>
      </c>
      <c r="J147" s="180" t="str">
        <f aca="false">IF((D147="t"),F147," ")</f>
        <v> </v>
      </c>
      <c r="K147" s="180" t="str">
        <f aca="false">IF((D147="e"),F147," ")</f>
        <v> </v>
      </c>
      <c r="L147" s="180" t="str">
        <f aca="false">IF((D147="p"),F147," ")</f>
        <v> </v>
      </c>
      <c r="M147" s="180" t="str">
        <f aca="false">IF((D147="g"),F147," ")</f>
        <v> </v>
      </c>
      <c r="N147" s="180" t="str">
        <f aca="false">IF((D147="a"),F147," ")</f>
        <v> </v>
      </c>
      <c r="O147" s="180" t="str">
        <f aca="false">IF((D147="l"),F147," ")</f>
        <v> </v>
      </c>
      <c r="P147" s="180" t="str">
        <f aca="false">IF((D147="i"),F147," ")</f>
        <v> </v>
      </c>
      <c r="Q147" s="180" t="str">
        <f aca="false">IF((D147="b"),F147," ")</f>
        <v> </v>
      </c>
      <c r="R147" s="180" t="str">
        <f aca="false">IF((D147="o"),F147," ")</f>
        <v> </v>
      </c>
      <c r="S147" s="180" t="str">
        <f aca="false">IF((D147="f"),F147," ")</f>
        <v> </v>
      </c>
      <c r="U147" s="371"/>
    </row>
    <row r="148" customFormat="false" ht="12.75" hidden="false" customHeight="false" outlineLevel="0" collapsed="false">
      <c r="D148" s="371" t="str">
        <f aca="false">IF((F148&lt;&gt;0),"Enter Letter"," ")</f>
        <v> </v>
      </c>
      <c r="G148" s="180" t="str">
        <f aca="false">IF((D148="d"),F148," ")</f>
        <v> </v>
      </c>
      <c r="H148" s="180" t="str">
        <f aca="false">IF((D148="h"),F148," ")</f>
        <v> </v>
      </c>
      <c r="I148" s="180" t="str">
        <f aca="false">IF((D148="r"),F148," ")</f>
        <v> </v>
      </c>
      <c r="J148" s="180" t="str">
        <f aca="false">IF((D148="t"),F148," ")</f>
        <v> </v>
      </c>
      <c r="K148" s="180" t="str">
        <f aca="false">IF((D148="e"),F148," ")</f>
        <v> </v>
      </c>
      <c r="L148" s="180" t="str">
        <f aca="false">IF((D148="p"),F148," ")</f>
        <v> </v>
      </c>
      <c r="M148" s="180" t="str">
        <f aca="false">IF((D148="g"),F148," ")</f>
        <v> </v>
      </c>
      <c r="N148" s="180" t="str">
        <f aca="false">IF((D148="a"),F148," ")</f>
        <v> </v>
      </c>
      <c r="O148" s="180" t="str">
        <f aca="false">IF((D148="l"),F148," ")</f>
        <v> </v>
      </c>
      <c r="P148" s="180" t="str">
        <f aca="false">IF((D148="i"),F148," ")</f>
        <v> </v>
      </c>
      <c r="Q148" s="180" t="str">
        <f aca="false">IF((D148="b"),F148," ")</f>
        <v> </v>
      </c>
      <c r="R148" s="180" t="str">
        <f aca="false">IF((D148="o"),F148," ")</f>
        <v> </v>
      </c>
      <c r="S148" s="180" t="str">
        <f aca="false">IF((D148="f"),F148," ")</f>
        <v> </v>
      </c>
      <c r="U148" s="371"/>
    </row>
    <row r="149" customFormat="false" ht="12.75" hidden="false" customHeight="false" outlineLevel="0" collapsed="false">
      <c r="D149" s="371" t="str">
        <f aca="false">IF((F149&lt;&gt;0),"Enter Letter"," ")</f>
        <v> </v>
      </c>
      <c r="G149" s="180" t="str">
        <f aca="false">IF((D149="d"),F149," ")</f>
        <v> </v>
      </c>
      <c r="H149" s="180" t="str">
        <f aca="false">IF((D149="h"),F149," ")</f>
        <v> </v>
      </c>
      <c r="I149" s="180" t="str">
        <f aca="false">IF((D149="r"),F149," ")</f>
        <v> </v>
      </c>
      <c r="J149" s="180" t="str">
        <f aca="false">IF((D149="t"),F149," ")</f>
        <v> </v>
      </c>
      <c r="K149" s="180" t="str">
        <f aca="false">IF((D149="e"),F149," ")</f>
        <v> </v>
      </c>
      <c r="L149" s="180" t="str">
        <f aca="false">IF((D149="p"),F149," ")</f>
        <v> </v>
      </c>
      <c r="M149" s="180" t="str">
        <f aca="false">IF((D149="g"),F149," ")</f>
        <v> </v>
      </c>
      <c r="N149" s="180" t="str">
        <f aca="false">IF((D149="a"),F149," ")</f>
        <v> </v>
      </c>
      <c r="O149" s="180" t="str">
        <f aca="false">IF((D149="l"),F149," ")</f>
        <v> </v>
      </c>
      <c r="P149" s="180" t="str">
        <f aca="false">IF((D149="i"),F149," ")</f>
        <v> </v>
      </c>
      <c r="Q149" s="180" t="str">
        <f aca="false">IF((D149="b"),F149," ")</f>
        <v> </v>
      </c>
      <c r="R149" s="180" t="str">
        <f aca="false">IF((D149="o"),F149," ")</f>
        <v> </v>
      </c>
      <c r="S149" s="180" t="str">
        <f aca="false">IF((D149="f"),F149," ")</f>
        <v> </v>
      </c>
      <c r="U149" s="371"/>
    </row>
    <row r="150" customFormat="false" ht="12.75" hidden="false" customHeight="false" outlineLevel="0" collapsed="false">
      <c r="D150" s="371" t="str">
        <f aca="false">IF((F150&lt;&gt;0),"Enter Letter"," ")</f>
        <v> </v>
      </c>
      <c r="G150" s="180" t="str">
        <f aca="false">IF((D150="d"),F150," ")</f>
        <v> </v>
      </c>
      <c r="H150" s="180" t="str">
        <f aca="false">IF((D150="h"),F150," ")</f>
        <v> </v>
      </c>
      <c r="I150" s="180" t="str">
        <f aca="false">IF((D150="r"),F150," ")</f>
        <v> </v>
      </c>
      <c r="J150" s="180" t="str">
        <f aca="false">IF((D150="t"),F150," ")</f>
        <v> </v>
      </c>
      <c r="K150" s="180" t="str">
        <f aca="false">IF((D150="e"),F150," ")</f>
        <v> </v>
      </c>
      <c r="L150" s="180" t="str">
        <f aca="false">IF((D150="p"),F150," ")</f>
        <v> </v>
      </c>
      <c r="M150" s="180" t="str">
        <f aca="false">IF((D150="g"),F150," ")</f>
        <v> </v>
      </c>
      <c r="N150" s="180" t="str">
        <f aca="false">IF((D150="a"),F150," ")</f>
        <v> </v>
      </c>
      <c r="O150" s="180" t="str">
        <f aca="false">IF((D150="l"),F150," ")</f>
        <v> </v>
      </c>
      <c r="P150" s="180" t="str">
        <f aca="false">IF((D150="i"),F150," ")</f>
        <v> </v>
      </c>
      <c r="Q150" s="180" t="str">
        <f aca="false">IF((D150="b"),F150," ")</f>
        <v> </v>
      </c>
      <c r="R150" s="180" t="str">
        <f aca="false">IF((D150="o"),F150," ")</f>
        <v> </v>
      </c>
      <c r="S150" s="180" t="str">
        <f aca="false">IF((D150="f"),F150," ")</f>
        <v> </v>
      </c>
      <c r="U150" s="371"/>
    </row>
    <row r="151" customFormat="false" ht="12.75" hidden="false" customHeight="false" outlineLevel="0" collapsed="false">
      <c r="D151" s="371" t="str">
        <f aca="false">IF((F151&lt;&gt;0),"Enter Letter"," ")</f>
        <v> </v>
      </c>
      <c r="G151" s="180" t="str">
        <f aca="false">IF((D151="d"),F151," ")</f>
        <v> </v>
      </c>
      <c r="H151" s="180" t="str">
        <f aca="false">IF((D151="h"),F151," ")</f>
        <v> </v>
      </c>
      <c r="I151" s="180" t="str">
        <f aca="false">IF((D151="r"),F151," ")</f>
        <v> </v>
      </c>
      <c r="J151" s="180" t="str">
        <f aca="false">IF((D151="t"),F151," ")</f>
        <v> </v>
      </c>
      <c r="K151" s="180" t="str">
        <f aca="false">IF((D151="e"),F151," ")</f>
        <v> </v>
      </c>
      <c r="L151" s="180" t="str">
        <f aca="false">IF((D151="p"),F151," ")</f>
        <v> </v>
      </c>
      <c r="M151" s="180" t="str">
        <f aca="false">IF((D151="g"),F151," ")</f>
        <v> </v>
      </c>
      <c r="N151" s="180" t="str">
        <f aca="false">IF((D151="a"),F151," ")</f>
        <v> </v>
      </c>
      <c r="O151" s="180" t="str">
        <f aca="false">IF((D151="l"),F151," ")</f>
        <v> </v>
      </c>
      <c r="P151" s="180" t="str">
        <f aca="false">IF((D151="i"),F151," ")</f>
        <v> </v>
      </c>
      <c r="Q151" s="180" t="str">
        <f aca="false">IF((D151="b"),F151," ")</f>
        <v> </v>
      </c>
      <c r="R151" s="180" t="str">
        <f aca="false">IF((D151="o"),F151," ")</f>
        <v> </v>
      </c>
      <c r="S151" s="180" t="str">
        <f aca="false">IF((D151="f"),F151," ")</f>
        <v> </v>
      </c>
      <c r="U151" s="371"/>
    </row>
    <row r="152" customFormat="false" ht="12.75" hidden="false" customHeight="false" outlineLevel="0" collapsed="false">
      <c r="D152" s="371" t="str">
        <f aca="false">IF((F152&lt;&gt;0),"Enter Letter"," ")</f>
        <v> </v>
      </c>
      <c r="G152" s="180" t="str">
        <f aca="false">IF((D152="d"),F152," ")</f>
        <v> </v>
      </c>
      <c r="H152" s="180" t="str">
        <f aca="false">IF((D152="h"),F152," ")</f>
        <v> </v>
      </c>
      <c r="I152" s="180" t="str">
        <f aca="false">IF((D152="r"),F152," ")</f>
        <v> </v>
      </c>
      <c r="J152" s="180" t="str">
        <f aca="false">IF((D152="t"),F152," ")</f>
        <v> </v>
      </c>
      <c r="K152" s="180" t="str">
        <f aca="false">IF((D152="e"),F152," ")</f>
        <v> </v>
      </c>
      <c r="L152" s="180" t="str">
        <f aca="false">IF((D152="p"),F152," ")</f>
        <v> </v>
      </c>
      <c r="M152" s="180" t="str">
        <f aca="false">IF((D152="g"),F152," ")</f>
        <v> </v>
      </c>
      <c r="N152" s="180" t="str">
        <f aca="false">IF((D152="a"),F152," ")</f>
        <v> </v>
      </c>
      <c r="O152" s="180" t="str">
        <f aca="false">IF((D152="l"),F152," ")</f>
        <v> </v>
      </c>
      <c r="P152" s="180" t="str">
        <f aca="false">IF((D152="i"),F152," ")</f>
        <v> </v>
      </c>
      <c r="Q152" s="180" t="str">
        <f aca="false">IF((D152="b"),F152," ")</f>
        <v> </v>
      </c>
      <c r="R152" s="180" t="str">
        <f aca="false">IF((D152="o"),F152," ")</f>
        <v> </v>
      </c>
      <c r="S152" s="180" t="str">
        <f aca="false">IF((D152="f"),F152," ")</f>
        <v> </v>
      </c>
      <c r="U152" s="371"/>
    </row>
    <row r="153" customFormat="false" ht="12.75" hidden="false" customHeight="false" outlineLevel="0" collapsed="false">
      <c r="D153" s="371" t="str">
        <f aca="false">IF((F153&lt;&gt;0),"Enter Letter"," ")</f>
        <v> </v>
      </c>
      <c r="G153" s="180" t="str">
        <f aca="false">IF((D153="d"),F153," ")</f>
        <v> </v>
      </c>
      <c r="H153" s="180" t="str">
        <f aca="false">IF((D153="h"),F153," ")</f>
        <v> </v>
      </c>
      <c r="I153" s="180" t="str">
        <f aca="false">IF((D153="r"),F153," ")</f>
        <v> </v>
      </c>
      <c r="J153" s="180" t="str">
        <f aca="false">IF((D153="t"),F153," ")</f>
        <v> </v>
      </c>
      <c r="K153" s="180" t="str">
        <f aca="false">IF((D153="e"),F153," ")</f>
        <v> </v>
      </c>
      <c r="L153" s="180" t="str">
        <f aca="false">IF((D153="p"),F153," ")</f>
        <v> </v>
      </c>
      <c r="M153" s="180" t="str">
        <f aca="false">IF((D153="g"),F153," ")</f>
        <v> </v>
      </c>
      <c r="N153" s="180" t="str">
        <f aca="false">IF((D153="a"),F153," ")</f>
        <v> </v>
      </c>
      <c r="O153" s="180" t="str">
        <f aca="false">IF((D153="l"),F153," ")</f>
        <v> </v>
      </c>
      <c r="P153" s="180" t="str">
        <f aca="false">IF((D153="i"),F153," ")</f>
        <v> </v>
      </c>
      <c r="Q153" s="180" t="str">
        <f aca="false">IF((D153="b"),F153," ")</f>
        <v> </v>
      </c>
      <c r="R153" s="180" t="str">
        <f aca="false">IF((D153="o"),F153," ")</f>
        <v> </v>
      </c>
      <c r="S153" s="180" t="str">
        <f aca="false">IF((D153="f"),F153," ")</f>
        <v> </v>
      </c>
      <c r="U153" s="371"/>
    </row>
    <row r="154" customFormat="false" ht="12.75" hidden="false" customHeight="false" outlineLevel="0" collapsed="false">
      <c r="D154" s="371" t="str">
        <f aca="false">IF((F154&lt;&gt;0),"Enter Letter"," ")</f>
        <v> </v>
      </c>
      <c r="G154" s="180" t="str">
        <f aca="false">IF((D154="d"),F154," ")</f>
        <v> </v>
      </c>
      <c r="H154" s="180" t="str">
        <f aca="false">IF((D154="h"),F154," ")</f>
        <v> </v>
      </c>
      <c r="I154" s="180" t="str">
        <f aca="false">IF((D154="r"),F154," ")</f>
        <v> </v>
      </c>
      <c r="J154" s="180" t="str">
        <f aca="false">IF((D154="t"),F154," ")</f>
        <v> </v>
      </c>
      <c r="K154" s="180" t="str">
        <f aca="false">IF((D154="e"),F154," ")</f>
        <v> </v>
      </c>
      <c r="L154" s="180" t="str">
        <f aca="false">IF((D154="p"),F154," ")</f>
        <v> </v>
      </c>
      <c r="M154" s="180" t="str">
        <f aca="false">IF((D154="g"),F154," ")</f>
        <v> </v>
      </c>
      <c r="N154" s="180" t="str">
        <f aca="false">IF((D154="a"),F154," ")</f>
        <v> </v>
      </c>
      <c r="O154" s="180" t="str">
        <f aca="false">IF((D154="l"),F154," ")</f>
        <v> </v>
      </c>
      <c r="P154" s="180" t="str">
        <f aca="false">IF((D154="i"),F154," ")</f>
        <v> </v>
      </c>
      <c r="Q154" s="180" t="str">
        <f aca="false">IF((D154="b"),F154," ")</f>
        <v> </v>
      </c>
      <c r="R154" s="180" t="str">
        <f aca="false">IF((D154="o"),F154," ")</f>
        <v> </v>
      </c>
      <c r="S154" s="180" t="str">
        <f aca="false">IF((D154="f"),F154," ")</f>
        <v> </v>
      </c>
      <c r="U154" s="371"/>
    </row>
    <row r="155" customFormat="false" ht="12.75" hidden="false" customHeight="false" outlineLevel="0" collapsed="false">
      <c r="D155" s="371" t="str">
        <f aca="false">IF((F155&lt;&gt;0),"Enter Letter"," ")</f>
        <v> </v>
      </c>
      <c r="G155" s="180" t="str">
        <f aca="false">IF((D155="d"),F155," ")</f>
        <v> </v>
      </c>
      <c r="H155" s="180" t="str">
        <f aca="false">IF((D155="h"),F155," ")</f>
        <v> </v>
      </c>
      <c r="I155" s="180" t="str">
        <f aca="false">IF((D155="r"),F155," ")</f>
        <v> </v>
      </c>
      <c r="J155" s="180" t="str">
        <f aca="false">IF((D155="t"),F155," ")</f>
        <v> </v>
      </c>
      <c r="K155" s="180" t="str">
        <f aca="false">IF((D155="e"),F155," ")</f>
        <v> </v>
      </c>
      <c r="L155" s="180" t="str">
        <f aca="false">IF((D155="p"),F155," ")</f>
        <v> </v>
      </c>
      <c r="M155" s="180" t="str">
        <f aca="false">IF((D155="g"),F155," ")</f>
        <v> </v>
      </c>
      <c r="N155" s="180" t="str">
        <f aca="false">IF((D155="a"),F155," ")</f>
        <v> </v>
      </c>
      <c r="O155" s="180" t="str">
        <f aca="false">IF((D155="l"),F155," ")</f>
        <v> </v>
      </c>
      <c r="P155" s="180" t="str">
        <f aca="false">IF((D155="i"),F155," ")</f>
        <v> </v>
      </c>
      <c r="Q155" s="180" t="str">
        <f aca="false">IF((D155="b"),F155," ")</f>
        <v> </v>
      </c>
      <c r="R155" s="180" t="str">
        <f aca="false">IF((D155="o"),F155," ")</f>
        <v> </v>
      </c>
      <c r="S155" s="180" t="str">
        <f aca="false">IF((D155="f"),F155," ")</f>
        <v> </v>
      </c>
      <c r="U155" s="371"/>
    </row>
    <row r="156" customFormat="false" ht="12.75" hidden="false" customHeight="false" outlineLevel="0" collapsed="false">
      <c r="D156" s="371" t="str">
        <f aca="false">IF((F156&lt;&gt;0),"Enter Letter"," ")</f>
        <v> </v>
      </c>
      <c r="G156" s="180" t="str">
        <f aca="false">IF((D156="d"),F156," ")</f>
        <v> </v>
      </c>
      <c r="H156" s="180" t="str">
        <f aca="false">IF((D156="h"),F156," ")</f>
        <v> </v>
      </c>
      <c r="I156" s="180" t="str">
        <f aca="false">IF((D156="r"),F156," ")</f>
        <v> </v>
      </c>
      <c r="J156" s="180" t="str">
        <f aca="false">IF((D156="t"),F156," ")</f>
        <v> </v>
      </c>
      <c r="K156" s="180" t="str">
        <f aca="false">IF((D156="e"),F156," ")</f>
        <v> </v>
      </c>
      <c r="L156" s="180" t="str">
        <f aca="false">IF((D156="p"),F156," ")</f>
        <v> </v>
      </c>
      <c r="M156" s="180" t="str">
        <f aca="false">IF((D156="g"),F156," ")</f>
        <v> </v>
      </c>
      <c r="N156" s="180" t="str">
        <f aca="false">IF((D156="a"),F156," ")</f>
        <v> </v>
      </c>
      <c r="O156" s="180" t="str">
        <f aca="false">IF((D156="l"),F156," ")</f>
        <v> </v>
      </c>
      <c r="P156" s="180" t="str">
        <f aca="false">IF((D156="i"),F156," ")</f>
        <v> </v>
      </c>
      <c r="Q156" s="180" t="str">
        <f aca="false">IF((D156="b"),F156," ")</f>
        <v> </v>
      </c>
      <c r="R156" s="180" t="str">
        <f aca="false">IF((D156="o"),F156," ")</f>
        <v> </v>
      </c>
      <c r="S156" s="180" t="str">
        <f aca="false">IF((D156="f"),F156," ")</f>
        <v> </v>
      </c>
      <c r="U156" s="371"/>
    </row>
    <row r="157" customFormat="false" ht="12.75" hidden="false" customHeight="false" outlineLevel="0" collapsed="false">
      <c r="D157" s="371" t="str">
        <f aca="false">IF((F157&lt;&gt;0),"Enter Letter"," ")</f>
        <v> </v>
      </c>
      <c r="G157" s="180" t="str">
        <f aca="false">IF((D157="d"),F157," ")</f>
        <v> </v>
      </c>
      <c r="H157" s="180" t="str">
        <f aca="false">IF((D157="h"),F157," ")</f>
        <v> </v>
      </c>
      <c r="I157" s="180" t="str">
        <f aca="false">IF((D157="r"),F157," ")</f>
        <v> </v>
      </c>
      <c r="J157" s="180" t="str">
        <f aca="false">IF((D157="t"),F157," ")</f>
        <v> </v>
      </c>
      <c r="K157" s="180" t="str">
        <f aca="false">IF((D157="e"),F157," ")</f>
        <v> </v>
      </c>
      <c r="L157" s="180" t="str">
        <f aca="false">IF((D157="p"),F157," ")</f>
        <v> </v>
      </c>
      <c r="M157" s="180" t="str">
        <f aca="false">IF((D157="g"),F157," ")</f>
        <v> </v>
      </c>
      <c r="N157" s="180" t="str">
        <f aca="false">IF((D157="a"),F157," ")</f>
        <v> </v>
      </c>
      <c r="O157" s="180" t="str">
        <f aca="false">IF((D157="l"),F157," ")</f>
        <v> </v>
      </c>
      <c r="P157" s="180" t="str">
        <f aca="false">IF((D157="i"),F157," ")</f>
        <v> </v>
      </c>
      <c r="Q157" s="180" t="str">
        <f aca="false">IF((D157="b"),F157," ")</f>
        <v> </v>
      </c>
      <c r="R157" s="180" t="str">
        <f aca="false">IF((D157="o"),F157," ")</f>
        <v> </v>
      </c>
      <c r="S157" s="180" t="str">
        <f aca="false">IF((D157="f"),F157," ")</f>
        <v> </v>
      </c>
      <c r="U157" s="371"/>
    </row>
    <row r="158" customFormat="false" ht="12.75" hidden="false" customHeight="false" outlineLevel="0" collapsed="false">
      <c r="D158" s="371" t="str">
        <f aca="false">IF((F158&lt;&gt;0),"Enter Letter"," ")</f>
        <v> </v>
      </c>
      <c r="G158" s="180" t="str">
        <f aca="false">IF((D158="d"),F158," ")</f>
        <v> </v>
      </c>
      <c r="H158" s="180" t="str">
        <f aca="false">IF((D158="h"),F158," ")</f>
        <v> </v>
      </c>
      <c r="I158" s="180" t="str">
        <f aca="false">IF((D158="r"),F158," ")</f>
        <v> </v>
      </c>
      <c r="J158" s="180" t="str">
        <f aca="false">IF((D158="t"),F158," ")</f>
        <v> </v>
      </c>
      <c r="K158" s="180" t="str">
        <f aca="false">IF((D158="e"),F158," ")</f>
        <v> </v>
      </c>
      <c r="L158" s="180" t="str">
        <f aca="false">IF((D158="p"),F158," ")</f>
        <v> </v>
      </c>
      <c r="M158" s="180" t="str">
        <f aca="false">IF((D158="g"),F158," ")</f>
        <v> </v>
      </c>
      <c r="N158" s="180" t="str">
        <f aca="false">IF((D158="a"),F158," ")</f>
        <v> </v>
      </c>
      <c r="O158" s="180" t="str">
        <f aca="false">IF((D158="l"),F158," ")</f>
        <v> </v>
      </c>
      <c r="P158" s="180" t="str">
        <f aca="false">IF((D158="i"),F158," ")</f>
        <v> </v>
      </c>
      <c r="Q158" s="180" t="str">
        <f aca="false">IF((D158="b"),F158," ")</f>
        <v> </v>
      </c>
      <c r="R158" s="180" t="str">
        <f aca="false">IF((D158="o"),F158," ")</f>
        <v> </v>
      </c>
      <c r="S158" s="180" t="str">
        <f aca="false">IF((D158="f"),F158," ")</f>
        <v> </v>
      </c>
      <c r="U158" s="371"/>
    </row>
    <row r="159" customFormat="false" ht="12.75" hidden="false" customHeight="false" outlineLevel="0" collapsed="false">
      <c r="D159" s="371" t="str">
        <f aca="false">IF((F159&lt;&gt;0),"Enter Letter"," ")</f>
        <v> </v>
      </c>
      <c r="G159" s="180" t="str">
        <f aca="false">IF((D159="d"),F159," ")</f>
        <v> </v>
      </c>
      <c r="H159" s="180" t="str">
        <f aca="false">IF((D159="h"),F159," ")</f>
        <v> </v>
      </c>
      <c r="I159" s="180" t="str">
        <f aca="false">IF((D159="r"),F159," ")</f>
        <v> </v>
      </c>
      <c r="J159" s="180" t="str">
        <f aca="false">IF((D159="t"),F159," ")</f>
        <v> </v>
      </c>
      <c r="K159" s="180" t="str">
        <f aca="false">IF((D159="e"),F159," ")</f>
        <v> </v>
      </c>
      <c r="L159" s="180" t="str">
        <f aca="false">IF((D159="p"),F159," ")</f>
        <v> </v>
      </c>
      <c r="M159" s="180" t="str">
        <f aca="false">IF((D159="g"),F159," ")</f>
        <v> </v>
      </c>
      <c r="N159" s="180" t="str">
        <f aca="false">IF((D159="a"),F159," ")</f>
        <v> </v>
      </c>
      <c r="O159" s="180" t="str">
        <f aca="false">IF((D159="l"),F159," ")</f>
        <v> </v>
      </c>
      <c r="P159" s="180" t="str">
        <f aca="false">IF((D159="i"),F159," ")</f>
        <v> </v>
      </c>
      <c r="Q159" s="180" t="str">
        <f aca="false">IF((D159="b"),F159," ")</f>
        <v> </v>
      </c>
      <c r="R159" s="180" t="str">
        <f aca="false">IF((D159="o"),F159," ")</f>
        <v> </v>
      </c>
      <c r="S159" s="180" t="str">
        <f aca="false">IF((D159="f"),F159," ")</f>
        <v> </v>
      </c>
      <c r="U159" s="371"/>
    </row>
    <row r="160" customFormat="false" ht="12.75" hidden="false" customHeight="false" outlineLevel="0" collapsed="false">
      <c r="D160" s="371" t="str">
        <f aca="false">IF((F160&lt;&gt;0),"Enter Letter"," ")</f>
        <v> </v>
      </c>
      <c r="G160" s="180" t="str">
        <f aca="false">IF((D160="d"),F160," ")</f>
        <v> </v>
      </c>
      <c r="H160" s="180" t="str">
        <f aca="false">IF((D160="h"),F160," ")</f>
        <v> </v>
      </c>
      <c r="I160" s="180" t="str">
        <f aca="false">IF((D160="r"),F160," ")</f>
        <v> </v>
      </c>
      <c r="J160" s="180" t="str">
        <f aca="false">IF((D160="t"),F160," ")</f>
        <v> </v>
      </c>
      <c r="K160" s="180" t="str">
        <f aca="false">IF((D160="e"),F160," ")</f>
        <v> </v>
      </c>
      <c r="L160" s="180" t="str">
        <f aca="false">IF((D160="p"),F160," ")</f>
        <v> </v>
      </c>
      <c r="M160" s="180" t="str">
        <f aca="false">IF((D160="g"),F160," ")</f>
        <v> </v>
      </c>
      <c r="N160" s="180" t="str">
        <f aca="false">IF((D160="a"),F160," ")</f>
        <v> </v>
      </c>
      <c r="O160" s="180" t="str">
        <f aca="false">IF((D160="l"),F160," ")</f>
        <v> </v>
      </c>
      <c r="P160" s="180" t="str">
        <f aca="false">IF((D160="i"),F160," ")</f>
        <v> </v>
      </c>
      <c r="Q160" s="180" t="str">
        <f aca="false">IF((D160="b"),F160," ")</f>
        <v> </v>
      </c>
      <c r="R160" s="180" t="str">
        <f aca="false">IF((D160="o"),F160," ")</f>
        <v> </v>
      </c>
      <c r="S160" s="180" t="str">
        <f aca="false">IF((D160="f"),F160," ")</f>
        <v> </v>
      </c>
      <c r="U160" s="371"/>
    </row>
    <row r="161" customFormat="false" ht="12.75" hidden="false" customHeight="false" outlineLevel="0" collapsed="false">
      <c r="D161" s="371" t="str">
        <f aca="false">IF((F161&lt;&gt;0),"Enter Letter"," ")</f>
        <v> </v>
      </c>
      <c r="G161" s="180" t="str">
        <f aca="false">IF((D161="d"),F161," ")</f>
        <v> </v>
      </c>
      <c r="H161" s="180" t="str">
        <f aca="false">IF((D161="h"),F161," ")</f>
        <v> </v>
      </c>
      <c r="I161" s="180" t="str">
        <f aca="false">IF((D161="r"),F161," ")</f>
        <v> </v>
      </c>
      <c r="J161" s="180" t="str">
        <f aca="false">IF((D161="t"),F161," ")</f>
        <v> </v>
      </c>
      <c r="K161" s="180" t="str">
        <f aca="false">IF((D161="e"),F161," ")</f>
        <v> </v>
      </c>
      <c r="L161" s="180" t="str">
        <f aca="false">IF((D161="p"),F161," ")</f>
        <v> </v>
      </c>
      <c r="M161" s="180" t="str">
        <f aca="false">IF((D161="g"),F161," ")</f>
        <v> </v>
      </c>
      <c r="N161" s="180" t="str">
        <f aca="false">IF((D161="a"),F161," ")</f>
        <v> </v>
      </c>
      <c r="O161" s="180" t="str">
        <f aca="false">IF((D161="l"),F161," ")</f>
        <v> </v>
      </c>
      <c r="P161" s="180" t="str">
        <f aca="false">IF((D161="i"),F161," ")</f>
        <v> </v>
      </c>
      <c r="Q161" s="180" t="str">
        <f aca="false">IF((D161="b"),F161," ")</f>
        <v> </v>
      </c>
      <c r="R161" s="180" t="str">
        <f aca="false">IF((D161="o"),F161," ")</f>
        <v> </v>
      </c>
      <c r="S161" s="180" t="str">
        <f aca="false">IF((D161="f"),F161," ")</f>
        <v> </v>
      </c>
      <c r="U161" s="371"/>
    </row>
    <row r="162" customFormat="false" ht="12.75" hidden="false" customHeight="false" outlineLevel="0" collapsed="false">
      <c r="D162" s="371" t="str">
        <f aca="false">IF((F162&lt;&gt;0),"Enter Letter"," ")</f>
        <v> </v>
      </c>
      <c r="G162" s="180" t="str">
        <f aca="false">IF((D162="d"),F162," ")</f>
        <v> </v>
      </c>
      <c r="H162" s="180" t="str">
        <f aca="false">IF((D162="h"),F162," ")</f>
        <v> </v>
      </c>
      <c r="I162" s="180" t="str">
        <f aca="false">IF((D162="r"),F162," ")</f>
        <v> </v>
      </c>
      <c r="J162" s="180" t="str">
        <f aca="false">IF((D162="t"),F162," ")</f>
        <v> </v>
      </c>
      <c r="K162" s="180" t="str">
        <f aca="false">IF((D162="e"),F162," ")</f>
        <v> </v>
      </c>
      <c r="L162" s="180" t="str">
        <f aca="false">IF((D162="p"),F162," ")</f>
        <v> </v>
      </c>
      <c r="M162" s="180" t="str">
        <f aca="false">IF((D162="g"),F162," ")</f>
        <v> </v>
      </c>
      <c r="N162" s="180" t="str">
        <f aca="false">IF((D162="a"),F162," ")</f>
        <v> </v>
      </c>
      <c r="O162" s="180" t="str">
        <f aca="false">IF((D162="l"),F162," ")</f>
        <v> </v>
      </c>
      <c r="P162" s="180" t="str">
        <f aca="false">IF((D162="i"),F162," ")</f>
        <v> </v>
      </c>
      <c r="Q162" s="180" t="str">
        <f aca="false">IF((D162="b"),F162," ")</f>
        <v> </v>
      </c>
      <c r="R162" s="180" t="str">
        <f aca="false">IF((D162="o"),F162," ")</f>
        <v> </v>
      </c>
      <c r="S162" s="180" t="str">
        <f aca="false">IF((D162="f"),F162," ")</f>
        <v> </v>
      </c>
      <c r="U162" s="371"/>
    </row>
    <row r="163" customFormat="false" ht="12.75" hidden="false" customHeight="false" outlineLevel="0" collapsed="false">
      <c r="D163" s="371" t="str">
        <f aca="false">IF((F163&lt;&gt;0),"Enter Letter"," ")</f>
        <v> </v>
      </c>
      <c r="G163" s="180" t="str">
        <f aca="false">IF((D163="d"),F163," ")</f>
        <v> </v>
      </c>
      <c r="H163" s="180" t="str">
        <f aca="false">IF((D163="h"),F163," ")</f>
        <v> </v>
      </c>
      <c r="I163" s="180" t="str">
        <f aca="false">IF((D163="r"),F163," ")</f>
        <v> </v>
      </c>
      <c r="J163" s="180" t="str">
        <f aca="false">IF((D163="t"),F163," ")</f>
        <v> </v>
      </c>
      <c r="K163" s="180" t="str">
        <f aca="false">IF((D163="e"),F163," ")</f>
        <v> </v>
      </c>
      <c r="L163" s="180" t="str">
        <f aca="false">IF((D163="p"),F163," ")</f>
        <v> </v>
      </c>
      <c r="M163" s="180" t="str">
        <f aca="false">IF((D163="g"),F163," ")</f>
        <v> </v>
      </c>
      <c r="N163" s="180" t="str">
        <f aca="false">IF((D163="a"),F163," ")</f>
        <v> </v>
      </c>
      <c r="O163" s="180" t="str">
        <f aca="false">IF((D163="l"),F163," ")</f>
        <v> </v>
      </c>
      <c r="P163" s="180" t="str">
        <f aca="false">IF((D163="i"),F163," ")</f>
        <v> </v>
      </c>
      <c r="Q163" s="180" t="str">
        <f aca="false">IF((D163="b"),F163," ")</f>
        <v> </v>
      </c>
      <c r="R163" s="180" t="str">
        <f aca="false">IF((D163="o"),F163," ")</f>
        <v> </v>
      </c>
      <c r="S163" s="180" t="str">
        <f aca="false">IF((D163="f"),F163," ")</f>
        <v> </v>
      </c>
      <c r="U163" s="371"/>
    </row>
    <row r="164" customFormat="false" ht="12.75" hidden="false" customHeight="false" outlineLevel="0" collapsed="false">
      <c r="D164" s="371" t="str">
        <f aca="false">IF((F164&lt;&gt;0),"Enter Letter"," ")</f>
        <v> </v>
      </c>
      <c r="G164" s="180" t="str">
        <f aca="false">IF((D164="d"),F164," ")</f>
        <v> </v>
      </c>
      <c r="H164" s="180" t="str">
        <f aca="false">IF((D164="h"),F164," ")</f>
        <v> </v>
      </c>
      <c r="I164" s="180" t="str">
        <f aca="false">IF((D164="r"),F164," ")</f>
        <v> </v>
      </c>
      <c r="J164" s="180" t="str">
        <f aca="false">IF((D164="t"),F164," ")</f>
        <v> </v>
      </c>
      <c r="K164" s="180" t="str">
        <f aca="false">IF((D164="e"),F164," ")</f>
        <v> </v>
      </c>
      <c r="L164" s="180" t="str">
        <f aca="false">IF((D164="p"),F164," ")</f>
        <v> </v>
      </c>
      <c r="M164" s="180" t="str">
        <f aca="false">IF((D164="g"),F164," ")</f>
        <v> </v>
      </c>
      <c r="N164" s="180" t="str">
        <f aca="false">IF((D164="a"),F164," ")</f>
        <v> </v>
      </c>
      <c r="O164" s="180" t="str">
        <f aca="false">IF((D164="l"),F164," ")</f>
        <v> </v>
      </c>
      <c r="P164" s="180" t="str">
        <f aca="false">IF((D164="i"),F164," ")</f>
        <v> </v>
      </c>
      <c r="Q164" s="180" t="str">
        <f aca="false">IF((D164="b"),F164," ")</f>
        <v> </v>
      </c>
      <c r="R164" s="180" t="str">
        <f aca="false">IF((D164="o"),F164," ")</f>
        <v> </v>
      </c>
      <c r="S164" s="180" t="str">
        <f aca="false">IF((D164="f"),F164," ")</f>
        <v> </v>
      </c>
      <c r="U164" s="371"/>
    </row>
    <row r="165" customFormat="false" ht="12.75" hidden="false" customHeight="false" outlineLevel="0" collapsed="false">
      <c r="D165" s="371" t="str">
        <f aca="false">IF((F165&lt;&gt;0),"Enter Letter"," ")</f>
        <v> </v>
      </c>
      <c r="G165" s="180" t="str">
        <f aca="false">IF((D165="d"),F165," ")</f>
        <v> </v>
      </c>
      <c r="H165" s="180" t="str">
        <f aca="false">IF((D165="h"),F165," ")</f>
        <v> </v>
      </c>
      <c r="I165" s="180" t="str">
        <f aca="false">IF((D165="r"),F165," ")</f>
        <v> </v>
      </c>
      <c r="J165" s="180" t="str">
        <f aca="false">IF((D165="t"),F165," ")</f>
        <v> </v>
      </c>
      <c r="K165" s="180" t="str">
        <f aca="false">IF((D165="e"),F165," ")</f>
        <v> </v>
      </c>
      <c r="L165" s="180" t="str">
        <f aca="false">IF((D165="p"),F165," ")</f>
        <v> </v>
      </c>
      <c r="M165" s="180" t="str">
        <f aca="false">IF((D165="g"),F165," ")</f>
        <v> </v>
      </c>
      <c r="N165" s="180" t="str">
        <f aca="false">IF((D165="a"),F165," ")</f>
        <v> </v>
      </c>
      <c r="O165" s="180" t="str">
        <f aca="false">IF((D165="l"),F165," ")</f>
        <v> </v>
      </c>
      <c r="P165" s="180" t="str">
        <f aca="false">IF((D165="i"),F165," ")</f>
        <v> </v>
      </c>
      <c r="Q165" s="180" t="str">
        <f aca="false">IF((D165="b"),F165," ")</f>
        <v> </v>
      </c>
      <c r="R165" s="180" t="str">
        <f aca="false">IF((D165="o"),F165," ")</f>
        <v> </v>
      </c>
      <c r="S165" s="180" t="str">
        <f aca="false">IF((D165="f"),F165," ")</f>
        <v> </v>
      </c>
      <c r="U165" s="371"/>
    </row>
    <row r="166" customFormat="false" ht="12.75" hidden="false" customHeight="false" outlineLevel="0" collapsed="false">
      <c r="D166" s="371" t="str">
        <f aca="false">IF((F166&lt;&gt;0),"Enter Letter"," ")</f>
        <v> </v>
      </c>
      <c r="G166" s="180" t="str">
        <f aca="false">IF((D166="d"),F166," ")</f>
        <v> </v>
      </c>
      <c r="H166" s="180" t="str">
        <f aca="false">IF((D166="h"),F166," ")</f>
        <v> </v>
      </c>
      <c r="I166" s="180" t="str">
        <f aca="false">IF((D166="r"),F166," ")</f>
        <v> </v>
      </c>
      <c r="J166" s="180" t="str">
        <f aca="false">IF((D166="t"),F166," ")</f>
        <v> </v>
      </c>
      <c r="K166" s="180" t="str">
        <f aca="false">IF((D166="e"),F166," ")</f>
        <v> </v>
      </c>
      <c r="L166" s="180" t="str">
        <f aca="false">IF((D166="p"),F166," ")</f>
        <v> </v>
      </c>
      <c r="M166" s="180" t="str">
        <f aca="false">IF((D166="g"),F166," ")</f>
        <v> </v>
      </c>
      <c r="N166" s="180" t="str">
        <f aca="false">IF((D166="a"),F166," ")</f>
        <v> </v>
      </c>
      <c r="O166" s="180" t="str">
        <f aca="false">IF((D166="l"),F166," ")</f>
        <v> </v>
      </c>
      <c r="P166" s="180" t="str">
        <f aca="false">IF((D166="i"),F166," ")</f>
        <v> </v>
      </c>
      <c r="Q166" s="180" t="str">
        <f aca="false">IF((D166="b"),F166," ")</f>
        <v> </v>
      </c>
      <c r="R166" s="180" t="str">
        <f aca="false">IF((D166="o"),F166," ")</f>
        <v> </v>
      </c>
      <c r="S166" s="180" t="str">
        <f aca="false">IF((D166="f"),F166," ")</f>
        <v> </v>
      </c>
      <c r="U166" s="371"/>
    </row>
    <row r="167" customFormat="false" ht="12.75" hidden="false" customHeight="false" outlineLevel="0" collapsed="false">
      <c r="D167" s="371" t="str">
        <f aca="false">IF((F167&lt;&gt;0),"Enter Letter"," ")</f>
        <v> </v>
      </c>
      <c r="G167" s="180" t="str">
        <f aca="false">IF((D167="d"),F167," ")</f>
        <v> </v>
      </c>
      <c r="H167" s="180" t="str">
        <f aca="false">IF((D167="h"),F167," ")</f>
        <v> </v>
      </c>
      <c r="I167" s="180" t="str">
        <f aca="false">IF((D167="r"),F167," ")</f>
        <v> </v>
      </c>
      <c r="J167" s="180" t="str">
        <f aca="false">IF((D167="t"),F167," ")</f>
        <v> </v>
      </c>
      <c r="K167" s="180" t="str">
        <f aca="false">IF((D167="e"),F167," ")</f>
        <v> </v>
      </c>
      <c r="L167" s="180" t="str">
        <f aca="false">IF((D167="p"),F167," ")</f>
        <v> </v>
      </c>
      <c r="M167" s="180" t="str">
        <f aca="false">IF((D167="g"),F167," ")</f>
        <v> </v>
      </c>
      <c r="N167" s="180" t="str">
        <f aca="false">IF((D167="a"),F167," ")</f>
        <v> </v>
      </c>
      <c r="O167" s="180" t="str">
        <f aca="false">IF((D167="l"),F167," ")</f>
        <v> </v>
      </c>
      <c r="P167" s="180" t="str">
        <f aca="false">IF((D167="i"),F167," ")</f>
        <v> </v>
      </c>
      <c r="Q167" s="180" t="str">
        <f aca="false">IF((D167="b"),F167," ")</f>
        <v> </v>
      </c>
      <c r="R167" s="180" t="str">
        <f aca="false">IF((D167="o"),F167," ")</f>
        <v> </v>
      </c>
      <c r="S167" s="180" t="str">
        <f aca="false">IF((D167="f"),F167," ")</f>
        <v> </v>
      </c>
      <c r="U167" s="371"/>
    </row>
    <row r="168" customFormat="false" ht="12.75" hidden="false" customHeight="false" outlineLevel="0" collapsed="false">
      <c r="D168" s="371" t="str">
        <f aca="false">IF((F168&lt;&gt;0),"Enter Letter"," ")</f>
        <v> </v>
      </c>
      <c r="G168" s="180" t="str">
        <f aca="false">IF((D168="d"),F168," ")</f>
        <v> </v>
      </c>
      <c r="H168" s="180" t="str">
        <f aca="false">IF((D168="h"),F168," ")</f>
        <v> </v>
      </c>
      <c r="I168" s="180" t="str">
        <f aca="false">IF((D168="r"),F168," ")</f>
        <v> </v>
      </c>
      <c r="J168" s="180" t="str">
        <f aca="false">IF((D168="t"),F168," ")</f>
        <v> </v>
      </c>
      <c r="K168" s="180" t="str">
        <f aca="false">IF((D168="e"),F168," ")</f>
        <v> </v>
      </c>
      <c r="L168" s="180" t="str">
        <f aca="false">IF((D168="p"),F168," ")</f>
        <v> </v>
      </c>
      <c r="M168" s="180" t="str">
        <f aca="false">IF((D168="g"),F168," ")</f>
        <v> </v>
      </c>
      <c r="N168" s="180" t="str">
        <f aca="false">IF((D168="a"),F168," ")</f>
        <v> </v>
      </c>
      <c r="O168" s="180" t="str">
        <f aca="false">IF((D168="l"),F168," ")</f>
        <v> </v>
      </c>
      <c r="P168" s="180" t="str">
        <f aca="false">IF((D168="i"),F168," ")</f>
        <v> </v>
      </c>
      <c r="Q168" s="180" t="str">
        <f aca="false">IF((D168="b"),F168," ")</f>
        <v> </v>
      </c>
      <c r="R168" s="180" t="str">
        <f aca="false">IF((D168="o"),F168," ")</f>
        <v> </v>
      </c>
      <c r="S168" s="180" t="str">
        <f aca="false">IF((D168="f"),F168," ")</f>
        <v> </v>
      </c>
      <c r="U168" s="371"/>
    </row>
    <row r="169" customFormat="false" ht="12.75" hidden="false" customHeight="false" outlineLevel="0" collapsed="false">
      <c r="D169" s="371" t="str">
        <f aca="false">IF((F169&lt;&gt;0),"Enter Letter"," ")</f>
        <v> </v>
      </c>
      <c r="G169" s="180" t="str">
        <f aca="false">IF((D169="d"),F169," ")</f>
        <v> </v>
      </c>
      <c r="H169" s="180" t="str">
        <f aca="false">IF((D169="h"),F169," ")</f>
        <v> </v>
      </c>
      <c r="I169" s="180" t="str">
        <f aca="false">IF((D169="r"),F169," ")</f>
        <v> </v>
      </c>
      <c r="J169" s="180" t="str">
        <f aca="false">IF((D169="t"),F169," ")</f>
        <v> </v>
      </c>
      <c r="K169" s="180" t="str">
        <f aca="false">IF((D169="e"),F169," ")</f>
        <v> </v>
      </c>
      <c r="L169" s="180" t="str">
        <f aca="false">IF((D169="p"),F169," ")</f>
        <v> </v>
      </c>
      <c r="M169" s="180" t="str">
        <f aca="false">IF((D169="g"),F169," ")</f>
        <v> </v>
      </c>
      <c r="N169" s="180" t="str">
        <f aca="false">IF((D169="a"),F169," ")</f>
        <v> </v>
      </c>
      <c r="O169" s="180" t="str">
        <f aca="false">IF((D169="l"),F169," ")</f>
        <v> </v>
      </c>
      <c r="P169" s="180" t="str">
        <f aca="false">IF((D169="i"),F169," ")</f>
        <v> </v>
      </c>
      <c r="Q169" s="180" t="str">
        <f aca="false">IF((D169="b"),F169," ")</f>
        <v> </v>
      </c>
      <c r="R169" s="180" t="str">
        <f aca="false">IF((D169="o"),F169," ")</f>
        <v> </v>
      </c>
      <c r="S169" s="180" t="str">
        <f aca="false">IF((D169="f"),F169," ")</f>
        <v> </v>
      </c>
      <c r="U169" s="371"/>
    </row>
    <row r="170" customFormat="false" ht="12.75" hidden="false" customHeight="false" outlineLevel="0" collapsed="false">
      <c r="D170" s="371" t="str">
        <f aca="false">IF((F170&lt;&gt;0),"Enter Letter"," ")</f>
        <v> </v>
      </c>
      <c r="G170" s="180" t="str">
        <f aca="false">IF((D170="d"),F170," ")</f>
        <v> </v>
      </c>
      <c r="H170" s="180" t="str">
        <f aca="false">IF((D170="h"),F170," ")</f>
        <v> </v>
      </c>
      <c r="I170" s="180" t="str">
        <f aca="false">IF((D170="r"),F170," ")</f>
        <v> </v>
      </c>
      <c r="J170" s="180" t="str">
        <f aca="false">IF((D170="t"),F170," ")</f>
        <v> </v>
      </c>
      <c r="K170" s="180" t="str">
        <f aca="false">IF((D170="e"),F170," ")</f>
        <v> </v>
      </c>
      <c r="L170" s="180" t="str">
        <f aca="false">IF((D170="p"),F170," ")</f>
        <v> </v>
      </c>
      <c r="M170" s="180" t="str">
        <f aca="false">IF((D170="g"),F170," ")</f>
        <v> </v>
      </c>
      <c r="N170" s="180" t="str">
        <f aca="false">IF((D170="a"),F170," ")</f>
        <v> </v>
      </c>
      <c r="O170" s="180" t="str">
        <f aca="false">IF((D170="l"),F170," ")</f>
        <v> </v>
      </c>
      <c r="P170" s="180" t="str">
        <f aca="false">IF((D170="i"),F170," ")</f>
        <v> </v>
      </c>
      <c r="Q170" s="180" t="str">
        <f aca="false">IF((D170="b"),F170," ")</f>
        <v> </v>
      </c>
      <c r="R170" s="180" t="str">
        <f aca="false">IF((D170="o"),F170," ")</f>
        <v> </v>
      </c>
      <c r="S170" s="180" t="str">
        <f aca="false">IF((D170="f"),F170," ")</f>
        <v> </v>
      </c>
      <c r="U170" s="371"/>
    </row>
    <row r="171" customFormat="false" ht="12.75" hidden="false" customHeight="false" outlineLevel="0" collapsed="false">
      <c r="D171" s="371" t="str">
        <f aca="false">IF((F171&lt;&gt;0),"Enter Letter"," ")</f>
        <v> </v>
      </c>
      <c r="G171" s="180" t="str">
        <f aca="false">IF((D171="d"),F171," ")</f>
        <v> </v>
      </c>
      <c r="H171" s="180" t="str">
        <f aca="false">IF((D171="h"),F171," ")</f>
        <v> </v>
      </c>
      <c r="I171" s="180" t="str">
        <f aca="false">IF((D171="r"),F171," ")</f>
        <v> </v>
      </c>
      <c r="J171" s="180" t="str">
        <f aca="false">IF((D171="t"),F171," ")</f>
        <v> </v>
      </c>
      <c r="K171" s="180" t="str">
        <f aca="false">IF((D171="e"),F171," ")</f>
        <v> </v>
      </c>
      <c r="L171" s="180" t="str">
        <f aca="false">IF((D171="p"),F171," ")</f>
        <v> </v>
      </c>
      <c r="M171" s="180" t="str">
        <f aca="false">IF((D171="g"),F171," ")</f>
        <v> </v>
      </c>
      <c r="N171" s="180" t="str">
        <f aca="false">IF((D171="a"),F171," ")</f>
        <v> </v>
      </c>
      <c r="O171" s="180" t="str">
        <f aca="false">IF((D171="l"),F171," ")</f>
        <v> </v>
      </c>
      <c r="P171" s="180" t="str">
        <f aca="false">IF((D171="i"),F171," ")</f>
        <v> </v>
      </c>
      <c r="Q171" s="180" t="str">
        <f aca="false">IF((D171="b"),F171," ")</f>
        <v> </v>
      </c>
      <c r="R171" s="180" t="str">
        <f aca="false">IF((D171="o"),F171," ")</f>
        <v> </v>
      </c>
      <c r="S171" s="180" t="str">
        <f aca="false">IF((D171="f"),F171," ")</f>
        <v> </v>
      </c>
      <c r="U171" s="371"/>
    </row>
    <row r="172" customFormat="false" ht="12.75" hidden="false" customHeight="false" outlineLevel="0" collapsed="false">
      <c r="D172" s="371" t="str">
        <f aca="false">IF((F172&lt;&gt;0),"Enter Letter"," ")</f>
        <v> </v>
      </c>
      <c r="G172" s="180" t="str">
        <f aca="false">IF((D172="d"),F172," ")</f>
        <v> </v>
      </c>
      <c r="H172" s="180" t="str">
        <f aca="false">IF((D172="h"),F172," ")</f>
        <v> </v>
      </c>
      <c r="I172" s="180" t="str">
        <f aca="false">IF((D172="r"),F172," ")</f>
        <v> </v>
      </c>
      <c r="J172" s="180" t="str">
        <f aca="false">IF((D172="t"),F172," ")</f>
        <v> </v>
      </c>
      <c r="K172" s="180" t="str">
        <f aca="false">IF((D172="e"),F172," ")</f>
        <v> </v>
      </c>
      <c r="L172" s="180" t="str">
        <f aca="false">IF((D172="p"),F172," ")</f>
        <v> </v>
      </c>
      <c r="M172" s="180" t="str">
        <f aca="false">IF((D172="g"),F172," ")</f>
        <v> </v>
      </c>
      <c r="N172" s="180" t="str">
        <f aca="false">IF((D172="a"),F172," ")</f>
        <v> </v>
      </c>
      <c r="O172" s="180" t="str">
        <f aca="false">IF((D172="l"),F172," ")</f>
        <v> </v>
      </c>
      <c r="P172" s="180" t="str">
        <f aca="false">IF((D172="i"),F172," ")</f>
        <v> </v>
      </c>
      <c r="Q172" s="180" t="str">
        <f aca="false">IF((D172="b"),F172," ")</f>
        <v> </v>
      </c>
      <c r="R172" s="180" t="str">
        <f aca="false">IF((D172="o"),F172," ")</f>
        <v> </v>
      </c>
      <c r="S172" s="180" t="str">
        <f aca="false">IF((D172="f"),F172," ")</f>
        <v> </v>
      </c>
      <c r="U172" s="371"/>
    </row>
    <row r="173" customFormat="false" ht="12.75" hidden="false" customHeight="false" outlineLevel="0" collapsed="false">
      <c r="D173" s="371" t="str">
        <f aca="false">IF((F173&lt;&gt;0),"Enter Letter"," ")</f>
        <v> </v>
      </c>
      <c r="G173" s="180" t="str">
        <f aca="false">IF((D173="d"),F173," ")</f>
        <v> </v>
      </c>
      <c r="H173" s="180" t="str">
        <f aca="false">IF((D173="h"),F173," ")</f>
        <v> </v>
      </c>
      <c r="I173" s="180" t="str">
        <f aca="false">IF((D173="r"),F173," ")</f>
        <v> </v>
      </c>
      <c r="J173" s="180" t="str">
        <f aca="false">IF((D173="t"),F173," ")</f>
        <v> </v>
      </c>
      <c r="K173" s="180" t="str">
        <f aca="false">IF((D173="e"),F173," ")</f>
        <v> </v>
      </c>
      <c r="L173" s="180" t="str">
        <f aca="false">IF((D173="p"),F173," ")</f>
        <v> </v>
      </c>
      <c r="M173" s="180" t="str">
        <f aca="false">IF((D173="g"),F173," ")</f>
        <v> </v>
      </c>
      <c r="N173" s="180" t="str">
        <f aca="false">IF((D173="a"),F173," ")</f>
        <v> </v>
      </c>
      <c r="O173" s="180" t="str">
        <f aca="false">IF((D173="l"),F173," ")</f>
        <v> </v>
      </c>
      <c r="P173" s="180" t="str">
        <f aca="false">IF((D173="i"),F173," ")</f>
        <v> </v>
      </c>
      <c r="Q173" s="180" t="str">
        <f aca="false">IF((D173="b"),F173," ")</f>
        <v> </v>
      </c>
      <c r="R173" s="180" t="str">
        <f aca="false">IF((D173="o"),F173," ")</f>
        <v> </v>
      </c>
      <c r="S173" s="180" t="str">
        <f aca="false">IF((D173="f"),F173," ")</f>
        <v> </v>
      </c>
      <c r="U173" s="371"/>
    </row>
    <row r="174" customFormat="false" ht="12.75" hidden="false" customHeight="false" outlineLevel="0" collapsed="false">
      <c r="D174" s="371" t="str">
        <f aca="false">IF((F174&lt;&gt;0),"Enter Letter"," ")</f>
        <v> </v>
      </c>
      <c r="G174" s="180" t="str">
        <f aca="false">IF((D174="d"),F174," ")</f>
        <v> </v>
      </c>
      <c r="H174" s="180" t="str">
        <f aca="false">IF((D174="h"),F174," ")</f>
        <v> </v>
      </c>
      <c r="I174" s="180" t="str">
        <f aca="false">IF((D174="r"),F174," ")</f>
        <v> </v>
      </c>
      <c r="J174" s="180" t="str">
        <f aca="false">IF((D174="t"),F174," ")</f>
        <v> </v>
      </c>
      <c r="K174" s="180" t="str">
        <f aca="false">IF((D174="e"),F174," ")</f>
        <v> </v>
      </c>
      <c r="L174" s="180" t="str">
        <f aca="false">IF((D174="p"),F174," ")</f>
        <v> </v>
      </c>
      <c r="M174" s="180" t="str">
        <f aca="false">IF((D174="g"),F174," ")</f>
        <v> </v>
      </c>
      <c r="N174" s="180" t="str">
        <f aca="false">IF((D174="a"),F174," ")</f>
        <v> </v>
      </c>
      <c r="O174" s="180" t="str">
        <f aca="false">IF((D174="l"),F174," ")</f>
        <v> </v>
      </c>
      <c r="P174" s="180" t="str">
        <f aca="false">IF((D174="i"),F174," ")</f>
        <v> </v>
      </c>
      <c r="Q174" s="180" t="str">
        <f aca="false">IF((D174="b"),F174," ")</f>
        <v> </v>
      </c>
      <c r="R174" s="180" t="str">
        <f aca="false">IF((D174="o"),F174," ")</f>
        <v> </v>
      </c>
      <c r="S174" s="180" t="str">
        <f aca="false">IF((D174="f"),F174," ")</f>
        <v> </v>
      </c>
      <c r="U174" s="371"/>
    </row>
    <row r="175" customFormat="false" ht="12.75" hidden="false" customHeight="false" outlineLevel="0" collapsed="false">
      <c r="D175" s="371" t="str">
        <f aca="false">IF((F175&lt;&gt;0),"Enter Letter"," ")</f>
        <v> </v>
      </c>
      <c r="G175" s="180" t="str">
        <f aca="false">IF((D175="d"),F175," ")</f>
        <v> </v>
      </c>
      <c r="H175" s="180" t="str">
        <f aca="false">IF((D175="h"),F175," ")</f>
        <v> </v>
      </c>
      <c r="I175" s="180" t="str">
        <f aca="false">IF((D175="r"),F175," ")</f>
        <v> </v>
      </c>
      <c r="J175" s="180" t="str">
        <f aca="false">IF((D175="t"),F175," ")</f>
        <v> </v>
      </c>
      <c r="K175" s="180" t="str">
        <f aca="false">IF((D175="e"),F175," ")</f>
        <v> </v>
      </c>
      <c r="L175" s="180" t="str">
        <f aca="false">IF((D175="p"),F175," ")</f>
        <v> </v>
      </c>
      <c r="M175" s="180" t="str">
        <f aca="false">IF((D175="g"),F175," ")</f>
        <v> </v>
      </c>
      <c r="N175" s="180" t="str">
        <f aca="false">IF((D175="a"),F175," ")</f>
        <v> </v>
      </c>
      <c r="O175" s="180" t="str">
        <f aca="false">IF((D175="l"),F175," ")</f>
        <v> </v>
      </c>
      <c r="P175" s="180" t="str">
        <f aca="false">IF((D175="i"),F175," ")</f>
        <v> </v>
      </c>
      <c r="Q175" s="180" t="str">
        <f aca="false">IF((D175="b"),F175," ")</f>
        <v> </v>
      </c>
      <c r="R175" s="180" t="str">
        <f aca="false">IF((D175="o"),F175," ")</f>
        <v> </v>
      </c>
      <c r="S175" s="180" t="str">
        <f aca="false">IF((D175="f"),F175," ")</f>
        <v> </v>
      </c>
      <c r="U175" s="371"/>
    </row>
    <row r="176" customFormat="false" ht="12.75" hidden="false" customHeight="false" outlineLevel="0" collapsed="false">
      <c r="D176" s="371" t="str">
        <f aca="false">IF((F176&lt;&gt;0),"Enter Letter"," ")</f>
        <v> </v>
      </c>
      <c r="G176" s="180" t="str">
        <f aca="false">IF((D176="d"),F176," ")</f>
        <v> </v>
      </c>
      <c r="H176" s="180" t="str">
        <f aca="false">IF((D176="h"),F176," ")</f>
        <v> </v>
      </c>
      <c r="I176" s="180" t="str">
        <f aca="false">IF((D176="r"),F176," ")</f>
        <v> </v>
      </c>
      <c r="J176" s="180" t="str">
        <f aca="false">IF((D176="t"),F176," ")</f>
        <v> </v>
      </c>
      <c r="K176" s="180" t="str">
        <f aca="false">IF((D176="e"),F176," ")</f>
        <v> </v>
      </c>
      <c r="L176" s="180" t="str">
        <f aca="false">IF((D176="p"),F176," ")</f>
        <v> </v>
      </c>
      <c r="M176" s="180" t="str">
        <f aca="false">IF((D176="g"),F176," ")</f>
        <v> </v>
      </c>
      <c r="N176" s="180" t="str">
        <f aca="false">IF((D176="a"),F176," ")</f>
        <v> </v>
      </c>
      <c r="O176" s="180" t="str">
        <f aca="false">IF((D176="l"),F176," ")</f>
        <v> </v>
      </c>
      <c r="P176" s="180" t="str">
        <f aca="false">IF((D176="i"),F176," ")</f>
        <v> </v>
      </c>
      <c r="Q176" s="180" t="str">
        <f aca="false">IF((D176="b"),F176," ")</f>
        <v> </v>
      </c>
      <c r="R176" s="180" t="str">
        <f aca="false">IF((D176="o"),F176," ")</f>
        <v> </v>
      </c>
      <c r="S176" s="180" t="str">
        <f aca="false">IF((D176="f"),F176," ")</f>
        <v> </v>
      </c>
      <c r="U176" s="371"/>
    </row>
    <row r="177" customFormat="false" ht="12.75" hidden="false" customHeight="false" outlineLevel="0" collapsed="false">
      <c r="D177" s="371" t="str">
        <f aca="false">IF((F177&lt;&gt;0),"Enter Letter"," ")</f>
        <v> </v>
      </c>
      <c r="G177" s="180" t="str">
        <f aca="false">IF((D177="d"),F177," ")</f>
        <v> </v>
      </c>
      <c r="H177" s="180" t="str">
        <f aca="false">IF((D177="h"),F177," ")</f>
        <v> </v>
      </c>
      <c r="I177" s="180" t="str">
        <f aca="false">IF((D177="r"),F177," ")</f>
        <v> </v>
      </c>
      <c r="J177" s="180" t="str">
        <f aca="false">IF((D177="t"),F177," ")</f>
        <v> </v>
      </c>
      <c r="K177" s="180" t="str">
        <f aca="false">IF((D177="e"),F177," ")</f>
        <v> </v>
      </c>
      <c r="L177" s="180" t="str">
        <f aca="false">IF((D177="p"),F177," ")</f>
        <v> </v>
      </c>
      <c r="M177" s="180" t="str">
        <f aca="false">IF((D177="g"),F177," ")</f>
        <v> </v>
      </c>
      <c r="N177" s="180" t="str">
        <f aca="false">IF((D177="a"),F177," ")</f>
        <v> </v>
      </c>
      <c r="O177" s="180" t="str">
        <f aca="false">IF((D177="l"),F177," ")</f>
        <v> </v>
      </c>
      <c r="P177" s="180" t="str">
        <f aca="false">IF((D177="i"),F177," ")</f>
        <v> </v>
      </c>
      <c r="Q177" s="180" t="str">
        <f aca="false">IF((D177="b"),F177," ")</f>
        <v> </v>
      </c>
      <c r="R177" s="180" t="str">
        <f aca="false">IF((D177="o"),F177," ")</f>
        <v> </v>
      </c>
      <c r="S177" s="180" t="str">
        <f aca="false">IF((D177="f"),F177," ")</f>
        <v> </v>
      </c>
      <c r="U177" s="371"/>
    </row>
    <row r="178" customFormat="false" ht="12.75" hidden="false" customHeight="false" outlineLevel="0" collapsed="false">
      <c r="D178" s="371" t="str">
        <f aca="false">IF((F178&lt;&gt;0),"Enter Letter"," ")</f>
        <v> </v>
      </c>
      <c r="G178" s="180" t="str">
        <f aca="false">IF((D178="d"),F178," ")</f>
        <v> </v>
      </c>
      <c r="H178" s="180" t="str">
        <f aca="false">IF((D178="h"),F178," ")</f>
        <v> </v>
      </c>
      <c r="I178" s="180" t="str">
        <f aca="false">IF((D178="r"),F178," ")</f>
        <v> </v>
      </c>
      <c r="J178" s="180" t="str">
        <f aca="false">IF((D178="t"),F178," ")</f>
        <v> </v>
      </c>
      <c r="K178" s="180" t="str">
        <f aca="false">IF((D178="e"),F178," ")</f>
        <v> </v>
      </c>
      <c r="L178" s="180" t="str">
        <f aca="false">IF((D178="p"),F178," ")</f>
        <v> </v>
      </c>
      <c r="M178" s="180" t="str">
        <f aca="false">IF((D178="g"),F178," ")</f>
        <v> </v>
      </c>
      <c r="N178" s="180" t="str">
        <f aca="false">IF((D178="a"),F178," ")</f>
        <v> </v>
      </c>
      <c r="O178" s="180" t="str">
        <f aca="false">IF((D178="l"),F178," ")</f>
        <v> </v>
      </c>
      <c r="P178" s="180" t="str">
        <f aca="false">IF((D178="i"),F178," ")</f>
        <v> </v>
      </c>
      <c r="Q178" s="180" t="str">
        <f aca="false">IF((D178="b"),F178," ")</f>
        <v> </v>
      </c>
      <c r="R178" s="180" t="str">
        <f aca="false">IF((D178="o"),F178," ")</f>
        <v> </v>
      </c>
      <c r="S178" s="180" t="str">
        <f aca="false">IF((D178="f"),F178," ")</f>
        <v> </v>
      </c>
      <c r="U178" s="371"/>
    </row>
    <row r="179" customFormat="false" ht="12.75" hidden="false" customHeight="false" outlineLevel="0" collapsed="false">
      <c r="D179" s="371" t="str">
        <f aca="false">IF((F179&lt;&gt;0),"Enter Letter"," ")</f>
        <v> </v>
      </c>
      <c r="G179" s="180" t="str">
        <f aca="false">IF((D179="d"),F179," ")</f>
        <v> </v>
      </c>
      <c r="H179" s="180" t="str">
        <f aca="false">IF((D179="h"),F179," ")</f>
        <v> </v>
      </c>
      <c r="I179" s="180" t="str">
        <f aca="false">IF((D179="r"),F179," ")</f>
        <v> </v>
      </c>
      <c r="J179" s="180" t="str">
        <f aca="false">IF((D179="t"),F179," ")</f>
        <v> </v>
      </c>
      <c r="K179" s="180" t="str">
        <f aca="false">IF((D179="e"),F179," ")</f>
        <v> </v>
      </c>
      <c r="L179" s="180" t="str">
        <f aca="false">IF((D179="p"),F179," ")</f>
        <v> </v>
      </c>
      <c r="M179" s="180" t="str">
        <f aca="false">IF((D179="g"),F179," ")</f>
        <v> </v>
      </c>
      <c r="N179" s="180" t="str">
        <f aca="false">IF((D179="a"),F179," ")</f>
        <v> </v>
      </c>
      <c r="O179" s="180" t="str">
        <f aca="false">IF((D179="l"),F179," ")</f>
        <v> </v>
      </c>
      <c r="P179" s="180" t="str">
        <f aca="false">IF((D179="i"),F179," ")</f>
        <v> </v>
      </c>
      <c r="Q179" s="180" t="str">
        <f aca="false">IF((D179="b"),F179," ")</f>
        <v> </v>
      </c>
      <c r="R179" s="180" t="str">
        <f aca="false">IF((D179="o"),F179," ")</f>
        <v> </v>
      </c>
      <c r="S179" s="180" t="str">
        <f aca="false">IF((D179="f"),F179," ")</f>
        <v> </v>
      </c>
      <c r="U179" s="371"/>
    </row>
    <row r="180" customFormat="false" ht="12.75" hidden="false" customHeight="false" outlineLevel="0" collapsed="false">
      <c r="D180" s="371" t="str">
        <f aca="false">IF((F180&lt;&gt;0),"Enter Letter"," ")</f>
        <v> </v>
      </c>
      <c r="G180" s="180" t="str">
        <f aca="false">IF((D180="d"),F180," ")</f>
        <v> </v>
      </c>
      <c r="H180" s="180" t="str">
        <f aca="false">IF((D180="h"),F180," ")</f>
        <v> </v>
      </c>
      <c r="I180" s="180" t="str">
        <f aca="false">IF((D180="r"),F180," ")</f>
        <v> </v>
      </c>
      <c r="J180" s="180" t="str">
        <f aca="false">IF((D180="t"),F180," ")</f>
        <v> </v>
      </c>
      <c r="K180" s="180" t="str">
        <f aca="false">IF((D180="e"),F180," ")</f>
        <v> </v>
      </c>
      <c r="L180" s="180" t="str">
        <f aca="false">IF((D180="p"),F180," ")</f>
        <v> </v>
      </c>
      <c r="M180" s="180" t="str">
        <f aca="false">IF((D180="g"),F180," ")</f>
        <v> </v>
      </c>
      <c r="N180" s="180" t="str">
        <f aca="false">IF((D180="a"),F180," ")</f>
        <v> </v>
      </c>
      <c r="O180" s="180" t="str">
        <f aca="false">IF((D180="l"),F180," ")</f>
        <v> </v>
      </c>
      <c r="P180" s="180" t="str">
        <f aca="false">IF((D180="i"),F180," ")</f>
        <v> </v>
      </c>
      <c r="Q180" s="180" t="str">
        <f aca="false">IF((D180="b"),F180," ")</f>
        <v> </v>
      </c>
      <c r="R180" s="180" t="str">
        <f aca="false">IF((D180="o"),F180," ")</f>
        <v> </v>
      </c>
      <c r="S180" s="180" t="str">
        <f aca="false">IF((D180="f"),F180," ")</f>
        <v> </v>
      </c>
      <c r="U180" s="371"/>
    </row>
    <row r="181" customFormat="false" ht="12.75" hidden="false" customHeight="false" outlineLevel="0" collapsed="false">
      <c r="D181" s="371" t="str">
        <f aca="false">IF((F181&lt;&gt;0),"Enter Letter"," ")</f>
        <v> </v>
      </c>
      <c r="G181" s="180" t="str">
        <f aca="false">IF((D181="d"),F181," ")</f>
        <v> </v>
      </c>
      <c r="H181" s="180" t="str">
        <f aca="false">IF((D181="h"),F181," ")</f>
        <v> </v>
      </c>
      <c r="I181" s="180" t="str">
        <f aca="false">IF((D181="r"),F181," ")</f>
        <v> </v>
      </c>
      <c r="J181" s="180" t="str">
        <f aca="false">IF((D181="t"),F181," ")</f>
        <v> </v>
      </c>
      <c r="K181" s="180" t="str">
        <f aca="false">IF((D181="e"),F181," ")</f>
        <v> </v>
      </c>
      <c r="L181" s="180" t="str">
        <f aca="false">IF((D181="p"),F181," ")</f>
        <v> </v>
      </c>
      <c r="M181" s="180" t="str">
        <f aca="false">IF((D181="g"),F181," ")</f>
        <v> </v>
      </c>
      <c r="N181" s="180" t="str">
        <f aca="false">IF((D181="a"),F181," ")</f>
        <v> </v>
      </c>
      <c r="O181" s="180" t="str">
        <f aca="false">IF((D181="l"),F181," ")</f>
        <v> </v>
      </c>
      <c r="P181" s="180" t="str">
        <f aca="false">IF((D181="i"),F181," ")</f>
        <v> </v>
      </c>
      <c r="Q181" s="180" t="str">
        <f aca="false">IF((D181="b"),F181," ")</f>
        <v> </v>
      </c>
      <c r="R181" s="180" t="str">
        <f aca="false">IF((D181="o"),F181," ")</f>
        <v> </v>
      </c>
      <c r="S181" s="180" t="str">
        <f aca="false">IF((D181="f"),F181," ")</f>
        <v> </v>
      </c>
      <c r="U181" s="371"/>
    </row>
    <row r="182" customFormat="false" ht="12.75" hidden="false" customHeight="false" outlineLevel="0" collapsed="false">
      <c r="D182" s="371" t="str">
        <f aca="false">IF((F182&lt;&gt;0),"Enter Letter"," ")</f>
        <v> </v>
      </c>
      <c r="G182" s="180" t="str">
        <f aca="false">IF((D182="d"),F182," ")</f>
        <v> </v>
      </c>
      <c r="H182" s="180" t="str">
        <f aca="false">IF((D182="h"),F182," ")</f>
        <v> </v>
      </c>
      <c r="I182" s="180" t="str">
        <f aca="false">IF((D182="r"),F182," ")</f>
        <v> </v>
      </c>
      <c r="J182" s="180" t="str">
        <f aca="false">IF((D182="t"),F182," ")</f>
        <v> </v>
      </c>
      <c r="K182" s="180" t="str">
        <f aca="false">IF((D182="e"),F182," ")</f>
        <v> </v>
      </c>
      <c r="L182" s="180" t="str">
        <f aca="false">IF((D182="p"),F182," ")</f>
        <v> </v>
      </c>
      <c r="M182" s="180" t="str">
        <f aca="false">IF((D182="g"),F182," ")</f>
        <v> </v>
      </c>
      <c r="N182" s="180" t="str">
        <f aca="false">IF((D182="a"),F182," ")</f>
        <v> </v>
      </c>
      <c r="O182" s="180" t="str">
        <f aca="false">IF((D182="l"),F182," ")</f>
        <v> </v>
      </c>
      <c r="P182" s="180" t="str">
        <f aca="false">IF((D182="i"),F182," ")</f>
        <v> </v>
      </c>
      <c r="Q182" s="180" t="str">
        <f aca="false">IF((D182="b"),F182," ")</f>
        <v> </v>
      </c>
      <c r="R182" s="180" t="str">
        <f aca="false">IF((D182="o"),F182," ")</f>
        <v> </v>
      </c>
      <c r="S182" s="180" t="str">
        <f aca="false">IF((D182="f"),F182," ")</f>
        <v> </v>
      </c>
      <c r="U182" s="371"/>
    </row>
    <row r="183" customFormat="false" ht="12.75" hidden="false" customHeight="false" outlineLevel="0" collapsed="false">
      <c r="D183" s="371" t="str">
        <f aca="false">IF((F183&lt;&gt;0),"Enter Letter"," ")</f>
        <v> </v>
      </c>
      <c r="G183" s="180" t="str">
        <f aca="false">IF((D183="d"),F183," ")</f>
        <v> </v>
      </c>
      <c r="H183" s="180" t="str">
        <f aca="false">IF((D183="h"),F183," ")</f>
        <v> </v>
      </c>
      <c r="I183" s="180" t="str">
        <f aca="false">IF((D183="r"),F183," ")</f>
        <v> </v>
      </c>
      <c r="J183" s="180" t="str">
        <f aca="false">IF((D183="t"),F183," ")</f>
        <v> </v>
      </c>
      <c r="K183" s="180" t="str">
        <f aca="false">IF((D183="e"),F183," ")</f>
        <v> </v>
      </c>
      <c r="L183" s="180" t="str">
        <f aca="false">IF((D183="p"),F183," ")</f>
        <v> </v>
      </c>
      <c r="M183" s="180" t="str">
        <f aca="false">IF((D183="g"),F183," ")</f>
        <v> </v>
      </c>
      <c r="N183" s="180" t="str">
        <f aca="false">IF((D183="a"),F183," ")</f>
        <v> </v>
      </c>
      <c r="O183" s="180" t="str">
        <f aca="false">IF((D183="l"),F183," ")</f>
        <v> </v>
      </c>
      <c r="P183" s="180" t="str">
        <f aca="false">IF((D183="i"),F183," ")</f>
        <v> </v>
      </c>
      <c r="Q183" s="180" t="str">
        <f aca="false">IF((D183="b"),F183," ")</f>
        <v> </v>
      </c>
      <c r="R183" s="180" t="str">
        <f aca="false">IF((D183="o"),F183," ")</f>
        <v> </v>
      </c>
      <c r="S183" s="180" t="str">
        <f aca="false">IF((D183="f"),F183," ")</f>
        <v> </v>
      </c>
      <c r="U183" s="371"/>
    </row>
    <row r="184" customFormat="false" ht="12.75" hidden="false" customHeight="false" outlineLevel="0" collapsed="false">
      <c r="D184" s="371" t="str">
        <f aca="false">IF((F184&lt;&gt;0),"Enter Letter"," ")</f>
        <v> </v>
      </c>
      <c r="G184" s="180" t="str">
        <f aca="false">IF((D184="d"),F184," ")</f>
        <v> </v>
      </c>
      <c r="H184" s="180" t="str">
        <f aca="false">IF((D184="h"),F184," ")</f>
        <v> </v>
      </c>
      <c r="I184" s="180" t="str">
        <f aca="false">IF((D184="r"),F184," ")</f>
        <v> </v>
      </c>
      <c r="J184" s="180" t="str">
        <f aca="false">IF((D184="t"),F184," ")</f>
        <v> </v>
      </c>
      <c r="K184" s="180" t="str">
        <f aca="false">IF((D184="e"),F184," ")</f>
        <v> </v>
      </c>
      <c r="L184" s="180" t="str">
        <f aca="false">IF((D184="p"),F184," ")</f>
        <v> </v>
      </c>
      <c r="M184" s="180" t="str">
        <f aca="false">IF((D184="g"),F184," ")</f>
        <v> </v>
      </c>
      <c r="N184" s="180" t="str">
        <f aca="false">IF((D184="a"),F184," ")</f>
        <v> </v>
      </c>
      <c r="O184" s="180" t="str">
        <f aca="false">IF((D184="l"),F184," ")</f>
        <v> </v>
      </c>
      <c r="P184" s="180" t="str">
        <f aca="false">IF((D184="i"),F184," ")</f>
        <v> </v>
      </c>
      <c r="Q184" s="180" t="str">
        <f aca="false">IF((D184="b"),F184," ")</f>
        <v> </v>
      </c>
      <c r="R184" s="180" t="str">
        <f aca="false">IF((D184="o"),F184," ")</f>
        <v> </v>
      </c>
      <c r="S184" s="180" t="str">
        <f aca="false">IF((D184="f"),F184," ")</f>
        <v> </v>
      </c>
      <c r="U184" s="371"/>
    </row>
    <row r="185" customFormat="false" ht="12.75" hidden="false" customHeight="false" outlineLevel="0" collapsed="false">
      <c r="D185" s="371" t="str">
        <f aca="false">IF((F185&lt;&gt;0),"Enter Letter"," ")</f>
        <v> </v>
      </c>
      <c r="G185" s="180" t="str">
        <f aca="false">IF((D185="d"),F185," ")</f>
        <v> </v>
      </c>
      <c r="H185" s="180" t="str">
        <f aca="false">IF((D185="h"),F185," ")</f>
        <v> </v>
      </c>
      <c r="I185" s="180" t="str">
        <f aca="false">IF((D185="r"),F185," ")</f>
        <v> </v>
      </c>
      <c r="J185" s="180" t="str">
        <f aca="false">IF((D185="t"),F185," ")</f>
        <v> </v>
      </c>
      <c r="K185" s="180" t="str">
        <f aca="false">IF((D185="e"),F185," ")</f>
        <v> </v>
      </c>
      <c r="L185" s="180" t="str">
        <f aca="false">IF((D185="p"),F185," ")</f>
        <v> </v>
      </c>
      <c r="M185" s="180" t="str">
        <f aca="false">IF((D185="g"),F185," ")</f>
        <v> </v>
      </c>
      <c r="N185" s="180" t="str">
        <f aca="false">IF((D185="a"),F185," ")</f>
        <v> </v>
      </c>
      <c r="O185" s="180" t="str">
        <f aca="false">IF((D185="l"),F185," ")</f>
        <v> </v>
      </c>
      <c r="P185" s="180" t="str">
        <f aca="false">IF((D185="i"),F185," ")</f>
        <v> </v>
      </c>
      <c r="Q185" s="180" t="str">
        <f aca="false">IF((D185="b"),F185," ")</f>
        <v> </v>
      </c>
      <c r="R185" s="180" t="str">
        <f aca="false">IF((D185="o"),F185," ")</f>
        <v> </v>
      </c>
      <c r="S185" s="180" t="str">
        <f aca="false">IF((D185="f"),F185," ")</f>
        <v> </v>
      </c>
      <c r="U185" s="371"/>
    </row>
    <row r="186" customFormat="false" ht="12.75" hidden="false" customHeight="false" outlineLevel="0" collapsed="false">
      <c r="D186" s="371" t="str">
        <f aca="false">IF((F186&lt;&gt;0),"Enter Letter"," ")</f>
        <v> </v>
      </c>
      <c r="G186" s="180" t="str">
        <f aca="false">IF((D186="d"),F186," ")</f>
        <v> </v>
      </c>
      <c r="H186" s="180" t="str">
        <f aca="false">IF((D186="h"),F186," ")</f>
        <v> </v>
      </c>
      <c r="I186" s="180" t="str">
        <f aca="false">IF((D186="r"),F186," ")</f>
        <v> </v>
      </c>
      <c r="J186" s="180" t="str">
        <f aca="false">IF((D186="t"),F186," ")</f>
        <v> </v>
      </c>
      <c r="K186" s="180" t="str">
        <f aca="false">IF((D186="e"),F186," ")</f>
        <v> </v>
      </c>
      <c r="L186" s="180" t="str">
        <f aca="false">IF((D186="p"),F186," ")</f>
        <v> </v>
      </c>
      <c r="M186" s="180" t="str">
        <f aca="false">IF((D186="g"),F186," ")</f>
        <v> </v>
      </c>
      <c r="N186" s="180" t="str">
        <f aca="false">IF((D186="a"),F186," ")</f>
        <v> </v>
      </c>
      <c r="O186" s="180" t="str">
        <f aca="false">IF((D186="l"),F186," ")</f>
        <v> </v>
      </c>
      <c r="P186" s="180" t="str">
        <f aca="false">IF((D186="i"),F186," ")</f>
        <v> </v>
      </c>
      <c r="Q186" s="180" t="str">
        <f aca="false">IF((D186="b"),F186," ")</f>
        <v> </v>
      </c>
      <c r="R186" s="180" t="str">
        <f aca="false">IF((D186="o"),F186," ")</f>
        <v> </v>
      </c>
      <c r="S186" s="180" t="str">
        <f aca="false">IF((D186="f"),F186," ")</f>
        <v> </v>
      </c>
      <c r="U186" s="371"/>
    </row>
    <row r="187" customFormat="false" ht="12.75" hidden="false" customHeight="false" outlineLevel="0" collapsed="false">
      <c r="D187" s="371" t="str">
        <f aca="false">IF((F187&lt;&gt;0),"Enter Letter"," ")</f>
        <v> </v>
      </c>
      <c r="G187" s="180" t="str">
        <f aca="false">IF((D187="d"),F187," ")</f>
        <v> </v>
      </c>
      <c r="H187" s="180" t="str">
        <f aca="false">IF((D187="h"),F187," ")</f>
        <v> </v>
      </c>
      <c r="I187" s="180" t="str">
        <f aca="false">IF((D187="r"),F187," ")</f>
        <v> </v>
      </c>
      <c r="J187" s="180" t="str">
        <f aca="false">IF((D187="t"),F187," ")</f>
        <v> </v>
      </c>
      <c r="K187" s="180" t="str">
        <f aca="false">IF((D187="e"),F187," ")</f>
        <v> </v>
      </c>
      <c r="L187" s="180" t="str">
        <f aca="false">IF((D187="p"),F187," ")</f>
        <v> </v>
      </c>
      <c r="M187" s="180" t="str">
        <f aca="false">IF((D187="g"),F187," ")</f>
        <v> </v>
      </c>
      <c r="N187" s="180" t="str">
        <f aca="false">IF((D187="a"),F187," ")</f>
        <v> </v>
      </c>
      <c r="O187" s="180" t="str">
        <f aca="false">IF((D187="l"),F187," ")</f>
        <v> </v>
      </c>
      <c r="P187" s="180" t="str">
        <f aca="false">IF((D187="i"),F187," ")</f>
        <v> </v>
      </c>
      <c r="Q187" s="180" t="str">
        <f aca="false">IF((D187="b"),F187," ")</f>
        <v> </v>
      </c>
      <c r="R187" s="180" t="str">
        <f aca="false">IF((D187="o"),F187," ")</f>
        <v> </v>
      </c>
      <c r="S187" s="180" t="str">
        <f aca="false">IF((D187="f"),F187," ")</f>
        <v> </v>
      </c>
      <c r="U187" s="371"/>
    </row>
    <row r="188" customFormat="false" ht="12.75" hidden="false" customHeight="false" outlineLevel="0" collapsed="false">
      <c r="D188" s="371" t="str">
        <f aca="false">IF((F188&lt;&gt;0),"Enter Letter"," ")</f>
        <v> </v>
      </c>
      <c r="G188" s="180" t="str">
        <f aca="false">IF((D188="d"),F188," ")</f>
        <v> </v>
      </c>
      <c r="H188" s="180" t="str">
        <f aca="false">IF((D188="h"),F188," ")</f>
        <v> </v>
      </c>
      <c r="I188" s="180" t="str">
        <f aca="false">IF((D188="r"),F188," ")</f>
        <v> </v>
      </c>
      <c r="J188" s="180" t="str">
        <f aca="false">IF((D188="t"),F188," ")</f>
        <v> </v>
      </c>
      <c r="K188" s="180" t="str">
        <f aca="false">IF((D188="e"),F188," ")</f>
        <v> </v>
      </c>
      <c r="L188" s="180" t="str">
        <f aca="false">IF((D188="p"),F188," ")</f>
        <v> </v>
      </c>
      <c r="M188" s="180" t="str">
        <f aca="false">IF((D188="g"),F188," ")</f>
        <v> </v>
      </c>
      <c r="N188" s="180" t="str">
        <f aca="false">IF((D188="a"),F188," ")</f>
        <v> </v>
      </c>
      <c r="O188" s="180" t="str">
        <f aca="false">IF((D188="l"),F188," ")</f>
        <v> </v>
      </c>
      <c r="P188" s="180" t="str">
        <f aca="false">IF((D188="i"),F188," ")</f>
        <v> </v>
      </c>
      <c r="Q188" s="180" t="str">
        <f aca="false">IF((D188="b"),F188," ")</f>
        <v> </v>
      </c>
      <c r="R188" s="180" t="str">
        <f aca="false">IF((D188="o"),F188," ")</f>
        <v> </v>
      </c>
      <c r="S188" s="180" t="str">
        <f aca="false">IF((D188="f"),F188," ")</f>
        <v> </v>
      </c>
      <c r="U188" s="371"/>
    </row>
    <row r="189" customFormat="false" ht="12.75" hidden="false" customHeight="false" outlineLevel="0" collapsed="false">
      <c r="D189" s="371" t="str">
        <f aca="false">IF((F189&lt;&gt;0),"Enter Letter"," ")</f>
        <v> </v>
      </c>
      <c r="G189" s="180" t="str">
        <f aca="false">IF((D189="d"),F189," ")</f>
        <v> </v>
      </c>
      <c r="H189" s="180" t="str">
        <f aca="false">IF((D189="h"),F189," ")</f>
        <v> </v>
      </c>
      <c r="I189" s="180" t="str">
        <f aca="false">IF((D189="r"),F189," ")</f>
        <v> </v>
      </c>
      <c r="J189" s="180" t="str">
        <f aca="false">IF((D189="t"),F189," ")</f>
        <v> </v>
      </c>
      <c r="K189" s="180" t="str">
        <f aca="false">IF((D189="e"),F189," ")</f>
        <v> </v>
      </c>
      <c r="L189" s="180" t="str">
        <f aca="false">IF((D189="p"),F189," ")</f>
        <v> </v>
      </c>
      <c r="M189" s="180" t="str">
        <f aca="false">IF((D189="g"),F189," ")</f>
        <v> </v>
      </c>
      <c r="N189" s="180" t="str">
        <f aca="false">IF((D189="a"),F189," ")</f>
        <v> </v>
      </c>
      <c r="O189" s="180" t="str">
        <f aca="false">IF((D189="l"),F189," ")</f>
        <v> </v>
      </c>
      <c r="P189" s="180" t="str">
        <f aca="false">IF((D189="i"),F189," ")</f>
        <v> </v>
      </c>
      <c r="Q189" s="180" t="str">
        <f aca="false">IF((D189="b"),F189," ")</f>
        <v> </v>
      </c>
      <c r="R189" s="180" t="str">
        <f aca="false">IF((D189="o"),F189," ")</f>
        <v> </v>
      </c>
      <c r="S189" s="180" t="str">
        <f aca="false">IF((D189="f"),F189," ")</f>
        <v> </v>
      </c>
      <c r="U189" s="371"/>
    </row>
    <row r="190" customFormat="false" ht="12.75" hidden="false" customHeight="false" outlineLevel="0" collapsed="false">
      <c r="D190" s="371" t="str">
        <f aca="false">IF((F190&lt;&gt;0),"Enter Letter"," ")</f>
        <v> </v>
      </c>
      <c r="G190" s="180" t="str">
        <f aca="false">IF((D190="d"),F190," ")</f>
        <v> </v>
      </c>
      <c r="H190" s="180" t="str">
        <f aca="false">IF((D190="h"),F190," ")</f>
        <v> </v>
      </c>
      <c r="I190" s="180" t="str">
        <f aca="false">IF((D190="r"),F190," ")</f>
        <v> </v>
      </c>
      <c r="J190" s="180" t="str">
        <f aca="false">IF((D190="t"),F190," ")</f>
        <v> </v>
      </c>
      <c r="K190" s="180" t="str">
        <f aca="false">IF((D190="e"),F190," ")</f>
        <v> </v>
      </c>
      <c r="L190" s="180" t="str">
        <f aca="false">IF((D190="p"),F190," ")</f>
        <v> </v>
      </c>
      <c r="M190" s="180" t="str">
        <f aca="false">IF((D190="g"),F190," ")</f>
        <v> </v>
      </c>
      <c r="N190" s="180" t="str">
        <f aca="false">IF((D190="a"),F190," ")</f>
        <v> </v>
      </c>
      <c r="O190" s="180" t="str">
        <f aca="false">IF((D190="l"),F190," ")</f>
        <v> </v>
      </c>
      <c r="P190" s="180" t="str">
        <f aca="false">IF((D190="i"),F190," ")</f>
        <v> </v>
      </c>
      <c r="Q190" s="180" t="str">
        <f aca="false">IF((D190="b"),F190," ")</f>
        <v> </v>
      </c>
      <c r="R190" s="180" t="str">
        <f aca="false">IF((D190="o"),F190," ")</f>
        <v> </v>
      </c>
      <c r="S190" s="180" t="str">
        <f aca="false">IF((D190="f"),F190," ")</f>
        <v> </v>
      </c>
      <c r="U190" s="371"/>
    </row>
    <row r="191" customFormat="false" ht="12.75" hidden="false" customHeight="false" outlineLevel="0" collapsed="false">
      <c r="D191" s="371" t="str">
        <f aca="false">IF((F191&lt;&gt;0),"Enter Letter"," ")</f>
        <v> </v>
      </c>
      <c r="G191" s="180" t="str">
        <f aca="false">IF((D191="d"),F191," ")</f>
        <v> </v>
      </c>
      <c r="H191" s="180" t="str">
        <f aca="false">IF((D191="h"),F191," ")</f>
        <v> </v>
      </c>
      <c r="I191" s="180" t="str">
        <f aca="false">IF((D191="r"),F191," ")</f>
        <v> </v>
      </c>
      <c r="J191" s="180" t="str">
        <f aca="false">IF((D191="t"),F191," ")</f>
        <v> </v>
      </c>
      <c r="K191" s="180" t="str">
        <f aca="false">IF((D191="e"),F191," ")</f>
        <v> </v>
      </c>
      <c r="L191" s="180" t="str">
        <f aca="false">IF((D191="p"),F191," ")</f>
        <v> </v>
      </c>
      <c r="M191" s="180" t="str">
        <f aca="false">IF((D191="g"),F191," ")</f>
        <v> </v>
      </c>
      <c r="N191" s="180" t="str">
        <f aca="false">IF((D191="a"),F191," ")</f>
        <v> </v>
      </c>
      <c r="O191" s="180" t="str">
        <f aca="false">IF((D191="l"),F191," ")</f>
        <v> </v>
      </c>
      <c r="P191" s="180" t="str">
        <f aca="false">IF((D191="i"),F191," ")</f>
        <v> </v>
      </c>
      <c r="Q191" s="180" t="str">
        <f aca="false">IF((D191="b"),F191," ")</f>
        <v> </v>
      </c>
      <c r="R191" s="180" t="str">
        <f aca="false">IF((D191="o"),F191," ")</f>
        <v> </v>
      </c>
      <c r="S191" s="180" t="str">
        <f aca="false">IF((D191="f"),F191," ")</f>
        <v> </v>
      </c>
      <c r="U191" s="371"/>
    </row>
    <row r="192" customFormat="false" ht="12.75" hidden="false" customHeight="false" outlineLevel="0" collapsed="false">
      <c r="D192" s="371" t="str">
        <f aca="false">IF((F192&lt;&gt;0),"Enter Letter"," ")</f>
        <v> </v>
      </c>
      <c r="G192" s="180" t="str">
        <f aca="false">IF((D192="d"),F192," ")</f>
        <v> </v>
      </c>
      <c r="H192" s="180" t="str">
        <f aca="false">IF((D192="h"),F192," ")</f>
        <v> </v>
      </c>
      <c r="I192" s="180" t="str">
        <f aca="false">IF((D192="r"),F192," ")</f>
        <v> </v>
      </c>
      <c r="J192" s="180" t="str">
        <f aca="false">IF((D192="t"),F192," ")</f>
        <v> </v>
      </c>
      <c r="K192" s="180" t="str">
        <f aca="false">IF((D192="e"),F192," ")</f>
        <v> </v>
      </c>
      <c r="L192" s="180" t="str">
        <f aca="false">IF((D192="p"),F192," ")</f>
        <v> </v>
      </c>
      <c r="M192" s="180" t="str">
        <f aca="false">IF((D192="g"),F192," ")</f>
        <v> </v>
      </c>
      <c r="N192" s="180" t="str">
        <f aca="false">IF((D192="a"),F192," ")</f>
        <v> </v>
      </c>
      <c r="O192" s="180" t="str">
        <f aca="false">IF((D192="l"),F192," ")</f>
        <v> </v>
      </c>
      <c r="P192" s="180" t="str">
        <f aca="false">IF((D192="i"),F192," ")</f>
        <v> </v>
      </c>
      <c r="Q192" s="180" t="str">
        <f aca="false">IF((D192="b"),F192," ")</f>
        <v> </v>
      </c>
      <c r="R192" s="180" t="str">
        <f aca="false">IF((D192="o"),F192," ")</f>
        <v> </v>
      </c>
      <c r="S192" s="180" t="str">
        <f aca="false">IF((D192="f"),F192," ")</f>
        <v> </v>
      </c>
      <c r="U192" s="371"/>
    </row>
    <row r="193" customFormat="false" ht="12.75" hidden="false" customHeight="false" outlineLevel="0" collapsed="false">
      <c r="D193" s="371" t="str">
        <f aca="false">IF((F193&lt;&gt;0),"Enter Letter"," ")</f>
        <v> </v>
      </c>
      <c r="G193" s="180" t="str">
        <f aca="false">IF((D193="d"),F193," ")</f>
        <v> </v>
      </c>
      <c r="H193" s="180" t="str">
        <f aca="false">IF((D193="h"),F193," ")</f>
        <v> </v>
      </c>
      <c r="I193" s="180" t="str">
        <f aca="false">IF((D193="r"),F193," ")</f>
        <v> </v>
      </c>
      <c r="J193" s="180" t="str">
        <f aca="false">IF((D193="t"),F193," ")</f>
        <v> </v>
      </c>
      <c r="K193" s="180" t="str">
        <f aca="false">IF((D193="e"),F193," ")</f>
        <v> </v>
      </c>
      <c r="L193" s="180" t="str">
        <f aca="false">IF((D193="p"),F193," ")</f>
        <v> </v>
      </c>
      <c r="M193" s="180" t="str">
        <f aca="false">IF((D193="g"),F193," ")</f>
        <v> </v>
      </c>
      <c r="N193" s="180" t="str">
        <f aca="false">IF((D193="a"),F193," ")</f>
        <v> </v>
      </c>
      <c r="O193" s="180" t="str">
        <f aca="false">IF((D193="l"),F193," ")</f>
        <v> </v>
      </c>
      <c r="P193" s="180" t="str">
        <f aca="false">IF((D193="i"),F193," ")</f>
        <v> </v>
      </c>
      <c r="Q193" s="180" t="str">
        <f aca="false">IF((D193="b"),F193," ")</f>
        <v> </v>
      </c>
      <c r="R193" s="180" t="str">
        <f aca="false">IF((D193="o"),F193," ")</f>
        <v> </v>
      </c>
      <c r="S193" s="180" t="str">
        <f aca="false">IF((D193="f"),F193," ")</f>
        <v> </v>
      </c>
      <c r="U193" s="371"/>
    </row>
    <row r="194" customFormat="false" ht="12.75" hidden="false" customHeight="false" outlineLevel="0" collapsed="false">
      <c r="D194" s="371" t="str">
        <f aca="false">IF((F194&lt;&gt;0),"Enter Letter"," ")</f>
        <v> </v>
      </c>
      <c r="G194" s="180" t="str">
        <f aca="false">IF((D194="d"),F194," ")</f>
        <v> </v>
      </c>
      <c r="H194" s="180" t="str">
        <f aca="false">IF((D194="h"),F194," ")</f>
        <v> </v>
      </c>
      <c r="I194" s="180" t="str">
        <f aca="false">IF((D194="r"),F194," ")</f>
        <v> </v>
      </c>
      <c r="J194" s="180" t="str">
        <f aca="false">IF((D194="t"),F194," ")</f>
        <v> </v>
      </c>
      <c r="K194" s="180" t="str">
        <f aca="false">IF((D194="e"),F194," ")</f>
        <v> </v>
      </c>
      <c r="L194" s="180" t="str">
        <f aca="false">IF((D194="p"),F194," ")</f>
        <v> </v>
      </c>
      <c r="M194" s="180" t="str">
        <f aca="false">IF((D194="g"),F194," ")</f>
        <v> </v>
      </c>
      <c r="N194" s="180" t="str">
        <f aca="false">IF((D194="a"),F194," ")</f>
        <v> </v>
      </c>
      <c r="O194" s="180" t="str">
        <f aca="false">IF((D194="l"),F194," ")</f>
        <v> </v>
      </c>
      <c r="P194" s="180" t="str">
        <f aca="false">IF((D194="i"),F194," ")</f>
        <v> </v>
      </c>
      <c r="Q194" s="180" t="str">
        <f aca="false">IF((D194="b"),F194," ")</f>
        <v> </v>
      </c>
      <c r="R194" s="180" t="str">
        <f aca="false">IF((D194="o"),F194," ")</f>
        <v> </v>
      </c>
      <c r="S194" s="180" t="str">
        <f aca="false">IF((D194="f"),F194," ")</f>
        <v> </v>
      </c>
      <c r="U194" s="371"/>
    </row>
    <row r="195" customFormat="false" ht="12.75" hidden="false" customHeight="false" outlineLevel="0" collapsed="false">
      <c r="D195" s="371" t="str">
        <f aca="false">IF((F195&lt;&gt;0),"Enter Letter"," ")</f>
        <v> </v>
      </c>
      <c r="G195" s="180" t="str">
        <f aca="false">IF((D195="d"),F195," ")</f>
        <v> </v>
      </c>
      <c r="H195" s="180" t="str">
        <f aca="false">IF((D195="h"),F195," ")</f>
        <v> </v>
      </c>
      <c r="I195" s="180" t="str">
        <f aca="false">IF((D195="r"),F195," ")</f>
        <v> </v>
      </c>
      <c r="J195" s="180" t="str">
        <f aca="false">IF((D195="t"),F195," ")</f>
        <v> </v>
      </c>
      <c r="K195" s="180" t="str">
        <f aca="false">IF((D195="e"),F195," ")</f>
        <v> </v>
      </c>
      <c r="L195" s="180" t="str">
        <f aca="false">IF((D195="p"),F195," ")</f>
        <v> </v>
      </c>
      <c r="M195" s="180" t="str">
        <f aca="false">IF((D195="g"),F195," ")</f>
        <v> </v>
      </c>
      <c r="N195" s="180" t="str">
        <f aca="false">IF((D195="a"),F195," ")</f>
        <v> </v>
      </c>
      <c r="O195" s="180" t="str">
        <f aca="false">IF((D195="l"),F195," ")</f>
        <v> </v>
      </c>
      <c r="P195" s="180" t="str">
        <f aca="false">IF((D195="i"),F195," ")</f>
        <v> </v>
      </c>
      <c r="Q195" s="180" t="str">
        <f aca="false">IF((D195="b"),F195," ")</f>
        <v> </v>
      </c>
      <c r="R195" s="180" t="str">
        <f aca="false">IF((D195="o"),F195," ")</f>
        <v> </v>
      </c>
      <c r="S195" s="180" t="str">
        <f aca="false">IF((D195="f"),F195," ")</f>
        <v> </v>
      </c>
      <c r="U195" s="371"/>
    </row>
    <row r="196" customFormat="false" ht="12.75" hidden="false" customHeight="false" outlineLevel="0" collapsed="false">
      <c r="D196" s="371" t="str">
        <f aca="false">IF((F196&lt;&gt;0),"Enter Letter"," ")</f>
        <v> </v>
      </c>
      <c r="G196" s="180" t="str">
        <f aca="false">IF((D196="d"),F196," ")</f>
        <v> </v>
      </c>
      <c r="H196" s="180" t="str">
        <f aca="false">IF((D196="h"),F196," ")</f>
        <v> </v>
      </c>
      <c r="I196" s="180" t="str">
        <f aca="false">IF((D196="r"),F196," ")</f>
        <v> </v>
      </c>
      <c r="J196" s="180" t="str">
        <f aca="false">IF((D196="t"),F196," ")</f>
        <v> </v>
      </c>
      <c r="K196" s="180" t="str">
        <f aca="false">IF((D196="e"),F196," ")</f>
        <v> </v>
      </c>
      <c r="L196" s="180" t="str">
        <f aca="false">IF((D196="p"),F196," ")</f>
        <v> </v>
      </c>
      <c r="M196" s="180" t="str">
        <f aca="false">IF((D196="g"),F196," ")</f>
        <v> </v>
      </c>
      <c r="N196" s="180" t="str">
        <f aca="false">IF((D196="a"),F196," ")</f>
        <v> </v>
      </c>
      <c r="O196" s="180" t="str">
        <f aca="false">IF((D196="l"),F196," ")</f>
        <v> </v>
      </c>
      <c r="P196" s="180" t="str">
        <f aca="false">IF((D196="i"),F196," ")</f>
        <v> </v>
      </c>
      <c r="Q196" s="180" t="str">
        <f aca="false">IF((D196="b"),F196," ")</f>
        <v> </v>
      </c>
      <c r="R196" s="180" t="str">
        <f aca="false">IF((D196="o"),F196," ")</f>
        <v> </v>
      </c>
      <c r="S196" s="180" t="str">
        <f aca="false">IF((D196="f"),F196," ")</f>
        <v> </v>
      </c>
      <c r="U196" s="371"/>
    </row>
    <row r="197" customFormat="false" ht="12.75" hidden="false" customHeight="false" outlineLevel="0" collapsed="false">
      <c r="D197" s="371" t="str">
        <f aca="false">IF((F197&lt;&gt;0),"Enter Letter"," ")</f>
        <v> </v>
      </c>
      <c r="G197" s="180" t="str">
        <f aca="false">IF((D197="d"),F197," ")</f>
        <v> </v>
      </c>
      <c r="H197" s="180" t="str">
        <f aca="false">IF((D197="h"),F197," ")</f>
        <v> </v>
      </c>
      <c r="I197" s="180" t="str">
        <f aca="false">IF((D197="r"),F197," ")</f>
        <v> </v>
      </c>
      <c r="J197" s="180" t="str">
        <f aca="false">IF((D197="t"),F197," ")</f>
        <v> </v>
      </c>
      <c r="K197" s="180" t="str">
        <f aca="false">IF((D197="e"),F197," ")</f>
        <v> </v>
      </c>
      <c r="L197" s="180" t="str">
        <f aca="false">IF((D197="p"),F197," ")</f>
        <v> </v>
      </c>
      <c r="M197" s="180" t="str">
        <f aca="false">IF((D197="g"),F197," ")</f>
        <v> </v>
      </c>
      <c r="N197" s="180" t="str">
        <f aca="false">IF((D197="a"),F197," ")</f>
        <v> </v>
      </c>
      <c r="O197" s="180" t="str">
        <f aca="false">IF((D197="l"),F197," ")</f>
        <v> </v>
      </c>
      <c r="P197" s="180" t="str">
        <f aca="false">IF((D197="i"),F197," ")</f>
        <v> </v>
      </c>
      <c r="Q197" s="180" t="str">
        <f aca="false">IF((D197="b"),F197," ")</f>
        <v> </v>
      </c>
      <c r="R197" s="180" t="str">
        <f aca="false">IF((D197="o"),F197," ")</f>
        <v> </v>
      </c>
      <c r="S197" s="180" t="str">
        <f aca="false">IF((D197="f"),F197," ")</f>
        <v> </v>
      </c>
      <c r="U197" s="371"/>
    </row>
    <row r="198" customFormat="false" ht="12.75" hidden="false" customHeight="false" outlineLevel="0" collapsed="false">
      <c r="D198" s="371" t="str">
        <f aca="false">IF((F198&lt;&gt;0),"Enter Letter"," ")</f>
        <v> </v>
      </c>
      <c r="G198" s="180" t="str">
        <f aca="false">IF((D198="d"),F198," ")</f>
        <v> </v>
      </c>
      <c r="H198" s="180" t="str">
        <f aca="false">IF((D198="h"),F198," ")</f>
        <v> </v>
      </c>
      <c r="I198" s="180" t="str">
        <f aca="false">IF((D198="r"),F198," ")</f>
        <v> </v>
      </c>
      <c r="J198" s="180" t="str">
        <f aca="false">IF((D198="t"),F198," ")</f>
        <v> </v>
      </c>
      <c r="K198" s="180" t="str">
        <f aca="false">IF((D198="e"),F198," ")</f>
        <v> </v>
      </c>
      <c r="L198" s="180" t="str">
        <f aca="false">IF((D198="p"),F198," ")</f>
        <v> </v>
      </c>
      <c r="M198" s="180" t="str">
        <f aca="false">IF((D198="g"),F198," ")</f>
        <v> </v>
      </c>
      <c r="N198" s="180" t="str">
        <f aca="false">IF((D198="a"),F198," ")</f>
        <v> </v>
      </c>
      <c r="O198" s="180" t="str">
        <f aca="false">IF((D198="l"),F198," ")</f>
        <v> </v>
      </c>
      <c r="P198" s="180" t="str">
        <f aca="false">IF((D198="i"),F198," ")</f>
        <v> </v>
      </c>
      <c r="Q198" s="180" t="str">
        <f aca="false">IF((D198="b"),F198," ")</f>
        <v> </v>
      </c>
      <c r="R198" s="180" t="str">
        <f aca="false">IF((D198="o"),F198," ")</f>
        <v> </v>
      </c>
      <c r="S198" s="180" t="str">
        <f aca="false">IF((D198="f"),F198," ")</f>
        <v> </v>
      </c>
      <c r="U198" s="371"/>
    </row>
    <row r="199" customFormat="false" ht="12.75" hidden="false" customHeight="false" outlineLevel="0" collapsed="false">
      <c r="D199" s="371" t="str">
        <f aca="false">IF((F199&lt;&gt;0),"Enter Letter"," ")</f>
        <v> </v>
      </c>
      <c r="G199" s="180" t="str">
        <f aca="false">IF((D199="d"),F199," ")</f>
        <v> </v>
      </c>
      <c r="H199" s="180" t="str">
        <f aca="false">IF((D199="h"),F199," ")</f>
        <v> </v>
      </c>
      <c r="I199" s="180" t="str">
        <f aca="false">IF((D199="r"),F199," ")</f>
        <v> </v>
      </c>
      <c r="J199" s="180" t="str">
        <f aca="false">IF((D199="t"),F199," ")</f>
        <v> </v>
      </c>
      <c r="K199" s="180" t="str">
        <f aca="false">IF((D199="e"),F199," ")</f>
        <v> </v>
      </c>
      <c r="L199" s="180" t="str">
        <f aca="false">IF((D199="p"),F199," ")</f>
        <v> </v>
      </c>
      <c r="M199" s="180" t="str">
        <f aca="false">IF((D199="g"),F199," ")</f>
        <v> </v>
      </c>
      <c r="N199" s="180" t="str">
        <f aca="false">IF((D199="a"),F199," ")</f>
        <v> </v>
      </c>
      <c r="O199" s="180" t="str">
        <f aca="false">IF((D199="l"),F199," ")</f>
        <v> </v>
      </c>
      <c r="P199" s="180" t="str">
        <f aca="false">IF((D199="i"),F199," ")</f>
        <v> </v>
      </c>
      <c r="Q199" s="180" t="str">
        <f aca="false">IF((D199="b"),F199," ")</f>
        <v> </v>
      </c>
      <c r="R199" s="180" t="str">
        <f aca="false">IF((D199="o"),F199," ")</f>
        <v> </v>
      </c>
      <c r="S199" s="180" t="str">
        <f aca="false">IF((D199="f"),F199," ")</f>
        <v> </v>
      </c>
      <c r="U199" s="371"/>
    </row>
    <row r="200" customFormat="false" ht="12.75" hidden="false" customHeight="false" outlineLevel="0" collapsed="false">
      <c r="D200" s="371" t="str">
        <f aca="false">IF((F200&lt;&gt;0),"Enter Letter"," ")</f>
        <v> </v>
      </c>
      <c r="G200" s="180" t="str">
        <f aca="false">IF((D200="d"),F200," ")</f>
        <v> </v>
      </c>
      <c r="H200" s="180" t="str">
        <f aca="false">IF((D200="h"),F200," ")</f>
        <v> </v>
      </c>
      <c r="I200" s="180" t="str">
        <f aca="false">IF((D200="r"),F200," ")</f>
        <v> </v>
      </c>
      <c r="J200" s="180" t="str">
        <f aca="false">IF((D200="t"),F200," ")</f>
        <v> </v>
      </c>
      <c r="K200" s="180" t="str">
        <f aca="false">IF((D200="e"),F200," ")</f>
        <v> </v>
      </c>
      <c r="L200" s="180" t="str">
        <f aca="false">IF((D200="p"),F200," ")</f>
        <v> </v>
      </c>
      <c r="M200" s="180" t="str">
        <f aca="false">IF((D200="g"),F200," ")</f>
        <v> </v>
      </c>
      <c r="N200" s="180" t="str">
        <f aca="false">IF((D200="a"),F200," ")</f>
        <v> </v>
      </c>
      <c r="O200" s="180" t="str">
        <f aca="false">IF((D200="l"),F200," ")</f>
        <v> </v>
      </c>
      <c r="P200" s="180" t="str">
        <f aca="false">IF((D200="i"),F200," ")</f>
        <v> </v>
      </c>
      <c r="Q200" s="180" t="str">
        <f aca="false">IF((D200="b"),F200," ")</f>
        <v> </v>
      </c>
      <c r="R200" s="180" t="str">
        <f aca="false">IF((D200="o"),F200," ")</f>
        <v> </v>
      </c>
      <c r="S200" s="180" t="str">
        <f aca="false">IF((D200="f"),F200," ")</f>
        <v> </v>
      </c>
      <c r="U200" s="371"/>
    </row>
    <row r="201" customFormat="false" ht="12.75" hidden="false" customHeight="false" outlineLevel="0" collapsed="false">
      <c r="D201" s="371" t="str">
        <f aca="false">IF((F201&lt;&gt;0),"Enter Letter"," ")</f>
        <v> </v>
      </c>
      <c r="G201" s="180" t="str">
        <f aca="false">IF((D201="d"),F201," ")</f>
        <v> </v>
      </c>
      <c r="H201" s="180" t="str">
        <f aca="false">IF((D201="h"),F201," ")</f>
        <v> </v>
      </c>
      <c r="I201" s="180" t="str">
        <f aca="false">IF((D201="r"),F201," ")</f>
        <v> </v>
      </c>
      <c r="J201" s="180" t="str">
        <f aca="false">IF((D201="t"),F201," ")</f>
        <v> </v>
      </c>
      <c r="K201" s="180" t="str">
        <f aca="false">IF((D201="e"),F201," ")</f>
        <v> </v>
      </c>
      <c r="L201" s="180" t="str">
        <f aca="false">IF((D201="p"),F201," ")</f>
        <v> </v>
      </c>
      <c r="M201" s="180" t="str">
        <f aca="false">IF((D201="g"),F201," ")</f>
        <v> </v>
      </c>
      <c r="N201" s="180" t="str">
        <f aca="false">IF((D201="a"),F201," ")</f>
        <v> </v>
      </c>
      <c r="O201" s="180" t="str">
        <f aca="false">IF((D201="l"),F201," ")</f>
        <v> </v>
      </c>
      <c r="P201" s="180" t="str">
        <f aca="false">IF((D201="i"),F201," ")</f>
        <v> </v>
      </c>
      <c r="Q201" s="180" t="str">
        <f aca="false">IF((D201="b"),F201," ")</f>
        <v> </v>
      </c>
      <c r="R201" s="180" t="str">
        <f aca="false">IF((D201="o"),F201," ")</f>
        <v> </v>
      </c>
      <c r="S201" s="180" t="str">
        <f aca="false">IF((D201="f"),F201," ")</f>
        <v> </v>
      </c>
      <c r="U201" s="371"/>
    </row>
    <row r="202" customFormat="false" ht="12.75" hidden="false" customHeight="false" outlineLevel="0" collapsed="false">
      <c r="D202" s="371" t="str">
        <f aca="false">IF((F202&lt;&gt;0),"Enter Letter"," ")</f>
        <v> </v>
      </c>
      <c r="G202" s="180" t="str">
        <f aca="false">IF((D202="d"),F202," ")</f>
        <v> </v>
      </c>
      <c r="H202" s="180" t="str">
        <f aca="false">IF((D202="h"),F202," ")</f>
        <v> </v>
      </c>
      <c r="I202" s="180" t="str">
        <f aca="false">IF((D202="r"),F202," ")</f>
        <v> </v>
      </c>
      <c r="J202" s="180" t="str">
        <f aca="false">IF((D202="t"),F202," ")</f>
        <v> </v>
      </c>
      <c r="K202" s="180" t="str">
        <f aca="false">IF((D202="e"),F202," ")</f>
        <v> </v>
      </c>
      <c r="L202" s="180" t="str">
        <f aca="false">IF((D202="p"),F202," ")</f>
        <v> </v>
      </c>
      <c r="M202" s="180" t="str">
        <f aca="false">IF((D202="g"),F202," ")</f>
        <v> </v>
      </c>
      <c r="N202" s="180" t="str">
        <f aca="false">IF((D202="a"),F202," ")</f>
        <v> </v>
      </c>
      <c r="O202" s="180" t="str">
        <f aca="false">IF((D202="l"),F202," ")</f>
        <v> </v>
      </c>
      <c r="P202" s="180" t="str">
        <f aca="false">IF((D202="i"),F202," ")</f>
        <v> </v>
      </c>
      <c r="Q202" s="180" t="str">
        <f aca="false">IF((D202="b"),F202," ")</f>
        <v> </v>
      </c>
      <c r="R202" s="180" t="str">
        <f aca="false">IF((D202="o"),F202," ")</f>
        <v> </v>
      </c>
      <c r="S202" s="180" t="str">
        <f aca="false">IF((D202="f"),F202," ")</f>
        <v> </v>
      </c>
      <c r="U202" s="371"/>
    </row>
    <row r="203" customFormat="false" ht="12.75" hidden="false" customHeight="false" outlineLevel="0" collapsed="false">
      <c r="D203" s="371" t="str">
        <f aca="false">IF((F203&lt;&gt;0),"Enter Letter"," ")</f>
        <v> </v>
      </c>
      <c r="G203" s="180" t="str">
        <f aca="false">IF((D203="d"),F203," ")</f>
        <v> </v>
      </c>
      <c r="H203" s="180" t="str">
        <f aca="false">IF((D203="h"),F203," ")</f>
        <v> </v>
      </c>
      <c r="I203" s="180" t="str">
        <f aca="false">IF((D203="r"),F203," ")</f>
        <v> </v>
      </c>
      <c r="J203" s="180" t="str">
        <f aca="false">IF((D203="t"),F203," ")</f>
        <v> </v>
      </c>
      <c r="K203" s="180" t="str">
        <f aca="false">IF((D203="e"),F203," ")</f>
        <v> </v>
      </c>
      <c r="L203" s="180" t="str">
        <f aca="false">IF((D203="p"),F203," ")</f>
        <v> </v>
      </c>
      <c r="M203" s="180" t="str">
        <f aca="false">IF((D203="g"),F203," ")</f>
        <v> </v>
      </c>
      <c r="N203" s="180" t="str">
        <f aca="false">IF((D203="a"),F203," ")</f>
        <v> </v>
      </c>
      <c r="O203" s="180" t="str">
        <f aca="false">IF((D203="l"),F203," ")</f>
        <v> </v>
      </c>
      <c r="P203" s="180" t="str">
        <f aca="false">IF((D203="i"),F203," ")</f>
        <v> </v>
      </c>
      <c r="Q203" s="180" t="str">
        <f aca="false">IF((D203="b"),F203," ")</f>
        <v> </v>
      </c>
      <c r="R203" s="180" t="str">
        <f aca="false">IF((D203="o"),F203," ")</f>
        <v> </v>
      </c>
      <c r="S203" s="180" t="str">
        <f aca="false">IF((D203="f"),F203," ")</f>
        <v> </v>
      </c>
      <c r="U203" s="371"/>
    </row>
    <row r="204" customFormat="false" ht="12.75" hidden="false" customHeight="false" outlineLevel="0" collapsed="false">
      <c r="D204" s="371" t="str">
        <f aca="false">IF((F204&lt;&gt;0),"Enter Letter"," ")</f>
        <v> </v>
      </c>
      <c r="G204" s="180" t="str">
        <f aca="false">IF((D204="d"),F204," ")</f>
        <v> </v>
      </c>
      <c r="H204" s="180" t="str">
        <f aca="false">IF((D204="h"),F204," ")</f>
        <v> </v>
      </c>
      <c r="I204" s="180" t="str">
        <f aca="false">IF((D204="r"),F204," ")</f>
        <v> </v>
      </c>
      <c r="J204" s="180" t="str">
        <f aca="false">IF((D204="t"),F204," ")</f>
        <v> </v>
      </c>
      <c r="K204" s="180" t="str">
        <f aca="false">IF((D204="e"),F204," ")</f>
        <v> </v>
      </c>
      <c r="L204" s="180" t="str">
        <f aca="false">IF((D204="p"),F204," ")</f>
        <v> </v>
      </c>
      <c r="M204" s="180" t="str">
        <f aca="false">IF((D204="g"),F204," ")</f>
        <v> </v>
      </c>
      <c r="N204" s="180" t="str">
        <f aca="false">IF((D204="a"),F204," ")</f>
        <v> </v>
      </c>
      <c r="O204" s="180" t="str">
        <f aca="false">IF((D204="l"),F204," ")</f>
        <v> </v>
      </c>
      <c r="P204" s="180" t="str">
        <f aca="false">IF((D204="i"),F204," ")</f>
        <v> </v>
      </c>
      <c r="Q204" s="180" t="str">
        <f aca="false">IF((D204="b"),F204," ")</f>
        <v> </v>
      </c>
      <c r="R204" s="180" t="str">
        <f aca="false">IF((D204="o"),F204," ")</f>
        <v> </v>
      </c>
      <c r="S204" s="180" t="str">
        <f aca="false">IF((D204="f"),F204," ")</f>
        <v> </v>
      </c>
      <c r="U204" s="371"/>
    </row>
    <row r="205" customFormat="false" ht="12.75" hidden="false" customHeight="false" outlineLevel="0" collapsed="false">
      <c r="U205" s="371"/>
    </row>
    <row r="206" customFormat="false" ht="12.75" hidden="false" customHeight="false" outlineLevel="0" collapsed="false">
      <c r="U206" s="371"/>
    </row>
    <row r="207" customFormat="false" ht="12.75" hidden="false" customHeight="false" outlineLevel="0" collapsed="false">
      <c r="U207" s="371"/>
    </row>
    <row r="208" customFormat="false" ht="12.75" hidden="false" customHeight="false" outlineLevel="0" collapsed="false">
      <c r="U208" s="371"/>
    </row>
    <row r="209" customFormat="false" ht="12.75" hidden="false" customHeight="false" outlineLevel="0" collapsed="false">
      <c r="U209" s="371"/>
    </row>
    <row r="210" customFormat="false" ht="12.75" hidden="false" customHeight="false" outlineLevel="0" collapsed="false">
      <c r="U210" s="371"/>
    </row>
    <row r="211" customFormat="false" ht="12.75" hidden="false" customHeight="false" outlineLevel="0" collapsed="false">
      <c r="U211" s="371"/>
    </row>
    <row r="212" customFormat="false" ht="12.75" hidden="false" customHeight="false" outlineLevel="0" collapsed="false">
      <c r="U212" s="371"/>
    </row>
    <row r="213" customFormat="false" ht="12.75" hidden="false" customHeight="false" outlineLevel="0" collapsed="false">
      <c r="U213" s="371"/>
    </row>
    <row r="214" customFormat="false" ht="12.75" hidden="false" customHeight="false" outlineLevel="0" collapsed="false">
      <c r="U214" s="371"/>
    </row>
    <row r="215" customFormat="false" ht="12.75" hidden="false" customHeight="false" outlineLevel="0" collapsed="false">
      <c r="U215" s="371"/>
    </row>
    <row r="216" customFormat="false" ht="12.75" hidden="false" customHeight="false" outlineLevel="0" collapsed="false">
      <c r="U216" s="371"/>
    </row>
    <row r="217" customFormat="false" ht="12.75" hidden="false" customHeight="false" outlineLevel="0" collapsed="false">
      <c r="U217" s="371"/>
    </row>
    <row r="218" customFormat="false" ht="12.75" hidden="false" customHeight="false" outlineLevel="0" collapsed="false">
      <c r="U218" s="371"/>
    </row>
    <row r="219" customFormat="false" ht="12.75" hidden="false" customHeight="false" outlineLevel="0" collapsed="false">
      <c r="U219" s="371"/>
    </row>
    <row r="220" customFormat="false" ht="12.75" hidden="false" customHeight="false" outlineLevel="0" collapsed="false">
      <c r="U220" s="371"/>
    </row>
    <row r="221" customFormat="false" ht="12.75" hidden="false" customHeight="false" outlineLevel="0" collapsed="false">
      <c r="U221" s="371"/>
    </row>
    <row r="222" customFormat="false" ht="12.75" hidden="false" customHeight="false" outlineLevel="0" collapsed="false">
      <c r="U222" s="371"/>
    </row>
    <row r="223" customFormat="false" ht="12.75" hidden="false" customHeight="false" outlineLevel="0" collapsed="false">
      <c r="U223" s="371"/>
    </row>
    <row r="224" customFormat="false" ht="12.75" hidden="false" customHeight="false" outlineLevel="0" collapsed="false">
      <c r="U224" s="371"/>
    </row>
    <row r="225" customFormat="false" ht="12.75" hidden="false" customHeight="false" outlineLevel="0" collapsed="false">
      <c r="U225" s="371"/>
    </row>
    <row r="226" customFormat="false" ht="12.75" hidden="false" customHeight="false" outlineLevel="0" collapsed="false">
      <c r="U226" s="371"/>
    </row>
    <row r="227" customFormat="false" ht="12.75" hidden="false" customHeight="false" outlineLevel="0" collapsed="false">
      <c r="U227" s="371"/>
    </row>
    <row r="228" customFormat="false" ht="12.75" hidden="false" customHeight="false" outlineLevel="0" collapsed="false">
      <c r="U228" s="371"/>
    </row>
    <row r="229" customFormat="false" ht="12.75" hidden="false" customHeight="false" outlineLevel="0" collapsed="false">
      <c r="U229" s="371"/>
    </row>
    <row r="230" customFormat="false" ht="12.75" hidden="false" customHeight="false" outlineLevel="0" collapsed="false">
      <c r="U230" s="371"/>
    </row>
    <row r="231" customFormat="false" ht="12.75" hidden="false" customHeight="false" outlineLevel="0" collapsed="false">
      <c r="U231" s="371"/>
    </row>
    <row r="232" customFormat="false" ht="12.75" hidden="false" customHeight="false" outlineLevel="0" collapsed="false">
      <c r="U232" s="371"/>
    </row>
    <row r="233" customFormat="false" ht="12.75" hidden="false" customHeight="false" outlineLevel="0" collapsed="false">
      <c r="U233" s="371"/>
    </row>
    <row r="234" customFormat="false" ht="12.75" hidden="false" customHeight="false" outlineLevel="0" collapsed="false">
      <c r="U234" s="371"/>
    </row>
    <row r="235" customFormat="false" ht="12.75" hidden="false" customHeight="false" outlineLevel="0" collapsed="false">
      <c r="U235" s="371"/>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customHeight="false" zeroHeight="false" outlineLevelRow="0" outlineLevelCol="0"/>
  <cols>
    <col collapsed="false" customWidth="true" hidden="false" outlineLevel="0" max="1" min="1" style="344" width="9.66"/>
    <col collapsed="false" customWidth="true" hidden="false" outlineLevel="0" max="2" min="2" style="345" width="14.66"/>
    <col collapsed="false" customWidth="true" hidden="false" outlineLevel="0" max="3" min="3" style="180" width="13.66"/>
    <col collapsed="false" customWidth="true" hidden="false" outlineLevel="0" max="4" min="4" style="346" width="12.66"/>
    <col collapsed="false" customWidth="true" hidden="false" outlineLevel="0" max="5" min="5" style="347" width="12.66"/>
    <col collapsed="false" customWidth="true" hidden="false" outlineLevel="0" max="6" min="6" style="180" width="12.66"/>
    <col collapsed="false" customWidth="false" hidden="false" outlineLevel="0" max="257" min="7" style="180" width="9.15"/>
  </cols>
  <sheetData>
    <row r="1" customFormat="false" ht="12.75" hidden="false" customHeight="true" outlineLevel="0" collapsed="false">
      <c r="A1" s="348" t="s">
        <v>240</v>
      </c>
      <c r="B1" s="349" t="s">
        <v>241</v>
      </c>
      <c r="C1" s="350" t="s">
        <v>242</v>
      </c>
      <c r="D1" s="351" t="n">
        <f aca="false">SUM(D4:D47)</f>
        <v>0</v>
      </c>
      <c r="E1" s="350" t="n">
        <f aca="false">SUM(E4:E47)/2</f>
        <v>3000</v>
      </c>
      <c r="F1" s="350" t="n">
        <f aca="false">SUM(F4:F47)/2</f>
        <v>0</v>
      </c>
      <c r="G1" s="352"/>
      <c r="H1" s="352"/>
      <c r="I1" s="352"/>
      <c r="J1" s="352"/>
      <c r="K1" s="352"/>
      <c r="L1" s="352"/>
      <c r="M1" s="352"/>
      <c r="N1" s="352"/>
      <c r="O1" s="352"/>
      <c r="P1" s="352"/>
      <c r="Q1" s="352"/>
      <c r="R1" s="352"/>
      <c r="S1" s="352"/>
      <c r="T1" s="352"/>
      <c r="U1" s="352"/>
      <c r="V1" s="352"/>
      <c r="W1" s="352"/>
      <c r="X1" s="352"/>
      <c r="Y1" s="352"/>
      <c r="Z1" s="352"/>
      <c r="AA1" s="352"/>
      <c r="AB1" s="352"/>
      <c r="AC1" s="352"/>
      <c r="AD1" s="352"/>
      <c r="AE1" s="352"/>
      <c r="AF1" s="352"/>
      <c r="AG1" s="352"/>
      <c r="AH1" s="352"/>
      <c r="AI1" s="352"/>
      <c r="AJ1" s="352"/>
      <c r="AK1" s="352"/>
      <c r="AL1" s="352"/>
      <c r="AM1" s="352"/>
      <c r="AN1" s="352"/>
      <c r="AO1" s="352"/>
      <c r="AP1" s="352"/>
      <c r="AQ1" s="352"/>
      <c r="AR1" s="352"/>
      <c r="AS1" s="352"/>
      <c r="AT1" s="352"/>
      <c r="AU1" s="352"/>
      <c r="AV1" s="352"/>
      <c r="AW1" s="352"/>
      <c r="AX1" s="352"/>
      <c r="AY1" s="352"/>
      <c r="AZ1" s="352"/>
      <c r="BA1" s="352"/>
      <c r="BB1" s="352"/>
      <c r="BC1" s="352"/>
      <c r="BD1" s="352"/>
      <c r="BE1" s="352"/>
      <c r="BF1" s="352"/>
      <c r="BG1" s="352"/>
      <c r="BH1" s="352"/>
      <c r="BI1" s="352"/>
      <c r="BJ1" s="352"/>
      <c r="BK1" s="352"/>
      <c r="BL1" s="352"/>
      <c r="BM1" s="352"/>
      <c r="BN1" s="352"/>
      <c r="BO1" s="352"/>
      <c r="BP1" s="352"/>
      <c r="BQ1" s="352"/>
      <c r="BR1" s="352"/>
      <c r="BS1" s="352"/>
      <c r="BT1" s="352"/>
      <c r="BU1" s="352"/>
      <c r="BV1" s="352"/>
      <c r="BW1" s="352"/>
      <c r="BX1" s="352"/>
      <c r="BY1" s="352"/>
      <c r="BZ1" s="352"/>
      <c r="CA1" s="352"/>
      <c r="CB1" s="352"/>
      <c r="CC1" s="352"/>
      <c r="CD1" s="352"/>
      <c r="CE1" s="352"/>
      <c r="CF1" s="352"/>
      <c r="CG1" s="352"/>
      <c r="CH1" s="352"/>
      <c r="CI1" s="352"/>
      <c r="CJ1" s="352"/>
      <c r="CK1" s="352"/>
      <c r="CL1" s="352"/>
      <c r="CM1" s="352"/>
      <c r="CN1" s="352"/>
      <c r="CO1" s="352"/>
      <c r="CP1" s="352"/>
      <c r="CQ1" s="352"/>
      <c r="CR1" s="352"/>
      <c r="CS1" s="352"/>
      <c r="CT1" s="352"/>
      <c r="CU1" s="352"/>
      <c r="CV1" s="352"/>
      <c r="CW1" s="352"/>
      <c r="CX1" s="352"/>
      <c r="CY1" s="352"/>
      <c r="CZ1" s="352"/>
      <c r="DA1" s="352"/>
      <c r="DB1" s="352"/>
      <c r="DC1" s="352"/>
      <c r="DD1" s="352"/>
      <c r="DE1" s="352"/>
      <c r="DF1" s="352"/>
      <c r="DG1" s="352"/>
      <c r="DH1" s="352"/>
      <c r="DI1" s="352"/>
      <c r="DJ1" s="352"/>
      <c r="DK1" s="352"/>
      <c r="DL1" s="352"/>
      <c r="DM1" s="352"/>
      <c r="DN1" s="352"/>
      <c r="DO1" s="352"/>
      <c r="DP1" s="352"/>
      <c r="DQ1" s="352"/>
      <c r="DR1" s="352"/>
      <c r="DS1" s="352"/>
      <c r="DT1" s="352"/>
      <c r="DU1" s="352"/>
      <c r="DV1" s="352"/>
      <c r="DW1" s="352"/>
      <c r="DX1" s="352"/>
      <c r="DY1" s="352"/>
      <c r="DZ1" s="352"/>
      <c r="EA1" s="352"/>
      <c r="EB1" s="352"/>
      <c r="EC1" s="352"/>
      <c r="ED1" s="352"/>
      <c r="EE1" s="352"/>
      <c r="EF1" s="352"/>
      <c r="EG1" s="352"/>
      <c r="EH1" s="352"/>
      <c r="EI1" s="352"/>
      <c r="EJ1" s="352"/>
      <c r="EK1" s="352"/>
      <c r="EL1" s="352"/>
      <c r="EM1" s="352"/>
      <c r="EN1" s="352"/>
      <c r="EO1" s="352"/>
      <c r="EP1" s="352"/>
      <c r="EQ1" s="352"/>
      <c r="ER1" s="352"/>
      <c r="ES1" s="352"/>
      <c r="ET1" s="352"/>
      <c r="EU1" s="352"/>
      <c r="EV1" s="352"/>
      <c r="EW1" s="352"/>
      <c r="EX1" s="352"/>
      <c r="EY1" s="352"/>
      <c r="EZ1" s="352"/>
      <c r="FA1" s="352"/>
      <c r="FB1" s="352"/>
      <c r="FC1" s="352"/>
      <c r="FD1" s="352"/>
      <c r="FE1" s="352"/>
      <c r="FF1" s="352"/>
      <c r="FG1" s="352"/>
      <c r="FH1" s="352"/>
      <c r="FI1" s="352"/>
      <c r="FJ1" s="352"/>
      <c r="FK1" s="352"/>
      <c r="FL1" s="352"/>
      <c r="FM1" s="352"/>
      <c r="FN1" s="352"/>
      <c r="FO1" s="352"/>
      <c r="FP1" s="352"/>
      <c r="FQ1" s="352"/>
      <c r="FR1" s="352"/>
      <c r="FS1" s="352"/>
      <c r="FT1" s="352"/>
      <c r="FU1" s="352"/>
      <c r="FV1" s="352"/>
      <c r="FW1" s="352"/>
      <c r="FX1" s="352"/>
      <c r="FY1" s="352"/>
      <c r="FZ1" s="352"/>
      <c r="GA1" s="352"/>
      <c r="GB1" s="352"/>
      <c r="GC1" s="352"/>
      <c r="GD1" s="352"/>
      <c r="GE1" s="352"/>
      <c r="GF1" s="352"/>
      <c r="GG1" s="352"/>
      <c r="GH1" s="352"/>
      <c r="GI1" s="352"/>
      <c r="GJ1" s="352"/>
      <c r="GK1" s="352"/>
      <c r="GL1" s="352"/>
      <c r="GM1" s="352"/>
      <c r="GN1" s="352"/>
      <c r="GO1" s="352"/>
      <c r="GP1" s="352"/>
      <c r="GQ1" s="352"/>
      <c r="GR1" s="352"/>
      <c r="GS1" s="352"/>
      <c r="GT1" s="352"/>
      <c r="GU1" s="352"/>
      <c r="GV1" s="352"/>
      <c r="GW1" s="352"/>
      <c r="GX1" s="352"/>
      <c r="GY1" s="352"/>
      <c r="GZ1" s="352"/>
      <c r="HA1" s="352"/>
      <c r="HB1" s="352"/>
      <c r="HC1" s="352"/>
      <c r="HD1" s="352"/>
      <c r="HE1" s="352"/>
      <c r="HF1" s="352"/>
      <c r="HG1" s="352"/>
      <c r="HH1" s="352"/>
      <c r="HI1" s="352"/>
      <c r="HJ1" s="352"/>
      <c r="HK1" s="352"/>
      <c r="HL1" s="352"/>
      <c r="HM1" s="352"/>
      <c r="HN1" s="352"/>
      <c r="HO1" s="352"/>
      <c r="HP1" s="352"/>
      <c r="HQ1" s="352"/>
      <c r="HR1" s="352"/>
      <c r="HS1" s="352"/>
      <c r="HT1" s="352"/>
      <c r="HU1" s="352"/>
      <c r="HV1" s="352"/>
      <c r="HW1" s="352"/>
      <c r="HX1" s="352"/>
      <c r="HY1" s="352"/>
      <c r="HZ1" s="352"/>
      <c r="IA1" s="352"/>
      <c r="IB1" s="352"/>
      <c r="IC1" s="352"/>
      <c r="ID1" s="352"/>
      <c r="IE1" s="352"/>
      <c r="IF1" s="352"/>
      <c r="IG1" s="352"/>
      <c r="IH1" s="352"/>
      <c r="II1" s="352"/>
      <c r="IJ1" s="352"/>
      <c r="IK1" s="352"/>
      <c r="IL1" s="352"/>
      <c r="IM1" s="352"/>
      <c r="IN1" s="352"/>
      <c r="IO1" s="352"/>
      <c r="IP1" s="352"/>
      <c r="IQ1" s="352"/>
      <c r="IR1" s="352"/>
      <c r="IS1" s="352"/>
      <c r="IT1" s="352"/>
      <c r="IU1" s="352"/>
      <c r="IV1" s="352"/>
      <c r="IW1" s="352"/>
    </row>
    <row r="2" customFormat="false" ht="12.75" hidden="false" customHeight="true" outlineLevel="0" collapsed="false">
      <c r="A2" s="348"/>
      <c r="B2" s="349"/>
      <c r="C2" s="353" t="s">
        <v>243</v>
      </c>
      <c r="D2" s="354" t="s">
        <v>244</v>
      </c>
      <c r="E2" s="353" t="s">
        <v>245</v>
      </c>
      <c r="F2" s="353" t="s">
        <v>246</v>
      </c>
      <c r="G2" s="352"/>
      <c r="H2" s="352"/>
      <c r="I2" s="352"/>
      <c r="J2" s="352"/>
      <c r="K2" s="352"/>
      <c r="L2" s="352"/>
      <c r="M2" s="352"/>
      <c r="N2" s="352"/>
      <c r="O2" s="352"/>
      <c r="P2" s="352"/>
      <c r="Q2" s="352"/>
      <c r="R2" s="352"/>
      <c r="S2" s="352"/>
      <c r="T2" s="352"/>
      <c r="U2" s="352"/>
      <c r="V2" s="352"/>
      <c r="W2" s="352"/>
      <c r="X2" s="352"/>
      <c r="Y2" s="352"/>
      <c r="Z2" s="352"/>
      <c r="AA2" s="352"/>
      <c r="AB2" s="352"/>
      <c r="AC2" s="352"/>
      <c r="AD2" s="352"/>
      <c r="AE2" s="352"/>
      <c r="AF2" s="352"/>
      <c r="AG2" s="352"/>
      <c r="AH2" s="352"/>
      <c r="AI2" s="352"/>
      <c r="AJ2" s="352"/>
      <c r="AK2" s="352"/>
      <c r="AL2" s="352"/>
      <c r="AM2" s="352"/>
      <c r="AN2" s="352"/>
      <c r="AO2" s="352"/>
      <c r="AP2" s="352"/>
      <c r="AQ2" s="352"/>
      <c r="AR2" s="352"/>
      <c r="AS2" s="352"/>
      <c r="AT2" s="352"/>
      <c r="AU2" s="352"/>
      <c r="AV2" s="352"/>
      <c r="AW2" s="352"/>
      <c r="AX2" s="352"/>
      <c r="AY2" s="352"/>
      <c r="AZ2" s="352"/>
      <c r="BA2" s="352"/>
      <c r="BB2" s="352"/>
      <c r="BC2" s="352"/>
      <c r="BD2" s="352"/>
      <c r="BE2" s="352"/>
      <c r="BF2" s="352"/>
      <c r="BG2" s="352"/>
      <c r="BH2" s="352"/>
      <c r="BI2" s="352"/>
      <c r="BJ2" s="352"/>
      <c r="BK2" s="352"/>
      <c r="BL2" s="352"/>
      <c r="BM2" s="352"/>
      <c r="BN2" s="352"/>
      <c r="BO2" s="352"/>
      <c r="BP2" s="352"/>
      <c r="BQ2" s="352"/>
      <c r="BR2" s="352"/>
      <c r="BS2" s="352"/>
      <c r="BT2" s="352"/>
      <c r="BU2" s="352"/>
      <c r="BV2" s="352"/>
      <c r="BW2" s="352"/>
      <c r="BX2" s="352"/>
      <c r="BY2" s="352"/>
      <c r="BZ2" s="352"/>
      <c r="CA2" s="352"/>
      <c r="CB2" s="352"/>
      <c r="CC2" s="352"/>
      <c r="CD2" s="352"/>
      <c r="CE2" s="352"/>
      <c r="CF2" s="352"/>
      <c r="CG2" s="352"/>
      <c r="CH2" s="352"/>
      <c r="CI2" s="352"/>
      <c r="CJ2" s="352"/>
      <c r="CK2" s="352"/>
      <c r="CL2" s="352"/>
      <c r="CM2" s="352"/>
      <c r="CN2" s="352"/>
      <c r="CO2" s="352"/>
      <c r="CP2" s="352"/>
      <c r="CQ2" s="352"/>
      <c r="CR2" s="352"/>
      <c r="CS2" s="352"/>
      <c r="CT2" s="352"/>
      <c r="CU2" s="352"/>
      <c r="CV2" s="352"/>
      <c r="CW2" s="352"/>
      <c r="CX2" s="352"/>
      <c r="CY2" s="352"/>
      <c r="CZ2" s="352"/>
      <c r="DA2" s="352"/>
      <c r="DB2" s="352"/>
      <c r="DC2" s="352"/>
      <c r="DD2" s="352"/>
      <c r="DE2" s="352"/>
      <c r="DF2" s="352"/>
      <c r="DG2" s="352"/>
      <c r="DH2" s="352"/>
      <c r="DI2" s="352"/>
      <c r="DJ2" s="352"/>
      <c r="DK2" s="352"/>
      <c r="DL2" s="352"/>
      <c r="DM2" s="352"/>
      <c r="DN2" s="352"/>
      <c r="DO2" s="352"/>
      <c r="DP2" s="352"/>
      <c r="DQ2" s="352"/>
      <c r="DR2" s="352"/>
      <c r="DS2" s="352"/>
      <c r="DT2" s="352"/>
      <c r="DU2" s="352"/>
      <c r="DV2" s="352"/>
      <c r="DW2" s="352"/>
      <c r="DX2" s="352"/>
      <c r="DY2" s="352"/>
      <c r="DZ2" s="352"/>
      <c r="EA2" s="352"/>
      <c r="EB2" s="352"/>
      <c r="EC2" s="352"/>
      <c r="ED2" s="352"/>
      <c r="EE2" s="352"/>
      <c r="EF2" s="352"/>
      <c r="EG2" s="352"/>
      <c r="EH2" s="352"/>
      <c r="EI2" s="352"/>
      <c r="EJ2" s="352"/>
      <c r="EK2" s="352"/>
      <c r="EL2" s="352"/>
      <c r="EM2" s="352"/>
      <c r="EN2" s="352"/>
      <c r="EO2" s="352"/>
      <c r="EP2" s="352"/>
      <c r="EQ2" s="352"/>
      <c r="ER2" s="352"/>
      <c r="ES2" s="352"/>
      <c r="ET2" s="352"/>
      <c r="EU2" s="352"/>
      <c r="EV2" s="352"/>
      <c r="EW2" s="352"/>
      <c r="EX2" s="352"/>
      <c r="EY2" s="352"/>
      <c r="EZ2" s="352"/>
      <c r="FA2" s="352"/>
      <c r="FB2" s="352"/>
      <c r="FC2" s="352"/>
      <c r="FD2" s="352"/>
      <c r="FE2" s="352"/>
      <c r="FF2" s="352"/>
      <c r="FG2" s="352"/>
      <c r="FH2" s="352"/>
      <c r="FI2" s="352"/>
      <c r="FJ2" s="352"/>
      <c r="FK2" s="352"/>
      <c r="FL2" s="352"/>
      <c r="FM2" s="352"/>
      <c r="FN2" s="352"/>
      <c r="FO2" s="352"/>
      <c r="FP2" s="352"/>
      <c r="FQ2" s="352"/>
      <c r="FR2" s="352"/>
      <c r="FS2" s="352"/>
      <c r="FT2" s="352"/>
      <c r="FU2" s="352"/>
      <c r="FV2" s="352"/>
      <c r="FW2" s="352"/>
      <c r="FX2" s="352"/>
      <c r="FY2" s="352"/>
      <c r="FZ2" s="352"/>
      <c r="GA2" s="352"/>
      <c r="GB2" s="352"/>
      <c r="GC2" s="352"/>
      <c r="GD2" s="352"/>
      <c r="GE2" s="352"/>
      <c r="GF2" s="352"/>
      <c r="GG2" s="352"/>
      <c r="GH2" s="352"/>
      <c r="GI2" s="352"/>
      <c r="GJ2" s="352"/>
      <c r="GK2" s="352"/>
      <c r="GL2" s="352"/>
      <c r="GM2" s="352"/>
      <c r="GN2" s="352"/>
      <c r="GO2" s="352"/>
      <c r="GP2" s="352"/>
      <c r="GQ2" s="352"/>
      <c r="GR2" s="352"/>
      <c r="GS2" s="352"/>
      <c r="GT2" s="352"/>
      <c r="GU2" s="352"/>
      <c r="GV2" s="352"/>
      <c r="GW2" s="352"/>
      <c r="GX2" s="352"/>
      <c r="GY2" s="352"/>
      <c r="GZ2" s="352"/>
      <c r="HA2" s="352"/>
      <c r="HB2" s="352"/>
      <c r="HC2" s="352"/>
      <c r="HD2" s="352"/>
      <c r="HE2" s="352"/>
      <c r="HF2" s="352"/>
      <c r="HG2" s="352"/>
      <c r="HH2" s="352"/>
      <c r="HI2" s="352"/>
      <c r="HJ2" s="352"/>
      <c r="HK2" s="352"/>
      <c r="HL2" s="352"/>
      <c r="HM2" s="352"/>
      <c r="HN2" s="352"/>
      <c r="HO2" s="352"/>
      <c r="HP2" s="352"/>
      <c r="HQ2" s="352"/>
      <c r="HR2" s="352"/>
      <c r="HS2" s="352"/>
      <c r="HT2" s="352"/>
      <c r="HU2" s="352"/>
      <c r="HV2" s="352"/>
      <c r="HW2" s="352"/>
      <c r="HX2" s="352"/>
      <c r="HY2" s="352"/>
      <c r="HZ2" s="352"/>
      <c r="IA2" s="352"/>
      <c r="IB2" s="352"/>
      <c r="IC2" s="352"/>
      <c r="ID2" s="352"/>
      <c r="IE2" s="352"/>
      <c r="IF2" s="352"/>
      <c r="IG2" s="352"/>
      <c r="IH2" s="352"/>
      <c r="II2" s="352"/>
      <c r="IJ2" s="352"/>
      <c r="IK2" s="352"/>
      <c r="IL2" s="352"/>
      <c r="IM2" s="352"/>
      <c r="IN2" s="352"/>
      <c r="IO2" s="352"/>
      <c r="IP2" s="352"/>
      <c r="IQ2" s="352"/>
      <c r="IR2" s="352"/>
      <c r="IS2" s="352"/>
      <c r="IT2" s="352"/>
      <c r="IU2" s="352"/>
      <c r="IV2" s="352"/>
      <c r="IW2" s="352"/>
    </row>
    <row r="3" customFormat="false" ht="24" hidden="false" customHeight="true" outlineLevel="0" collapsed="false">
      <c r="A3" s="348"/>
      <c r="B3" s="349"/>
      <c r="C3" s="353"/>
      <c r="D3" s="354"/>
      <c r="E3" s="353"/>
      <c r="F3" s="353"/>
      <c r="G3" s="355"/>
      <c r="H3" s="355"/>
      <c r="I3" s="355"/>
      <c r="J3" s="355"/>
      <c r="K3" s="355"/>
      <c r="L3" s="355"/>
      <c r="M3" s="355"/>
      <c r="N3" s="355"/>
      <c r="O3" s="355"/>
      <c r="P3" s="355"/>
      <c r="Q3" s="355"/>
      <c r="R3" s="355"/>
      <c r="S3" s="355"/>
      <c r="T3" s="355"/>
      <c r="U3" s="355"/>
      <c r="V3" s="355"/>
      <c r="W3" s="355"/>
      <c r="X3" s="355"/>
      <c r="Y3" s="355"/>
      <c r="Z3" s="355"/>
      <c r="AA3" s="355"/>
      <c r="AB3" s="355"/>
      <c r="AC3" s="355"/>
      <c r="AD3" s="355"/>
      <c r="AE3" s="355"/>
      <c r="AF3" s="355"/>
      <c r="AG3" s="355"/>
      <c r="AH3" s="355"/>
      <c r="AI3" s="355"/>
      <c r="AJ3" s="355"/>
      <c r="AK3" s="355"/>
      <c r="AL3" s="355"/>
      <c r="AM3" s="355"/>
      <c r="AN3" s="355"/>
      <c r="AO3" s="355"/>
      <c r="AP3" s="355"/>
      <c r="AQ3" s="355"/>
      <c r="AR3" s="355"/>
      <c r="AS3" s="355"/>
      <c r="AT3" s="355"/>
      <c r="AU3" s="355"/>
      <c r="AV3" s="355"/>
      <c r="AW3" s="355"/>
      <c r="AX3" s="355"/>
      <c r="AY3" s="355"/>
      <c r="AZ3" s="355"/>
      <c r="BA3" s="355"/>
      <c r="BB3" s="355"/>
      <c r="BC3" s="355"/>
      <c r="BD3" s="355"/>
      <c r="BE3" s="355"/>
      <c r="BF3" s="355"/>
      <c r="BG3" s="355"/>
      <c r="BH3" s="355"/>
      <c r="BI3" s="355"/>
      <c r="BJ3" s="355"/>
      <c r="BK3" s="355"/>
      <c r="BL3" s="355"/>
      <c r="BM3" s="355"/>
      <c r="BN3" s="355"/>
      <c r="BO3" s="355"/>
      <c r="BP3" s="355"/>
      <c r="BQ3" s="355"/>
      <c r="BR3" s="355"/>
      <c r="BS3" s="355"/>
      <c r="BT3" s="355"/>
      <c r="BU3" s="355"/>
      <c r="BV3" s="355"/>
      <c r="BW3" s="355"/>
      <c r="BX3" s="355"/>
      <c r="BY3" s="355"/>
      <c r="BZ3" s="355"/>
      <c r="CA3" s="355"/>
      <c r="CB3" s="355"/>
      <c r="CC3" s="355"/>
      <c r="CD3" s="355"/>
      <c r="CE3" s="355"/>
      <c r="CF3" s="355"/>
      <c r="CG3" s="355"/>
      <c r="CH3" s="355"/>
      <c r="CI3" s="355"/>
      <c r="CJ3" s="355"/>
      <c r="CK3" s="355"/>
      <c r="CL3" s="355"/>
      <c r="CM3" s="355"/>
      <c r="CN3" s="355"/>
      <c r="CO3" s="355"/>
      <c r="CP3" s="355"/>
      <c r="CQ3" s="355"/>
      <c r="CR3" s="355"/>
      <c r="CS3" s="355"/>
      <c r="CT3" s="355"/>
      <c r="CU3" s="355"/>
      <c r="CV3" s="355"/>
      <c r="CW3" s="355"/>
      <c r="CX3" s="355"/>
      <c r="CY3" s="355"/>
      <c r="CZ3" s="355"/>
      <c r="DA3" s="355"/>
      <c r="DB3" s="355"/>
      <c r="DC3" s="355"/>
      <c r="DD3" s="355"/>
      <c r="DE3" s="355"/>
      <c r="DF3" s="355"/>
      <c r="DG3" s="355"/>
      <c r="DH3" s="355"/>
      <c r="DI3" s="355"/>
      <c r="DJ3" s="355"/>
      <c r="DK3" s="355"/>
      <c r="DL3" s="355"/>
      <c r="DM3" s="355"/>
      <c r="DN3" s="355"/>
      <c r="DO3" s="355"/>
      <c r="DP3" s="355"/>
      <c r="DQ3" s="355"/>
      <c r="DR3" s="355"/>
      <c r="DS3" s="355"/>
      <c r="DT3" s="355"/>
      <c r="DU3" s="355"/>
      <c r="DV3" s="355"/>
      <c r="DW3" s="355"/>
      <c r="DX3" s="355"/>
      <c r="DY3" s="355"/>
      <c r="DZ3" s="355"/>
      <c r="EA3" s="355"/>
      <c r="EB3" s="355"/>
      <c r="EC3" s="355"/>
      <c r="ED3" s="355"/>
      <c r="EE3" s="355"/>
      <c r="EF3" s="355"/>
      <c r="EG3" s="355"/>
      <c r="EH3" s="355"/>
      <c r="EI3" s="355"/>
      <c r="EJ3" s="355"/>
      <c r="EK3" s="355"/>
      <c r="EL3" s="355"/>
      <c r="EM3" s="355"/>
      <c r="EN3" s="355"/>
      <c r="EO3" s="355"/>
      <c r="EP3" s="355"/>
      <c r="EQ3" s="355"/>
      <c r="ER3" s="355"/>
      <c r="ES3" s="355"/>
      <c r="ET3" s="355"/>
      <c r="EU3" s="355"/>
      <c r="EV3" s="355"/>
      <c r="EW3" s="355"/>
      <c r="EX3" s="355"/>
      <c r="EY3" s="355"/>
      <c r="EZ3" s="355"/>
      <c r="FA3" s="355"/>
      <c r="FB3" s="355"/>
      <c r="FC3" s="355"/>
      <c r="FD3" s="355"/>
      <c r="FE3" s="355"/>
      <c r="FF3" s="355"/>
      <c r="FG3" s="355"/>
      <c r="FH3" s="355"/>
      <c r="FI3" s="355"/>
      <c r="FJ3" s="355"/>
      <c r="FK3" s="355"/>
      <c r="FL3" s="355"/>
      <c r="FM3" s="355"/>
      <c r="FN3" s="355"/>
      <c r="FO3" s="355"/>
      <c r="FP3" s="355"/>
      <c r="FQ3" s="355"/>
      <c r="FR3" s="355"/>
      <c r="FS3" s="355"/>
      <c r="FT3" s="355"/>
      <c r="FU3" s="355"/>
      <c r="FV3" s="355"/>
      <c r="FW3" s="355"/>
      <c r="FX3" s="355"/>
      <c r="FY3" s="355"/>
      <c r="FZ3" s="355"/>
      <c r="GA3" s="355"/>
      <c r="GB3" s="355"/>
      <c r="GC3" s="355"/>
      <c r="GD3" s="355"/>
      <c r="GE3" s="355"/>
      <c r="GF3" s="355"/>
      <c r="GG3" s="355"/>
      <c r="GH3" s="355"/>
      <c r="GI3" s="355"/>
      <c r="GJ3" s="355"/>
      <c r="GK3" s="355"/>
      <c r="GL3" s="355"/>
      <c r="GM3" s="355"/>
      <c r="GN3" s="355"/>
      <c r="GO3" s="355"/>
      <c r="GP3" s="355"/>
      <c r="GQ3" s="355"/>
      <c r="GR3" s="355"/>
      <c r="GS3" s="355"/>
      <c r="GT3" s="355"/>
      <c r="GU3" s="355"/>
      <c r="GV3" s="355"/>
      <c r="GW3" s="355"/>
      <c r="GX3" s="355"/>
      <c r="GY3" s="355"/>
      <c r="GZ3" s="355"/>
      <c r="HA3" s="355"/>
      <c r="HB3" s="355"/>
      <c r="HC3" s="355"/>
      <c r="HD3" s="355"/>
      <c r="HE3" s="355"/>
      <c r="HF3" s="355"/>
      <c r="HG3" s="355"/>
      <c r="HH3" s="355"/>
      <c r="HI3" s="355"/>
      <c r="HJ3" s="355"/>
      <c r="HK3" s="355"/>
      <c r="HL3" s="355"/>
      <c r="HM3" s="355"/>
      <c r="HN3" s="355"/>
      <c r="HO3" s="355"/>
      <c r="HP3" s="355"/>
      <c r="HQ3" s="355"/>
      <c r="HR3" s="355"/>
      <c r="HS3" s="355"/>
      <c r="HT3" s="355"/>
      <c r="HU3" s="355"/>
      <c r="HV3" s="355"/>
      <c r="HW3" s="355"/>
      <c r="HX3" s="355"/>
      <c r="HY3" s="355"/>
      <c r="HZ3" s="355"/>
      <c r="IA3" s="355"/>
      <c r="IB3" s="355"/>
      <c r="IC3" s="355"/>
      <c r="ID3" s="355"/>
      <c r="IE3" s="355"/>
      <c r="IF3" s="355"/>
      <c r="IG3" s="355"/>
      <c r="IH3" s="355"/>
      <c r="II3" s="355"/>
      <c r="IJ3" s="355"/>
      <c r="IK3" s="355"/>
      <c r="IL3" s="355"/>
      <c r="IM3" s="355"/>
      <c r="IN3" s="355"/>
      <c r="IO3" s="355"/>
      <c r="IP3" s="355"/>
      <c r="IQ3" s="355"/>
      <c r="IR3" s="355"/>
      <c r="IS3" s="355"/>
      <c r="IT3" s="355"/>
      <c r="IU3" s="355"/>
      <c r="IV3" s="355"/>
      <c r="IW3" s="355"/>
    </row>
    <row r="5" customFormat="false" ht="12.75" hidden="false" customHeight="false" outlineLevel="0" collapsed="false">
      <c r="A5" s="356" t="n">
        <v>46202</v>
      </c>
      <c r="B5" s="357" t="n">
        <v>46202</v>
      </c>
      <c r="C5" s="358"/>
      <c r="D5" s="359"/>
      <c r="E5" s="360"/>
      <c r="F5" s="361"/>
    </row>
    <row r="6" customFormat="false" ht="12.75" hidden="false" customHeight="false" outlineLevel="0" collapsed="false">
      <c r="A6" s="362" t="n">
        <v>46203</v>
      </c>
      <c r="B6" s="345" t="n">
        <v>46203</v>
      </c>
      <c r="F6" s="363"/>
    </row>
    <row r="7" customFormat="false" ht="12.75" hidden="false" customHeight="false" outlineLevel="0" collapsed="false">
      <c r="A7" s="362" t="n">
        <v>46204</v>
      </c>
      <c r="B7" s="345" t="n">
        <v>46204</v>
      </c>
      <c r="F7" s="363"/>
    </row>
    <row r="8" customFormat="false" ht="12.75" hidden="false" customHeight="false" outlineLevel="0" collapsed="false">
      <c r="A8" s="362" t="n">
        <v>46205</v>
      </c>
      <c r="B8" s="345" t="n">
        <v>46205</v>
      </c>
      <c r="F8" s="363"/>
    </row>
    <row r="9" customFormat="false" ht="12.75" hidden="false" customHeight="false" outlineLevel="0" collapsed="false">
      <c r="A9" s="362" t="n">
        <v>46206</v>
      </c>
      <c r="B9" s="345" t="n">
        <v>46206</v>
      </c>
      <c r="F9" s="363"/>
    </row>
    <row r="10" customFormat="false" ht="12.75" hidden="false" customHeight="false" outlineLevel="0" collapsed="false">
      <c r="A10" s="362" t="n">
        <v>46207</v>
      </c>
      <c r="B10" s="345" t="n">
        <v>46207</v>
      </c>
      <c r="F10" s="363"/>
    </row>
    <row r="11" customFormat="false" ht="12.75" hidden="false" customHeight="false" outlineLevel="0" collapsed="false">
      <c r="A11" s="362" t="n">
        <v>46208</v>
      </c>
      <c r="B11" s="345" t="n">
        <v>46208</v>
      </c>
      <c r="F11" s="363"/>
    </row>
    <row r="12" customFormat="false" ht="12.75" hidden="false" customHeight="false" outlineLevel="0" collapsed="false">
      <c r="A12" s="362" t="n">
        <v>46208</v>
      </c>
      <c r="B12" s="345" t="s">
        <v>247</v>
      </c>
      <c r="F12" s="363"/>
    </row>
    <row r="13" customFormat="false" ht="12.75" hidden="false" customHeight="false" outlineLevel="0" collapsed="false">
      <c r="A13" s="362" t="n">
        <v>46208</v>
      </c>
      <c r="B13" s="345" t="s">
        <v>248</v>
      </c>
      <c r="F13" s="363"/>
    </row>
    <row r="14" customFormat="false" ht="12.75" hidden="false" customHeight="false" outlineLevel="0" collapsed="false">
      <c r="A14" s="364"/>
      <c r="B14" s="365"/>
      <c r="C14" s="366"/>
      <c r="D14" s="367"/>
      <c r="E14" s="368" t="n">
        <f aca="false">SUM(E5:E13)</f>
        <v>0</v>
      </c>
      <c r="F14" s="369" t="n">
        <f aca="false">SUM(F5:F13)</f>
        <v>0</v>
      </c>
    </row>
    <row r="16" customFormat="false" ht="12.75" hidden="false" customHeight="false" outlineLevel="0" collapsed="false">
      <c r="A16" s="356" t="n">
        <v>46209</v>
      </c>
      <c r="B16" s="357" t="n">
        <v>46209</v>
      </c>
      <c r="C16" s="358"/>
      <c r="D16" s="359"/>
      <c r="E16" s="360"/>
      <c r="F16" s="361"/>
    </row>
    <row r="17" customFormat="false" ht="12.75" hidden="false" customHeight="false" outlineLevel="0" collapsed="false">
      <c r="A17" s="362" t="n">
        <v>46210</v>
      </c>
      <c r="B17" s="345" t="n">
        <v>46210</v>
      </c>
      <c r="E17" s="347" t="n">
        <v>200</v>
      </c>
      <c r="F17" s="363"/>
    </row>
    <row r="18" customFormat="false" ht="12.75" hidden="false" customHeight="false" outlineLevel="0" collapsed="false">
      <c r="A18" s="362" t="n">
        <v>46211</v>
      </c>
      <c r="B18" s="345" t="n">
        <v>46211</v>
      </c>
      <c r="E18" s="347" t="n">
        <v>200</v>
      </c>
      <c r="F18" s="363"/>
    </row>
    <row r="19" customFormat="false" ht="12.75" hidden="false" customHeight="false" outlineLevel="0" collapsed="false">
      <c r="A19" s="362" t="n">
        <v>46212</v>
      </c>
      <c r="B19" s="345" t="n">
        <v>46212</v>
      </c>
      <c r="E19" s="347" t="n">
        <v>200</v>
      </c>
      <c r="F19" s="363"/>
    </row>
    <row r="20" customFormat="false" ht="12.75" hidden="false" customHeight="false" outlineLevel="0" collapsed="false">
      <c r="A20" s="362" t="n">
        <v>46213</v>
      </c>
      <c r="B20" s="345" t="n">
        <v>46213</v>
      </c>
      <c r="E20" s="347" t="n">
        <v>200</v>
      </c>
      <c r="F20" s="363"/>
    </row>
    <row r="21" customFormat="false" ht="12.75" hidden="false" customHeight="false" outlineLevel="0" collapsed="false">
      <c r="A21" s="362" t="n">
        <v>46214</v>
      </c>
      <c r="B21" s="345" t="n">
        <v>46214</v>
      </c>
      <c r="E21" s="347" t="n">
        <v>200</v>
      </c>
      <c r="F21" s="363"/>
    </row>
    <row r="22" customFormat="false" ht="12.75" hidden="false" customHeight="false" outlineLevel="0" collapsed="false">
      <c r="A22" s="362" t="n">
        <v>46215</v>
      </c>
      <c r="B22" s="345" t="n">
        <v>46215</v>
      </c>
      <c r="F22" s="363"/>
    </row>
    <row r="23" customFormat="false" ht="12.75" hidden="false" customHeight="false" outlineLevel="0" collapsed="false">
      <c r="A23" s="362" t="n">
        <v>46215</v>
      </c>
      <c r="B23" s="345" t="s">
        <v>247</v>
      </c>
      <c r="F23" s="363"/>
    </row>
    <row r="24" customFormat="false" ht="12.75" hidden="false" customHeight="false" outlineLevel="0" collapsed="false">
      <c r="A24" s="362" t="n">
        <v>46215</v>
      </c>
      <c r="B24" s="345" t="s">
        <v>248</v>
      </c>
      <c r="F24" s="363"/>
    </row>
    <row r="25" customFormat="false" ht="12.75" hidden="false" customHeight="false" outlineLevel="0" collapsed="false">
      <c r="A25" s="364"/>
      <c r="B25" s="365"/>
      <c r="C25" s="366"/>
      <c r="D25" s="367"/>
      <c r="E25" s="368" t="n">
        <f aca="false">SUM(E16:E24)</f>
        <v>1000</v>
      </c>
      <c r="F25" s="369" t="n">
        <f aca="false">SUM(F16:F24)</f>
        <v>0</v>
      </c>
    </row>
    <row r="27" customFormat="false" ht="12.75" hidden="false" customHeight="false" outlineLevel="0" collapsed="false">
      <c r="A27" s="356" t="n">
        <v>46216</v>
      </c>
      <c r="B27" s="357" t="n">
        <v>46216</v>
      </c>
      <c r="C27" s="358"/>
      <c r="D27" s="359"/>
      <c r="E27" s="360"/>
      <c r="F27" s="361"/>
    </row>
    <row r="28" customFormat="false" ht="12.75" hidden="false" customHeight="false" outlineLevel="0" collapsed="false">
      <c r="A28" s="362" t="n">
        <v>46217</v>
      </c>
      <c r="B28" s="345" t="n">
        <v>46217</v>
      </c>
      <c r="E28" s="347" t="n">
        <v>200</v>
      </c>
      <c r="F28" s="363"/>
    </row>
    <row r="29" customFormat="false" ht="12.75" hidden="false" customHeight="false" outlineLevel="0" collapsed="false">
      <c r="A29" s="362" t="n">
        <v>46218</v>
      </c>
      <c r="B29" s="345" t="n">
        <v>46218</v>
      </c>
      <c r="E29" s="347" t="n">
        <v>200</v>
      </c>
      <c r="F29" s="363"/>
    </row>
    <row r="30" customFormat="false" ht="12.75" hidden="false" customHeight="false" outlineLevel="0" collapsed="false">
      <c r="A30" s="362" t="n">
        <v>46219</v>
      </c>
      <c r="B30" s="345" t="n">
        <v>46219</v>
      </c>
      <c r="E30" s="347" t="n">
        <v>200</v>
      </c>
      <c r="F30" s="363"/>
    </row>
    <row r="31" customFormat="false" ht="12.75" hidden="false" customHeight="false" outlineLevel="0" collapsed="false">
      <c r="A31" s="362" t="n">
        <v>46220</v>
      </c>
      <c r="B31" s="345" t="n">
        <v>46220</v>
      </c>
      <c r="E31" s="347" t="n">
        <v>200</v>
      </c>
      <c r="F31" s="363"/>
    </row>
    <row r="32" customFormat="false" ht="12.75" hidden="false" customHeight="false" outlineLevel="0" collapsed="false">
      <c r="A32" s="362" t="n">
        <v>46221</v>
      </c>
      <c r="B32" s="345" t="n">
        <v>46221</v>
      </c>
      <c r="E32" s="347" t="n">
        <v>200</v>
      </c>
      <c r="F32" s="363"/>
    </row>
    <row r="33" customFormat="false" ht="12.75" hidden="false" customHeight="false" outlineLevel="0" collapsed="false">
      <c r="A33" s="362" t="n">
        <v>46222</v>
      </c>
      <c r="B33" s="345" t="n">
        <v>46222</v>
      </c>
      <c r="F33" s="363"/>
    </row>
    <row r="34" customFormat="false" ht="12.75" hidden="false" customHeight="false" outlineLevel="0" collapsed="false">
      <c r="A34" s="362" t="n">
        <v>46222</v>
      </c>
      <c r="B34" s="345" t="s">
        <v>247</v>
      </c>
      <c r="F34" s="363"/>
    </row>
    <row r="35" customFormat="false" ht="12.75" hidden="false" customHeight="false" outlineLevel="0" collapsed="false">
      <c r="A35" s="362" t="n">
        <v>46222</v>
      </c>
      <c r="B35" s="345" t="s">
        <v>248</v>
      </c>
      <c r="F35" s="363"/>
    </row>
    <row r="36" customFormat="false" ht="12.75" hidden="false" customHeight="false" outlineLevel="0" collapsed="false">
      <c r="A36" s="364"/>
      <c r="B36" s="365"/>
      <c r="C36" s="366"/>
      <c r="D36" s="367"/>
      <c r="E36" s="368" t="n">
        <f aca="false">SUM(E27:E35)</f>
        <v>1000</v>
      </c>
      <c r="F36" s="369" t="n">
        <f aca="false">SUM(F27:F35)</f>
        <v>0</v>
      </c>
    </row>
    <row r="38" customFormat="false" ht="12.75" hidden="false" customHeight="false" outlineLevel="0" collapsed="false">
      <c r="A38" s="356" t="n">
        <v>46223</v>
      </c>
      <c r="B38" s="357" t="n">
        <v>46223</v>
      </c>
      <c r="C38" s="358"/>
      <c r="D38" s="359"/>
      <c r="E38" s="360"/>
      <c r="F38" s="361"/>
    </row>
    <row r="39" customFormat="false" ht="12.75" hidden="false" customHeight="false" outlineLevel="0" collapsed="false">
      <c r="A39" s="362" t="n">
        <v>46224</v>
      </c>
      <c r="B39" s="345" t="n">
        <v>46224</v>
      </c>
      <c r="E39" s="347" t="n">
        <v>200</v>
      </c>
      <c r="F39" s="363"/>
    </row>
    <row r="40" customFormat="false" ht="12.75" hidden="false" customHeight="false" outlineLevel="0" collapsed="false">
      <c r="A40" s="362" t="n">
        <v>46225</v>
      </c>
      <c r="B40" s="345" t="n">
        <v>46225</v>
      </c>
      <c r="E40" s="347" t="n">
        <v>200</v>
      </c>
      <c r="F40" s="363"/>
    </row>
    <row r="41" customFormat="false" ht="12.75" hidden="false" customHeight="false" outlineLevel="0" collapsed="false">
      <c r="A41" s="362" t="n">
        <v>46226</v>
      </c>
      <c r="B41" s="345" t="n">
        <v>46226</v>
      </c>
      <c r="E41" s="347" t="n">
        <v>200</v>
      </c>
      <c r="F41" s="363"/>
    </row>
    <row r="42" customFormat="false" ht="12.75" hidden="false" customHeight="false" outlineLevel="0" collapsed="false">
      <c r="A42" s="362" t="n">
        <v>46227</v>
      </c>
      <c r="B42" s="345" t="n">
        <v>46227</v>
      </c>
      <c r="E42" s="347" t="n">
        <v>200</v>
      </c>
      <c r="F42" s="363"/>
    </row>
    <row r="43" customFormat="false" ht="12.75" hidden="false" customHeight="false" outlineLevel="0" collapsed="false">
      <c r="A43" s="362" t="n">
        <v>46228</v>
      </c>
      <c r="B43" s="345" t="n">
        <v>46228</v>
      </c>
      <c r="E43" s="347" t="n">
        <v>200</v>
      </c>
      <c r="F43" s="363"/>
    </row>
    <row r="44" customFormat="false" ht="12.75" hidden="false" customHeight="false" outlineLevel="0" collapsed="false">
      <c r="A44" s="362" t="n">
        <v>46229</v>
      </c>
      <c r="B44" s="345" t="n">
        <v>46229</v>
      </c>
      <c r="F44" s="363"/>
    </row>
    <row r="45" customFormat="false" ht="12.75" hidden="false" customHeight="false" outlineLevel="0" collapsed="false">
      <c r="A45" s="362" t="n">
        <v>46229</v>
      </c>
      <c r="B45" s="345" t="s">
        <v>247</v>
      </c>
      <c r="F45" s="363"/>
    </row>
    <row r="46" customFormat="false" ht="12.75" hidden="false" customHeight="false" outlineLevel="0" collapsed="false">
      <c r="A46" s="362" t="n">
        <v>46229</v>
      </c>
      <c r="B46" s="345" t="s">
        <v>248</v>
      </c>
      <c r="F46" s="363"/>
    </row>
    <row r="47" customFormat="false" ht="12.75" hidden="false" customHeight="false" outlineLevel="0" collapsed="false">
      <c r="A47" s="364"/>
      <c r="B47" s="365"/>
      <c r="C47" s="366"/>
      <c r="D47" s="367"/>
      <c r="E47" s="368" t="n">
        <f aca="false">SUM(E38:E46)</f>
        <v>1000</v>
      </c>
      <c r="F47" s="369" t="n">
        <f aca="false">SUM(F38:F46)</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customHeight="false" zeroHeight="false" outlineLevelRow="0" outlineLevelCol="0"/>
  <cols>
    <col collapsed="false" customWidth="true" hidden="false" outlineLevel="0" max="1" min="1" style="370" width="9.66"/>
    <col collapsed="false" customWidth="true" hidden="false" outlineLevel="0" max="2" min="2" style="179" width="23.99"/>
    <col collapsed="false" customWidth="true" hidden="false" outlineLevel="0" max="3" min="3" style="179" width="15.99"/>
    <col collapsed="false" customWidth="false" hidden="false" outlineLevel="0" max="5" min="4" style="371" width="9.15"/>
    <col collapsed="false" customWidth="true" hidden="false" outlineLevel="0" max="6" min="6" style="372" width="12.66"/>
    <col collapsed="false" customWidth="true" hidden="false" outlineLevel="0" max="8" min="7" style="180" width="9.82"/>
    <col collapsed="false" customWidth="true" hidden="false" outlineLevel="0" max="10" min="9" style="180" width="8.33"/>
    <col collapsed="false" customWidth="true" hidden="false" outlineLevel="0" max="12" min="11" style="180" width="7.66"/>
    <col collapsed="false" customWidth="true" hidden="false" outlineLevel="0" max="13" min="13" style="180" width="8.99"/>
    <col collapsed="false" customWidth="true" hidden="false" outlineLevel="0" max="15" min="14" style="180" width="9.49"/>
    <col collapsed="false" customWidth="true" hidden="false" outlineLevel="0" max="18" min="16" style="180" width="7.66"/>
    <col collapsed="false" customWidth="true" hidden="false" outlineLevel="0" max="19" min="19" style="180" width="8.15"/>
    <col collapsed="false" customWidth="true" hidden="false" outlineLevel="0" max="20" min="20" style="179" width="13.15"/>
    <col collapsed="false" customWidth="true" hidden="false" outlineLevel="0" max="21" min="21" style="180" width="8.33"/>
    <col collapsed="false" customWidth="false" hidden="false" outlineLevel="0" max="257" min="22" style="179" width="9.15"/>
  </cols>
  <sheetData>
    <row r="1" customFormat="false" ht="13.5" hidden="false" customHeight="true" outlineLevel="0" collapsed="false">
      <c r="A1" s="389" t="n">
        <f aca="false">E1+SalesJul!$D$1+PurchasesJun!A1</f>
        <v>0</v>
      </c>
      <c r="B1" s="390" t="s">
        <v>249</v>
      </c>
      <c r="C1" s="391" t="s">
        <v>242</v>
      </c>
      <c r="D1" s="375" t="str">
        <f aca="false">IF((F1-SUM(G1:S1)&lt;&gt;0),(F1-SUM(G1:S1))," ")</f>
        <v> </v>
      </c>
      <c r="E1" s="351" t="n">
        <f aca="false">SUM(E5:E199)</f>
        <v>0</v>
      </c>
      <c r="F1" s="350" t="n">
        <f aca="false">SUM(F5:F199)</f>
        <v>420</v>
      </c>
      <c r="G1" s="350" t="n">
        <f aca="false">SUM(G5:G199)</f>
        <v>300</v>
      </c>
      <c r="H1" s="350" t="n">
        <f aca="false">SUM(H5:H199)</f>
        <v>0</v>
      </c>
      <c r="I1" s="350" t="n">
        <f aca="false">SUM(I5:I199)</f>
        <v>0</v>
      </c>
      <c r="J1" s="350" t="n">
        <f aca="false">SUM(J5:J199)</f>
        <v>0</v>
      </c>
      <c r="K1" s="350" t="n">
        <f aca="false">SUM(K5:K199)</f>
        <v>0</v>
      </c>
      <c r="L1" s="350" t="n">
        <f aca="false">SUM(L5:L199)</f>
        <v>0</v>
      </c>
      <c r="M1" s="350" t="n">
        <f aca="false">SUM(M5:M199)</f>
        <v>120</v>
      </c>
      <c r="N1" s="350" t="n">
        <f aca="false">SUM(N5:N199)</f>
        <v>0</v>
      </c>
      <c r="O1" s="350" t="n">
        <f aca="false">SUM(O5:O199)</f>
        <v>0</v>
      </c>
      <c r="P1" s="350" t="n">
        <f aca="false">SUM(P5:P199)</f>
        <v>0</v>
      </c>
      <c r="Q1" s="350" t="n">
        <f aca="false">SUM(Q5:Q199)</f>
        <v>0</v>
      </c>
      <c r="R1" s="350" t="n">
        <f aca="false">SUM(R5:R199)</f>
        <v>0</v>
      </c>
      <c r="S1" s="392" t="n">
        <f aca="false">SUM(S5:S199)</f>
        <v>0</v>
      </c>
      <c r="T1" s="393" t="n">
        <f aca="false">S1+PurchasesJun!T1</f>
        <v>8000</v>
      </c>
      <c r="U1" s="392" t="n">
        <f aca="false">SUM(U4:U199)</f>
        <v>0</v>
      </c>
      <c r="V1" s="180"/>
      <c r="W1" s="180"/>
      <c r="X1" s="180"/>
      <c r="Y1" s="180"/>
      <c r="Z1" s="180"/>
      <c r="AA1" s="180"/>
      <c r="AB1" s="180"/>
      <c r="AC1" s="180"/>
      <c r="AD1" s="180"/>
      <c r="AE1" s="180"/>
      <c r="AF1" s="180"/>
      <c r="AG1" s="180"/>
      <c r="AH1" s="180"/>
      <c r="AI1" s="180"/>
      <c r="AJ1" s="180"/>
      <c r="AK1" s="180"/>
      <c r="AL1" s="180"/>
      <c r="AM1" s="180"/>
      <c r="AN1" s="180"/>
      <c r="AO1" s="180"/>
      <c r="AP1" s="180"/>
      <c r="AQ1" s="180"/>
      <c r="AR1" s="180"/>
      <c r="AS1" s="180"/>
      <c r="AT1" s="180"/>
      <c r="AU1" s="180"/>
      <c r="AV1" s="180"/>
      <c r="AW1" s="180"/>
      <c r="AX1" s="180"/>
      <c r="AY1" s="180"/>
      <c r="AZ1" s="180"/>
      <c r="BA1" s="180"/>
      <c r="BB1" s="180"/>
      <c r="BC1" s="180"/>
      <c r="BD1" s="180"/>
      <c r="BE1" s="180"/>
      <c r="BF1" s="180"/>
      <c r="BG1" s="180"/>
      <c r="BH1" s="180"/>
      <c r="BI1" s="180"/>
      <c r="BJ1" s="180"/>
      <c r="BK1" s="180"/>
      <c r="BL1" s="180"/>
      <c r="BM1" s="180"/>
      <c r="BN1" s="180"/>
      <c r="BO1" s="180"/>
      <c r="BP1" s="180"/>
      <c r="BQ1" s="180"/>
      <c r="BR1" s="180"/>
      <c r="BS1" s="180"/>
      <c r="BT1" s="180"/>
      <c r="BU1" s="180"/>
      <c r="BV1" s="180"/>
      <c r="BW1" s="180"/>
      <c r="BX1" s="180"/>
      <c r="BY1" s="180"/>
      <c r="BZ1" s="180"/>
      <c r="CA1" s="180"/>
      <c r="CB1" s="180"/>
      <c r="CC1" s="180"/>
      <c r="CD1" s="180"/>
      <c r="CE1" s="180"/>
      <c r="CF1" s="180"/>
      <c r="CG1" s="180"/>
      <c r="CH1" s="180"/>
      <c r="CI1" s="180"/>
      <c r="CJ1" s="180"/>
      <c r="CK1" s="180"/>
      <c r="CL1" s="180"/>
      <c r="CM1" s="180"/>
      <c r="CN1" s="180"/>
      <c r="CO1" s="180"/>
      <c r="CP1" s="180"/>
      <c r="CQ1" s="180"/>
      <c r="CR1" s="180"/>
      <c r="CS1" s="180"/>
      <c r="CT1" s="180"/>
      <c r="CU1" s="180"/>
      <c r="CV1" s="180"/>
      <c r="CW1" s="180"/>
      <c r="CX1" s="180"/>
      <c r="CY1" s="180"/>
      <c r="CZ1" s="180"/>
      <c r="DA1" s="180"/>
      <c r="DB1" s="180"/>
      <c r="DC1" s="180"/>
      <c r="DD1" s="180"/>
      <c r="DE1" s="180"/>
      <c r="DF1" s="180"/>
      <c r="DG1" s="180"/>
      <c r="DH1" s="180"/>
      <c r="DI1" s="180"/>
      <c r="DJ1" s="180"/>
      <c r="DK1" s="180"/>
      <c r="DL1" s="180"/>
      <c r="DM1" s="180"/>
      <c r="DN1" s="180"/>
      <c r="DO1" s="180"/>
      <c r="DP1" s="180"/>
      <c r="DQ1" s="180"/>
      <c r="DR1" s="180"/>
      <c r="DS1" s="180"/>
      <c r="DT1" s="180"/>
      <c r="DU1" s="180"/>
      <c r="DV1" s="180"/>
      <c r="DW1" s="180"/>
      <c r="DX1" s="180"/>
      <c r="DY1" s="180"/>
      <c r="DZ1" s="180"/>
      <c r="EA1" s="180"/>
      <c r="EB1" s="180"/>
      <c r="EC1" s="180"/>
      <c r="ED1" s="180"/>
      <c r="EE1" s="180"/>
      <c r="EF1" s="180"/>
      <c r="EG1" s="180"/>
      <c r="EH1" s="180"/>
      <c r="EI1" s="180"/>
      <c r="EJ1" s="180"/>
      <c r="EK1" s="180"/>
      <c r="EL1" s="180"/>
      <c r="EM1" s="180"/>
      <c r="EN1" s="180"/>
      <c r="EO1" s="180"/>
      <c r="EP1" s="180"/>
      <c r="EQ1" s="180"/>
      <c r="ER1" s="180"/>
      <c r="ES1" s="180"/>
      <c r="ET1" s="180"/>
      <c r="EU1" s="180"/>
      <c r="EV1" s="180"/>
      <c r="EW1" s="180"/>
      <c r="EX1" s="180"/>
      <c r="EY1" s="180"/>
      <c r="EZ1" s="180"/>
      <c r="FA1" s="180"/>
      <c r="FB1" s="180"/>
      <c r="FC1" s="180"/>
      <c r="FD1" s="180"/>
      <c r="FE1" s="180"/>
      <c r="FF1" s="180"/>
      <c r="FG1" s="180"/>
      <c r="FH1" s="180"/>
      <c r="FI1" s="180"/>
      <c r="FJ1" s="180"/>
      <c r="FK1" s="180"/>
      <c r="FL1" s="180"/>
      <c r="FM1" s="180"/>
      <c r="FN1" s="180"/>
      <c r="FO1" s="180"/>
      <c r="FP1" s="180"/>
      <c r="FQ1" s="180"/>
      <c r="FR1" s="180"/>
      <c r="FS1" s="180"/>
      <c r="FT1" s="180"/>
      <c r="FU1" s="180"/>
      <c r="FV1" s="180"/>
      <c r="FW1" s="180"/>
      <c r="FX1" s="180"/>
      <c r="FY1" s="180"/>
      <c r="FZ1" s="180"/>
      <c r="GA1" s="180"/>
      <c r="GB1" s="180"/>
      <c r="GC1" s="180"/>
      <c r="GD1" s="180"/>
      <c r="GE1" s="180"/>
      <c r="GF1" s="180"/>
      <c r="GG1" s="180"/>
      <c r="GH1" s="180"/>
      <c r="GI1" s="180"/>
      <c r="GJ1" s="180"/>
      <c r="GK1" s="180"/>
      <c r="GL1" s="180"/>
      <c r="GM1" s="180"/>
      <c r="GN1" s="180"/>
      <c r="GO1" s="180"/>
      <c r="GP1" s="180"/>
      <c r="GQ1" s="180"/>
      <c r="GR1" s="180"/>
      <c r="GS1" s="180"/>
      <c r="GT1" s="180"/>
      <c r="GU1" s="180"/>
      <c r="GV1" s="180"/>
      <c r="GW1" s="180"/>
      <c r="GX1" s="180"/>
      <c r="GY1" s="180"/>
      <c r="GZ1" s="180"/>
      <c r="HA1" s="180"/>
      <c r="HB1" s="180"/>
      <c r="HC1" s="180"/>
      <c r="HD1" s="180"/>
      <c r="HE1" s="180"/>
      <c r="HF1" s="180"/>
      <c r="HG1" s="180"/>
      <c r="HH1" s="180"/>
      <c r="HI1" s="180"/>
      <c r="HJ1" s="180"/>
      <c r="HK1" s="180"/>
      <c r="HL1" s="180"/>
      <c r="HM1" s="180"/>
      <c r="HN1" s="180"/>
      <c r="HO1" s="180"/>
      <c r="HP1" s="180"/>
      <c r="HQ1" s="180"/>
      <c r="HR1" s="180"/>
      <c r="HS1" s="180"/>
      <c r="HT1" s="180"/>
      <c r="HU1" s="180"/>
      <c r="HV1" s="180"/>
      <c r="HW1" s="180"/>
      <c r="HX1" s="180"/>
      <c r="HY1" s="180"/>
      <c r="HZ1" s="180"/>
      <c r="IA1" s="180"/>
      <c r="IB1" s="180"/>
      <c r="IC1" s="180"/>
      <c r="ID1" s="180"/>
      <c r="IE1" s="180"/>
      <c r="IF1" s="180"/>
      <c r="IG1" s="180"/>
      <c r="IH1" s="180"/>
      <c r="II1" s="180"/>
      <c r="IJ1" s="180"/>
      <c r="IK1" s="180"/>
      <c r="IL1" s="180"/>
      <c r="IM1" s="180"/>
      <c r="IN1" s="180"/>
      <c r="IO1" s="180"/>
      <c r="IP1" s="180"/>
      <c r="IQ1" s="180"/>
      <c r="IR1" s="180"/>
      <c r="IS1" s="180"/>
      <c r="IT1" s="180"/>
      <c r="IU1" s="180"/>
      <c r="IV1" s="180"/>
      <c r="IW1" s="180"/>
    </row>
    <row r="2" customFormat="false" ht="13.5" hidden="false" customHeight="true" outlineLevel="0" collapsed="false">
      <c r="A2" s="394" t="n">
        <f aca="false">U1+PurchasesJun!A2</f>
        <v>0</v>
      </c>
      <c r="B2" s="239" t="s">
        <v>250</v>
      </c>
      <c r="C2" s="378" t="s">
        <v>251</v>
      </c>
      <c r="D2" s="378" t="s">
        <v>252</v>
      </c>
      <c r="E2" s="378" t="s">
        <v>253</v>
      </c>
      <c r="F2" s="206" t="s">
        <v>254</v>
      </c>
      <c r="G2" s="379" t="s">
        <v>255</v>
      </c>
      <c r="H2" s="379"/>
      <c r="I2" s="380" t="n">
        <f aca="false">G1+H1+I1+J1+PurchasesJun!I2</f>
        <v>2580</v>
      </c>
      <c r="J2" s="380"/>
      <c r="K2" s="206" t="s">
        <v>256</v>
      </c>
      <c r="L2" s="206" t="s">
        <v>257</v>
      </c>
      <c r="M2" s="206" t="s">
        <v>258</v>
      </c>
      <c r="N2" s="206" t="s">
        <v>290</v>
      </c>
      <c r="O2" s="206" t="s">
        <v>260</v>
      </c>
      <c r="P2" s="206" t="s">
        <v>261</v>
      </c>
      <c r="Q2" s="206" t="s">
        <v>262</v>
      </c>
      <c r="R2" s="206" t="s">
        <v>263</v>
      </c>
      <c r="S2" s="381" t="s">
        <v>264</v>
      </c>
      <c r="T2" s="382" t="str">
        <f aca="false">IF(T1&gt;'Fixed Assets'!$D$74,"ENTER VEHICLE CHANGES        on Fixed Asset schedule","Motor Vehicles: make, model, date reg. and reg. Mark")</f>
        <v>ENTER VEHICLE CHANGES        on Fixed Asset schedule</v>
      </c>
      <c r="U2" s="381" t="s">
        <v>118</v>
      </c>
      <c r="V2" s="180"/>
      <c r="W2" s="180"/>
      <c r="X2" s="180"/>
      <c r="Y2" s="180"/>
      <c r="Z2" s="180"/>
      <c r="AA2" s="180"/>
      <c r="AB2" s="180"/>
      <c r="AC2" s="180"/>
      <c r="AD2" s="180"/>
      <c r="AE2" s="180"/>
      <c r="AF2" s="180"/>
      <c r="AG2" s="180"/>
      <c r="AH2" s="180"/>
      <c r="AI2" s="180"/>
      <c r="AJ2" s="180"/>
      <c r="AK2" s="180"/>
      <c r="AL2" s="180"/>
      <c r="AM2" s="180"/>
      <c r="AN2" s="180"/>
      <c r="AO2" s="180"/>
      <c r="AP2" s="180"/>
      <c r="AQ2" s="180"/>
      <c r="AR2" s="180"/>
      <c r="AS2" s="180"/>
      <c r="AT2" s="180"/>
      <c r="AU2" s="180"/>
      <c r="AV2" s="180"/>
      <c r="AW2" s="180"/>
      <c r="AX2" s="180"/>
      <c r="AY2" s="180"/>
      <c r="AZ2" s="180"/>
      <c r="BA2" s="180"/>
      <c r="BB2" s="180"/>
      <c r="BC2" s="180"/>
      <c r="BD2" s="180"/>
      <c r="BE2" s="180"/>
      <c r="BF2" s="180"/>
      <c r="BG2" s="180"/>
      <c r="BH2" s="180"/>
      <c r="BI2" s="180"/>
      <c r="BJ2" s="180"/>
      <c r="BK2" s="180"/>
      <c r="BL2" s="180"/>
      <c r="BM2" s="180"/>
      <c r="BN2" s="180"/>
      <c r="BO2" s="180"/>
      <c r="BP2" s="180"/>
      <c r="BQ2" s="180"/>
      <c r="BR2" s="180"/>
      <c r="BS2" s="180"/>
      <c r="BT2" s="180"/>
      <c r="BU2" s="180"/>
      <c r="BV2" s="180"/>
      <c r="BW2" s="180"/>
      <c r="BX2" s="180"/>
      <c r="BY2" s="180"/>
      <c r="BZ2" s="180"/>
      <c r="CA2" s="180"/>
      <c r="CB2" s="180"/>
      <c r="CC2" s="180"/>
      <c r="CD2" s="180"/>
      <c r="CE2" s="180"/>
      <c r="CF2" s="180"/>
      <c r="CG2" s="180"/>
      <c r="CH2" s="180"/>
      <c r="CI2" s="180"/>
      <c r="CJ2" s="180"/>
      <c r="CK2" s="180"/>
      <c r="CL2" s="180"/>
      <c r="CM2" s="180"/>
      <c r="CN2" s="180"/>
      <c r="CO2" s="180"/>
      <c r="CP2" s="180"/>
      <c r="CQ2" s="180"/>
      <c r="CR2" s="180"/>
      <c r="CS2" s="180"/>
      <c r="CT2" s="180"/>
      <c r="CU2" s="180"/>
      <c r="CV2" s="180"/>
      <c r="CW2" s="180"/>
      <c r="CX2" s="180"/>
      <c r="CY2" s="180"/>
      <c r="CZ2" s="180"/>
      <c r="DA2" s="180"/>
      <c r="DB2" s="180"/>
      <c r="DC2" s="180"/>
      <c r="DD2" s="180"/>
      <c r="DE2" s="180"/>
      <c r="DF2" s="180"/>
      <c r="DG2" s="180"/>
      <c r="DH2" s="180"/>
      <c r="DI2" s="180"/>
      <c r="DJ2" s="180"/>
      <c r="DK2" s="180"/>
      <c r="DL2" s="180"/>
      <c r="DM2" s="180"/>
      <c r="DN2" s="180"/>
      <c r="DO2" s="180"/>
      <c r="DP2" s="180"/>
      <c r="DQ2" s="180"/>
      <c r="DR2" s="180"/>
      <c r="DS2" s="180"/>
      <c r="DT2" s="180"/>
      <c r="DU2" s="180"/>
      <c r="DV2" s="180"/>
      <c r="DW2" s="180"/>
      <c r="DX2" s="180"/>
      <c r="DY2" s="180"/>
      <c r="DZ2" s="180"/>
      <c r="EA2" s="180"/>
      <c r="EB2" s="180"/>
      <c r="EC2" s="180"/>
      <c r="ED2" s="180"/>
      <c r="EE2" s="180"/>
      <c r="EF2" s="180"/>
      <c r="EG2" s="180"/>
      <c r="EH2" s="180"/>
      <c r="EI2" s="180"/>
      <c r="EJ2" s="180"/>
      <c r="EK2" s="180"/>
      <c r="EL2" s="180"/>
      <c r="EM2" s="180"/>
      <c r="EN2" s="180"/>
      <c r="EO2" s="180"/>
      <c r="EP2" s="180"/>
      <c r="EQ2" s="180"/>
      <c r="ER2" s="180"/>
      <c r="ES2" s="180"/>
      <c r="ET2" s="180"/>
      <c r="EU2" s="180"/>
      <c r="EV2" s="180"/>
      <c r="EW2" s="180"/>
      <c r="EX2" s="180"/>
      <c r="EY2" s="180"/>
      <c r="EZ2" s="180"/>
      <c r="FA2" s="180"/>
      <c r="FB2" s="180"/>
      <c r="FC2" s="180"/>
      <c r="FD2" s="180"/>
      <c r="FE2" s="180"/>
      <c r="FF2" s="180"/>
      <c r="FG2" s="180"/>
      <c r="FH2" s="180"/>
      <c r="FI2" s="180"/>
      <c r="FJ2" s="180"/>
      <c r="FK2" s="180"/>
      <c r="FL2" s="180"/>
      <c r="FM2" s="180"/>
      <c r="FN2" s="180"/>
      <c r="FO2" s="180"/>
      <c r="FP2" s="180"/>
      <c r="FQ2" s="180"/>
      <c r="FR2" s="180"/>
      <c r="FS2" s="180"/>
      <c r="FT2" s="180"/>
      <c r="FU2" s="180"/>
      <c r="FV2" s="180"/>
      <c r="FW2" s="180"/>
      <c r="FX2" s="180"/>
      <c r="FY2" s="180"/>
      <c r="FZ2" s="180"/>
      <c r="GA2" s="180"/>
      <c r="GB2" s="180"/>
      <c r="GC2" s="180"/>
      <c r="GD2" s="180"/>
      <c r="GE2" s="180"/>
      <c r="GF2" s="180"/>
      <c r="GG2" s="180"/>
      <c r="GH2" s="180"/>
      <c r="GI2" s="180"/>
      <c r="GJ2" s="180"/>
      <c r="GK2" s="180"/>
      <c r="GL2" s="180"/>
      <c r="GM2" s="180"/>
      <c r="GN2" s="180"/>
      <c r="GO2" s="180"/>
      <c r="GP2" s="180"/>
      <c r="GQ2" s="180"/>
      <c r="GR2" s="180"/>
      <c r="GS2" s="180"/>
      <c r="GT2" s="180"/>
      <c r="GU2" s="180"/>
      <c r="GV2" s="180"/>
      <c r="GW2" s="180"/>
      <c r="GX2" s="180"/>
      <c r="GY2" s="180"/>
      <c r="GZ2" s="180"/>
      <c r="HA2" s="180"/>
      <c r="HB2" s="180"/>
      <c r="HC2" s="180"/>
      <c r="HD2" s="180"/>
      <c r="HE2" s="180"/>
      <c r="HF2" s="180"/>
      <c r="HG2" s="180"/>
      <c r="HH2" s="180"/>
      <c r="HI2" s="180"/>
      <c r="HJ2" s="180"/>
      <c r="HK2" s="180"/>
      <c r="HL2" s="180"/>
      <c r="HM2" s="180"/>
      <c r="HN2" s="180"/>
      <c r="HO2" s="180"/>
      <c r="HP2" s="180"/>
      <c r="HQ2" s="180"/>
      <c r="HR2" s="180"/>
      <c r="HS2" s="180"/>
      <c r="HT2" s="180"/>
      <c r="HU2" s="180"/>
      <c r="HV2" s="180"/>
      <c r="HW2" s="180"/>
      <c r="HX2" s="180"/>
      <c r="HY2" s="180"/>
      <c r="HZ2" s="180"/>
      <c r="IA2" s="180"/>
      <c r="IB2" s="180"/>
      <c r="IC2" s="180"/>
      <c r="ID2" s="180"/>
      <c r="IE2" s="180"/>
      <c r="IF2" s="180"/>
      <c r="IG2" s="180"/>
      <c r="IH2" s="180"/>
      <c r="II2" s="180"/>
      <c r="IJ2" s="180"/>
      <c r="IK2" s="180"/>
      <c r="IL2" s="180"/>
      <c r="IM2" s="180"/>
      <c r="IN2" s="180"/>
      <c r="IO2" s="180"/>
      <c r="IP2" s="180"/>
      <c r="IQ2" s="180"/>
      <c r="IR2" s="180"/>
      <c r="IS2" s="180"/>
      <c r="IT2" s="180"/>
      <c r="IU2" s="180"/>
      <c r="IV2" s="180"/>
      <c r="IW2" s="180"/>
    </row>
    <row r="3" customFormat="false" ht="45" hidden="false" customHeight="true" outlineLevel="0" collapsed="false">
      <c r="A3" s="383" t="s">
        <v>265</v>
      </c>
      <c r="B3" s="206" t="s">
        <v>266</v>
      </c>
      <c r="C3" s="378"/>
      <c r="D3" s="378"/>
      <c r="E3" s="378"/>
      <c r="F3" s="378"/>
      <c r="G3" s="206" t="s">
        <v>113</v>
      </c>
      <c r="H3" s="206" t="s">
        <v>267</v>
      </c>
      <c r="I3" s="206" t="s">
        <v>115</v>
      </c>
      <c r="J3" s="206" t="s">
        <v>116</v>
      </c>
      <c r="K3" s="206"/>
      <c r="L3" s="206"/>
      <c r="M3" s="206"/>
      <c r="N3" s="206"/>
      <c r="O3" s="206"/>
      <c r="P3" s="206"/>
      <c r="Q3" s="206"/>
      <c r="R3" s="206"/>
      <c r="S3" s="381"/>
      <c r="T3" s="382"/>
      <c r="U3" s="381"/>
      <c r="V3" s="384"/>
      <c r="W3" s="384"/>
      <c r="X3" s="384"/>
      <c r="Y3" s="384"/>
      <c r="Z3" s="384"/>
      <c r="AA3" s="384"/>
      <c r="AB3" s="384"/>
      <c r="AC3" s="384"/>
      <c r="AD3" s="384"/>
      <c r="AE3" s="384"/>
      <c r="AF3" s="384"/>
      <c r="AG3" s="384"/>
      <c r="AH3" s="384"/>
      <c r="AI3" s="384"/>
      <c r="AJ3" s="384"/>
      <c r="AK3" s="384"/>
      <c r="AL3" s="384"/>
      <c r="AM3" s="384"/>
      <c r="AN3" s="384"/>
      <c r="AO3" s="384"/>
      <c r="AP3" s="384"/>
      <c r="AQ3" s="384"/>
      <c r="AR3" s="384"/>
      <c r="AS3" s="384"/>
      <c r="AT3" s="384"/>
      <c r="AU3" s="384"/>
      <c r="AV3" s="384"/>
      <c r="AW3" s="384"/>
      <c r="AX3" s="384"/>
      <c r="AY3" s="384"/>
      <c r="AZ3" s="384"/>
      <c r="BA3" s="384"/>
      <c r="BB3" s="384"/>
      <c r="BC3" s="384"/>
      <c r="BD3" s="384"/>
      <c r="BE3" s="384"/>
      <c r="BF3" s="384"/>
      <c r="BG3" s="384"/>
      <c r="BH3" s="384"/>
      <c r="BI3" s="384"/>
      <c r="BJ3" s="384"/>
      <c r="BK3" s="384"/>
      <c r="BL3" s="384"/>
      <c r="BM3" s="384"/>
      <c r="BN3" s="384"/>
      <c r="BO3" s="384"/>
      <c r="BP3" s="384"/>
      <c r="BQ3" s="384"/>
      <c r="BR3" s="384"/>
      <c r="BS3" s="384"/>
      <c r="BT3" s="384"/>
      <c r="BU3" s="384"/>
      <c r="BV3" s="384"/>
      <c r="BW3" s="384"/>
      <c r="BX3" s="384"/>
      <c r="BY3" s="384"/>
      <c r="BZ3" s="384"/>
      <c r="CA3" s="384"/>
      <c r="CB3" s="384"/>
      <c r="CC3" s="384"/>
      <c r="CD3" s="384"/>
      <c r="CE3" s="384"/>
      <c r="CF3" s="384"/>
      <c r="CG3" s="384"/>
      <c r="CH3" s="384"/>
      <c r="CI3" s="384"/>
      <c r="CJ3" s="384"/>
      <c r="CK3" s="384"/>
      <c r="CL3" s="384"/>
      <c r="CM3" s="384"/>
      <c r="CN3" s="384"/>
      <c r="CO3" s="384"/>
      <c r="CP3" s="384"/>
      <c r="CQ3" s="384"/>
      <c r="CR3" s="384"/>
      <c r="CS3" s="384"/>
      <c r="CT3" s="384"/>
      <c r="CU3" s="384"/>
      <c r="CV3" s="384"/>
      <c r="CW3" s="384"/>
      <c r="CX3" s="384"/>
      <c r="CY3" s="384"/>
      <c r="CZ3" s="384"/>
      <c r="DA3" s="384"/>
      <c r="DB3" s="384"/>
      <c r="DC3" s="384"/>
      <c r="DD3" s="384"/>
      <c r="DE3" s="384"/>
      <c r="DF3" s="384"/>
      <c r="DG3" s="384"/>
      <c r="DH3" s="384"/>
      <c r="DI3" s="384"/>
      <c r="DJ3" s="384"/>
      <c r="DK3" s="384"/>
      <c r="DL3" s="384"/>
      <c r="DM3" s="384"/>
      <c r="DN3" s="384"/>
      <c r="DO3" s="384"/>
      <c r="DP3" s="384"/>
      <c r="DQ3" s="384"/>
      <c r="DR3" s="384"/>
      <c r="DS3" s="384"/>
      <c r="DT3" s="384"/>
      <c r="DU3" s="384"/>
      <c r="DV3" s="384"/>
      <c r="DW3" s="384"/>
      <c r="DX3" s="384"/>
      <c r="DY3" s="384"/>
      <c r="DZ3" s="384"/>
      <c r="EA3" s="384"/>
      <c r="EB3" s="384"/>
      <c r="EC3" s="384"/>
      <c r="ED3" s="384"/>
      <c r="EE3" s="384"/>
      <c r="EF3" s="384"/>
      <c r="EG3" s="384"/>
      <c r="EH3" s="384"/>
      <c r="EI3" s="384"/>
      <c r="EJ3" s="384"/>
      <c r="EK3" s="384"/>
      <c r="EL3" s="384"/>
      <c r="EM3" s="384"/>
      <c r="EN3" s="384"/>
      <c r="EO3" s="384"/>
      <c r="EP3" s="384"/>
      <c r="EQ3" s="384"/>
      <c r="ER3" s="384"/>
      <c r="ES3" s="384"/>
      <c r="ET3" s="384"/>
      <c r="EU3" s="384"/>
      <c r="EV3" s="384"/>
      <c r="EW3" s="384"/>
      <c r="EX3" s="384"/>
      <c r="EY3" s="384"/>
      <c r="EZ3" s="384"/>
      <c r="FA3" s="384"/>
      <c r="FB3" s="384"/>
      <c r="FC3" s="384"/>
      <c r="FD3" s="384"/>
      <c r="FE3" s="384"/>
      <c r="FF3" s="384"/>
      <c r="FG3" s="384"/>
      <c r="FH3" s="384"/>
      <c r="FI3" s="384"/>
      <c r="FJ3" s="384"/>
      <c r="FK3" s="384"/>
      <c r="FL3" s="384"/>
      <c r="FM3" s="384"/>
      <c r="FN3" s="384"/>
      <c r="FO3" s="384"/>
      <c r="FP3" s="384"/>
      <c r="FQ3" s="384"/>
      <c r="FR3" s="384"/>
      <c r="FS3" s="384"/>
      <c r="FT3" s="384"/>
      <c r="FU3" s="384"/>
      <c r="FV3" s="384"/>
      <c r="FW3" s="384"/>
      <c r="FX3" s="384"/>
      <c r="FY3" s="384"/>
      <c r="FZ3" s="384"/>
      <c r="GA3" s="384"/>
      <c r="GB3" s="384"/>
      <c r="GC3" s="384"/>
      <c r="GD3" s="384"/>
      <c r="GE3" s="384"/>
      <c r="GF3" s="384"/>
      <c r="GG3" s="384"/>
      <c r="GH3" s="384"/>
      <c r="GI3" s="384"/>
      <c r="GJ3" s="384"/>
      <c r="GK3" s="384"/>
      <c r="GL3" s="384"/>
      <c r="GM3" s="384"/>
      <c r="GN3" s="384"/>
      <c r="GO3" s="384"/>
      <c r="GP3" s="384"/>
      <c r="GQ3" s="384"/>
      <c r="GR3" s="384"/>
      <c r="GS3" s="384"/>
      <c r="GT3" s="384"/>
      <c r="GU3" s="384"/>
      <c r="GV3" s="384"/>
      <c r="GW3" s="384"/>
      <c r="GX3" s="384"/>
      <c r="GY3" s="384"/>
      <c r="GZ3" s="384"/>
      <c r="HA3" s="384"/>
      <c r="HB3" s="384"/>
      <c r="HC3" s="384"/>
      <c r="HD3" s="384"/>
      <c r="HE3" s="384"/>
      <c r="HF3" s="384"/>
      <c r="HG3" s="384"/>
      <c r="HH3" s="384"/>
      <c r="HI3" s="384"/>
      <c r="HJ3" s="384"/>
      <c r="HK3" s="384"/>
      <c r="HL3" s="384"/>
      <c r="HM3" s="384"/>
      <c r="HN3" s="384"/>
      <c r="HO3" s="384"/>
      <c r="HP3" s="384"/>
      <c r="HQ3" s="384"/>
      <c r="HR3" s="384"/>
      <c r="HS3" s="384"/>
      <c r="HT3" s="384"/>
      <c r="HU3" s="384"/>
      <c r="HV3" s="384"/>
      <c r="HW3" s="384"/>
      <c r="HX3" s="384"/>
      <c r="HY3" s="384"/>
      <c r="HZ3" s="384"/>
      <c r="IA3" s="384"/>
      <c r="IB3" s="384"/>
      <c r="IC3" s="384"/>
      <c r="ID3" s="384"/>
      <c r="IE3" s="384"/>
      <c r="IF3" s="384"/>
      <c r="IG3" s="384"/>
      <c r="IH3" s="384"/>
      <c r="II3" s="384"/>
      <c r="IJ3" s="384"/>
      <c r="IK3" s="384"/>
      <c r="IL3" s="384"/>
      <c r="IM3" s="384"/>
      <c r="IN3" s="384"/>
      <c r="IO3" s="384"/>
      <c r="IP3" s="384"/>
      <c r="IQ3" s="384"/>
      <c r="IR3" s="384"/>
      <c r="IS3" s="384"/>
      <c r="IT3" s="384"/>
      <c r="IU3" s="384"/>
      <c r="IV3" s="384"/>
      <c r="IW3" s="384"/>
    </row>
    <row r="4" customFormat="false" ht="12.75" hidden="false" customHeight="false" outlineLevel="0" collapsed="false">
      <c r="A4" s="385" t="str">
        <f aca="false">IF((E1&lt;&gt;0),Admin!$B$8," ")</f>
        <v> </v>
      </c>
      <c r="B4" s="206"/>
      <c r="C4" s="206"/>
      <c r="D4" s="206"/>
      <c r="E4" s="206"/>
      <c r="F4" s="206"/>
      <c r="G4" s="374" t="s">
        <v>268</v>
      </c>
      <c r="H4" s="374" t="s">
        <v>269</v>
      </c>
      <c r="I4" s="374" t="s">
        <v>270</v>
      </c>
      <c r="J4" s="374" t="s">
        <v>271</v>
      </c>
      <c r="K4" s="374" t="s">
        <v>272</v>
      </c>
      <c r="L4" s="374" t="s">
        <v>273</v>
      </c>
      <c r="M4" s="374" t="s">
        <v>274</v>
      </c>
      <c r="N4" s="374" t="s">
        <v>275</v>
      </c>
      <c r="O4" s="374" t="s">
        <v>276</v>
      </c>
      <c r="P4" s="374" t="s">
        <v>277</v>
      </c>
      <c r="Q4" s="374" t="s">
        <v>278</v>
      </c>
      <c r="R4" s="374" t="s">
        <v>279</v>
      </c>
      <c r="S4" s="386" t="s">
        <v>280</v>
      </c>
      <c r="T4" s="382"/>
      <c r="U4" s="393" t="n">
        <f aca="false">IF((A1&lt;Admin!$F$22),((A1-PurchasesJun!A1)*Admin!$G$21),(A1*Admin!$G$21-(A1-Admin!$F$21)*(Admin!$G$21-Admin!$G$22)-PurchasesJun!A2))</f>
        <v>0</v>
      </c>
      <c r="V4" s="387"/>
      <c r="W4" s="387"/>
      <c r="X4" s="387"/>
      <c r="Y4" s="387"/>
      <c r="Z4" s="387"/>
      <c r="AA4" s="387"/>
      <c r="AB4" s="387"/>
      <c r="AC4" s="387"/>
      <c r="AD4" s="387"/>
      <c r="AE4" s="387"/>
      <c r="AF4" s="387"/>
      <c r="AG4" s="387"/>
      <c r="AH4" s="387"/>
      <c r="AI4" s="387"/>
      <c r="AJ4" s="387"/>
      <c r="AK4" s="387"/>
      <c r="AL4" s="387"/>
      <c r="AM4" s="387"/>
      <c r="AN4" s="387"/>
      <c r="AO4" s="387"/>
      <c r="AP4" s="387"/>
      <c r="AQ4" s="387"/>
      <c r="AR4" s="387"/>
      <c r="AS4" s="387"/>
      <c r="AT4" s="387"/>
      <c r="AU4" s="387"/>
      <c r="AV4" s="387"/>
      <c r="AW4" s="387"/>
      <c r="AX4" s="387"/>
      <c r="AY4" s="387"/>
      <c r="AZ4" s="387"/>
      <c r="BA4" s="387"/>
      <c r="BB4" s="387"/>
      <c r="BC4" s="387"/>
      <c r="BD4" s="387"/>
      <c r="BE4" s="387"/>
      <c r="BF4" s="387"/>
      <c r="BG4" s="387"/>
      <c r="BH4" s="387"/>
      <c r="BI4" s="387"/>
      <c r="BJ4" s="387"/>
      <c r="BK4" s="387"/>
      <c r="BL4" s="387"/>
      <c r="BM4" s="387"/>
      <c r="BN4" s="387"/>
      <c r="BO4" s="387"/>
      <c r="BP4" s="387"/>
      <c r="BQ4" s="387"/>
      <c r="BR4" s="387"/>
      <c r="BS4" s="387"/>
      <c r="BT4" s="387"/>
      <c r="BU4" s="387"/>
      <c r="BV4" s="387"/>
      <c r="BW4" s="387"/>
      <c r="BX4" s="387"/>
      <c r="BY4" s="387"/>
      <c r="BZ4" s="387"/>
      <c r="CA4" s="387"/>
      <c r="CB4" s="387"/>
      <c r="CC4" s="387"/>
      <c r="CD4" s="387"/>
      <c r="CE4" s="387"/>
      <c r="CF4" s="387"/>
      <c r="CG4" s="387"/>
      <c r="CH4" s="387"/>
      <c r="CI4" s="387"/>
      <c r="CJ4" s="387"/>
      <c r="CK4" s="387"/>
      <c r="CL4" s="387"/>
      <c r="CM4" s="387"/>
      <c r="CN4" s="387"/>
      <c r="CO4" s="387"/>
      <c r="CP4" s="387"/>
      <c r="CQ4" s="387"/>
      <c r="CR4" s="387"/>
      <c r="CS4" s="387"/>
      <c r="CT4" s="387"/>
      <c r="CU4" s="387"/>
      <c r="CV4" s="387"/>
      <c r="CW4" s="387"/>
      <c r="CX4" s="387"/>
      <c r="CY4" s="387"/>
      <c r="CZ4" s="387"/>
      <c r="DA4" s="387"/>
      <c r="DB4" s="387"/>
      <c r="DC4" s="387"/>
      <c r="DD4" s="387"/>
      <c r="DE4" s="387"/>
      <c r="DF4" s="387"/>
      <c r="DG4" s="387"/>
      <c r="DH4" s="387"/>
      <c r="DI4" s="387"/>
      <c r="DJ4" s="387"/>
      <c r="DK4" s="387"/>
      <c r="DL4" s="387"/>
      <c r="DM4" s="387"/>
      <c r="DN4" s="387"/>
      <c r="DO4" s="387"/>
      <c r="DP4" s="387"/>
      <c r="DQ4" s="387"/>
      <c r="DR4" s="387"/>
      <c r="DS4" s="387"/>
      <c r="DT4" s="387"/>
      <c r="DU4" s="387"/>
      <c r="DV4" s="387"/>
      <c r="DW4" s="387"/>
      <c r="DX4" s="387"/>
      <c r="DY4" s="387"/>
      <c r="DZ4" s="387"/>
      <c r="EA4" s="387"/>
      <c r="EB4" s="387"/>
      <c r="EC4" s="387"/>
      <c r="ED4" s="387"/>
      <c r="EE4" s="387"/>
      <c r="EF4" s="387"/>
      <c r="EG4" s="387"/>
      <c r="EH4" s="387"/>
      <c r="EI4" s="387"/>
      <c r="EJ4" s="387"/>
      <c r="EK4" s="387"/>
      <c r="EL4" s="387"/>
      <c r="EM4" s="387"/>
      <c r="EN4" s="387"/>
      <c r="EO4" s="387"/>
      <c r="EP4" s="387"/>
      <c r="EQ4" s="387"/>
      <c r="ER4" s="387"/>
      <c r="ES4" s="387"/>
      <c r="ET4" s="387"/>
      <c r="EU4" s="387"/>
      <c r="EV4" s="387"/>
      <c r="EW4" s="387"/>
      <c r="EX4" s="387"/>
      <c r="EY4" s="387"/>
      <c r="EZ4" s="387"/>
      <c r="FA4" s="387"/>
      <c r="FB4" s="387"/>
      <c r="FC4" s="387"/>
      <c r="FD4" s="387"/>
      <c r="FE4" s="387"/>
      <c r="FF4" s="387"/>
      <c r="FG4" s="387"/>
      <c r="FH4" s="387"/>
      <c r="FI4" s="387"/>
      <c r="FJ4" s="387"/>
      <c r="FK4" s="387"/>
      <c r="FL4" s="387"/>
      <c r="FM4" s="387"/>
      <c r="FN4" s="387"/>
      <c r="FO4" s="387"/>
      <c r="FP4" s="387"/>
      <c r="FQ4" s="387"/>
      <c r="FR4" s="387"/>
      <c r="FS4" s="387"/>
      <c r="FT4" s="387"/>
      <c r="FU4" s="387"/>
      <c r="FV4" s="387"/>
      <c r="FW4" s="387"/>
      <c r="FX4" s="387"/>
      <c r="FY4" s="387"/>
      <c r="FZ4" s="387"/>
      <c r="GA4" s="387"/>
      <c r="GB4" s="387"/>
      <c r="GC4" s="387"/>
      <c r="GD4" s="387"/>
      <c r="GE4" s="387"/>
      <c r="GF4" s="387"/>
      <c r="GG4" s="387"/>
      <c r="GH4" s="387"/>
      <c r="GI4" s="387"/>
      <c r="GJ4" s="387"/>
      <c r="GK4" s="387"/>
      <c r="GL4" s="387"/>
      <c r="GM4" s="387"/>
      <c r="GN4" s="387"/>
      <c r="GO4" s="387"/>
      <c r="GP4" s="387"/>
      <c r="GQ4" s="387"/>
      <c r="GR4" s="387"/>
      <c r="GS4" s="387"/>
      <c r="GT4" s="387"/>
      <c r="GU4" s="387"/>
      <c r="GV4" s="387"/>
      <c r="GW4" s="387"/>
      <c r="GX4" s="387"/>
      <c r="GY4" s="387"/>
      <c r="GZ4" s="387"/>
      <c r="HA4" s="387"/>
      <c r="HB4" s="387"/>
      <c r="HC4" s="387"/>
      <c r="HD4" s="387"/>
      <c r="HE4" s="387"/>
      <c r="HF4" s="387"/>
      <c r="HG4" s="387"/>
      <c r="HH4" s="387"/>
      <c r="HI4" s="387"/>
      <c r="HJ4" s="387"/>
      <c r="HK4" s="387"/>
      <c r="HL4" s="387"/>
      <c r="HM4" s="387"/>
      <c r="HN4" s="387"/>
      <c r="HO4" s="387"/>
      <c r="HP4" s="387"/>
      <c r="HQ4" s="387"/>
      <c r="HR4" s="387"/>
      <c r="HS4" s="387"/>
      <c r="HT4" s="387"/>
      <c r="HU4" s="387"/>
      <c r="HV4" s="387"/>
      <c r="HW4" s="387"/>
      <c r="HX4" s="387"/>
      <c r="HY4" s="387"/>
      <c r="HZ4" s="387"/>
      <c r="IA4" s="387"/>
      <c r="IB4" s="387"/>
      <c r="IC4" s="387"/>
      <c r="ID4" s="387"/>
      <c r="IE4" s="387"/>
      <c r="IF4" s="387"/>
      <c r="IG4" s="387"/>
      <c r="IH4" s="387"/>
      <c r="II4" s="387"/>
      <c r="IJ4" s="387"/>
      <c r="IK4" s="387"/>
      <c r="IL4" s="387"/>
      <c r="IM4" s="387"/>
      <c r="IN4" s="387"/>
      <c r="IO4" s="387"/>
      <c r="IP4" s="387"/>
      <c r="IQ4" s="387"/>
      <c r="IR4" s="387"/>
      <c r="IS4" s="387"/>
      <c r="IT4" s="387"/>
      <c r="IU4" s="387"/>
      <c r="IV4" s="387"/>
      <c r="IW4" s="387"/>
    </row>
    <row r="5" customFormat="false" ht="12.75" hidden="false" customHeight="false" outlineLevel="0" collapsed="false">
      <c r="A5" s="370" t="n">
        <v>46213</v>
      </c>
      <c r="B5" s="388" t="s">
        <v>288</v>
      </c>
      <c r="C5" s="371"/>
      <c r="D5" s="371" t="s">
        <v>289</v>
      </c>
      <c r="F5" s="371" t="n">
        <v>120</v>
      </c>
      <c r="G5" s="180" t="str">
        <f aca="false">IF((D5="d"),F5," ")</f>
        <v> </v>
      </c>
      <c r="H5" s="180" t="str">
        <f aca="false">IF((D5="h"),F5," ")</f>
        <v> </v>
      </c>
      <c r="I5" s="180" t="str">
        <f aca="false">IF((D5="r"),F5," ")</f>
        <v> </v>
      </c>
      <c r="J5" s="180" t="str">
        <f aca="false">IF((D5="t"),F5," ")</f>
        <v> </v>
      </c>
      <c r="K5" s="180" t="str">
        <f aca="false">IF((D5="e"),F5," ")</f>
        <v> </v>
      </c>
      <c r="L5" s="180" t="str">
        <f aca="false">IF((D5="p"),F5," ")</f>
        <v> </v>
      </c>
      <c r="M5" s="180" t="n">
        <f aca="false">IF((D5="g"),F5," ")</f>
        <v>120</v>
      </c>
      <c r="N5" s="180" t="str">
        <f aca="false">IF((D5="a"),F5," ")</f>
        <v> </v>
      </c>
      <c r="O5" s="180" t="str">
        <f aca="false">IF((D5="l"),F5," ")</f>
        <v> </v>
      </c>
      <c r="P5" s="180" t="str">
        <f aca="false">IF((D5="i"),F5," ")</f>
        <v> </v>
      </c>
      <c r="Q5" s="180" t="str">
        <f aca="false">IF((D5="b"),F5," ")</f>
        <v> </v>
      </c>
      <c r="R5" s="180" t="str">
        <f aca="false">IF((D5="o"),F5," ")</f>
        <v> </v>
      </c>
      <c r="S5" s="180" t="str">
        <f aca="false">IF((D5="f"),F5," ")</f>
        <v> </v>
      </c>
      <c r="T5" s="371"/>
      <c r="U5" s="371"/>
      <c r="V5" s="371"/>
      <c r="W5" s="371"/>
      <c r="X5" s="371"/>
      <c r="Y5" s="371"/>
      <c r="Z5" s="371"/>
      <c r="AA5" s="371"/>
      <c r="AB5" s="371"/>
      <c r="AC5" s="371"/>
      <c r="AD5" s="371"/>
      <c r="AE5" s="371"/>
      <c r="AF5" s="371"/>
      <c r="AG5" s="371"/>
      <c r="AH5" s="371"/>
      <c r="AI5" s="371"/>
      <c r="AJ5" s="371"/>
      <c r="AK5" s="371"/>
      <c r="AL5" s="371"/>
      <c r="AM5" s="371"/>
      <c r="AN5" s="371"/>
      <c r="AO5" s="371"/>
      <c r="AP5" s="371"/>
      <c r="AQ5" s="371"/>
      <c r="AR5" s="371"/>
      <c r="AS5" s="371"/>
      <c r="AT5" s="371"/>
      <c r="AU5" s="371"/>
      <c r="AV5" s="371"/>
      <c r="AW5" s="371"/>
      <c r="AX5" s="371"/>
      <c r="AY5" s="371"/>
      <c r="AZ5" s="371"/>
      <c r="BA5" s="371"/>
      <c r="BB5" s="371"/>
      <c r="BC5" s="371"/>
      <c r="BD5" s="371"/>
      <c r="BE5" s="371"/>
      <c r="BF5" s="371"/>
      <c r="BG5" s="371"/>
      <c r="BH5" s="371"/>
      <c r="BI5" s="371"/>
      <c r="BJ5" s="371"/>
      <c r="BK5" s="371"/>
      <c r="BL5" s="371"/>
      <c r="BM5" s="371"/>
      <c r="BN5" s="371"/>
      <c r="BO5" s="371"/>
      <c r="BP5" s="371"/>
      <c r="BQ5" s="371"/>
      <c r="BR5" s="371"/>
      <c r="BS5" s="371"/>
      <c r="BT5" s="371"/>
      <c r="BU5" s="371"/>
      <c r="BV5" s="371"/>
      <c r="BW5" s="371"/>
      <c r="BX5" s="371"/>
      <c r="BY5" s="371"/>
      <c r="BZ5" s="371"/>
      <c r="CA5" s="371"/>
      <c r="CB5" s="371"/>
      <c r="CC5" s="371"/>
      <c r="CD5" s="371"/>
      <c r="CE5" s="371"/>
      <c r="CF5" s="371"/>
      <c r="CG5" s="371"/>
      <c r="CH5" s="371"/>
      <c r="CI5" s="371"/>
      <c r="CJ5" s="371"/>
      <c r="CK5" s="371"/>
      <c r="CL5" s="371"/>
      <c r="CM5" s="371"/>
      <c r="CN5" s="371"/>
      <c r="CO5" s="371"/>
      <c r="CP5" s="371"/>
      <c r="CQ5" s="371"/>
      <c r="CR5" s="371"/>
      <c r="CS5" s="371"/>
      <c r="CT5" s="371"/>
      <c r="CU5" s="371"/>
      <c r="CV5" s="371"/>
      <c r="CW5" s="371"/>
      <c r="CX5" s="371"/>
      <c r="CY5" s="371"/>
      <c r="CZ5" s="371"/>
      <c r="DA5" s="371"/>
      <c r="DB5" s="371"/>
      <c r="DC5" s="371"/>
      <c r="DD5" s="371"/>
      <c r="DE5" s="371"/>
      <c r="DF5" s="371"/>
      <c r="DG5" s="371"/>
      <c r="DH5" s="371"/>
      <c r="DI5" s="371"/>
      <c r="DJ5" s="371"/>
      <c r="DK5" s="371"/>
      <c r="DL5" s="371"/>
      <c r="DM5" s="371"/>
      <c r="DN5" s="371"/>
      <c r="DO5" s="371"/>
      <c r="DP5" s="371"/>
      <c r="DQ5" s="371"/>
      <c r="DR5" s="371"/>
      <c r="DS5" s="371"/>
      <c r="DT5" s="371"/>
      <c r="DU5" s="371"/>
      <c r="DV5" s="371"/>
      <c r="DW5" s="371"/>
      <c r="DX5" s="371"/>
      <c r="DY5" s="371"/>
      <c r="DZ5" s="371"/>
      <c r="EA5" s="371"/>
      <c r="EB5" s="371"/>
      <c r="EC5" s="371"/>
      <c r="ED5" s="371"/>
      <c r="EE5" s="371"/>
      <c r="EF5" s="371"/>
      <c r="EG5" s="371"/>
      <c r="EH5" s="371"/>
      <c r="EI5" s="371"/>
      <c r="EJ5" s="371"/>
      <c r="EK5" s="371"/>
      <c r="EL5" s="371"/>
      <c r="EM5" s="371"/>
      <c r="EN5" s="371"/>
      <c r="EO5" s="371"/>
      <c r="EP5" s="371"/>
      <c r="EQ5" s="371"/>
      <c r="ER5" s="371"/>
      <c r="ES5" s="371"/>
      <c r="ET5" s="371"/>
      <c r="EU5" s="371"/>
      <c r="EV5" s="371"/>
      <c r="EW5" s="371"/>
      <c r="EX5" s="371"/>
      <c r="EY5" s="371"/>
      <c r="EZ5" s="371"/>
      <c r="FA5" s="371"/>
      <c r="FB5" s="371"/>
      <c r="FC5" s="371"/>
      <c r="FD5" s="371"/>
      <c r="FE5" s="371"/>
      <c r="FF5" s="371"/>
      <c r="FG5" s="371"/>
      <c r="FH5" s="371"/>
      <c r="FI5" s="371"/>
      <c r="FJ5" s="371"/>
      <c r="FK5" s="371"/>
      <c r="FL5" s="371"/>
      <c r="FM5" s="371"/>
      <c r="FN5" s="371"/>
      <c r="FO5" s="371"/>
      <c r="FP5" s="371"/>
      <c r="FQ5" s="371"/>
      <c r="FR5" s="371"/>
      <c r="FS5" s="371"/>
      <c r="FT5" s="371"/>
      <c r="FU5" s="371"/>
      <c r="FV5" s="371"/>
      <c r="FW5" s="371"/>
      <c r="FX5" s="371"/>
      <c r="FY5" s="371"/>
      <c r="FZ5" s="371"/>
      <c r="GA5" s="371"/>
      <c r="GB5" s="371"/>
      <c r="GC5" s="371"/>
      <c r="GD5" s="371"/>
      <c r="GE5" s="371"/>
      <c r="GF5" s="371"/>
      <c r="GG5" s="371"/>
      <c r="GH5" s="371"/>
      <c r="GI5" s="371"/>
      <c r="GJ5" s="371"/>
      <c r="GK5" s="371"/>
      <c r="GL5" s="371"/>
      <c r="GM5" s="371"/>
      <c r="GN5" s="371"/>
      <c r="GO5" s="371"/>
      <c r="GP5" s="371"/>
      <c r="GQ5" s="371"/>
      <c r="GR5" s="371"/>
      <c r="GS5" s="371"/>
      <c r="GT5" s="371"/>
      <c r="GU5" s="371"/>
      <c r="GV5" s="371"/>
      <c r="GW5" s="371"/>
      <c r="GX5" s="371"/>
      <c r="GY5" s="371"/>
      <c r="GZ5" s="371"/>
      <c r="HA5" s="371"/>
      <c r="HB5" s="371"/>
      <c r="HC5" s="371"/>
      <c r="HD5" s="371"/>
      <c r="HE5" s="371"/>
      <c r="HF5" s="371"/>
      <c r="HG5" s="371"/>
      <c r="HH5" s="371"/>
      <c r="HI5" s="371"/>
      <c r="HJ5" s="371"/>
      <c r="HK5" s="371"/>
      <c r="HL5" s="371"/>
      <c r="HM5" s="371"/>
      <c r="HN5" s="371"/>
      <c r="HO5" s="371"/>
      <c r="HP5" s="371"/>
      <c r="HQ5" s="371"/>
      <c r="HR5" s="371"/>
      <c r="HS5" s="371"/>
      <c r="HT5" s="371"/>
      <c r="HU5" s="371"/>
      <c r="HV5" s="371"/>
      <c r="HW5" s="371"/>
      <c r="HX5" s="371"/>
      <c r="HY5" s="371"/>
      <c r="HZ5" s="371"/>
      <c r="IA5" s="371"/>
      <c r="IB5" s="371"/>
      <c r="IC5" s="371"/>
      <c r="ID5" s="371"/>
      <c r="IE5" s="371"/>
      <c r="IF5" s="371"/>
      <c r="IG5" s="371"/>
      <c r="IH5" s="371"/>
      <c r="II5" s="371"/>
      <c r="IJ5" s="371"/>
      <c r="IK5" s="371"/>
      <c r="IL5" s="371"/>
      <c r="IM5" s="371"/>
      <c r="IN5" s="371"/>
      <c r="IO5" s="371"/>
      <c r="IP5" s="371"/>
      <c r="IQ5" s="371"/>
      <c r="IR5" s="371"/>
      <c r="IS5" s="371"/>
      <c r="IT5" s="371"/>
      <c r="IU5" s="371"/>
      <c r="IV5" s="371"/>
      <c r="IW5" s="371"/>
    </row>
    <row r="6" customFormat="false" ht="12.75" hidden="false" customHeight="false" outlineLevel="0" collapsed="false">
      <c r="A6" s="370" t="n">
        <v>46218</v>
      </c>
      <c r="B6" s="388" t="s">
        <v>286</v>
      </c>
      <c r="D6" s="371" t="s">
        <v>287</v>
      </c>
      <c r="F6" s="372" t="n">
        <v>300</v>
      </c>
      <c r="G6" s="180" t="n">
        <f aca="false">IF((D6="d"),F6," ")</f>
        <v>300</v>
      </c>
      <c r="H6" s="180" t="str">
        <f aca="false">IF((D6="h"),F6," ")</f>
        <v> </v>
      </c>
      <c r="I6" s="180" t="str">
        <f aca="false">IF((D6="r"),F6," ")</f>
        <v> </v>
      </c>
      <c r="J6" s="180" t="str">
        <f aca="false">IF((D6="t"),F6," ")</f>
        <v> </v>
      </c>
      <c r="K6" s="180" t="str">
        <f aca="false">IF((D6="e"),F6," ")</f>
        <v> </v>
      </c>
      <c r="L6" s="180" t="str">
        <f aca="false">IF((D6="p"),F6," ")</f>
        <v> </v>
      </c>
      <c r="M6" s="180" t="str">
        <f aca="false">IF((D6="g"),F6," ")</f>
        <v> </v>
      </c>
      <c r="N6" s="180" t="str">
        <f aca="false">IF((D6="a"),F6," ")</f>
        <v> </v>
      </c>
      <c r="O6" s="180" t="str">
        <f aca="false">IF((D6="l"),F6," ")</f>
        <v> </v>
      </c>
      <c r="P6" s="180" t="str">
        <f aca="false">IF((D6="i"),F6," ")</f>
        <v> </v>
      </c>
      <c r="Q6" s="180" t="str">
        <f aca="false">IF((D6="b"),F6," ")</f>
        <v> </v>
      </c>
      <c r="R6" s="180" t="str">
        <f aca="false">IF((D6="o"),F6," ")</f>
        <v> </v>
      </c>
      <c r="S6" s="180" t="str">
        <f aca="false">IF((D6="f"),F6," ")</f>
        <v> </v>
      </c>
      <c r="U6" s="371"/>
    </row>
    <row r="7" customFormat="false" ht="12.75" hidden="false" customHeight="false" outlineLevel="0" collapsed="false">
      <c r="G7" s="180" t="str">
        <f aca="false">IF((D7="d"),F7," ")</f>
        <v> </v>
      </c>
      <c r="H7" s="180" t="str">
        <f aca="false">IF((D7="h"),F7," ")</f>
        <v> </v>
      </c>
      <c r="I7" s="180" t="str">
        <f aca="false">IF((D7="r"),F7," ")</f>
        <v> </v>
      </c>
      <c r="J7" s="180" t="str">
        <f aca="false">IF((D7="t"),F7," ")</f>
        <v> </v>
      </c>
      <c r="K7" s="180" t="str">
        <f aca="false">IF((D7="e"),F7," ")</f>
        <v> </v>
      </c>
      <c r="L7" s="180" t="str">
        <f aca="false">IF((D7="p"),F7," ")</f>
        <v> </v>
      </c>
      <c r="M7" s="180" t="str">
        <f aca="false">IF((D7="g"),F7," ")</f>
        <v> </v>
      </c>
      <c r="N7" s="180" t="str">
        <f aca="false">IF((D7="a"),F7," ")</f>
        <v> </v>
      </c>
      <c r="O7" s="180" t="str">
        <f aca="false">IF((D7="l"),F7," ")</f>
        <v> </v>
      </c>
      <c r="P7" s="180" t="str">
        <f aca="false">IF((D7="i"),F7," ")</f>
        <v> </v>
      </c>
      <c r="Q7" s="180" t="str">
        <f aca="false">IF((D7="b"),F7," ")</f>
        <v> </v>
      </c>
      <c r="R7" s="180" t="str">
        <f aca="false">IF((D7="o"),F7," ")</f>
        <v> </v>
      </c>
      <c r="S7" s="180" t="str">
        <f aca="false">IF((D7="f"),F7," ")</f>
        <v> </v>
      </c>
      <c r="U7" s="371"/>
    </row>
    <row r="8" customFormat="false" ht="12.75" hidden="false" customHeight="false" outlineLevel="0" collapsed="false">
      <c r="G8" s="180" t="str">
        <f aca="false">IF((D8="d"),F8," ")</f>
        <v> </v>
      </c>
      <c r="H8" s="180" t="str">
        <f aca="false">IF((D8="h"),F8," ")</f>
        <v> </v>
      </c>
      <c r="I8" s="180" t="str">
        <f aca="false">IF((D8="r"),F8," ")</f>
        <v> </v>
      </c>
      <c r="J8" s="180" t="str">
        <f aca="false">IF((D8="t"),F8," ")</f>
        <v> </v>
      </c>
      <c r="K8" s="180" t="str">
        <f aca="false">IF((D8="e"),F8," ")</f>
        <v> </v>
      </c>
      <c r="L8" s="180" t="str">
        <f aca="false">IF((D8="p"),F8," ")</f>
        <v> </v>
      </c>
      <c r="M8" s="180" t="str">
        <f aca="false">IF((D8="g"),F8," ")</f>
        <v> </v>
      </c>
      <c r="N8" s="180" t="str">
        <f aca="false">IF((D8="a"),F8," ")</f>
        <v> </v>
      </c>
      <c r="O8" s="180" t="str">
        <f aca="false">IF((D8="l"),F8," ")</f>
        <v> </v>
      </c>
      <c r="P8" s="180" t="str">
        <f aca="false">IF((D8="i"),F8," ")</f>
        <v> </v>
      </c>
      <c r="Q8" s="180" t="str">
        <f aca="false">IF((D8="b"),F8," ")</f>
        <v> </v>
      </c>
      <c r="R8" s="180" t="str">
        <f aca="false">IF((D8="o"),F8," ")</f>
        <v> </v>
      </c>
      <c r="S8" s="180" t="str">
        <f aca="false">IF((D8="f"),F8," ")</f>
        <v> </v>
      </c>
      <c r="U8" s="371"/>
    </row>
    <row r="9" customFormat="false" ht="12.75" hidden="false" customHeight="false" outlineLevel="0" collapsed="false">
      <c r="G9" s="180" t="str">
        <f aca="false">IF((D9="d"),F9," ")</f>
        <v> </v>
      </c>
      <c r="H9" s="180" t="str">
        <f aca="false">IF((D9="h"),F9," ")</f>
        <v> </v>
      </c>
      <c r="I9" s="180" t="str">
        <f aca="false">IF((D9="r"),F9," ")</f>
        <v> </v>
      </c>
      <c r="J9" s="180" t="str">
        <f aca="false">IF((D9="t"),F9," ")</f>
        <v> </v>
      </c>
      <c r="K9" s="180" t="str">
        <f aca="false">IF((D9="e"),F9," ")</f>
        <v> </v>
      </c>
      <c r="L9" s="180" t="str">
        <f aca="false">IF((D9="p"),F9," ")</f>
        <v> </v>
      </c>
      <c r="M9" s="180" t="str">
        <f aca="false">IF((D9="g"),F9," ")</f>
        <v> </v>
      </c>
      <c r="N9" s="180" t="str">
        <f aca="false">IF((D9="a"),F9," ")</f>
        <v> </v>
      </c>
      <c r="O9" s="180" t="str">
        <f aca="false">IF((D9="l"),F9," ")</f>
        <v> </v>
      </c>
      <c r="P9" s="180" t="str">
        <f aca="false">IF((D9="i"),F9," ")</f>
        <v> </v>
      </c>
      <c r="Q9" s="180" t="str">
        <f aca="false">IF((D9="b"),F9," ")</f>
        <v> </v>
      </c>
      <c r="R9" s="180" t="str">
        <f aca="false">IF((D9="o"),F9," ")</f>
        <v> </v>
      </c>
      <c r="S9" s="180" t="str">
        <f aca="false">IF((D9="f"),F9," ")</f>
        <v> </v>
      </c>
      <c r="U9" s="371"/>
    </row>
    <row r="10" customFormat="false" ht="12.75" hidden="false" customHeight="false" outlineLevel="0" collapsed="false">
      <c r="G10" s="180" t="str">
        <f aca="false">IF((D10="d"),F10," ")</f>
        <v> </v>
      </c>
      <c r="H10" s="180" t="str">
        <f aca="false">IF((D10="h"),F10," ")</f>
        <v> </v>
      </c>
      <c r="I10" s="180" t="str">
        <f aca="false">IF((D10="r"),F10," ")</f>
        <v> </v>
      </c>
      <c r="J10" s="180" t="str">
        <f aca="false">IF((D10="t"),F10," ")</f>
        <v> </v>
      </c>
      <c r="K10" s="180" t="str">
        <f aca="false">IF((D10="e"),F10," ")</f>
        <v> </v>
      </c>
      <c r="L10" s="180" t="str">
        <f aca="false">IF((D10="p"),F10," ")</f>
        <v> </v>
      </c>
      <c r="M10" s="180" t="str">
        <f aca="false">IF((D10="g"),F10," ")</f>
        <v> </v>
      </c>
      <c r="N10" s="180" t="str">
        <f aca="false">IF((D10="a"),F10," ")</f>
        <v> </v>
      </c>
      <c r="O10" s="180" t="str">
        <f aca="false">IF((D10="l"),F10," ")</f>
        <v> </v>
      </c>
      <c r="P10" s="180" t="str">
        <f aca="false">IF((D10="i"),F10," ")</f>
        <v> </v>
      </c>
      <c r="Q10" s="180" t="str">
        <f aca="false">IF((D10="b"),F10," ")</f>
        <v> </v>
      </c>
      <c r="R10" s="180" t="str">
        <f aca="false">IF((D10="o"),F10," ")</f>
        <v> </v>
      </c>
      <c r="S10" s="180" t="str">
        <f aca="false">IF((D10="f"),F10," ")</f>
        <v> </v>
      </c>
      <c r="U10" s="371"/>
    </row>
    <row r="11" customFormat="false" ht="12.75" hidden="false" customHeight="false" outlineLevel="0" collapsed="false">
      <c r="G11" s="180" t="str">
        <f aca="false">IF((D11="d"),F11," ")</f>
        <v> </v>
      </c>
      <c r="H11" s="180" t="str">
        <f aca="false">IF((D11="h"),F11," ")</f>
        <v> </v>
      </c>
      <c r="I11" s="180" t="str">
        <f aca="false">IF((D11="r"),F11," ")</f>
        <v> </v>
      </c>
      <c r="J11" s="180" t="str">
        <f aca="false">IF((D11="t"),F11," ")</f>
        <v> </v>
      </c>
      <c r="K11" s="180" t="str">
        <f aca="false">IF((D11="e"),F11," ")</f>
        <v> </v>
      </c>
      <c r="L11" s="180" t="str">
        <f aca="false">IF((D11="p"),F11," ")</f>
        <v> </v>
      </c>
      <c r="M11" s="180" t="str">
        <f aca="false">IF((D11="g"),F11," ")</f>
        <v> </v>
      </c>
      <c r="N11" s="180" t="str">
        <f aca="false">IF((D11="a"),F11," ")</f>
        <v> </v>
      </c>
      <c r="O11" s="180" t="str">
        <f aca="false">IF((D11="l"),F11," ")</f>
        <v> </v>
      </c>
      <c r="P11" s="180" t="str">
        <f aca="false">IF((D11="i"),F11," ")</f>
        <v> </v>
      </c>
      <c r="Q11" s="180" t="str">
        <f aca="false">IF((D11="b"),F11," ")</f>
        <v> </v>
      </c>
      <c r="R11" s="180" t="str">
        <f aca="false">IF((D11="o"),F11," ")</f>
        <v> </v>
      </c>
      <c r="S11" s="180" t="str">
        <f aca="false">IF((D11="f"),F11," ")</f>
        <v> </v>
      </c>
      <c r="U11" s="371"/>
    </row>
    <row r="12" customFormat="false" ht="12.75" hidden="false" customHeight="false" outlineLevel="0" collapsed="false">
      <c r="G12" s="180" t="str">
        <f aca="false">IF((D12="d"),F12," ")</f>
        <v> </v>
      </c>
      <c r="H12" s="180" t="str">
        <f aca="false">IF((D12="h"),F12," ")</f>
        <v> </v>
      </c>
      <c r="I12" s="180" t="str">
        <f aca="false">IF((D12="r"),F12," ")</f>
        <v> </v>
      </c>
      <c r="J12" s="180" t="str">
        <f aca="false">IF((D12="t"),F12," ")</f>
        <v> </v>
      </c>
      <c r="K12" s="180" t="str">
        <f aca="false">IF((D12="e"),F12," ")</f>
        <v> </v>
      </c>
      <c r="L12" s="180" t="str">
        <f aca="false">IF((D12="p"),F12," ")</f>
        <v> </v>
      </c>
      <c r="M12" s="180" t="str">
        <f aca="false">IF((D12="g"),F12," ")</f>
        <v> </v>
      </c>
      <c r="N12" s="180" t="str">
        <f aca="false">IF((D12="a"),F12," ")</f>
        <v> </v>
      </c>
      <c r="O12" s="180" t="str">
        <f aca="false">IF((D12="l"),F12," ")</f>
        <v> </v>
      </c>
      <c r="P12" s="180" t="str">
        <f aca="false">IF((D12="i"),F12," ")</f>
        <v> </v>
      </c>
      <c r="Q12" s="180" t="str">
        <f aca="false">IF((D12="b"),F12," ")</f>
        <v> </v>
      </c>
      <c r="R12" s="180" t="str">
        <f aca="false">IF((D12="o"),F12," ")</f>
        <v> </v>
      </c>
      <c r="S12" s="180" t="str">
        <f aca="false">IF((D12="f"),F12," ")</f>
        <v> </v>
      </c>
      <c r="U12" s="371"/>
    </row>
    <row r="13" customFormat="false" ht="12.75" hidden="false" customHeight="false" outlineLevel="0" collapsed="false">
      <c r="G13" s="180" t="str">
        <f aca="false">IF((D13="d"),F13," ")</f>
        <v> </v>
      </c>
      <c r="H13" s="180" t="str">
        <f aca="false">IF((D13="h"),F13," ")</f>
        <v> </v>
      </c>
      <c r="I13" s="180" t="str">
        <f aca="false">IF((D13="r"),F13," ")</f>
        <v> </v>
      </c>
      <c r="J13" s="180" t="str">
        <f aca="false">IF((D13="t"),F13," ")</f>
        <v> </v>
      </c>
      <c r="K13" s="180" t="str">
        <f aca="false">IF((D13="e"),F13," ")</f>
        <v> </v>
      </c>
      <c r="L13" s="180" t="str">
        <f aca="false">IF((D13="p"),F13," ")</f>
        <v> </v>
      </c>
      <c r="M13" s="180" t="str">
        <f aca="false">IF((D13="g"),F13," ")</f>
        <v> </v>
      </c>
      <c r="N13" s="180" t="str">
        <f aca="false">IF((D13="a"),F13," ")</f>
        <v> </v>
      </c>
      <c r="O13" s="180" t="str">
        <f aca="false">IF((D13="l"),F13," ")</f>
        <v> </v>
      </c>
      <c r="P13" s="180" t="str">
        <f aca="false">IF((D13="i"),F13," ")</f>
        <v> </v>
      </c>
      <c r="Q13" s="180" t="str">
        <f aca="false">IF((D13="b"),F13," ")</f>
        <v> </v>
      </c>
      <c r="R13" s="180" t="str">
        <f aca="false">IF((D13="o"),F13," ")</f>
        <v> </v>
      </c>
      <c r="S13" s="180" t="str">
        <f aca="false">IF((D13="f"),F13," ")</f>
        <v> </v>
      </c>
      <c r="U13" s="371"/>
    </row>
    <row r="14" customFormat="false" ht="12.75" hidden="false" customHeight="false" outlineLevel="0" collapsed="false">
      <c r="G14" s="180" t="str">
        <f aca="false">IF((D14="d"),F14," ")</f>
        <v> </v>
      </c>
      <c r="H14" s="180" t="str">
        <f aca="false">IF((D14="h"),F14," ")</f>
        <v> </v>
      </c>
      <c r="I14" s="180" t="str">
        <f aca="false">IF((D14="r"),F14," ")</f>
        <v> </v>
      </c>
      <c r="J14" s="180" t="str">
        <f aca="false">IF((D14="t"),F14," ")</f>
        <v> </v>
      </c>
      <c r="K14" s="180" t="str">
        <f aca="false">IF((D14="e"),F14," ")</f>
        <v> </v>
      </c>
      <c r="L14" s="180" t="str">
        <f aca="false">IF((D14="p"),F14," ")</f>
        <v> </v>
      </c>
      <c r="M14" s="180" t="str">
        <f aca="false">IF((D14="g"),F14," ")</f>
        <v> </v>
      </c>
      <c r="N14" s="180" t="str">
        <f aca="false">IF((D14="a"),F14," ")</f>
        <v> </v>
      </c>
      <c r="O14" s="180" t="str">
        <f aca="false">IF((D14="l"),F14," ")</f>
        <v> </v>
      </c>
      <c r="P14" s="180" t="str">
        <f aca="false">IF((D14="i"),F14," ")</f>
        <v> </v>
      </c>
      <c r="Q14" s="180" t="str">
        <f aca="false">IF((D14="b"),F14," ")</f>
        <v> </v>
      </c>
      <c r="R14" s="180" t="str">
        <f aca="false">IF((D14="o"),F14," ")</f>
        <v> </v>
      </c>
      <c r="S14" s="180" t="str">
        <f aca="false">IF((D14="f"),F14," ")</f>
        <v> </v>
      </c>
      <c r="U14" s="371"/>
    </row>
    <row r="15" customFormat="false" ht="12.75" hidden="false" customHeight="false" outlineLevel="0" collapsed="false">
      <c r="G15" s="180" t="str">
        <f aca="false">IF((D15="d"),F15," ")</f>
        <v> </v>
      </c>
      <c r="H15" s="180" t="str">
        <f aca="false">IF((D15="h"),F15," ")</f>
        <v> </v>
      </c>
      <c r="I15" s="180" t="str">
        <f aca="false">IF((D15="r"),F15," ")</f>
        <v> </v>
      </c>
      <c r="J15" s="180" t="str">
        <f aca="false">IF((D15="t"),F15," ")</f>
        <v> </v>
      </c>
      <c r="K15" s="180" t="str">
        <f aca="false">IF((D15="e"),F15," ")</f>
        <v> </v>
      </c>
      <c r="L15" s="180" t="str">
        <f aca="false">IF((D15="p"),F15," ")</f>
        <v> </v>
      </c>
      <c r="M15" s="180" t="str">
        <f aca="false">IF((D15="g"),F15," ")</f>
        <v> </v>
      </c>
      <c r="N15" s="180" t="str">
        <f aca="false">IF((D15="a"),F15," ")</f>
        <v> </v>
      </c>
      <c r="O15" s="180" t="str">
        <f aca="false">IF((D15="l"),F15," ")</f>
        <v> </v>
      </c>
      <c r="P15" s="180" t="str">
        <f aca="false">IF((D15="i"),F15," ")</f>
        <v> </v>
      </c>
      <c r="Q15" s="180" t="str">
        <f aca="false">IF((D15="b"),F15," ")</f>
        <v> </v>
      </c>
      <c r="R15" s="180" t="str">
        <f aca="false">IF((D15="o"),F15," ")</f>
        <v> </v>
      </c>
      <c r="S15" s="180" t="str">
        <f aca="false">IF((D15="f"),F15," ")</f>
        <v> </v>
      </c>
      <c r="U15" s="371"/>
    </row>
    <row r="16" customFormat="false" ht="12.75" hidden="false" customHeight="false" outlineLevel="0" collapsed="false">
      <c r="G16" s="180" t="str">
        <f aca="false">IF((D16="d"),F16," ")</f>
        <v> </v>
      </c>
      <c r="H16" s="180" t="str">
        <f aca="false">IF((D16="h"),F16," ")</f>
        <v> </v>
      </c>
      <c r="I16" s="180" t="str">
        <f aca="false">IF((D16="r"),F16," ")</f>
        <v> </v>
      </c>
      <c r="J16" s="180" t="str">
        <f aca="false">IF((D16="t"),F16," ")</f>
        <v> </v>
      </c>
      <c r="K16" s="180" t="str">
        <f aca="false">IF((D16="e"),F16," ")</f>
        <v> </v>
      </c>
      <c r="L16" s="180" t="str">
        <f aca="false">IF((D16="p"),F16," ")</f>
        <v> </v>
      </c>
      <c r="M16" s="180" t="str">
        <f aca="false">IF((D16="g"),F16," ")</f>
        <v> </v>
      </c>
      <c r="N16" s="180" t="str">
        <f aca="false">IF((D16="a"),F16," ")</f>
        <v> </v>
      </c>
      <c r="O16" s="180" t="str">
        <f aca="false">IF((D16="l"),F16," ")</f>
        <v> </v>
      </c>
      <c r="P16" s="180" t="str">
        <f aca="false">IF((D16="i"),F16," ")</f>
        <v> </v>
      </c>
      <c r="Q16" s="180" t="str">
        <f aca="false">IF((D16="b"),F16," ")</f>
        <v> </v>
      </c>
      <c r="R16" s="180" t="str">
        <f aca="false">IF((D16="o"),F16," ")</f>
        <v> </v>
      </c>
      <c r="S16" s="180" t="str">
        <f aca="false">IF((D16="f"),F16," ")</f>
        <v> </v>
      </c>
      <c r="U16" s="371"/>
    </row>
    <row r="17" customFormat="false" ht="12.75" hidden="false" customHeight="false" outlineLevel="0" collapsed="false">
      <c r="G17" s="180" t="str">
        <f aca="false">IF((D17="d"),F17," ")</f>
        <v> </v>
      </c>
      <c r="H17" s="180" t="str">
        <f aca="false">IF((D17="h"),F17," ")</f>
        <v> </v>
      </c>
      <c r="I17" s="180" t="str">
        <f aca="false">IF((D17="r"),F17," ")</f>
        <v> </v>
      </c>
      <c r="J17" s="180" t="str">
        <f aca="false">IF((D17="t"),F17," ")</f>
        <v> </v>
      </c>
      <c r="K17" s="180" t="str">
        <f aca="false">IF((D17="e"),F17," ")</f>
        <v> </v>
      </c>
      <c r="L17" s="180" t="str">
        <f aca="false">IF((D17="p"),F17," ")</f>
        <v> </v>
      </c>
      <c r="M17" s="180" t="str">
        <f aca="false">IF((D17="g"),F17," ")</f>
        <v> </v>
      </c>
      <c r="N17" s="180" t="str">
        <f aca="false">IF((D17="a"),F17," ")</f>
        <v> </v>
      </c>
      <c r="O17" s="180" t="str">
        <f aca="false">IF((D17="l"),F17," ")</f>
        <v> </v>
      </c>
      <c r="P17" s="180" t="str">
        <f aca="false">IF((D17="i"),F17," ")</f>
        <v> </v>
      </c>
      <c r="Q17" s="180" t="str">
        <f aca="false">IF((D17="b"),F17," ")</f>
        <v> </v>
      </c>
      <c r="R17" s="180" t="str">
        <f aca="false">IF((D17="o"),F17," ")</f>
        <v> </v>
      </c>
      <c r="S17" s="180" t="str">
        <f aca="false">IF((D17="f"),F17," ")</f>
        <v> </v>
      </c>
      <c r="U17" s="371"/>
    </row>
    <row r="18" customFormat="false" ht="12.75" hidden="false" customHeight="false" outlineLevel="0" collapsed="false">
      <c r="G18" s="180" t="str">
        <f aca="false">IF((D18="d"),F18," ")</f>
        <v> </v>
      </c>
      <c r="H18" s="180" t="str">
        <f aca="false">IF((D18="h"),F18," ")</f>
        <v> </v>
      </c>
      <c r="I18" s="180" t="str">
        <f aca="false">IF((D18="r"),F18," ")</f>
        <v> </v>
      </c>
      <c r="J18" s="180" t="str">
        <f aca="false">IF((D18="t"),F18," ")</f>
        <v> </v>
      </c>
      <c r="K18" s="180" t="str">
        <f aca="false">IF((D18="e"),F18," ")</f>
        <v> </v>
      </c>
      <c r="L18" s="180" t="str">
        <f aca="false">IF((D18="p"),F18," ")</f>
        <v> </v>
      </c>
      <c r="M18" s="180" t="str">
        <f aca="false">IF((D18="g"),F18," ")</f>
        <v> </v>
      </c>
      <c r="N18" s="180" t="str">
        <f aca="false">IF((D18="a"),F18," ")</f>
        <v> </v>
      </c>
      <c r="O18" s="180" t="str">
        <f aca="false">IF((D18="l"),F18," ")</f>
        <v> </v>
      </c>
      <c r="P18" s="180" t="str">
        <f aca="false">IF((D18="i"),F18," ")</f>
        <v> </v>
      </c>
      <c r="Q18" s="180" t="str">
        <f aca="false">IF((D18="b"),F18," ")</f>
        <v> </v>
      </c>
      <c r="R18" s="180" t="str">
        <f aca="false">IF((D18="o"),F18," ")</f>
        <v> </v>
      </c>
      <c r="S18" s="180" t="str">
        <f aca="false">IF((D18="f"),F18," ")</f>
        <v> </v>
      </c>
      <c r="U18" s="371"/>
    </row>
    <row r="19" customFormat="false" ht="12.75" hidden="false" customHeight="false" outlineLevel="0" collapsed="false">
      <c r="G19" s="180" t="str">
        <f aca="false">IF((D19="d"),F19," ")</f>
        <v> </v>
      </c>
      <c r="H19" s="180" t="str">
        <f aca="false">IF((D19="h"),F19," ")</f>
        <v> </v>
      </c>
      <c r="I19" s="180" t="str">
        <f aca="false">IF((D19="r"),F19," ")</f>
        <v> </v>
      </c>
      <c r="J19" s="180" t="str">
        <f aca="false">IF((D19="t"),F19," ")</f>
        <v> </v>
      </c>
      <c r="K19" s="180" t="str">
        <f aca="false">IF((D19="e"),F19," ")</f>
        <v> </v>
      </c>
      <c r="L19" s="180" t="str">
        <f aca="false">IF((D19="p"),F19," ")</f>
        <v> </v>
      </c>
      <c r="M19" s="180" t="str">
        <f aca="false">IF((D19="g"),F19," ")</f>
        <v> </v>
      </c>
      <c r="N19" s="180" t="str">
        <f aca="false">IF((D19="a"),F19," ")</f>
        <v> </v>
      </c>
      <c r="O19" s="180" t="str">
        <f aca="false">IF((D19="l"),F19," ")</f>
        <v> </v>
      </c>
      <c r="P19" s="180" t="str">
        <f aca="false">IF((D19="i"),F19," ")</f>
        <v> </v>
      </c>
      <c r="Q19" s="180" t="str">
        <f aca="false">IF((D19="b"),F19," ")</f>
        <v> </v>
      </c>
      <c r="R19" s="180" t="str">
        <f aca="false">IF((D19="o"),F19," ")</f>
        <v> </v>
      </c>
      <c r="S19" s="180" t="str">
        <f aca="false">IF((D19="f"),F19," ")</f>
        <v> </v>
      </c>
      <c r="U19" s="371"/>
    </row>
    <row r="20" customFormat="false" ht="12.75" hidden="false" customHeight="false" outlineLevel="0" collapsed="false">
      <c r="G20" s="180" t="str">
        <f aca="false">IF((D20="d"),F20," ")</f>
        <v> </v>
      </c>
      <c r="H20" s="180" t="str">
        <f aca="false">IF((D20="h"),F20," ")</f>
        <v> </v>
      </c>
      <c r="I20" s="180" t="str">
        <f aca="false">IF((D20="r"),F20," ")</f>
        <v> </v>
      </c>
      <c r="J20" s="180" t="str">
        <f aca="false">IF((D20="t"),F20," ")</f>
        <v> </v>
      </c>
      <c r="K20" s="180" t="str">
        <f aca="false">IF((D20="e"),F20," ")</f>
        <v> </v>
      </c>
      <c r="L20" s="180" t="str">
        <f aca="false">IF((D20="p"),F20," ")</f>
        <v> </v>
      </c>
      <c r="M20" s="180" t="str">
        <f aca="false">IF((D20="g"),F20," ")</f>
        <v> </v>
      </c>
      <c r="N20" s="180" t="str">
        <f aca="false">IF((D20="a"),F20," ")</f>
        <v> </v>
      </c>
      <c r="O20" s="180" t="str">
        <f aca="false">IF((D20="l"),F20," ")</f>
        <v> </v>
      </c>
      <c r="P20" s="180" t="str">
        <f aca="false">IF((D20="i"),F20," ")</f>
        <v> </v>
      </c>
      <c r="Q20" s="180" t="str">
        <f aca="false">IF((D20="b"),F20," ")</f>
        <v> </v>
      </c>
      <c r="R20" s="180" t="str">
        <f aca="false">IF((D20="o"),F20," ")</f>
        <v> </v>
      </c>
      <c r="S20" s="180" t="str">
        <f aca="false">IF((D20="f"),F20," ")</f>
        <v> </v>
      </c>
      <c r="U20" s="371"/>
    </row>
    <row r="21" customFormat="false" ht="12.75" hidden="false" customHeight="false" outlineLevel="0" collapsed="false">
      <c r="G21" s="180" t="str">
        <f aca="false">IF((D21="d"),F21," ")</f>
        <v> </v>
      </c>
      <c r="H21" s="180" t="str">
        <f aca="false">IF((D21="h"),F21," ")</f>
        <v> </v>
      </c>
      <c r="I21" s="180" t="str">
        <f aca="false">IF((D21="r"),F21," ")</f>
        <v> </v>
      </c>
      <c r="J21" s="180" t="str">
        <f aca="false">IF((D21="t"),F21," ")</f>
        <v> </v>
      </c>
      <c r="K21" s="180" t="str">
        <f aca="false">IF((D21="e"),F21," ")</f>
        <v> </v>
      </c>
      <c r="L21" s="180" t="str">
        <f aca="false">IF((D21="p"),F21," ")</f>
        <v> </v>
      </c>
      <c r="M21" s="180" t="str">
        <f aca="false">IF((D21="g"),F21," ")</f>
        <v> </v>
      </c>
      <c r="N21" s="180" t="str">
        <f aca="false">IF((D21="a"),F21," ")</f>
        <v> </v>
      </c>
      <c r="O21" s="180" t="str">
        <f aca="false">IF((D21="l"),F21," ")</f>
        <v> </v>
      </c>
      <c r="P21" s="180" t="str">
        <f aca="false">IF((D21="i"),F21," ")</f>
        <v> </v>
      </c>
      <c r="Q21" s="180" t="str">
        <f aca="false">IF((D21="b"),F21," ")</f>
        <v> </v>
      </c>
      <c r="R21" s="180" t="str">
        <f aca="false">IF((D21="o"),F21," ")</f>
        <v> </v>
      </c>
      <c r="S21" s="180" t="str">
        <f aca="false">IF((D21="f"),F21," ")</f>
        <v> </v>
      </c>
      <c r="U21" s="371"/>
    </row>
    <row r="22" customFormat="false" ht="12.75" hidden="false" customHeight="false" outlineLevel="0" collapsed="false">
      <c r="G22" s="180" t="str">
        <f aca="false">IF((D22="d"),F22," ")</f>
        <v> </v>
      </c>
      <c r="H22" s="180" t="str">
        <f aca="false">IF((D22="h"),F22," ")</f>
        <v> </v>
      </c>
      <c r="I22" s="180" t="str">
        <f aca="false">IF((D22="r"),F22," ")</f>
        <v> </v>
      </c>
      <c r="J22" s="180" t="str">
        <f aca="false">IF((D22="t"),F22," ")</f>
        <v> </v>
      </c>
      <c r="K22" s="180" t="str">
        <f aca="false">IF((D22="e"),F22," ")</f>
        <v> </v>
      </c>
      <c r="L22" s="180" t="str">
        <f aca="false">IF((D22="p"),F22," ")</f>
        <v> </v>
      </c>
      <c r="M22" s="180" t="str">
        <f aca="false">IF((D22="g"),F22," ")</f>
        <v> </v>
      </c>
      <c r="N22" s="180" t="str">
        <f aca="false">IF((D22="a"),F22," ")</f>
        <v> </v>
      </c>
      <c r="O22" s="180" t="str">
        <f aca="false">IF((D22="l"),F22," ")</f>
        <v> </v>
      </c>
      <c r="P22" s="180" t="str">
        <f aca="false">IF((D22="i"),F22," ")</f>
        <v> </v>
      </c>
      <c r="Q22" s="180" t="str">
        <f aca="false">IF((D22="b"),F22," ")</f>
        <v> </v>
      </c>
      <c r="R22" s="180" t="str">
        <f aca="false">IF((D22="o"),F22," ")</f>
        <v> </v>
      </c>
      <c r="S22" s="180" t="str">
        <f aca="false">IF((D22="f"),F22," ")</f>
        <v> </v>
      </c>
      <c r="U22" s="371"/>
    </row>
    <row r="23" customFormat="false" ht="12.75" hidden="false" customHeight="false" outlineLevel="0" collapsed="false">
      <c r="G23" s="180" t="str">
        <f aca="false">IF((D23="d"),F23," ")</f>
        <v> </v>
      </c>
      <c r="H23" s="180" t="str">
        <f aca="false">IF((D23="h"),F23," ")</f>
        <v> </v>
      </c>
      <c r="I23" s="180" t="str">
        <f aca="false">IF((D23="r"),F23," ")</f>
        <v> </v>
      </c>
      <c r="J23" s="180" t="str">
        <f aca="false">IF((D23="t"),F23," ")</f>
        <v> </v>
      </c>
      <c r="K23" s="180" t="str">
        <f aca="false">IF((D23="e"),F23," ")</f>
        <v> </v>
      </c>
      <c r="L23" s="180" t="str">
        <f aca="false">IF((D23="p"),F23," ")</f>
        <v> </v>
      </c>
      <c r="M23" s="180" t="str">
        <f aca="false">IF((D23="g"),F23," ")</f>
        <v> </v>
      </c>
      <c r="N23" s="180" t="str">
        <f aca="false">IF((D23="a"),F23," ")</f>
        <v> </v>
      </c>
      <c r="O23" s="180" t="str">
        <f aca="false">IF((D23="l"),F23," ")</f>
        <v> </v>
      </c>
      <c r="P23" s="180" t="str">
        <f aca="false">IF((D23="i"),F23," ")</f>
        <v> </v>
      </c>
      <c r="Q23" s="180" t="str">
        <f aca="false">IF((D23="b"),F23," ")</f>
        <v> </v>
      </c>
      <c r="R23" s="180" t="str">
        <f aca="false">IF((D23="o"),F23," ")</f>
        <v> </v>
      </c>
      <c r="S23" s="180" t="str">
        <f aca="false">IF((D23="f"),F23," ")</f>
        <v> </v>
      </c>
      <c r="U23" s="371"/>
    </row>
    <row r="24" customFormat="false" ht="12.75" hidden="false" customHeight="false" outlineLevel="0" collapsed="false">
      <c r="G24" s="180" t="str">
        <f aca="false">IF((D24="d"),F24," ")</f>
        <v> </v>
      </c>
      <c r="H24" s="180" t="str">
        <f aca="false">IF((D24="h"),F24," ")</f>
        <v> </v>
      </c>
      <c r="I24" s="180" t="str">
        <f aca="false">IF((D24="r"),F24," ")</f>
        <v> </v>
      </c>
      <c r="J24" s="180" t="str">
        <f aca="false">IF((D24="t"),F24," ")</f>
        <v> </v>
      </c>
      <c r="K24" s="180" t="str">
        <f aca="false">IF((D24="e"),F24," ")</f>
        <v> </v>
      </c>
      <c r="L24" s="180" t="str">
        <f aca="false">IF((D24="p"),F24," ")</f>
        <v> </v>
      </c>
      <c r="M24" s="180" t="str">
        <f aca="false">IF((D24="g"),F24," ")</f>
        <v> </v>
      </c>
      <c r="N24" s="180" t="str">
        <f aca="false">IF((D24="a"),F24," ")</f>
        <v> </v>
      </c>
      <c r="O24" s="180" t="str">
        <f aca="false">IF((D24="l"),F24," ")</f>
        <v> </v>
      </c>
      <c r="P24" s="180" t="str">
        <f aca="false">IF((D24="i"),F24," ")</f>
        <v> </v>
      </c>
      <c r="Q24" s="180" t="str">
        <f aca="false">IF((D24="b"),F24," ")</f>
        <v> </v>
      </c>
      <c r="R24" s="180" t="str">
        <f aca="false">IF((D24="o"),F24," ")</f>
        <v> </v>
      </c>
      <c r="S24" s="180" t="str">
        <f aca="false">IF((D24="f"),F24," ")</f>
        <v> </v>
      </c>
      <c r="U24" s="371"/>
    </row>
    <row r="25" customFormat="false" ht="12.75" hidden="false" customHeight="false" outlineLevel="0" collapsed="false">
      <c r="G25" s="180" t="str">
        <f aca="false">IF((D25="d"),F25," ")</f>
        <v> </v>
      </c>
      <c r="H25" s="180" t="str">
        <f aca="false">IF((D25="h"),F25," ")</f>
        <v> </v>
      </c>
      <c r="I25" s="180" t="str">
        <f aca="false">IF((D25="r"),F25," ")</f>
        <v> </v>
      </c>
      <c r="J25" s="180" t="str">
        <f aca="false">IF((D25="t"),F25," ")</f>
        <v> </v>
      </c>
      <c r="K25" s="180" t="str">
        <f aca="false">IF((D25="e"),F25," ")</f>
        <v> </v>
      </c>
      <c r="L25" s="180" t="str">
        <f aca="false">IF((D25="p"),F25," ")</f>
        <v> </v>
      </c>
      <c r="M25" s="180" t="str">
        <f aca="false">IF((D25="g"),F25," ")</f>
        <v> </v>
      </c>
      <c r="N25" s="180" t="str">
        <f aca="false">IF((D25="a"),F25," ")</f>
        <v> </v>
      </c>
      <c r="O25" s="180" t="str">
        <f aca="false">IF((D25="l"),F25," ")</f>
        <v> </v>
      </c>
      <c r="P25" s="180" t="str">
        <f aca="false">IF((D25="i"),F25," ")</f>
        <v> </v>
      </c>
      <c r="Q25" s="180" t="str">
        <f aca="false">IF((D25="b"),F25," ")</f>
        <v> </v>
      </c>
      <c r="R25" s="180" t="str">
        <f aca="false">IF((D25="o"),F25," ")</f>
        <v> </v>
      </c>
      <c r="S25" s="180" t="str">
        <f aca="false">IF((D25="f"),F25," ")</f>
        <v> </v>
      </c>
      <c r="U25" s="371"/>
    </row>
    <row r="26" customFormat="false" ht="12.75" hidden="false" customHeight="false" outlineLevel="0" collapsed="false">
      <c r="G26" s="180" t="str">
        <f aca="false">IF((D26="d"),F26," ")</f>
        <v> </v>
      </c>
      <c r="H26" s="180" t="str">
        <f aca="false">IF((D26="h"),F26," ")</f>
        <v> </v>
      </c>
      <c r="I26" s="180" t="str">
        <f aca="false">IF((D26="r"),F26," ")</f>
        <v> </v>
      </c>
      <c r="J26" s="180" t="str">
        <f aca="false">IF((D26="t"),F26," ")</f>
        <v> </v>
      </c>
      <c r="K26" s="180" t="str">
        <f aca="false">IF((D26="e"),F26," ")</f>
        <v> </v>
      </c>
      <c r="L26" s="180" t="str">
        <f aca="false">IF((D26="p"),F26," ")</f>
        <v> </v>
      </c>
      <c r="M26" s="180" t="str">
        <f aca="false">IF((D26="g"),F26," ")</f>
        <v> </v>
      </c>
      <c r="N26" s="180" t="str">
        <f aca="false">IF((D26="a"),F26," ")</f>
        <v> </v>
      </c>
      <c r="O26" s="180" t="str">
        <f aca="false">IF((D26="l"),F26," ")</f>
        <v> </v>
      </c>
      <c r="P26" s="180" t="str">
        <f aca="false">IF((D26="i"),F26," ")</f>
        <v> </v>
      </c>
      <c r="Q26" s="180" t="str">
        <f aca="false">IF((D26="b"),F26," ")</f>
        <v> </v>
      </c>
      <c r="R26" s="180" t="str">
        <f aca="false">IF((D26="o"),F26," ")</f>
        <v> </v>
      </c>
      <c r="S26" s="180" t="str">
        <f aca="false">IF((D26="f"),F26," ")</f>
        <v> </v>
      </c>
      <c r="U26" s="371"/>
    </row>
    <row r="27" customFormat="false" ht="12.75" hidden="false" customHeight="false" outlineLevel="0" collapsed="false">
      <c r="G27" s="180" t="str">
        <f aca="false">IF((D27="d"),F27," ")</f>
        <v> </v>
      </c>
      <c r="H27" s="180" t="str">
        <f aca="false">IF((D27="h"),F27," ")</f>
        <v> </v>
      </c>
      <c r="I27" s="180" t="str">
        <f aca="false">IF((D27="r"),F27," ")</f>
        <v> </v>
      </c>
      <c r="J27" s="180" t="str">
        <f aca="false">IF((D27="t"),F27," ")</f>
        <v> </v>
      </c>
      <c r="K27" s="180" t="str">
        <f aca="false">IF((D27="e"),F27," ")</f>
        <v> </v>
      </c>
      <c r="L27" s="180" t="str">
        <f aca="false">IF((D27="p"),F27," ")</f>
        <v> </v>
      </c>
      <c r="M27" s="180" t="str">
        <f aca="false">IF((D27="g"),F27," ")</f>
        <v> </v>
      </c>
      <c r="N27" s="180" t="str">
        <f aca="false">IF((D27="a"),F27," ")</f>
        <v> </v>
      </c>
      <c r="O27" s="180" t="str">
        <f aca="false">IF((D27="l"),F27," ")</f>
        <v> </v>
      </c>
      <c r="P27" s="180" t="str">
        <f aca="false">IF((D27="i"),F27," ")</f>
        <v> </v>
      </c>
      <c r="Q27" s="180" t="str">
        <f aca="false">IF((D27="b"),F27," ")</f>
        <v> </v>
      </c>
      <c r="R27" s="180" t="str">
        <f aca="false">IF((D27="o"),F27," ")</f>
        <v> </v>
      </c>
      <c r="S27" s="180" t="str">
        <f aca="false">IF((D27="f"),F27," ")</f>
        <v> </v>
      </c>
      <c r="U27" s="371"/>
    </row>
    <row r="28" customFormat="false" ht="12.75" hidden="false" customHeight="false" outlineLevel="0" collapsed="false">
      <c r="G28" s="180" t="str">
        <f aca="false">IF((D28="d"),F28," ")</f>
        <v> </v>
      </c>
      <c r="H28" s="180" t="str">
        <f aca="false">IF((D28="h"),F28," ")</f>
        <v> </v>
      </c>
      <c r="I28" s="180" t="str">
        <f aca="false">IF((D28="r"),F28," ")</f>
        <v> </v>
      </c>
      <c r="J28" s="180" t="str">
        <f aca="false">IF((D28="t"),F28," ")</f>
        <v> </v>
      </c>
      <c r="K28" s="180" t="str">
        <f aca="false">IF((D28="e"),F28," ")</f>
        <v> </v>
      </c>
      <c r="L28" s="180" t="str">
        <f aca="false">IF((D28="p"),F28," ")</f>
        <v> </v>
      </c>
      <c r="M28" s="180" t="str">
        <f aca="false">IF((D28="g"),F28," ")</f>
        <v> </v>
      </c>
      <c r="N28" s="180" t="str">
        <f aca="false">IF((D28="a"),F28," ")</f>
        <v> </v>
      </c>
      <c r="O28" s="180" t="str">
        <f aca="false">IF((D28="l"),F28," ")</f>
        <v> </v>
      </c>
      <c r="P28" s="180" t="str">
        <f aca="false">IF((D28="i"),F28," ")</f>
        <v> </v>
      </c>
      <c r="Q28" s="180" t="str">
        <f aca="false">IF((D28="b"),F28," ")</f>
        <v> </v>
      </c>
      <c r="R28" s="180" t="str">
        <f aca="false">IF((D28="o"),F28," ")</f>
        <v> </v>
      </c>
      <c r="S28" s="180" t="str">
        <f aca="false">IF((D28="f"),F28," ")</f>
        <v> </v>
      </c>
      <c r="U28" s="371"/>
    </row>
    <row r="29" customFormat="false" ht="12.75" hidden="false" customHeight="false" outlineLevel="0" collapsed="false">
      <c r="G29" s="180" t="str">
        <f aca="false">IF((D29="d"),F29," ")</f>
        <v> </v>
      </c>
      <c r="H29" s="180" t="str">
        <f aca="false">IF((D29="h"),F29," ")</f>
        <v> </v>
      </c>
      <c r="I29" s="180" t="str">
        <f aca="false">IF((D29="r"),F29," ")</f>
        <v> </v>
      </c>
      <c r="J29" s="180" t="str">
        <f aca="false">IF((D29="t"),F29," ")</f>
        <v> </v>
      </c>
      <c r="K29" s="180" t="str">
        <f aca="false">IF((D29="e"),F29," ")</f>
        <v> </v>
      </c>
      <c r="L29" s="180" t="str">
        <f aca="false">IF((D29="p"),F29," ")</f>
        <v> </v>
      </c>
      <c r="M29" s="180" t="str">
        <f aca="false">IF((D29="g"),F29," ")</f>
        <v> </v>
      </c>
      <c r="N29" s="180" t="str">
        <f aca="false">IF((D29="a"),F29," ")</f>
        <v> </v>
      </c>
      <c r="O29" s="180" t="str">
        <f aca="false">IF((D29="l"),F29," ")</f>
        <v> </v>
      </c>
      <c r="P29" s="180" t="str">
        <f aca="false">IF((D29="i"),F29," ")</f>
        <v> </v>
      </c>
      <c r="Q29" s="180" t="str">
        <f aca="false">IF((D29="b"),F29," ")</f>
        <v> </v>
      </c>
      <c r="R29" s="180" t="str">
        <f aca="false">IF((D29="o"),F29," ")</f>
        <v> </v>
      </c>
      <c r="S29" s="180" t="str">
        <f aca="false">IF((D29="f"),F29," ")</f>
        <v> </v>
      </c>
      <c r="U29" s="371"/>
    </row>
    <row r="30" customFormat="false" ht="12.75" hidden="false" customHeight="false" outlineLevel="0" collapsed="false">
      <c r="G30" s="180" t="str">
        <f aca="false">IF((D30="d"),F30," ")</f>
        <v> </v>
      </c>
      <c r="H30" s="180" t="str">
        <f aca="false">IF((D30="h"),F30," ")</f>
        <v> </v>
      </c>
      <c r="I30" s="180" t="str">
        <f aca="false">IF((D30="r"),F30," ")</f>
        <v> </v>
      </c>
      <c r="J30" s="180" t="str">
        <f aca="false">IF((D30="t"),F30," ")</f>
        <v> </v>
      </c>
      <c r="K30" s="180" t="str">
        <f aca="false">IF((D30="e"),F30," ")</f>
        <v> </v>
      </c>
      <c r="L30" s="180" t="str">
        <f aca="false">IF((D30="p"),F30," ")</f>
        <v> </v>
      </c>
      <c r="M30" s="180" t="str">
        <f aca="false">IF((D30="g"),F30," ")</f>
        <v> </v>
      </c>
      <c r="N30" s="180" t="str">
        <f aca="false">IF((D30="a"),F30," ")</f>
        <v> </v>
      </c>
      <c r="O30" s="180" t="str">
        <f aca="false">IF((D30="l"),F30," ")</f>
        <v> </v>
      </c>
      <c r="P30" s="180" t="str">
        <f aca="false">IF((D30="i"),F30," ")</f>
        <v> </v>
      </c>
      <c r="Q30" s="180" t="str">
        <f aca="false">IF((D30="b"),F30," ")</f>
        <v> </v>
      </c>
      <c r="R30" s="180" t="str">
        <f aca="false">IF((D30="o"),F30," ")</f>
        <v> </v>
      </c>
      <c r="S30" s="180" t="str">
        <f aca="false">IF((D30="f"),F30," ")</f>
        <v> </v>
      </c>
      <c r="U30" s="371"/>
    </row>
    <row r="31" customFormat="false" ht="12.75" hidden="false" customHeight="false" outlineLevel="0" collapsed="false">
      <c r="G31" s="180" t="str">
        <f aca="false">IF((D31="d"),F31," ")</f>
        <v> </v>
      </c>
      <c r="H31" s="180" t="str">
        <f aca="false">IF((D31="h"),F31," ")</f>
        <v> </v>
      </c>
      <c r="I31" s="180" t="str">
        <f aca="false">IF((D31="r"),F31," ")</f>
        <v> </v>
      </c>
      <c r="J31" s="180" t="str">
        <f aca="false">IF((D31="t"),F31," ")</f>
        <v> </v>
      </c>
      <c r="K31" s="180" t="str">
        <f aca="false">IF((D31="e"),F31," ")</f>
        <v> </v>
      </c>
      <c r="L31" s="180" t="str">
        <f aca="false">IF((D31="p"),F31," ")</f>
        <v> </v>
      </c>
      <c r="M31" s="180" t="str">
        <f aca="false">IF((D31="g"),F31," ")</f>
        <v> </v>
      </c>
      <c r="N31" s="180" t="str">
        <f aca="false">IF((D31="a"),F31," ")</f>
        <v> </v>
      </c>
      <c r="O31" s="180" t="str">
        <f aca="false">IF((D31="l"),F31," ")</f>
        <v> </v>
      </c>
      <c r="P31" s="180" t="str">
        <f aca="false">IF((D31="i"),F31," ")</f>
        <v> </v>
      </c>
      <c r="Q31" s="180" t="str">
        <f aca="false">IF((D31="b"),F31," ")</f>
        <v> </v>
      </c>
      <c r="R31" s="180" t="str">
        <f aca="false">IF((D31="o"),F31," ")</f>
        <v> </v>
      </c>
      <c r="S31" s="180" t="str">
        <f aca="false">IF((D31="f"),F31," ")</f>
        <v> </v>
      </c>
      <c r="U31" s="371"/>
    </row>
    <row r="32" customFormat="false" ht="12.75" hidden="false" customHeight="false" outlineLevel="0" collapsed="false">
      <c r="G32" s="180" t="str">
        <f aca="false">IF((D32="d"),F32," ")</f>
        <v> </v>
      </c>
      <c r="H32" s="180" t="str">
        <f aca="false">IF((D32="h"),F32," ")</f>
        <v> </v>
      </c>
      <c r="I32" s="180" t="str">
        <f aca="false">IF((D32="r"),F32," ")</f>
        <v> </v>
      </c>
      <c r="J32" s="180" t="str">
        <f aca="false">IF((D32="t"),F32," ")</f>
        <v> </v>
      </c>
      <c r="K32" s="180" t="str">
        <f aca="false">IF((D32="e"),F32," ")</f>
        <v> </v>
      </c>
      <c r="L32" s="180" t="str">
        <f aca="false">IF((D32="p"),F32," ")</f>
        <v> </v>
      </c>
      <c r="M32" s="180" t="str">
        <f aca="false">IF((D32="g"),F32," ")</f>
        <v> </v>
      </c>
      <c r="N32" s="180" t="str">
        <f aca="false">IF((D32="a"),F32," ")</f>
        <v> </v>
      </c>
      <c r="O32" s="180" t="str">
        <f aca="false">IF((D32="l"),F32," ")</f>
        <v> </v>
      </c>
      <c r="P32" s="180" t="str">
        <f aca="false">IF((D32="i"),F32," ")</f>
        <v> </v>
      </c>
      <c r="Q32" s="180" t="str">
        <f aca="false">IF((D32="b"),F32," ")</f>
        <v> </v>
      </c>
      <c r="R32" s="180" t="str">
        <f aca="false">IF((D32="o"),F32," ")</f>
        <v> </v>
      </c>
      <c r="S32" s="180" t="str">
        <f aca="false">IF((D32="f"),F32," ")</f>
        <v> </v>
      </c>
      <c r="U32" s="371"/>
    </row>
    <row r="33" customFormat="false" ht="12.75" hidden="false" customHeight="false" outlineLevel="0" collapsed="false">
      <c r="G33" s="180" t="str">
        <f aca="false">IF((D33="d"),F33," ")</f>
        <v> </v>
      </c>
      <c r="H33" s="180" t="str">
        <f aca="false">IF((D33="h"),F33," ")</f>
        <v> </v>
      </c>
      <c r="I33" s="180" t="str">
        <f aca="false">IF((D33="r"),F33," ")</f>
        <v> </v>
      </c>
      <c r="J33" s="180" t="str">
        <f aca="false">IF((D33="t"),F33," ")</f>
        <v> </v>
      </c>
      <c r="K33" s="180" t="str">
        <f aca="false">IF((D33="e"),F33," ")</f>
        <v> </v>
      </c>
      <c r="L33" s="180" t="str">
        <f aca="false">IF((D33="p"),F33," ")</f>
        <v> </v>
      </c>
      <c r="M33" s="180" t="str">
        <f aca="false">IF((D33="g"),F33," ")</f>
        <v> </v>
      </c>
      <c r="N33" s="180" t="str">
        <f aca="false">IF((D33="a"),F33," ")</f>
        <v> </v>
      </c>
      <c r="O33" s="180" t="str">
        <f aca="false">IF((D33="l"),F33," ")</f>
        <v> </v>
      </c>
      <c r="P33" s="180" t="str">
        <f aca="false">IF((D33="i"),F33," ")</f>
        <v> </v>
      </c>
      <c r="Q33" s="180" t="str">
        <f aca="false">IF((D33="b"),F33," ")</f>
        <v> </v>
      </c>
      <c r="R33" s="180" t="str">
        <f aca="false">IF((D33="o"),F33," ")</f>
        <v> </v>
      </c>
      <c r="S33" s="180" t="str">
        <f aca="false">IF((D33="f"),F33," ")</f>
        <v> </v>
      </c>
      <c r="U33" s="371"/>
    </row>
    <row r="34" customFormat="false" ht="12.75" hidden="false" customHeight="false" outlineLevel="0" collapsed="false">
      <c r="G34" s="180" t="str">
        <f aca="false">IF((D34="d"),F34," ")</f>
        <v> </v>
      </c>
      <c r="H34" s="180" t="str">
        <f aca="false">IF((D34="h"),F34," ")</f>
        <v> </v>
      </c>
      <c r="I34" s="180" t="str">
        <f aca="false">IF((D34="r"),F34," ")</f>
        <v> </v>
      </c>
      <c r="J34" s="180" t="str">
        <f aca="false">IF((D34="t"),F34," ")</f>
        <v> </v>
      </c>
      <c r="K34" s="180" t="str">
        <f aca="false">IF((D34="e"),F34," ")</f>
        <v> </v>
      </c>
      <c r="L34" s="180" t="str">
        <f aca="false">IF((D34="p"),F34," ")</f>
        <v> </v>
      </c>
      <c r="M34" s="180" t="str">
        <f aca="false">IF((D34="g"),F34," ")</f>
        <v> </v>
      </c>
      <c r="N34" s="180" t="str">
        <f aca="false">IF((D34="a"),F34," ")</f>
        <v> </v>
      </c>
      <c r="O34" s="180" t="str">
        <f aca="false">IF((D34="l"),F34," ")</f>
        <v> </v>
      </c>
      <c r="P34" s="180" t="str">
        <f aca="false">IF((D34="i"),F34," ")</f>
        <v> </v>
      </c>
      <c r="Q34" s="180" t="str">
        <f aca="false">IF((D34="b"),F34," ")</f>
        <v> </v>
      </c>
      <c r="R34" s="180" t="str">
        <f aca="false">IF((D34="o"),F34," ")</f>
        <v> </v>
      </c>
      <c r="S34" s="180" t="str">
        <f aca="false">IF((D34="f"),F34," ")</f>
        <v> </v>
      </c>
      <c r="U34" s="371"/>
    </row>
    <row r="35" customFormat="false" ht="12.75" hidden="false" customHeight="false" outlineLevel="0" collapsed="false">
      <c r="G35" s="180" t="str">
        <f aca="false">IF((D35="d"),F35," ")</f>
        <v> </v>
      </c>
      <c r="H35" s="180" t="str">
        <f aca="false">IF((D35="h"),F35," ")</f>
        <v> </v>
      </c>
      <c r="I35" s="180" t="str">
        <f aca="false">IF((D35="r"),F35," ")</f>
        <v> </v>
      </c>
      <c r="J35" s="180" t="str">
        <f aca="false">IF((D35="t"),F35," ")</f>
        <v> </v>
      </c>
      <c r="K35" s="180" t="str">
        <f aca="false">IF((D35="e"),F35," ")</f>
        <v> </v>
      </c>
      <c r="L35" s="180" t="str">
        <f aca="false">IF((D35="p"),F35," ")</f>
        <v> </v>
      </c>
      <c r="M35" s="180" t="str">
        <f aca="false">IF((D35="g"),F35," ")</f>
        <v> </v>
      </c>
      <c r="N35" s="180" t="str">
        <f aca="false">IF((D35="a"),F35," ")</f>
        <v> </v>
      </c>
      <c r="O35" s="180" t="str">
        <f aca="false">IF((D35="l"),F35," ")</f>
        <v> </v>
      </c>
      <c r="P35" s="180" t="str">
        <f aca="false">IF((D35="i"),F35," ")</f>
        <v> </v>
      </c>
      <c r="Q35" s="180" t="str">
        <f aca="false">IF((D35="b"),F35," ")</f>
        <v> </v>
      </c>
      <c r="R35" s="180" t="str">
        <f aca="false">IF((D35="o"),F35," ")</f>
        <v> </v>
      </c>
      <c r="S35" s="180" t="str">
        <f aca="false">IF((D35="f"),F35," ")</f>
        <v> </v>
      </c>
      <c r="U35" s="371"/>
    </row>
    <row r="36" customFormat="false" ht="12.75" hidden="false" customHeight="false" outlineLevel="0" collapsed="false">
      <c r="G36" s="180" t="str">
        <f aca="false">IF((D36="d"),F36," ")</f>
        <v> </v>
      </c>
      <c r="H36" s="180" t="str">
        <f aca="false">IF((D36="h"),F36," ")</f>
        <v> </v>
      </c>
      <c r="I36" s="180" t="str">
        <f aca="false">IF((D36="r"),F36," ")</f>
        <v> </v>
      </c>
      <c r="J36" s="180" t="str">
        <f aca="false">IF((D36="t"),F36," ")</f>
        <v> </v>
      </c>
      <c r="K36" s="180" t="str">
        <f aca="false">IF((D36="e"),F36," ")</f>
        <v> </v>
      </c>
      <c r="L36" s="180" t="str">
        <f aca="false">IF((D36="p"),F36," ")</f>
        <v> </v>
      </c>
      <c r="M36" s="180" t="str">
        <f aca="false">IF((D36="g"),F36," ")</f>
        <v> </v>
      </c>
      <c r="N36" s="180" t="str">
        <f aca="false">IF((D36="a"),F36," ")</f>
        <v> </v>
      </c>
      <c r="O36" s="180" t="str">
        <f aca="false">IF((D36="l"),F36," ")</f>
        <v> </v>
      </c>
      <c r="P36" s="180" t="str">
        <f aca="false">IF((D36="i"),F36," ")</f>
        <v> </v>
      </c>
      <c r="Q36" s="180" t="str">
        <f aca="false">IF((D36="b"),F36," ")</f>
        <v> </v>
      </c>
      <c r="R36" s="180" t="str">
        <f aca="false">IF((D36="o"),F36," ")</f>
        <v> </v>
      </c>
      <c r="S36" s="180" t="str">
        <f aca="false">IF((D36="f"),F36," ")</f>
        <v> </v>
      </c>
      <c r="U36" s="371"/>
    </row>
    <row r="37" customFormat="false" ht="12.75" hidden="false" customHeight="false" outlineLevel="0" collapsed="false">
      <c r="D37" s="371" t="str">
        <f aca="false">IF((F37&lt;&gt;0),"Enter Letter"," ")</f>
        <v> </v>
      </c>
      <c r="G37" s="180" t="str">
        <f aca="false">IF((D37="d"),F37," ")</f>
        <v> </v>
      </c>
      <c r="H37" s="180" t="str">
        <f aca="false">IF((D37="h"),F37," ")</f>
        <v> </v>
      </c>
      <c r="I37" s="180" t="str">
        <f aca="false">IF((D37="r"),F37," ")</f>
        <v> </v>
      </c>
      <c r="J37" s="180" t="str">
        <f aca="false">IF((D37="t"),F37," ")</f>
        <v> </v>
      </c>
      <c r="K37" s="180" t="str">
        <f aca="false">IF((D37="e"),F37," ")</f>
        <v> </v>
      </c>
      <c r="L37" s="180" t="str">
        <f aca="false">IF((D37="p"),F37," ")</f>
        <v> </v>
      </c>
      <c r="M37" s="180" t="str">
        <f aca="false">IF((D37="g"),F37," ")</f>
        <v> </v>
      </c>
      <c r="N37" s="180" t="str">
        <f aca="false">IF((D37="a"),F37," ")</f>
        <v> </v>
      </c>
      <c r="O37" s="180" t="str">
        <f aca="false">IF((D37="l"),F37," ")</f>
        <v> </v>
      </c>
      <c r="P37" s="180" t="str">
        <f aca="false">IF((D37="i"),F37," ")</f>
        <v> </v>
      </c>
      <c r="Q37" s="180" t="str">
        <f aca="false">IF((D37="b"),F37," ")</f>
        <v> </v>
      </c>
      <c r="R37" s="180" t="str">
        <f aca="false">IF((D37="o"),F37," ")</f>
        <v> </v>
      </c>
      <c r="S37" s="180" t="str">
        <f aca="false">IF((D37="f"),F37," ")</f>
        <v> </v>
      </c>
      <c r="U37" s="371"/>
    </row>
    <row r="38" customFormat="false" ht="12.75" hidden="false" customHeight="false" outlineLevel="0" collapsed="false">
      <c r="D38" s="371" t="str">
        <f aca="false">IF((F38&lt;&gt;0),"Enter Letter"," ")</f>
        <v> </v>
      </c>
      <c r="G38" s="180" t="str">
        <f aca="false">IF((D38="d"),F38," ")</f>
        <v> </v>
      </c>
      <c r="H38" s="180" t="str">
        <f aca="false">IF((D38="h"),F38," ")</f>
        <v> </v>
      </c>
      <c r="I38" s="180" t="str">
        <f aca="false">IF((D38="r"),F38," ")</f>
        <v> </v>
      </c>
      <c r="J38" s="180" t="str">
        <f aca="false">IF((D38="t"),F38," ")</f>
        <v> </v>
      </c>
      <c r="K38" s="180" t="str">
        <f aca="false">IF((D38="e"),F38," ")</f>
        <v> </v>
      </c>
      <c r="L38" s="180" t="str">
        <f aca="false">IF((D38="p"),F38," ")</f>
        <v> </v>
      </c>
      <c r="M38" s="180" t="str">
        <f aca="false">IF((D38="g"),F38," ")</f>
        <v> </v>
      </c>
      <c r="N38" s="180" t="str">
        <f aca="false">IF((D38="a"),F38," ")</f>
        <v> </v>
      </c>
      <c r="O38" s="180" t="str">
        <f aca="false">IF((D38="l"),F38," ")</f>
        <v> </v>
      </c>
      <c r="P38" s="180" t="str">
        <f aca="false">IF((D38="i"),F38," ")</f>
        <v> </v>
      </c>
      <c r="Q38" s="180" t="str">
        <f aca="false">IF((D38="b"),F38," ")</f>
        <v> </v>
      </c>
      <c r="R38" s="180" t="str">
        <f aca="false">IF((D38="o"),F38," ")</f>
        <v> </v>
      </c>
      <c r="S38" s="180" t="str">
        <f aca="false">IF((D38="f"),F38," ")</f>
        <v> </v>
      </c>
      <c r="U38" s="371"/>
    </row>
    <row r="39" customFormat="false" ht="12.75" hidden="false" customHeight="false" outlineLevel="0" collapsed="false">
      <c r="D39" s="371" t="str">
        <f aca="false">IF((F39&lt;&gt;0),"Enter Letter"," ")</f>
        <v> </v>
      </c>
      <c r="G39" s="180" t="str">
        <f aca="false">IF((D39="d"),F39," ")</f>
        <v> </v>
      </c>
      <c r="H39" s="180" t="str">
        <f aca="false">IF((D39="h"),F39," ")</f>
        <v> </v>
      </c>
      <c r="I39" s="180" t="str">
        <f aca="false">IF((D39="r"),F39," ")</f>
        <v> </v>
      </c>
      <c r="J39" s="180" t="str">
        <f aca="false">IF((D39="t"),F39," ")</f>
        <v> </v>
      </c>
      <c r="K39" s="180" t="str">
        <f aca="false">IF((D39="e"),F39," ")</f>
        <v> </v>
      </c>
      <c r="L39" s="180" t="str">
        <f aca="false">IF((D39="p"),F39," ")</f>
        <v> </v>
      </c>
      <c r="M39" s="180" t="str">
        <f aca="false">IF((D39="g"),F39," ")</f>
        <v> </v>
      </c>
      <c r="N39" s="180" t="str">
        <f aca="false">IF((D39="a"),F39," ")</f>
        <v> </v>
      </c>
      <c r="O39" s="180" t="str">
        <f aca="false">IF((D39="l"),F39," ")</f>
        <v> </v>
      </c>
      <c r="P39" s="180" t="str">
        <f aca="false">IF((D39="i"),F39," ")</f>
        <v> </v>
      </c>
      <c r="Q39" s="180" t="str">
        <f aca="false">IF((D39="b"),F39," ")</f>
        <v> </v>
      </c>
      <c r="R39" s="180" t="str">
        <f aca="false">IF((D39="o"),F39," ")</f>
        <v> </v>
      </c>
      <c r="S39" s="180" t="str">
        <f aca="false">IF((D39="f"),F39," ")</f>
        <v> </v>
      </c>
      <c r="U39" s="371"/>
    </row>
    <row r="40" customFormat="false" ht="12.75" hidden="false" customHeight="false" outlineLevel="0" collapsed="false">
      <c r="D40" s="371" t="str">
        <f aca="false">IF((F40&lt;&gt;0),"Enter Letter"," ")</f>
        <v> </v>
      </c>
      <c r="G40" s="180" t="str">
        <f aca="false">IF((D40="d"),F40," ")</f>
        <v> </v>
      </c>
      <c r="H40" s="180" t="str">
        <f aca="false">IF((D40="h"),F40," ")</f>
        <v> </v>
      </c>
      <c r="I40" s="180" t="str">
        <f aca="false">IF((D40="r"),F40," ")</f>
        <v> </v>
      </c>
      <c r="J40" s="180" t="str">
        <f aca="false">IF((D40="t"),F40," ")</f>
        <v> </v>
      </c>
      <c r="K40" s="180" t="str">
        <f aca="false">IF((D40="e"),F40," ")</f>
        <v> </v>
      </c>
      <c r="L40" s="180" t="str">
        <f aca="false">IF((D40="p"),F40," ")</f>
        <v> </v>
      </c>
      <c r="M40" s="180" t="str">
        <f aca="false">IF((D40="g"),F40," ")</f>
        <v> </v>
      </c>
      <c r="N40" s="180" t="str">
        <f aca="false">IF((D40="a"),F40," ")</f>
        <v> </v>
      </c>
      <c r="O40" s="180" t="str">
        <f aca="false">IF((D40="l"),F40," ")</f>
        <v> </v>
      </c>
      <c r="P40" s="180" t="str">
        <f aca="false">IF((D40="i"),F40," ")</f>
        <v> </v>
      </c>
      <c r="Q40" s="180" t="str">
        <f aca="false">IF((D40="b"),F40," ")</f>
        <v> </v>
      </c>
      <c r="R40" s="180" t="str">
        <f aca="false">IF((D40="o"),F40," ")</f>
        <v> </v>
      </c>
      <c r="S40" s="180" t="str">
        <f aca="false">IF((D40="f"),F40," ")</f>
        <v> </v>
      </c>
      <c r="U40" s="371"/>
    </row>
    <row r="41" customFormat="false" ht="12.75" hidden="false" customHeight="false" outlineLevel="0" collapsed="false">
      <c r="D41" s="371" t="str">
        <f aca="false">IF((F41&lt;&gt;0),"Enter Letter"," ")</f>
        <v> </v>
      </c>
      <c r="G41" s="180" t="str">
        <f aca="false">IF((D41="d"),F41," ")</f>
        <v> </v>
      </c>
      <c r="H41" s="180" t="str">
        <f aca="false">IF((D41="h"),F41," ")</f>
        <v> </v>
      </c>
      <c r="I41" s="180" t="str">
        <f aca="false">IF((D41="r"),F41," ")</f>
        <v> </v>
      </c>
      <c r="J41" s="180" t="str">
        <f aca="false">IF((D41="t"),F41," ")</f>
        <v> </v>
      </c>
      <c r="K41" s="180" t="str">
        <f aca="false">IF((D41="e"),F41," ")</f>
        <v> </v>
      </c>
      <c r="L41" s="180" t="str">
        <f aca="false">IF((D41="p"),F41," ")</f>
        <v> </v>
      </c>
      <c r="M41" s="180" t="str">
        <f aca="false">IF((D41="g"),F41," ")</f>
        <v> </v>
      </c>
      <c r="N41" s="180" t="str">
        <f aca="false">IF((D41="a"),F41," ")</f>
        <v> </v>
      </c>
      <c r="O41" s="180" t="str">
        <f aca="false">IF((D41="l"),F41," ")</f>
        <v> </v>
      </c>
      <c r="P41" s="180" t="str">
        <f aca="false">IF((D41="i"),F41," ")</f>
        <v> </v>
      </c>
      <c r="Q41" s="180" t="str">
        <f aca="false">IF((D41="b"),F41," ")</f>
        <v> </v>
      </c>
      <c r="R41" s="180" t="str">
        <f aca="false">IF((D41="o"),F41," ")</f>
        <v> </v>
      </c>
      <c r="S41" s="180" t="str">
        <f aca="false">IF((D41="f"),F41," ")</f>
        <v> </v>
      </c>
      <c r="U41" s="371"/>
    </row>
    <row r="42" customFormat="false" ht="12.75" hidden="false" customHeight="false" outlineLevel="0" collapsed="false">
      <c r="D42" s="371" t="str">
        <f aca="false">IF((F42&lt;&gt;0),"Enter Letter"," ")</f>
        <v> </v>
      </c>
      <c r="G42" s="180" t="str">
        <f aca="false">IF((D42="d"),F42," ")</f>
        <v> </v>
      </c>
      <c r="H42" s="180" t="str">
        <f aca="false">IF((D42="h"),F42," ")</f>
        <v> </v>
      </c>
      <c r="I42" s="180" t="str">
        <f aca="false">IF((D42="r"),F42," ")</f>
        <v> </v>
      </c>
      <c r="J42" s="180" t="str">
        <f aca="false">IF((D42="t"),F42," ")</f>
        <v> </v>
      </c>
      <c r="K42" s="180" t="str">
        <f aca="false">IF((D42="e"),F42," ")</f>
        <v> </v>
      </c>
      <c r="L42" s="180" t="str">
        <f aca="false">IF((D42="p"),F42," ")</f>
        <v> </v>
      </c>
      <c r="M42" s="180" t="str">
        <f aca="false">IF((D42="g"),F42," ")</f>
        <v> </v>
      </c>
      <c r="N42" s="180" t="str">
        <f aca="false">IF((D42="a"),F42," ")</f>
        <v> </v>
      </c>
      <c r="O42" s="180" t="str">
        <f aca="false">IF((D42="l"),F42," ")</f>
        <v> </v>
      </c>
      <c r="P42" s="180" t="str">
        <f aca="false">IF((D42="i"),F42," ")</f>
        <v> </v>
      </c>
      <c r="Q42" s="180" t="str">
        <f aca="false">IF((D42="b"),F42," ")</f>
        <v> </v>
      </c>
      <c r="R42" s="180" t="str">
        <f aca="false">IF((D42="o"),F42," ")</f>
        <v> </v>
      </c>
      <c r="S42" s="180" t="str">
        <f aca="false">IF((D42="f"),F42," ")</f>
        <v> </v>
      </c>
      <c r="U42" s="371"/>
    </row>
    <row r="43" customFormat="false" ht="12.75" hidden="false" customHeight="false" outlineLevel="0" collapsed="false">
      <c r="D43" s="371" t="str">
        <f aca="false">IF((F43&lt;&gt;0),"Enter Letter"," ")</f>
        <v> </v>
      </c>
      <c r="G43" s="180" t="str">
        <f aca="false">IF((D43="d"),F43," ")</f>
        <v> </v>
      </c>
      <c r="H43" s="180" t="str">
        <f aca="false">IF((D43="h"),F43," ")</f>
        <v> </v>
      </c>
      <c r="I43" s="180" t="str">
        <f aca="false">IF((D43="r"),F43," ")</f>
        <v> </v>
      </c>
      <c r="J43" s="180" t="str">
        <f aca="false">IF((D43="t"),F43," ")</f>
        <v> </v>
      </c>
      <c r="K43" s="180" t="str">
        <f aca="false">IF((D43="e"),F43," ")</f>
        <v> </v>
      </c>
      <c r="L43" s="180" t="str">
        <f aca="false">IF((D43="p"),F43," ")</f>
        <v> </v>
      </c>
      <c r="M43" s="180" t="str">
        <f aca="false">IF((D43="g"),F43," ")</f>
        <v> </v>
      </c>
      <c r="N43" s="180" t="str">
        <f aca="false">IF((D43="a"),F43," ")</f>
        <v> </v>
      </c>
      <c r="O43" s="180" t="str">
        <f aca="false">IF((D43="l"),F43," ")</f>
        <v> </v>
      </c>
      <c r="P43" s="180" t="str">
        <f aca="false">IF((D43="i"),F43," ")</f>
        <v> </v>
      </c>
      <c r="Q43" s="180" t="str">
        <f aca="false">IF((D43="b"),F43," ")</f>
        <v> </v>
      </c>
      <c r="R43" s="180" t="str">
        <f aca="false">IF((D43="o"),F43," ")</f>
        <v> </v>
      </c>
      <c r="S43" s="180" t="str">
        <f aca="false">IF((D43="f"),F43," ")</f>
        <v> </v>
      </c>
      <c r="U43" s="371"/>
    </row>
    <row r="44" customFormat="false" ht="12.75" hidden="false" customHeight="false" outlineLevel="0" collapsed="false">
      <c r="D44" s="371" t="str">
        <f aca="false">IF((F44&lt;&gt;0),"Enter Letter"," ")</f>
        <v> </v>
      </c>
      <c r="G44" s="180" t="str">
        <f aca="false">IF((D44="d"),F44," ")</f>
        <v> </v>
      </c>
      <c r="H44" s="180" t="str">
        <f aca="false">IF((D44="h"),F44," ")</f>
        <v> </v>
      </c>
      <c r="I44" s="180" t="str">
        <f aca="false">IF((D44="r"),F44," ")</f>
        <v> </v>
      </c>
      <c r="J44" s="180" t="str">
        <f aca="false">IF((D44="t"),F44," ")</f>
        <v> </v>
      </c>
      <c r="K44" s="180" t="str">
        <f aca="false">IF((D44="e"),F44," ")</f>
        <v> </v>
      </c>
      <c r="L44" s="180" t="str">
        <f aca="false">IF((D44="p"),F44," ")</f>
        <v> </v>
      </c>
      <c r="M44" s="180" t="str">
        <f aca="false">IF((D44="g"),F44," ")</f>
        <v> </v>
      </c>
      <c r="N44" s="180" t="str">
        <f aca="false">IF((D44="a"),F44," ")</f>
        <v> </v>
      </c>
      <c r="O44" s="180" t="str">
        <f aca="false">IF((D44="l"),F44," ")</f>
        <v> </v>
      </c>
      <c r="P44" s="180" t="str">
        <f aca="false">IF((D44="i"),F44," ")</f>
        <v> </v>
      </c>
      <c r="Q44" s="180" t="str">
        <f aca="false">IF((D44="b"),F44," ")</f>
        <v> </v>
      </c>
      <c r="R44" s="180" t="str">
        <f aca="false">IF((D44="o"),F44," ")</f>
        <v> </v>
      </c>
      <c r="S44" s="180" t="str">
        <f aca="false">IF((D44="f"),F44," ")</f>
        <v> </v>
      </c>
      <c r="U44" s="371"/>
    </row>
    <row r="45" customFormat="false" ht="12.75" hidden="false" customHeight="false" outlineLevel="0" collapsed="false">
      <c r="D45" s="371" t="str">
        <f aca="false">IF((F45&lt;&gt;0),"Enter Letter"," ")</f>
        <v> </v>
      </c>
      <c r="G45" s="180" t="str">
        <f aca="false">IF((D45="d"),F45," ")</f>
        <v> </v>
      </c>
      <c r="H45" s="180" t="str">
        <f aca="false">IF((D45="h"),F45," ")</f>
        <v> </v>
      </c>
      <c r="I45" s="180" t="str">
        <f aca="false">IF((D45="r"),F45," ")</f>
        <v> </v>
      </c>
      <c r="J45" s="180" t="str">
        <f aca="false">IF((D45="t"),F45," ")</f>
        <v> </v>
      </c>
      <c r="K45" s="180" t="str">
        <f aca="false">IF((D45="e"),F45," ")</f>
        <v> </v>
      </c>
      <c r="L45" s="180" t="str">
        <f aca="false">IF((D45="p"),F45," ")</f>
        <v> </v>
      </c>
      <c r="M45" s="180" t="str">
        <f aca="false">IF((D45="g"),F45," ")</f>
        <v> </v>
      </c>
      <c r="N45" s="180" t="str">
        <f aca="false">IF((D45="a"),F45," ")</f>
        <v> </v>
      </c>
      <c r="O45" s="180" t="str">
        <f aca="false">IF((D45="l"),F45," ")</f>
        <v> </v>
      </c>
      <c r="P45" s="180" t="str">
        <f aca="false">IF((D45="i"),F45," ")</f>
        <v> </v>
      </c>
      <c r="Q45" s="180" t="str">
        <f aca="false">IF((D45="b"),F45," ")</f>
        <v> </v>
      </c>
      <c r="R45" s="180" t="str">
        <f aca="false">IF((D45="o"),F45," ")</f>
        <v> </v>
      </c>
      <c r="S45" s="180" t="str">
        <f aca="false">IF((D45="f"),F45," ")</f>
        <v> </v>
      </c>
      <c r="U45" s="371"/>
    </row>
    <row r="46" customFormat="false" ht="12.75" hidden="false" customHeight="false" outlineLevel="0" collapsed="false">
      <c r="D46" s="371" t="str">
        <f aca="false">IF((F46&lt;&gt;0),"Enter Letter"," ")</f>
        <v> </v>
      </c>
      <c r="G46" s="180" t="str">
        <f aca="false">IF((D46="d"),F46," ")</f>
        <v> </v>
      </c>
      <c r="H46" s="180" t="str">
        <f aca="false">IF((D46="h"),F46," ")</f>
        <v> </v>
      </c>
      <c r="I46" s="180" t="str">
        <f aca="false">IF((D46="r"),F46," ")</f>
        <v> </v>
      </c>
      <c r="J46" s="180" t="str">
        <f aca="false">IF((D46="t"),F46," ")</f>
        <v> </v>
      </c>
      <c r="K46" s="180" t="str">
        <f aca="false">IF((D46="e"),F46," ")</f>
        <v> </v>
      </c>
      <c r="L46" s="180" t="str">
        <f aca="false">IF((D46="p"),F46," ")</f>
        <v> </v>
      </c>
      <c r="M46" s="180" t="str">
        <f aca="false">IF((D46="g"),F46," ")</f>
        <v> </v>
      </c>
      <c r="N46" s="180" t="str">
        <f aca="false">IF((D46="a"),F46," ")</f>
        <v> </v>
      </c>
      <c r="O46" s="180" t="str">
        <f aca="false">IF((D46="l"),F46," ")</f>
        <v> </v>
      </c>
      <c r="P46" s="180" t="str">
        <f aca="false">IF((D46="i"),F46," ")</f>
        <v> </v>
      </c>
      <c r="Q46" s="180" t="str">
        <f aca="false">IF((D46="b"),F46," ")</f>
        <v> </v>
      </c>
      <c r="R46" s="180" t="str">
        <f aca="false">IF((D46="o"),F46," ")</f>
        <v> </v>
      </c>
      <c r="S46" s="180" t="str">
        <f aca="false">IF((D46="f"),F46," ")</f>
        <v> </v>
      </c>
      <c r="U46" s="371"/>
    </row>
    <row r="47" customFormat="false" ht="12.75" hidden="false" customHeight="false" outlineLevel="0" collapsed="false">
      <c r="D47" s="371" t="str">
        <f aca="false">IF((F47&lt;&gt;0),"Enter Letter"," ")</f>
        <v> </v>
      </c>
      <c r="G47" s="180" t="str">
        <f aca="false">IF((D47="d"),F47," ")</f>
        <v> </v>
      </c>
      <c r="H47" s="180" t="str">
        <f aca="false">IF((D47="h"),F47," ")</f>
        <v> </v>
      </c>
      <c r="I47" s="180" t="str">
        <f aca="false">IF((D47="r"),F47," ")</f>
        <v> </v>
      </c>
      <c r="J47" s="180" t="str">
        <f aca="false">IF((D47="t"),F47," ")</f>
        <v> </v>
      </c>
      <c r="K47" s="180" t="str">
        <f aca="false">IF((D47="e"),F47," ")</f>
        <v> </v>
      </c>
      <c r="L47" s="180" t="str">
        <f aca="false">IF((D47="p"),F47," ")</f>
        <v> </v>
      </c>
      <c r="M47" s="180" t="str">
        <f aca="false">IF((D47="g"),F47," ")</f>
        <v> </v>
      </c>
      <c r="N47" s="180" t="str">
        <f aca="false">IF((D47="a"),F47," ")</f>
        <v> </v>
      </c>
      <c r="O47" s="180" t="str">
        <f aca="false">IF((D47="l"),F47," ")</f>
        <v> </v>
      </c>
      <c r="P47" s="180" t="str">
        <f aca="false">IF((D47="i"),F47," ")</f>
        <v> </v>
      </c>
      <c r="Q47" s="180" t="str">
        <f aca="false">IF((D47="b"),F47," ")</f>
        <v> </v>
      </c>
      <c r="R47" s="180" t="str">
        <f aca="false">IF((D47="o"),F47," ")</f>
        <v> </v>
      </c>
      <c r="S47" s="180" t="str">
        <f aca="false">IF((D47="f"),F47," ")</f>
        <v> </v>
      </c>
      <c r="U47" s="371"/>
    </row>
    <row r="48" customFormat="false" ht="12.75" hidden="false" customHeight="false" outlineLevel="0" collapsed="false">
      <c r="D48" s="371" t="str">
        <f aca="false">IF((F48&lt;&gt;0),"Enter Letter"," ")</f>
        <v> </v>
      </c>
      <c r="G48" s="180" t="str">
        <f aca="false">IF((D48="d"),F48," ")</f>
        <v> </v>
      </c>
      <c r="H48" s="180" t="str">
        <f aca="false">IF((D48="h"),F48," ")</f>
        <v> </v>
      </c>
      <c r="I48" s="180" t="str">
        <f aca="false">IF((D48="r"),F48," ")</f>
        <v> </v>
      </c>
      <c r="J48" s="180" t="str">
        <f aca="false">IF((D48="t"),F48," ")</f>
        <v> </v>
      </c>
      <c r="K48" s="180" t="str">
        <f aca="false">IF((D48="e"),F48," ")</f>
        <v> </v>
      </c>
      <c r="L48" s="180" t="str">
        <f aca="false">IF((D48="p"),F48," ")</f>
        <v> </v>
      </c>
      <c r="M48" s="180" t="str">
        <f aca="false">IF((D48="g"),F48," ")</f>
        <v> </v>
      </c>
      <c r="N48" s="180" t="str">
        <f aca="false">IF((D48="a"),F48," ")</f>
        <v> </v>
      </c>
      <c r="O48" s="180" t="str">
        <f aca="false">IF((D48="l"),F48," ")</f>
        <v> </v>
      </c>
      <c r="P48" s="180" t="str">
        <f aca="false">IF((D48="i"),F48," ")</f>
        <v> </v>
      </c>
      <c r="Q48" s="180" t="str">
        <f aca="false">IF((D48="b"),F48," ")</f>
        <v> </v>
      </c>
      <c r="R48" s="180" t="str">
        <f aca="false">IF((D48="o"),F48," ")</f>
        <v> </v>
      </c>
      <c r="S48" s="180" t="str">
        <f aca="false">IF((D48="f"),F48," ")</f>
        <v> </v>
      </c>
      <c r="U48" s="371"/>
    </row>
    <row r="49" customFormat="false" ht="12.75" hidden="false" customHeight="false" outlineLevel="0" collapsed="false">
      <c r="D49" s="371" t="str">
        <f aca="false">IF((F49&lt;&gt;0),"Enter Letter"," ")</f>
        <v> </v>
      </c>
      <c r="G49" s="180" t="str">
        <f aca="false">IF((D49="d"),F49," ")</f>
        <v> </v>
      </c>
      <c r="H49" s="180" t="str">
        <f aca="false">IF((D49="h"),F49," ")</f>
        <v> </v>
      </c>
      <c r="I49" s="180" t="str">
        <f aca="false">IF((D49="r"),F49," ")</f>
        <v> </v>
      </c>
      <c r="J49" s="180" t="str">
        <f aca="false">IF((D49="t"),F49," ")</f>
        <v> </v>
      </c>
      <c r="K49" s="180" t="str">
        <f aca="false">IF((D49="e"),F49," ")</f>
        <v> </v>
      </c>
      <c r="L49" s="180" t="str">
        <f aca="false">IF((D49="p"),F49," ")</f>
        <v> </v>
      </c>
      <c r="M49" s="180" t="str">
        <f aca="false">IF((D49="g"),F49," ")</f>
        <v> </v>
      </c>
      <c r="N49" s="180" t="str">
        <f aca="false">IF((D49="a"),F49," ")</f>
        <v> </v>
      </c>
      <c r="O49" s="180" t="str">
        <f aca="false">IF((D49="l"),F49," ")</f>
        <v> </v>
      </c>
      <c r="P49" s="180" t="str">
        <f aca="false">IF((D49="i"),F49," ")</f>
        <v> </v>
      </c>
      <c r="Q49" s="180" t="str">
        <f aca="false">IF((D49="b"),F49," ")</f>
        <v> </v>
      </c>
      <c r="R49" s="180" t="str">
        <f aca="false">IF((D49="o"),F49," ")</f>
        <v> </v>
      </c>
      <c r="S49" s="180" t="str">
        <f aca="false">IF((D49="f"),F49," ")</f>
        <v> </v>
      </c>
      <c r="U49" s="371"/>
    </row>
    <row r="50" customFormat="false" ht="12.75" hidden="false" customHeight="false" outlineLevel="0" collapsed="false">
      <c r="D50" s="371" t="str">
        <f aca="false">IF((F50&lt;&gt;0),"Enter Letter"," ")</f>
        <v> </v>
      </c>
      <c r="G50" s="180" t="str">
        <f aca="false">IF((D50="d"),F50," ")</f>
        <v> </v>
      </c>
      <c r="H50" s="180" t="str">
        <f aca="false">IF((D50="h"),F50," ")</f>
        <v> </v>
      </c>
      <c r="I50" s="180" t="str">
        <f aca="false">IF((D50="r"),F50," ")</f>
        <v> </v>
      </c>
      <c r="J50" s="180" t="str">
        <f aca="false">IF((D50="t"),F50," ")</f>
        <v> </v>
      </c>
      <c r="K50" s="180" t="str">
        <f aca="false">IF((D50="e"),F50," ")</f>
        <v> </v>
      </c>
      <c r="L50" s="180" t="str">
        <f aca="false">IF((D50="p"),F50," ")</f>
        <v> </v>
      </c>
      <c r="M50" s="180" t="str">
        <f aca="false">IF((D50="g"),F50," ")</f>
        <v> </v>
      </c>
      <c r="N50" s="180" t="str">
        <f aca="false">IF((D50="a"),F50," ")</f>
        <v> </v>
      </c>
      <c r="O50" s="180" t="str">
        <f aca="false">IF((D50="l"),F50," ")</f>
        <v> </v>
      </c>
      <c r="P50" s="180" t="str">
        <f aca="false">IF((D50="i"),F50," ")</f>
        <v> </v>
      </c>
      <c r="Q50" s="180" t="str">
        <f aca="false">IF((D50="b"),F50," ")</f>
        <v> </v>
      </c>
      <c r="R50" s="180" t="str">
        <f aca="false">IF((D50="o"),F50," ")</f>
        <v> </v>
      </c>
      <c r="S50" s="180" t="str">
        <f aca="false">IF((D50="f"),F50," ")</f>
        <v> </v>
      </c>
      <c r="U50" s="371"/>
    </row>
    <row r="51" customFormat="false" ht="12.75" hidden="false" customHeight="false" outlineLevel="0" collapsed="false">
      <c r="D51" s="371" t="str">
        <f aca="false">IF((F51&lt;&gt;0),"Enter Letter"," ")</f>
        <v> </v>
      </c>
      <c r="G51" s="180" t="str">
        <f aca="false">IF((D51="d"),F51," ")</f>
        <v> </v>
      </c>
      <c r="H51" s="180" t="str">
        <f aca="false">IF((D51="h"),F51," ")</f>
        <v> </v>
      </c>
      <c r="I51" s="180" t="str">
        <f aca="false">IF((D51="r"),F51," ")</f>
        <v> </v>
      </c>
      <c r="J51" s="180" t="str">
        <f aca="false">IF((D51="t"),F51," ")</f>
        <v> </v>
      </c>
      <c r="K51" s="180" t="str">
        <f aca="false">IF((D51="e"),F51," ")</f>
        <v> </v>
      </c>
      <c r="L51" s="180" t="str">
        <f aca="false">IF((D51="p"),F51," ")</f>
        <v> </v>
      </c>
      <c r="M51" s="180" t="str">
        <f aca="false">IF((D51="g"),F51," ")</f>
        <v> </v>
      </c>
      <c r="N51" s="180" t="str">
        <f aca="false">IF((D51="a"),F51," ")</f>
        <v> </v>
      </c>
      <c r="O51" s="180" t="str">
        <f aca="false">IF((D51="l"),F51," ")</f>
        <v> </v>
      </c>
      <c r="P51" s="180" t="str">
        <f aca="false">IF((D51="i"),F51," ")</f>
        <v> </v>
      </c>
      <c r="Q51" s="180" t="str">
        <f aca="false">IF((D51="b"),F51," ")</f>
        <v> </v>
      </c>
      <c r="R51" s="180" t="str">
        <f aca="false">IF((D51="o"),F51," ")</f>
        <v> </v>
      </c>
      <c r="S51" s="180" t="str">
        <f aca="false">IF((D51="f"),F51," ")</f>
        <v> </v>
      </c>
      <c r="U51" s="371"/>
    </row>
    <row r="52" customFormat="false" ht="12.75" hidden="false" customHeight="false" outlineLevel="0" collapsed="false">
      <c r="D52" s="371" t="str">
        <f aca="false">IF((F52&lt;&gt;0),"Enter Letter"," ")</f>
        <v> </v>
      </c>
      <c r="G52" s="180" t="str">
        <f aca="false">IF((D52="d"),F52," ")</f>
        <v> </v>
      </c>
      <c r="H52" s="180" t="str">
        <f aca="false">IF((D52="h"),F52," ")</f>
        <v> </v>
      </c>
      <c r="I52" s="180" t="str">
        <f aca="false">IF((D52="r"),F52," ")</f>
        <v> </v>
      </c>
      <c r="J52" s="180" t="str">
        <f aca="false">IF((D52="t"),F52," ")</f>
        <v> </v>
      </c>
      <c r="K52" s="180" t="str">
        <f aca="false">IF((D52="e"),F52," ")</f>
        <v> </v>
      </c>
      <c r="L52" s="180" t="str">
        <f aca="false">IF((D52="p"),F52," ")</f>
        <v> </v>
      </c>
      <c r="M52" s="180" t="str">
        <f aca="false">IF((D52="g"),F52," ")</f>
        <v> </v>
      </c>
      <c r="N52" s="180" t="str">
        <f aca="false">IF((D52="a"),F52," ")</f>
        <v> </v>
      </c>
      <c r="O52" s="180" t="str">
        <f aca="false">IF((D52="l"),F52," ")</f>
        <v> </v>
      </c>
      <c r="P52" s="180" t="str">
        <f aca="false">IF((D52="i"),F52," ")</f>
        <v> </v>
      </c>
      <c r="Q52" s="180" t="str">
        <f aca="false">IF((D52="b"),F52," ")</f>
        <v> </v>
      </c>
      <c r="R52" s="180" t="str">
        <f aca="false">IF((D52="o"),F52," ")</f>
        <v> </v>
      </c>
      <c r="S52" s="180" t="str">
        <f aca="false">IF((D52="f"),F52," ")</f>
        <v> </v>
      </c>
      <c r="U52" s="371"/>
    </row>
    <row r="53" customFormat="false" ht="12.75" hidden="false" customHeight="false" outlineLevel="0" collapsed="false">
      <c r="D53" s="371" t="str">
        <f aca="false">IF((F53&lt;&gt;0),"Enter Letter"," ")</f>
        <v> </v>
      </c>
      <c r="G53" s="180" t="str">
        <f aca="false">IF((D53="d"),F53," ")</f>
        <v> </v>
      </c>
      <c r="H53" s="180" t="str">
        <f aca="false">IF((D53="h"),F53," ")</f>
        <v> </v>
      </c>
      <c r="I53" s="180" t="str">
        <f aca="false">IF((D53="r"),F53," ")</f>
        <v> </v>
      </c>
      <c r="J53" s="180" t="str">
        <f aca="false">IF((D53="t"),F53," ")</f>
        <v> </v>
      </c>
      <c r="K53" s="180" t="str">
        <f aca="false">IF((D53="e"),F53," ")</f>
        <v> </v>
      </c>
      <c r="L53" s="180" t="str">
        <f aca="false">IF((D53="p"),F53," ")</f>
        <v> </v>
      </c>
      <c r="M53" s="180" t="str">
        <f aca="false">IF((D53="g"),F53," ")</f>
        <v> </v>
      </c>
      <c r="N53" s="180" t="str">
        <f aca="false">IF((D53="a"),F53," ")</f>
        <v> </v>
      </c>
      <c r="O53" s="180" t="str">
        <f aca="false">IF((D53="l"),F53," ")</f>
        <v> </v>
      </c>
      <c r="P53" s="180" t="str">
        <f aca="false">IF((D53="i"),F53," ")</f>
        <v> </v>
      </c>
      <c r="Q53" s="180" t="str">
        <f aca="false">IF((D53="b"),F53," ")</f>
        <v> </v>
      </c>
      <c r="R53" s="180" t="str">
        <f aca="false">IF((D53="o"),F53," ")</f>
        <v> </v>
      </c>
      <c r="S53" s="180" t="str">
        <f aca="false">IF((D53="f"),F53," ")</f>
        <v> </v>
      </c>
      <c r="U53" s="371"/>
    </row>
    <row r="54" customFormat="false" ht="12.75" hidden="false" customHeight="false" outlineLevel="0" collapsed="false">
      <c r="D54" s="371" t="str">
        <f aca="false">IF((F54&lt;&gt;0),"Enter Letter"," ")</f>
        <v> </v>
      </c>
      <c r="G54" s="180" t="str">
        <f aca="false">IF((D54="d"),F54," ")</f>
        <v> </v>
      </c>
      <c r="H54" s="180" t="str">
        <f aca="false">IF((D54="h"),F54," ")</f>
        <v> </v>
      </c>
      <c r="I54" s="180" t="str">
        <f aca="false">IF((D54="r"),F54," ")</f>
        <v> </v>
      </c>
      <c r="J54" s="180" t="str">
        <f aca="false">IF((D54="t"),F54," ")</f>
        <v> </v>
      </c>
      <c r="K54" s="180" t="str">
        <f aca="false">IF((D54="e"),F54," ")</f>
        <v> </v>
      </c>
      <c r="L54" s="180" t="str">
        <f aca="false">IF((D54="p"),F54," ")</f>
        <v> </v>
      </c>
      <c r="M54" s="180" t="str">
        <f aca="false">IF((D54="g"),F54," ")</f>
        <v> </v>
      </c>
      <c r="N54" s="180" t="str">
        <f aca="false">IF((D54="a"),F54," ")</f>
        <v> </v>
      </c>
      <c r="O54" s="180" t="str">
        <f aca="false">IF((D54="l"),F54," ")</f>
        <v> </v>
      </c>
      <c r="P54" s="180" t="str">
        <f aca="false">IF((D54="i"),F54," ")</f>
        <v> </v>
      </c>
      <c r="Q54" s="180" t="str">
        <f aca="false">IF((D54="b"),F54," ")</f>
        <v> </v>
      </c>
      <c r="R54" s="180" t="str">
        <f aca="false">IF((D54="o"),F54," ")</f>
        <v> </v>
      </c>
      <c r="S54" s="180" t="str">
        <f aca="false">IF((D54="f"),F54," ")</f>
        <v> </v>
      </c>
      <c r="U54" s="371"/>
    </row>
    <row r="55" customFormat="false" ht="12.75" hidden="false" customHeight="false" outlineLevel="0" collapsed="false">
      <c r="D55" s="371" t="str">
        <f aca="false">IF((F55&lt;&gt;0),"Enter Letter"," ")</f>
        <v> </v>
      </c>
      <c r="G55" s="180" t="str">
        <f aca="false">IF((D55="d"),F55," ")</f>
        <v> </v>
      </c>
      <c r="H55" s="180" t="str">
        <f aca="false">IF((D55="h"),F55," ")</f>
        <v> </v>
      </c>
      <c r="I55" s="180" t="str">
        <f aca="false">IF((D55="r"),F55," ")</f>
        <v> </v>
      </c>
      <c r="J55" s="180" t="str">
        <f aca="false">IF((D55="t"),F55," ")</f>
        <v> </v>
      </c>
      <c r="K55" s="180" t="str">
        <f aca="false">IF((D55="e"),F55," ")</f>
        <v> </v>
      </c>
      <c r="L55" s="180" t="str">
        <f aca="false">IF((D55="p"),F55," ")</f>
        <v> </v>
      </c>
      <c r="M55" s="180" t="str">
        <f aca="false">IF((D55="g"),F55," ")</f>
        <v> </v>
      </c>
      <c r="N55" s="180" t="str">
        <f aca="false">IF((D55="a"),F55," ")</f>
        <v> </v>
      </c>
      <c r="O55" s="180" t="str">
        <f aca="false">IF((D55="l"),F55," ")</f>
        <v> </v>
      </c>
      <c r="P55" s="180" t="str">
        <f aca="false">IF((D55="i"),F55," ")</f>
        <v> </v>
      </c>
      <c r="Q55" s="180" t="str">
        <f aca="false">IF((D55="b"),F55," ")</f>
        <v> </v>
      </c>
      <c r="R55" s="180" t="str">
        <f aca="false">IF((D55="o"),F55," ")</f>
        <v> </v>
      </c>
      <c r="S55" s="180" t="str">
        <f aca="false">IF((D55="f"),F55," ")</f>
        <v> </v>
      </c>
      <c r="U55" s="371"/>
    </row>
    <row r="56" customFormat="false" ht="12.75" hidden="false" customHeight="false" outlineLevel="0" collapsed="false">
      <c r="D56" s="371" t="str">
        <f aca="false">IF((F56&lt;&gt;0),"Enter Letter"," ")</f>
        <v> </v>
      </c>
      <c r="G56" s="180" t="str">
        <f aca="false">IF((D56="d"),F56," ")</f>
        <v> </v>
      </c>
      <c r="H56" s="180" t="str">
        <f aca="false">IF((D56="h"),F56," ")</f>
        <v> </v>
      </c>
      <c r="I56" s="180" t="str">
        <f aca="false">IF((D56="r"),F56," ")</f>
        <v> </v>
      </c>
      <c r="J56" s="180" t="str">
        <f aca="false">IF((D56="t"),F56," ")</f>
        <v> </v>
      </c>
      <c r="K56" s="180" t="str">
        <f aca="false">IF((D56="e"),F56," ")</f>
        <v> </v>
      </c>
      <c r="L56" s="180" t="str">
        <f aca="false">IF((D56="p"),F56," ")</f>
        <v> </v>
      </c>
      <c r="M56" s="180" t="str">
        <f aca="false">IF((D56="g"),F56," ")</f>
        <v> </v>
      </c>
      <c r="N56" s="180" t="str">
        <f aca="false">IF((D56="a"),F56," ")</f>
        <v> </v>
      </c>
      <c r="O56" s="180" t="str">
        <f aca="false">IF((D56="l"),F56," ")</f>
        <v> </v>
      </c>
      <c r="P56" s="180" t="str">
        <f aca="false">IF((D56="i"),F56," ")</f>
        <v> </v>
      </c>
      <c r="Q56" s="180" t="str">
        <f aca="false">IF((D56="b"),F56," ")</f>
        <v> </v>
      </c>
      <c r="R56" s="180" t="str">
        <f aca="false">IF((D56="o"),F56," ")</f>
        <v> </v>
      </c>
      <c r="S56" s="180" t="str">
        <f aca="false">IF((D56="f"),F56," ")</f>
        <v> </v>
      </c>
      <c r="U56" s="371"/>
    </row>
    <row r="57" customFormat="false" ht="12.75" hidden="false" customHeight="false" outlineLevel="0" collapsed="false">
      <c r="D57" s="371" t="str">
        <f aca="false">IF((F57&lt;&gt;0),"Enter Letter"," ")</f>
        <v> </v>
      </c>
      <c r="G57" s="180" t="str">
        <f aca="false">IF((D57="d"),F57," ")</f>
        <v> </v>
      </c>
      <c r="H57" s="180" t="str">
        <f aca="false">IF((D57="h"),F57," ")</f>
        <v> </v>
      </c>
      <c r="I57" s="180" t="str">
        <f aca="false">IF((D57="r"),F57," ")</f>
        <v> </v>
      </c>
      <c r="J57" s="180" t="str">
        <f aca="false">IF((D57="t"),F57," ")</f>
        <v> </v>
      </c>
      <c r="K57" s="180" t="str">
        <f aca="false">IF((D57="e"),F57," ")</f>
        <v> </v>
      </c>
      <c r="L57" s="180" t="str">
        <f aca="false">IF((D57="p"),F57," ")</f>
        <v> </v>
      </c>
      <c r="M57" s="180" t="str">
        <f aca="false">IF((D57="g"),F57," ")</f>
        <v> </v>
      </c>
      <c r="N57" s="180" t="str">
        <f aca="false">IF((D57="a"),F57," ")</f>
        <v> </v>
      </c>
      <c r="O57" s="180" t="str">
        <f aca="false">IF((D57="l"),F57," ")</f>
        <v> </v>
      </c>
      <c r="P57" s="180" t="str">
        <f aca="false">IF((D57="i"),F57," ")</f>
        <v> </v>
      </c>
      <c r="Q57" s="180" t="str">
        <f aca="false">IF((D57="b"),F57," ")</f>
        <v> </v>
      </c>
      <c r="R57" s="180" t="str">
        <f aca="false">IF((D57="o"),F57," ")</f>
        <v> </v>
      </c>
      <c r="S57" s="180" t="str">
        <f aca="false">IF((D57="f"),F57," ")</f>
        <v> </v>
      </c>
      <c r="U57" s="371"/>
    </row>
    <row r="58" customFormat="false" ht="12.75" hidden="false" customHeight="false" outlineLevel="0" collapsed="false">
      <c r="D58" s="371" t="str">
        <f aca="false">IF((F58&lt;&gt;0),"Enter Letter"," ")</f>
        <v> </v>
      </c>
      <c r="G58" s="180" t="str">
        <f aca="false">IF((D58="d"),F58," ")</f>
        <v> </v>
      </c>
      <c r="H58" s="180" t="str">
        <f aca="false">IF((D58="h"),F58," ")</f>
        <v> </v>
      </c>
      <c r="I58" s="180" t="str">
        <f aca="false">IF((D58="r"),F58," ")</f>
        <v> </v>
      </c>
      <c r="J58" s="180" t="str">
        <f aca="false">IF((D58="t"),F58," ")</f>
        <v> </v>
      </c>
      <c r="K58" s="180" t="str">
        <f aca="false">IF((D58="e"),F58," ")</f>
        <v> </v>
      </c>
      <c r="L58" s="180" t="str">
        <f aca="false">IF((D58="p"),F58," ")</f>
        <v> </v>
      </c>
      <c r="M58" s="180" t="str">
        <f aca="false">IF((D58="g"),F58," ")</f>
        <v> </v>
      </c>
      <c r="N58" s="180" t="str">
        <f aca="false">IF((D58="a"),F58," ")</f>
        <v> </v>
      </c>
      <c r="O58" s="180" t="str">
        <f aca="false">IF((D58="l"),F58," ")</f>
        <v> </v>
      </c>
      <c r="P58" s="180" t="str">
        <f aca="false">IF((D58="i"),F58," ")</f>
        <v> </v>
      </c>
      <c r="Q58" s="180" t="str">
        <f aca="false">IF((D58="b"),F58," ")</f>
        <v> </v>
      </c>
      <c r="R58" s="180" t="str">
        <f aca="false">IF((D58="o"),F58," ")</f>
        <v> </v>
      </c>
      <c r="S58" s="180" t="str">
        <f aca="false">IF((D58="f"),F58," ")</f>
        <v> </v>
      </c>
      <c r="U58" s="371"/>
    </row>
    <row r="59" customFormat="false" ht="12.75" hidden="false" customHeight="false" outlineLevel="0" collapsed="false">
      <c r="D59" s="371" t="str">
        <f aca="false">IF((F59&lt;&gt;0),"Enter Letter"," ")</f>
        <v> </v>
      </c>
      <c r="G59" s="180" t="str">
        <f aca="false">IF((D59="d"),F59," ")</f>
        <v> </v>
      </c>
      <c r="H59" s="180" t="str">
        <f aca="false">IF((D59="h"),F59," ")</f>
        <v> </v>
      </c>
      <c r="I59" s="180" t="str">
        <f aca="false">IF((D59="r"),F59," ")</f>
        <v> </v>
      </c>
      <c r="J59" s="180" t="str">
        <f aca="false">IF((D59="t"),F59," ")</f>
        <v> </v>
      </c>
      <c r="K59" s="180" t="str">
        <f aca="false">IF((D59="e"),F59," ")</f>
        <v> </v>
      </c>
      <c r="L59" s="180" t="str">
        <f aca="false">IF((D59="p"),F59," ")</f>
        <v> </v>
      </c>
      <c r="M59" s="180" t="str">
        <f aca="false">IF((D59="g"),F59," ")</f>
        <v> </v>
      </c>
      <c r="N59" s="180" t="str">
        <f aca="false">IF((D59="a"),F59," ")</f>
        <v> </v>
      </c>
      <c r="O59" s="180" t="str">
        <f aca="false">IF((D59="l"),F59," ")</f>
        <v> </v>
      </c>
      <c r="P59" s="180" t="str">
        <f aca="false">IF((D59="i"),F59," ")</f>
        <v> </v>
      </c>
      <c r="Q59" s="180" t="str">
        <f aca="false">IF((D59="b"),F59," ")</f>
        <v> </v>
      </c>
      <c r="R59" s="180" t="str">
        <f aca="false">IF((D59="o"),F59," ")</f>
        <v> </v>
      </c>
      <c r="S59" s="180" t="str">
        <f aca="false">IF((D59="f"),F59," ")</f>
        <v> </v>
      </c>
      <c r="U59" s="371"/>
    </row>
    <row r="60" customFormat="false" ht="12.75" hidden="false" customHeight="false" outlineLevel="0" collapsed="false">
      <c r="D60" s="371" t="str">
        <f aca="false">IF((F60&lt;&gt;0),"Enter Letter"," ")</f>
        <v> </v>
      </c>
      <c r="G60" s="180" t="str">
        <f aca="false">IF((D60="d"),F60," ")</f>
        <v> </v>
      </c>
      <c r="H60" s="180" t="str">
        <f aca="false">IF((D60="h"),F60," ")</f>
        <v> </v>
      </c>
      <c r="I60" s="180" t="str">
        <f aca="false">IF((D60="r"),F60," ")</f>
        <v> </v>
      </c>
      <c r="J60" s="180" t="str">
        <f aca="false">IF((D60="t"),F60," ")</f>
        <v> </v>
      </c>
      <c r="K60" s="180" t="str">
        <f aca="false">IF((D60="e"),F60," ")</f>
        <v> </v>
      </c>
      <c r="L60" s="180" t="str">
        <f aca="false">IF((D60="p"),F60," ")</f>
        <v> </v>
      </c>
      <c r="M60" s="180" t="str">
        <f aca="false">IF((D60="g"),F60," ")</f>
        <v> </v>
      </c>
      <c r="N60" s="180" t="str">
        <f aca="false">IF((D60="a"),F60," ")</f>
        <v> </v>
      </c>
      <c r="O60" s="180" t="str">
        <f aca="false">IF((D60="l"),F60," ")</f>
        <v> </v>
      </c>
      <c r="P60" s="180" t="str">
        <f aca="false">IF((D60="i"),F60," ")</f>
        <v> </v>
      </c>
      <c r="Q60" s="180" t="str">
        <f aca="false">IF((D60="b"),F60," ")</f>
        <v> </v>
      </c>
      <c r="R60" s="180" t="str">
        <f aca="false">IF((D60="o"),F60," ")</f>
        <v> </v>
      </c>
      <c r="S60" s="180" t="str">
        <f aca="false">IF((D60="f"),F60," ")</f>
        <v> </v>
      </c>
      <c r="U60" s="371"/>
    </row>
    <row r="61" customFormat="false" ht="12.75" hidden="false" customHeight="false" outlineLevel="0" collapsed="false">
      <c r="D61" s="371" t="str">
        <f aca="false">IF((F61&lt;&gt;0),"Enter Letter"," ")</f>
        <v> </v>
      </c>
      <c r="G61" s="180" t="str">
        <f aca="false">IF((D61="d"),F61," ")</f>
        <v> </v>
      </c>
      <c r="H61" s="180" t="str">
        <f aca="false">IF((D61="h"),F61," ")</f>
        <v> </v>
      </c>
      <c r="I61" s="180" t="str">
        <f aca="false">IF((D61="r"),F61," ")</f>
        <v> </v>
      </c>
      <c r="J61" s="180" t="str">
        <f aca="false">IF((D61="t"),F61," ")</f>
        <v> </v>
      </c>
      <c r="K61" s="180" t="str">
        <f aca="false">IF((D61="e"),F61," ")</f>
        <v> </v>
      </c>
      <c r="L61" s="180" t="str">
        <f aca="false">IF((D61="p"),F61," ")</f>
        <v> </v>
      </c>
      <c r="M61" s="180" t="str">
        <f aca="false">IF((D61="g"),F61," ")</f>
        <v> </v>
      </c>
      <c r="N61" s="180" t="str">
        <f aca="false">IF((D61="a"),F61," ")</f>
        <v> </v>
      </c>
      <c r="O61" s="180" t="str">
        <f aca="false">IF((D61="l"),F61," ")</f>
        <v> </v>
      </c>
      <c r="P61" s="180" t="str">
        <f aca="false">IF((D61="i"),F61," ")</f>
        <v> </v>
      </c>
      <c r="Q61" s="180" t="str">
        <f aca="false">IF((D61="b"),F61," ")</f>
        <v> </v>
      </c>
      <c r="R61" s="180" t="str">
        <f aca="false">IF((D61="o"),F61," ")</f>
        <v> </v>
      </c>
      <c r="S61" s="180" t="str">
        <f aca="false">IF((D61="f"),F61," ")</f>
        <v> </v>
      </c>
      <c r="U61" s="371"/>
    </row>
    <row r="62" customFormat="false" ht="12.75" hidden="false" customHeight="false" outlineLevel="0" collapsed="false">
      <c r="D62" s="371" t="str">
        <f aca="false">IF((F62&lt;&gt;0),"Enter Letter"," ")</f>
        <v> </v>
      </c>
      <c r="G62" s="180" t="str">
        <f aca="false">IF((D62="d"),F62," ")</f>
        <v> </v>
      </c>
      <c r="H62" s="180" t="str">
        <f aca="false">IF((D62="h"),F62," ")</f>
        <v> </v>
      </c>
      <c r="I62" s="180" t="str">
        <f aca="false">IF((D62="r"),F62," ")</f>
        <v> </v>
      </c>
      <c r="J62" s="180" t="str">
        <f aca="false">IF((D62="t"),F62," ")</f>
        <v> </v>
      </c>
      <c r="K62" s="180" t="str">
        <f aca="false">IF((D62="e"),F62," ")</f>
        <v> </v>
      </c>
      <c r="L62" s="180" t="str">
        <f aca="false">IF((D62="p"),F62," ")</f>
        <v> </v>
      </c>
      <c r="M62" s="180" t="str">
        <f aca="false">IF((D62="g"),F62," ")</f>
        <v> </v>
      </c>
      <c r="N62" s="180" t="str">
        <f aca="false">IF((D62="a"),F62," ")</f>
        <v> </v>
      </c>
      <c r="O62" s="180" t="str">
        <f aca="false">IF((D62="l"),F62," ")</f>
        <v> </v>
      </c>
      <c r="P62" s="180" t="str">
        <f aca="false">IF((D62="i"),F62," ")</f>
        <v> </v>
      </c>
      <c r="Q62" s="180" t="str">
        <f aca="false">IF((D62="b"),F62," ")</f>
        <v> </v>
      </c>
      <c r="R62" s="180" t="str">
        <f aca="false">IF((D62="o"),F62," ")</f>
        <v> </v>
      </c>
      <c r="S62" s="180" t="str">
        <f aca="false">IF((D62="f"),F62," ")</f>
        <v> </v>
      </c>
      <c r="U62" s="371"/>
    </row>
    <row r="63" customFormat="false" ht="12.75" hidden="false" customHeight="false" outlineLevel="0" collapsed="false">
      <c r="D63" s="371" t="str">
        <f aca="false">IF((F63&lt;&gt;0),"Enter Letter"," ")</f>
        <v> </v>
      </c>
      <c r="G63" s="180" t="str">
        <f aca="false">IF((D63="d"),F63," ")</f>
        <v> </v>
      </c>
      <c r="H63" s="180" t="str">
        <f aca="false">IF((D63="h"),F63," ")</f>
        <v> </v>
      </c>
      <c r="I63" s="180" t="str">
        <f aca="false">IF((D63="r"),F63," ")</f>
        <v> </v>
      </c>
      <c r="J63" s="180" t="str">
        <f aca="false">IF((D63="t"),F63," ")</f>
        <v> </v>
      </c>
      <c r="K63" s="180" t="str">
        <f aca="false">IF((D63="e"),F63," ")</f>
        <v> </v>
      </c>
      <c r="L63" s="180" t="str">
        <f aca="false">IF((D63="p"),F63," ")</f>
        <v> </v>
      </c>
      <c r="M63" s="180" t="str">
        <f aca="false">IF((D63="g"),F63," ")</f>
        <v> </v>
      </c>
      <c r="N63" s="180" t="str">
        <f aca="false">IF((D63="a"),F63," ")</f>
        <v> </v>
      </c>
      <c r="O63" s="180" t="str">
        <f aca="false">IF((D63="l"),F63," ")</f>
        <v> </v>
      </c>
      <c r="P63" s="180" t="str">
        <f aca="false">IF((D63="i"),F63," ")</f>
        <v> </v>
      </c>
      <c r="Q63" s="180" t="str">
        <f aca="false">IF((D63="b"),F63," ")</f>
        <v> </v>
      </c>
      <c r="R63" s="180" t="str">
        <f aca="false">IF((D63="o"),F63," ")</f>
        <v> </v>
      </c>
      <c r="S63" s="180" t="str">
        <f aca="false">IF((D63="f"),F63," ")</f>
        <v> </v>
      </c>
      <c r="U63" s="371"/>
    </row>
    <row r="64" customFormat="false" ht="12.75" hidden="false" customHeight="false" outlineLevel="0" collapsed="false">
      <c r="D64" s="371" t="str">
        <f aca="false">IF((F64&lt;&gt;0),"Enter Letter"," ")</f>
        <v> </v>
      </c>
      <c r="G64" s="180" t="str">
        <f aca="false">IF((D64="d"),F64," ")</f>
        <v> </v>
      </c>
      <c r="H64" s="180" t="str">
        <f aca="false">IF((D64="h"),F64," ")</f>
        <v> </v>
      </c>
      <c r="I64" s="180" t="str">
        <f aca="false">IF((D64="r"),F64," ")</f>
        <v> </v>
      </c>
      <c r="J64" s="180" t="str">
        <f aca="false">IF((D64="t"),F64," ")</f>
        <v> </v>
      </c>
      <c r="K64" s="180" t="str">
        <f aca="false">IF((D64="e"),F64," ")</f>
        <v> </v>
      </c>
      <c r="L64" s="180" t="str">
        <f aca="false">IF((D64="p"),F64," ")</f>
        <v> </v>
      </c>
      <c r="M64" s="180" t="str">
        <f aca="false">IF((D64="g"),F64," ")</f>
        <v> </v>
      </c>
      <c r="N64" s="180" t="str">
        <f aca="false">IF((D64="a"),F64," ")</f>
        <v> </v>
      </c>
      <c r="O64" s="180" t="str">
        <f aca="false">IF((D64="l"),F64," ")</f>
        <v> </v>
      </c>
      <c r="P64" s="180" t="str">
        <f aca="false">IF((D64="i"),F64," ")</f>
        <v> </v>
      </c>
      <c r="Q64" s="180" t="str">
        <f aca="false">IF((D64="b"),F64," ")</f>
        <v> </v>
      </c>
      <c r="R64" s="180" t="str">
        <f aca="false">IF((D64="o"),F64," ")</f>
        <v> </v>
      </c>
      <c r="S64" s="180" t="str">
        <f aca="false">IF((D64="f"),F64," ")</f>
        <v> </v>
      </c>
      <c r="U64" s="371"/>
    </row>
    <row r="65" customFormat="false" ht="12.75" hidden="false" customHeight="false" outlineLevel="0" collapsed="false">
      <c r="D65" s="371" t="str">
        <f aca="false">IF((F65&lt;&gt;0),"Enter Letter"," ")</f>
        <v> </v>
      </c>
      <c r="G65" s="180" t="str">
        <f aca="false">IF((D65="d"),F65," ")</f>
        <v> </v>
      </c>
      <c r="H65" s="180" t="str">
        <f aca="false">IF((D65="h"),F65," ")</f>
        <v> </v>
      </c>
      <c r="I65" s="180" t="str">
        <f aca="false">IF((D65="r"),F65," ")</f>
        <v> </v>
      </c>
      <c r="J65" s="180" t="str">
        <f aca="false">IF((D65="t"),F65," ")</f>
        <v> </v>
      </c>
      <c r="K65" s="180" t="str">
        <f aca="false">IF((D65="e"),F65," ")</f>
        <v> </v>
      </c>
      <c r="L65" s="180" t="str">
        <f aca="false">IF((D65="p"),F65," ")</f>
        <v> </v>
      </c>
      <c r="M65" s="180" t="str">
        <f aca="false">IF((D65="g"),F65," ")</f>
        <v> </v>
      </c>
      <c r="N65" s="180" t="str">
        <f aca="false">IF((D65="a"),F65," ")</f>
        <v> </v>
      </c>
      <c r="O65" s="180" t="str">
        <f aca="false">IF((D65="l"),F65," ")</f>
        <v> </v>
      </c>
      <c r="P65" s="180" t="str">
        <f aca="false">IF((D65="i"),F65," ")</f>
        <v> </v>
      </c>
      <c r="Q65" s="180" t="str">
        <f aca="false">IF((D65="b"),F65," ")</f>
        <v> </v>
      </c>
      <c r="R65" s="180" t="str">
        <f aca="false">IF((D65="o"),F65," ")</f>
        <v> </v>
      </c>
      <c r="S65" s="180" t="str">
        <f aca="false">IF((D65="f"),F65," ")</f>
        <v> </v>
      </c>
      <c r="U65" s="371"/>
    </row>
    <row r="66" customFormat="false" ht="12.75" hidden="false" customHeight="false" outlineLevel="0" collapsed="false">
      <c r="D66" s="371" t="str">
        <f aca="false">IF((F66&lt;&gt;0),"Enter Letter"," ")</f>
        <v> </v>
      </c>
      <c r="G66" s="180" t="str">
        <f aca="false">IF((D66="d"),F66," ")</f>
        <v> </v>
      </c>
      <c r="H66" s="180" t="str">
        <f aca="false">IF((D66="h"),F66," ")</f>
        <v> </v>
      </c>
      <c r="I66" s="180" t="str">
        <f aca="false">IF((D66="r"),F66," ")</f>
        <v> </v>
      </c>
      <c r="J66" s="180" t="str">
        <f aca="false">IF((D66="t"),F66," ")</f>
        <v> </v>
      </c>
      <c r="K66" s="180" t="str">
        <f aca="false">IF((D66="e"),F66," ")</f>
        <v> </v>
      </c>
      <c r="L66" s="180" t="str">
        <f aca="false">IF((D66="p"),F66," ")</f>
        <v> </v>
      </c>
      <c r="M66" s="180" t="str">
        <f aca="false">IF((D66="g"),F66," ")</f>
        <v> </v>
      </c>
      <c r="N66" s="180" t="str">
        <f aca="false">IF((D66="a"),F66," ")</f>
        <v> </v>
      </c>
      <c r="O66" s="180" t="str">
        <f aca="false">IF((D66="l"),F66," ")</f>
        <v> </v>
      </c>
      <c r="P66" s="180" t="str">
        <f aca="false">IF((D66="i"),F66," ")</f>
        <v> </v>
      </c>
      <c r="Q66" s="180" t="str">
        <f aca="false">IF((D66="b"),F66," ")</f>
        <v> </v>
      </c>
      <c r="R66" s="180" t="str">
        <f aca="false">IF((D66="o"),F66," ")</f>
        <v> </v>
      </c>
      <c r="S66" s="180" t="str">
        <f aca="false">IF((D66="f"),F66," ")</f>
        <v> </v>
      </c>
      <c r="U66" s="371"/>
    </row>
    <row r="67" customFormat="false" ht="12.75" hidden="false" customHeight="false" outlineLevel="0" collapsed="false">
      <c r="D67" s="371" t="str">
        <f aca="false">IF((F67&lt;&gt;0),"Enter Letter"," ")</f>
        <v> </v>
      </c>
      <c r="G67" s="180" t="str">
        <f aca="false">IF((D67="d"),F67," ")</f>
        <v> </v>
      </c>
      <c r="H67" s="180" t="str">
        <f aca="false">IF((D67="h"),F67," ")</f>
        <v> </v>
      </c>
      <c r="I67" s="180" t="str">
        <f aca="false">IF((D67="r"),F67," ")</f>
        <v> </v>
      </c>
      <c r="J67" s="180" t="str">
        <f aca="false">IF((D67="t"),F67," ")</f>
        <v> </v>
      </c>
      <c r="K67" s="180" t="str">
        <f aca="false">IF((D67="e"),F67," ")</f>
        <v> </v>
      </c>
      <c r="L67" s="180" t="str">
        <f aca="false">IF((D67="p"),F67," ")</f>
        <v> </v>
      </c>
      <c r="M67" s="180" t="str">
        <f aca="false">IF((D67="g"),F67," ")</f>
        <v> </v>
      </c>
      <c r="N67" s="180" t="str">
        <f aca="false">IF((D67="a"),F67," ")</f>
        <v> </v>
      </c>
      <c r="O67" s="180" t="str">
        <f aca="false">IF((D67="l"),F67," ")</f>
        <v> </v>
      </c>
      <c r="P67" s="180" t="str">
        <f aca="false">IF((D67="i"),F67," ")</f>
        <v> </v>
      </c>
      <c r="Q67" s="180" t="str">
        <f aca="false">IF((D67="b"),F67," ")</f>
        <v> </v>
      </c>
      <c r="R67" s="180" t="str">
        <f aca="false">IF((D67="o"),F67," ")</f>
        <v> </v>
      </c>
      <c r="S67" s="180" t="str">
        <f aca="false">IF((D67="f"),F67," ")</f>
        <v> </v>
      </c>
      <c r="U67" s="371"/>
    </row>
    <row r="68" customFormat="false" ht="12.75" hidden="false" customHeight="false" outlineLevel="0" collapsed="false">
      <c r="D68" s="371" t="str">
        <f aca="false">IF((F68&lt;&gt;0),"Enter Letter"," ")</f>
        <v> </v>
      </c>
      <c r="G68" s="180" t="str">
        <f aca="false">IF((D68="d"),F68," ")</f>
        <v> </v>
      </c>
      <c r="H68" s="180" t="str">
        <f aca="false">IF((D68="h"),F68," ")</f>
        <v> </v>
      </c>
      <c r="I68" s="180" t="str">
        <f aca="false">IF((D68="r"),F68," ")</f>
        <v> </v>
      </c>
      <c r="J68" s="180" t="str">
        <f aca="false">IF((D68="t"),F68," ")</f>
        <v> </v>
      </c>
      <c r="K68" s="180" t="str">
        <f aca="false">IF((D68="e"),F68," ")</f>
        <v> </v>
      </c>
      <c r="L68" s="180" t="str">
        <f aca="false">IF((D68="p"),F68," ")</f>
        <v> </v>
      </c>
      <c r="M68" s="180" t="str">
        <f aca="false">IF((D68="g"),F68," ")</f>
        <v> </v>
      </c>
      <c r="N68" s="180" t="str">
        <f aca="false">IF((D68="a"),F68," ")</f>
        <v> </v>
      </c>
      <c r="O68" s="180" t="str">
        <f aca="false">IF((D68="l"),F68," ")</f>
        <v> </v>
      </c>
      <c r="P68" s="180" t="str">
        <f aca="false">IF((D68="i"),F68," ")</f>
        <v> </v>
      </c>
      <c r="Q68" s="180" t="str">
        <f aca="false">IF((D68="b"),F68," ")</f>
        <v> </v>
      </c>
      <c r="R68" s="180" t="str">
        <f aca="false">IF((D68="o"),F68," ")</f>
        <v> </v>
      </c>
      <c r="S68" s="180" t="str">
        <f aca="false">IF((D68="f"),F68," ")</f>
        <v> </v>
      </c>
      <c r="U68" s="371"/>
    </row>
    <row r="69" customFormat="false" ht="12.75" hidden="false" customHeight="false" outlineLevel="0" collapsed="false">
      <c r="D69" s="371" t="str">
        <f aca="false">IF((F69&lt;&gt;0),"Enter Letter"," ")</f>
        <v> </v>
      </c>
      <c r="G69" s="180" t="str">
        <f aca="false">IF((D69="d"),F69," ")</f>
        <v> </v>
      </c>
      <c r="H69" s="180" t="str">
        <f aca="false">IF((D69="h"),F69," ")</f>
        <v> </v>
      </c>
      <c r="I69" s="180" t="str">
        <f aca="false">IF((D69="r"),F69," ")</f>
        <v> </v>
      </c>
      <c r="J69" s="180" t="str">
        <f aca="false">IF((D69="t"),F69," ")</f>
        <v> </v>
      </c>
      <c r="K69" s="180" t="str">
        <f aca="false">IF((D69="e"),F69," ")</f>
        <v> </v>
      </c>
      <c r="L69" s="180" t="str">
        <f aca="false">IF((D69="p"),F69," ")</f>
        <v> </v>
      </c>
      <c r="M69" s="180" t="str">
        <f aca="false">IF((D69="g"),F69," ")</f>
        <v> </v>
      </c>
      <c r="N69" s="180" t="str">
        <f aca="false">IF((D69="a"),F69," ")</f>
        <v> </v>
      </c>
      <c r="O69" s="180" t="str">
        <f aca="false">IF((D69="l"),F69," ")</f>
        <v> </v>
      </c>
      <c r="P69" s="180" t="str">
        <f aca="false">IF((D69="i"),F69," ")</f>
        <v> </v>
      </c>
      <c r="Q69" s="180" t="str">
        <f aca="false">IF((D69="b"),F69," ")</f>
        <v> </v>
      </c>
      <c r="R69" s="180" t="str">
        <f aca="false">IF((D69="o"),F69," ")</f>
        <v> </v>
      </c>
      <c r="S69" s="180" t="str">
        <f aca="false">IF((D69="f"),F69," ")</f>
        <v> </v>
      </c>
      <c r="U69" s="371"/>
    </row>
    <row r="70" customFormat="false" ht="12.75" hidden="false" customHeight="false" outlineLevel="0" collapsed="false">
      <c r="D70" s="371" t="str">
        <f aca="false">IF((F70&lt;&gt;0),"Enter Letter"," ")</f>
        <v> </v>
      </c>
      <c r="G70" s="180" t="str">
        <f aca="false">IF((D70="d"),F70," ")</f>
        <v> </v>
      </c>
      <c r="H70" s="180" t="str">
        <f aca="false">IF((D70="h"),F70," ")</f>
        <v> </v>
      </c>
      <c r="I70" s="180" t="str">
        <f aca="false">IF((D70="r"),F70," ")</f>
        <v> </v>
      </c>
      <c r="J70" s="180" t="str">
        <f aca="false">IF((D70="t"),F70," ")</f>
        <v> </v>
      </c>
      <c r="K70" s="180" t="str">
        <f aca="false">IF((D70="e"),F70," ")</f>
        <v> </v>
      </c>
      <c r="L70" s="180" t="str">
        <f aca="false">IF((D70="p"),F70," ")</f>
        <v> </v>
      </c>
      <c r="M70" s="180" t="str">
        <f aca="false">IF((D70="g"),F70," ")</f>
        <v> </v>
      </c>
      <c r="N70" s="180" t="str">
        <f aca="false">IF((D70="a"),F70," ")</f>
        <v> </v>
      </c>
      <c r="O70" s="180" t="str">
        <f aca="false">IF((D70="l"),F70," ")</f>
        <v> </v>
      </c>
      <c r="P70" s="180" t="str">
        <f aca="false">IF((D70="i"),F70," ")</f>
        <v> </v>
      </c>
      <c r="Q70" s="180" t="str">
        <f aca="false">IF((D70="b"),F70," ")</f>
        <v> </v>
      </c>
      <c r="R70" s="180" t="str">
        <f aca="false">IF((D70="o"),F70," ")</f>
        <v> </v>
      </c>
      <c r="S70" s="180" t="str">
        <f aca="false">IF((D70="f"),F70," ")</f>
        <v> </v>
      </c>
      <c r="U70" s="371"/>
    </row>
    <row r="71" customFormat="false" ht="12.75" hidden="false" customHeight="false" outlineLevel="0" collapsed="false">
      <c r="D71" s="371" t="str">
        <f aca="false">IF((F71&lt;&gt;0),"Enter Letter"," ")</f>
        <v> </v>
      </c>
      <c r="G71" s="180" t="str">
        <f aca="false">IF((D71="d"),F71," ")</f>
        <v> </v>
      </c>
      <c r="H71" s="180" t="str">
        <f aca="false">IF((D71="h"),F71," ")</f>
        <v> </v>
      </c>
      <c r="I71" s="180" t="str">
        <f aca="false">IF((D71="r"),F71," ")</f>
        <v> </v>
      </c>
      <c r="J71" s="180" t="str">
        <f aca="false">IF((D71="t"),F71," ")</f>
        <v> </v>
      </c>
      <c r="K71" s="180" t="str">
        <f aca="false">IF((D71="e"),F71," ")</f>
        <v> </v>
      </c>
      <c r="L71" s="180" t="str">
        <f aca="false">IF((D71="p"),F71," ")</f>
        <v> </v>
      </c>
      <c r="M71" s="180" t="str">
        <f aca="false">IF((D71="g"),F71," ")</f>
        <v> </v>
      </c>
      <c r="N71" s="180" t="str">
        <f aca="false">IF((D71="a"),F71," ")</f>
        <v> </v>
      </c>
      <c r="O71" s="180" t="str">
        <f aca="false">IF((D71="l"),F71," ")</f>
        <v> </v>
      </c>
      <c r="P71" s="180" t="str">
        <f aca="false">IF((D71="i"),F71," ")</f>
        <v> </v>
      </c>
      <c r="Q71" s="180" t="str">
        <f aca="false">IF((D71="b"),F71," ")</f>
        <v> </v>
      </c>
      <c r="R71" s="180" t="str">
        <f aca="false">IF((D71="o"),F71," ")</f>
        <v> </v>
      </c>
      <c r="S71" s="180" t="str">
        <f aca="false">IF((D71="f"),F71," ")</f>
        <v> </v>
      </c>
      <c r="U71" s="371"/>
    </row>
    <row r="72" customFormat="false" ht="12.75" hidden="false" customHeight="false" outlineLevel="0" collapsed="false">
      <c r="D72" s="371" t="str">
        <f aca="false">IF((F72&lt;&gt;0),"Enter Letter"," ")</f>
        <v> </v>
      </c>
      <c r="G72" s="180" t="str">
        <f aca="false">IF((D72="d"),F72," ")</f>
        <v> </v>
      </c>
      <c r="H72" s="180" t="str">
        <f aca="false">IF((D72="h"),F72," ")</f>
        <v> </v>
      </c>
      <c r="I72" s="180" t="str">
        <f aca="false">IF((D72="r"),F72," ")</f>
        <v> </v>
      </c>
      <c r="J72" s="180" t="str">
        <f aca="false">IF((D72="t"),F72," ")</f>
        <v> </v>
      </c>
      <c r="K72" s="180" t="str">
        <f aca="false">IF((D72="e"),F72," ")</f>
        <v> </v>
      </c>
      <c r="L72" s="180" t="str">
        <f aca="false">IF((D72="p"),F72," ")</f>
        <v> </v>
      </c>
      <c r="M72" s="180" t="str">
        <f aca="false">IF((D72="g"),F72," ")</f>
        <v> </v>
      </c>
      <c r="N72" s="180" t="str">
        <f aca="false">IF((D72="a"),F72," ")</f>
        <v> </v>
      </c>
      <c r="O72" s="180" t="str">
        <f aca="false">IF((D72="l"),F72," ")</f>
        <v> </v>
      </c>
      <c r="P72" s="180" t="str">
        <f aca="false">IF((D72="i"),F72," ")</f>
        <v> </v>
      </c>
      <c r="Q72" s="180" t="str">
        <f aca="false">IF((D72="b"),F72," ")</f>
        <v> </v>
      </c>
      <c r="R72" s="180" t="str">
        <f aca="false">IF((D72="o"),F72," ")</f>
        <v> </v>
      </c>
      <c r="S72" s="180" t="str">
        <f aca="false">IF((D72="f"),F72," ")</f>
        <v> </v>
      </c>
      <c r="U72" s="371"/>
    </row>
    <row r="73" customFormat="false" ht="12.75" hidden="false" customHeight="false" outlineLevel="0" collapsed="false">
      <c r="D73" s="371" t="str">
        <f aca="false">IF((F73&lt;&gt;0),"Enter Letter"," ")</f>
        <v> </v>
      </c>
      <c r="G73" s="180" t="str">
        <f aca="false">IF((D73="d"),F73," ")</f>
        <v> </v>
      </c>
      <c r="H73" s="180" t="str">
        <f aca="false">IF((D73="h"),F73," ")</f>
        <v> </v>
      </c>
      <c r="I73" s="180" t="str">
        <f aca="false">IF((D73="r"),F73," ")</f>
        <v> </v>
      </c>
      <c r="J73" s="180" t="str">
        <f aca="false">IF((D73="t"),F73," ")</f>
        <v> </v>
      </c>
      <c r="K73" s="180" t="str">
        <f aca="false">IF((D73="e"),F73," ")</f>
        <v> </v>
      </c>
      <c r="L73" s="180" t="str">
        <f aca="false">IF((D73="p"),F73," ")</f>
        <v> </v>
      </c>
      <c r="M73" s="180" t="str">
        <f aca="false">IF((D73="g"),F73," ")</f>
        <v> </v>
      </c>
      <c r="N73" s="180" t="str">
        <f aca="false">IF((D73="a"),F73," ")</f>
        <v> </v>
      </c>
      <c r="O73" s="180" t="str">
        <f aca="false">IF((D73="l"),F73," ")</f>
        <v> </v>
      </c>
      <c r="P73" s="180" t="str">
        <f aca="false">IF((D73="i"),F73," ")</f>
        <v> </v>
      </c>
      <c r="Q73" s="180" t="str">
        <f aca="false">IF((D73="b"),F73," ")</f>
        <v> </v>
      </c>
      <c r="R73" s="180" t="str">
        <f aca="false">IF((D73="o"),F73," ")</f>
        <v> </v>
      </c>
      <c r="S73" s="180" t="str">
        <f aca="false">IF((D73="f"),F73," ")</f>
        <v> </v>
      </c>
      <c r="U73" s="371"/>
    </row>
    <row r="74" customFormat="false" ht="12.75" hidden="false" customHeight="false" outlineLevel="0" collapsed="false">
      <c r="D74" s="371" t="str">
        <f aca="false">IF((F74&lt;&gt;0),"Enter Letter"," ")</f>
        <v> </v>
      </c>
      <c r="G74" s="180" t="str">
        <f aca="false">IF((D74="d"),F74," ")</f>
        <v> </v>
      </c>
      <c r="H74" s="180" t="str">
        <f aca="false">IF((D74="h"),F74," ")</f>
        <v> </v>
      </c>
      <c r="I74" s="180" t="str">
        <f aca="false">IF((D74="r"),F74," ")</f>
        <v> </v>
      </c>
      <c r="J74" s="180" t="str">
        <f aca="false">IF((D74="t"),F74," ")</f>
        <v> </v>
      </c>
      <c r="K74" s="180" t="str">
        <f aca="false">IF((D74="e"),F74," ")</f>
        <v> </v>
      </c>
      <c r="L74" s="180" t="str">
        <f aca="false">IF((D74="p"),F74," ")</f>
        <v> </v>
      </c>
      <c r="M74" s="180" t="str">
        <f aca="false">IF((D74="g"),F74," ")</f>
        <v> </v>
      </c>
      <c r="N74" s="180" t="str">
        <f aca="false">IF((D74="a"),F74," ")</f>
        <v> </v>
      </c>
      <c r="O74" s="180" t="str">
        <f aca="false">IF((D74="l"),F74," ")</f>
        <v> </v>
      </c>
      <c r="P74" s="180" t="str">
        <f aca="false">IF((D74="i"),F74," ")</f>
        <v> </v>
      </c>
      <c r="Q74" s="180" t="str">
        <f aca="false">IF((D74="b"),F74," ")</f>
        <v> </v>
      </c>
      <c r="R74" s="180" t="str">
        <f aca="false">IF((D74="o"),F74," ")</f>
        <v> </v>
      </c>
      <c r="S74" s="180" t="str">
        <f aca="false">IF((D74="f"),F74," ")</f>
        <v> </v>
      </c>
      <c r="U74" s="371"/>
    </row>
    <row r="75" customFormat="false" ht="12.75" hidden="false" customHeight="false" outlineLevel="0" collapsed="false">
      <c r="D75" s="371" t="str">
        <f aca="false">IF((F75&lt;&gt;0),"Enter Letter"," ")</f>
        <v> </v>
      </c>
      <c r="G75" s="180" t="str">
        <f aca="false">IF((D75="d"),F75," ")</f>
        <v> </v>
      </c>
      <c r="H75" s="180" t="str">
        <f aca="false">IF((D75="h"),F75," ")</f>
        <v> </v>
      </c>
      <c r="I75" s="180" t="str">
        <f aca="false">IF((D75="r"),F75," ")</f>
        <v> </v>
      </c>
      <c r="J75" s="180" t="str">
        <f aca="false">IF((D75="t"),F75," ")</f>
        <v> </v>
      </c>
      <c r="K75" s="180" t="str">
        <f aca="false">IF((D75="e"),F75," ")</f>
        <v> </v>
      </c>
      <c r="L75" s="180" t="str">
        <f aca="false">IF((D75="p"),F75," ")</f>
        <v> </v>
      </c>
      <c r="M75" s="180" t="str">
        <f aca="false">IF((D75="g"),F75," ")</f>
        <v> </v>
      </c>
      <c r="N75" s="180" t="str">
        <f aca="false">IF((D75="a"),F75," ")</f>
        <v> </v>
      </c>
      <c r="O75" s="180" t="str">
        <f aca="false">IF((D75="l"),F75," ")</f>
        <v> </v>
      </c>
      <c r="P75" s="180" t="str">
        <f aca="false">IF((D75="i"),F75," ")</f>
        <v> </v>
      </c>
      <c r="Q75" s="180" t="str">
        <f aca="false">IF((D75="b"),F75," ")</f>
        <v> </v>
      </c>
      <c r="R75" s="180" t="str">
        <f aca="false">IF((D75="o"),F75," ")</f>
        <v> </v>
      </c>
      <c r="S75" s="180" t="str">
        <f aca="false">IF((D75="f"),F75," ")</f>
        <v> </v>
      </c>
      <c r="U75" s="371"/>
    </row>
    <row r="76" customFormat="false" ht="12.75" hidden="false" customHeight="false" outlineLevel="0" collapsed="false">
      <c r="D76" s="371" t="str">
        <f aca="false">IF((F76&lt;&gt;0),"Enter Letter"," ")</f>
        <v> </v>
      </c>
      <c r="G76" s="180" t="str">
        <f aca="false">IF((D76="d"),F76," ")</f>
        <v> </v>
      </c>
      <c r="H76" s="180" t="str">
        <f aca="false">IF((D76="h"),F76," ")</f>
        <v> </v>
      </c>
      <c r="I76" s="180" t="str">
        <f aca="false">IF((D76="r"),F76," ")</f>
        <v> </v>
      </c>
      <c r="J76" s="180" t="str">
        <f aca="false">IF((D76="t"),F76," ")</f>
        <v> </v>
      </c>
      <c r="K76" s="180" t="str">
        <f aca="false">IF((D76="e"),F76," ")</f>
        <v> </v>
      </c>
      <c r="L76" s="180" t="str">
        <f aca="false">IF((D76="p"),F76," ")</f>
        <v> </v>
      </c>
      <c r="M76" s="180" t="str">
        <f aca="false">IF((D76="g"),F76," ")</f>
        <v> </v>
      </c>
      <c r="N76" s="180" t="str">
        <f aca="false">IF((D76="a"),F76," ")</f>
        <v> </v>
      </c>
      <c r="O76" s="180" t="str">
        <f aca="false">IF((D76="l"),F76," ")</f>
        <v> </v>
      </c>
      <c r="P76" s="180" t="str">
        <f aca="false">IF((D76="i"),F76," ")</f>
        <v> </v>
      </c>
      <c r="Q76" s="180" t="str">
        <f aca="false">IF((D76="b"),F76," ")</f>
        <v> </v>
      </c>
      <c r="R76" s="180" t="str">
        <f aca="false">IF((D76="o"),F76," ")</f>
        <v> </v>
      </c>
      <c r="S76" s="180" t="str">
        <f aca="false">IF((D76="f"),F76," ")</f>
        <v> </v>
      </c>
      <c r="U76" s="371"/>
    </row>
    <row r="77" customFormat="false" ht="12.75" hidden="false" customHeight="false" outlineLevel="0" collapsed="false">
      <c r="D77" s="371" t="str">
        <f aca="false">IF((F77&lt;&gt;0),"Enter Letter"," ")</f>
        <v> </v>
      </c>
      <c r="G77" s="180" t="str">
        <f aca="false">IF((D77="d"),F77," ")</f>
        <v> </v>
      </c>
      <c r="H77" s="180" t="str">
        <f aca="false">IF((D77="h"),F77," ")</f>
        <v> </v>
      </c>
      <c r="I77" s="180" t="str">
        <f aca="false">IF((D77="r"),F77," ")</f>
        <v> </v>
      </c>
      <c r="J77" s="180" t="str">
        <f aca="false">IF((D77="t"),F77," ")</f>
        <v> </v>
      </c>
      <c r="K77" s="180" t="str">
        <f aca="false">IF((D77="e"),F77," ")</f>
        <v> </v>
      </c>
      <c r="L77" s="180" t="str">
        <f aca="false">IF((D77="p"),F77," ")</f>
        <v> </v>
      </c>
      <c r="M77" s="180" t="str">
        <f aca="false">IF((D77="g"),F77," ")</f>
        <v> </v>
      </c>
      <c r="N77" s="180" t="str">
        <f aca="false">IF((D77="a"),F77," ")</f>
        <v> </v>
      </c>
      <c r="O77" s="180" t="str">
        <f aca="false">IF((D77="l"),F77," ")</f>
        <v> </v>
      </c>
      <c r="P77" s="180" t="str">
        <f aca="false">IF((D77="i"),F77," ")</f>
        <v> </v>
      </c>
      <c r="Q77" s="180" t="str">
        <f aca="false">IF((D77="b"),F77," ")</f>
        <v> </v>
      </c>
      <c r="R77" s="180" t="str">
        <f aca="false">IF((D77="o"),F77," ")</f>
        <v> </v>
      </c>
      <c r="S77" s="180" t="str">
        <f aca="false">IF((D77="f"),F77," ")</f>
        <v> </v>
      </c>
      <c r="U77" s="371"/>
    </row>
    <row r="78" customFormat="false" ht="12.75" hidden="false" customHeight="false" outlineLevel="0" collapsed="false">
      <c r="D78" s="371" t="str">
        <f aca="false">IF((F78&lt;&gt;0),"Enter Letter"," ")</f>
        <v> </v>
      </c>
      <c r="G78" s="180" t="str">
        <f aca="false">IF((D78="d"),F78," ")</f>
        <v> </v>
      </c>
      <c r="H78" s="180" t="str">
        <f aca="false">IF((D78="h"),F78," ")</f>
        <v> </v>
      </c>
      <c r="I78" s="180" t="str">
        <f aca="false">IF((D78="r"),F78," ")</f>
        <v> </v>
      </c>
      <c r="J78" s="180" t="str">
        <f aca="false">IF((D78="t"),F78," ")</f>
        <v> </v>
      </c>
      <c r="K78" s="180" t="str">
        <f aca="false">IF((D78="e"),F78," ")</f>
        <v> </v>
      </c>
      <c r="L78" s="180" t="str">
        <f aca="false">IF((D78="p"),F78," ")</f>
        <v> </v>
      </c>
      <c r="M78" s="180" t="str">
        <f aca="false">IF((D78="g"),F78," ")</f>
        <v> </v>
      </c>
      <c r="N78" s="180" t="str">
        <f aca="false">IF((D78="a"),F78," ")</f>
        <v> </v>
      </c>
      <c r="O78" s="180" t="str">
        <f aca="false">IF((D78="l"),F78," ")</f>
        <v> </v>
      </c>
      <c r="P78" s="180" t="str">
        <f aca="false">IF((D78="i"),F78," ")</f>
        <v> </v>
      </c>
      <c r="Q78" s="180" t="str">
        <f aca="false">IF((D78="b"),F78," ")</f>
        <v> </v>
      </c>
      <c r="R78" s="180" t="str">
        <f aca="false">IF((D78="o"),F78," ")</f>
        <v> </v>
      </c>
      <c r="S78" s="180" t="str">
        <f aca="false">IF((D78="f"),F78," ")</f>
        <v> </v>
      </c>
      <c r="U78" s="371"/>
    </row>
    <row r="79" customFormat="false" ht="12.75" hidden="false" customHeight="false" outlineLevel="0" collapsed="false">
      <c r="D79" s="371" t="str">
        <f aca="false">IF((F79&lt;&gt;0),"Enter Letter"," ")</f>
        <v> </v>
      </c>
      <c r="G79" s="180" t="str">
        <f aca="false">IF((D79="d"),F79," ")</f>
        <v> </v>
      </c>
      <c r="H79" s="180" t="str">
        <f aca="false">IF((D79="h"),F79," ")</f>
        <v> </v>
      </c>
      <c r="I79" s="180" t="str">
        <f aca="false">IF((D79="r"),F79," ")</f>
        <v> </v>
      </c>
      <c r="J79" s="180" t="str">
        <f aca="false">IF((D79="t"),F79," ")</f>
        <v> </v>
      </c>
      <c r="K79" s="180" t="str">
        <f aca="false">IF((D79="e"),F79," ")</f>
        <v> </v>
      </c>
      <c r="L79" s="180" t="str">
        <f aca="false">IF((D79="p"),F79," ")</f>
        <v> </v>
      </c>
      <c r="M79" s="180" t="str">
        <f aca="false">IF((D79="g"),F79," ")</f>
        <v> </v>
      </c>
      <c r="N79" s="180" t="str">
        <f aca="false">IF((D79="a"),F79," ")</f>
        <v> </v>
      </c>
      <c r="O79" s="180" t="str">
        <f aca="false">IF((D79="l"),F79," ")</f>
        <v> </v>
      </c>
      <c r="P79" s="180" t="str">
        <f aca="false">IF((D79="i"),F79," ")</f>
        <v> </v>
      </c>
      <c r="Q79" s="180" t="str">
        <f aca="false">IF((D79="b"),F79," ")</f>
        <v> </v>
      </c>
      <c r="R79" s="180" t="str">
        <f aca="false">IF((D79="o"),F79," ")</f>
        <v> </v>
      </c>
      <c r="S79" s="180" t="str">
        <f aca="false">IF((D79="f"),F79," ")</f>
        <v> </v>
      </c>
      <c r="U79" s="371"/>
    </row>
    <row r="80" customFormat="false" ht="12.75" hidden="false" customHeight="false" outlineLevel="0" collapsed="false">
      <c r="D80" s="371" t="str">
        <f aca="false">IF((F80&lt;&gt;0),"Enter Letter"," ")</f>
        <v> </v>
      </c>
      <c r="G80" s="180" t="str">
        <f aca="false">IF((D80="d"),F80," ")</f>
        <v> </v>
      </c>
      <c r="H80" s="180" t="str">
        <f aca="false">IF((D80="h"),F80," ")</f>
        <v> </v>
      </c>
      <c r="I80" s="180" t="str">
        <f aca="false">IF((D80="r"),F80," ")</f>
        <v> </v>
      </c>
      <c r="J80" s="180" t="str">
        <f aca="false">IF((D80="t"),F80," ")</f>
        <v> </v>
      </c>
      <c r="K80" s="180" t="str">
        <f aca="false">IF((D80="e"),F80," ")</f>
        <v> </v>
      </c>
      <c r="L80" s="180" t="str">
        <f aca="false">IF((D80="p"),F80," ")</f>
        <v> </v>
      </c>
      <c r="M80" s="180" t="str">
        <f aca="false">IF((D80="g"),F80," ")</f>
        <v> </v>
      </c>
      <c r="N80" s="180" t="str">
        <f aca="false">IF((D80="a"),F80," ")</f>
        <v> </v>
      </c>
      <c r="O80" s="180" t="str">
        <f aca="false">IF((D80="l"),F80," ")</f>
        <v> </v>
      </c>
      <c r="P80" s="180" t="str">
        <f aca="false">IF((D80="i"),F80," ")</f>
        <v> </v>
      </c>
      <c r="Q80" s="180" t="str">
        <f aca="false">IF((D80="b"),F80," ")</f>
        <v> </v>
      </c>
      <c r="R80" s="180" t="str">
        <f aca="false">IF((D80="o"),F80," ")</f>
        <v> </v>
      </c>
      <c r="S80" s="180" t="str">
        <f aca="false">IF((D80="f"),F80," ")</f>
        <v> </v>
      </c>
      <c r="U80" s="371"/>
    </row>
    <row r="81" customFormat="false" ht="12.75" hidden="false" customHeight="false" outlineLevel="0" collapsed="false">
      <c r="D81" s="371" t="str">
        <f aca="false">IF((F81&lt;&gt;0),"Enter Letter"," ")</f>
        <v> </v>
      </c>
      <c r="G81" s="180" t="str">
        <f aca="false">IF((D81="d"),F81," ")</f>
        <v> </v>
      </c>
      <c r="H81" s="180" t="str">
        <f aca="false">IF((D81="h"),F81," ")</f>
        <v> </v>
      </c>
      <c r="I81" s="180" t="str">
        <f aca="false">IF((D81="r"),F81," ")</f>
        <v> </v>
      </c>
      <c r="J81" s="180" t="str">
        <f aca="false">IF((D81="t"),F81," ")</f>
        <v> </v>
      </c>
      <c r="K81" s="180" t="str">
        <f aca="false">IF((D81="e"),F81," ")</f>
        <v> </v>
      </c>
      <c r="L81" s="180" t="str">
        <f aca="false">IF((D81="p"),F81," ")</f>
        <v> </v>
      </c>
      <c r="M81" s="180" t="str">
        <f aca="false">IF((D81="g"),F81," ")</f>
        <v> </v>
      </c>
      <c r="N81" s="180" t="str">
        <f aca="false">IF((D81="a"),F81," ")</f>
        <v> </v>
      </c>
      <c r="O81" s="180" t="str">
        <f aca="false">IF((D81="l"),F81," ")</f>
        <v> </v>
      </c>
      <c r="P81" s="180" t="str">
        <f aca="false">IF((D81="i"),F81," ")</f>
        <v> </v>
      </c>
      <c r="Q81" s="180" t="str">
        <f aca="false">IF((D81="b"),F81," ")</f>
        <v> </v>
      </c>
      <c r="R81" s="180" t="str">
        <f aca="false">IF((D81="o"),F81," ")</f>
        <v> </v>
      </c>
      <c r="S81" s="180" t="str">
        <f aca="false">IF((D81="f"),F81," ")</f>
        <v> </v>
      </c>
      <c r="U81" s="371"/>
    </row>
    <row r="82" customFormat="false" ht="12.75" hidden="false" customHeight="false" outlineLevel="0" collapsed="false">
      <c r="D82" s="371" t="str">
        <f aca="false">IF((F82&lt;&gt;0),"Enter Letter"," ")</f>
        <v> </v>
      </c>
      <c r="G82" s="180" t="str">
        <f aca="false">IF((D82="d"),F82," ")</f>
        <v> </v>
      </c>
      <c r="H82" s="180" t="str">
        <f aca="false">IF((D82="h"),F82," ")</f>
        <v> </v>
      </c>
      <c r="I82" s="180" t="str">
        <f aca="false">IF((D82="r"),F82," ")</f>
        <v> </v>
      </c>
      <c r="J82" s="180" t="str">
        <f aca="false">IF((D82="t"),F82," ")</f>
        <v> </v>
      </c>
      <c r="K82" s="180" t="str">
        <f aca="false">IF((D82="e"),F82," ")</f>
        <v> </v>
      </c>
      <c r="L82" s="180" t="str">
        <f aca="false">IF((D82="p"),F82," ")</f>
        <v> </v>
      </c>
      <c r="M82" s="180" t="str">
        <f aca="false">IF((D82="g"),F82," ")</f>
        <v> </v>
      </c>
      <c r="N82" s="180" t="str">
        <f aca="false">IF((D82="a"),F82," ")</f>
        <v> </v>
      </c>
      <c r="O82" s="180" t="str">
        <f aca="false">IF((D82="l"),F82," ")</f>
        <v> </v>
      </c>
      <c r="P82" s="180" t="str">
        <f aca="false">IF((D82="i"),F82," ")</f>
        <v> </v>
      </c>
      <c r="Q82" s="180" t="str">
        <f aca="false">IF((D82="b"),F82," ")</f>
        <v> </v>
      </c>
      <c r="R82" s="180" t="str">
        <f aca="false">IF((D82="o"),F82," ")</f>
        <v> </v>
      </c>
      <c r="S82" s="180" t="str">
        <f aca="false">IF((D82="f"),F82," ")</f>
        <v> </v>
      </c>
      <c r="U82" s="371"/>
    </row>
    <row r="83" customFormat="false" ht="12.75" hidden="false" customHeight="false" outlineLevel="0" collapsed="false">
      <c r="D83" s="371" t="str">
        <f aca="false">IF((F83&lt;&gt;0),"Enter Letter"," ")</f>
        <v> </v>
      </c>
      <c r="G83" s="180" t="str">
        <f aca="false">IF((D83="d"),F83," ")</f>
        <v> </v>
      </c>
      <c r="H83" s="180" t="str">
        <f aca="false">IF((D83="h"),F83," ")</f>
        <v> </v>
      </c>
      <c r="I83" s="180" t="str">
        <f aca="false">IF((D83="r"),F83," ")</f>
        <v> </v>
      </c>
      <c r="J83" s="180" t="str">
        <f aca="false">IF((D83="t"),F83," ")</f>
        <v> </v>
      </c>
      <c r="K83" s="180" t="str">
        <f aca="false">IF((D83="e"),F83," ")</f>
        <v> </v>
      </c>
      <c r="L83" s="180" t="str">
        <f aca="false">IF((D83="p"),F83," ")</f>
        <v> </v>
      </c>
      <c r="M83" s="180" t="str">
        <f aca="false">IF((D83="g"),F83," ")</f>
        <v> </v>
      </c>
      <c r="N83" s="180" t="str">
        <f aca="false">IF((D83="a"),F83," ")</f>
        <v> </v>
      </c>
      <c r="O83" s="180" t="str">
        <f aca="false">IF((D83="l"),F83," ")</f>
        <v> </v>
      </c>
      <c r="P83" s="180" t="str">
        <f aca="false">IF((D83="i"),F83," ")</f>
        <v> </v>
      </c>
      <c r="Q83" s="180" t="str">
        <f aca="false">IF((D83="b"),F83," ")</f>
        <v> </v>
      </c>
      <c r="R83" s="180" t="str">
        <f aca="false">IF((D83="o"),F83," ")</f>
        <v> </v>
      </c>
      <c r="S83" s="180" t="str">
        <f aca="false">IF((D83="f"),F83," ")</f>
        <v> </v>
      </c>
      <c r="U83" s="371"/>
    </row>
    <row r="84" customFormat="false" ht="12.75" hidden="false" customHeight="false" outlineLevel="0" collapsed="false">
      <c r="D84" s="371" t="str">
        <f aca="false">IF((F84&lt;&gt;0),"Enter Letter"," ")</f>
        <v> </v>
      </c>
      <c r="G84" s="180" t="str">
        <f aca="false">IF((D84="d"),F84," ")</f>
        <v> </v>
      </c>
      <c r="H84" s="180" t="str">
        <f aca="false">IF((D84="h"),F84," ")</f>
        <v> </v>
      </c>
      <c r="I84" s="180" t="str">
        <f aca="false">IF((D84="r"),F84," ")</f>
        <v> </v>
      </c>
      <c r="J84" s="180" t="str">
        <f aca="false">IF((D84="t"),F84," ")</f>
        <v> </v>
      </c>
      <c r="K84" s="180" t="str">
        <f aca="false">IF((D84="e"),F84," ")</f>
        <v> </v>
      </c>
      <c r="L84" s="180" t="str">
        <f aca="false">IF((D84="p"),F84," ")</f>
        <v> </v>
      </c>
      <c r="M84" s="180" t="str">
        <f aca="false">IF((D84="g"),F84," ")</f>
        <v> </v>
      </c>
      <c r="N84" s="180" t="str">
        <f aca="false">IF((D84="a"),F84," ")</f>
        <v> </v>
      </c>
      <c r="O84" s="180" t="str">
        <f aca="false">IF((D84="l"),F84," ")</f>
        <v> </v>
      </c>
      <c r="P84" s="180" t="str">
        <f aca="false">IF((D84="i"),F84," ")</f>
        <v> </v>
      </c>
      <c r="Q84" s="180" t="str">
        <f aca="false">IF((D84="b"),F84," ")</f>
        <v> </v>
      </c>
      <c r="R84" s="180" t="str">
        <f aca="false">IF((D84="o"),F84," ")</f>
        <v> </v>
      </c>
      <c r="S84" s="180" t="str">
        <f aca="false">IF((D84="f"),F84," ")</f>
        <v> </v>
      </c>
      <c r="U84" s="371"/>
    </row>
    <row r="85" customFormat="false" ht="12.75" hidden="false" customHeight="false" outlineLevel="0" collapsed="false">
      <c r="D85" s="371" t="str">
        <f aca="false">IF((F85&lt;&gt;0),"Enter Letter"," ")</f>
        <v> </v>
      </c>
      <c r="G85" s="180" t="str">
        <f aca="false">IF((D85="d"),F85," ")</f>
        <v> </v>
      </c>
      <c r="H85" s="180" t="str">
        <f aca="false">IF((D85="h"),F85," ")</f>
        <v> </v>
      </c>
      <c r="I85" s="180" t="str">
        <f aca="false">IF((D85="r"),F85," ")</f>
        <v> </v>
      </c>
      <c r="J85" s="180" t="str">
        <f aca="false">IF((D85="t"),F85," ")</f>
        <v> </v>
      </c>
      <c r="K85" s="180" t="str">
        <f aca="false">IF((D85="e"),F85," ")</f>
        <v> </v>
      </c>
      <c r="L85" s="180" t="str">
        <f aca="false">IF((D85="p"),F85," ")</f>
        <v> </v>
      </c>
      <c r="M85" s="180" t="str">
        <f aca="false">IF((D85="g"),F85," ")</f>
        <v> </v>
      </c>
      <c r="N85" s="180" t="str">
        <f aca="false">IF((D85="a"),F85," ")</f>
        <v> </v>
      </c>
      <c r="O85" s="180" t="str">
        <f aca="false">IF((D85="l"),F85," ")</f>
        <v> </v>
      </c>
      <c r="P85" s="180" t="str">
        <f aca="false">IF((D85="i"),F85," ")</f>
        <v> </v>
      </c>
      <c r="Q85" s="180" t="str">
        <f aca="false">IF((D85="b"),F85," ")</f>
        <v> </v>
      </c>
      <c r="R85" s="180" t="str">
        <f aca="false">IF((D85="o"),F85," ")</f>
        <v> </v>
      </c>
      <c r="S85" s="180" t="str">
        <f aca="false">IF((D85="f"),F85," ")</f>
        <v> </v>
      </c>
      <c r="U85" s="371"/>
    </row>
    <row r="86" customFormat="false" ht="12.75" hidden="false" customHeight="false" outlineLevel="0" collapsed="false">
      <c r="D86" s="371" t="str">
        <f aca="false">IF((F86&lt;&gt;0),"Enter Letter"," ")</f>
        <v> </v>
      </c>
      <c r="G86" s="180" t="str">
        <f aca="false">IF((D86="d"),F86," ")</f>
        <v> </v>
      </c>
      <c r="H86" s="180" t="str">
        <f aca="false">IF((D86="h"),F86," ")</f>
        <v> </v>
      </c>
      <c r="I86" s="180" t="str">
        <f aca="false">IF((D86="r"),F86," ")</f>
        <v> </v>
      </c>
      <c r="J86" s="180" t="str">
        <f aca="false">IF((D86="t"),F86," ")</f>
        <v> </v>
      </c>
      <c r="K86" s="180" t="str">
        <f aca="false">IF((D86="e"),F86," ")</f>
        <v> </v>
      </c>
      <c r="L86" s="180" t="str">
        <f aca="false">IF((D86="p"),F86," ")</f>
        <v> </v>
      </c>
      <c r="M86" s="180" t="str">
        <f aca="false">IF((D86="g"),F86," ")</f>
        <v> </v>
      </c>
      <c r="N86" s="180" t="str">
        <f aca="false">IF((D86="a"),F86," ")</f>
        <v> </v>
      </c>
      <c r="O86" s="180" t="str">
        <f aca="false">IF((D86="l"),F86," ")</f>
        <v> </v>
      </c>
      <c r="P86" s="180" t="str">
        <f aca="false">IF((D86="i"),F86," ")</f>
        <v> </v>
      </c>
      <c r="Q86" s="180" t="str">
        <f aca="false">IF((D86="b"),F86," ")</f>
        <v> </v>
      </c>
      <c r="R86" s="180" t="str">
        <f aca="false">IF((D86="o"),F86," ")</f>
        <v> </v>
      </c>
      <c r="S86" s="180" t="str">
        <f aca="false">IF((D86="f"),F86," ")</f>
        <v> </v>
      </c>
      <c r="U86" s="371"/>
    </row>
    <row r="87" customFormat="false" ht="12.75" hidden="false" customHeight="false" outlineLevel="0" collapsed="false">
      <c r="D87" s="371" t="str">
        <f aca="false">IF((F87&lt;&gt;0),"Enter Letter"," ")</f>
        <v> </v>
      </c>
      <c r="G87" s="180" t="str">
        <f aca="false">IF((D87="d"),F87," ")</f>
        <v> </v>
      </c>
      <c r="H87" s="180" t="str">
        <f aca="false">IF((D87="h"),F87," ")</f>
        <v> </v>
      </c>
      <c r="I87" s="180" t="str">
        <f aca="false">IF((D87="r"),F87," ")</f>
        <v> </v>
      </c>
      <c r="J87" s="180" t="str">
        <f aca="false">IF((D87="t"),F87," ")</f>
        <v> </v>
      </c>
      <c r="K87" s="180" t="str">
        <f aca="false">IF((D87="e"),F87," ")</f>
        <v> </v>
      </c>
      <c r="L87" s="180" t="str">
        <f aca="false">IF((D87="p"),F87," ")</f>
        <v> </v>
      </c>
      <c r="M87" s="180" t="str">
        <f aca="false">IF((D87="g"),F87," ")</f>
        <v> </v>
      </c>
      <c r="N87" s="180" t="str">
        <f aca="false">IF((D87="a"),F87," ")</f>
        <v> </v>
      </c>
      <c r="O87" s="180" t="str">
        <f aca="false">IF((D87="l"),F87," ")</f>
        <v> </v>
      </c>
      <c r="P87" s="180" t="str">
        <f aca="false">IF((D87="i"),F87," ")</f>
        <v> </v>
      </c>
      <c r="Q87" s="180" t="str">
        <f aca="false">IF((D87="b"),F87," ")</f>
        <v> </v>
      </c>
      <c r="R87" s="180" t="str">
        <f aca="false">IF((D87="o"),F87," ")</f>
        <v> </v>
      </c>
      <c r="S87" s="180" t="str">
        <f aca="false">IF((D87="f"),F87," ")</f>
        <v> </v>
      </c>
      <c r="U87" s="371"/>
    </row>
    <row r="88" customFormat="false" ht="12.75" hidden="false" customHeight="false" outlineLevel="0" collapsed="false">
      <c r="D88" s="371" t="str">
        <f aca="false">IF((F88&lt;&gt;0),"Enter Letter"," ")</f>
        <v> </v>
      </c>
      <c r="G88" s="180" t="str">
        <f aca="false">IF((D88="d"),F88," ")</f>
        <v> </v>
      </c>
      <c r="H88" s="180" t="str">
        <f aca="false">IF((D88="h"),F88," ")</f>
        <v> </v>
      </c>
      <c r="I88" s="180" t="str">
        <f aca="false">IF((D88="r"),F88," ")</f>
        <v> </v>
      </c>
      <c r="J88" s="180" t="str">
        <f aca="false">IF((D88="t"),F88," ")</f>
        <v> </v>
      </c>
      <c r="K88" s="180" t="str">
        <f aca="false">IF((D88="e"),F88," ")</f>
        <v> </v>
      </c>
      <c r="L88" s="180" t="str">
        <f aca="false">IF((D88="p"),F88," ")</f>
        <v> </v>
      </c>
      <c r="M88" s="180" t="str">
        <f aca="false">IF((D88="g"),F88," ")</f>
        <v> </v>
      </c>
      <c r="N88" s="180" t="str">
        <f aca="false">IF((D88="a"),F88," ")</f>
        <v> </v>
      </c>
      <c r="O88" s="180" t="str">
        <f aca="false">IF((D88="l"),F88," ")</f>
        <v> </v>
      </c>
      <c r="P88" s="180" t="str">
        <f aca="false">IF((D88="i"),F88," ")</f>
        <v> </v>
      </c>
      <c r="Q88" s="180" t="str">
        <f aca="false">IF((D88="b"),F88," ")</f>
        <v> </v>
      </c>
      <c r="R88" s="180" t="str">
        <f aca="false">IF((D88="o"),F88," ")</f>
        <v> </v>
      </c>
      <c r="S88" s="180" t="str">
        <f aca="false">IF((D88="f"),F88," ")</f>
        <v> </v>
      </c>
      <c r="U88" s="371"/>
    </row>
    <row r="89" customFormat="false" ht="12.75" hidden="false" customHeight="false" outlineLevel="0" collapsed="false">
      <c r="D89" s="371" t="str">
        <f aca="false">IF((F89&lt;&gt;0),"Enter Letter"," ")</f>
        <v> </v>
      </c>
      <c r="G89" s="180" t="str">
        <f aca="false">IF((D89="d"),F89," ")</f>
        <v> </v>
      </c>
      <c r="H89" s="180" t="str">
        <f aca="false">IF((D89="h"),F89," ")</f>
        <v> </v>
      </c>
      <c r="I89" s="180" t="str">
        <f aca="false">IF((D89="r"),F89," ")</f>
        <v> </v>
      </c>
      <c r="J89" s="180" t="str">
        <f aca="false">IF((D89="t"),F89," ")</f>
        <v> </v>
      </c>
      <c r="K89" s="180" t="str">
        <f aca="false">IF((D89="e"),F89," ")</f>
        <v> </v>
      </c>
      <c r="L89" s="180" t="str">
        <f aca="false">IF((D89="p"),F89," ")</f>
        <v> </v>
      </c>
      <c r="M89" s="180" t="str">
        <f aca="false">IF((D89="g"),F89," ")</f>
        <v> </v>
      </c>
      <c r="N89" s="180" t="str">
        <f aca="false">IF((D89="a"),F89," ")</f>
        <v> </v>
      </c>
      <c r="O89" s="180" t="str">
        <f aca="false">IF((D89="l"),F89," ")</f>
        <v> </v>
      </c>
      <c r="P89" s="180" t="str">
        <f aca="false">IF((D89="i"),F89," ")</f>
        <v> </v>
      </c>
      <c r="Q89" s="180" t="str">
        <f aca="false">IF((D89="b"),F89," ")</f>
        <v> </v>
      </c>
      <c r="R89" s="180" t="str">
        <f aca="false">IF((D89="o"),F89," ")</f>
        <v> </v>
      </c>
      <c r="S89" s="180" t="str">
        <f aca="false">IF((D89="f"),F89," ")</f>
        <v> </v>
      </c>
      <c r="U89" s="371"/>
    </row>
    <row r="90" customFormat="false" ht="12.75" hidden="false" customHeight="false" outlineLevel="0" collapsed="false">
      <c r="D90" s="371" t="str">
        <f aca="false">IF((F90&lt;&gt;0),"Enter Letter"," ")</f>
        <v> </v>
      </c>
      <c r="G90" s="180" t="str">
        <f aca="false">IF((D90="d"),F90," ")</f>
        <v> </v>
      </c>
      <c r="H90" s="180" t="str">
        <f aca="false">IF((D90="h"),F90," ")</f>
        <v> </v>
      </c>
      <c r="I90" s="180" t="str">
        <f aca="false">IF((D90="r"),F90," ")</f>
        <v> </v>
      </c>
      <c r="J90" s="180" t="str">
        <f aca="false">IF((D90="t"),F90," ")</f>
        <v> </v>
      </c>
      <c r="K90" s="180" t="str">
        <f aca="false">IF((D90="e"),F90," ")</f>
        <v> </v>
      </c>
      <c r="L90" s="180" t="str">
        <f aca="false">IF((D90="p"),F90," ")</f>
        <v> </v>
      </c>
      <c r="M90" s="180" t="str">
        <f aca="false">IF((D90="g"),F90," ")</f>
        <v> </v>
      </c>
      <c r="N90" s="180" t="str">
        <f aca="false">IF((D90="a"),F90," ")</f>
        <v> </v>
      </c>
      <c r="O90" s="180" t="str">
        <f aca="false">IF((D90="l"),F90," ")</f>
        <v> </v>
      </c>
      <c r="P90" s="180" t="str">
        <f aca="false">IF((D90="i"),F90," ")</f>
        <v> </v>
      </c>
      <c r="Q90" s="180" t="str">
        <f aca="false">IF((D90="b"),F90," ")</f>
        <v> </v>
      </c>
      <c r="R90" s="180" t="str">
        <f aca="false">IF((D90="o"),F90," ")</f>
        <v> </v>
      </c>
      <c r="S90" s="180" t="str">
        <f aca="false">IF((D90="f"),F90," ")</f>
        <v> </v>
      </c>
      <c r="U90" s="371"/>
    </row>
    <row r="91" customFormat="false" ht="12.75" hidden="false" customHeight="false" outlineLevel="0" collapsed="false">
      <c r="D91" s="371" t="str">
        <f aca="false">IF((F91&lt;&gt;0),"Enter Letter"," ")</f>
        <v> </v>
      </c>
      <c r="G91" s="180" t="str">
        <f aca="false">IF((D91="d"),F91," ")</f>
        <v> </v>
      </c>
      <c r="H91" s="180" t="str">
        <f aca="false">IF((D91="h"),F91," ")</f>
        <v> </v>
      </c>
      <c r="I91" s="180" t="str">
        <f aca="false">IF((D91="r"),F91," ")</f>
        <v> </v>
      </c>
      <c r="J91" s="180" t="str">
        <f aca="false">IF((D91="t"),F91," ")</f>
        <v> </v>
      </c>
      <c r="K91" s="180" t="str">
        <f aca="false">IF((D91="e"),F91," ")</f>
        <v> </v>
      </c>
      <c r="L91" s="180" t="str">
        <f aca="false">IF((D91="p"),F91," ")</f>
        <v> </v>
      </c>
      <c r="M91" s="180" t="str">
        <f aca="false">IF((D91="g"),F91," ")</f>
        <v> </v>
      </c>
      <c r="N91" s="180" t="str">
        <f aca="false">IF((D91="a"),F91," ")</f>
        <v> </v>
      </c>
      <c r="O91" s="180" t="str">
        <f aca="false">IF((D91="l"),F91," ")</f>
        <v> </v>
      </c>
      <c r="P91" s="180" t="str">
        <f aca="false">IF((D91="i"),F91," ")</f>
        <v> </v>
      </c>
      <c r="Q91" s="180" t="str">
        <f aca="false">IF((D91="b"),F91," ")</f>
        <v> </v>
      </c>
      <c r="R91" s="180" t="str">
        <f aca="false">IF((D91="o"),F91," ")</f>
        <v> </v>
      </c>
      <c r="S91" s="180" t="str">
        <f aca="false">IF((D91="f"),F91," ")</f>
        <v> </v>
      </c>
      <c r="U91" s="371"/>
    </row>
    <row r="92" customFormat="false" ht="12.75" hidden="false" customHeight="false" outlineLevel="0" collapsed="false">
      <c r="D92" s="371" t="str">
        <f aca="false">IF((F92&lt;&gt;0),"Enter Letter"," ")</f>
        <v> </v>
      </c>
      <c r="G92" s="180" t="str">
        <f aca="false">IF((D92="d"),F92," ")</f>
        <v> </v>
      </c>
      <c r="H92" s="180" t="str">
        <f aca="false">IF((D92="h"),F92," ")</f>
        <v> </v>
      </c>
      <c r="I92" s="180" t="str">
        <f aca="false">IF((D92="r"),F92," ")</f>
        <v> </v>
      </c>
      <c r="J92" s="180" t="str">
        <f aca="false">IF((D92="t"),F92," ")</f>
        <v> </v>
      </c>
      <c r="K92" s="180" t="str">
        <f aca="false">IF((D92="e"),F92," ")</f>
        <v> </v>
      </c>
      <c r="L92" s="180" t="str">
        <f aca="false">IF((D92="p"),F92," ")</f>
        <v> </v>
      </c>
      <c r="M92" s="180" t="str">
        <f aca="false">IF((D92="g"),F92," ")</f>
        <v> </v>
      </c>
      <c r="N92" s="180" t="str">
        <f aca="false">IF((D92="a"),F92," ")</f>
        <v> </v>
      </c>
      <c r="O92" s="180" t="str">
        <f aca="false">IF((D92="l"),F92," ")</f>
        <v> </v>
      </c>
      <c r="P92" s="180" t="str">
        <f aca="false">IF((D92="i"),F92," ")</f>
        <v> </v>
      </c>
      <c r="Q92" s="180" t="str">
        <f aca="false">IF((D92="b"),F92," ")</f>
        <v> </v>
      </c>
      <c r="R92" s="180" t="str">
        <f aca="false">IF((D92="o"),F92," ")</f>
        <v> </v>
      </c>
      <c r="S92" s="180" t="str">
        <f aca="false">IF((D92="f"),F92," ")</f>
        <v> </v>
      </c>
      <c r="U92" s="371"/>
    </row>
    <row r="93" customFormat="false" ht="12.75" hidden="false" customHeight="false" outlineLevel="0" collapsed="false">
      <c r="D93" s="371" t="str">
        <f aca="false">IF((F93&lt;&gt;0),"Enter Letter"," ")</f>
        <v> </v>
      </c>
      <c r="G93" s="180" t="str">
        <f aca="false">IF((D93="d"),F93," ")</f>
        <v> </v>
      </c>
      <c r="H93" s="180" t="str">
        <f aca="false">IF((D93="h"),F93," ")</f>
        <v> </v>
      </c>
      <c r="I93" s="180" t="str">
        <f aca="false">IF((D93="r"),F93," ")</f>
        <v> </v>
      </c>
      <c r="J93" s="180" t="str">
        <f aca="false">IF((D93="t"),F93," ")</f>
        <v> </v>
      </c>
      <c r="K93" s="180" t="str">
        <f aca="false">IF((D93="e"),F93," ")</f>
        <v> </v>
      </c>
      <c r="L93" s="180" t="str">
        <f aca="false">IF((D93="p"),F93," ")</f>
        <v> </v>
      </c>
      <c r="M93" s="180" t="str">
        <f aca="false">IF((D93="g"),F93," ")</f>
        <v> </v>
      </c>
      <c r="N93" s="180" t="str">
        <f aca="false">IF((D93="a"),F93," ")</f>
        <v> </v>
      </c>
      <c r="O93" s="180" t="str">
        <f aca="false">IF((D93="l"),F93," ")</f>
        <v> </v>
      </c>
      <c r="P93" s="180" t="str">
        <f aca="false">IF((D93="i"),F93," ")</f>
        <v> </v>
      </c>
      <c r="Q93" s="180" t="str">
        <f aca="false">IF((D93="b"),F93," ")</f>
        <v> </v>
      </c>
      <c r="R93" s="180" t="str">
        <f aca="false">IF((D93="o"),F93," ")</f>
        <v> </v>
      </c>
      <c r="S93" s="180" t="str">
        <f aca="false">IF((D93="f"),F93," ")</f>
        <v> </v>
      </c>
      <c r="U93" s="371"/>
    </row>
    <row r="94" customFormat="false" ht="12.75" hidden="false" customHeight="false" outlineLevel="0" collapsed="false">
      <c r="D94" s="371" t="str">
        <f aca="false">IF((F94&lt;&gt;0),"Enter Letter"," ")</f>
        <v> </v>
      </c>
      <c r="G94" s="180" t="str">
        <f aca="false">IF((D94="d"),F94," ")</f>
        <v> </v>
      </c>
      <c r="H94" s="180" t="str">
        <f aca="false">IF((D94="h"),F94," ")</f>
        <v> </v>
      </c>
      <c r="I94" s="180" t="str">
        <f aca="false">IF((D94="r"),F94," ")</f>
        <v> </v>
      </c>
      <c r="J94" s="180" t="str">
        <f aca="false">IF((D94="t"),F94," ")</f>
        <v> </v>
      </c>
      <c r="K94" s="180" t="str">
        <f aca="false">IF((D94="e"),F94," ")</f>
        <v> </v>
      </c>
      <c r="L94" s="180" t="str">
        <f aca="false">IF((D94="p"),F94," ")</f>
        <v> </v>
      </c>
      <c r="M94" s="180" t="str">
        <f aca="false">IF((D94="g"),F94," ")</f>
        <v> </v>
      </c>
      <c r="N94" s="180" t="str">
        <f aca="false">IF((D94="a"),F94," ")</f>
        <v> </v>
      </c>
      <c r="O94" s="180" t="str">
        <f aca="false">IF((D94="l"),F94," ")</f>
        <v> </v>
      </c>
      <c r="P94" s="180" t="str">
        <f aca="false">IF((D94="i"),F94," ")</f>
        <v> </v>
      </c>
      <c r="Q94" s="180" t="str">
        <f aca="false">IF((D94="b"),F94," ")</f>
        <v> </v>
      </c>
      <c r="R94" s="180" t="str">
        <f aca="false">IF((D94="o"),F94," ")</f>
        <v> </v>
      </c>
      <c r="S94" s="180" t="str">
        <f aca="false">IF((D94="f"),F94," ")</f>
        <v> </v>
      </c>
      <c r="U94" s="371"/>
    </row>
    <row r="95" customFormat="false" ht="12.75" hidden="false" customHeight="false" outlineLevel="0" collapsed="false">
      <c r="D95" s="371" t="str">
        <f aca="false">IF((F95&lt;&gt;0),"Enter Letter"," ")</f>
        <v> </v>
      </c>
      <c r="G95" s="180" t="str">
        <f aca="false">IF((D95="d"),F95," ")</f>
        <v> </v>
      </c>
      <c r="H95" s="180" t="str">
        <f aca="false">IF((D95="h"),F95," ")</f>
        <v> </v>
      </c>
      <c r="I95" s="180" t="str">
        <f aca="false">IF((D95="r"),F95," ")</f>
        <v> </v>
      </c>
      <c r="J95" s="180" t="str">
        <f aca="false">IF((D95="t"),F95," ")</f>
        <v> </v>
      </c>
      <c r="K95" s="180" t="str">
        <f aca="false">IF((D95="e"),F95," ")</f>
        <v> </v>
      </c>
      <c r="L95" s="180" t="str">
        <f aca="false">IF((D95="p"),F95," ")</f>
        <v> </v>
      </c>
      <c r="M95" s="180" t="str">
        <f aca="false">IF((D95="g"),F95," ")</f>
        <v> </v>
      </c>
      <c r="N95" s="180" t="str">
        <f aca="false">IF((D95="a"),F95," ")</f>
        <v> </v>
      </c>
      <c r="O95" s="180" t="str">
        <f aca="false">IF((D95="l"),F95," ")</f>
        <v> </v>
      </c>
      <c r="P95" s="180" t="str">
        <f aca="false">IF((D95="i"),F95," ")</f>
        <v> </v>
      </c>
      <c r="Q95" s="180" t="str">
        <f aca="false">IF((D95="b"),F95," ")</f>
        <v> </v>
      </c>
      <c r="R95" s="180" t="str">
        <f aca="false">IF((D95="o"),F95," ")</f>
        <v> </v>
      </c>
      <c r="S95" s="180" t="str">
        <f aca="false">IF((D95="f"),F95," ")</f>
        <v> </v>
      </c>
      <c r="U95" s="371"/>
    </row>
    <row r="96" customFormat="false" ht="12.75" hidden="false" customHeight="false" outlineLevel="0" collapsed="false">
      <c r="D96" s="371" t="str">
        <f aca="false">IF((F96&lt;&gt;0),"Enter Letter"," ")</f>
        <v> </v>
      </c>
      <c r="G96" s="180" t="str">
        <f aca="false">IF((D96="d"),F96," ")</f>
        <v> </v>
      </c>
      <c r="H96" s="180" t="str">
        <f aca="false">IF((D96="h"),F96," ")</f>
        <v> </v>
      </c>
      <c r="I96" s="180" t="str">
        <f aca="false">IF((D96="r"),F96," ")</f>
        <v> </v>
      </c>
      <c r="J96" s="180" t="str">
        <f aca="false">IF((D96="t"),F96," ")</f>
        <v> </v>
      </c>
      <c r="K96" s="180" t="str">
        <f aca="false">IF((D96="e"),F96," ")</f>
        <v> </v>
      </c>
      <c r="L96" s="180" t="str">
        <f aca="false">IF((D96="p"),F96," ")</f>
        <v> </v>
      </c>
      <c r="M96" s="180" t="str">
        <f aca="false">IF((D96="g"),F96," ")</f>
        <v> </v>
      </c>
      <c r="N96" s="180" t="str">
        <f aca="false">IF((D96="a"),F96," ")</f>
        <v> </v>
      </c>
      <c r="O96" s="180" t="str">
        <f aca="false">IF((D96="l"),F96," ")</f>
        <v> </v>
      </c>
      <c r="P96" s="180" t="str">
        <f aca="false">IF((D96="i"),F96," ")</f>
        <v> </v>
      </c>
      <c r="Q96" s="180" t="str">
        <f aca="false">IF((D96="b"),F96," ")</f>
        <v> </v>
      </c>
      <c r="R96" s="180" t="str">
        <f aca="false">IF((D96="o"),F96," ")</f>
        <v> </v>
      </c>
      <c r="S96" s="180" t="str">
        <f aca="false">IF((D96="f"),F96," ")</f>
        <v> </v>
      </c>
      <c r="U96" s="371"/>
    </row>
    <row r="97" customFormat="false" ht="12.75" hidden="false" customHeight="false" outlineLevel="0" collapsed="false">
      <c r="D97" s="371" t="str">
        <f aca="false">IF((F97&lt;&gt;0),"Enter Letter"," ")</f>
        <v> </v>
      </c>
      <c r="G97" s="180" t="str">
        <f aca="false">IF((D97="d"),F97," ")</f>
        <v> </v>
      </c>
      <c r="H97" s="180" t="str">
        <f aca="false">IF((D97="h"),F97," ")</f>
        <v> </v>
      </c>
      <c r="I97" s="180" t="str">
        <f aca="false">IF((D97="r"),F97," ")</f>
        <v> </v>
      </c>
      <c r="J97" s="180" t="str">
        <f aca="false">IF((D97="t"),F97," ")</f>
        <v> </v>
      </c>
      <c r="K97" s="180" t="str">
        <f aca="false">IF((D97="e"),F97," ")</f>
        <v> </v>
      </c>
      <c r="L97" s="180" t="str">
        <f aca="false">IF((D97="p"),F97," ")</f>
        <v> </v>
      </c>
      <c r="M97" s="180" t="str">
        <f aca="false">IF((D97="g"),F97," ")</f>
        <v> </v>
      </c>
      <c r="N97" s="180" t="str">
        <f aca="false">IF((D97="a"),F97," ")</f>
        <v> </v>
      </c>
      <c r="O97" s="180" t="str">
        <f aca="false">IF((D97="l"),F97," ")</f>
        <v> </v>
      </c>
      <c r="P97" s="180" t="str">
        <f aca="false">IF((D97="i"),F97," ")</f>
        <v> </v>
      </c>
      <c r="Q97" s="180" t="str">
        <f aca="false">IF((D97="b"),F97," ")</f>
        <v> </v>
      </c>
      <c r="R97" s="180" t="str">
        <f aca="false">IF((D97="o"),F97," ")</f>
        <v> </v>
      </c>
      <c r="S97" s="180" t="str">
        <f aca="false">IF((D97="f"),F97," ")</f>
        <v> </v>
      </c>
      <c r="U97" s="371"/>
    </row>
    <row r="98" customFormat="false" ht="12.75" hidden="false" customHeight="false" outlineLevel="0" collapsed="false">
      <c r="D98" s="371" t="str">
        <f aca="false">IF((F98&lt;&gt;0),"Enter Letter"," ")</f>
        <v> </v>
      </c>
      <c r="G98" s="180" t="str">
        <f aca="false">IF((D98="d"),F98," ")</f>
        <v> </v>
      </c>
      <c r="H98" s="180" t="str">
        <f aca="false">IF((D98="h"),F98," ")</f>
        <v> </v>
      </c>
      <c r="I98" s="180" t="str">
        <f aca="false">IF((D98="r"),F98," ")</f>
        <v> </v>
      </c>
      <c r="J98" s="180" t="str">
        <f aca="false">IF((D98="t"),F98," ")</f>
        <v> </v>
      </c>
      <c r="K98" s="180" t="str">
        <f aca="false">IF((D98="e"),F98," ")</f>
        <v> </v>
      </c>
      <c r="L98" s="180" t="str">
        <f aca="false">IF((D98="p"),F98," ")</f>
        <v> </v>
      </c>
      <c r="M98" s="180" t="str">
        <f aca="false">IF((D98="g"),F98," ")</f>
        <v> </v>
      </c>
      <c r="N98" s="180" t="str">
        <f aca="false">IF((D98="a"),F98," ")</f>
        <v> </v>
      </c>
      <c r="O98" s="180" t="str">
        <f aca="false">IF((D98="l"),F98," ")</f>
        <v> </v>
      </c>
      <c r="P98" s="180" t="str">
        <f aca="false">IF((D98="i"),F98," ")</f>
        <v> </v>
      </c>
      <c r="Q98" s="180" t="str">
        <f aca="false">IF((D98="b"),F98," ")</f>
        <v> </v>
      </c>
      <c r="R98" s="180" t="str">
        <f aca="false">IF((D98="o"),F98," ")</f>
        <v> </v>
      </c>
      <c r="S98" s="180" t="str">
        <f aca="false">IF((D98="f"),F98," ")</f>
        <v> </v>
      </c>
      <c r="U98" s="371"/>
    </row>
    <row r="99" customFormat="false" ht="12.75" hidden="false" customHeight="false" outlineLevel="0" collapsed="false">
      <c r="D99" s="371" t="str">
        <f aca="false">IF((F99&lt;&gt;0),"Enter Letter"," ")</f>
        <v> </v>
      </c>
      <c r="G99" s="180" t="str">
        <f aca="false">IF((D99="d"),F99," ")</f>
        <v> </v>
      </c>
      <c r="H99" s="180" t="str">
        <f aca="false">IF((D99="h"),F99," ")</f>
        <v> </v>
      </c>
      <c r="I99" s="180" t="str">
        <f aca="false">IF((D99="r"),F99," ")</f>
        <v> </v>
      </c>
      <c r="J99" s="180" t="str">
        <f aca="false">IF((D99="t"),F99," ")</f>
        <v> </v>
      </c>
      <c r="K99" s="180" t="str">
        <f aca="false">IF((D99="e"),F99," ")</f>
        <v> </v>
      </c>
      <c r="L99" s="180" t="str">
        <f aca="false">IF((D99="p"),F99," ")</f>
        <v> </v>
      </c>
      <c r="M99" s="180" t="str">
        <f aca="false">IF((D99="g"),F99," ")</f>
        <v> </v>
      </c>
      <c r="N99" s="180" t="str">
        <f aca="false">IF((D99="a"),F99," ")</f>
        <v> </v>
      </c>
      <c r="O99" s="180" t="str">
        <f aca="false">IF((D99="l"),F99," ")</f>
        <v> </v>
      </c>
      <c r="P99" s="180" t="str">
        <f aca="false">IF((D99="i"),F99," ")</f>
        <v> </v>
      </c>
      <c r="Q99" s="180" t="str">
        <f aca="false">IF((D99="b"),F99," ")</f>
        <v> </v>
      </c>
      <c r="R99" s="180" t="str">
        <f aca="false">IF((D99="o"),F99," ")</f>
        <v> </v>
      </c>
      <c r="S99" s="180" t="str">
        <f aca="false">IF((D99="f"),F99," ")</f>
        <v> </v>
      </c>
      <c r="U99" s="371"/>
    </row>
    <row r="100" customFormat="false" ht="12.75" hidden="false" customHeight="false" outlineLevel="0" collapsed="false">
      <c r="D100" s="371" t="str">
        <f aca="false">IF((F100&lt;&gt;0),"Enter Letter"," ")</f>
        <v> </v>
      </c>
      <c r="G100" s="180" t="str">
        <f aca="false">IF((D100="d"),F100," ")</f>
        <v> </v>
      </c>
      <c r="H100" s="180" t="str">
        <f aca="false">IF((D100="h"),F100," ")</f>
        <v> </v>
      </c>
      <c r="I100" s="180" t="str">
        <f aca="false">IF((D100="r"),F100," ")</f>
        <v> </v>
      </c>
      <c r="J100" s="180" t="str">
        <f aca="false">IF((D100="t"),F100," ")</f>
        <v> </v>
      </c>
      <c r="K100" s="180" t="str">
        <f aca="false">IF((D100="e"),F100," ")</f>
        <v> </v>
      </c>
      <c r="L100" s="180" t="str">
        <f aca="false">IF((D100="p"),F100," ")</f>
        <v> </v>
      </c>
      <c r="M100" s="180" t="str">
        <f aca="false">IF((D100="g"),F100," ")</f>
        <v> </v>
      </c>
      <c r="N100" s="180" t="str">
        <f aca="false">IF((D100="a"),F100," ")</f>
        <v> </v>
      </c>
      <c r="O100" s="180" t="str">
        <f aca="false">IF((D100="l"),F100," ")</f>
        <v> </v>
      </c>
      <c r="P100" s="180" t="str">
        <f aca="false">IF((D100="i"),F100," ")</f>
        <v> </v>
      </c>
      <c r="Q100" s="180" t="str">
        <f aca="false">IF((D100="b"),F100," ")</f>
        <v> </v>
      </c>
      <c r="R100" s="180" t="str">
        <f aca="false">IF((D100="o"),F100," ")</f>
        <v> </v>
      </c>
      <c r="S100" s="180" t="str">
        <f aca="false">IF((D100="f"),F100," ")</f>
        <v> </v>
      </c>
      <c r="U100" s="371"/>
    </row>
    <row r="101" customFormat="false" ht="12.75" hidden="false" customHeight="false" outlineLevel="0" collapsed="false">
      <c r="D101" s="371" t="str">
        <f aca="false">IF((F101&lt;&gt;0),"Enter Letter"," ")</f>
        <v> </v>
      </c>
      <c r="G101" s="180" t="str">
        <f aca="false">IF((D101="d"),F101," ")</f>
        <v> </v>
      </c>
      <c r="H101" s="180" t="str">
        <f aca="false">IF((D101="h"),F101," ")</f>
        <v> </v>
      </c>
      <c r="I101" s="180" t="str">
        <f aca="false">IF((D101="r"),F101," ")</f>
        <v> </v>
      </c>
      <c r="J101" s="180" t="str">
        <f aca="false">IF((D101="t"),F101," ")</f>
        <v> </v>
      </c>
      <c r="K101" s="180" t="str">
        <f aca="false">IF((D101="e"),F101," ")</f>
        <v> </v>
      </c>
      <c r="L101" s="180" t="str">
        <f aca="false">IF((D101="p"),F101," ")</f>
        <v> </v>
      </c>
      <c r="M101" s="180" t="str">
        <f aca="false">IF((D101="g"),F101," ")</f>
        <v> </v>
      </c>
      <c r="N101" s="180" t="str">
        <f aca="false">IF((D101="a"),F101," ")</f>
        <v> </v>
      </c>
      <c r="O101" s="180" t="str">
        <f aca="false">IF((D101="l"),F101," ")</f>
        <v> </v>
      </c>
      <c r="P101" s="180" t="str">
        <f aca="false">IF((D101="i"),F101," ")</f>
        <v> </v>
      </c>
      <c r="Q101" s="180" t="str">
        <f aca="false">IF((D101="b"),F101," ")</f>
        <v> </v>
      </c>
      <c r="R101" s="180" t="str">
        <f aca="false">IF((D101="o"),F101," ")</f>
        <v> </v>
      </c>
      <c r="S101" s="180" t="str">
        <f aca="false">IF((D101="f"),F101," ")</f>
        <v> </v>
      </c>
      <c r="U101" s="371"/>
    </row>
    <row r="102" customFormat="false" ht="12.75" hidden="false" customHeight="false" outlineLevel="0" collapsed="false">
      <c r="D102" s="371" t="str">
        <f aca="false">IF((F102&lt;&gt;0),"Enter Letter"," ")</f>
        <v> </v>
      </c>
      <c r="G102" s="180" t="str">
        <f aca="false">IF((D102="d"),F102," ")</f>
        <v> </v>
      </c>
      <c r="H102" s="180" t="str">
        <f aca="false">IF((D102="h"),F102," ")</f>
        <v> </v>
      </c>
      <c r="I102" s="180" t="str">
        <f aca="false">IF((D102="r"),F102," ")</f>
        <v> </v>
      </c>
      <c r="J102" s="180" t="str">
        <f aca="false">IF((D102="t"),F102," ")</f>
        <v> </v>
      </c>
      <c r="K102" s="180" t="str">
        <f aca="false">IF((D102="e"),F102," ")</f>
        <v> </v>
      </c>
      <c r="L102" s="180" t="str">
        <f aca="false">IF((D102="p"),F102," ")</f>
        <v> </v>
      </c>
      <c r="M102" s="180" t="str">
        <f aca="false">IF((D102="g"),F102," ")</f>
        <v> </v>
      </c>
      <c r="N102" s="180" t="str">
        <f aca="false">IF((D102="a"),F102," ")</f>
        <v> </v>
      </c>
      <c r="O102" s="180" t="str">
        <f aca="false">IF((D102="l"),F102," ")</f>
        <v> </v>
      </c>
      <c r="P102" s="180" t="str">
        <f aca="false">IF((D102="i"),F102," ")</f>
        <v> </v>
      </c>
      <c r="Q102" s="180" t="str">
        <f aca="false">IF((D102="b"),F102," ")</f>
        <v> </v>
      </c>
      <c r="R102" s="180" t="str">
        <f aca="false">IF((D102="o"),F102," ")</f>
        <v> </v>
      </c>
      <c r="S102" s="180" t="str">
        <f aca="false">IF((D102="f"),F102," ")</f>
        <v> </v>
      </c>
      <c r="U102" s="371"/>
    </row>
    <row r="103" customFormat="false" ht="12.75" hidden="false" customHeight="false" outlineLevel="0" collapsed="false">
      <c r="D103" s="371" t="str">
        <f aca="false">IF((F103&lt;&gt;0),"Enter Letter"," ")</f>
        <v> </v>
      </c>
      <c r="G103" s="180" t="str">
        <f aca="false">IF((D103="d"),F103," ")</f>
        <v> </v>
      </c>
      <c r="H103" s="180" t="str">
        <f aca="false">IF((D103="h"),F103," ")</f>
        <v> </v>
      </c>
      <c r="I103" s="180" t="str">
        <f aca="false">IF((D103="r"),F103," ")</f>
        <v> </v>
      </c>
      <c r="J103" s="180" t="str">
        <f aca="false">IF((D103="t"),F103," ")</f>
        <v> </v>
      </c>
      <c r="K103" s="180" t="str">
        <f aca="false">IF((D103="e"),F103," ")</f>
        <v> </v>
      </c>
      <c r="L103" s="180" t="str">
        <f aca="false">IF((D103="p"),F103," ")</f>
        <v> </v>
      </c>
      <c r="M103" s="180" t="str">
        <f aca="false">IF((D103="g"),F103," ")</f>
        <v> </v>
      </c>
      <c r="N103" s="180" t="str">
        <f aca="false">IF((D103="a"),F103," ")</f>
        <v> </v>
      </c>
      <c r="O103" s="180" t="str">
        <f aca="false">IF((D103="l"),F103," ")</f>
        <v> </v>
      </c>
      <c r="P103" s="180" t="str">
        <f aca="false">IF((D103="i"),F103," ")</f>
        <v> </v>
      </c>
      <c r="Q103" s="180" t="str">
        <f aca="false">IF((D103="b"),F103," ")</f>
        <v> </v>
      </c>
      <c r="R103" s="180" t="str">
        <f aca="false">IF((D103="o"),F103," ")</f>
        <v> </v>
      </c>
      <c r="S103" s="180" t="str">
        <f aca="false">IF((D103="f"),F103," ")</f>
        <v> </v>
      </c>
      <c r="U103" s="371"/>
    </row>
    <row r="104" customFormat="false" ht="12.75" hidden="false" customHeight="false" outlineLevel="0" collapsed="false">
      <c r="D104" s="371" t="str">
        <f aca="false">IF((F104&lt;&gt;0),"Enter Letter"," ")</f>
        <v> </v>
      </c>
      <c r="G104" s="180" t="str">
        <f aca="false">IF((D104="d"),F104," ")</f>
        <v> </v>
      </c>
      <c r="H104" s="180" t="str">
        <f aca="false">IF((D104="h"),F104," ")</f>
        <v> </v>
      </c>
      <c r="I104" s="180" t="str">
        <f aca="false">IF((D104="r"),F104," ")</f>
        <v> </v>
      </c>
      <c r="J104" s="180" t="str">
        <f aca="false">IF((D104="t"),F104," ")</f>
        <v> </v>
      </c>
      <c r="K104" s="180" t="str">
        <f aca="false">IF((D104="e"),F104," ")</f>
        <v> </v>
      </c>
      <c r="L104" s="180" t="str">
        <f aca="false">IF((D104="p"),F104," ")</f>
        <v> </v>
      </c>
      <c r="M104" s="180" t="str">
        <f aca="false">IF((D104="g"),F104," ")</f>
        <v> </v>
      </c>
      <c r="N104" s="180" t="str">
        <f aca="false">IF((D104="a"),F104," ")</f>
        <v> </v>
      </c>
      <c r="O104" s="180" t="str">
        <f aca="false">IF((D104="l"),F104," ")</f>
        <v> </v>
      </c>
      <c r="P104" s="180" t="str">
        <f aca="false">IF((D104="i"),F104," ")</f>
        <v> </v>
      </c>
      <c r="Q104" s="180" t="str">
        <f aca="false">IF((D104="b"),F104," ")</f>
        <v> </v>
      </c>
      <c r="R104" s="180" t="str">
        <f aca="false">IF((D104="o"),F104," ")</f>
        <v> </v>
      </c>
      <c r="S104" s="180" t="str">
        <f aca="false">IF((D104="f"),F104," ")</f>
        <v> </v>
      </c>
      <c r="U104" s="371"/>
    </row>
    <row r="105" customFormat="false" ht="12.75" hidden="false" customHeight="false" outlineLevel="0" collapsed="false">
      <c r="D105" s="371" t="str">
        <f aca="false">IF((F105&lt;&gt;0),"Enter Letter"," ")</f>
        <v> </v>
      </c>
      <c r="G105" s="180" t="str">
        <f aca="false">IF((D105="d"),F105," ")</f>
        <v> </v>
      </c>
      <c r="H105" s="180" t="str">
        <f aca="false">IF((D105="h"),F105," ")</f>
        <v> </v>
      </c>
      <c r="I105" s="180" t="str">
        <f aca="false">IF((D105="r"),F105," ")</f>
        <v> </v>
      </c>
      <c r="J105" s="180" t="str">
        <f aca="false">IF((D105="t"),F105," ")</f>
        <v> </v>
      </c>
      <c r="K105" s="180" t="str">
        <f aca="false">IF((D105="e"),F105," ")</f>
        <v> </v>
      </c>
      <c r="L105" s="180" t="str">
        <f aca="false">IF((D105="p"),F105," ")</f>
        <v> </v>
      </c>
      <c r="M105" s="180" t="str">
        <f aca="false">IF((D105="g"),F105," ")</f>
        <v> </v>
      </c>
      <c r="N105" s="180" t="str">
        <f aca="false">IF((D105="a"),F105," ")</f>
        <v> </v>
      </c>
      <c r="O105" s="180" t="str">
        <f aca="false">IF((D105="l"),F105," ")</f>
        <v> </v>
      </c>
      <c r="P105" s="180" t="str">
        <f aca="false">IF((D105="i"),F105," ")</f>
        <v> </v>
      </c>
      <c r="Q105" s="180" t="str">
        <f aca="false">IF((D105="b"),F105," ")</f>
        <v> </v>
      </c>
      <c r="R105" s="180" t="str">
        <f aca="false">IF((D105="o"),F105," ")</f>
        <v> </v>
      </c>
      <c r="S105" s="180" t="str">
        <f aca="false">IF((D105="f"),F105," ")</f>
        <v> </v>
      </c>
      <c r="U105" s="371"/>
    </row>
    <row r="106" customFormat="false" ht="12.75" hidden="false" customHeight="false" outlineLevel="0" collapsed="false">
      <c r="D106" s="371" t="str">
        <f aca="false">IF((F106&lt;&gt;0),"Enter Letter"," ")</f>
        <v> </v>
      </c>
      <c r="G106" s="180" t="str">
        <f aca="false">IF((D106="d"),F106," ")</f>
        <v> </v>
      </c>
      <c r="H106" s="180" t="str">
        <f aca="false">IF((D106="h"),F106," ")</f>
        <v> </v>
      </c>
      <c r="I106" s="180" t="str">
        <f aca="false">IF((D106="r"),F106," ")</f>
        <v> </v>
      </c>
      <c r="J106" s="180" t="str">
        <f aca="false">IF((D106="t"),F106," ")</f>
        <v> </v>
      </c>
      <c r="K106" s="180" t="str">
        <f aca="false">IF((D106="e"),F106," ")</f>
        <v> </v>
      </c>
      <c r="L106" s="180" t="str">
        <f aca="false">IF((D106="p"),F106," ")</f>
        <v> </v>
      </c>
      <c r="M106" s="180" t="str">
        <f aca="false">IF((D106="g"),F106," ")</f>
        <v> </v>
      </c>
      <c r="N106" s="180" t="str">
        <f aca="false">IF((D106="a"),F106," ")</f>
        <v> </v>
      </c>
      <c r="O106" s="180" t="str">
        <f aca="false">IF((D106="l"),F106," ")</f>
        <v> </v>
      </c>
      <c r="P106" s="180" t="str">
        <f aca="false">IF((D106="i"),F106," ")</f>
        <v> </v>
      </c>
      <c r="Q106" s="180" t="str">
        <f aca="false">IF((D106="b"),F106," ")</f>
        <v> </v>
      </c>
      <c r="R106" s="180" t="str">
        <f aca="false">IF((D106="o"),F106," ")</f>
        <v> </v>
      </c>
      <c r="S106" s="180" t="str">
        <f aca="false">IF((D106="f"),F106," ")</f>
        <v> </v>
      </c>
      <c r="U106" s="371"/>
    </row>
    <row r="107" customFormat="false" ht="12.75" hidden="false" customHeight="false" outlineLevel="0" collapsed="false">
      <c r="D107" s="371" t="str">
        <f aca="false">IF((F107&lt;&gt;0),"Enter Letter"," ")</f>
        <v> </v>
      </c>
      <c r="G107" s="180" t="str">
        <f aca="false">IF((D107="d"),F107," ")</f>
        <v> </v>
      </c>
      <c r="H107" s="180" t="str">
        <f aca="false">IF((D107="h"),F107," ")</f>
        <v> </v>
      </c>
      <c r="I107" s="180" t="str">
        <f aca="false">IF((D107="r"),F107," ")</f>
        <v> </v>
      </c>
      <c r="J107" s="180" t="str">
        <f aca="false">IF((D107="t"),F107," ")</f>
        <v> </v>
      </c>
      <c r="K107" s="180" t="str">
        <f aca="false">IF((D107="e"),F107," ")</f>
        <v> </v>
      </c>
      <c r="L107" s="180" t="str">
        <f aca="false">IF((D107="p"),F107," ")</f>
        <v> </v>
      </c>
      <c r="M107" s="180" t="str">
        <f aca="false">IF((D107="g"),F107," ")</f>
        <v> </v>
      </c>
      <c r="N107" s="180" t="str">
        <f aca="false">IF((D107="a"),F107," ")</f>
        <v> </v>
      </c>
      <c r="O107" s="180" t="str">
        <f aca="false">IF((D107="l"),F107," ")</f>
        <v> </v>
      </c>
      <c r="P107" s="180" t="str">
        <f aca="false">IF((D107="i"),F107," ")</f>
        <v> </v>
      </c>
      <c r="Q107" s="180" t="str">
        <f aca="false">IF((D107="b"),F107," ")</f>
        <v> </v>
      </c>
      <c r="R107" s="180" t="str">
        <f aca="false">IF((D107="o"),F107," ")</f>
        <v> </v>
      </c>
      <c r="S107" s="180" t="str">
        <f aca="false">IF((D107="f"),F107," ")</f>
        <v> </v>
      </c>
      <c r="U107" s="371"/>
    </row>
    <row r="108" customFormat="false" ht="12.75" hidden="false" customHeight="false" outlineLevel="0" collapsed="false">
      <c r="D108" s="371" t="str">
        <f aca="false">IF((F108&lt;&gt;0),"Enter Letter"," ")</f>
        <v> </v>
      </c>
      <c r="G108" s="180" t="str">
        <f aca="false">IF((D108="d"),F108," ")</f>
        <v> </v>
      </c>
      <c r="H108" s="180" t="str">
        <f aca="false">IF((D108="h"),F108," ")</f>
        <v> </v>
      </c>
      <c r="I108" s="180" t="str">
        <f aca="false">IF((D108="r"),F108," ")</f>
        <v> </v>
      </c>
      <c r="J108" s="180" t="str">
        <f aca="false">IF((D108="t"),F108," ")</f>
        <v> </v>
      </c>
      <c r="K108" s="180" t="str">
        <f aca="false">IF((D108="e"),F108," ")</f>
        <v> </v>
      </c>
      <c r="L108" s="180" t="str">
        <f aca="false">IF((D108="p"),F108," ")</f>
        <v> </v>
      </c>
      <c r="M108" s="180" t="str">
        <f aca="false">IF((D108="g"),F108," ")</f>
        <v> </v>
      </c>
      <c r="N108" s="180" t="str">
        <f aca="false">IF((D108="a"),F108," ")</f>
        <v> </v>
      </c>
      <c r="O108" s="180" t="str">
        <f aca="false">IF((D108="l"),F108," ")</f>
        <v> </v>
      </c>
      <c r="P108" s="180" t="str">
        <f aca="false">IF((D108="i"),F108," ")</f>
        <v> </v>
      </c>
      <c r="Q108" s="180" t="str">
        <f aca="false">IF((D108="b"),F108," ")</f>
        <v> </v>
      </c>
      <c r="R108" s="180" t="str">
        <f aca="false">IF((D108="o"),F108," ")</f>
        <v> </v>
      </c>
      <c r="S108" s="180" t="str">
        <f aca="false">IF((D108="f"),F108," ")</f>
        <v> </v>
      </c>
      <c r="U108" s="371"/>
    </row>
    <row r="109" customFormat="false" ht="12.75" hidden="false" customHeight="false" outlineLevel="0" collapsed="false">
      <c r="D109" s="371" t="str">
        <f aca="false">IF((F109&lt;&gt;0),"Enter Letter"," ")</f>
        <v> </v>
      </c>
      <c r="G109" s="180" t="str">
        <f aca="false">IF((D109="d"),F109," ")</f>
        <v> </v>
      </c>
      <c r="H109" s="180" t="str">
        <f aca="false">IF((D109="h"),F109," ")</f>
        <v> </v>
      </c>
      <c r="I109" s="180" t="str">
        <f aca="false">IF((D109="r"),F109," ")</f>
        <v> </v>
      </c>
      <c r="J109" s="180" t="str">
        <f aca="false">IF((D109="t"),F109," ")</f>
        <v> </v>
      </c>
      <c r="K109" s="180" t="str">
        <f aca="false">IF((D109="e"),F109," ")</f>
        <v> </v>
      </c>
      <c r="L109" s="180" t="str">
        <f aca="false">IF((D109="p"),F109," ")</f>
        <v> </v>
      </c>
      <c r="M109" s="180" t="str">
        <f aca="false">IF((D109="g"),F109," ")</f>
        <v> </v>
      </c>
      <c r="N109" s="180" t="str">
        <f aca="false">IF((D109="a"),F109," ")</f>
        <v> </v>
      </c>
      <c r="O109" s="180" t="str">
        <f aca="false">IF((D109="l"),F109," ")</f>
        <v> </v>
      </c>
      <c r="P109" s="180" t="str">
        <f aca="false">IF((D109="i"),F109," ")</f>
        <v> </v>
      </c>
      <c r="Q109" s="180" t="str">
        <f aca="false">IF((D109="b"),F109," ")</f>
        <v> </v>
      </c>
      <c r="R109" s="180" t="str">
        <f aca="false">IF((D109="o"),F109," ")</f>
        <v> </v>
      </c>
      <c r="S109" s="180" t="str">
        <f aca="false">IF((D109="f"),F109," ")</f>
        <v> </v>
      </c>
      <c r="U109" s="371"/>
    </row>
    <row r="110" customFormat="false" ht="12.75" hidden="false" customHeight="false" outlineLevel="0" collapsed="false">
      <c r="D110" s="371" t="str">
        <f aca="false">IF((F110&lt;&gt;0),"Enter Letter"," ")</f>
        <v> </v>
      </c>
      <c r="G110" s="180" t="str">
        <f aca="false">IF((D110="d"),F110," ")</f>
        <v> </v>
      </c>
      <c r="H110" s="180" t="str">
        <f aca="false">IF((D110="h"),F110," ")</f>
        <v> </v>
      </c>
      <c r="I110" s="180" t="str">
        <f aca="false">IF((D110="r"),F110," ")</f>
        <v> </v>
      </c>
      <c r="J110" s="180" t="str">
        <f aca="false">IF((D110="t"),F110," ")</f>
        <v> </v>
      </c>
      <c r="K110" s="180" t="str">
        <f aca="false">IF((D110="e"),F110," ")</f>
        <v> </v>
      </c>
      <c r="L110" s="180" t="str">
        <f aca="false">IF((D110="p"),F110," ")</f>
        <v> </v>
      </c>
      <c r="M110" s="180" t="str">
        <f aca="false">IF((D110="g"),F110," ")</f>
        <v> </v>
      </c>
      <c r="N110" s="180" t="str">
        <f aca="false">IF((D110="a"),F110," ")</f>
        <v> </v>
      </c>
      <c r="O110" s="180" t="str">
        <f aca="false">IF((D110="l"),F110," ")</f>
        <v> </v>
      </c>
      <c r="P110" s="180" t="str">
        <f aca="false">IF((D110="i"),F110," ")</f>
        <v> </v>
      </c>
      <c r="Q110" s="180" t="str">
        <f aca="false">IF((D110="b"),F110," ")</f>
        <v> </v>
      </c>
      <c r="R110" s="180" t="str">
        <f aca="false">IF((D110="o"),F110," ")</f>
        <v> </v>
      </c>
      <c r="S110" s="180" t="str">
        <f aca="false">IF((D110="f"),F110," ")</f>
        <v> </v>
      </c>
      <c r="U110" s="371"/>
    </row>
    <row r="111" customFormat="false" ht="12.75" hidden="false" customHeight="false" outlineLevel="0" collapsed="false">
      <c r="D111" s="371" t="str">
        <f aca="false">IF((F111&lt;&gt;0),"Enter Letter"," ")</f>
        <v> </v>
      </c>
      <c r="G111" s="180" t="str">
        <f aca="false">IF((D111="d"),F111," ")</f>
        <v> </v>
      </c>
      <c r="H111" s="180" t="str">
        <f aca="false">IF((D111="h"),F111," ")</f>
        <v> </v>
      </c>
      <c r="I111" s="180" t="str">
        <f aca="false">IF((D111="r"),F111," ")</f>
        <v> </v>
      </c>
      <c r="J111" s="180" t="str">
        <f aca="false">IF((D111="t"),F111," ")</f>
        <v> </v>
      </c>
      <c r="K111" s="180" t="str">
        <f aca="false">IF((D111="e"),F111," ")</f>
        <v> </v>
      </c>
      <c r="L111" s="180" t="str">
        <f aca="false">IF((D111="p"),F111," ")</f>
        <v> </v>
      </c>
      <c r="M111" s="180" t="str">
        <f aca="false">IF((D111="g"),F111," ")</f>
        <v> </v>
      </c>
      <c r="N111" s="180" t="str">
        <f aca="false">IF((D111="a"),F111," ")</f>
        <v> </v>
      </c>
      <c r="O111" s="180" t="str">
        <f aca="false">IF((D111="l"),F111," ")</f>
        <v> </v>
      </c>
      <c r="P111" s="180" t="str">
        <f aca="false">IF((D111="i"),F111," ")</f>
        <v> </v>
      </c>
      <c r="Q111" s="180" t="str">
        <f aca="false">IF((D111="b"),F111," ")</f>
        <v> </v>
      </c>
      <c r="R111" s="180" t="str">
        <f aca="false">IF((D111="o"),F111," ")</f>
        <v> </v>
      </c>
      <c r="S111" s="180" t="str">
        <f aca="false">IF((D111="f"),F111," ")</f>
        <v> </v>
      </c>
      <c r="U111" s="371"/>
    </row>
    <row r="112" customFormat="false" ht="12.75" hidden="false" customHeight="false" outlineLevel="0" collapsed="false">
      <c r="D112" s="371" t="str">
        <f aca="false">IF((F112&lt;&gt;0),"Enter Letter"," ")</f>
        <v> </v>
      </c>
      <c r="G112" s="180" t="str">
        <f aca="false">IF((D112="d"),F112," ")</f>
        <v> </v>
      </c>
      <c r="H112" s="180" t="str">
        <f aca="false">IF((D112="h"),F112," ")</f>
        <v> </v>
      </c>
      <c r="I112" s="180" t="str">
        <f aca="false">IF((D112="r"),F112," ")</f>
        <v> </v>
      </c>
      <c r="J112" s="180" t="str">
        <f aca="false">IF((D112="t"),F112," ")</f>
        <v> </v>
      </c>
      <c r="K112" s="180" t="str">
        <f aca="false">IF((D112="e"),F112," ")</f>
        <v> </v>
      </c>
      <c r="L112" s="180" t="str">
        <f aca="false">IF((D112="p"),F112," ")</f>
        <v> </v>
      </c>
      <c r="M112" s="180" t="str">
        <f aca="false">IF((D112="g"),F112," ")</f>
        <v> </v>
      </c>
      <c r="N112" s="180" t="str">
        <f aca="false">IF((D112="a"),F112," ")</f>
        <v> </v>
      </c>
      <c r="O112" s="180" t="str">
        <f aca="false">IF((D112="l"),F112," ")</f>
        <v> </v>
      </c>
      <c r="P112" s="180" t="str">
        <f aca="false">IF((D112="i"),F112," ")</f>
        <v> </v>
      </c>
      <c r="Q112" s="180" t="str">
        <f aca="false">IF((D112="b"),F112," ")</f>
        <v> </v>
      </c>
      <c r="R112" s="180" t="str">
        <f aca="false">IF((D112="o"),F112," ")</f>
        <v> </v>
      </c>
      <c r="S112" s="180" t="str">
        <f aca="false">IF((D112="f"),F112," ")</f>
        <v> </v>
      </c>
      <c r="U112" s="371"/>
    </row>
    <row r="113" customFormat="false" ht="12.75" hidden="false" customHeight="false" outlineLevel="0" collapsed="false">
      <c r="D113" s="371" t="str">
        <f aca="false">IF((F113&lt;&gt;0),"Enter Letter"," ")</f>
        <v> </v>
      </c>
      <c r="G113" s="180" t="str">
        <f aca="false">IF((D113="d"),F113," ")</f>
        <v> </v>
      </c>
      <c r="H113" s="180" t="str">
        <f aca="false">IF((D113="h"),F113," ")</f>
        <v> </v>
      </c>
      <c r="I113" s="180" t="str">
        <f aca="false">IF((D113="r"),F113," ")</f>
        <v> </v>
      </c>
      <c r="J113" s="180" t="str">
        <f aca="false">IF((D113="t"),F113," ")</f>
        <v> </v>
      </c>
      <c r="K113" s="180" t="str">
        <f aca="false">IF((D113="e"),F113," ")</f>
        <v> </v>
      </c>
      <c r="L113" s="180" t="str">
        <f aca="false">IF((D113="p"),F113," ")</f>
        <v> </v>
      </c>
      <c r="M113" s="180" t="str">
        <f aca="false">IF((D113="g"),F113," ")</f>
        <v> </v>
      </c>
      <c r="N113" s="180" t="str">
        <f aca="false">IF((D113="a"),F113," ")</f>
        <v> </v>
      </c>
      <c r="O113" s="180" t="str">
        <f aca="false">IF((D113="l"),F113," ")</f>
        <v> </v>
      </c>
      <c r="P113" s="180" t="str">
        <f aca="false">IF((D113="i"),F113," ")</f>
        <v> </v>
      </c>
      <c r="Q113" s="180" t="str">
        <f aca="false">IF((D113="b"),F113," ")</f>
        <v> </v>
      </c>
      <c r="R113" s="180" t="str">
        <f aca="false">IF((D113="o"),F113," ")</f>
        <v> </v>
      </c>
      <c r="S113" s="180" t="str">
        <f aca="false">IF((D113="f"),F113," ")</f>
        <v> </v>
      </c>
      <c r="U113" s="371"/>
    </row>
    <row r="114" customFormat="false" ht="12.75" hidden="false" customHeight="false" outlineLevel="0" collapsed="false">
      <c r="D114" s="371" t="str">
        <f aca="false">IF((F114&lt;&gt;0),"Enter Letter"," ")</f>
        <v> </v>
      </c>
      <c r="G114" s="180" t="str">
        <f aca="false">IF((D114="d"),F114," ")</f>
        <v> </v>
      </c>
      <c r="H114" s="180" t="str">
        <f aca="false">IF((D114="h"),F114," ")</f>
        <v> </v>
      </c>
      <c r="I114" s="180" t="str">
        <f aca="false">IF((D114="r"),F114," ")</f>
        <v> </v>
      </c>
      <c r="J114" s="180" t="str">
        <f aca="false">IF((D114="t"),F114," ")</f>
        <v> </v>
      </c>
      <c r="K114" s="180" t="str">
        <f aca="false">IF((D114="e"),F114," ")</f>
        <v> </v>
      </c>
      <c r="L114" s="180" t="str">
        <f aca="false">IF((D114="p"),F114," ")</f>
        <v> </v>
      </c>
      <c r="M114" s="180" t="str">
        <f aca="false">IF((D114="g"),F114," ")</f>
        <v> </v>
      </c>
      <c r="N114" s="180" t="str">
        <f aca="false">IF((D114="a"),F114," ")</f>
        <v> </v>
      </c>
      <c r="O114" s="180" t="str">
        <f aca="false">IF((D114="l"),F114," ")</f>
        <v> </v>
      </c>
      <c r="P114" s="180" t="str">
        <f aca="false">IF((D114="i"),F114," ")</f>
        <v> </v>
      </c>
      <c r="Q114" s="180" t="str">
        <f aca="false">IF((D114="b"),F114," ")</f>
        <v> </v>
      </c>
      <c r="R114" s="180" t="str">
        <f aca="false">IF((D114="o"),F114," ")</f>
        <v> </v>
      </c>
      <c r="S114" s="180" t="str">
        <f aca="false">IF((D114="f"),F114," ")</f>
        <v> </v>
      </c>
      <c r="U114" s="371"/>
    </row>
    <row r="115" customFormat="false" ht="12.75" hidden="false" customHeight="false" outlineLevel="0" collapsed="false">
      <c r="D115" s="371" t="str">
        <f aca="false">IF((F115&lt;&gt;0),"Enter Letter"," ")</f>
        <v> </v>
      </c>
      <c r="G115" s="180" t="str">
        <f aca="false">IF((D115="d"),F115," ")</f>
        <v> </v>
      </c>
      <c r="H115" s="180" t="str">
        <f aca="false">IF((D115="h"),F115," ")</f>
        <v> </v>
      </c>
      <c r="I115" s="180" t="str">
        <f aca="false">IF((D115="r"),F115," ")</f>
        <v> </v>
      </c>
      <c r="J115" s="180" t="str">
        <f aca="false">IF((D115="t"),F115," ")</f>
        <v> </v>
      </c>
      <c r="K115" s="180" t="str">
        <f aca="false">IF((D115="e"),F115," ")</f>
        <v> </v>
      </c>
      <c r="L115" s="180" t="str">
        <f aca="false">IF((D115="p"),F115," ")</f>
        <v> </v>
      </c>
      <c r="M115" s="180" t="str">
        <f aca="false">IF((D115="g"),F115," ")</f>
        <v> </v>
      </c>
      <c r="N115" s="180" t="str">
        <f aca="false">IF((D115="a"),F115," ")</f>
        <v> </v>
      </c>
      <c r="O115" s="180" t="str">
        <f aca="false">IF((D115="l"),F115," ")</f>
        <v> </v>
      </c>
      <c r="P115" s="180" t="str">
        <f aca="false">IF((D115="i"),F115," ")</f>
        <v> </v>
      </c>
      <c r="Q115" s="180" t="str">
        <f aca="false">IF((D115="b"),F115," ")</f>
        <v> </v>
      </c>
      <c r="R115" s="180" t="str">
        <f aca="false">IF((D115="o"),F115," ")</f>
        <v> </v>
      </c>
      <c r="S115" s="180" t="str">
        <f aca="false">IF((D115="f"),F115," ")</f>
        <v> </v>
      </c>
      <c r="U115" s="371"/>
    </row>
    <row r="116" customFormat="false" ht="12.75" hidden="false" customHeight="false" outlineLevel="0" collapsed="false">
      <c r="D116" s="371" t="str">
        <f aca="false">IF((F116&lt;&gt;0),"Enter Letter"," ")</f>
        <v> </v>
      </c>
      <c r="G116" s="180" t="str">
        <f aca="false">IF((D116="d"),F116," ")</f>
        <v> </v>
      </c>
      <c r="H116" s="180" t="str">
        <f aca="false">IF((D116="h"),F116," ")</f>
        <v> </v>
      </c>
      <c r="I116" s="180" t="str">
        <f aca="false">IF((D116="r"),F116," ")</f>
        <v> </v>
      </c>
      <c r="J116" s="180" t="str">
        <f aca="false">IF((D116="t"),F116," ")</f>
        <v> </v>
      </c>
      <c r="K116" s="180" t="str">
        <f aca="false">IF((D116="e"),F116," ")</f>
        <v> </v>
      </c>
      <c r="L116" s="180" t="str">
        <f aca="false">IF((D116="p"),F116," ")</f>
        <v> </v>
      </c>
      <c r="M116" s="180" t="str">
        <f aca="false">IF((D116="g"),F116," ")</f>
        <v> </v>
      </c>
      <c r="N116" s="180" t="str">
        <f aca="false">IF((D116="a"),F116," ")</f>
        <v> </v>
      </c>
      <c r="O116" s="180" t="str">
        <f aca="false">IF((D116="l"),F116," ")</f>
        <v> </v>
      </c>
      <c r="P116" s="180" t="str">
        <f aca="false">IF((D116="i"),F116," ")</f>
        <v> </v>
      </c>
      <c r="Q116" s="180" t="str">
        <f aca="false">IF((D116="b"),F116," ")</f>
        <v> </v>
      </c>
      <c r="R116" s="180" t="str">
        <f aca="false">IF((D116="o"),F116," ")</f>
        <v> </v>
      </c>
      <c r="S116" s="180" t="str">
        <f aca="false">IF((D116="f"),F116," ")</f>
        <v> </v>
      </c>
      <c r="U116" s="371"/>
    </row>
    <row r="117" customFormat="false" ht="12.75" hidden="false" customHeight="false" outlineLevel="0" collapsed="false">
      <c r="D117" s="371" t="str">
        <f aca="false">IF((F117&lt;&gt;0),"Enter Letter"," ")</f>
        <v> </v>
      </c>
      <c r="G117" s="180" t="str">
        <f aca="false">IF((D117="d"),F117," ")</f>
        <v> </v>
      </c>
      <c r="H117" s="180" t="str">
        <f aca="false">IF((D117="h"),F117," ")</f>
        <v> </v>
      </c>
      <c r="I117" s="180" t="str">
        <f aca="false">IF((D117="r"),F117," ")</f>
        <v> </v>
      </c>
      <c r="J117" s="180" t="str">
        <f aca="false">IF((D117="t"),F117," ")</f>
        <v> </v>
      </c>
      <c r="K117" s="180" t="str">
        <f aca="false">IF((D117="e"),F117," ")</f>
        <v> </v>
      </c>
      <c r="L117" s="180" t="str">
        <f aca="false">IF((D117="p"),F117," ")</f>
        <v> </v>
      </c>
      <c r="M117" s="180" t="str">
        <f aca="false">IF((D117="g"),F117," ")</f>
        <v> </v>
      </c>
      <c r="N117" s="180" t="str">
        <f aca="false">IF((D117="a"),F117," ")</f>
        <v> </v>
      </c>
      <c r="O117" s="180" t="str">
        <f aca="false">IF((D117="l"),F117," ")</f>
        <v> </v>
      </c>
      <c r="P117" s="180" t="str">
        <f aca="false">IF((D117="i"),F117," ")</f>
        <v> </v>
      </c>
      <c r="Q117" s="180" t="str">
        <f aca="false">IF((D117="b"),F117," ")</f>
        <v> </v>
      </c>
      <c r="R117" s="180" t="str">
        <f aca="false">IF((D117="o"),F117," ")</f>
        <v> </v>
      </c>
      <c r="S117" s="180" t="str">
        <f aca="false">IF((D117="f"),F117," ")</f>
        <v> </v>
      </c>
      <c r="U117" s="371"/>
    </row>
    <row r="118" customFormat="false" ht="12.75" hidden="false" customHeight="false" outlineLevel="0" collapsed="false">
      <c r="D118" s="371" t="str">
        <f aca="false">IF((F118&lt;&gt;0),"Enter Letter"," ")</f>
        <v> </v>
      </c>
      <c r="G118" s="180" t="str">
        <f aca="false">IF((D118="d"),F118," ")</f>
        <v> </v>
      </c>
      <c r="H118" s="180" t="str">
        <f aca="false">IF((D118="h"),F118," ")</f>
        <v> </v>
      </c>
      <c r="I118" s="180" t="str">
        <f aca="false">IF((D118="r"),F118," ")</f>
        <v> </v>
      </c>
      <c r="J118" s="180" t="str">
        <f aca="false">IF((D118="t"),F118," ")</f>
        <v> </v>
      </c>
      <c r="K118" s="180" t="str">
        <f aca="false">IF((D118="e"),F118," ")</f>
        <v> </v>
      </c>
      <c r="L118" s="180" t="str">
        <f aca="false">IF((D118="p"),F118," ")</f>
        <v> </v>
      </c>
      <c r="M118" s="180" t="str">
        <f aca="false">IF((D118="g"),F118," ")</f>
        <v> </v>
      </c>
      <c r="N118" s="180" t="str">
        <f aca="false">IF((D118="a"),F118," ")</f>
        <v> </v>
      </c>
      <c r="O118" s="180" t="str">
        <f aca="false">IF((D118="l"),F118," ")</f>
        <v> </v>
      </c>
      <c r="P118" s="180" t="str">
        <f aca="false">IF((D118="i"),F118," ")</f>
        <v> </v>
      </c>
      <c r="Q118" s="180" t="str">
        <f aca="false">IF((D118="b"),F118," ")</f>
        <v> </v>
      </c>
      <c r="R118" s="180" t="str">
        <f aca="false">IF((D118="o"),F118," ")</f>
        <v> </v>
      </c>
      <c r="S118" s="180" t="str">
        <f aca="false">IF((D118="f"),F118," ")</f>
        <v> </v>
      </c>
      <c r="U118" s="371"/>
    </row>
    <row r="119" customFormat="false" ht="12.75" hidden="false" customHeight="false" outlineLevel="0" collapsed="false">
      <c r="D119" s="371" t="str">
        <f aca="false">IF((F119&lt;&gt;0),"Enter Letter"," ")</f>
        <v> </v>
      </c>
      <c r="G119" s="180" t="str">
        <f aca="false">IF((D119="d"),F119," ")</f>
        <v> </v>
      </c>
      <c r="H119" s="180" t="str">
        <f aca="false">IF((D119="h"),F119," ")</f>
        <v> </v>
      </c>
      <c r="I119" s="180" t="str">
        <f aca="false">IF((D119="r"),F119," ")</f>
        <v> </v>
      </c>
      <c r="J119" s="180" t="str">
        <f aca="false">IF((D119="t"),F119," ")</f>
        <v> </v>
      </c>
      <c r="K119" s="180" t="str">
        <f aca="false">IF((D119="e"),F119," ")</f>
        <v> </v>
      </c>
      <c r="L119" s="180" t="str">
        <f aca="false">IF((D119="p"),F119," ")</f>
        <v> </v>
      </c>
      <c r="M119" s="180" t="str">
        <f aca="false">IF((D119="g"),F119," ")</f>
        <v> </v>
      </c>
      <c r="N119" s="180" t="str">
        <f aca="false">IF((D119="a"),F119," ")</f>
        <v> </v>
      </c>
      <c r="O119" s="180" t="str">
        <f aca="false">IF((D119="l"),F119," ")</f>
        <v> </v>
      </c>
      <c r="P119" s="180" t="str">
        <f aca="false">IF((D119="i"),F119," ")</f>
        <v> </v>
      </c>
      <c r="Q119" s="180" t="str">
        <f aca="false">IF((D119="b"),F119," ")</f>
        <v> </v>
      </c>
      <c r="R119" s="180" t="str">
        <f aca="false">IF((D119="o"),F119," ")</f>
        <v> </v>
      </c>
      <c r="S119" s="180" t="str">
        <f aca="false">IF((D119="f"),F119," ")</f>
        <v> </v>
      </c>
      <c r="U119" s="371"/>
    </row>
    <row r="120" customFormat="false" ht="12.75" hidden="false" customHeight="false" outlineLevel="0" collapsed="false">
      <c r="D120" s="371" t="str">
        <f aca="false">IF((F120&lt;&gt;0),"Enter Letter"," ")</f>
        <v> </v>
      </c>
      <c r="G120" s="180" t="str">
        <f aca="false">IF((D120="d"),F120," ")</f>
        <v> </v>
      </c>
      <c r="H120" s="180" t="str">
        <f aca="false">IF((D120="h"),F120," ")</f>
        <v> </v>
      </c>
      <c r="I120" s="180" t="str">
        <f aca="false">IF((D120="r"),F120," ")</f>
        <v> </v>
      </c>
      <c r="J120" s="180" t="str">
        <f aca="false">IF((D120="t"),F120," ")</f>
        <v> </v>
      </c>
      <c r="K120" s="180" t="str">
        <f aca="false">IF((D120="e"),F120," ")</f>
        <v> </v>
      </c>
      <c r="L120" s="180" t="str">
        <f aca="false">IF((D120="p"),F120," ")</f>
        <v> </v>
      </c>
      <c r="M120" s="180" t="str">
        <f aca="false">IF((D120="g"),F120," ")</f>
        <v> </v>
      </c>
      <c r="N120" s="180" t="str">
        <f aca="false">IF((D120="a"),F120," ")</f>
        <v> </v>
      </c>
      <c r="O120" s="180" t="str">
        <f aca="false">IF((D120="l"),F120," ")</f>
        <v> </v>
      </c>
      <c r="P120" s="180" t="str">
        <f aca="false">IF((D120="i"),F120," ")</f>
        <v> </v>
      </c>
      <c r="Q120" s="180" t="str">
        <f aca="false">IF((D120="b"),F120," ")</f>
        <v> </v>
      </c>
      <c r="R120" s="180" t="str">
        <f aca="false">IF((D120="o"),F120," ")</f>
        <v> </v>
      </c>
      <c r="S120" s="180" t="str">
        <f aca="false">IF((D120="f"),F120," ")</f>
        <v> </v>
      </c>
      <c r="U120" s="371"/>
    </row>
    <row r="121" customFormat="false" ht="12.75" hidden="false" customHeight="false" outlineLevel="0" collapsed="false">
      <c r="D121" s="371" t="str">
        <f aca="false">IF((F121&lt;&gt;0),"Enter Letter"," ")</f>
        <v> </v>
      </c>
      <c r="G121" s="180" t="str">
        <f aca="false">IF((D121="d"),F121," ")</f>
        <v> </v>
      </c>
      <c r="H121" s="180" t="str">
        <f aca="false">IF((D121="h"),F121," ")</f>
        <v> </v>
      </c>
      <c r="I121" s="180" t="str">
        <f aca="false">IF((D121="r"),F121," ")</f>
        <v> </v>
      </c>
      <c r="J121" s="180" t="str">
        <f aca="false">IF((D121="t"),F121," ")</f>
        <v> </v>
      </c>
      <c r="K121" s="180" t="str">
        <f aca="false">IF((D121="e"),F121," ")</f>
        <v> </v>
      </c>
      <c r="L121" s="180" t="str">
        <f aca="false">IF((D121="p"),F121," ")</f>
        <v> </v>
      </c>
      <c r="M121" s="180" t="str">
        <f aca="false">IF((D121="g"),F121," ")</f>
        <v> </v>
      </c>
      <c r="N121" s="180" t="str">
        <f aca="false">IF((D121="a"),F121," ")</f>
        <v> </v>
      </c>
      <c r="O121" s="180" t="str">
        <f aca="false">IF((D121="l"),F121," ")</f>
        <v> </v>
      </c>
      <c r="P121" s="180" t="str">
        <f aca="false">IF((D121="i"),F121," ")</f>
        <v> </v>
      </c>
      <c r="Q121" s="180" t="str">
        <f aca="false">IF((D121="b"),F121," ")</f>
        <v> </v>
      </c>
      <c r="R121" s="180" t="str">
        <f aca="false">IF((D121="o"),F121," ")</f>
        <v> </v>
      </c>
      <c r="S121" s="180" t="str">
        <f aca="false">IF((D121="f"),F121," ")</f>
        <v> </v>
      </c>
      <c r="U121" s="371"/>
    </row>
    <row r="122" customFormat="false" ht="12.75" hidden="false" customHeight="false" outlineLevel="0" collapsed="false">
      <c r="D122" s="371" t="str">
        <f aca="false">IF((F122&lt;&gt;0),"Enter Letter"," ")</f>
        <v> </v>
      </c>
      <c r="G122" s="180" t="str">
        <f aca="false">IF((D122="d"),F122," ")</f>
        <v> </v>
      </c>
      <c r="H122" s="180" t="str">
        <f aca="false">IF((D122="h"),F122," ")</f>
        <v> </v>
      </c>
      <c r="I122" s="180" t="str">
        <f aca="false">IF((D122="r"),F122," ")</f>
        <v> </v>
      </c>
      <c r="J122" s="180" t="str">
        <f aca="false">IF((D122="t"),F122," ")</f>
        <v> </v>
      </c>
      <c r="K122" s="180" t="str">
        <f aca="false">IF((D122="e"),F122," ")</f>
        <v> </v>
      </c>
      <c r="L122" s="180" t="str">
        <f aca="false">IF((D122="p"),F122," ")</f>
        <v> </v>
      </c>
      <c r="M122" s="180" t="str">
        <f aca="false">IF((D122="g"),F122," ")</f>
        <v> </v>
      </c>
      <c r="N122" s="180" t="str">
        <f aca="false">IF((D122="a"),F122," ")</f>
        <v> </v>
      </c>
      <c r="O122" s="180" t="str">
        <f aca="false">IF((D122="l"),F122," ")</f>
        <v> </v>
      </c>
      <c r="P122" s="180" t="str">
        <f aca="false">IF((D122="i"),F122," ")</f>
        <v> </v>
      </c>
      <c r="Q122" s="180" t="str">
        <f aca="false">IF((D122="b"),F122," ")</f>
        <v> </v>
      </c>
      <c r="R122" s="180" t="str">
        <f aca="false">IF((D122="o"),F122," ")</f>
        <v> </v>
      </c>
      <c r="S122" s="180" t="str">
        <f aca="false">IF((D122="f"),F122," ")</f>
        <v> </v>
      </c>
      <c r="U122" s="371"/>
    </row>
    <row r="123" customFormat="false" ht="12.75" hidden="false" customHeight="false" outlineLevel="0" collapsed="false">
      <c r="D123" s="371" t="str">
        <f aca="false">IF((F123&lt;&gt;0),"Enter Letter"," ")</f>
        <v> </v>
      </c>
      <c r="G123" s="180" t="str">
        <f aca="false">IF((D123="d"),F123," ")</f>
        <v> </v>
      </c>
      <c r="H123" s="180" t="str">
        <f aca="false">IF((D123="h"),F123," ")</f>
        <v> </v>
      </c>
      <c r="I123" s="180" t="str">
        <f aca="false">IF((D123="r"),F123," ")</f>
        <v> </v>
      </c>
      <c r="J123" s="180" t="str">
        <f aca="false">IF((D123="t"),F123," ")</f>
        <v> </v>
      </c>
      <c r="K123" s="180" t="str">
        <f aca="false">IF((D123="e"),F123," ")</f>
        <v> </v>
      </c>
      <c r="L123" s="180" t="str">
        <f aca="false">IF((D123="p"),F123," ")</f>
        <v> </v>
      </c>
      <c r="M123" s="180" t="str">
        <f aca="false">IF((D123="g"),F123," ")</f>
        <v> </v>
      </c>
      <c r="N123" s="180" t="str">
        <f aca="false">IF((D123="a"),F123," ")</f>
        <v> </v>
      </c>
      <c r="O123" s="180" t="str">
        <f aca="false">IF((D123="l"),F123," ")</f>
        <v> </v>
      </c>
      <c r="P123" s="180" t="str">
        <f aca="false">IF((D123="i"),F123," ")</f>
        <v> </v>
      </c>
      <c r="Q123" s="180" t="str">
        <f aca="false">IF((D123="b"),F123," ")</f>
        <v> </v>
      </c>
      <c r="R123" s="180" t="str">
        <f aca="false">IF((D123="o"),F123," ")</f>
        <v> </v>
      </c>
      <c r="S123" s="180" t="str">
        <f aca="false">IF((D123="f"),F123," ")</f>
        <v> </v>
      </c>
      <c r="U123" s="371"/>
    </row>
    <row r="124" customFormat="false" ht="12.75" hidden="false" customHeight="false" outlineLevel="0" collapsed="false">
      <c r="D124" s="371" t="str">
        <f aca="false">IF((F124&lt;&gt;0),"Enter Letter"," ")</f>
        <v> </v>
      </c>
      <c r="G124" s="180" t="str">
        <f aca="false">IF((D124="d"),F124," ")</f>
        <v> </v>
      </c>
      <c r="H124" s="180" t="str">
        <f aca="false">IF((D124="h"),F124," ")</f>
        <v> </v>
      </c>
      <c r="I124" s="180" t="str">
        <f aca="false">IF((D124="r"),F124," ")</f>
        <v> </v>
      </c>
      <c r="J124" s="180" t="str">
        <f aca="false">IF((D124="t"),F124," ")</f>
        <v> </v>
      </c>
      <c r="K124" s="180" t="str">
        <f aca="false">IF((D124="e"),F124," ")</f>
        <v> </v>
      </c>
      <c r="L124" s="180" t="str">
        <f aca="false">IF((D124="p"),F124," ")</f>
        <v> </v>
      </c>
      <c r="M124" s="180" t="str">
        <f aca="false">IF((D124="g"),F124," ")</f>
        <v> </v>
      </c>
      <c r="N124" s="180" t="str">
        <f aca="false">IF((D124="a"),F124," ")</f>
        <v> </v>
      </c>
      <c r="O124" s="180" t="str">
        <f aca="false">IF((D124="l"),F124," ")</f>
        <v> </v>
      </c>
      <c r="P124" s="180" t="str">
        <f aca="false">IF((D124="i"),F124," ")</f>
        <v> </v>
      </c>
      <c r="Q124" s="180" t="str">
        <f aca="false">IF((D124="b"),F124," ")</f>
        <v> </v>
      </c>
      <c r="R124" s="180" t="str">
        <f aca="false">IF((D124="o"),F124," ")</f>
        <v> </v>
      </c>
      <c r="S124" s="180" t="str">
        <f aca="false">IF((D124="f"),F124," ")</f>
        <v> </v>
      </c>
      <c r="U124" s="371"/>
    </row>
    <row r="125" customFormat="false" ht="12.75" hidden="false" customHeight="false" outlineLevel="0" collapsed="false">
      <c r="D125" s="371" t="str">
        <f aca="false">IF((F125&lt;&gt;0),"Enter Letter"," ")</f>
        <v> </v>
      </c>
      <c r="G125" s="180" t="str">
        <f aca="false">IF((D125="d"),F125," ")</f>
        <v> </v>
      </c>
      <c r="H125" s="180" t="str">
        <f aca="false">IF((D125="h"),F125," ")</f>
        <v> </v>
      </c>
      <c r="I125" s="180" t="str">
        <f aca="false">IF((D125="r"),F125," ")</f>
        <v> </v>
      </c>
      <c r="J125" s="180" t="str">
        <f aca="false">IF((D125="t"),F125," ")</f>
        <v> </v>
      </c>
      <c r="K125" s="180" t="str">
        <f aca="false">IF((D125="e"),F125," ")</f>
        <v> </v>
      </c>
      <c r="L125" s="180" t="str">
        <f aca="false">IF((D125="p"),F125," ")</f>
        <v> </v>
      </c>
      <c r="M125" s="180" t="str">
        <f aca="false">IF((D125="g"),F125," ")</f>
        <v> </v>
      </c>
      <c r="N125" s="180" t="str">
        <f aca="false">IF((D125="a"),F125," ")</f>
        <v> </v>
      </c>
      <c r="O125" s="180" t="str">
        <f aca="false">IF((D125="l"),F125," ")</f>
        <v> </v>
      </c>
      <c r="P125" s="180" t="str">
        <f aca="false">IF((D125="i"),F125," ")</f>
        <v> </v>
      </c>
      <c r="Q125" s="180" t="str">
        <f aca="false">IF((D125="b"),F125," ")</f>
        <v> </v>
      </c>
      <c r="R125" s="180" t="str">
        <f aca="false">IF((D125="o"),F125," ")</f>
        <v> </v>
      </c>
      <c r="S125" s="180" t="str">
        <f aca="false">IF((D125="f"),F125," ")</f>
        <v> </v>
      </c>
      <c r="U125" s="371"/>
    </row>
    <row r="126" customFormat="false" ht="12.75" hidden="false" customHeight="false" outlineLevel="0" collapsed="false">
      <c r="D126" s="371" t="str">
        <f aca="false">IF((F126&lt;&gt;0),"Enter Letter"," ")</f>
        <v> </v>
      </c>
      <c r="G126" s="180" t="str">
        <f aca="false">IF((D126="d"),F126," ")</f>
        <v> </v>
      </c>
      <c r="H126" s="180" t="str">
        <f aca="false">IF((D126="h"),F126," ")</f>
        <v> </v>
      </c>
      <c r="I126" s="180" t="str">
        <f aca="false">IF((D126="r"),F126," ")</f>
        <v> </v>
      </c>
      <c r="J126" s="180" t="str">
        <f aca="false">IF((D126="t"),F126," ")</f>
        <v> </v>
      </c>
      <c r="K126" s="180" t="str">
        <f aca="false">IF((D126="e"),F126," ")</f>
        <v> </v>
      </c>
      <c r="L126" s="180" t="str">
        <f aca="false">IF((D126="p"),F126," ")</f>
        <v> </v>
      </c>
      <c r="M126" s="180" t="str">
        <f aca="false">IF((D126="g"),F126," ")</f>
        <v> </v>
      </c>
      <c r="N126" s="180" t="str">
        <f aca="false">IF((D126="a"),F126," ")</f>
        <v> </v>
      </c>
      <c r="O126" s="180" t="str">
        <f aca="false">IF((D126="l"),F126," ")</f>
        <v> </v>
      </c>
      <c r="P126" s="180" t="str">
        <f aca="false">IF((D126="i"),F126," ")</f>
        <v> </v>
      </c>
      <c r="Q126" s="180" t="str">
        <f aca="false">IF((D126="b"),F126," ")</f>
        <v> </v>
      </c>
      <c r="R126" s="180" t="str">
        <f aca="false">IF((D126="o"),F126," ")</f>
        <v> </v>
      </c>
      <c r="S126" s="180" t="str">
        <f aca="false">IF((D126="f"),F126," ")</f>
        <v> </v>
      </c>
      <c r="U126" s="371"/>
    </row>
    <row r="127" customFormat="false" ht="12.75" hidden="false" customHeight="false" outlineLevel="0" collapsed="false">
      <c r="D127" s="371" t="str">
        <f aca="false">IF((F127&lt;&gt;0),"Enter Letter"," ")</f>
        <v> </v>
      </c>
      <c r="G127" s="180" t="str">
        <f aca="false">IF((D127="d"),F127," ")</f>
        <v> </v>
      </c>
      <c r="H127" s="180" t="str">
        <f aca="false">IF((D127="h"),F127," ")</f>
        <v> </v>
      </c>
      <c r="I127" s="180" t="str">
        <f aca="false">IF((D127="r"),F127," ")</f>
        <v> </v>
      </c>
      <c r="J127" s="180" t="str">
        <f aca="false">IF((D127="t"),F127," ")</f>
        <v> </v>
      </c>
      <c r="K127" s="180" t="str">
        <f aca="false">IF((D127="e"),F127," ")</f>
        <v> </v>
      </c>
      <c r="L127" s="180" t="str">
        <f aca="false">IF((D127="p"),F127," ")</f>
        <v> </v>
      </c>
      <c r="M127" s="180" t="str">
        <f aca="false">IF((D127="g"),F127," ")</f>
        <v> </v>
      </c>
      <c r="N127" s="180" t="str">
        <f aca="false">IF((D127="a"),F127," ")</f>
        <v> </v>
      </c>
      <c r="O127" s="180" t="str">
        <f aca="false">IF((D127="l"),F127," ")</f>
        <v> </v>
      </c>
      <c r="P127" s="180" t="str">
        <f aca="false">IF((D127="i"),F127," ")</f>
        <v> </v>
      </c>
      <c r="Q127" s="180" t="str">
        <f aca="false">IF((D127="b"),F127," ")</f>
        <v> </v>
      </c>
      <c r="R127" s="180" t="str">
        <f aca="false">IF((D127="o"),F127," ")</f>
        <v> </v>
      </c>
      <c r="S127" s="180" t="str">
        <f aca="false">IF((D127="f"),F127," ")</f>
        <v> </v>
      </c>
      <c r="U127" s="371"/>
    </row>
    <row r="128" customFormat="false" ht="12.75" hidden="false" customHeight="false" outlineLevel="0" collapsed="false">
      <c r="D128" s="371" t="str">
        <f aca="false">IF((F128&lt;&gt;0),"Enter Letter"," ")</f>
        <v> </v>
      </c>
      <c r="G128" s="180" t="str">
        <f aca="false">IF((D128="d"),F128," ")</f>
        <v> </v>
      </c>
      <c r="H128" s="180" t="str">
        <f aca="false">IF((D128="h"),F128," ")</f>
        <v> </v>
      </c>
      <c r="I128" s="180" t="str">
        <f aca="false">IF((D128="r"),F128," ")</f>
        <v> </v>
      </c>
      <c r="J128" s="180" t="str">
        <f aca="false">IF((D128="t"),F128," ")</f>
        <v> </v>
      </c>
      <c r="K128" s="180" t="str">
        <f aca="false">IF((D128="e"),F128," ")</f>
        <v> </v>
      </c>
      <c r="L128" s="180" t="str">
        <f aca="false">IF((D128="p"),F128," ")</f>
        <v> </v>
      </c>
      <c r="M128" s="180" t="str">
        <f aca="false">IF((D128="g"),F128," ")</f>
        <v> </v>
      </c>
      <c r="N128" s="180" t="str">
        <f aca="false">IF((D128="a"),F128," ")</f>
        <v> </v>
      </c>
      <c r="O128" s="180" t="str">
        <f aca="false">IF((D128="l"),F128," ")</f>
        <v> </v>
      </c>
      <c r="P128" s="180" t="str">
        <f aca="false">IF((D128="i"),F128," ")</f>
        <v> </v>
      </c>
      <c r="Q128" s="180" t="str">
        <f aca="false">IF((D128="b"),F128," ")</f>
        <v> </v>
      </c>
      <c r="R128" s="180" t="str">
        <f aca="false">IF((D128="o"),F128," ")</f>
        <v> </v>
      </c>
      <c r="S128" s="180" t="str">
        <f aca="false">IF((D128="f"),F128," ")</f>
        <v> </v>
      </c>
      <c r="U128" s="371"/>
    </row>
    <row r="129" customFormat="false" ht="12.75" hidden="false" customHeight="false" outlineLevel="0" collapsed="false">
      <c r="D129" s="371" t="str">
        <f aca="false">IF((F129&lt;&gt;0),"Enter Letter"," ")</f>
        <v> </v>
      </c>
      <c r="G129" s="180" t="str">
        <f aca="false">IF((D129="d"),F129," ")</f>
        <v> </v>
      </c>
      <c r="H129" s="180" t="str">
        <f aca="false">IF((D129="h"),F129," ")</f>
        <v> </v>
      </c>
      <c r="I129" s="180" t="str">
        <f aca="false">IF((D129="r"),F129," ")</f>
        <v> </v>
      </c>
      <c r="J129" s="180" t="str">
        <f aca="false">IF((D129="t"),F129," ")</f>
        <v> </v>
      </c>
      <c r="K129" s="180" t="str">
        <f aca="false">IF((D129="e"),F129," ")</f>
        <v> </v>
      </c>
      <c r="L129" s="180" t="str">
        <f aca="false">IF((D129="p"),F129," ")</f>
        <v> </v>
      </c>
      <c r="M129" s="180" t="str">
        <f aca="false">IF((D129="g"),F129," ")</f>
        <v> </v>
      </c>
      <c r="N129" s="180" t="str">
        <f aca="false">IF((D129="a"),F129," ")</f>
        <v> </v>
      </c>
      <c r="O129" s="180" t="str">
        <f aca="false">IF((D129="l"),F129," ")</f>
        <v> </v>
      </c>
      <c r="P129" s="180" t="str">
        <f aca="false">IF((D129="i"),F129," ")</f>
        <v> </v>
      </c>
      <c r="Q129" s="180" t="str">
        <f aca="false">IF((D129="b"),F129," ")</f>
        <v> </v>
      </c>
      <c r="R129" s="180" t="str">
        <f aca="false">IF((D129="o"),F129," ")</f>
        <v> </v>
      </c>
      <c r="S129" s="180" t="str">
        <f aca="false">IF((D129="f"),F129," ")</f>
        <v> </v>
      </c>
      <c r="U129" s="371"/>
    </row>
    <row r="130" customFormat="false" ht="12.75" hidden="false" customHeight="false" outlineLevel="0" collapsed="false">
      <c r="D130" s="371" t="str">
        <f aca="false">IF((F130&lt;&gt;0),"Enter Letter"," ")</f>
        <v> </v>
      </c>
      <c r="G130" s="180" t="str">
        <f aca="false">IF((D130="d"),F130," ")</f>
        <v> </v>
      </c>
      <c r="H130" s="180" t="str">
        <f aca="false">IF((D130="h"),F130," ")</f>
        <v> </v>
      </c>
      <c r="I130" s="180" t="str">
        <f aca="false">IF((D130="r"),F130," ")</f>
        <v> </v>
      </c>
      <c r="J130" s="180" t="str">
        <f aca="false">IF((D130="t"),F130," ")</f>
        <v> </v>
      </c>
      <c r="K130" s="180" t="str">
        <f aca="false">IF((D130="e"),F130," ")</f>
        <v> </v>
      </c>
      <c r="L130" s="180" t="str">
        <f aca="false">IF((D130="p"),F130," ")</f>
        <v> </v>
      </c>
      <c r="M130" s="180" t="str">
        <f aca="false">IF((D130="g"),F130," ")</f>
        <v> </v>
      </c>
      <c r="N130" s="180" t="str">
        <f aca="false">IF((D130="a"),F130," ")</f>
        <v> </v>
      </c>
      <c r="O130" s="180" t="str">
        <f aca="false">IF((D130="l"),F130," ")</f>
        <v> </v>
      </c>
      <c r="P130" s="180" t="str">
        <f aca="false">IF((D130="i"),F130," ")</f>
        <v> </v>
      </c>
      <c r="Q130" s="180" t="str">
        <f aca="false">IF((D130="b"),F130," ")</f>
        <v> </v>
      </c>
      <c r="R130" s="180" t="str">
        <f aca="false">IF((D130="o"),F130," ")</f>
        <v> </v>
      </c>
      <c r="S130" s="180" t="str">
        <f aca="false">IF((D130="f"),F130," ")</f>
        <v> </v>
      </c>
      <c r="U130" s="371"/>
    </row>
    <row r="131" customFormat="false" ht="12.75" hidden="false" customHeight="false" outlineLevel="0" collapsed="false">
      <c r="D131" s="371" t="str">
        <f aca="false">IF((F131&lt;&gt;0),"Enter Letter"," ")</f>
        <v> </v>
      </c>
      <c r="G131" s="180" t="str">
        <f aca="false">IF((D131="d"),F131," ")</f>
        <v> </v>
      </c>
      <c r="H131" s="180" t="str">
        <f aca="false">IF((D131="h"),F131," ")</f>
        <v> </v>
      </c>
      <c r="I131" s="180" t="str">
        <f aca="false">IF((D131="r"),F131," ")</f>
        <v> </v>
      </c>
      <c r="J131" s="180" t="str">
        <f aca="false">IF((D131="t"),F131," ")</f>
        <v> </v>
      </c>
      <c r="K131" s="180" t="str">
        <f aca="false">IF((D131="e"),F131," ")</f>
        <v> </v>
      </c>
      <c r="L131" s="180" t="str">
        <f aca="false">IF((D131="p"),F131," ")</f>
        <v> </v>
      </c>
      <c r="M131" s="180" t="str">
        <f aca="false">IF((D131="g"),F131," ")</f>
        <v> </v>
      </c>
      <c r="N131" s="180" t="str">
        <f aca="false">IF((D131="a"),F131," ")</f>
        <v> </v>
      </c>
      <c r="O131" s="180" t="str">
        <f aca="false">IF((D131="l"),F131," ")</f>
        <v> </v>
      </c>
      <c r="P131" s="180" t="str">
        <f aca="false">IF((D131="i"),F131," ")</f>
        <v> </v>
      </c>
      <c r="Q131" s="180" t="str">
        <f aca="false">IF((D131="b"),F131," ")</f>
        <v> </v>
      </c>
      <c r="R131" s="180" t="str">
        <f aca="false">IF((D131="o"),F131," ")</f>
        <v> </v>
      </c>
      <c r="S131" s="180" t="str">
        <f aca="false">IF((D131="f"),F131," ")</f>
        <v> </v>
      </c>
      <c r="U131" s="371"/>
    </row>
    <row r="132" customFormat="false" ht="12.75" hidden="false" customHeight="false" outlineLevel="0" collapsed="false">
      <c r="D132" s="371" t="str">
        <f aca="false">IF((F132&lt;&gt;0),"Enter Letter"," ")</f>
        <v> </v>
      </c>
      <c r="G132" s="180" t="str">
        <f aca="false">IF((D132="d"),F132," ")</f>
        <v> </v>
      </c>
      <c r="H132" s="180" t="str">
        <f aca="false">IF((D132="h"),F132," ")</f>
        <v> </v>
      </c>
      <c r="I132" s="180" t="str">
        <f aca="false">IF((D132="r"),F132," ")</f>
        <v> </v>
      </c>
      <c r="J132" s="180" t="str">
        <f aca="false">IF((D132="t"),F132," ")</f>
        <v> </v>
      </c>
      <c r="K132" s="180" t="str">
        <f aca="false">IF((D132="e"),F132," ")</f>
        <v> </v>
      </c>
      <c r="L132" s="180" t="str">
        <f aca="false">IF((D132="p"),F132," ")</f>
        <v> </v>
      </c>
      <c r="M132" s="180" t="str">
        <f aca="false">IF((D132="g"),F132," ")</f>
        <v> </v>
      </c>
      <c r="N132" s="180" t="str">
        <f aca="false">IF((D132="a"),F132," ")</f>
        <v> </v>
      </c>
      <c r="O132" s="180" t="str">
        <f aca="false">IF((D132="l"),F132," ")</f>
        <v> </v>
      </c>
      <c r="P132" s="180" t="str">
        <f aca="false">IF((D132="i"),F132," ")</f>
        <v> </v>
      </c>
      <c r="Q132" s="180" t="str">
        <f aca="false">IF((D132="b"),F132," ")</f>
        <v> </v>
      </c>
      <c r="R132" s="180" t="str">
        <f aca="false">IF((D132="o"),F132," ")</f>
        <v> </v>
      </c>
      <c r="S132" s="180" t="str">
        <f aca="false">IF((D132="f"),F132," ")</f>
        <v> </v>
      </c>
      <c r="U132" s="371"/>
    </row>
    <row r="133" customFormat="false" ht="12.75" hidden="false" customHeight="false" outlineLevel="0" collapsed="false">
      <c r="D133" s="371" t="str">
        <f aca="false">IF((F133&lt;&gt;0),"Enter Letter"," ")</f>
        <v> </v>
      </c>
      <c r="G133" s="180" t="str">
        <f aca="false">IF((D133="d"),F133," ")</f>
        <v> </v>
      </c>
      <c r="H133" s="180" t="str">
        <f aca="false">IF((D133="h"),F133," ")</f>
        <v> </v>
      </c>
      <c r="I133" s="180" t="str">
        <f aca="false">IF((D133="r"),F133," ")</f>
        <v> </v>
      </c>
      <c r="J133" s="180" t="str">
        <f aca="false">IF((D133="t"),F133," ")</f>
        <v> </v>
      </c>
      <c r="K133" s="180" t="str">
        <f aca="false">IF((D133="e"),F133," ")</f>
        <v> </v>
      </c>
      <c r="L133" s="180" t="str">
        <f aca="false">IF((D133="p"),F133," ")</f>
        <v> </v>
      </c>
      <c r="M133" s="180" t="str">
        <f aca="false">IF((D133="g"),F133," ")</f>
        <v> </v>
      </c>
      <c r="N133" s="180" t="str">
        <f aca="false">IF((D133="a"),F133," ")</f>
        <v> </v>
      </c>
      <c r="O133" s="180" t="str">
        <f aca="false">IF((D133="l"),F133," ")</f>
        <v> </v>
      </c>
      <c r="P133" s="180" t="str">
        <f aca="false">IF((D133="i"),F133," ")</f>
        <v> </v>
      </c>
      <c r="Q133" s="180" t="str">
        <f aca="false">IF((D133="b"),F133," ")</f>
        <v> </v>
      </c>
      <c r="R133" s="180" t="str">
        <f aca="false">IF((D133="o"),F133," ")</f>
        <v> </v>
      </c>
      <c r="S133" s="180" t="str">
        <f aca="false">IF((D133="f"),F133," ")</f>
        <v> </v>
      </c>
      <c r="U133" s="371"/>
    </row>
    <row r="134" customFormat="false" ht="12.75" hidden="false" customHeight="false" outlineLevel="0" collapsed="false">
      <c r="D134" s="371" t="str">
        <f aca="false">IF((F134&lt;&gt;0),"Enter Letter"," ")</f>
        <v> </v>
      </c>
      <c r="G134" s="180" t="str">
        <f aca="false">IF((D134="d"),F134," ")</f>
        <v> </v>
      </c>
      <c r="H134" s="180" t="str">
        <f aca="false">IF((D134="h"),F134," ")</f>
        <v> </v>
      </c>
      <c r="I134" s="180" t="str">
        <f aca="false">IF((D134="r"),F134," ")</f>
        <v> </v>
      </c>
      <c r="J134" s="180" t="str">
        <f aca="false">IF((D134="t"),F134," ")</f>
        <v> </v>
      </c>
      <c r="K134" s="180" t="str">
        <f aca="false">IF((D134="e"),F134," ")</f>
        <v> </v>
      </c>
      <c r="L134" s="180" t="str">
        <f aca="false">IF((D134="p"),F134," ")</f>
        <v> </v>
      </c>
      <c r="M134" s="180" t="str">
        <f aca="false">IF((D134="g"),F134," ")</f>
        <v> </v>
      </c>
      <c r="N134" s="180" t="str">
        <f aca="false">IF((D134="a"),F134," ")</f>
        <v> </v>
      </c>
      <c r="O134" s="180" t="str">
        <f aca="false">IF((D134="l"),F134," ")</f>
        <v> </v>
      </c>
      <c r="P134" s="180" t="str">
        <f aca="false">IF((D134="i"),F134," ")</f>
        <v> </v>
      </c>
      <c r="Q134" s="180" t="str">
        <f aca="false">IF((D134="b"),F134," ")</f>
        <v> </v>
      </c>
      <c r="R134" s="180" t="str">
        <f aca="false">IF((D134="o"),F134," ")</f>
        <v> </v>
      </c>
      <c r="S134" s="180" t="str">
        <f aca="false">IF((D134="f"),F134," ")</f>
        <v> </v>
      </c>
      <c r="U134" s="371"/>
    </row>
    <row r="135" customFormat="false" ht="12.75" hidden="false" customHeight="false" outlineLevel="0" collapsed="false">
      <c r="D135" s="371" t="str">
        <f aca="false">IF((F135&lt;&gt;0),"Enter Letter"," ")</f>
        <v> </v>
      </c>
      <c r="G135" s="180" t="str">
        <f aca="false">IF((D135="d"),F135," ")</f>
        <v> </v>
      </c>
      <c r="H135" s="180" t="str">
        <f aca="false">IF((D135="h"),F135," ")</f>
        <v> </v>
      </c>
      <c r="I135" s="180" t="str">
        <f aca="false">IF((D135="r"),F135," ")</f>
        <v> </v>
      </c>
      <c r="J135" s="180" t="str">
        <f aca="false">IF((D135="t"),F135," ")</f>
        <v> </v>
      </c>
      <c r="K135" s="180" t="str">
        <f aca="false">IF((D135="e"),F135," ")</f>
        <v> </v>
      </c>
      <c r="L135" s="180" t="str">
        <f aca="false">IF((D135="p"),F135," ")</f>
        <v> </v>
      </c>
      <c r="M135" s="180" t="str">
        <f aca="false">IF((D135="g"),F135," ")</f>
        <v> </v>
      </c>
      <c r="N135" s="180" t="str">
        <f aca="false">IF((D135="a"),F135," ")</f>
        <v> </v>
      </c>
      <c r="O135" s="180" t="str">
        <f aca="false">IF((D135="l"),F135," ")</f>
        <v> </v>
      </c>
      <c r="P135" s="180" t="str">
        <f aca="false">IF((D135="i"),F135," ")</f>
        <v> </v>
      </c>
      <c r="Q135" s="180" t="str">
        <f aca="false">IF((D135="b"),F135," ")</f>
        <v> </v>
      </c>
      <c r="R135" s="180" t="str">
        <f aca="false">IF((D135="o"),F135," ")</f>
        <v> </v>
      </c>
      <c r="S135" s="180" t="str">
        <f aca="false">IF((D135="f"),F135," ")</f>
        <v> </v>
      </c>
      <c r="U135" s="371"/>
    </row>
    <row r="136" customFormat="false" ht="12.75" hidden="false" customHeight="false" outlineLevel="0" collapsed="false">
      <c r="D136" s="371" t="str">
        <f aca="false">IF((F136&lt;&gt;0),"Enter Letter"," ")</f>
        <v> </v>
      </c>
      <c r="G136" s="180" t="str">
        <f aca="false">IF((D136="d"),F136," ")</f>
        <v> </v>
      </c>
      <c r="H136" s="180" t="str">
        <f aca="false">IF((D136="h"),F136," ")</f>
        <v> </v>
      </c>
      <c r="I136" s="180" t="str">
        <f aca="false">IF((D136="r"),F136," ")</f>
        <v> </v>
      </c>
      <c r="J136" s="180" t="str">
        <f aca="false">IF((D136="t"),F136," ")</f>
        <v> </v>
      </c>
      <c r="K136" s="180" t="str">
        <f aca="false">IF((D136="e"),F136," ")</f>
        <v> </v>
      </c>
      <c r="L136" s="180" t="str">
        <f aca="false">IF((D136="p"),F136," ")</f>
        <v> </v>
      </c>
      <c r="M136" s="180" t="str">
        <f aca="false">IF((D136="g"),F136," ")</f>
        <v> </v>
      </c>
      <c r="N136" s="180" t="str">
        <f aca="false">IF((D136="a"),F136," ")</f>
        <v> </v>
      </c>
      <c r="O136" s="180" t="str">
        <f aca="false">IF((D136="l"),F136," ")</f>
        <v> </v>
      </c>
      <c r="P136" s="180" t="str">
        <f aca="false">IF((D136="i"),F136," ")</f>
        <v> </v>
      </c>
      <c r="Q136" s="180" t="str">
        <f aca="false">IF((D136="b"),F136," ")</f>
        <v> </v>
      </c>
      <c r="R136" s="180" t="str">
        <f aca="false">IF((D136="o"),F136," ")</f>
        <v> </v>
      </c>
      <c r="S136" s="180" t="str">
        <f aca="false">IF((D136="f"),F136," ")</f>
        <v> </v>
      </c>
      <c r="U136" s="371"/>
    </row>
    <row r="137" customFormat="false" ht="12.75" hidden="false" customHeight="false" outlineLevel="0" collapsed="false">
      <c r="D137" s="371" t="str">
        <f aca="false">IF((F137&lt;&gt;0),"Enter Letter"," ")</f>
        <v> </v>
      </c>
      <c r="G137" s="180" t="str">
        <f aca="false">IF((D137="d"),F137," ")</f>
        <v> </v>
      </c>
      <c r="H137" s="180" t="str">
        <f aca="false">IF((D137="h"),F137," ")</f>
        <v> </v>
      </c>
      <c r="I137" s="180" t="str">
        <f aca="false">IF((D137="r"),F137," ")</f>
        <v> </v>
      </c>
      <c r="J137" s="180" t="str">
        <f aca="false">IF((D137="t"),F137," ")</f>
        <v> </v>
      </c>
      <c r="K137" s="180" t="str">
        <f aca="false">IF((D137="e"),F137," ")</f>
        <v> </v>
      </c>
      <c r="L137" s="180" t="str">
        <f aca="false">IF((D137="p"),F137," ")</f>
        <v> </v>
      </c>
      <c r="M137" s="180" t="str">
        <f aca="false">IF((D137="g"),F137," ")</f>
        <v> </v>
      </c>
      <c r="N137" s="180" t="str">
        <f aca="false">IF((D137="a"),F137," ")</f>
        <v> </v>
      </c>
      <c r="O137" s="180" t="str">
        <f aca="false">IF((D137="l"),F137," ")</f>
        <v> </v>
      </c>
      <c r="P137" s="180" t="str">
        <f aca="false">IF((D137="i"),F137," ")</f>
        <v> </v>
      </c>
      <c r="Q137" s="180" t="str">
        <f aca="false">IF((D137="b"),F137," ")</f>
        <v> </v>
      </c>
      <c r="R137" s="180" t="str">
        <f aca="false">IF((D137="o"),F137," ")</f>
        <v> </v>
      </c>
      <c r="S137" s="180" t="str">
        <f aca="false">IF((D137="f"),F137," ")</f>
        <v> </v>
      </c>
      <c r="U137" s="371"/>
    </row>
    <row r="138" customFormat="false" ht="12.75" hidden="false" customHeight="false" outlineLevel="0" collapsed="false">
      <c r="D138" s="371" t="str">
        <f aca="false">IF((F138&lt;&gt;0),"Enter Letter"," ")</f>
        <v> </v>
      </c>
      <c r="G138" s="180" t="str">
        <f aca="false">IF((D138="d"),F138," ")</f>
        <v> </v>
      </c>
      <c r="H138" s="180" t="str">
        <f aca="false">IF((D138="h"),F138," ")</f>
        <v> </v>
      </c>
      <c r="I138" s="180" t="str">
        <f aca="false">IF((D138="r"),F138," ")</f>
        <v> </v>
      </c>
      <c r="J138" s="180" t="str">
        <f aca="false">IF((D138="t"),F138," ")</f>
        <v> </v>
      </c>
      <c r="K138" s="180" t="str">
        <f aca="false">IF((D138="e"),F138," ")</f>
        <v> </v>
      </c>
      <c r="L138" s="180" t="str">
        <f aca="false">IF((D138="p"),F138," ")</f>
        <v> </v>
      </c>
      <c r="M138" s="180" t="str">
        <f aca="false">IF((D138="g"),F138," ")</f>
        <v> </v>
      </c>
      <c r="N138" s="180" t="str">
        <f aca="false">IF((D138="a"),F138," ")</f>
        <v> </v>
      </c>
      <c r="O138" s="180" t="str">
        <f aca="false">IF((D138="l"),F138," ")</f>
        <v> </v>
      </c>
      <c r="P138" s="180" t="str">
        <f aca="false">IF((D138="i"),F138," ")</f>
        <v> </v>
      </c>
      <c r="Q138" s="180" t="str">
        <f aca="false">IF((D138="b"),F138," ")</f>
        <v> </v>
      </c>
      <c r="R138" s="180" t="str">
        <f aca="false">IF((D138="o"),F138," ")</f>
        <v> </v>
      </c>
      <c r="S138" s="180" t="str">
        <f aca="false">IF((D138="f"),F138," ")</f>
        <v> </v>
      </c>
      <c r="U138" s="371"/>
    </row>
    <row r="139" customFormat="false" ht="12.75" hidden="false" customHeight="false" outlineLevel="0" collapsed="false">
      <c r="D139" s="371" t="str">
        <f aca="false">IF((F139&lt;&gt;0),"Enter Letter"," ")</f>
        <v> </v>
      </c>
      <c r="G139" s="180" t="str">
        <f aca="false">IF((D139="d"),F139," ")</f>
        <v> </v>
      </c>
      <c r="H139" s="180" t="str">
        <f aca="false">IF((D139="h"),F139," ")</f>
        <v> </v>
      </c>
      <c r="I139" s="180" t="str">
        <f aca="false">IF((D139="r"),F139," ")</f>
        <v> </v>
      </c>
      <c r="J139" s="180" t="str">
        <f aca="false">IF((D139="t"),F139," ")</f>
        <v> </v>
      </c>
      <c r="K139" s="180" t="str">
        <f aca="false">IF((D139="e"),F139," ")</f>
        <v> </v>
      </c>
      <c r="L139" s="180" t="str">
        <f aca="false">IF((D139="p"),F139," ")</f>
        <v> </v>
      </c>
      <c r="M139" s="180" t="str">
        <f aca="false">IF((D139="g"),F139," ")</f>
        <v> </v>
      </c>
      <c r="N139" s="180" t="str">
        <f aca="false">IF((D139="a"),F139," ")</f>
        <v> </v>
      </c>
      <c r="O139" s="180" t="str">
        <f aca="false">IF((D139="l"),F139," ")</f>
        <v> </v>
      </c>
      <c r="P139" s="180" t="str">
        <f aca="false">IF((D139="i"),F139," ")</f>
        <v> </v>
      </c>
      <c r="Q139" s="180" t="str">
        <f aca="false">IF((D139="b"),F139," ")</f>
        <v> </v>
      </c>
      <c r="R139" s="180" t="str">
        <f aca="false">IF((D139="o"),F139," ")</f>
        <v> </v>
      </c>
      <c r="S139" s="180" t="str">
        <f aca="false">IF((D139="f"),F139," ")</f>
        <v> </v>
      </c>
      <c r="U139" s="371"/>
    </row>
    <row r="140" customFormat="false" ht="12.75" hidden="false" customHeight="false" outlineLevel="0" collapsed="false">
      <c r="D140" s="371" t="str">
        <f aca="false">IF((F140&lt;&gt;0),"Enter Letter"," ")</f>
        <v> </v>
      </c>
      <c r="G140" s="180" t="str">
        <f aca="false">IF((D140="d"),F140," ")</f>
        <v> </v>
      </c>
      <c r="H140" s="180" t="str">
        <f aca="false">IF((D140="h"),F140," ")</f>
        <v> </v>
      </c>
      <c r="I140" s="180" t="str">
        <f aca="false">IF((D140="r"),F140," ")</f>
        <v> </v>
      </c>
      <c r="J140" s="180" t="str">
        <f aca="false">IF((D140="t"),F140," ")</f>
        <v> </v>
      </c>
      <c r="K140" s="180" t="str">
        <f aca="false">IF((D140="e"),F140," ")</f>
        <v> </v>
      </c>
      <c r="L140" s="180" t="str">
        <f aca="false">IF((D140="p"),F140," ")</f>
        <v> </v>
      </c>
      <c r="M140" s="180" t="str">
        <f aca="false">IF((D140="g"),F140," ")</f>
        <v> </v>
      </c>
      <c r="N140" s="180" t="str">
        <f aca="false">IF((D140="a"),F140," ")</f>
        <v> </v>
      </c>
      <c r="O140" s="180" t="str">
        <f aca="false">IF((D140="l"),F140," ")</f>
        <v> </v>
      </c>
      <c r="P140" s="180" t="str">
        <f aca="false">IF((D140="i"),F140," ")</f>
        <v> </v>
      </c>
      <c r="Q140" s="180" t="str">
        <f aca="false">IF((D140="b"),F140," ")</f>
        <v> </v>
      </c>
      <c r="R140" s="180" t="str">
        <f aca="false">IF((D140="o"),F140," ")</f>
        <v> </v>
      </c>
      <c r="S140" s="180" t="str">
        <f aca="false">IF((D140="f"),F140," ")</f>
        <v> </v>
      </c>
      <c r="U140" s="371"/>
    </row>
    <row r="141" customFormat="false" ht="12.75" hidden="false" customHeight="false" outlineLevel="0" collapsed="false">
      <c r="D141" s="371" t="str">
        <f aca="false">IF((F141&lt;&gt;0),"Enter Letter"," ")</f>
        <v> </v>
      </c>
      <c r="G141" s="180" t="str">
        <f aca="false">IF((D141="d"),F141," ")</f>
        <v> </v>
      </c>
      <c r="H141" s="180" t="str">
        <f aca="false">IF((D141="h"),F141," ")</f>
        <v> </v>
      </c>
      <c r="I141" s="180" t="str">
        <f aca="false">IF((D141="r"),F141," ")</f>
        <v> </v>
      </c>
      <c r="J141" s="180" t="str">
        <f aca="false">IF((D141="t"),F141," ")</f>
        <v> </v>
      </c>
      <c r="K141" s="180" t="str">
        <f aca="false">IF((D141="e"),F141," ")</f>
        <v> </v>
      </c>
      <c r="L141" s="180" t="str">
        <f aca="false">IF((D141="p"),F141," ")</f>
        <v> </v>
      </c>
      <c r="M141" s="180" t="str">
        <f aca="false">IF((D141="g"),F141," ")</f>
        <v> </v>
      </c>
      <c r="N141" s="180" t="str">
        <f aca="false">IF((D141="a"),F141," ")</f>
        <v> </v>
      </c>
      <c r="O141" s="180" t="str">
        <f aca="false">IF((D141="l"),F141," ")</f>
        <v> </v>
      </c>
      <c r="P141" s="180" t="str">
        <f aca="false">IF((D141="i"),F141," ")</f>
        <v> </v>
      </c>
      <c r="Q141" s="180" t="str">
        <f aca="false">IF((D141="b"),F141," ")</f>
        <v> </v>
      </c>
      <c r="R141" s="180" t="str">
        <f aca="false">IF((D141="o"),F141," ")</f>
        <v> </v>
      </c>
      <c r="S141" s="180" t="str">
        <f aca="false">IF((D141="f"),F141," ")</f>
        <v> </v>
      </c>
      <c r="U141" s="371"/>
    </row>
    <row r="142" customFormat="false" ht="12.75" hidden="false" customHeight="false" outlineLevel="0" collapsed="false">
      <c r="D142" s="371" t="str">
        <f aca="false">IF((F142&lt;&gt;0),"Enter Letter"," ")</f>
        <v> </v>
      </c>
      <c r="G142" s="180" t="str">
        <f aca="false">IF((D142="d"),F142," ")</f>
        <v> </v>
      </c>
      <c r="H142" s="180" t="str">
        <f aca="false">IF((D142="h"),F142," ")</f>
        <v> </v>
      </c>
      <c r="I142" s="180" t="str">
        <f aca="false">IF((D142="r"),F142," ")</f>
        <v> </v>
      </c>
      <c r="J142" s="180" t="str">
        <f aca="false">IF((D142="t"),F142," ")</f>
        <v> </v>
      </c>
      <c r="K142" s="180" t="str">
        <f aca="false">IF((D142="e"),F142," ")</f>
        <v> </v>
      </c>
      <c r="L142" s="180" t="str">
        <f aca="false">IF((D142="p"),F142," ")</f>
        <v> </v>
      </c>
      <c r="M142" s="180" t="str">
        <f aca="false">IF((D142="g"),F142," ")</f>
        <v> </v>
      </c>
      <c r="N142" s="180" t="str">
        <f aca="false">IF((D142="a"),F142," ")</f>
        <v> </v>
      </c>
      <c r="O142" s="180" t="str">
        <f aca="false">IF((D142="l"),F142," ")</f>
        <v> </v>
      </c>
      <c r="P142" s="180" t="str">
        <f aca="false">IF((D142="i"),F142," ")</f>
        <v> </v>
      </c>
      <c r="Q142" s="180" t="str">
        <f aca="false">IF((D142="b"),F142," ")</f>
        <v> </v>
      </c>
      <c r="R142" s="180" t="str">
        <f aca="false">IF((D142="o"),F142," ")</f>
        <v> </v>
      </c>
      <c r="S142" s="180" t="str">
        <f aca="false">IF((D142="f"),F142," ")</f>
        <v> </v>
      </c>
      <c r="U142" s="371"/>
    </row>
    <row r="143" customFormat="false" ht="12.75" hidden="false" customHeight="false" outlineLevel="0" collapsed="false">
      <c r="D143" s="371" t="str">
        <f aca="false">IF((F143&lt;&gt;0),"Enter Letter"," ")</f>
        <v> </v>
      </c>
      <c r="G143" s="180" t="str">
        <f aca="false">IF((D143="d"),F143," ")</f>
        <v> </v>
      </c>
      <c r="H143" s="180" t="str">
        <f aca="false">IF((D143="h"),F143," ")</f>
        <v> </v>
      </c>
      <c r="I143" s="180" t="str">
        <f aca="false">IF((D143="r"),F143," ")</f>
        <v> </v>
      </c>
      <c r="J143" s="180" t="str">
        <f aca="false">IF((D143="t"),F143," ")</f>
        <v> </v>
      </c>
      <c r="K143" s="180" t="str">
        <f aca="false">IF((D143="e"),F143," ")</f>
        <v> </v>
      </c>
      <c r="L143" s="180" t="str">
        <f aca="false">IF((D143="p"),F143," ")</f>
        <v> </v>
      </c>
      <c r="M143" s="180" t="str">
        <f aca="false">IF((D143="g"),F143," ")</f>
        <v> </v>
      </c>
      <c r="N143" s="180" t="str">
        <f aca="false">IF((D143="a"),F143," ")</f>
        <v> </v>
      </c>
      <c r="O143" s="180" t="str">
        <f aca="false">IF((D143="l"),F143," ")</f>
        <v> </v>
      </c>
      <c r="P143" s="180" t="str">
        <f aca="false">IF((D143="i"),F143," ")</f>
        <v> </v>
      </c>
      <c r="Q143" s="180" t="str">
        <f aca="false">IF((D143="b"),F143," ")</f>
        <v> </v>
      </c>
      <c r="R143" s="180" t="str">
        <f aca="false">IF((D143="o"),F143," ")</f>
        <v> </v>
      </c>
      <c r="S143" s="180" t="str">
        <f aca="false">IF((D143="f"),F143," ")</f>
        <v> </v>
      </c>
      <c r="U143" s="371"/>
    </row>
    <row r="144" customFormat="false" ht="12.75" hidden="false" customHeight="false" outlineLevel="0" collapsed="false">
      <c r="D144" s="371" t="str">
        <f aca="false">IF((F144&lt;&gt;0),"Enter Letter"," ")</f>
        <v> </v>
      </c>
      <c r="G144" s="180" t="str">
        <f aca="false">IF((D144="d"),F144," ")</f>
        <v> </v>
      </c>
      <c r="H144" s="180" t="str">
        <f aca="false">IF((D144="h"),F144," ")</f>
        <v> </v>
      </c>
      <c r="I144" s="180" t="str">
        <f aca="false">IF((D144="r"),F144," ")</f>
        <v> </v>
      </c>
      <c r="J144" s="180" t="str">
        <f aca="false">IF((D144="t"),F144," ")</f>
        <v> </v>
      </c>
      <c r="K144" s="180" t="str">
        <f aca="false">IF((D144="e"),F144," ")</f>
        <v> </v>
      </c>
      <c r="L144" s="180" t="str">
        <f aca="false">IF((D144="p"),F144," ")</f>
        <v> </v>
      </c>
      <c r="M144" s="180" t="str">
        <f aca="false">IF((D144="g"),F144," ")</f>
        <v> </v>
      </c>
      <c r="N144" s="180" t="str">
        <f aca="false">IF((D144="a"),F144," ")</f>
        <v> </v>
      </c>
      <c r="O144" s="180" t="str">
        <f aca="false">IF((D144="l"),F144," ")</f>
        <v> </v>
      </c>
      <c r="P144" s="180" t="str">
        <f aca="false">IF((D144="i"),F144," ")</f>
        <v> </v>
      </c>
      <c r="Q144" s="180" t="str">
        <f aca="false">IF((D144="b"),F144," ")</f>
        <v> </v>
      </c>
      <c r="R144" s="180" t="str">
        <f aca="false">IF((D144="o"),F144," ")</f>
        <v> </v>
      </c>
      <c r="S144" s="180" t="str">
        <f aca="false">IF((D144="f"),F144," ")</f>
        <v> </v>
      </c>
      <c r="U144" s="371"/>
    </row>
    <row r="145" customFormat="false" ht="12.75" hidden="false" customHeight="false" outlineLevel="0" collapsed="false">
      <c r="D145" s="371" t="str">
        <f aca="false">IF((F145&lt;&gt;0),"Enter Letter"," ")</f>
        <v> </v>
      </c>
      <c r="G145" s="180" t="str">
        <f aca="false">IF((D145="d"),F145," ")</f>
        <v> </v>
      </c>
      <c r="H145" s="180" t="str">
        <f aca="false">IF((D145="h"),F145," ")</f>
        <v> </v>
      </c>
      <c r="I145" s="180" t="str">
        <f aca="false">IF((D145="r"),F145," ")</f>
        <v> </v>
      </c>
      <c r="J145" s="180" t="str">
        <f aca="false">IF((D145="t"),F145," ")</f>
        <v> </v>
      </c>
      <c r="K145" s="180" t="str">
        <f aca="false">IF((D145="e"),F145," ")</f>
        <v> </v>
      </c>
      <c r="L145" s="180" t="str">
        <f aca="false">IF((D145="p"),F145," ")</f>
        <v> </v>
      </c>
      <c r="M145" s="180" t="str">
        <f aca="false">IF((D145="g"),F145," ")</f>
        <v> </v>
      </c>
      <c r="N145" s="180" t="str">
        <f aca="false">IF((D145="a"),F145," ")</f>
        <v> </v>
      </c>
      <c r="O145" s="180" t="str">
        <f aca="false">IF((D145="l"),F145," ")</f>
        <v> </v>
      </c>
      <c r="P145" s="180" t="str">
        <f aca="false">IF((D145="i"),F145," ")</f>
        <v> </v>
      </c>
      <c r="Q145" s="180" t="str">
        <f aca="false">IF((D145="b"),F145," ")</f>
        <v> </v>
      </c>
      <c r="R145" s="180" t="str">
        <f aca="false">IF((D145="o"),F145," ")</f>
        <v> </v>
      </c>
      <c r="S145" s="180" t="str">
        <f aca="false">IF((D145="f"),F145," ")</f>
        <v> </v>
      </c>
      <c r="U145" s="371"/>
    </row>
    <row r="146" customFormat="false" ht="12.75" hidden="false" customHeight="false" outlineLevel="0" collapsed="false">
      <c r="D146" s="371" t="str">
        <f aca="false">IF((F146&lt;&gt;0),"Enter Letter"," ")</f>
        <v> </v>
      </c>
      <c r="G146" s="180" t="str">
        <f aca="false">IF((D146="d"),F146," ")</f>
        <v> </v>
      </c>
      <c r="H146" s="180" t="str">
        <f aca="false">IF((D146="h"),F146," ")</f>
        <v> </v>
      </c>
      <c r="I146" s="180" t="str">
        <f aca="false">IF((D146="r"),F146," ")</f>
        <v> </v>
      </c>
      <c r="J146" s="180" t="str">
        <f aca="false">IF((D146="t"),F146," ")</f>
        <v> </v>
      </c>
      <c r="K146" s="180" t="str">
        <f aca="false">IF((D146="e"),F146," ")</f>
        <v> </v>
      </c>
      <c r="L146" s="180" t="str">
        <f aca="false">IF((D146="p"),F146," ")</f>
        <v> </v>
      </c>
      <c r="M146" s="180" t="str">
        <f aca="false">IF((D146="g"),F146," ")</f>
        <v> </v>
      </c>
      <c r="N146" s="180" t="str">
        <f aca="false">IF((D146="a"),F146," ")</f>
        <v> </v>
      </c>
      <c r="O146" s="180" t="str">
        <f aca="false">IF((D146="l"),F146," ")</f>
        <v> </v>
      </c>
      <c r="P146" s="180" t="str">
        <f aca="false">IF((D146="i"),F146," ")</f>
        <v> </v>
      </c>
      <c r="Q146" s="180" t="str">
        <f aca="false">IF((D146="b"),F146," ")</f>
        <v> </v>
      </c>
      <c r="R146" s="180" t="str">
        <f aca="false">IF((D146="o"),F146," ")</f>
        <v> </v>
      </c>
      <c r="S146" s="180" t="str">
        <f aca="false">IF((D146="f"),F146," ")</f>
        <v> </v>
      </c>
      <c r="U146" s="371"/>
    </row>
    <row r="147" customFormat="false" ht="12.75" hidden="false" customHeight="false" outlineLevel="0" collapsed="false">
      <c r="D147" s="371" t="str">
        <f aca="false">IF((F147&lt;&gt;0),"Enter Letter"," ")</f>
        <v> </v>
      </c>
      <c r="G147" s="180" t="str">
        <f aca="false">IF((D147="d"),F147," ")</f>
        <v> </v>
      </c>
      <c r="H147" s="180" t="str">
        <f aca="false">IF((D147="h"),F147," ")</f>
        <v> </v>
      </c>
      <c r="I147" s="180" t="str">
        <f aca="false">IF((D147="r"),F147," ")</f>
        <v> </v>
      </c>
      <c r="J147" s="180" t="str">
        <f aca="false">IF((D147="t"),F147," ")</f>
        <v> </v>
      </c>
      <c r="K147" s="180" t="str">
        <f aca="false">IF((D147="e"),F147," ")</f>
        <v> </v>
      </c>
      <c r="L147" s="180" t="str">
        <f aca="false">IF((D147="p"),F147," ")</f>
        <v> </v>
      </c>
      <c r="M147" s="180" t="str">
        <f aca="false">IF((D147="g"),F147," ")</f>
        <v> </v>
      </c>
      <c r="N147" s="180" t="str">
        <f aca="false">IF((D147="a"),F147," ")</f>
        <v> </v>
      </c>
      <c r="O147" s="180" t="str">
        <f aca="false">IF((D147="l"),F147," ")</f>
        <v> </v>
      </c>
      <c r="P147" s="180" t="str">
        <f aca="false">IF((D147="i"),F147," ")</f>
        <v> </v>
      </c>
      <c r="Q147" s="180" t="str">
        <f aca="false">IF((D147="b"),F147," ")</f>
        <v> </v>
      </c>
      <c r="R147" s="180" t="str">
        <f aca="false">IF((D147="o"),F147," ")</f>
        <v> </v>
      </c>
      <c r="S147" s="180" t="str">
        <f aca="false">IF((D147="f"),F147," ")</f>
        <v> </v>
      </c>
      <c r="U147" s="371"/>
    </row>
    <row r="148" customFormat="false" ht="12.75" hidden="false" customHeight="false" outlineLevel="0" collapsed="false">
      <c r="D148" s="371" t="str">
        <f aca="false">IF((F148&lt;&gt;0),"Enter Letter"," ")</f>
        <v> </v>
      </c>
      <c r="G148" s="180" t="str">
        <f aca="false">IF((D148="d"),F148," ")</f>
        <v> </v>
      </c>
      <c r="H148" s="180" t="str">
        <f aca="false">IF((D148="h"),F148," ")</f>
        <v> </v>
      </c>
      <c r="I148" s="180" t="str">
        <f aca="false">IF((D148="r"),F148," ")</f>
        <v> </v>
      </c>
      <c r="J148" s="180" t="str">
        <f aca="false">IF((D148="t"),F148," ")</f>
        <v> </v>
      </c>
      <c r="K148" s="180" t="str">
        <f aca="false">IF((D148="e"),F148," ")</f>
        <v> </v>
      </c>
      <c r="L148" s="180" t="str">
        <f aca="false">IF((D148="p"),F148," ")</f>
        <v> </v>
      </c>
      <c r="M148" s="180" t="str">
        <f aca="false">IF((D148="g"),F148," ")</f>
        <v> </v>
      </c>
      <c r="N148" s="180" t="str">
        <f aca="false">IF((D148="a"),F148," ")</f>
        <v> </v>
      </c>
      <c r="O148" s="180" t="str">
        <f aca="false">IF((D148="l"),F148," ")</f>
        <v> </v>
      </c>
      <c r="P148" s="180" t="str">
        <f aca="false">IF((D148="i"),F148," ")</f>
        <v> </v>
      </c>
      <c r="Q148" s="180" t="str">
        <f aca="false">IF((D148="b"),F148," ")</f>
        <v> </v>
      </c>
      <c r="R148" s="180" t="str">
        <f aca="false">IF((D148="o"),F148," ")</f>
        <v> </v>
      </c>
      <c r="S148" s="180" t="str">
        <f aca="false">IF((D148="f"),F148," ")</f>
        <v> </v>
      </c>
      <c r="U148" s="371"/>
    </row>
    <row r="149" customFormat="false" ht="12.75" hidden="false" customHeight="false" outlineLevel="0" collapsed="false">
      <c r="D149" s="371" t="str">
        <f aca="false">IF((F149&lt;&gt;0),"Enter Letter"," ")</f>
        <v> </v>
      </c>
      <c r="G149" s="180" t="str">
        <f aca="false">IF((D149="d"),F149," ")</f>
        <v> </v>
      </c>
      <c r="H149" s="180" t="str">
        <f aca="false">IF((D149="h"),F149," ")</f>
        <v> </v>
      </c>
      <c r="I149" s="180" t="str">
        <f aca="false">IF((D149="r"),F149," ")</f>
        <v> </v>
      </c>
      <c r="J149" s="180" t="str">
        <f aca="false">IF((D149="t"),F149," ")</f>
        <v> </v>
      </c>
      <c r="K149" s="180" t="str">
        <f aca="false">IF((D149="e"),F149," ")</f>
        <v> </v>
      </c>
      <c r="L149" s="180" t="str">
        <f aca="false">IF((D149="p"),F149," ")</f>
        <v> </v>
      </c>
      <c r="M149" s="180" t="str">
        <f aca="false">IF((D149="g"),F149," ")</f>
        <v> </v>
      </c>
      <c r="N149" s="180" t="str">
        <f aca="false">IF((D149="a"),F149," ")</f>
        <v> </v>
      </c>
      <c r="O149" s="180" t="str">
        <f aca="false">IF((D149="l"),F149," ")</f>
        <v> </v>
      </c>
      <c r="P149" s="180" t="str">
        <f aca="false">IF((D149="i"),F149," ")</f>
        <v> </v>
      </c>
      <c r="Q149" s="180" t="str">
        <f aca="false">IF((D149="b"),F149," ")</f>
        <v> </v>
      </c>
      <c r="R149" s="180" t="str">
        <f aca="false">IF((D149="o"),F149," ")</f>
        <v> </v>
      </c>
      <c r="S149" s="180" t="str">
        <f aca="false">IF((D149="f"),F149," ")</f>
        <v> </v>
      </c>
      <c r="U149" s="371"/>
    </row>
    <row r="150" customFormat="false" ht="12.75" hidden="false" customHeight="false" outlineLevel="0" collapsed="false">
      <c r="D150" s="371" t="str">
        <f aca="false">IF((F150&lt;&gt;0),"Enter Letter"," ")</f>
        <v> </v>
      </c>
      <c r="G150" s="180" t="str">
        <f aca="false">IF((D150="d"),F150," ")</f>
        <v> </v>
      </c>
      <c r="H150" s="180" t="str">
        <f aca="false">IF((D150="h"),F150," ")</f>
        <v> </v>
      </c>
      <c r="I150" s="180" t="str">
        <f aca="false">IF((D150="r"),F150," ")</f>
        <v> </v>
      </c>
      <c r="J150" s="180" t="str">
        <f aca="false">IF((D150="t"),F150," ")</f>
        <v> </v>
      </c>
      <c r="K150" s="180" t="str">
        <f aca="false">IF((D150="e"),F150," ")</f>
        <v> </v>
      </c>
      <c r="L150" s="180" t="str">
        <f aca="false">IF((D150="p"),F150," ")</f>
        <v> </v>
      </c>
      <c r="M150" s="180" t="str">
        <f aca="false">IF((D150="g"),F150," ")</f>
        <v> </v>
      </c>
      <c r="N150" s="180" t="str">
        <f aca="false">IF((D150="a"),F150," ")</f>
        <v> </v>
      </c>
      <c r="O150" s="180" t="str">
        <f aca="false">IF((D150="l"),F150," ")</f>
        <v> </v>
      </c>
      <c r="P150" s="180" t="str">
        <f aca="false">IF((D150="i"),F150," ")</f>
        <v> </v>
      </c>
      <c r="Q150" s="180" t="str">
        <f aca="false">IF((D150="b"),F150," ")</f>
        <v> </v>
      </c>
      <c r="R150" s="180" t="str">
        <f aca="false">IF((D150="o"),F150," ")</f>
        <v> </v>
      </c>
      <c r="S150" s="180" t="str">
        <f aca="false">IF((D150="f"),F150," ")</f>
        <v> </v>
      </c>
      <c r="U150" s="371"/>
    </row>
    <row r="151" customFormat="false" ht="12.75" hidden="false" customHeight="false" outlineLevel="0" collapsed="false">
      <c r="D151" s="371" t="str">
        <f aca="false">IF((F151&lt;&gt;0),"Enter Letter"," ")</f>
        <v> </v>
      </c>
      <c r="G151" s="180" t="str">
        <f aca="false">IF((D151="d"),F151," ")</f>
        <v> </v>
      </c>
      <c r="H151" s="180" t="str">
        <f aca="false">IF((D151="h"),F151," ")</f>
        <v> </v>
      </c>
      <c r="I151" s="180" t="str">
        <f aca="false">IF((D151="r"),F151," ")</f>
        <v> </v>
      </c>
      <c r="J151" s="180" t="str">
        <f aca="false">IF((D151="t"),F151," ")</f>
        <v> </v>
      </c>
      <c r="K151" s="180" t="str">
        <f aca="false">IF((D151="e"),F151," ")</f>
        <v> </v>
      </c>
      <c r="L151" s="180" t="str">
        <f aca="false">IF((D151="p"),F151," ")</f>
        <v> </v>
      </c>
      <c r="M151" s="180" t="str">
        <f aca="false">IF((D151="g"),F151," ")</f>
        <v> </v>
      </c>
      <c r="N151" s="180" t="str">
        <f aca="false">IF((D151="a"),F151," ")</f>
        <v> </v>
      </c>
      <c r="O151" s="180" t="str">
        <f aca="false">IF((D151="l"),F151," ")</f>
        <v> </v>
      </c>
      <c r="P151" s="180" t="str">
        <f aca="false">IF((D151="i"),F151," ")</f>
        <v> </v>
      </c>
      <c r="Q151" s="180" t="str">
        <f aca="false">IF((D151="b"),F151," ")</f>
        <v> </v>
      </c>
      <c r="R151" s="180" t="str">
        <f aca="false">IF((D151="o"),F151," ")</f>
        <v> </v>
      </c>
      <c r="S151" s="180" t="str">
        <f aca="false">IF((D151="f"),F151," ")</f>
        <v> </v>
      </c>
      <c r="U151" s="371"/>
    </row>
    <row r="152" customFormat="false" ht="12.75" hidden="false" customHeight="false" outlineLevel="0" collapsed="false">
      <c r="D152" s="371" t="str">
        <f aca="false">IF((F152&lt;&gt;0),"Enter Letter"," ")</f>
        <v> </v>
      </c>
      <c r="G152" s="180" t="str">
        <f aca="false">IF((D152="d"),F152," ")</f>
        <v> </v>
      </c>
      <c r="H152" s="180" t="str">
        <f aca="false">IF((D152="h"),F152," ")</f>
        <v> </v>
      </c>
      <c r="I152" s="180" t="str">
        <f aca="false">IF((D152="r"),F152," ")</f>
        <v> </v>
      </c>
      <c r="J152" s="180" t="str">
        <f aca="false">IF((D152="t"),F152," ")</f>
        <v> </v>
      </c>
      <c r="K152" s="180" t="str">
        <f aca="false">IF((D152="e"),F152," ")</f>
        <v> </v>
      </c>
      <c r="L152" s="180" t="str">
        <f aca="false">IF((D152="p"),F152," ")</f>
        <v> </v>
      </c>
      <c r="M152" s="180" t="str">
        <f aca="false">IF((D152="g"),F152," ")</f>
        <v> </v>
      </c>
      <c r="N152" s="180" t="str">
        <f aca="false">IF((D152="a"),F152," ")</f>
        <v> </v>
      </c>
      <c r="O152" s="180" t="str">
        <f aca="false">IF((D152="l"),F152," ")</f>
        <v> </v>
      </c>
      <c r="P152" s="180" t="str">
        <f aca="false">IF((D152="i"),F152," ")</f>
        <v> </v>
      </c>
      <c r="Q152" s="180" t="str">
        <f aca="false">IF((D152="b"),F152," ")</f>
        <v> </v>
      </c>
      <c r="R152" s="180" t="str">
        <f aca="false">IF((D152="o"),F152," ")</f>
        <v> </v>
      </c>
      <c r="S152" s="180" t="str">
        <f aca="false">IF((D152="f"),F152," ")</f>
        <v> </v>
      </c>
      <c r="U152" s="371"/>
    </row>
    <row r="153" customFormat="false" ht="12.75" hidden="false" customHeight="false" outlineLevel="0" collapsed="false">
      <c r="D153" s="371" t="str">
        <f aca="false">IF((F153&lt;&gt;0),"Enter Letter"," ")</f>
        <v> </v>
      </c>
      <c r="G153" s="180" t="str">
        <f aca="false">IF((D153="d"),F153," ")</f>
        <v> </v>
      </c>
      <c r="H153" s="180" t="str">
        <f aca="false">IF((D153="h"),F153," ")</f>
        <v> </v>
      </c>
      <c r="I153" s="180" t="str">
        <f aca="false">IF((D153="r"),F153," ")</f>
        <v> </v>
      </c>
      <c r="J153" s="180" t="str">
        <f aca="false">IF((D153="t"),F153," ")</f>
        <v> </v>
      </c>
      <c r="K153" s="180" t="str">
        <f aca="false">IF((D153="e"),F153," ")</f>
        <v> </v>
      </c>
      <c r="L153" s="180" t="str">
        <f aca="false">IF((D153="p"),F153," ")</f>
        <v> </v>
      </c>
      <c r="M153" s="180" t="str">
        <f aca="false">IF((D153="g"),F153," ")</f>
        <v> </v>
      </c>
      <c r="N153" s="180" t="str">
        <f aca="false">IF((D153="a"),F153," ")</f>
        <v> </v>
      </c>
      <c r="O153" s="180" t="str">
        <f aca="false">IF((D153="l"),F153," ")</f>
        <v> </v>
      </c>
      <c r="P153" s="180" t="str">
        <f aca="false">IF((D153="i"),F153," ")</f>
        <v> </v>
      </c>
      <c r="Q153" s="180" t="str">
        <f aca="false">IF((D153="b"),F153," ")</f>
        <v> </v>
      </c>
      <c r="R153" s="180" t="str">
        <f aca="false">IF((D153="o"),F153," ")</f>
        <v> </v>
      </c>
      <c r="S153" s="180" t="str">
        <f aca="false">IF((D153="f"),F153," ")</f>
        <v> </v>
      </c>
      <c r="U153" s="371"/>
    </row>
    <row r="154" customFormat="false" ht="12.75" hidden="false" customHeight="false" outlineLevel="0" collapsed="false">
      <c r="D154" s="371" t="str">
        <f aca="false">IF((F154&lt;&gt;0),"Enter Letter"," ")</f>
        <v> </v>
      </c>
      <c r="G154" s="180" t="str">
        <f aca="false">IF((D154="d"),F154," ")</f>
        <v> </v>
      </c>
      <c r="H154" s="180" t="str">
        <f aca="false">IF((D154="h"),F154," ")</f>
        <v> </v>
      </c>
      <c r="I154" s="180" t="str">
        <f aca="false">IF((D154="r"),F154," ")</f>
        <v> </v>
      </c>
      <c r="J154" s="180" t="str">
        <f aca="false">IF((D154="t"),F154," ")</f>
        <v> </v>
      </c>
      <c r="K154" s="180" t="str">
        <f aca="false">IF((D154="e"),F154," ")</f>
        <v> </v>
      </c>
      <c r="L154" s="180" t="str">
        <f aca="false">IF((D154="p"),F154," ")</f>
        <v> </v>
      </c>
      <c r="M154" s="180" t="str">
        <f aca="false">IF((D154="g"),F154," ")</f>
        <v> </v>
      </c>
      <c r="N154" s="180" t="str">
        <f aca="false">IF((D154="a"),F154," ")</f>
        <v> </v>
      </c>
      <c r="O154" s="180" t="str">
        <f aca="false">IF((D154="l"),F154," ")</f>
        <v> </v>
      </c>
      <c r="P154" s="180" t="str">
        <f aca="false">IF((D154="i"),F154," ")</f>
        <v> </v>
      </c>
      <c r="Q154" s="180" t="str">
        <f aca="false">IF((D154="b"),F154," ")</f>
        <v> </v>
      </c>
      <c r="R154" s="180" t="str">
        <f aca="false">IF((D154="o"),F154," ")</f>
        <v> </v>
      </c>
      <c r="S154" s="180" t="str">
        <f aca="false">IF((D154="f"),F154," ")</f>
        <v> </v>
      </c>
      <c r="U154" s="371"/>
    </row>
    <row r="155" customFormat="false" ht="12.75" hidden="false" customHeight="false" outlineLevel="0" collapsed="false">
      <c r="D155" s="371" t="str">
        <f aca="false">IF((F155&lt;&gt;0),"Enter Letter"," ")</f>
        <v> </v>
      </c>
      <c r="G155" s="180" t="str">
        <f aca="false">IF((D155="d"),F155," ")</f>
        <v> </v>
      </c>
      <c r="H155" s="180" t="str">
        <f aca="false">IF((D155="h"),F155," ")</f>
        <v> </v>
      </c>
      <c r="I155" s="180" t="str">
        <f aca="false">IF((D155="r"),F155," ")</f>
        <v> </v>
      </c>
      <c r="J155" s="180" t="str">
        <f aca="false">IF((D155="t"),F155," ")</f>
        <v> </v>
      </c>
      <c r="K155" s="180" t="str">
        <f aca="false">IF((D155="e"),F155," ")</f>
        <v> </v>
      </c>
      <c r="L155" s="180" t="str">
        <f aca="false">IF((D155="p"),F155," ")</f>
        <v> </v>
      </c>
      <c r="M155" s="180" t="str">
        <f aca="false">IF((D155="g"),F155," ")</f>
        <v> </v>
      </c>
      <c r="N155" s="180" t="str">
        <f aca="false">IF((D155="a"),F155," ")</f>
        <v> </v>
      </c>
      <c r="O155" s="180" t="str">
        <f aca="false">IF((D155="l"),F155," ")</f>
        <v> </v>
      </c>
      <c r="P155" s="180" t="str">
        <f aca="false">IF((D155="i"),F155," ")</f>
        <v> </v>
      </c>
      <c r="Q155" s="180" t="str">
        <f aca="false">IF((D155="b"),F155," ")</f>
        <v> </v>
      </c>
      <c r="R155" s="180" t="str">
        <f aca="false">IF((D155="o"),F155," ")</f>
        <v> </v>
      </c>
      <c r="S155" s="180" t="str">
        <f aca="false">IF((D155="f"),F155," ")</f>
        <v> </v>
      </c>
      <c r="U155" s="371"/>
    </row>
    <row r="156" customFormat="false" ht="12.75" hidden="false" customHeight="false" outlineLevel="0" collapsed="false">
      <c r="D156" s="371" t="str">
        <f aca="false">IF((F156&lt;&gt;0),"Enter Letter"," ")</f>
        <v> </v>
      </c>
      <c r="G156" s="180" t="str">
        <f aca="false">IF((D156="d"),F156," ")</f>
        <v> </v>
      </c>
      <c r="H156" s="180" t="str">
        <f aca="false">IF((D156="h"),F156," ")</f>
        <v> </v>
      </c>
      <c r="I156" s="180" t="str">
        <f aca="false">IF((D156="r"),F156," ")</f>
        <v> </v>
      </c>
      <c r="J156" s="180" t="str">
        <f aca="false">IF((D156="t"),F156," ")</f>
        <v> </v>
      </c>
      <c r="K156" s="180" t="str">
        <f aca="false">IF((D156="e"),F156," ")</f>
        <v> </v>
      </c>
      <c r="L156" s="180" t="str">
        <f aca="false">IF((D156="p"),F156," ")</f>
        <v> </v>
      </c>
      <c r="M156" s="180" t="str">
        <f aca="false">IF((D156="g"),F156," ")</f>
        <v> </v>
      </c>
      <c r="N156" s="180" t="str">
        <f aca="false">IF((D156="a"),F156," ")</f>
        <v> </v>
      </c>
      <c r="O156" s="180" t="str">
        <f aca="false">IF((D156="l"),F156," ")</f>
        <v> </v>
      </c>
      <c r="P156" s="180" t="str">
        <f aca="false">IF((D156="i"),F156," ")</f>
        <v> </v>
      </c>
      <c r="Q156" s="180" t="str">
        <f aca="false">IF((D156="b"),F156," ")</f>
        <v> </v>
      </c>
      <c r="R156" s="180" t="str">
        <f aca="false">IF((D156="o"),F156," ")</f>
        <v> </v>
      </c>
      <c r="S156" s="180" t="str">
        <f aca="false">IF((D156="f"),F156," ")</f>
        <v> </v>
      </c>
      <c r="U156" s="371"/>
    </row>
    <row r="157" customFormat="false" ht="12.75" hidden="false" customHeight="false" outlineLevel="0" collapsed="false">
      <c r="D157" s="371" t="str">
        <f aca="false">IF((F157&lt;&gt;0),"Enter Letter"," ")</f>
        <v> </v>
      </c>
      <c r="G157" s="180" t="str">
        <f aca="false">IF((D157="d"),F157," ")</f>
        <v> </v>
      </c>
      <c r="H157" s="180" t="str">
        <f aca="false">IF((D157="h"),F157," ")</f>
        <v> </v>
      </c>
      <c r="I157" s="180" t="str">
        <f aca="false">IF((D157="r"),F157," ")</f>
        <v> </v>
      </c>
      <c r="J157" s="180" t="str">
        <f aca="false">IF((D157="t"),F157," ")</f>
        <v> </v>
      </c>
      <c r="K157" s="180" t="str">
        <f aca="false">IF((D157="e"),F157," ")</f>
        <v> </v>
      </c>
      <c r="L157" s="180" t="str">
        <f aca="false">IF((D157="p"),F157," ")</f>
        <v> </v>
      </c>
      <c r="M157" s="180" t="str">
        <f aca="false">IF((D157="g"),F157," ")</f>
        <v> </v>
      </c>
      <c r="N157" s="180" t="str">
        <f aca="false">IF((D157="a"),F157," ")</f>
        <v> </v>
      </c>
      <c r="O157" s="180" t="str">
        <f aca="false">IF((D157="l"),F157," ")</f>
        <v> </v>
      </c>
      <c r="P157" s="180" t="str">
        <f aca="false">IF((D157="i"),F157," ")</f>
        <v> </v>
      </c>
      <c r="Q157" s="180" t="str">
        <f aca="false">IF((D157="b"),F157," ")</f>
        <v> </v>
      </c>
      <c r="R157" s="180" t="str">
        <f aca="false">IF((D157="o"),F157," ")</f>
        <v> </v>
      </c>
      <c r="S157" s="180" t="str">
        <f aca="false">IF((D157="f"),F157," ")</f>
        <v> </v>
      </c>
      <c r="U157" s="371"/>
    </row>
    <row r="158" customFormat="false" ht="12.75" hidden="false" customHeight="false" outlineLevel="0" collapsed="false">
      <c r="D158" s="371" t="str">
        <f aca="false">IF((F158&lt;&gt;0),"Enter Letter"," ")</f>
        <v> </v>
      </c>
      <c r="G158" s="180" t="str">
        <f aca="false">IF((D158="d"),F158," ")</f>
        <v> </v>
      </c>
      <c r="H158" s="180" t="str">
        <f aca="false">IF((D158="h"),F158," ")</f>
        <v> </v>
      </c>
      <c r="I158" s="180" t="str">
        <f aca="false">IF((D158="r"),F158," ")</f>
        <v> </v>
      </c>
      <c r="J158" s="180" t="str">
        <f aca="false">IF((D158="t"),F158," ")</f>
        <v> </v>
      </c>
      <c r="K158" s="180" t="str">
        <f aca="false">IF((D158="e"),F158," ")</f>
        <v> </v>
      </c>
      <c r="L158" s="180" t="str">
        <f aca="false">IF((D158="p"),F158," ")</f>
        <v> </v>
      </c>
      <c r="M158" s="180" t="str">
        <f aca="false">IF((D158="g"),F158," ")</f>
        <v> </v>
      </c>
      <c r="N158" s="180" t="str">
        <f aca="false">IF((D158="a"),F158," ")</f>
        <v> </v>
      </c>
      <c r="O158" s="180" t="str">
        <f aca="false">IF((D158="l"),F158," ")</f>
        <v> </v>
      </c>
      <c r="P158" s="180" t="str">
        <f aca="false">IF((D158="i"),F158," ")</f>
        <v> </v>
      </c>
      <c r="Q158" s="180" t="str">
        <f aca="false">IF((D158="b"),F158," ")</f>
        <v> </v>
      </c>
      <c r="R158" s="180" t="str">
        <f aca="false">IF((D158="o"),F158," ")</f>
        <v> </v>
      </c>
      <c r="S158" s="180" t="str">
        <f aca="false">IF((D158="f"),F158," ")</f>
        <v> </v>
      </c>
      <c r="U158" s="371"/>
    </row>
    <row r="159" customFormat="false" ht="12.75" hidden="false" customHeight="false" outlineLevel="0" collapsed="false">
      <c r="D159" s="371" t="str">
        <f aca="false">IF((F159&lt;&gt;0),"Enter Letter"," ")</f>
        <v> </v>
      </c>
      <c r="G159" s="180" t="str">
        <f aca="false">IF((D159="d"),F159," ")</f>
        <v> </v>
      </c>
      <c r="H159" s="180" t="str">
        <f aca="false">IF((D159="h"),F159," ")</f>
        <v> </v>
      </c>
      <c r="I159" s="180" t="str">
        <f aca="false">IF((D159="r"),F159," ")</f>
        <v> </v>
      </c>
      <c r="J159" s="180" t="str">
        <f aca="false">IF((D159="t"),F159," ")</f>
        <v> </v>
      </c>
      <c r="K159" s="180" t="str">
        <f aca="false">IF((D159="e"),F159," ")</f>
        <v> </v>
      </c>
      <c r="L159" s="180" t="str">
        <f aca="false">IF((D159="p"),F159," ")</f>
        <v> </v>
      </c>
      <c r="M159" s="180" t="str">
        <f aca="false">IF((D159="g"),F159," ")</f>
        <v> </v>
      </c>
      <c r="N159" s="180" t="str">
        <f aca="false">IF((D159="a"),F159," ")</f>
        <v> </v>
      </c>
      <c r="O159" s="180" t="str">
        <f aca="false">IF((D159="l"),F159," ")</f>
        <v> </v>
      </c>
      <c r="P159" s="180" t="str">
        <f aca="false">IF((D159="i"),F159," ")</f>
        <v> </v>
      </c>
      <c r="Q159" s="180" t="str">
        <f aca="false">IF((D159="b"),F159," ")</f>
        <v> </v>
      </c>
      <c r="R159" s="180" t="str">
        <f aca="false">IF((D159="o"),F159," ")</f>
        <v> </v>
      </c>
      <c r="S159" s="180" t="str">
        <f aca="false">IF((D159="f"),F159," ")</f>
        <v> </v>
      </c>
      <c r="U159" s="371"/>
    </row>
    <row r="160" customFormat="false" ht="12.75" hidden="false" customHeight="false" outlineLevel="0" collapsed="false">
      <c r="D160" s="371" t="str">
        <f aca="false">IF((F160&lt;&gt;0),"Enter Letter"," ")</f>
        <v> </v>
      </c>
      <c r="G160" s="180" t="str">
        <f aca="false">IF((D160="d"),F160," ")</f>
        <v> </v>
      </c>
      <c r="H160" s="180" t="str">
        <f aca="false">IF((D160="h"),F160," ")</f>
        <v> </v>
      </c>
      <c r="I160" s="180" t="str">
        <f aca="false">IF((D160="r"),F160," ")</f>
        <v> </v>
      </c>
      <c r="J160" s="180" t="str">
        <f aca="false">IF((D160="t"),F160," ")</f>
        <v> </v>
      </c>
      <c r="K160" s="180" t="str">
        <f aca="false">IF((D160="e"),F160," ")</f>
        <v> </v>
      </c>
      <c r="L160" s="180" t="str">
        <f aca="false">IF((D160="p"),F160," ")</f>
        <v> </v>
      </c>
      <c r="M160" s="180" t="str">
        <f aca="false">IF((D160="g"),F160," ")</f>
        <v> </v>
      </c>
      <c r="N160" s="180" t="str">
        <f aca="false">IF((D160="a"),F160," ")</f>
        <v> </v>
      </c>
      <c r="O160" s="180" t="str">
        <f aca="false">IF((D160="l"),F160," ")</f>
        <v> </v>
      </c>
      <c r="P160" s="180" t="str">
        <f aca="false">IF((D160="i"),F160," ")</f>
        <v> </v>
      </c>
      <c r="Q160" s="180" t="str">
        <f aca="false">IF((D160="b"),F160," ")</f>
        <v> </v>
      </c>
      <c r="R160" s="180" t="str">
        <f aca="false">IF((D160="o"),F160," ")</f>
        <v> </v>
      </c>
      <c r="S160" s="180" t="str">
        <f aca="false">IF((D160="f"),F160," ")</f>
        <v> </v>
      </c>
      <c r="U160" s="371"/>
    </row>
    <row r="161" customFormat="false" ht="12.75" hidden="false" customHeight="false" outlineLevel="0" collapsed="false">
      <c r="D161" s="371" t="str">
        <f aca="false">IF((F161&lt;&gt;0),"Enter Letter"," ")</f>
        <v> </v>
      </c>
      <c r="G161" s="180" t="str">
        <f aca="false">IF((D161="d"),F161," ")</f>
        <v> </v>
      </c>
      <c r="H161" s="180" t="str">
        <f aca="false">IF((D161="h"),F161," ")</f>
        <v> </v>
      </c>
      <c r="I161" s="180" t="str">
        <f aca="false">IF((D161="r"),F161," ")</f>
        <v> </v>
      </c>
      <c r="J161" s="180" t="str">
        <f aca="false">IF((D161="t"),F161," ")</f>
        <v> </v>
      </c>
      <c r="K161" s="180" t="str">
        <f aca="false">IF((D161="e"),F161," ")</f>
        <v> </v>
      </c>
      <c r="L161" s="180" t="str">
        <f aca="false">IF((D161="p"),F161," ")</f>
        <v> </v>
      </c>
      <c r="M161" s="180" t="str">
        <f aca="false">IF((D161="g"),F161," ")</f>
        <v> </v>
      </c>
      <c r="N161" s="180" t="str">
        <f aca="false">IF((D161="a"),F161," ")</f>
        <v> </v>
      </c>
      <c r="O161" s="180" t="str">
        <f aca="false">IF((D161="l"),F161," ")</f>
        <v> </v>
      </c>
      <c r="P161" s="180" t="str">
        <f aca="false">IF((D161="i"),F161," ")</f>
        <v> </v>
      </c>
      <c r="Q161" s="180" t="str">
        <f aca="false">IF((D161="b"),F161," ")</f>
        <v> </v>
      </c>
      <c r="R161" s="180" t="str">
        <f aca="false">IF((D161="o"),F161," ")</f>
        <v> </v>
      </c>
      <c r="S161" s="180" t="str">
        <f aca="false">IF((D161="f"),F161," ")</f>
        <v> </v>
      </c>
      <c r="U161" s="371"/>
    </row>
    <row r="162" customFormat="false" ht="12.75" hidden="false" customHeight="false" outlineLevel="0" collapsed="false">
      <c r="D162" s="371" t="str">
        <f aca="false">IF((F162&lt;&gt;0),"Enter Letter"," ")</f>
        <v> </v>
      </c>
      <c r="G162" s="180" t="str">
        <f aca="false">IF((D162="d"),F162," ")</f>
        <v> </v>
      </c>
      <c r="H162" s="180" t="str">
        <f aca="false">IF((D162="h"),F162," ")</f>
        <v> </v>
      </c>
      <c r="I162" s="180" t="str">
        <f aca="false">IF((D162="r"),F162," ")</f>
        <v> </v>
      </c>
      <c r="J162" s="180" t="str">
        <f aca="false">IF((D162="t"),F162," ")</f>
        <v> </v>
      </c>
      <c r="K162" s="180" t="str">
        <f aca="false">IF((D162="e"),F162," ")</f>
        <v> </v>
      </c>
      <c r="L162" s="180" t="str">
        <f aca="false">IF((D162="p"),F162," ")</f>
        <v> </v>
      </c>
      <c r="M162" s="180" t="str">
        <f aca="false">IF((D162="g"),F162," ")</f>
        <v> </v>
      </c>
      <c r="N162" s="180" t="str">
        <f aca="false">IF((D162="a"),F162," ")</f>
        <v> </v>
      </c>
      <c r="O162" s="180" t="str">
        <f aca="false">IF((D162="l"),F162," ")</f>
        <v> </v>
      </c>
      <c r="P162" s="180" t="str">
        <f aca="false">IF((D162="i"),F162," ")</f>
        <v> </v>
      </c>
      <c r="Q162" s="180" t="str">
        <f aca="false">IF((D162="b"),F162," ")</f>
        <v> </v>
      </c>
      <c r="R162" s="180" t="str">
        <f aca="false">IF((D162="o"),F162," ")</f>
        <v> </v>
      </c>
      <c r="S162" s="180" t="str">
        <f aca="false">IF((D162="f"),F162," ")</f>
        <v> </v>
      </c>
      <c r="U162" s="371"/>
    </row>
    <row r="163" customFormat="false" ht="12.75" hidden="false" customHeight="false" outlineLevel="0" collapsed="false">
      <c r="D163" s="371" t="str">
        <f aca="false">IF((F163&lt;&gt;0),"Enter Letter"," ")</f>
        <v> </v>
      </c>
      <c r="G163" s="180" t="str">
        <f aca="false">IF((D163="d"),F163," ")</f>
        <v> </v>
      </c>
      <c r="H163" s="180" t="str">
        <f aca="false">IF((D163="h"),F163," ")</f>
        <v> </v>
      </c>
      <c r="I163" s="180" t="str">
        <f aca="false">IF((D163="r"),F163," ")</f>
        <v> </v>
      </c>
      <c r="J163" s="180" t="str">
        <f aca="false">IF((D163="t"),F163," ")</f>
        <v> </v>
      </c>
      <c r="K163" s="180" t="str">
        <f aca="false">IF((D163="e"),F163," ")</f>
        <v> </v>
      </c>
      <c r="L163" s="180" t="str">
        <f aca="false">IF((D163="p"),F163," ")</f>
        <v> </v>
      </c>
      <c r="M163" s="180" t="str">
        <f aca="false">IF((D163="g"),F163," ")</f>
        <v> </v>
      </c>
      <c r="N163" s="180" t="str">
        <f aca="false">IF((D163="a"),F163," ")</f>
        <v> </v>
      </c>
      <c r="O163" s="180" t="str">
        <f aca="false">IF((D163="l"),F163," ")</f>
        <v> </v>
      </c>
      <c r="P163" s="180" t="str">
        <f aca="false">IF((D163="i"),F163," ")</f>
        <v> </v>
      </c>
      <c r="Q163" s="180" t="str">
        <f aca="false">IF((D163="b"),F163," ")</f>
        <v> </v>
      </c>
      <c r="R163" s="180" t="str">
        <f aca="false">IF((D163="o"),F163," ")</f>
        <v> </v>
      </c>
      <c r="S163" s="180" t="str">
        <f aca="false">IF((D163="f"),F163," ")</f>
        <v> </v>
      </c>
      <c r="U163" s="371"/>
    </row>
    <row r="164" customFormat="false" ht="12.75" hidden="false" customHeight="false" outlineLevel="0" collapsed="false">
      <c r="D164" s="371" t="str">
        <f aca="false">IF((F164&lt;&gt;0),"Enter Letter"," ")</f>
        <v> </v>
      </c>
      <c r="G164" s="180" t="str">
        <f aca="false">IF((D164="d"),F164," ")</f>
        <v> </v>
      </c>
      <c r="H164" s="180" t="str">
        <f aca="false">IF((D164="h"),F164," ")</f>
        <v> </v>
      </c>
      <c r="I164" s="180" t="str">
        <f aca="false">IF((D164="r"),F164," ")</f>
        <v> </v>
      </c>
      <c r="J164" s="180" t="str">
        <f aca="false">IF((D164="t"),F164," ")</f>
        <v> </v>
      </c>
      <c r="K164" s="180" t="str">
        <f aca="false">IF((D164="e"),F164," ")</f>
        <v> </v>
      </c>
      <c r="L164" s="180" t="str">
        <f aca="false">IF((D164="p"),F164," ")</f>
        <v> </v>
      </c>
      <c r="M164" s="180" t="str">
        <f aca="false">IF((D164="g"),F164," ")</f>
        <v> </v>
      </c>
      <c r="N164" s="180" t="str">
        <f aca="false">IF((D164="a"),F164," ")</f>
        <v> </v>
      </c>
      <c r="O164" s="180" t="str">
        <f aca="false">IF((D164="l"),F164," ")</f>
        <v> </v>
      </c>
      <c r="P164" s="180" t="str">
        <f aca="false">IF((D164="i"),F164," ")</f>
        <v> </v>
      </c>
      <c r="Q164" s="180" t="str">
        <f aca="false">IF((D164="b"),F164," ")</f>
        <v> </v>
      </c>
      <c r="R164" s="180" t="str">
        <f aca="false">IF((D164="o"),F164," ")</f>
        <v> </v>
      </c>
      <c r="S164" s="180" t="str">
        <f aca="false">IF((D164="f"),F164," ")</f>
        <v> </v>
      </c>
      <c r="U164" s="371"/>
    </row>
    <row r="165" customFormat="false" ht="12.75" hidden="false" customHeight="false" outlineLevel="0" collapsed="false">
      <c r="D165" s="371" t="str">
        <f aca="false">IF((F165&lt;&gt;0),"Enter Letter"," ")</f>
        <v> </v>
      </c>
      <c r="G165" s="180" t="str">
        <f aca="false">IF((D165="d"),F165," ")</f>
        <v> </v>
      </c>
      <c r="H165" s="180" t="str">
        <f aca="false">IF((D165="h"),F165," ")</f>
        <v> </v>
      </c>
      <c r="I165" s="180" t="str">
        <f aca="false">IF((D165="r"),F165," ")</f>
        <v> </v>
      </c>
      <c r="J165" s="180" t="str">
        <f aca="false">IF((D165="t"),F165," ")</f>
        <v> </v>
      </c>
      <c r="K165" s="180" t="str">
        <f aca="false">IF((D165="e"),F165," ")</f>
        <v> </v>
      </c>
      <c r="L165" s="180" t="str">
        <f aca="false">IF((D165="p"),F165," ")</f>
        <v> </v>
      </c>
      <c r="M165" s="180" t="str">
        <f aca="false">IF((D165="g"),F165," ")</f>
        <v> </v>
      </c>
      <c r="N165" s="180" t="str">
        <f aca="false">IF((D165="a"),F165," ")</f>
        <v> </v>
      </c>
      <c r="O165" s="180" t="str">
        <f aca="false">IF((D165="l"),F165," ")</f>
        <v> </v>
      </c>
      <c r="P165" s="180" t="str">
        <f aca="false">IF((D165="i"),F165," ")</f>
        <v> </v>
      </c>
      <c r="Q165" s="180" t="str">
        <f aca="false">IF((D165="b"),F165," ")</f>
        <v> </v>
      </c>
      <c r="R165" s="180" t="str">
        <f aca="false">IF((D165="o"),F165," ")</f>
        <v> </v>
      </c>
      <c r="S165" s="180" t="str">
        <f aca="false">IF((D165="f"),F165," ")</f>
        <v> </v>
      </c>
      <c r="U165" s="371"/>
    </row>
    <row r="166" customFormat="false" ht="12.75" hidden="false" customHeight="false" outlineLevel="0" collapsed="false">
      <c r="D166" s="371" t="str">
        <f aca="false">IF((F166&lt;&gt;0),"Enter Letter"," ")</f>
        <v> </v>
      </c>
      <c r="G166" s="180" t="str">
        <f aca="false">IF((D166="d"),F166," ")</f>
        <v> </v>
      </c>
      <c r="H166" s="180" t="str">
        <f aca="false">IF((D166="h"),F166," ")</f>
        <v> </v>
      </c>
      <c r="I166" s="180" t="str">
        <f aca="false">IF((D166="r"),F166," ")</f>
        <v> </v>
      </c>
      <c r="J166" s="180" t="str">
        <f aca="false">IF((D166="t"),F166," ")</f>
        <v> </v>
      </c>
      <c r="K166" s="180" t="str">
        <f aca="false">IF((D166="e"),F166," ")</f>
        <v> </v>
      </c>
      <c r="L166" s="180" t="str">
        <f aca="false">IF((D166="p"),F166," ")</f>
        <v> </v>
      </c>
      <c r="M166" s="180" t="str">
        <f aca="false">IF((D166="g"),F166," ")</f>
        <v> </v>
      </c>
      <c r="N166" s="180" t="str">
        <f aca="false">IF((D166="a"),F166," ")</f>
        <v> </v>
      </c>
      <c r="O166" s="180" t="str">
        <f aca="false">IF((D166="l"),F166," ")</f>
        <v> </v>
      </c>
      <c r="P166" s="180" t="str">
        <f aca="false">IF((D166="i"),F166," ")</f>
        <v> </v>
      </c>
      <c r="Q166" s="180" t="str">
        <f aca="false">IF((D166="b"),F166," ")</f>
        <v> </v>
      </c>
      <c r="R166" s="180" t="str">
        <f aca="false">IF((D166="o"),F166," ")</f>
        <v> </v>
      </c>
      <c r="S166" s="180" t="str">
        <f aca="false">IF((D166="f"),F166," ")</f>
        <v> </v>
      </c>
      <c r="U166" s="371"/>
    </row>
    <row r="167" customFormat="false" ht="12.75" hidden="false" customHeight="false" outlineLevel="0" collapsed="false">
      <c r="D167" s="371" t="str">
        <f aca="false">IF((F167&lt;&gt;0),"Enter Letter"," ")</f>
        <v> </v>
      </c>
      <c r="G167" s="180" t="str">
        <f aca="false">IF((D167="d"),F167," ")</f>
        <v> </v>
      </c>
      <c r="H167" s="180" t="str">
        <f aca="false">IF((D167="h"),F167," ")</f>
        <v> </v>
      </c>
      <c r="I167" s="180" t="str">
        <f aca="false">IF((D167="r"),F167," ")</f>
        <v> </v>
      </c>
      <c r="J167" s="180" t="str">
        <f aca="false">IF((D167="t"),F167," ")</f>
        <v> </v>
      </c>
      <c r="K167" s="180" t="str">
        <f aca="false">IF((D167="e"),F167," ")</f>
        <v> </v>
      </c>
      <c r="L167" s="180" t="str">
        <f aca="false">IF((D167="p"),F167," ")</f>
        <v> </v>
      </c>
      <c r="M167" s="180" t="str">
        <f aca="false">IF((D167="g"),F167," ")</f>
        <v> </v>
      </c>
      <c r="N167" s="180" t="str">
        <f aca="false">IF((D167="a"),F167," ")</f>
        <v> </v>
      </c>
      <c r="O167" s="180" t="str">
        <f aca="false">IF((D167="l"),F167," ")</f>
        <v> </v>
      </c>
      <c r="P167" s="180" t="str">
        <f aca="false">IF((D167="i"),F167," ")</f>
        <v> </v>
      </c>
      <c r="Q167" s="180" t="str">
        <f aca="false">IF((D167="b"),F167," ")</f>
        <v> </v>
      </c>
      <c r="R167" s="180" t="str">
        <f aca="false">IF((D167="o"),F167," ")</f>
        <v> </v>
      </c>
      <c r="S167" s="180" t="str">
        <f aca="false">IF((D167="f"),F167," ")</f>
        <v> </v>
      </c>
      <c r="U167" s="371"/>
    </row>
    <row r="168" customFormat="false" ht="12.75" hidden="false" customHeight="false" outlineLevel="0" collapsed="false">
      <c r="D168" s="371" t="str">
        <f aca="false">IF((F168&lt;&gt;0),"Enter Letter"," ")</f>
        <v> </v>
      </c>
      <c r="G168" s="180" t="str">
        <f aca="false">IF((D168="d"),F168," ")</f>
        <v> </v>
      </c>
      <c r="H168" s="180" t="str">
        <f aca="false">IF((D168="h"),F168," ")</f>
        <v> </v>
      </c>
      <c r="I168" s="180" t="str">
        <f aca="false">IF((D168="r"),F168," ")</f>
        <v> </v>
      </c>
      <c r="J168" s="180" t="str">
        <f aca="false">IF((D168="t"),F168," ")</f>
        <v> </v>
      </c>
      <c r="K168" s="180" t="str">
        <f aca="false">IF((D168="e"),F168," ")</f>
        <v> </v>
      </c>
      <c r="L168" s="180" t="str">
        <f aca="false">IF((D168="p"),F168," ")</f>
        <v> </v>
      </c>
      <c r="M168" s="180" t="str">
        <f aca="false">IF((D168="g"),F168," ")</f>
        <v> </v>
      </c>
      <c r="N168" s="180" t="str">
        <f aca="false">IF((D168="a"),F168," ")</f>
        <v> </v>
      </c>
      <c r="O168" s="180" t="str">
        <f aca="false">IF((D168="l"),F168," ")</f>
        <v> </v>
      </c>
      <c r="P168" s="180" t="str">
        <f aca="false">IF((D168="i"),F168," ")</f>
        <v> </v>
      </c>
      <c r="Q168" s="180" t="str">
        <f aca="false">IF((D168="b"),F168," ")</f>
        <v> </v>
      </c>
      <c r="R168" s="180" t="str">
        <f aca="false">IF((D168="o"),F168," ")</f>
        <v> </v>
      </c>
      <c r="S168" s="180" t="str">
        <f aca="false">IF((D168="f"),F168," ")</f>
        <v> </v>
      </c>
      <c r="U168" s="371"/>
    </row>
    <row r="169" customFormat="false" ht="12.75" hidden="false" customHeight="false" outlineLevel="0" collapsed="false">
      <c r="D169" s="371" t="str">
        <f aca="false">IF((F169&lt;&gt;0),"Enter Letter"," ")</f>
        <v> </v>
      </c>
      <c r="G169" s="180" t="str">
        <f aca="false">IF((D169="d"),F169," ")</f>
        <v> </v>
      </c>
      <c r="H169" s="180" t="str">
        <f aca="false">IF((D169="h"),F169," ")</f>
        <v> </v>
      </c>
      <c r="I169" s="180" t="str">
        <f aca="false">IF((D169="r"),F169," ")</f>
        <v> </v>
      </c>
      <c r="J169" s="180" t="str">
        <f aca="false">IF((D169="t"),F169," ")</f>
        <v> </v>
      </c>
      <c r="K169" s="180" t="str">
        <f aca="false">IF((D169="e"),F169," ")</f>
        <v> </v>
      </c>
      <c r="L169" s="180" t="str">
        <f aca="false">IF((D169="p"),F169," ")</f>
        <v> </v>
      </c>
      <c r="M169" s="180" t="str">
        <f aca="false">IF((D169="g"),F169," ")</f>
        <v> </v>
      </c>
      <c r="N169" s="180" t="str">
        <f aca="false">IF((D169="a"),F169," ")</f>
        <v> </v>
      </c>
      <c r="O169" s="180" t="str">
        <f aca="false">IF((D169="l"),F169," ")</f>
        <v> </v>
      </c>
      <c r="P169" s="180" t="str">
        <f aca="false">IF((D169="i"),F169," ")</f>
        <v> </v>
      </c>
      <c r="Q169" s="180" t="str">
        <f aca="false">IF((D169="b"),F169," ")</f>
        <v> </v>
      </c>
      <c r="R169" s="180" t="str">
        <f aca="false">IF((D169="o"),F169," ")</f>
        <v> </v>
      </c>
      <c r="S169" s="180" t="str">
        <f aca="false">IF((D169="f"),F169," ")</f>
        <v> </v>
      </c>
      <c r="U169" s="371"/>
    </row>
    <row r="170" customFormat="false" ht="12.75" hidden="false" customHeight="false" outlineLevel="0" collapsed="false">
      <c r="D170" s="371" t="str">
        <f aca="false">IF((F170&lt;&gt;0),"Enter Letter"," ")</f>
        <v> </v>
      </c>
      <c r="G170" s="180" t="str">
        <f aca="false">IF((D170="d"),F170," ")</f>
        <v> </v>
      </c>
      <c r="H170" s="180" t="str">
        <f aca="false">IF((D170="h"),F170," ")</f>
        <v> </v>
      </c>
      <c r="I170" s="180" t="str">
        <f aca="false">IF((D170="r"),F170," ")</f>
        <v> </v>
      </c>
      <c r="J170" s="180" t="str">
        <f aca="false">IF((D170="t"),F170," ")</f>
        <v> </v>
      </c>
      <c r="K170" s="180" t="str">
        <f aca="false">IF((D170="e"),F170," ")</f>
        <v> </v>
      </c>
      <c r="L170" s="180" t="str">
        <f aca="false">IF((D170="p"),F170," ")</f>
        <v> </v>
      </c>
      <c r="M170" s="180" t="str">
        <f aca="false">IF((D170="g"),F170," ")</f>
        <v> </v>
      </c>
      <c r="N170" s="180" t="str">
        <f aca="false">IF((D170="a"),F170," ")</f>
        <v> </v>
      </c>
      <c r="O170" s="180" t="str">
        <f aca="false">IF((D170="l"),F170," ")</f>
        <v> </v>
      </c>
      <c r="P170" s="180" t="str">
        <f aca="false">IF((D170="i"),F170," ")</f>
        <v> </v>
      </c>
      <c r="Q170" s="180" t="str">
        <f aca="false">IF((D170="b"),F170," ")</f>
        <v> </v>
      </c>
      <c r="R170" s="180" t="str">
        <f aca="false">IF((D170="o"),F170," ")</f>
        <v> </v>
      </c>
      <c r="S170" s="180" t="str">
        <f aca="false">IF((D170="f"),F170," ")</f>
        <v> </v>
      </c>
      <c r="U170" s="371"/>
    </row>
    <row r="171" customFormat="false" ht="12.75" hidden="false" customHeight="false" outlineLevel="0" collapsed="false">
      <c r="D171" s="371" t="str">
        <f aca="false">IF((F171&lt;&gt;0),"Enter Letter"," ")</f>
        <v> </v>
      </c>
      <c r="G171" s="180" t="str">
        <f aca="false">IF((D171="d"),F171," ")</f>
        <v> </v>
      </c>
      <c r="H171" s="180" t="str">
        <f aca="false">IF((D171="h"),F171," ")</f>
        <v> </v>
      </c>
      <c r="I171" s="180" t="str">
        <f aca="false">IF((D171="r"),F171," ")</f>
        <v> </v>
      </c>
      <c r="J171" s="180" t="str">
        <f aca="false">IF((D171="t"),F171," ")</f>
        <v> </v>
      </c>
      <c r="K171" s="180" t="str">
        <f aca="false">IF((D171="e"),F171," ")</f>
        <v> </v>
      </c>
      <c r="L171" s="180" t="str">
        <f aca="false">IF((D171="p"),F171," ")</f>
        <v> </v>
      </c>
      <c r="M171" s="180" t="str">
        <f aca="false">IF((D171="g"),F171," ")</f>
        <v> </v>
      </c>
      <c r="N171" s="180" t="str">
        <f aca="false">IF((D171="a"),F171," ")</f>
        <v> </v>
      </c>
      <c r="O171" s="180" t="str">
        <f aca="false">IF((D171="l"),F171," ")</f>
        <v> </v>
      </c>
      <c r="P171" s="180" t="str">
        <f aca="false">IF((D171="i"),F171," ")</f>
        <v> </v>
      </c>
      <c r="Q171" s="180" t="str">
        <f aca="false">IF((D171="b"),F171," ")</f>
        <v> </v>
      </c>
      <c r="R171" s="180" t="str">
        <f aca="false">IF((D171="o"),F171," ")</f>
        <v> </v>
      </c>
      <c r="S171" s="180" t="str">
        <f aca="false">IF((D171="f"),F171," ")</f>
        <v> </v>
      </c>
      <c r="U171" s="371"/>
    </row>
    <row r="172" customFormat="false" ht="12.75" hidden="false" customHeight="false" outlineLevel="0" collapsed="false">
      <c r="D172" s="371" t="str">
        <f aca="false">IF((F172&lt;&gt;0),"Enter Letter"," ")</f>
        <v> </v>
      </c>
      <c r="G172" s="180" t="str">
        <f aca="false">IF((D172="d"),F172," ")</f>
        <v> </v>
      </c>
      <c r="H172" s="180" t="str">
        <f aca="false">IF((D172="h"),F172," ")</f>
        <v> </v>
      </c>
      <c r="I172" s="180" t="str">
        <f aca="false">IF((D172="r"),F172," ")</f>
        <v> </v>
      </c>
      <c r="J172" s="180" t="str">
        <f aca="false">IF((D172="t"),F172," ")</f>
        <v> </v>
      </c>
      <c r="K172" s="180" t="str">
        <f aca="false">IF((D172="e"),F172," ")</f>
        <v> </v>
      </c>
      <c r="L172" s="180" t="str">
        <f aca="false">IF((D172="p"),F172," ")</f>
        <v> </v>
      </c>
      <c r="M172" s="180" t="str">
        <f aca="false">IF((D172="g"),F172," ")</f>
        <v> </v>
      </c>
      <c r="N172" s="180" t="str">
        <f aca="false">IF((D172="a"),F172," ")</f>
        <v> </v>
      </c>
      <c r="O172" s="180" t="str">
        <f aca="false">IF((D172="l"),F172," ")</f>
        <v> </v>
      </c>
      <c r="P172" s="180" t="str">
        <f aca="false">IF((D172="i"),F172," ")</f>
        <v> </v>
      </c>
      <c r="Q172" s="180" t="str">
        <f aca="false">IF((D172="b"),F172," ")</f>
        <v> </v>
      </c>
      <c r="R172" s="180" t="str">
        <f aca="false">IF((D172="o"),F172," ")</f>
        <v> </v>
      </c>
      <c r="S172" s="180" t="str">
        <f aca="false">IF((D172="f"),F172," ")</f>
        <v> </v>
      </c>
      <c r="U172" s="371"/>
    </row>
    <row r="173" customFormat="false" ht="12.75" hidden="false" customHeight="false" outlineLevel="0" collapsed="false">
      <c r="D173" s="371" t="str">
        <f aca="false">IF((F173&lt;&gt;0),"Enter Letter"," ")</f>
        <v> </v>
      </c>
      <c r="G173" s="180" t="str">
        <f aca="false">IF((D173="d"),F173," ")</f>
        <v> </v>
      </c>
      <c r="H173" s="180" t="str">
        <f aca="false">IF((D173="h"),F173," ")</f>
        <v> </v>
      </c>
      <c r="I173" s="180" t="str">
        <f aca="false">IF((D173="r"),F173," ")</f>
        <v> </v>
      </c>
      <c r="J173" s="180" t="str">
        <f aca="false">IF((D173="t"),F173," ")</f>
        <v> </v>
      </c>
      <c r="K173" s="180" t="str">
        <f aca="false">IF((D173="e"),F173," ")</f>
        <v> </v>
      </c>
      <c r="L173" s="180" t="str">
        <f aca="false">IF((D173="p"),F173," ")</f>
        <v> </v>
      </c>
      <c r="M173" s="180" t="str">
        <f aca="false">IF((D173="g"),F173," ")</f>
        <v> </v>
      </c>
      <c r="N173" s="180" t="str">
        <f aca="false">IF((D173="a"),F173," ")</f>
        <v> </v>
      </c>
      <c r="O173" s="180" t="str">
        <f aca="false">IF((D173="l"),F173," ")</f>
        <v> </v>
      </c>
      <c r="P173" s="180" t="str">
        <f aca="false">IF((D173="i"),F173," ")</f>
        <v> </v>
      </c>
      <c r="Q173" s="180" t="str">
        <f aca="false">IF((D173="b"),F173," ")</f>
        <v> </v>
      </c>
      <c r="R173" s="180" t="str">
        <f aca="false">IF((D173="o"),F173," ")</f>
        <v> </v>
      </c>
      <c r="S173" s="180" t="str">
        <f aca="false">IF((D173="f"),F173," ")</f>
        <v> </v>
      </c>
      <c r="U173" s="371"/>
    </row>
    <row r="174" customFormat="false" ht="12.75" hidden="false" customHeight="false" outlineLevel="0" collapsed="false">
      <c r="D174" s="371" t="str">
        <f aca="false">IF((F174&lt;&gt;0),"Enter Letter"," ")</f>
        <v> </v>
      </c>
      <c r="G174" s="180" t="str">
        <f aca="false">IF((D174="d"),F174," ")</f>
        <v> </v>
      </c>
      <c r="H174" s="180" t="str">
        <f aca="false">IF((D174="h"),F174," ")</f>
        <v> </v>
      </c>
      <c r="I174" s="180" t="str">
        <f aca="false">IF((D174="r"),F174," ")</f>
        <v> </v>
      </c>
      <c r="J174" s="180" t="str">
        <f aca="false">IF((D174="t"),F174," ")</f>
        <v> </v>
      </c>
      <c r="K174" s="180" t="str">
        <f aca="false">IF((D174="e"),F174," ")</f>
        <v> </v>
      </c>
      <c r="L174" s="180" t="str">
        <f aca="false">IF((D174="p"),F174," ")</f>
        <v> </v>
      </c>
      <c r="M174" s="180" t="str">
        <f aca="false">IF((D174="g"),F174," ")</f>
        <v> </v>
      </c>
      <c r="N174" s="180" t="str">
        <f aca="false">IF((D174="a"),F174," ")</f>
        <v> </v>
      </c>
      <c r="O174" s="180" t="str">
        <f aca="false">IF((D174="l"),F174," ")</f>
        <v> </v>
      </c>
      <c r="P174" s="180" t="str">
        <f aca="false">IF((D174="i"),F174," ")</f>
        <v> </v>
      </c>
      <c r="Q174" s="180" t="str">
        <f aca="false">IF((D174="b"),F174," ")</f>
        <v> </v>
      </c>
      <c r="R174" s="180" t="str">
        <f aca="false">IF((D174="o"),F174," ")</f>
        <v> </v>
      </c>
      <c r="S174" s="180" t="str">
        <f aca="false">IF((D174="f"),F174," ")</f>
        <v> </v>
      </c>
      <c r="U174" s="371"/>
    </row>
    <row r="175" customFormat="false" ht="12.75" hidden="false" customHeight="false" outlineLevel="0" collapsed="false">
      <c r="D175" s="371" t="str">
        <f aca="false">IF((F175&lt;&gt;0),"Enter Letter"," ")</f>
        <v> </v>
      </c>
      <c r="G175" s="180" t="str">
        <f aca="false">IF((D175="d"),F175," ")</f>
        <v> </v>
      </c>
      <c r="H175" s="180" t="str">
        <f aca="false">IF((D175="h"),F175," ")</f>
        <v> </v>
      </c>
      <c r="I175" s="180" t="str">
        <f aca="false">IF((D175="r"),F175," ")</f>
        <v> </v>
      </c>
      <c r="J175" s="180" t="str">
        <f aca="false">IF((D175="t"),F175," ")</f>
        <v> </v>
      </c>
      <c r="K175" s="180" t="str">
        <f aca="false">IF((D175="e"),F175," ")</f>
        <v> </v>
      </c>
      <c r="L175" s="180" t="str">
        <f aca="false">IF((D175="p"),F175," ")</f>
        <v> </v>
      </c>
      <c r="M175" s="180" t="str">
        <f aca="false">IF((D175="g"),F175," ")</f>
        <v> </v>
      </c>
      <c r="N175" s="180" t="str">
        <f aca="false">IF((D175="a"),F175," ")</f>
        <v> </v>
      </c>
      <c r="O175" s="180" t="str">
        <f aca="false">IF((D175="l"),F175," ")</f>
        <v> </v>
      </c>
      <c r="P175" s="180" t="str">
        <f aca="false">IF((D175="i"),F175," ")</f>
        <v> </v>
      </c>
      <c r="Q175" s="180" t="str">
        <f aca="false">IF((D175="b"),F175," ")</f>
        <v> </v>
      </c>
      <c r="R175" s="180" t="str">
        <f aca="false">IF((D175="o"),F175," ")</f>
        <v> </v>
      </c>
      <c r="S175" s="180" t="str">
        <f aca="false">IF((D175="f"),F175," ")</f>
        <v> </v>
      </c>
      <c r="U175" s="371"/>
    </row>
    <row r="176" customFormat="false" ht="12.75" hidden="false" customHeight="false" outlineLevel="0" collapsed="false">
      <c r="D176" s="371" t="str">
        <f aca="false">IF((F176&lt;&gt;0),"Enter Letter"," ")</f>
        <v> </v>
      </c>
      <c r="G176" s="180" t="str">
        <f aca="false">IF((D176="d"),F176," ")</f>
        <v> </v>
      </c>
      <c r="H176" s="180" t="str">
        <f aca="false">IF((D176="h"),F176," ")</f>
        <v> </v>
      </c>
      <c r="I176" s="180" t="str">
        <f aca="false">IF((D176="r"),F176," ")</f>
        <v> </v>
      </c>
      <c r="J176" s="180" t="str">
        <f aca="false">IF((D176="t"),F176," ")</f>
        <v> </v>
      </c>
      <c r="K176" s="180" t="str">
        <f aca="false">IF((D176="e"),F176," ")</f>
        <v> </v>
      </c>
      <c r="L176" s="180" t="str">
        <f aca="false">IF((D176="p"),F176," ")</f>
        <v> </v>
      </c>
      <c r="M176" s="180" t="str">
        <f aca="false">IF((D176="g"),F176," ")</f>
        <v> </v>
      </c>
      <c r="N176" s="180" t="str">
        <f aca="false">IF((D176="a"),F176," ")</f>
        <v> </v>
      </c>
      <c r="O176" s="180" t="str">
        <f aca="false">IF((D176="l"),F176," ")</f>
        <v> </v>
      </c>
      <c r="P176" s="180" t="str">
        <f aca="false">IF((D176="i"),F176," ")</f>
        <v> </v>
      </c>
      <c r="Q176" s="180" t="str">
        <f aca="false">IF((D176="b"),F176," ")</f>
        <v> </v>
      </c>
      <c r="R176" s="180" t="str">
        <f aca="false">IF((D176="o"),F176," ")</f>
        <v> </v>
      </c>
      <c r="S176" s="180" t="str">
        <f aca="false">IF((D176="f"),F176," ")</f>
        <v> </v>
      </c>
      <c r="U176" s="371"/>
    </row>
    <row r="177" customFormat="false" ht="12.75" hidden="false" customHeight="false" outlineLevel="0" collapsed="false">
      <c r="D177" s="371" t="str">
        <f aca="false">IF((F177&lt;&gt;0),"Enter Letter"," ")</f>
        <v> </v>
      </c>
      <c r="G177" s="180" t="str">
        <f aca="false">IF((D177="d"),F177," ")</f>
        <v> </v>
      </c>
      <c r="H177" s="180" t="str">
        <f aca="false">IF((D177="h"),F177," ")</f>
        <v> </v>
      </c>
      <c r="I177" s="180" t="str">
        <f aca="false">IF((D177="r"),F177," ")</f>
        <v> </v>
      </c>
      <c r="J177" s="180" t="str">
        <f aca="false">IF((D177="t"),F177," ")</f>
        <v> </v>
      </c>
      <c r="K177" s="180" t="str">
        <f aca="false">IF((D177="e"),F177," ")</f>
        <v> </v>
      </c>
      <c r="L177" s="180" t="str">
        <f aca="false">IF((D177="p"),F177," ")</f>
        <v> </v>
      </c>
      <c r="M177" s="180" t="str">
        <f aca="false">IF((D177="g"),F177," ")</f>
        <v> </v>
      </c>
      <c r="N177" s="180" t="str">
        <f aca="false">IF((D177="a"),F177," ")</f>
        <v> </v>
      </c>
      <c r="O177" s="180" t="str">
        <f aca="false">IF((D177="l"),F177," ")</f>
        <v> </v>
      </c>
      <c r="P177" s="180" t="str">
        <f aca="false">IF((D177="i"),F177," ")</f>
        <v> </v>
      </c>
      <c r="Q177" s="180" t="str">
        <f aca="false">IF((D177="b"),F177," ")</f>
        <v> </v>
      </c>
      <c r="R177" s="180" t="str">
        <f aca="false">IF((D177="o"),F177," ")</f>
        <v> </v>
      </c>
      <c r="S177" s="180" t="str">
        <f aca="false">IF((D177="f"),F177," ")</f>
        <v> </v>
      </c>
      <c r="U177" s="371"/>
    </row>
    <row r="178" customFormat="false" ht="12.75" hidden="false" customHeight="false" outlineLevel="0" collapsed="false">
      <c r="D178" s="371" t="str">
        <f aca="false">IF((F178&lt;&gt;0),"Enter Letter"," ")</f>
        <v> </v>
      </c>
      <c r="G178" s="180" t="str">
        <f aca="false">IF((D178="d"),F178," ")</f>
        <v> </v>
      </c>
      <c r="H178" s="180" t="str">
        <f aca="false">IF((D178="h"),F178," ")</f>
        <v> </v>
      </c>
      <c r="I178" s="180" t="str">
        <f aca="false">IF((D178="r"),F178," ")</f>
        <v> </v>
      </c>
      <c r="J178" s="180" t="str">
        <f aca="false">IF((D178="t"),F178," ")</f>
        <v> </v>
      </c>
      <c r="K178" s="180" t="str">
        <f aca="false">IF((D178="e"),F178," ")</f>
        <v> </v>
      </c>
      <c r="L178" s="180" t="str">
        <f aca="false">IF((D178="p"),F178," ")</f>
        <v> </v>
      </c>
      <c r="M178" s="180" t="str">
        <f aca="false">IF((D178="g"),F178," ")</f>
        <v> </v>
      </c>
      <c r="N178" s="180" t="str">
        <f aca="false">IF((D178="a"),F178," ")</f>
        <v> </v>
      </c>
      <c r="O178" s="180" t="str">
        <f aca="false">IF((D178="l"),F178," ")</f>
        <v> </v>
      </c>
      <c r="P178" s="180" t="str">
        <f aca="false">IF((D178="i"),F178," ")</f>
        <v> </v>
      </c>
      <c r="Q178" s="180" t="str">
        <f aca="false">IF((D178="b"),F178," ")</f>
        <v> </v>
      </c>
      <c r="R178" s="180" t="str">
        <f aca="false">IF((D178="o"),F178," ")</f>
        <v> </v>
      </c>
      <c r="S178" s="180" t="str">
        <f aca="false">IF((D178="f"),F178," ")</f>
        <v> </v>
      </c>
      <c r="U178" s="371"/>
    </row>
    <row r="179" customFormat="false" ht="12.75" hidden="false" customHeight="false" outlineLevel="0" collapsed="false">
      <c r="D179" s="371" t="str">
        <f aca="false">IF((F179&lt;&gt;0),"Enter Letter"," ")</f>
        <v> </v>
      </c>
      <c r="G179" s="180" t="str">
        <f aca="false">IF((D179="d"),F179," ")</f>
        <v> </v>
      </c>
      <c r="H179" s="180" t="str">
        <f aca="false">IF((D179="h"),F179," ")</f>
        <v> </v>
      </c>
      <c r="I179" s="180" t="str">
        <f aca="false">IF((D179="r"),F179," ")</f>
        <v> </v>
      </c>
      <c r="J179" s="180" t="str">
        <f aca="false">IF((D179="t"),F179," ")</f>
        <v> </v>
      </c>
      <c r="K179" s="180" t="str">
        <f aca="false">IF((D179="e"),F179," ")</f>
        <v> </v>
      </c>
      <c r="L179" s="180" t="str">
        <f aca="false">IF((D179="p"),F179," ")</f>
        <v> </v>
      </c>
      <c r="M179" s="180" t="str">
        <f aca="false">IF((D179="g"),F179," ")</f>
        <v> </v>
      </c>
      <c r="N179" s="180" t="str">
        <f aca="false">IF((D179="a"),F179," ")</f>
        <v> </v>
      </c>
      <c r="O179" s="180" t="str">
        <f aca="false">IF((D179="l"),F179," ")</f>
        <v> </v>
      </c>
      <c r="P179" s="180" t="str">
        <f aca="false">IF((D179="i"),F179," ")</f>
        <v> </v>
      </c>
      <c r="Q179" s="180" t="str">
        <f aca="false">IF((D179="b"),F179," ")</f>
        <v> </v>
      </c>
      <c r="R179" s="180" t="str">
        <f aca="false">IF((D179="o"),F179," ")</f>
        <v> </v>
      </c>
      <c r="S179" s="180" t="str">
        <f aca="false">IF((D179="f"),F179," ")</f>
        <v> </v>
      </c>
      <c r="U179" s="371"/>
    </row>
    <row r="180" customFormat="false" ht="12.75" hidden="false" customHeight="false" outlineLevel="0" collapsed="false">
      <c r="D180" s="371" t="str">
        <f aca="false">IF((F180&lt;&gt;0),"Enter Letter"," ")</f>
        <v> </v>
      </c>
      <c r="G180" s="180" t="str">
        <f aca="false">IF((D180="d"),F180," ")</f>
        <v> </v>
      </c>
      <c r="H180" s="180" t="str">
        <f aca="false">IF((D180="h"),F180," ")</f>
        <v> </v>
      </c>
      <c r="I180" s="180" t="str">
        <f aca="false">IF((D180="r"),F180," ")</f>
        <v> </v>
      </c>
      <c r="J180" s="180" t="str">
        <f aca="false">IF((D180="t"),F180," ")</f>
        <v> </v>
      </c>
      <c r="K180" s="180" t="str">
        <f aca="false">IF((D180="e"),F180," ")</f>
        <v> </v>
      </c>
      <c r="L180" s="180" t="str">
        <f aca="false">IF((D180="p"),F180," ")</f>
        <v> </v>
      </c>
      <c r="M180" s="180" t="str">
        <f aca="false">IF((D180="g"),F180," ")</f>
        <v> </v>
      </c>
      <c r="N180" s="180" t="str">
        <f aca="false">IF((D180="a"),F180," ")</f>
        <v> </v>
      </c>
      <c r="O180" s="180" t="str">
        <f aca="false">IF((D180="l"),F180," ")</f>
        <v> </v>
      </c>
      <c r="P180" s="180" t="str">
        <f aca="false">IF((D180="i"),F180," ")</f>
        <v> </v>
      </c>
      <c r="Q180" s="180" t="str">
        <f aca="false">IF((D180="b"),F180," ")</f>
        <v> </v>
      </c>
      <c r="R180" s="180" t="str">
        <f aca="false">IF((D180="o"),F180," ")</f>
        <v> </v>
      </c>
      <c r="S180" s="180" t="str">
        <f aca="false">IF((D180="f"),F180," ")</f>
        <v> </v>
      </c>
      <c r="U180" s="371"/>
    </row>
    <row r="181" customFormat="false" ht="12.75" hidden="false" customHeight="false" outlineLevel="0" collapsed="false">
      <c r="D181" s="371" t="str">
        <f aca="false">IF((F181&lt;&gt;0),"Enter Letter"," ")</f>
        <v> </v>
      </c>
      <c r="G181" s="180" t="str">
        <f aca="false">IF((D181="d"),F181," ")</f>
        <v> </v>
      </c>
      <c r="H181" s="180" t="str">
        <f aca="false">IF((D181="h"),F181," ")</f>
        <v> </v>
      </c>
      <c r="I181" s="180" t="str">
        <f aca="false">IF((D181="r"),F181," ")</f>
        <v> </v>
      </c>
      <c r="J181" s="180" t="str">
        <f aca="false">IF((D181="t"),F181," ")</f>
        <v> </v>
      </c>
      <c r="K181" s="180" t="str">
        <f aca="false">IF((D181="e"),F181," ")</f>
        <v> </v>
      </c>
      <c r="L181" s="180" t="str">
        <f aca="false">IF((D181="p"),F181," ")</f>
        <v> </v>
      </c>
      <c r="M181" s="180" t="str">
        <f aca="false">IF((D181="g"),F181," ")</f>
        <v> </v>
      </c>
      <c r="N181" s="180" t="str">
        <f aca="false">IF((D181="a"),F181," ")</f>
        <v> </v>
      </c>
      <c r="O181" s="180" t="str">
        <f aca="false">IF((D181="l"),F181," ")</f>
        <v> </v>
      </c>
      <c r="P181" s="180" t="str">
        <f aca="false">IF((D181="i"),F181," ")</f>
        <v> </v>
      </c>
      <c r="Q181" s="180" t="str">
        <f aca="false">IF((D181="b"),F181," ")</f>
        <v> </v>
      </c>
      <c r="R181" s="180" t="str">
        <f aca="false">IF((D181="o"),F181," ")</f>
        <v> </v>
      </c>
      <c r="S181" s="180" t="str">
        <f aca="false">IF((D181="f"),F181," ")</f>
        <v> </v>
      </c>
      <c r="U181" s="371"/>
    </row>
    <row r="182" customFormat="false" ht="12.75" hidden="false" customHeight="false" outlineLevel="0" collapsed="false">
      <c r="D182" s="371" t="str">
        <f aca="false">IF((F182&lt;&gt;0),"Enter Letter"," ")</f>
        <v> </v>
      </c>
      <c r="G182" s="180" t="str">
        <f aca="false">IF((D182="d"),F182," ")</f>
        <v> </v>
      </c>
      <c r="H182" s="180" t="str">
        <f aca="false">IF((D182="h"),F182," ")</f>
        <v> </v>
      </c>
      <c r="I182" s="180" t="str">
        <f aca="false">IF((D182="r"),F182," ")</f>
        <v> </v>
      </c>
      <c r="J182" s="180" t="str">
        <f aca="false">IF((D182="t"),F182," ")</f>
        <v> </v>
      </c>
      <c r="K182" s="180" t="str">
        <f aca="false">IF((D182="e"),F182," ")</f>
        <v> </v>
      </c>
      <c r="L182" s="180" t="str">
        <f aca="false">IF((D182="p"),F182," ")</f>
        <v> </v>
      </c>
      <c r="M182" s="180" t="str">
        <f aca="false">IF((D182="g"),F182," ")</f>
        <v> </v>
      </c>
      <c r="N182" s="180" t="str">
        <f aca="false">IF((D182="a"),F182," ")</f>
        <v> </v>
      </c>
      <c r="O182" s="180" t="str">
        <f aca="false">IF((D182="l"),F182," ")</f>
        <v> </v>
      </c>
      <c r="P182" s="180" t="str">
        <f aca="false">IF((D182="i"),F182," ")</f>
        <v> </v>
      </c>
      <c r="Q182" s="180" t="str">
        <f aca="false">IF((D182="b"),F182," ")</f>
        <v> </v>
      </c>
      <c r="R182" s="180" t="str">
        <f aca="false">IF((D182="o"),F182," ")</f>
        <v> </v>
      </c>
      <c r="S182" s="180" t="str">
        <f aca="false">IF((D182="f"),F182," ")</f>
        <v> </v>
      </c>
      <c r="U182" s="371"/>
    </row>
    <row r="183" customFormat="false" ht="12.75" hidden="false" customHeight="false" outlineLevel="0" collapsed="false">
      <c r="D183" s="371" t="str">
        <f aca="false">IF((F183&lt;&gt;0),"Enter Letter"," ")</f>
        <v> </v>
      </c>
      <c r="G183" s="180" t="str">
        <f aca="false">IF((D183="d"),F183," ")</f>
        <v> </v>
      </c>
      <c r="H183" s="180" t="str">
        <f aca="false">IF((D183="h"),F183," ")</f>
        <v> </v>
      </c>
      <c r="I183" s="180" t="str">
        <f aca="false">IF((D183="r"),F183," ")</f>
        <v> </v>
      </c>
      <c r="J183" s="180" t="str">
        <f aca="false">IF((D183="t"),F183," ")</f>
        <v> </v>
      </c>
      <c r="K183" s="180" t="str">
        <f aca="false">IF((D183="e"),F183," ")</f>
        <v> </v>
      </c>
      <c r="L183" s="180" t="str">
        <f aca="false">IF((D183="p"),F183," ")</f>
        <v> </v>
      </c>
      <c r="M183" s="180" t="str">
        <f aca="false">IF((D183="g"),F183," ")</f>
        <v> </v>
      </c>
      <c r="N183" s="180" t="str">
        <f aca="false">IF((D183="a"),F183," ")</f>
        <v> </v>
      </c>
      <c r="O183" s="180" t="str">
        <f aca="false">IF((D183="l"),F183," ")</f>
        <v> </v>
      </c>
      <c r="P183" s="180" t="str">
        <f aca="false">IF((D183="i"),F183," ")</f>
        <v> </v>
      </c>
      <c r="Q183" s="180" t="str">
        <f aca="false">IF((D183="b"),F183," ")</f>
        <v> </v>
      </c>
      <c r="R183" s="180" t="str">
        <f aca="false">IF((D183="o"),F183," ")</f>
        <v> </v>
      </c>
      <c r="S183" s="180" t="str">
        <f aca="false">IF((D183="f"),F183," ")</f>
        <v> </v>
      </c>
      <c r="U183" s="371"/>
    </row>
    <row r="184" customFormat="false" ht="12.75" hidden="false" customHeight="false" outlineLevel="0" collapsed="false">
      <c r="D184" s="371" t="str">
        <f aca="false">IF((F184&lt;&gt;0),"Enter Letter"," ")</f>
        <v> </v>
      </c>
      <c r="G184" s="180" t="str">
        <f aca="false">IF((D184="d"),F184," ")</f>
        <v> </v>
      </c>
      <c r="H184" s="180" t="str">
        <f aca="false">IF((D184="h"),F184," ")</f>
        <v> </v>
      </c>
      <c r="I184" s="180" t="str">
        <f aca="false">IF((D184="r"),F184," ")</f>
        <v> </v>
      </c>
      <c r="J184" s="180" t="str">
        <f aca="false">IF((D184="t"),F184," ")</f>
        <v> </v>
      </c>
      <c r="K184" s="180" t="str">
        <f aca="false">IF((D184="e"),F184," ")</f>
        <v> </v>
      </c>
      <c r="L184" s="180" t="str">
        <f aca="false">IF((D184="p"),F184," ")</f>
        <v> </v>
      </c>
      <c r="M184" s="180" t="str">
        <f aca="false">IF((D184="g"),F184," ")</f>
        <v> </v>
      </c>
      <c r="N184" s="180" t="str">
        <f aca="false">IF((D184="a"),F184," ")</f>
        <v> </v>
      </c>
      <c r="O184" s="180" t="str">
        <f aca="false">IF((D184="l"),F184," ")</f>
        <v> </v>
      </c>
      <c r="P184" s="180" t="str">
        <f aca="false">IF((D184="i"),F184," ")</f>
        <v> </v>
      </c>
      <c r="Q184" s="180" t="str">
        <f aca="false">IF((D184="b"),F184," ")</f>
        <v> </v>
      </c>
      <c r="R184" s="180" t="str">
        <f aca="false">IF((D184="o"),F184," ")</f>
        <v> </v>
      </c>
      <c r="S184" s="180" t="str">
        <f aca="false">IF((D184="f"),F184," ")</f>
        <v> </v>
      </c>
      <c r="U184" s="371"/>
    </row>
    <row r="185" customFormat="false" ht="12.75" hidden="false" customHeight="false" outlineLevel="0" collapsed="false">
      <c r="D185" s="371" t="str">
        <f aca="false">IF((F185&lt;&gt;0),"Enter Letter"," ")</f>
        <v> </v>
      </c>
      <c r="G185" s="180" t="str">
        <f aca="false">IF((D185="d"),F185," ")</f>
        <v> </v>
      </c>
      <c r="H185" s="180" t="str">
        <f aca="false">IF((D185="h"),F185," ")</f>
        <v> </v>
      </c>
      <c r="I185" s="180" t="str">
        <f aca="false">IF((D185="r"),F185," ")</f>
        <v> </v>
      </c>
      <c r="J185" s="180" t="str">
        <f aca="false">IF((D185="t"),F185," ")</f>
        <v> </v>
      </c>
      <c r="K185" s="180" t="str">
        <f aca="false">IF((D185="e"),F185," ")</f>
        <v> </v>
      </c>
      <c r="L185" s="180" t="str">
        <f aca="false">IF((D185="p"),F185," ")</f>
        <v> </v>
      </c>
      <c r="M185" s="180" t="str">
        <f aca="false">IF((D185="g"),F185," ")</f>
        <v> </v>
      </c>
      <c r="N185" s="180" t="str">
        <f aca="false">IF((D185="a"),F185," ")</f>
        <v> </v>
      </c>
      <c r="O185" s="180" t="str">
        <f aca="false">IF((D185="l"),F185," ")</f>
        <v> </v>
      </c>
      <c r="P185" s="180" t="str">
        <f aca="false">IF((D185="i"),F185," ")</f>
        <v> </v>
      </c>
      <c r="Q185" s="180" t="str">
        <f aca="false">IF((D185="b"),F185," ")</f>
        <v> </v>
      </c>
      <c r="R185" s="180" t="str">
        <f aca="false">IF((D185="o"),F185," ")</f>
        <v> </v>
      </c>
      <c r="S185" s="180" t="str">
        <f aca="false">IF((D185="f"),F185," ")</f>
        <v> </v>
      </c>
      <c r="U185" s="371"/>
    </row>
    <row r="186" customFormat="false" ht="12.75" hidden="false" customHeight="false" outlineLevel="0" collapsed="false">
      <c r="D186" s="371" t="str">
        <f aca="false">IF((F186&lt;&gt;0),"Enter Letter"," ")</f>
        <v> </v>
      </c>
      <c r="G186" s="180" t="str">
        <f aca="false">IF((D186="d"),F186," ")</f>
        <v> </v>
      </c>
      <c r="H186" s="180" t="str">
        <f aca="false">IF((D186="h"),F186," ")</f>
        <v> </v>
      </c>
      <c r="I186" s="180" t="str">
        <f aca="false">IF((D186="r"),F186," ")</f>
        <v> </v>
      </c>
      <c r="J186" s="180" t="str">
        <f aca="false">IF((D186="t"),F186," ")</f>
        <v> </v>
      </c>
      <c r="K186" s="180" t="str">
        <f aca="false">IF((D186="e"),F186," ")</f>
        <v> </v>
      </c>
      <c r="L186" s="180" t="str">
        <f aca="false">IF((D186="p"),F186," ")</f>
        <v> </v>
      </c>
      <c r="M186" s="180" t="str">
        <f aca="false">IF((D186="g"),F186," ")</f>
        <v> </v>
      </c>
      <c r="N186" s="180" t="str">
        <f aca="false">IF((D186="a"),F186," ")</f>
        <v> </v>
      </c>
      <c r="O186" s="180" t="str">
        <f aca="false">IF((D186="l"),F186," ")</f>
        <v> </v>
      </c>
      <c r="P186" s="180" t="str">
        <f aca="false">IF((D186="i"),F186," ")</f>
        <v> </v>
      </c>
      <c r="Q186" s="180" t="str">
        <f aca="false">IF((D186="b"),F186," ")</f>
        <v> </v>
      </c>
      <c r="R186" s="180" t="str">
        <f aca="false">IF((D186="o"),F186," ")</f>
        <v> </v>
      </c>
      <c r="S186" s="180" t="str">
        <f aca="false">IF((D186="f"),F186," ")</f>
        <v> </v>
      </c>
      <c r="U186" s="371"/>
    </row>
    <row r="187" customFormat="false" ht="12.75" hidden="false" customHeight="false" outlineLevel="0" collapsed="false">
      <c r="D187" s="371" t="str">
        <f aca="false">IF((F187&lt;&gt;0),"Enter Letter"," ")</f>
        <v> </v>
      </c>
      <c r="G187" s="180" t="str">
        <f aca="false">IF((D187="d"),F187," ")</f>
        <v> </v>
      </c>
      <c r="H187" s="180" t="str">
        <f aca="false">IF((D187="h"),F187," ")</f>
        <v> </v>
      </c>
      <c r="I187" s="180" t="str">
        <f aca="false">IF((D187="r"),F187," ")</f>
        <v> </v>
      </c>
      <c r="J187" s="180" t="str">
        <f aca="false">IF((D187="t"),F187," ")</f>
        <v> </v>
      </c>
      <c r="K187" s="180" t="str">
        <f aca="false">IF((D187="e"),F187," ")</f>
        <v> </v>
      </c>
      <c r="L187" s="180" t="str">
        <f aca="false">IF((D187="p"),F187," ")</f>
        <v> </v>
      </c>
      <c r="M187" s="180" t="str">
        <f aca="false">IF((D187="g"),F187," ")</f>
        <v> </v>
      </c>
      <c r="N187" s="180" t="str">
        <f aca="false">IF((D187="a"),F187," ")</f>
        <v> </v>
      </c>
      <c r="O187" s="180" t="str">
        <f aca="false">IF((D187="l"),F187," ")</f>
        <v> </v>
      </c>
      <c r="P187" s="180" t="str">
        <f aca="false">IF((D187="i"),F187," ")</f>
        <v> </v>
      </c>
      <c r="Q187" s="180" t="str">
        <f aca="false">IF((D187="b"),F187," ")</f>
        <v> </v>
      </c>
      <c r="R187" s="180" t="str">
        <f aca="false">IF((D187="o"),F187," ")</f>
        <v> </v>
      </c>
      <c r="S187" s="180" t="str">
        <f aca="false">IF((D187="f"),F187," ")</f>
        <v> </v>
      </c>
      <c r="U187" s="371"/>
    </row>
    <row r="188" customFormat="false" ht="12.75" hidden="false" customHeight="false" outlineLevel="0" collapsed="false">
      <c r="D188" s="371" t="str">
        <f aca="false">IF((F188&lt;&gt;0),"Enter Letter"," ")</f>
        <v> </v>
      </c>
      <c r="G188" s="180" t="str">
        <f aca="false">IF((D188="d"),F188," ")</f>
        <v> </v>
      </c>
      <c r="H188" s="180" t="str">
        <f aca="false">IF((D188="h"),F188," ")</f>
        <v> </v>
      </c>
      <c r="I188" s="180" t="str">
        <f aca="false">IF((D188="r"),F188," ")</f>
        <v> </v>
      </c>
      <c r="J188" s="180" t="str">
        <f aca="false">IF((D188="t"),F188," ")</f>
        <v> </v>
      </c>
      <c r="K188" s="180" t="str">
        <f aca="false">IF((D188="e"),F188," ")</f>
        <v> </v>
      </c>
      <c r="L188" s="180" t="str">
        <f aca="false">IF((D188="p"),F188," ")</f>
        <v> </v>
      </c>
      <c r="M188" s="180" t="str">
        <f aca="false">IF((D188="g"),F188," ")</f>
        <v> </v>
      </c>
      <c r="N188" s="180" t="str">
        <f aca="false">IF((D188="a"),F188," ")</f>
        <v> </v>
      </c>
      <c r="O188" s="180" t="str">
        <f aca="false">IF((D188="l"),F188," ")</f>
        <v> </v>
      </c>
      <c r="P188" s="180" t="str">
        <f aca="false">IF((D188="i"),F188," ")</f>
        <v> </v>
      </c>
      <c r="Q188" s="180" t="str">
        <f aca="false">IF((D188="b"),F188," ")</f>
        <v> </v>
      </c>
      <c r="R188" s="180" t="str">
        <f aca="false">IF((D188="o"),F188," ")</f>
        <v> </v>
      </c>
      <c r="S188" s="180" t="str">
        <f aca="false">IF((D188="f"),F188," ")</f>
        <v> </v>
      </c>
      <c r="U188" s="371"/>
    </row>
    <row r="189" customFormat="false" ht="12.75" hidden="false" customHeight="false" outlineLevel="0" collapsed="false">
      <c r="D189" s="371" t="str">
        <f aca="false">IF((F189&lt;&gt;0),"Enter Letter"," ")</f>
        <v> </v>
      </c>
      <c r="G189" s="180" t="str">
        <f aca="false">IF((D189="d"),F189," ")</f>
        <v> </v>
      </c>
      <c r="H189" s="180" t="str">
        <f aca="false">IF((D189="h"),F189," ")</f>
        <v> </v>
      </c>
      <c r="I189" s="180" t="str">
        <f aca="false">IF((D189="r"),F189," ")</f>
        <v> </v>
      </c>
      <c r="J189" s="180" t="str">
        <f aca="false">IF((D189="t"),F189," ")</f>
        <v> </v>
      </c>
      <c r="K189" s="180" t="str">
        <f aca="false">IF((D189="e"),F189," ")</f>
        <v> </v>
      </c>
      <c r="L189" s="180" t="str">
        <f aca="false">IF((D189="p"),F189," ")</f>
        <v> </v>
      </c>
      <c r="M189" s="180" t="str">
        <f aca="false">IF((D189="g"),F189," ")</f>
        <v> </v>
      </c>
      <c r="N189" s="180" t="str">
        <f aca="false">IF((D189="a"),F189," ")</f>
        <v> </v>
      </c>
      <c r="O189" s="180" t="str">
        <f aca="false">IF((D189="l"),F189," ")</f>
        <v> </v>
      </c>
      <c r="P189" s="180" t="str">
        <f aca="false">IF((D189="i"),F189," ")</f>
        <v> </v>
      </c>
      <c r="Q189" s="180" t="str">
        <f aca="false">IF((D189="b"),F189," ")</f>
        <v> </v>
      </c>
      <c r="R189" s="180" t="str">
        <f aca="false">IF((D189="o"),F189," ")</f>
        <v> </v>
      </c>
      <c r="S189" s="180" t="str">
        <f aca="false">IF((D189="f"),F189," ")</f>
        <v> </v>
      </c>
      <c r="U189" s="371"/>
    </row>
    <row r="190" customFormat="false" ht="12.75" hidden="false" customHeight="false" outlineLevel="0" collapsed="false">
      <c r="D190" s="371" t="str">
        <f aca="false">IF((F190&lt;&gt;0),"Enter Letter"," ")</f>
        <v> </v>
      </c>
      <c r="G190" s="180" t="str">
        <f aca="false">IF((D190="d"),F190," ")</f>
        <v> </v>
      </c>
      <c r="H190" s="180" t="str">
        <f aca="false">IF((D190="h"),F190," ")</f>
        <v> </v>
      </c>
      <c r="I190" s="180" t="str">
        <f aca="false">IF((D190="r"),F190," ")</f>
        <v> </v>
      </c>
      <c r="J190" s="180" t="str">
        <f aca="false">IF((D190="t"),F190," ")</f>
        <v> </v>
      </c>
      <c r="K190" s="180" t="str">
        <f aca="false">IF((D190="e"),F190," ")</f>
        <v> </v>
      </c>
      <c r="L190" s="180" t="str">
        <f aca="false">IF((D190="p"),F190," ")</f>
        <v> </v>
      </c>
      <c r="M190" s="180" t="str">
        <f aca="false">IF((D190="g"),F190," ")</f>
        <v> </v>
      </c>
      <c r="N190" s="180" t="str">
        <f aca="false">IF((D190="a"),F190," ")</f>
        <v> </v>
      </c>
      <c r="O190" s="180" t="str">
        <f aca="false">IF((D190="l"),F190," ")</f>
        <v> </v>
      </c>
      <c r="P190" s="180" t="str">
        <f aca="false">IF((D190="i"),F190," ")</f>
        <v> </v>
      </c>
      <c r="Q190" s="180" t="str">
        <f aca="false">IF((D190="b"),F190," ")</f>
        <v> </v>
      </c>
      <c r="R190" s="180" t="str">
        <f aca="false">IF((D190="o"),F190," ")</f>
        <v> </v>
      </c>
      <c r="S190" s="180" t="str">
        <f aca="false">IF((D190="f"),F190," ")</f>
        <v> </v>
      </c>
      <c r="U190" s="371"/>
    </row>
    <row r="191" customFormat="false" ht="12.75" hidden="false" customHeight="false" outlineLevel="0" collapsed="false">
      <c r="D191" s="371" t="str">
        <f aca="false">IF((F191&lt;&gt;0),"Enter Letter"," ")</f>
        <v> </v>
      </c>
      <c r="G191" s="180" t="str">
        <f aca="false">IF((D191="d"),F191," ")</f>
        <v> </v>
      </c>
      <c r="H191" s="180" t="str">
        <f aca="false">IF((D191="h"),F191," ")</f>
        <v> </v>
      </c>
      <c r="I191" s="180" t="str">
        <f aca="false">IF((D191="r"),F191," ")</f>
        <v> </v>
      </c>
      <c r="J191" s="180" t="str">
        <f aca="false">IF((D191="t"),F191," ")</f>
        <v> </v>
      </c>
      <c r="K191" s="180" t="str">
        <f aca="false">IF((D191="e"),F191," ")</f>
        <v> </v>
      </c>
      <c r="L191" s="180" t="str">
        <f aca="false">IF((D191="p"),F191," ")</f>
        <v> </v>
      </c>
      <c r="M191" s="180" t="str">
        <f aca="false">IF((D191="g"),F191," ")</f>
        <v> </v>
      </c>
      <c r="N191" s="180" t="str">
        <f aca="false">IF((D191="a"),F191," ")</f>
        <v> </v>
      </c>
      <c r="O191" s="180" t="str">
        <f aca="false">IF((D191="l"),F191," ")</f>
        <v> </v>
      </c>
      <c r="P191" s="180" t="str">
        <f aca="false">IF((D191="i"),F191," ")</f>
        <v> </v>
      </c>
      <c r="Q191" s="180" t="str">
        <f aca="false">IF((D191="b"),F191," ")</f>
        <v> </v>
      </c>
      <c r="R191" s="180" t="str">
        <f aca="false">IF((D191="o"),F191," ")</f>
        <v> </v>
      </c>
      <c r="S191" s="180" t="str">
        <f aca="false">IF((D191="f"),F191," ")</f>
        <v> </v>
      </c>
      <c r="U191" s="371"/>
    </row>
    <row r="192" customFormat="false" ht="12.75" hidden="false" customHeight="false" outlineLevel="0" collapsed="false">
      <c r="D192" s="371" t="str">
        <f aca="false">IF((F192&lt;&gt;0),"Enter Letter"," ")</f>
        <v> </v>
      </c>
      <c r="G192" s="180" t="str">
        <f aca="false">IF((D192="d"),F192," ")</f>
        <v> </v>
      </c>
      <c r="H192" s="180" t="str">
        <f aca="false">IF((D192="h"),F192," ")</f>
        <v> </v>
      </c>
      <c r="I192" s="180" t="str">
        <f aca="false">IF((D192="r"),F192," ")</f>
        <v> </v>
      </c>
      <c r="J192" s="180" t="str">
        <f aca="false">IF((D192="t"),F192," ")</f>
        <v> </v>
      </c>
      <c r="K192" s="180" t="str">
        <f aca="false">IF((D192="e"),F192," ")</f>
        <v> </v>
      </c>
      <c r="L192" s="180" t="str">
        <f aca="false">IF((D192="p"),F192," ")</f>
        <v> </v>
      </c>
      <c r="M192" s="180" t="str">
        <f aca="false">IF((D192="g"),F192," ")</f>
        <v> </v>
      </c>
      <c r="N192" s="180" t="str">
        <f aca="false">IF((D192="a"),F192," ")</f>
        <v> </v>
      </c>
      <c r="O192" s="180" t="str">
        <f aca="false">IF((D192="l"),F192," ")</f>
        <v> </v>
      </c>
      <c r="P192" s="180" t="str">
        <f aca="false">IF((D192="i"),F192," ")</f>
        <v> </v>
      </c>
      <c r="Q192" s="180" t="str">
        <f aca="false">IF((D192="b"),F192," ")</f>
        <v> </v>
      </c>
      <c r="R192" s="180" t="str">
        <f aca="false">IF((D192="o"),F192," ")</f>
        <v> </v>
      </c>
      <c r="S192" s="180" t="str">
        <f aca="false">IF((D192="f"),F192," ")</f>
        <v> </v>
      </c>
      <c r="U192" s="371"/>
    </row>
    <row r="193" customFormat="false" ht="12.75" hidden="false" customHeight="false" outlineLevel="0" collapsed="false">
      <c r="D193" s="371" t="str">
        <f aca="false">IF((F193&lt;&gt;0),"Enter Letter"," ")</f>
        <v> </v>
      </c>
      <c r="G193" s="180" t="str">
        <f aca="false">IF((D193="d"),F193," ")</f>
        <v> </v>
      </c>
      <c r="H193" s="180" t="str">
        <f aca="false">IF((D193="h"),F193," ")</f>
        <v> </v>
      </c>
      <c r="I193" s="180" t="str">
        <f aca="false">IF((D193="r"),F193," ")</f>
        <v> </v>
      </c>
      <c r="J193" s="180" t="str">
        <f aca="false">IF((D193="t"),F193," ")</f>
        <v> </v>
      </c>
      <c r="K193" s="180" t="str">
        <f aca="false">IF((D193="e"),F193," ")</f>
        <v> </v>
      </c>
      <c r="L193" s="180" t="str">
        <f aca="false">IF((D193="p"),F193," ")</f>
        <v> </v>
      </c>
      <c r="M193" s="180" t="str">
        <f aca="false">IF((D193="g"),F193," ")</f>
        <v> </v>
      </c>
      <c r="N193" s="180" t="str">
        <f aca="false">IF((D193="a"),F193," ")</f>
        <v> </v>
      </c>
      <c r="O193" s="180" t="str">
        <f aca="false">IF((D193="l"),F193," ")</f>
        <v> </v>
      </c>
      <c r="P193" s="180" t="str">
        <f aca="false">IF((D193="i"),F193," ")</f>
        <v> </v>
      </c>
      <c r="Q193" s="180" t="str">
        <f aca="false">IF((D193="b"),F193," ")</f>
        <v> </v>
      </c>
      <c r="R193" s="180" t="str">
        <f aca="false">IF((D193="o"),F193," ")</f>
        <v> </v>
      </c>
      <c r="S193" s="180" t="str">
        <f aca="false">IF((D193="f"),F193," ")</f>
        <v> </v>
      </c>
      <c r="U193" s="371"/>
    </row>
    <row r="194" customFormat="false" ht="12.75" hidden="false" customHeight="false" outlineLevel="0" collapsed="false">
      <c r="D194" s="371" t="str">
        <f aca="false">IF((F194&lt;&gt;0),"Enter Letter"," ")</f>
        <v> </v>
      </c>
      <c r="G194" s="180" t="str">
        <f aca="false">IF((D194="d"),F194," ")</f>
        <v> </v>
      </c>
      <c r="H194" s="180" t="str">
        <f aca="false">IF((D194="h"),F194," ")</f>
        <v> </v>
      </c>
      <c r="I194" s="180" t="str">
        <f aca="false">IF((D194="r"),F194," ")</f>
        <v> </v>
      </c>
      <c r="J194" s="180" t="str">
        <f aca="false">IF((D194="t"),F194," ")</f>
        <v> </v>
      </c>
      <c r="K194" s="180" t="str">
        <f aca="false">IF((D194="e"),F194," ")</f>
        <v> </v>
      </c>
      <c r="L194" s="180" t="str">
        <f aca="false">IF((D194="p"),F194," ")</f>
        <v> </v>
      </c>
      <c r="M194" s="180" t="str">
        <f aca="false">IF((D194="g"),F194," ")</f>
        <v> </v>
      </c>
      <c r="N194" s="180" t="str">
        <f aca="false">IF((D194="a"),F194," ")</f>
        <v> </v>
      </c>
      <c r="O194" s="180" t="str">
        <f aca="false">IF((D194="l"),F194," ")</f>
        <v> </v>
      </c>
      <c r="P194" s="180" t="str">
        <f aca="false">IF((D194="i"),F194," ")</f>
        <v> </v>
      </c>
      <c r="Q194" s="180" t="str">
        <f aca="false">IF((D194="b"),F194," ")</f>
        <v> </v>
      </c>
      <c r="R194" s="180" t="str">
        <f aca="false">IF((D194="o"),F194," ")</f>
        <v> </v>
      </c>
      <c r="S194" s="180" t="str">
        <f aca="false">IF((D194="f"),F194," ")</f>
        <v> </v>
      </c>
      <c r="U194" s="371"/>
    </row>
    <row r="195" customFormat="false" ht="12.75" hidden="false" customHeight="false" outlineLevel="0" collapsed="false">
      <c r="D195" s="371" t="str">
        <f aca="false">IF((F195&lt;&gt;0),"Enter Letter"," ")</f>
        <v> </v>
      </c>
      <c r="G195" s="180" t="str">
        <f aca="false">IF((D195="d"),F195," ")</f>
        <v> </v>
      </c>
      <c r="H195" s="180" t="str">
        <f aca="false">IF((D195="h"),F195," ")</f>
        <v> </v>
      </c>
      <c r="I195" s="180" t="str">
        <f aca="false">IF((D195="r"),F195," ")</f>
        <v> </v>
      </c>
      <c r="J195" s="180" t="str">
        <f aca="false">IF((D195="t"),F195," ")</f>
        <v> </v>
      </c>
      <c r="K195" s="180" t="str">
        <f aca="false">IF((D195="e"),F195," ")</f>
        <v> </v>
      </c>
      <c r="L195" s="180" t="str">
        <f aca="false">IF((D195="p"),F195," ")</f>
        <v> </v>
      </c>
      <c r="M195" s="180" t="str">
        <f aca="false">IF((D195="g"),F195," ")</f>
        <v> </v>
      </c>
      <c r="N195" s="180" t="str">
        <f aca="false">IF((D195="a"),F195," ")</f>
        <v> </v>
      </c>
      <c r="O195" s="180" t="str">
        <f aca="false">IF((D195="l"),F195," ")</f>
        <v> </v>
      </c>
      <c r="P195" s="180" t="str">
        <f aca="false">IF((D195="i"),F195," ")</f>
        <v> </v>
      </c>
      <c r="Q195" s="180" t="str">
        <f aca="false">IF((D195="b"),F195," ")</f>
        <v> </v>
      </c>
      <c r="R195" s="180" t="str">
        <f aca="false">IF((D195="o"),F195," ")</f>
        <v> </v>
      </c>
      <c r="S195" s="180" t="str">
        <f aca="false">IF((D195="f"),F195," ")</f>
        <v> </v>
      </c>
      <c r="U195" s="371"/>
    </row>
    <row r="196" customFormat="false" ht="12.75" hidden="false" customHeight="false" outlineLevel="0" collapsed="false">
      <c r="D196" s="371" t="str">
        <f aca="false">IF((F196&lt;&gt;0),"Enter Letter"," ")</f>
        <v> </v>
      </c>
      <c r="G196" s="180" t="str">
        <f aca="false">IF((D196="d"),F196," ")</f>
        <v> </v>
      </c>
      <c r="H196" s="180" t="str">
        <f aca="false">IF((D196="h"),F196," ")</f>
        <v> </v>
      </c>
      <c r="I196" s="180" t="str">
        <f aca="false">IF((D196="r"),F196," ")</f>
        <v> </v>
      </c>
      <c r="J196" s="180" t="str">
        <f aca="false">IF((D196="t"),F196," ")</f>
        <v> </v>
      </c>
      <c r="K196" s="180" t="str">
        <f aca="false">IF((D196="e"),F196," ")</f>
        <v> </v>
      </c>
      <c r="L196" s="180" t="str">
        <f aca="false">IF((D196="p"),F196," ")</f>
        <v> </v>
      </c>
      <c r="M196" s="180" t="str">
        <f aca="false">IF((D196="g"),F196," ")</f>
        <v> </v>
      </c>
      <c r="N196" s="180" t="str">
        <f aca="false">IF((D196="a"),F196," ")</f>
        <v> </v>
      </c>
      <c r="O196" s="180" t="str">
        <f aca="false">IF((D196="l"),F196," ")</f>
        <v> </v>
      </c>
      <c r="P196" s="180" t="str">
        <f aca="false">IF((D196="i"),F196," ")</f>
        <v> </v>
      </c>
      <c r="Q196" s="180" t="str">
        <f aca="false">IF((D196="b"),F196," ")</f>
        <v> </v>
      </c>
      <c r="R196" s="180" t="str">
        <f aca="false">IF((D196="o"),F196," ")</f>
        <v> </v>
      </c>
      <c r="S196" s="180" t="str">
        <f aca="false">IF((D196="f"),F196," ")</f>
        <v> </v>
      </c>
      <c r="U196" s="371"/>
    </row>
    <row r="197" customFormat="false" ht="12.75" hidden="false" customHeight="false" outlineLevel="0" collapsed="false">
      <c r="D197" s="371" t="str">
        <f aca="false">IF((F197&lt;&gt;0),"Enter Letter"," ")</f>
        <v> </v>
      </c>
      <c r="G197" s="180" t="str">
        <f aca="false">IF((D197="d"),F197," ")</f>
        <v> </v>
      </c>
      <c r="H197" s="180" t="str">
        <f aca="false">IF((D197="h"),F197," ")</f>
        <v> </v>
      </c>
      <c r="I197" s="180" t="str">
        <f aca="false">IF((D197="r"),F197," ")</f>
        <v> </v>
      </c>
      <c r="J197" s="180" t="str">
        <f aca="false">IF((D197="t"),F197," ")</f>
        <v> </v>
      </c>
      <c r="K197" s="180" t="str">
        <f aca="false">IF((D197="e"),F197," ")</f>
        <v> </v>
      </c>
      <c r="L197" s="180" t="str">
        <f aca="false">IF((D197="p"),F197," ")</f>
        <v> </v>
      </c>
      <c r="M197" s="180" t="str">
        <f aca="false">IF((D197="g"),F197," ")</f>
        <v> </v>
      </c>
      <c r="N197" s="180" t="str">
        <f aca="false">IF((D197="a"),F197," ")</f>
        <v> </v>
      </c>
      <c r="O197" s="180" t="str">
        <f aca="false">IF((D197="l"),F197," ")</f>
        <v> </v>
      </c>
      <c r="P197" s="180" t="str">
        <f aca="false">IF((D197="i"),F197," ")</f>
        <v> </v>
      </c>
      <c r="Q197" s="180" t="str">
        <f aca="false">IF((D197="b"),F197," ")</f>
        <v> </v>
      </c>
      <c r="R197" s="180" t="str">
        <f aca="false">IF((D197="o"),F197," ")</f>
        <v> </v>
      </c>
      <c r="S197" s="180" t="str">
        <f aca="false">IF((D197="f"),F197," ")</f>
        <v> </v>
      </c>
      <c r="U197" s="371"/>
    </row>
    <row r="198" customFormat="false" ht="12.75" hidden="false" customHeight="false" outlineLevel="0" collapsed="false">
      <c r="D198" s="371" t="str">
        <f aca="false">IF((F198&lt;&gt;0),"Enter Letter"," ")</f>
        <v> </v>
      </c>
      <c r="G198" s="180" t="str">
        <f aca="false">IF((D198="d"),F198," ")</f>
        <v> </v>
      </c>
      <c r="H198" s="180" t="str">
        <f aca="false">IF((D198="h"),F198," ")</f>
        <v> </v>
      </c>
      <c r="I198" s="180" t="str">
        <f aca="false">IF((D198="r"),F198," ")</f>
        <v> </v>
      </c>
      <c r="J198" s="180" t="str">
        <f aca="false">IF((D198="t"),F198," ")</f>
        <v> </v>
      </c>
      <c r="K198" s="180" t="str">
        <f aca="false">IF((D198="e"),F198," ")</f>
        <v> </v>
      </c>
      <c r="L198" s="180" t="str">
        <f aca="false">IF((D198="p"),F198," ")</f>
        <v> </v>
      </c>
      <c r="M198" s="180" t="str">
        <f aca="false">IF((D198="g"),F198," ")</f>
        <v> </v>
      </c>
      <c r="N198" s="180" t="str">
        <f aca="false">IF((D198="a"),F198," ")</f>
        <v> </v>
      </c>
      <c r="O198" s="180" t="str">
        <f aca="false">IF((D198="l"),F198," ")</f>
        <v> </v>
      </c>
      <c r="P198" s="180" t="str">
        <f aca="false">IF((D198="i"),F198," ")</f>
        <v> </v>
      </c>
      <c r="Q198" s="180" t="str">
        <f aca="false">IF((D198="b"),F198," ")</f>
        <v> </v>
      </c>
      <c r="R198" s="180" t="str">
        <f aca="false">IF((D198="o"),F198," ")</f>
        <v> </v>
      </c>
      <c r="S198" s="180" t="str">
        <f aca="false">IF((D198="f"),F198," ")</f>
        <v> </v>
      </c>
      <c r="U198" s="371"/>
    </row>
    <row r="199" customFormat="false" ht="12.75" hidden="false" customHeight="false" outlineLevel="0" collapsed="false">
      <c r="D199" s="371" t="str">
        <f aca="false">IF((F199&lt;&gt;0),"Enter Letter"," ")</f>
        <v> </v>
      </c>
      <c r="G199" s="180" t="str">
        <f aca="false">IF((D199="d"),F199," ")</f>
        <v> </v>
      </c>
      <c r="H199" s="180" t="str">
        <f aca="false">IF((D199="h"),F199," ")</f>
        <v> </v>
      </c>
      <c r="I199" s="180" t="str">
        <f aca="false">IF((D199="r"),F199," ")</f>
        <v> </v>
      </c>
      <c r="J199" s="180" t="str">
        <f aca="false">IF((D199="t"),F199," ")</f>
        <v> </v>
      </c>
      <c r="K199" s="180" t="str">
        <f aca="false">IF((D199="e"),F199," ")</f>
        <v> </v>
      </c>
      <c r="L199" s="180" t="str">
        <f aca="false">IF((D199="p"),F199," ")</f>
        <v> </v>
      </c>
      <c r="M199" s="180" t="str">
        <f aca="false">IF((D199="g"),F199," ")</f>
        <v> </v>
      </c>
      <c r="N199" s="180" t="str">
        <f aca="false">IF((D199="a"),F199," ")</f>
        <v> </v>
      </c>
      <c r="O199" s="180" t="str">
        <f aca="false">IF((D199="l"),F199," ")</f>
        <v> </v>
      </c>
      <c r="P199" s="180" t="str">
        <f aca="false">IF((D199="i"),F199," ")</f>
        <v> </v>
      </c>
      <c r="Q199" s="180" t="str">
        <f aca="false">IF((D199="b"),F199," ")</f>
        <v> </v>
      </c>
      <c r="R199" s="180" t="str">
        <f aca="false">IF((D199="o"),F199," ")</f>
        <v> </v>
      </c>
      <c r="S199" s="180" t="str">
        <f aca="false">IF((D199="f"),F199," ")</f>
        <v> </v>
      </c>
      <c r="U199" s="371"/>
    </row>
    <row r="200" customFormat="false" ht="12.75" hidden="false" customHeight="false" outlineLevel="0" collapsed="false">
      <c r="D200" s="371" t="str">
        <f aca="false">IF((F200&lt;&gt;0),"Enter Letter"," ")</f>
        <v> </v>
      </c>
      <c r="G200" s="180" t="str">
        <f aca="false">IF((D200="d"),F200," ")</f>
        <v> </v>
      </c>
      <c r="H200" s="180" t="str">
        <f aca="false">IF((D200="h"),F200," ")</f>
        <v> </v>
      </c>
      <c r="I200" s="180" t="str">
        <f aca="false">IF((D200="r"),F200," ")</f>
        <v> </v>
      </c>
      <c r="J200" s="180" t="str">
        <f aca="false">IF((D200="t"),F200," ")</f>
        <v> </v>
      </c>
      <c r="K200" s="180" t="str">
        <f aca="false">IF((D200="e"),F200," ")</f>
        <v> </v>
      </c>
      <c r="L200" s="180" t="str">
        <f aca="false">IF((D200="p"),F200," ")</f>
        <v> </v>
      </c>
      <c r="M200" s="180" t="str">
        <f aca="false">IF((D200="g"),F200," ")</f>
        <v> </v>
      </c>
      <c r="N200" s="180" t="str">
        <f aca="false">IF((D200="a"),F200," ")</f>
        <v> </v>
      </c>
      <c r="O200" s="180" t="str">
        <f aca="false">IF((D200="l"),F200," ")</f>
        <v> </v>
      </c>
      <c r="P200" s="180" t="str">
        <f aca="false">IF((D200="i"),F200," ")</f>
        <v> </v>
      </c>
      <c r="Q200" s="180" t="str">
        <f aca="false">IF((D200="b"),F200," ")</f>
        <v> </v>
      </c>
      <c r="R200" s="180" t="str">
        <f aca="false">IF((D200="o"),F200," ")</f>
        <v> </v>
      </c>
      <c r="S200" s="180" t="str">
        <f aca="false">IF((D200="f"),F200," ")</f>
        <v> </v>
      </c>
      <c r="U200" s="371"/>
    </row>
    <row r="201" customFormat="false" ht="12.75" hidden="false" customHeight="false" outlineLevel="0" collapsed="false">
      <c r="D201" s="371" t="str">
        <f aca="false">IF((F201&lt;&gt;0),"Enter Letter"," ")</f>
        <v> </v>
      </c>
      <c r="G201" s="180" t="str">
        <f aca="false">IF((D201="d"),F201," ")</f>
        <v> </v>
      </c>
      <c r="H201" s="180" t="str">
        <f aca="false">IF((D201="h"),F201," ")</f>
        <v> </v>
      </c>
      <c r="I201" s="180" t="str">
        <f aca="false">IF((D201="r"),F201," ")</f>
        <v> </v>
      </c>
      <c r="J201" s="180" t="str">
        <f aca="false">IF((D201="t"),F201," ")</f>
        <v> </v>
      </c>
      <c r="K201" s="180" t="str">
        <f aca="false">IF((D201="e"),F201," ")</f>
        <v> </v>
      </c>
      <c r="L201" s="180" t="str">
        <f aca="false">IF((D201="p"),F201," ")</f>
        <v> </v>
      </c>
      <c r="M201" s="180" t="str">
        <f aca="false">IF((D201="g"),F201," ")</f>
        <v> </v>
      </c>
      <c r="N201" s="180" t="str">
        <f aca="false">IF((D201="a"),F201," ")</f>
        <v> </v>
      </c>
      <c r="O201" s="180" t="str">
        <f aca="false">IF((D201="l"),F201," ")</f>
        <v> </v>
      </c>
      <c r="P201" s="180" t="str">
        <f aca="false">IF((D201="i"),F201," ")</f>
        <v> </v>
      </c>
      <c r="Q201" s="180" t="str">
        <f aca="false">IF((D201="b"),F201," ")</f>
        <v> </v>
      </c>
      <c r="R201" s="180" t="str">
        <f aca="false">IF((D201="o"),F201," ")</f>
        <v> </v>
      </c>
      <c r="S201" s="180" t="str">
        <f aca="false">IF((D201="f"),F201," ")</f>
        <v> </v>
      </c>
      <c r="U201" s="371"/>
    </row>
    <row r="202" customFormat="false" ht="12.75" hidden="false" customHeight="false" outlineLevel="0" collapsed="false">
      <c r="D202" s="371" t="str">
        <f aca="false">IF((F202&lt;&gt;0),"Enter Letter"," ")</f>
        <v> </v>
      </c>
      <c r="G202" s="180" t="str">
        <f aca="false">IF((D202="d"),F202," ")</f>
        <v> </v>
      </c>
      <c r="H202" s="180" t="str">
        <f aca="false">IF((D202="h"),F202," ")</f>
        <v> </v>
      </c>
      <c r="I202" s="180" t="str">
        <f aca="false">IF((D202="r"),F202," ")</f>
        <v> </v>
      </c>
      <c r="J202" s="180" t="str">
        <f aca="false">IF((D202="t"),F202," ")</f>
        <v> </v>
      </c>
      <c r="K202" s="180" t="str">
        <f aca="false">IF((D202="e"),F202," ")</f>
        <v> </v>
      </c>
      <c r="L202" s="180" t="str">
        <f aca="false">IF((D202="p"),F202," ")</f>
        <v> </v>
      </c>
      <c r="M202" s="180" t="str">
        <f aca="false">IF((D202="g"),F202," ")</f>
        <v> </v>
      </c>
      <c r="N202" s="180" t="str">
        <f aca="false">IF((D202="a"),F202," ")</f>
        <v> </v>
      </c>
      <c r="O202" s="180" t="str">
        <f aca="false">IF((D202="l"),F202," ")</f>
        <v> </v>
      </c>
      <c r="P202" s="180" t="str">
        <f aca="false">IF((D202="i"),F202," ")</f>
        <v> </v>
      </c>
      <c r="Q202" s="180" t="str">
        <f aca="false">IF((D202="b"),F202," ")</f>
        <v> </v>
      </c>
      <c r="R202" s="180" t="str">
        <f aca="false">IF((D202="o"),F202," ")</f>
        <v> </v>
      </c>
      <c r="S202" s="180" t="str">
        <f aca="false">IF((D202="f"),F202," ")</f>
        <v> </v>
      </c>
      <c r="U202" s="371"/>
    </row>
    <row r="203" customFormat="false" ht="12.75" hidden="false" customHeight="false" outlineLevel="0" collapsed="false">
      <c r="D203" s="371" t="str">
        <f aca="false">IF((F203&lt;&gt;0),"Enter Letter"," ")</f>
        <v> </v>
      </c>
      <c r="G203" s="180" t="str">
        <f aca="false">IF((D203="d"),F203," ")</f>
        <v> </v>
      </c>
      <c r="H203" s="180" t="str">
        <f aca="false">IF((D203="h"),F203," ")</f>
        <v> </v>
      </c>
      <c r="I203" s="180" t="str">
        <f aca="false">IF((D203="r"),F203," ")</f>
        <v> </v>
      </c>
      <c r="J203" s="180" t="str">
        <f aca="false">IF((D203="t"),F203," ")</f>
        <v> </v>
      </c>
      <c r="K203" s="180" t="str">
        <f aca="false">IF((D203="e"),F203," ")</f>
        <v> </v>
      </c>
      <c r="L203" s="180" t="str">
        <f aca="false">IF((D203="p"),F203," ")</f>
        <v> </v>
      </c>
      <c r="M203" s="180" t="str">
        <f aca="false">IF((D203="g"),F203," ")</f>
        <v> </v>
      </c>
      <c r="N203" s="180" t="str">
        <f aca="false">IF((D203="a"),F203," ")</f>
        <v> </v>
      </c>
      <c r="O203" s="180" t="str">
        <f aca="false">IF((D203="l"),F203," ")</f>
        <v> </v>
      </c>
      <c r="P203" s="180" t="str">
        <f aca="false">IF((D203="i"),F203," ")</f>
        <v> </v>
      </c>
      <c r="Q203" s="180" t="str">
        <f aca="false">IF((D203="b"),F203," ")</f>
        <v> </v>
      </c>
      <c r="R203" s="180" t="str">
        <f aca="false">IF((D203="o"),F203," ")</f>
        <v> </v>
      </c>
      <c r="S203" s="180" t="str">
        <f aca="false">IF((D203="f"),F203," ")</f>
        <v> </v>
      </c>
      <c r="U203" s="371"/>
    </row>
    <row r="204" customFormat="false" ht="12.75" hidden="false" customHeight="false" outlineLevel="0" collapsed="false">
      <c r="D204" s="371" t="str">
        <f aca="false">IF((F204&lt;&gt;0),"Enter Letter"," ")</f>
        <v> </v>
      </c>
      <c r="G204" s="180" t="str">
        <f aca="false">IF((D204="d"),F204," ")</f>
        <v> </v>
      </c>
      <c r="H204" s="180" t="str">
        <f aca="false">IF((D204="h"),F204," ")</f>
        <v> </v>
      </c>
      <c r="I204" s="180" t="str">
        <f aca="false">IF((D204="r"),F204," ")</f>
        <v> </v>
      </c>
      <c r="J204" s="180" t="str">
        <f aca="false">IF((D204="t"),F204," ")</f>
        <v> </v>
      </c>
      <c r="K204" s="180" t="str">
        <f aca="false">IF((D204="e"),F204," ")</f>
        <v> </v>
      </c>
      <c r="L204" s="180" t="str">
        <f aca="false">IF((D204="p"),F204," ")</f>
        <v> </v>
      </c>
      <c r="M204" s="180" t="str">
        <f aca="false">IF((D204="g"),F204," ")</f>
        <v> </v>
      </c>
      <c r="N204" s="180" t="str">
        <f aca="false">IF((D204="a"),F204," ")</f>
        <v> </v>
      </c>
      <c r="O204" s="180" t="str">
        <f aca="false">IF((D204="l"),F204," ")</f>
        <v> </v>
      </c>
      <c r="P204" s="180" t="str">
        <f aca="false">IF((D204="i"),F204," ")</f>
        <v> </v>
      </c>
      <c r="Q204" s="180" t="str">
        <f aca="false">IF((D204="b"),F204," ")</f>
        <v> </v>
      </c>
      <c r="R204" s="180" t="str">
        <f aca="false">IF((D204="o"),F204," ")</f>
        <v> </v>
      </c>
      <c r="S204" s="180" t="str">
        <f aca="false">IF((D204="f"),F204," ")</f>
        <v> </v>
      </c>
      <c r="U204" s="371"/>
    </row>
    <row r="205" customFormat="false" ht="12.75" hidden="false" customHeight="false" outlineLevel="0" collapsed="false">
      <c r="U205" s="371"/>
    </row>
    <row r="206" customFormat="false" ht="12.75" hidden="false" customHeight="false" outlineLevel="0" collapsed="false">
      <c r="U206" s="371"/>
    </row>
    <row r="207" customFormat="false" ht="12.75" hidden="false" customHeight="false" outlineLevel="0" collapsed="false">
      <c r="U207" s="371"/>
    </row>
    <row r="208" customFormat="false" ht="12.75" hidden="false" customHeight="false" outlineLevel="0" collapsed="false">
      <c r="U208" s="371"/>
    </row>
    <row r="209" customFormat="false" ht="12.75" hidden="false" customHeight="false" outlineLevel="0" collapsed="false">
      <c r="U209" s="371"/>
    </row>
    <row r="210" customFormat="false" ht="12.75" hidden="false" customHeight="false" outlineLevel="0" collapsed="false">
      <c r="U210" s="371"/>
    </row>
    <row r="211" customFormat="false" ht="12.75" hidden="false" customHeight="false" outlineLevel="0" collapsed="false">
      <c r="U211" s="371"/>
    </row>
    <row r="212" customFormat="false" ht="12.75" hidden="false" customHeight="false" outlineLevel="0" collapsed="false">
      <c r="U212" s="371"/>
    </row>
    <row r="213" customFormat="false" ht="12.75" hidden="false" customHeight="false" outlineLevel="0" collapsed="false">
      <c r="U213" s="371"/>
    </row>
    <row r="214" customFormat="false" ht="12.75" hidden="false" customHeight="false" outlineLevel="0" collapsed="false">
      <c r="U214" s="371"/>
    </row>
    <row r="215" customFormat="false" ht="12.75" hidden="false" customHeight="false" outlineLevel="0" collapsed="false">
      <c r="U215" s="371"/>
    </row>
    <row r="216" customFormat="false" ht="12.75" hidden="false" customHeight="false" outlineLevel="0" collapsed="false">
      <c r="U216" s="371"/>
    </row>
    <row r="217" customFormat="false" ht="12.75" hidden="false" customHeight="false" outlineLevel="0" collapsed="false">
      <c r="U217" s="371"/>
    </row>
    <row r="218" customFormat="false" ht="12.75" hidden="false" customHeight="false" outlineLevel="0" collapsed="false">
      <c r="U218" s="371"/>
    </row>
    <row r="219" customFormat="false" ht="12.75" hidden="false" customHeight="false" outlineLevel="0" collapsed="false">
      <c r="U219" s="371"/>
    </row>
    <row r="220" customFormat="false" ht="12.75" hidden="false" customHeight="false" outlineLevel="0" collapsed="false">
      <c r="U220" s="371"/>
    </row>
    <row r="221" customFormat="false" ht="12.75" hidden="false" customHeight="false" outlineLevel="0" collapsed="false">
      <c r="U221" s="371"/>
    </row>
    <row r="222" customFormat="false" ht="12.75" hidden="false" customHeight="false" outlineLevel="0" collapsed="false">
      <c r="U222" s="371"/>
    </row>
    <row r="223" customFormat="false" ht="12.75" hidden="false" customHeight="false" outlineLevel="0" collapsed="false">
      <c r="U223" s="371"/>
    </row>
    <row r="224" customFormat="false" ht="12.75" hidden="false" customHeight="false" outlineLevel="0" collapsed="false">
      <c r="U224" s="371"/>
    </row>
    <row r="225" customFormat="false" ht="12.75" hidden="false" customHeight="false" outlineLevel="0" collapsed="false">
      <c r="U225" s="371"/>
    </row>
    <row r="226" customFormat="false" ht="12.75" hidden="false" customHeight="false" outlineLevel="0" collapsed="false">
      <c r="U226" s="371"/>
    </row>
    <row r="227" customFormat="false" ht="12.75" hidden="false" customHeight="false" outlineLevel="0" collapsed="false">
      <c r="U227" s="371"/>
    </row>
    <row r="228" customFormat="false" ht="12.75" hidden="false" customHeight="false" outlineLevel="0" collapsed="false">
      <c r="U228" s="371"/>
    </row>
    <row r="229" customFormat="false" ht="12.75" hidden="false" customHeight="false" outlineLevel="0" collapsed="false">
      <c r="U229" s="371"/>
    </row>
    <row r="230" customFormat="false" ht="12.75" hidden="false" customHeight="false" outlineLevel="0" collapsed="false">
      <c r="U230" s="371"/>
    </row>
    <row r="231" customFormat="false" ht="12.75" hidden="false" customHeight="false" outlineLevel="0" collapsed="false">
      <c r="U231" s="371"/>
    </row>
    <row r="232" customFormat="false" ht="12.75" hidden="false" customHeight="false" outlineLevel="0" collapsed="false">
      <c r="U232" s="371"/>
    </row>
    <row r="233" customFormat="false" ht="12.75" hidden="false" customHeight="false" outlineLevel="0" collapsed="false">
      <c r="U233" s="371"/>
    </row>
    <row r="234" customFormat="false" ht="12.75" hidden="false" customHeight="false" outlineLevel="0" collapsed="false">
      <c r="U234" s="371"/>
    </row>
    <row r="235" customFormat="false" ht="12.75" hidden="false" customHeight="false" outlineLevel="0" collapsed="false">
      <c r="U235" s="371"/>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customHeight="false" zeroHeight="false" outlineLevelRow="0" outlineLevelCol="0"/>
  <cols>
    <col collapsed="false" customWidth="true" hidden="false" outlineLevel="0" max="1" min="1" style="344" width="9.66"/>
    <col collapsed="false" customWidth="true" hidden="false" outlineLevel="0" max="2" min="2" style="345" width="14.66"/>
    <col collapsed="false" customWidth="true" hidden="false" outlineLevel="0" max="3" min="3" style="180" width="13.66"/>
    <col collapsed="false" customWidth="true" hidden="false" outlineLevel="0" max="4" min="4" style="346" width="12.66"/>
    <col collapsed="false" customWidth="true" hidden="false" outlineLevel="0" max="5" min="5" style="347" width="12.66"/>
    <col collapsed="false" customWidth="true" hidden="false" outlineLevel="0" max="6" min="6" style="180" width="12.66"/>
    <col collapsed="false" customWidth="false" hidden="false" outlineLevel="0" max="257" min="7" style="180" width="9.15"/>
  </cols>
  <sheetData>
    <row r="1" customFormat="false" ht="12.75" hidden="false" customHeight="true" outlineLevel="0" collapsed="false">
      <c r="A1" s="348" t="s">
        <v>240</v>
      </c>
      <c r="B1" s="349" t="s">
        <v>241</v>
      </c>
      <c r="C1" s="350" t="s">
        <v>242</v>
      </c>
      <c r="D1" s="351" t="n">
        <f aca="false">SUM(D4:D58)</f>
        <v>0</v>
      </c>
      <c r="E1" s="350" t="n">
        <f aca="false">SUM(E4:E58)/2</f>
        <v>3000</v>
      </c>
      <c r="F1" s="350" t="n">
        <f aca="false">SUM(F4:F58)/2</f>
        <v>0</v>
      </c>
      <c r="G1" s="352"/>
      <c r="H1" s="352"/>
      <c r="I1" s="352"/>
      <c r="J1" s="352"/>
      <c r="K1" s="352"/>
      <c r="L1" s="352"/>
      <c r="M1" s="352"/>
      <c r="N1" s="352"/>
      <c r="O1" s="352"/>
      <c r="P1" s="352"/>
      <c r="Q1" s="352"/>
      <c r="R1" s="352"/>
      <c r="S1" s="352"/>
      <c r="T1" s="352"/>
      <c r="U1" s="352"/>
      <c r="V1" s="352"/>
      <c r="W1" s="352"/>
      <c r="X1" s="352"/>
      <c r="Y1" s="352"/>
      <c r="Z1" s="352"/>
      <c r="AA1" s="352"/>
      <c r="AB1" s="352"/>
      <c r="AC1" s="352"/>
      <c r="AD1" s="352"/>
      <c r="AE1" s="352"/>
      <c r="AF1" s="352"/>
      <c r="AG1" s="352"/>
      <c r="AH1" s="352"/>
      <c r="AI1" s="352"/>
      <c r="AJ1" s="352"/>
      <c r="AK1" s="352"/>
      <c r="AL1" s="352"/>
      <c r="AM1" s="352"/>
      <c r="AN1" s="352"/>
      <c r="AO1" s="352"/>
      <c r="AP1" s="352"/>
      <c r="AQ1" s="352"/>
      <c r="AR1" s="352"/>
      <c r="AS1" s="352"/>
      <c r="AT1" s="352"/>
      <c r="AU1" s="352"/>
      <c r="AV1" s="352"/>
      <c r="AW1" s="352"/>
      <c r="AX1" s="352"/>
      <c r="AY1" s="352"/>
      <c r="AZ1" s="352"/>
      <c r="BA1" s="352"/>
      <c r="BB1" s="352"/>
      <c r="BC1" s="352"/>
      <c r="BD1" s="352"/>
      <c r="BE1" s="352"/>
      <c r="BF1" s="352"/>
      <c r="BG1" s="352"/>
      <c r="BH1" s="352"/>
      <c r="BI1" s="352"/>
      <c r="BJ1" s="352"/>
      <c r="BK1" s="352"/>
      <c r="BL1" s="352"/>
      <c r="BM1" s="352"/>
      <c r="BN1" s="352"/>
      <c r="BO1" s="352"/>
      <c r="BP1" s="352"/>
      <c r="BQ1" s="352"/>
      <c r="BR1" s="352"/>
      <c r="BS1" s="352"/>
      <c r="BT1" s="352"/>
      <c r="BU1" s="352"/>
      <c r="BV1" s="352"/>
      <c r="BW1" s="352"/>
      <c r="BX1" s="352"/>
      <c r="BY1" s="352"/>
      <c r="BZ1" s="352"/>
      <c r="CA1" s="352"/>
      <c r="CB1" s="352"/>
      <c r="CC1" s="352"/>
      <c r="CD1" s="352"/>
      <c r="CE1" s="352"/>
      <c r="CF1" s="352"/>
      <c r="CG1" s="352"/>
      <c r="CH1" s="352"/>
      <c r="CI1" s="352"/>
      <c r="CJ1" s="352"/>
      <c r="CK1" s="352"/>
      <c r="CL1" s="352"/>
      <c r="CM1" s="352"/>
      <c r="CN1" s="352"/>
      <c r="CO1" s="352"/>
      <c r="CP1" s="352"/>
      <c r="CQ1" s="352"/>
      <c r="CR1" s="352"/>
      <c r="CS1" s="352"/>
      <c r="CT1" s="352"/>
      <c r="CU1" s="352"/>
      <c r="CV1" s="352"/>
      <c r="CW1" s="352"/>
      <c r="CX1" s="352"/>
      <c r="CY1" s="352"/>
      <c r="CZ1" s="352"/>
      <c r="DA1" s="352"/>
      <c r="DB1" s="352"/>
      <c r="DC1" s="352"/>
      <c r="DD1" s="352"/>
      <c r="DE1" s="352"/>
      <c r="DF1" s="352"/>
      <c r="DG1" s="352"/>
      <c r="DH1" s="352"/>
      <c r="DI1" s="352"/>
      <c r="DJ1" s="352"/>
      <c r="DK1" s="352"/>
      <c r="DL1" s="352"/>
      <c r="DM1" s="352"/>
      <c r="DN1" s="352"/>
      <c r="DO1" s="352"/>
      <c r="DP1" s="352"/>
      <c r="DQ1" s="352"/>
      <c r="DR1" s="352"/>
      <c r="DS1" s="352"/>
      <c r="DT1" s="352"/>
      <c r="DU1" s="352"/>
      <c r="DV1" s="352"/>
      <c r="DW1" s="352"/>
      <c r="DX1" s="352"/>
      <c r="DY1" s="352"/>
      <c r="DZ1" s="352"/>
      <c r="EA1" s="352"/>
      <c r="EB1" s="352"/>
      <c r="EC1" s="352"/>
      <c r="ED1" s="352"/>
      <c r="EE1" s="352"/>
      <c r="EF1" s="352"/>
      <c r="EG1" s="352"/>
      <c r="EH1" s="352"/>
      <c r="EI1" s="352"/>
      <c r="EJ1" s="352"/>
      <c r="EK1" s="352"/>
      <c r="EL1" s="352"/>
      <c r="EM1" s="352"/>
      <c r="EN1" s="352"/>
      <c r="EO1" s="352"/>
      <c r="EP1" s="352"/>
      <c r="EQ1" s="352"/>
      <c r="ER1" s="352"/>
      <c r="ES1" s="352"/>
      <c r="ET1" s="352"/>
      <c r="EU1" s="352"/>
      <c r="EV1" s="352"/>
      <c r="EW1" s="352"/>
      <c r="EX1" s="352"/>
      <c r="EY1" s="352"/>
      <c r="EZ1" s="352"/>
      <c r="FA1" s="352"/>
      <c r="FB1" s="352"/>
      <c r="FC1" s="352"/>
      <c r="FD1" s="352"/>
      <c r="FE1" s="352"/>
      <c r="FF1" s="352"/>
      <c r="FG1" s="352"/>
      <c r="FH1" s="352"/>
      <c r="FI1" s="352"/>
      <c r="FJ1" s="352"/>
      <c r="FK1" s="352"/>
      <c r="FL1" s="352"/>
      <c r="FM1" s="352"/>
      <c r="FN1" s="352"/>
      <c r="FO1" s="352"/>
      <c r="FP1" s="352"/>
      <c r="FQ1" s="352"/>
      <c r="FR1" s="352"/>
      <c r="FS1" s="352"/>
      <c r="FT1" s="352"/>
      <c r="FU1" s="352"/>
      <c r="FV1" s="352"/>
      <c r="FW1" s="352"/>
      <c r="FX1" s="352"/>
      <c r="FY1" s="352"/>
      <c r="FZ1" s="352"/>
      <c r="GA1" s="352"/>
      <c r="GB1" s="352"/>
      <c r="GC1" s="352"/>
      <c r="GD1" s="352"/>
      <c r="GE1" s="352"/>
      <c r="GF1" s="352"/>
      <c r="GG1" s="352"/>
      <c r="GH1" s="352"/>
      <c r="GI1" s="352"/>
      <c r="GJ1" s="352"/>
      <c r="GK1" s="352"/>
      <c r="GL1" s="352"/>
      <c r="GM1" s="352"/>
      <c r="GN1" s="352"/>
      <c r="GO1" s="352"/>
      <c r="GP1" s="352"/>
      <c r="GQ1" s="352"/>
      <c r="GR1" s="352"/>
      <c r="GS1" s="352"/>
      <c r="GT1" s="352"/>
      <c r="GU1" s="352"/>
      <c r="GV1" s="352"/>
      <c r="GW1" s="352"/>
      <c r="GX1" s="352"/>
      <c r="GY1" s="352"/>
      <c r="GZ1" s="352"/>
      <c r="HA1" s="352"/>
      <c r="HB1" s="352"/>
      <c r="HC1" s="352"/>
      <c r="HD1" s="352"/>
      <c r="HE1" s="352"/>
      <c r="HF1" s="352"/>
      <c r="HG1" s="352"/>
      <c r="HH1" s="352"/>
      <c r="HI1" s="352"/>
      <c r="HJ1" s="352"/>
      <c r="HK1" s="352"/>
      <c r="HL1" s="352"/>
      <c r="HM1" s="352"/>
      <c r="HN1" s="352"/>
      <c r="HO1" s="352"/>
      <c r="HP1" s="352"/>
      <c r="HQ1" s="352"/>
      <c r="HR1" s="352"/>
      <c r="HS1" s="352"/>
      <c r="HT1" s="352"/>
      <c r="HU1" s="352"/>
      <c r="HV1" s="352"/>
      <c r="HW1" s="352"/>
      <c r="HX1" s="352"/>
      <c r="HY1" s="352"/>
      <c r="HZ1" s="352"/>
      <c r="IA1" s="352"/>
      <c r="IB1" s="352"/>
      <c r="IC1" s="352"/>
      <c r="ID1" s="352"/>
      <c r="IE1" s="352"/>
      <c r="IF1" s="352"/>
      <c r="IG1" s="352"/>
      <c r="IH1" s="352"/>
      <c r="II1" s="352"/>
      <c r="IJ1" s="352"/>
      <c r="IK1" s="352"/>
      <c r="IL1" s="352"/>
      <c r="IM1" s="352"/>
      <c r="IN1" s="352"/>
      <c r="IO1" s="352"/>
      <c r="IP1" s="352"/>
      <c r="IQ1" s="352"/>
      <c r="IR1" s="352"/>
      <c r="IS1" s="352"/>
      <c r="IT1" s="352"/>
      <c r="IU1" s="352"/>
      <c r="IV1" s="352"/>
      <c r="IW1" s="352"/>
    </row>
    <row r="2" customFormat="false" ht="12.75" hidden="false" customHeight="true" outlineLevel="0" collapsed="false">
      <c r="A2" s="348"/>
      <c r="B2" s="349"/>
      <c r="C2" s="353" t="s">
        <v>243</v>
      </c>
      <c r="D2" s="354" t="s">
        <v>244</v>
      </c>
      <c r="E2" s="353" t="s">
        <v>245</v>
      </c>
      <c r="F2" s="353" t="s">
        <v>246</v>
      </c>
      <c r="G2" s="352"/>
      <c r="H2" s="352"/>
      <c r="I2" s="352"/>
      <c r="J2" s="352"/>
      <c r="K2" s="352"/>
      <c r="L2" s="352"/>
      <c r="M2" s="352"/>
      <c r="N2" s="352"/>
      <c r="O2" s="352"/>
      <c r="P2" s="352"/>
      <c r="Q2" s="352"/>
      <c r="R2" s="352"/>
      <c r="S2" s="352"/>
      <c r="T2" s="352"/>
      <c r="U2" s="352"/>
      <c r="V2" s="352"/>
      <c r="W2" s="352"/>
      <c r="X2" s="352"/>
      <c r="Y2" s="352"/>
      <c r="Z2" s="352"/>
      <c r="AA2" s="352"/>
      <c r="AB2" s="352"/>
      <c r="AC2" s="352"/>
      <c r="AD2" s="352"/>
      <c r="AE2" s="352"/>
      <c r="AF2" s="352"/>
      <c r="AG2" s="352"/>
      <c r="AH2" s="352"/>
      <c r="AI2" s="352"/>
      <c r="AJ2" s="352"/>
      <c r="AK2" s="352"/>
      <c r="AL2" s="352"/>
      <c r="AM2" s="352"/>
      <c r="AN2" s="352"/>
      <c r="AO2" s="352"/>
      <c r="AP2" s="352"/>
      <c r="AQ2" s="352"/>
      <c r="AR2" s="352"/>
      <c r="AS2" s="352"/>
      <c r="AT2" s="352"/>
      <c r="AU2" s="352"/>
      <c r="AV2" s="352"/>
      <c r="AW2" s="352"/>
      <c r="AX2" s="352"/>
      <c r="AY2" s="352"/>
      <c r="AZ2" s="352"/>
      <c r="BA2" s="352"/>
      <c r="BB2" s="352"/>
      <c r="BC2" s="352"/>
      <c r="BD2" s="352"/>
      <c r="BE2" s="352"/>
      <c r="BF2" s="352"/>
      <c r="BG2" s="352"/>
      <c r="BH2" s="352"/>
      <c r="BI2" s="352"/>
      <c r="BJ2" s="352"/>
      <c r="BK2" s="352"/>
      <c r="BL2" s="352"/>
      <c r="BM2" s="352"/>
      <c r="BN2" s="352"/>
      <c r="BO2" s="352"/>
      <c r="BP2" s="352"/>
      <c r="BQ2" s="352"/>
      <c r="BR2" s="352"/>
      <c r="BS2" s="352"/>
      <c r="BT2" s="352"/>
      <c r="BU2" s="352"/>
      <c r="BV2" s="352"/>
      <c r="BW2" s="352"/>
      <c r="BX2" s="352"/>
      <c r="BY2" s="352"/>
      <c r="BZ2" s="352"/>
      <c r="CA2" s="352"/>
      <c r="CB2" s="352"/>
      <c r="CC2" s="352"/>
      <c r="CD2" s="352"/>
      <c r="CE2" s="352"/>
      <c r="CF2" s="352"/>
      <c r="CG2" s="352"/>
      <c r="CH2" s="352"/>
      <c r="CI2" s="352"/>
      <c r="CJ2" s="352"/>
      <c r="CK2" s="352"/>
      <c r="CL2" s="352"/>
      <c r="CM2" s="352"/>
      <c r="CN2" s="352"/>
      <c r="CO2" s="352"/>
      <c r="CP2" s="352"/>
      <c r="CQ2" s="352"/>
      <c r="CR2" s="352"/>
      <c r="CS2" s="352"/>
      <c r="CT2" s="352"/>
      <c r="CU2" s="352"/>
      <c r="CV2" s="352"/>
      <c r="CW2" s="352"/>
      <c r="CX2" s="352"/>
      <c r="CY2" s="352"/>
      <c r="CZ2" s="352"/>
      <c r="DA2" s="352"/>
      <c r="DB2" s="352"/>
      <c r="DC2" s="352"/>
      <c r="DD2" s="352"/>
      <c r="DE2" s="352"/>
      <c r="DF2" s="352"/>
      <c r="DG2" s="352"/>
      <c r="DH2" s="352"/>
      <c r="DI2" s="352"/>
      <c r="DJ2" s="352"/>
      <c r="DK2" s="352"/>
      <c r="DL2" s="352"/>
      <c r="DM2" s="352"/>
      <c r="DN2" s="352"/>
      <c r="DO2" s="352"/>
      <c r="DP2" s="352"/>
      <c r="DQ2" s="352"/>
      <c r="DR2" s="352"/>
      <c r="DS2" s="352"/>
      <c r="DT2" s="352"/>
      <c r="DU2" s="352"/>
      <c r="DV2" s="352"/>
      <c r="DW2" s="352"/>
      <c r="DX2" s="352"/>
      <c r="DY2" s="352"/>
      <c r="DZ2" s="352"/>
      <c r="EA2" s="352"/>
      <c r="EB2" s="352"/>
      <c r="EC2" s="352"/>
      <c r="ED2" s="352"/>
      <c r="EE2" s="352"/>
      <c r="EF2" s="352"/>
      <c r="EG2" s="352"/>
      <c r="EH2" s="352"/>
      <c r="EI2" s="352"/>
      <c r="EJ2" s="352"/>
      <c r="EK2" s="352"/>
      <c r="EL2" s="352"/>
      <c r="EM2" s="352"/>
      <c r="EN2" s="352"/>
      <c r="EO2" s="352"/>
      <c r="EP2" s="352"/>
      <c r="EQ2" s="352"/>
      <c r="ER2" s="352"/>
      <c r="ES2" s="352"/>
      <c r="ET2" s="352"/>
      <c r="EU2" s="352"/>
      <c r="EV2" s="352"/>
      <c r="EW2" s="352"/>
      <c r="EX2" s="352"/>
      <c r="EY2" s="352"/>
      <c r="EZ2" s="352"/>
      <c r="FA2" s="352"/>
      <c r="FB2" s="352"/>
      <c r="FC2" s="352"/>
      <c r="FD2" s="352"/>
      <c r="FE2" s="352"/>
      <c r="FF2" s="352"/>
      <c r="FG2" s="352"/>
      <c r="FH2" s="352"/>
      <c r="FI2" s="352"/>
      <c r="FJ2" s="352"/>
      <c r="FK2" s="352"/>
      <c r="FL2" s="352"/>
      <c r="FM2" s="352"/>
      <c r="FN2" s="352"/>
      <c r="FO2" s="352"/>
      <c r="FP2" s="352"/>
      <c r="FQ2" s="352"/>
      <c r="FR2" s="352"/>
      <c r="FS2" s="352"/>
      <c r="FT2" s="352"/>
      <c r="FU2" s="352"/>
      <c r="FV2" s="352"/>
      <c r="FW2" s="352"/>
      <c r="FX2" s="352"/>
      <c r="FY2" s="352"/>
      <c r="FZ2" s="352"/>
      <c r="GA2" s="352"/>
      <c r="GB2" s="352"/>
      <c r="GC2" s="352"/>
      <c r="GD2" s="352"/>
      <c r="GE2" s="352"/>
      <c r="GF2" s="352"/>
      <c r="GG2" s="352"/>
      <c r="GH2" s="352"/>
      <c r="GI2" s="352"/>
      <c r="GJ2" s="352"/>
      <c r="GK2" s="352"/>
      <c r="GL2" s="352"/>
      <c r="GM2" s="352"/>
      <c r="GN2" s="352"/>
      <c r="GO2" s="352"/>
      <c r="GP2" s="352"/>
      <c r="GQ2" s="352"/>
      <c r="GR2" s="352"/>
      <c r="GS2" s="352"/>
      <c r="GT2" s="352"/>
      <c r="GU2" s="352"/>
      <c r="GV2" s="352"/>
      <c r="GW2" s="352"/>
      <c r="GX2" s="352"/>
      <c r="GY2" s="352"/>
      <c r="GZ2" s="352"/>
      <c r="HA2" s="352"/>
      <c r="HB2" s="352"/>
      <c r="HC2" s="352"/>
      <c r="HD2" s="352"/>
      <c r="HE2" s="352"/>
      <c r="HF2" s="352"/>
      <c r="HG2" s="352"/>
      <c r="HH2" s="352"/>
      <c r="HI2" s="352"/>
      <c r="HJ2" s="352"/>
      <c r="HK2" s="352"/>
      <c r="HL2" s="352"/>
      <c r="HM2" s="352"/>
      <c r="HN2" s="352"/>
      <c r="HO2" s="352"/>
      <c r="HP2" s="352"/>
      <c r="HQ2" s="352"/>
      <c r="HR2" s="352"/>
      <c r="HS2" s="352"/>
      <c r="HT2" s="352"/>
      <c r="HU2" s="352"/>
      <c r="HV2" s="352"/>
      <c r="HW2" s="352"/>
      <c r="HX2" s="352"/>
      <c r="HY2" s="352"/>
      <c r="HZ2" s="352"/>
      <c r="IA2" s="352"/>
      <c r="IB2" s="352"/>
      <c r="IC2" s="352"/>
      <c r="ID2" s="352"/>
      <c r="IE2" s="352"/>
      <c r="IF2" s="352"/>
      <c r="IG2" s="352"/>
      <c r="IH2" s="352"/>
      <c r="II2" s="352"/>
      <c r="IJ2" s="352"/>
      <c r="IK2" s="352"/>
      <c r="IL2" s="352"/>
      <c r="IM2" s="352"/>
      <c r="IN2" s="352"/>
      <c r="IO2" s="352"/>
      <c r="IP2" s="352"/>
      <c r="IQ2" s="352"/>
      <c r="IR2" s="352"/>
      <c r="IS2" s="352"/>
      <c r="IT2" s="352"/>
      <c r="IU2" s="352"/>
      <c r="IV2" s="352"/>
      <c r="IW2" s="352"/>
    </row>
    <row r="3" customFormat="false" ht="24" hidden="false" customHeight="true" outlineLevel="0" collapsed="false">
      <c r="A3" s="348"/>
      <c r="B3" s="349"/>
      <c r="C3" s="353"/>
      <c r="D3" s="354"/>
      <c r="E3" s="353"/>
      <c r="F3" s="353"/>
      <c r="G3" s="355"/>
      <c r="H3" s="355"/>
      <c r="I3" s="355"/>
      <c r="J3" s="355"/>
      <c r="K3" s="355"/>
      <c r="L3" s="355"/>
      <c r="M3" s="355"/>
      <c r="N3" s="355"/>
      <c r="O3" s="355"/>
      <c r="P3" s="355"/>
      <c r="Q3" s="355"/>
      <c r="R3" s="355"/>
      <c r="S3" s="355"/>
      <c r="T3" s="355"/>
      <c r="U3" s="355"/>
      <c r="V3" s="355"/>
      <c r="W3" s="355"/>
      <c r="X3" s="355"/>
      <c r="Y3" s="355"/>
      <c r="Z3" s="355"/>
      <c r="AA3" s="355"/>
      <c r="AB3" s="355"/>
      <c r="AC3" s="355"/>
      <c r="AD3" s="355"/>
      <c r="AE3" s="355"/>
      <c r="AF3" s="355"/>
      <c r="AG3" s="355"/>
      <c r="AH3" s="355"/>
      <c r="AI3" s="355"/>
      <c r="AJ3" s="355"/>
      <c r="AK3" s="355"/>
      <c r="AL3" s="355"/>
      <c r="AM3" s="355"/>
      <c r="AN3" s="355"/>
      <c r="AO3" s="355"/>
      <c r="AP3" s="355"/>
      <c r="AQ3" s="355"/>
      <c r="AR3" s="355"/>
      <c r="AS3" s="355"/>
      <c r="AT3" s="355"/>
      <c r="AU3" s="355"/>
      <c r="AV3" s="355"/>
      <c r="AW3" s="355"/>
      <c r="AX3" s="355"/>
      <c r="AY3" s="355"/>
      <c r="AZ3" s="355"/>
      <c r="BA3" s="355"/>
      <c r="BB3" s="355"/>
      <c r="BC3" s="355"/>
      <c r="BD3" s="355"/>
      <c r="BE3" s="355"/>
      <c r="BF3" s="355"/>
      <c r="BG3" s="355"/>
      <c r="BH3" s="355"/>
      <c r="BI3" s="355"/>
      <c r="BJ3" s="355"/>
      <c r="BK3" s="355"/>
      <c r="BL3" s="355"/>
      <c r="BM3" s="355"/>
      <c r="BN3" s="355"/>
      <c r="BO3" s="355"/>
      <c r="BP3" s="355"/>
      <c r="BQ3" s="355"/>
      <c r="BR3" s="355"/>
      <c r="BS3" s="355"/>
      <c r="BT3" s="355"/>
      <c r="BU3" s="355"/>
      <c r="BV3" s="355"/>
      <c r="BW3" s="355"/>
      <c r="BX3" s="355"/>
      <c r="BY3" s="355"/>
      <c r="BZ3" s="355"/>
      <c r="CA3" s="355"/>
      <c r="CB3" s="355"/>
      <c r="CC3" s="355"/>
      <c r="CD3" s="355"/>
      <c r="CE3" s="355"/>
      <c r="CF3" s="355"/>
      <c r="CG3" s="355"/>
      <c r="CH3" s="355"/>
      <c r="CI3" s="355"/>
      <c r="CJ3" s="355"/>
      <c r="CK3" s="355"/>
      <c r="CL3" s="355"/>
      <c r="CM3" s="355"/>
      <c r="CN3" s="355"/>
      <c r="CO3" s="355"/>
      <c r="CP3" s="355"/>
      <c r="CQ3" s="355"/>
      <c r="CR3" s="355"/>
      <c r="CS3" s="355"/>
      <c r="CT3" s="355"/>
      <c r="CU3" s="355"/>
      <c r="CV3" s="355"/>
      <c r="CW3" s="355"/>
      <c r="CX3" s="355"/>
      <c r="CY3" s="355"/>
      <c r="CZ3" s="355"/>
      <c r="DA3" s="355"/>
      <c r="DB3" s="355"/>
      <c r="DC3" s="355"/>
      <c r="DD3" s="355"/>
      <c r="DE3" s="355"/>
      <c r="DF3" s="355"/>
      <c r="DG3" s="355"/>
      <c r="DH3" s="355"/>
      <c r="DI3" s="355"/>
      <c r="DJ3" s="355"/>
      <c r="DK3" s="355"/>
      <c r="DL3" s="355"/>
      <c r="DM3" s="355"/>
      <c r="DN3" s="355"/>
      <c r="DO3" s="355"/>
      <c r="DP3" s="355"/>
      <c r="DQ3" s="355"/>
      <c r="DR3" s="355"/>
      <c r="DS3" s="355"/>
      <c r="DT3" s="355"/>
      <c r="DU3" s="355"/>
      <c r="DV3" s="355"/>
      <c r="DW3" s="355"/>
      <c r="DX3" s="355"/>
      <c r="DY3" s="355"/>
      <c r="DZ3" s="355"/>
      <c r="EA3" s="355"/>
      <c r="EB3" s="355"/>
      <c r="EC3" s="355"/>
      <c r="ED3" s="355"/>
      <c r="EE3" s="355"/>
      <c r="EF3" s="355"/>
      <c r="EG3" s="355"/>
      <c r="EH3" s="355"/>
      <c r="EI3" s="355"/>
      <c r="EJ3" s="355"/>
      <c r="EK3" s="355"/>
      <c r="EL3" s="355"/>
      <c r="EM3" s="355"/>
      <c r="EN3" s="355"/>
      <c r="EO3" s="355"/>
      <c r="EP3" s="355"/>
      <c r="EQ3" s="355"/>
      <c r="ER3" s="355"/>
      <c r="ES3" s="355"/>
      <c r="ET3" s="355"/>
      <c r="EU3" s="355"/>
      <c r="EV3" s="355"/>
      <c r="EW3" s="355"/>
      <c r="EX3" s="355"/>
      <c r="EY3" s="355"/>
      <c r="EZ3" s="355"/>
      <c r="FA3" s="355"/>
      <c r="FB3" s="355"/>
      <c r="FC3" s="355"/>
      <c r="FD3" s="355"/>
      <c r="FE3" s="355"/>
      <c r="FF3" s="355"/>
      <c r="FG3" s="355"/>
      <c r="FH3" s="355"/>
      <c r="FI3" s="355"/>
      <c r="FJ3" s="355"/>
      <c r="FK3" s="355"/>
      <c r="FL3" s="355"/>
      <c r="FM3" s="355"/>
      <c r="FN3" s="355"/>
      <c r="FO3" s="355"/>
      <c r="FP3" s="355"/>
      <c r="FQ3" s="355"/>
      <c r="FR3" s="355"/>
      <c r="FS3" s="355"/>
      <c r="FT3" s="355"/>
      <c r="FU3" s="355"/>
      <c r="FV3" s="355"/>
      <c r="FW3" s="355"/>
      <c r="FX3" s="355"/>
      <c r="FY3" s="355"/>
      <c r="FZ3" s="355"/>
      <c r="GA3" s="355"/>
      <c r="GB3" s="355"/>
      <c r="GC3" s="355"/>
      <c r="GD3" s="355"/>
      <c r="GE3" s="355"/>
      <c r="GF3" s="355"/>
      <c r="GG3" s="355"/>
      <c r="GH3" s="355"/>
      <c r="GI3" s="355"/>
      <c r="GJ3" s="355"/>
      <c r="GK3" s="355"/>
      <c r="GL3" s="355"/>
      <c r="GM3" s="355"/>
      <c r="GN3" s="355"/>
      <c r="GO3" s="355"/>
      <c r="GP3" s="355"/>
      <c r="GQ3" s="355"/>
      <c r="GR3" s="355"/>
      <c r="GS3" s="355"/>
      <c r="GT3" s="355"/>
      <c r="GU3" s="355"/>
      <c r="GV3" s="355"/>
      <c r="GW3" s="355"/>
      <c r="GX3" s="355"/>
      <c r="GY3" s="355"/>
      <c r="GZ3" s="355"/>
      <c r="HA3" s="355"/>
      <c r="HB3" s="355"/>
      <c r="HC3" s="355"/>
      <c r="HD3" s="355"/>
      <c r="HE3" s="355"/>
      <c r="HF3" s="355"/>
      <c r="HG3" s="355"/>
      <c r="HH3" s="355"/>
      <c r="HI3" s="355"/>
      <c r="HJ3" s="355"/>
      <c r="HK3" s="355"/>
      <c r="HL3" s="355"/>
      <c r="HM3" s="355"/>
      <c r="HN3" s="355"/>
      <c r="HO3" s="355"/>
      <c r="HP3" s="355"/>
      <c r="HQ3" s="355"/>
      <c r="HR3" s="355"/>
      <c r="HS3" s="355"/>
      <c r="HT3" s="355"/>
      <c r="HU3" s="355"/>
      <c r="HV3" s="355"/>
      <c r="HW3" s="355"/>
      <c r="HX3" s="355"/>
      <c r="HY3" s="355"/>
      <c r="HZ3" s="355"/>
      <c r="IA3" s="355"/>
      <c r="IB3" s="355"/>
      <c r="IC3" s="355"/>
      <c r="ID3" s="355"/>
      <c r="IE3" s="355"/>
      <c r="IF3" s="355"/>
      <c r="IG3" s="355"/>
      <c r="IH3" s="355"/>
      <c r="II3" s="355"/>
      <c r="IJ3" s="355"/>
      <c r="IK3" s="355"/>
      <c r="IL3" s="355"/>
      <c r="IM3" s="355"/>
      <c r="IN3" s="355"/>
      <c r="IO3" s="355"/>
      <c r="IP3" s="355"/>
      <c r="IQ3" s="355"/>
      <c r="IR3" s="355"/>
      <c r="IS3" s="355"/>
      <c r="IT3" s="355"/>
      <c r="IU3" s="355"/>
      <c r="IV3" s="355"/>
      <c r="IW3" s="355"/>
    </row>
    <row r="5" customFormat="false" ht="12.75" hidden="false" customHeight="false" outlineLevel="0" collapsed="false">
      <c r="A5" s="356" t="n">
        <v>46230</v>
      </c>
      <c r="B5" s="357" t="n">
        <v>46230</v>
      </c>
      <c r="C5" s="358"/>
      <c r="D5" s="359"/>
      <c r="E5" s="360"/>
      <c r="F5" s="361"/>
    </row>
    <row r="6" customFormat="false" ht="12.75" hidden="false" customHeight="false" outlineLevel="0" collapsed="false">
      <c r="A6" s="362" t="n">
        <v>46231</v>
      </c>
      <c r="B6" s="345" t="n">
        <v>46231</v>
      </c>
      <c r="F6" s="363"/>
    </row>
    <row r="7" customFormat="false" ht="12.75" hidden="false" customHeight="false" outlineLevel="0" collapsed="false">
      <c r="A7" s="362" t="n">
        <v>46232</v>
      </c>
      <c r="B7" s="345" t="n">
        <v>46232</v>
      </c>
      <c r="F7" s="363"/>
    </row>
    <row r="8" customFormat="false" ht="12.75" hidden="false" customHeight="false" outlineLevel="0" collapsed="false">
      <c r="A8" s="362" t="n">
        <v>46233</v>
      </c>
      <c r="B8" s="345" t="n">
        <v>46233</v>
      </c>
      <c r="F8" s="363"/>
    </row>
    <row r="9" customFormat="false" ht="12.75" hidden="false" customHeight="false" outlineLevel="0" collapsed="false">
      <c r="A9" s="362" t="n">
        <v>46234</v>
      </c>
      <c r="B9" s="345" t="n">
        <v>46234</v>
      </c>
      <c r="F9" s="363"/>
    </row>
    <row r="10" customFormat="false" ht="12.75" hidden="false" customHeight="false" outlineLevel="0" collapsed="false">
      <c r="A10" s="362" t="n">
        <v>46235</v>
      </c>
      <c r="B10" s="345" t="n">
        <v>46235</v>
      </c>
      <c r="F10" s="363"/>
    </row>
    <row r="11" customFormat="false" ht="12.75" hidden="false" customHeight="false" outlineLevel="0" collapsed="false">
      <c r="A11" s="362" t="n">
        <v>46236</v>
      </c>
      <c r="B11" s="345" t="n">
        <v>46236</v>
      </c>
      <c r="F11" s="363"/>
    </row>
    <row r="12" customFormat="false" ht="12.75" hidden="false" customHeight="false" outlineLevel="0" collapsed="false">
      <c r="A12" s="362" t="n">
        <v>46236</v>
      </c>
      <c r="B12" s="345" t="s">
        <v>247</v>
      </c>
      <c r="F12" s="363"/>
    </row>
    <row r="13" customFormat="false" ht="12.75" hidden="false" customHeight="false" outlineLevel="0" collapsed="false">
      <c r="A13" s="362" t="n">
        <v>46236</v>
      </c>
      <c r="B13" s="345" t="s">
        <v>248</v>
      </c>
      <c r="F13" s="363"/>
    </row>
    <row r="14" customFormat="false" ht="12.75" hidden="false" customHeight="false" outlineLevel="0" collapsed="false">
      <c r="A14" s="364"/>
      <c r="B14" s="365"/>
      <c r="C14" s="366"/>
      <c r="D14" s="367"/>
      <c r="E14" s="368" t="n">
        <f aca="false">SUM(E5:E13)</f>
        <v>0</v>
      </c>
      <c r="F14" s="369" t="n">
        <f aca="false">SUM(F5:F13)</f>
        <v>0</v>
      </c>
    </row>
    <row r="16" customFormat="false" ht="12.75" hidden="false" customHeight="false" outlineLevel="0" collapsed="false">
      <c r="A16" s="356" t="n">
        <v>46237</v>
      </c>
      <c r="B16" s="357" t="n">
        <v>46237</v>
      </c>
      <c r="C16" s="358"/>
      <c r="D16" s="359"/>
      <c r="E16" s="360"/>
      <c r="F16" s="361"/>
    </row>
    <row r="17" customFormat="false" ht="12.75" hidden="false" customHeight="false" outlineLevel="0" collapsed="false">
      <c r="A17" s="362" t="n">
        <v>46238</v>
      </c>
      <c r="B17" s="345" t="n">
        <v>46238</v>
      </c>
      <c r="E17" s="347" t="n">
        <v>200</v>
      </c>
      <c r="F17" s="363"/>
    </row>
    <row r="18" customFormat="false" ht="12.75" hidden="false" customHeight="false" outlineLevel="0" collapsed="false">
      <c r="A18" s="362" t="n">
        <v>46239</v>
      </c>
      <c r="B18" s="345" t="n">
        <v>46239</v>
      </c>
      <c r="E18" s="347" t="n">
        <v>200</v>
      </c>
      <c r="F18" s="363"/>
    </row>
    <row r="19" customFormat="false" ht="12.75" hidden="false" customHeight="false" outlineLevel="0" collapsed="false">
      <c r="A19" s="362" t="n">
        <v>46240</v>
      </c>
      <c r="B19" s="345" t="n">
        <v>46240</v>
      </c>
      <c r="E19" s="347" t="n">
        <v>200</v>
      </c>
      <c r="F19" s="363"/>
    </row>
    <row r="20" customFormat="false" ht="12.75" hidden="false" customHeight="false" outlineLevel="0" collapsed="false">
      <c r="A20" s="362" t="n">
        <v>46241</v>
      </c>
      <c r="B20" s="345" t="n">
        <v>46241</v>
      </c>
      <c r="E20" s="347" t="n">
        <v>200</v>
      </c>
      <c r="F20" s="363"/>
    </row>
    <row r="21" customFormat="false" ht="12.75" hidden="false" customHeight="false" outlineLevel="0" collapsed="false">
      <c r="A21" s="362" t="n">
        <v>46242</v>
      </c>
      <c r="B21" s="345" t="n">
        <v>46242</v>
      </c>
      <c r="E21" s="347" t="n">
        <v>200</v>
      </c>
      <c r="F21" s="363"/>
    </row>
    <row r="22" customFormat="false" ht="12.75" hidden="false" customHeight="false" outlineLevel="0" collapsed="false">
      <c r="A22" s="362" t="n">
        <v>46243</v>
      </c>
      <c r="B22" s="345" t="n">
        <v>46243</v>
      </c>
      <c r="F22" s="363"/>
    </row>
    <row r="23" customFormat="false" ht="12.75" hidden="false" customHeight="false" outlineLevel="0" collapsed="false">
      <c r="A23" s="362" t="n">
        <v>46243</v>
      </c>
      <c r="B23" s="345" t="s">
        <v>247</v>
      </c>
      <c r="F23" s="363"/>
    </row>
    <row r="24" customFormat="false" ht="12.75" hidden="false" customHeight="false" outlineLevel="0" collapsed="false">
      <c r="A24" s="362" t="n">
        <v>46243</v>
      </c>
      <c r="B24" s="345" t="s">
        <v>248</v>
      </c>
      <c r="F24" s="363"/>
    </row>
    <row r="25" customFormat="false" ht="12.75" hidden="false" customHeight="false" outlineLevel="0" collapsed="false">
      <c r="A25" s="364"/>
      <c r="B25" s="365"/>
      <c r="C25" s="366"/>
      <c r="D25" s="367"/>
      <c r="E25" s="368" t="n">
        <f aca="false">SUM(E16:E24)</f>
        <v>1000</v>
      </c>
      <c r="F25" s="369" t="n">
        <f aca="false">SUM(F16:F24)</f>
        <v>0</v>
      </c>
    </row>
    <row r="27" customFormat="false" ht="12.75" hidden="false" customHeight="false" outlineLevel="0" collapsed="false">
      <c r="A27" s="356" t="n">
        <v>46244</v>
      </c>
      <c r="B27" s="357" t="n">
        <v>46244</v>
      </c>
      <c r="C27" s="358"/>
      <c r="D27" s="359"/>
      <c r="E27" s="360"/>
      <c r="F27" s="361"/>
    </row>
    <row r="28" customFormat="false" ht="12.75" hidden="false" customHeight="false" outlineLevel="0" collapsed="false">
      <c r="A28" s="362" t="n">
        <v>46245</v>
      </c>
      <c r="B28" s="345" t="n">
        <v>46245</v>
      </c>
      <c r="E28" s="347" t="n">
        <v>200</v>
      </c>
      <c r="F28" s="363"/>
    </row>
    <row r="29" customFormat="false" ht="12.75" hidden="false" customHeight="false" outlineLevel="0" collapsed="false">
      <c r="A29" s="362" t="n">
        <v>46246</v>
      </c>
      <c r="B29" s="345" t="n">
        <v>46246</v>
      </c>
      <c r="E29" s="347" t="n">
        <v>200</v>
      </c>
      <c r="F29" s="363"/>
    </row>
    <row r="30" customFormat="false" ht="12.75" hidden="false" customHeight="false" outlineLevel="0" collapsed="false">
      <c r="A30" s="362" t="n">
        <v>46247</v>
      </c>
      <c r="B30" s="345" t="n">
        <v>46247</v>
      </c>
      <c r="E30" s="347" t="n">
        <v>200</v>
      </c>
      <c r="F30" s="363"/>
    </row>
    <row r="31" customFormat="false" ht="12.75" hidden="false" customHeight="false" outlineLevel="0" collapsed="false">
      <c r="A31" s="362" t="n">
        <v>46248</v>
      </c>
      <c r="B31" s="345" t="n">
        <v>46248</v>
      </c>
      <c r="E31" s="347" t="n">
        <v>200</v>
      </c>
      <c r="F31" s="363"/>
    </row>
    <row r="32" customFormat="false" ht="12.75" hidden="false" customHeight="false" outlineLevel="0" collapsed="false">
      <c r="A32" s="362" t="n">
        <v>46249</v>
      </c>
      <c r="B32" s="345" t="n">
        <v>46249</v>
      </c>
      <c r="E32" s="347" t="n">
        <v>200</v>
      </c>
      <c r="F32" s="363"/>
    </row>
    <row r="33" customFormat="false" ht="12.75" hidden="false" customHeight="false" outlineLevel="0" collapsed="false">
      <c r="A33" s="362" t="n">
        <v>46250</v>
      </c>
      <c r="B33" s="345" t="n">
        <v>46250</v>
      </c>
      <c r="F33" s="363"/>
    </row>
    <row r="34" customFormat="false" ht="12.75" hidden="false" customHeight="false" outlineLevel="0" collapsed="false">
      <c r="A34" s="362" t="n">
        <v>46250</v>
      </c>
      <c r="B34" s="345" t="s">
        <v>247</v>
      </c>
      <c r="F34" s="363"/>
    </row>
    <row r="35" customFormat="false" ht="12.75" hidden="false" customHeight="false" outlineLevel="0" collapsed="false">
      <c r="A35" s="362" t="n">
        <v>46250</v>
      </c>
      <c r="B35" s="345" t="s">
        <v>248</v>
      </c>
      <c r="F35" s="363"/>
    </row>
    <row r="36" customFormat="false" ht="12.75" hidden="false" customHeight="false" outlineLevel="0" collapsed="false">
      <c r="A36" s="364"/>
      <c r="B36" s="365"/>
      <c r="C36" s="366"/>
      <c r="D36" s="367"/>
      <c r="E36" s="368" t="n">
        <f aca="false">SUM(E27:E35)</f>
        <v>1000</v>
      </c>
      <c r="F36" s="369" t="n">
        <f aca="false">SUM(F27:F35)</f>
        <v>0</v>
      </c>
    </row>
    <row r="38" customFormat="false" ht="12.75" hidden="false" customHeight="false" outlineLevel="0" collapsed="false">
      <c r="A38" s="356" t="n">
        <v>46251</v>
      </c>
      <c r="B38" s="357" t="n">
        <v>46251</v>
      </c>
      <c r="C38" s="358"/>
      <c r="D38" s="359"/>
      <c r="E38" s="360"/>
      <c r="F38" s="361"/>
    </row>
    <row r="39" customFormat="false" ht="12.75" hidden="false" customHeight="false" outlineLevel="0" collapsed="false">
      <c r="A39" s="362" t="n">
        <v>46252</v>
      </c>
      <c r="B39" s="345" t="n">
        <v>46252</v>
      </c>
      <c r="E39" s="347" t="n">
        <v>200</v>
      </c>
      <c r="F39" s="363"/>
    </row>
    <row r="40" customFormat="false" ht="12.75" hidden="false" customHeight="false" outlineLevel="0" collapsed="false">
      <c r="A40" s="362" t="n">
        <v>46253</v>
      </c>
      <c r="B40" s="345" t="n">
        <v>46253</v>
      </c>
      <c r="E40" s="347" t="n">
        <v>200</v>
      </c>
      <c r="F40" s="363"/>
    </row>
    <row r="41" customFormat="false" ht="12.75" hidden="false" customHeight="false" outlineLevel="0" collapsed="false">
      <c r="A41" s="362" t="n">
        <v>46254</v>
      </c>
      <c r="B41" s="345" t="n">
        <v>46254</v>
      </c>
      <c r="E41" s="347" t="n">
        <v>200</v>
      </c>
      <c r="F41" s="363"/>
    </row>
    <row r="42" customFormat="false" ht="12.75" hidden="false" customHeight="false" outlineLevel="0" collapsed="false">
      <c r="A42" s="362" t="n">
        <v>46255</v>
      </c>
      <c r="B42" s="345" t="n">
        <v>46255</v>
      </c>
      <c r="E42" s="347" t="n">
        <v>200</v>
      </c>
      <c r="F42" s="363"/>
    </row>
    <row r="43" customFormat="false" ht="12.75" hidden="false" customHeight="false" outlineLevel="0" collapsed="false">
      <c r="A43" s="362" t="n">
        <v>46256</v>
      </c>
      <c r="B43" s="345" t="n">
        <v>46256</v>
      </c>
      <c r="E43" s="347" t="n">
        <v>200</v>
      </c>
      <c r="F43" s="363"/>
    </row>
    <row r="44" customFormat="false" ht="12.75" hidden="false" customHeight="false" outlineLevel="0" collapsed="false">
      <c r="A44" s="362" t="n">
        <v>46257</v>
      </c>
      <c r="B44" s="345" t="n">
        <v>46257</v>
      </c>
      <c r="F44" s="363"/>
    </row>
    <row r="45" customFormat="false" ht="12.75" hidden="false" customHeight="false" outlineLevel="0" collapsed="false">
      <c r="A45" s="362" t="n">
        <v>46257</v>
      </c>
      <c r="B45" s="345" t="s">
        <v>247</v>
      </c>
      <c r="F45" s="363"/>
    </row>
    <row r="46" customFormat="false" ht="12.75" hidden="false" customHeight="false" outlineLevel="0" collapsed="false">
      <c r="A46" s="362" t="n">
        <v>46257</v>
      </c>
      <c r="B46" s="345" t="s">
        <v>248</v>
      </c>
      <c r="F46" s="363"/>
    </row>
    <row r="47" customFormat="false" ht="12.75" hidden="false" customHeight="false" outlineLevel="0" collapsed="false">
      <c r="A47" s="364"/>
      <c r="B47" s="365"/>
      <c r="C47" s="366"/>
      <c r="D47" s="367"/>
      <c r="E47" s="368" t="n">
        <f aca="false">SUM(E38:E46)</f>
        <v>1000</v>
      </c>
      <c r="F47" s="369" t="n">
        <f aca="false">SUM(F38:F46)</f>
        <v>0</v>
      </c>
    </row>
    <row r="49" customFormat="false" ht="12.75" hidden="false" customHeight="false" outlineLevel="0" collapsed="false">
      <c r="A49" s="356" t="n">
        <v>46258</v>
      </c>
      <c r="B49" s="357" t="n">
        <v>46258</v>
      </c>
      <c r="C49" s="358"/>
      <c r="D49" s="359"/>
      <c r="E49" s="360"/>
      <c r="F49" s="361"/>
    </row>
    <row r="50" customFormat="false" ht="12.75" hidden="false" customHeight="false" outlineLevel="0" collapsed="false">
      <c r="A50" s="362" t="n">
        <v>46259</v>
      </c>
      <c r="B50" s="345" t="n">
        <v>46259</v>
      </c>
      <c r="F50" s="363"/>
    </row>
    <row r="51" customFormat="false" ht="12.75" hidden="false" customHeight="false" outlineLevel="0" collapsed="false">
      <c r="A51" s="362" t="n">
        <v>46260</v>
      </c>
      <c r="B51" s="345" t="n">
        <v>46260</v>
      </c>
      <c r="F51" s="363"/>
    </row>
    <row r="52" customFormat="false" ht="12.75" hidden="false" customHeight="false" outlineLevel="0" collapsed="false">
      <c r="A52" s="362" t="n">
        <v>46261</v>
      </c>
      <c r="B52" s="345" t="n">
        <v>46261</v>
      </c>
      <c r="F52" s="363"/>
    </row>
    <row r="53" customFormat="false" ht="12.75" hidden="false" customHeight="false" outlineLevel="0" collapsed="false">
      <c r="A53" s="362" t="n">
        <v>46262</v>
      </c>
      <c r="B53" s="345" t="n">
        <v>46262</v>
      </c>
      <c r="F53" s="363"/>
    </row>
    <row r="54" customFormat="false" ht="12.75" hidden="false" customHeight="false" outlineLevel="0" collapsed="false">
      <c r="A54" s="362" t="n">
        <v>46263</v>
      </c>
      <c r="B54" s="345" t="n">
        <v>46263</v>
      </c>
      <c r="F54" s="363"/>
    </row>
    <row r="55" customFormat="false" ht="12.75" hidden="false" customHeight="false" outlineLevel="0" collapsed="false">
      <c r="A55" s="362" t="n">
        <v>46264</v>
      </c>
      <c r="B55" s="345" t="n">
        <v>46264</v>
      </c>
      <c r="F55" s="363"/>
    </row>
    <row r="56" customFormat="false" ht="12.75" hidden="false" customHeight="false" outlineLevel="0" collapsed="false">
      <c r="A56" s="362" t="n">
        <v>46264</v>
      </c>
      <c r="B56" s="345" t="s">
        <v>247</v>
      </c>
      <c r="F56" s="363"/>
    </row>
    <row r="57" customFormat="false" ht="12.75" hidden="false" customHeight="false" outlineLevel="0" collapsed="false">
      <c r="A57" s="362" t="n">
        <v>46264</v>
      </c>
      <c r="B57" s="345" t="s">
        <v>248</v>
      </c>
      <c r="F57" s="363"/>
    </row>
    <row r="58" customFormat="false" ht="12.75" hidden="false" customHeight="false" outlineLevel="0" collapsed="false">
      <c r="A58" s="364"/>
      <c r="B58" s="365"/>
      <c r="C58" s="366"/>
      <c r="D58" s="367"/>
      <c r="E58" s="368" t="n">
        <f aca="false">SUM(E49:E57)</f>
        <v>0</v>
      </c>
      <c r="F58" s="369" t="n">
        <f aca="false">SUM(F49:F57)</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customHeight="false" zeroHeight="false" outlineLevelRow="0" outlineLevelCol="0"/>
  <cols>
    <col collapsed="false" customWidth="true" hidden="false" outlineLevel="0" max="1" min="1" style="370" width="9.66"/>
    <col collapsed="false" customWidth="true" hidden="false" outlineLevel="0" max="2" min="2" style="179" width="23.99"/>
    <col collapsed="false" customWidth="true" hidden="false" outlineLevel="0" max="3" min="3" style="179" width="15.99"/>
    <col collapsed="false" customWidth="false" hidden="false" outlineLevel="0" max="5" min="4" style="371" width="9.15"/>
    <col collapsed="false" customWidth="true" hidden="false" outlineLevel="0" max="6" min="6" style="372" width="12.66"/>
    <col collapsed="false" customWidth="true" hidden="false" outlineLevel="0" max="8" min="7" style="180" width="9.82"/>
    <col collapsed="false" customWidth="true" hidden="false" outlineLevel="0" max="10" min="9" style="180" width="8.33"/>
    <col collapsed="false" customWidth="true" hidden="false" outlineLevel="0" max="12" min="11" style="180" width="7.66"/>
    <col collapsed="false" customWidth="true" hidden="false" outlineLevel="0" max="13" min="13" style="180" width="8.82"/>
    <col collapsed="false" customWidth="true" hidden="false" outlineLevel="0" max="14" min="14" style="180" width="8.99"/>
    <col collapsed="false" customWidth="true" hidden="false" outlineLevel="0" max="15" min="15" style="180" width="9.33"/>
    <col collapsed="false" customWidth="true" hidden="false" outlineLevel="0" max="18" min="16" style="180" width="7.66"/>
    <col collapsed="false" customWidth="true" hidden="false" outlineLevel="0" max="19" min="19" style="180" width="8.49"/>
    <col collapsed="false" customWidth="true" hidden="false" outlineLevel="0" max="20" min="20" style="179" width="13.33"/>
    <col collapsed="false" customWidth="true" hidden="false" outlineLevel="0" max="21" min="21" style="180" width="8.33"/>
    <col collapsed="false" customWidth="false" hidden="false" outlineLevel="0" max="257" min="22" style="179" width="9.15"/>
  </cols>
  <sheetData>
    <row r="1" customFormat="false" ht="13.5" hidden="false" customHeight="true" outlineLevel="0" collapsed="false">
      <c r="A1" s="389" t="n">
        <f aca="false">E1+SalesAug!$D$1+PurchasesJul!A1</f>
        <v>0</v>
      </c>
      <c r="B1" s="390" t="s">
        <v>249</v>
      </c>
      <c r="C1" s="391" t="s">
        <v>242</v>
      </c>
      <c r="D1" s="375" t="str">
        <f aca="false">IF((F1-SUM(G1:S1)&lt;&gt;0),(F1-SUM(G1:S1))," ")</f>
        <v> </v>
      </c>
      <c r="E1" s="351" t="n">
        <f aca="false">SUM(E5:E199)</f>
        <v>0</v>
      </c>
      <c r="F1" s="350" t="n">
        <f aca="false">SUM(F5:F199)</f>
        <v>300</v>
      </c>
      <c r="G1" s="350" t="n">
        <f aca="false">SUM(G5:G199)</f>
        <v>300</v>
      </c>
      <c r="H1" s="350" t="n">
        <f aca="false">SUM(H5:H199)</f>
        <v>0</v>
      </c>
      <c r="I1" s="350" t="n">
        <f aca="false">SUM(I5:I199)</f>
        <v>0</v>
      </c>
      <c r="J1" s="350" t="n">
        <f aca="false">SUM(J5:J199)</f>
        <v>0</v>
      </c>
      <c r="K1" s="350" t="n">
        <f aca="false">SUM(K5:K199)</f>
        <v>0</v>
      </c>
      <c r="L1" s="350" t="n">
        <f aca="false">SUM(L5:L199)</f>
        <v>0</v>
      </c>
      <c r="M1" s="350" t="n">
        <f aca="false">SUM(M5:M199)</f>
        <v>0</v>
      </c>
      <c r="N1" s="350" t="n">
        <f aca="false">SUM(N5:N199)</f>
        <v>0</v>
      </c>
      <c r="O1" s="350" t="n">
        <f aca="false">SUM(O5:O199)</f>
        <v>0</v>
      </c>
      <c r="P1" s="350" t="n">
        <f aca="false">SUM(P5:P199)</f>
        <v>0</v>
      </c>
      <c r="Q1" s="350" t="n">
        <f aca="false">SUM(Q5:Q199)</f>
        <v>0</v>
      </c>
      <c r="R1" s="350" t="n">
        <f aca="false">SUM(R5:R199)</f>
        <v>0</v>
      </c>
      <c r="S1" s="392" t="n">
        <f aca="false">SUM(S5:S199)</f>
        <v>0</v>
      </c>
      <c r="T1" s="393" t="n">
        <f aca="false">S1+PurchasesJul!T1</f>
        <v>8000</v>
      </c>
      <c r="U1" s="392" t="n">
        <f aca="false">SUM(U4:U199)</f>
        <v>0</v>
      </c>
      <c r="V1" s="180"/>
      <c r="W1" s="180"/>
      <c r="X1" s="180"/>
      <c r="Y1" s="180"/>
      <c r="Z1" s="180"/>
      <c r="AA1" s="180"/>
      <c r="AB1" s="180"/>
      <c r="AC1" s="180"/>
      <c r="AD1" s="180"/>
      <c r="AE1" s="180"/>
      <c r="AF1" s="180"/>
      <c r="AG1" s="180"/>
      <c r="AH1" s="180"/>
      <c r="AI1" s="180"/>
      <c r="AJ1" s="180"/>
      <c r="AK1" s="180"/>
      <c r="AL1" s="180"/>
      <c r="AM1" s="180"/>
      <c r="AN1" s="180"/>
      <c r="AO1" s="180"/>
      <c r="AP1" s="180"/>
      <c r="AQ1" s="180"/>
      <c r="AR1" s="180"/>
      <c r="AS1" s="180"/>
      <c r="AT1" s="180"/>
      <c r="AU1" s="180"/>
      <c r="AV1" s="180"/>
      <c r="AW1" s="180"/>
      <c r="AX1" s="180"/>
      <c r="AY1" s="180"/>
      <c r="AZ1" s="180"/>
      <c r="BA1" s="180"/>
      <c r="BB1" s="180"/>
      <c r="BC1" s="180"/>
      <c r="BD1" s="180"/>
      <c r="BE1" s="180"/>
      <c r="BF1" s="180"/>
      <c r="BG1" s="180"/>
      <c r="BH1" s="180"/>
      <c r="BI1" s="180"/>
      <c r="BJ1" s="180"/>
      <c r="BK1" s="180"/>
      <c r="BL1" s="180"/>
      <c r="BM1" s="180"/>
      <c r="BN1" s="180"/>
      <c r="BO1" s="180"/>
      <c r="BP1" s="180"/>
      <c r="BQ1" s="180"/>
      <c r="BR1" s="180"/>
      <c r="BS1" s="180"/>
      <c r="BT1" s="180"/>
      <c r="BU1" s="180"/>
      <c r="BV1" s="180"/>
      <c r="BW1" s="180"/>
      <c r="BX1" s="180"/>
      <c r="BY1" s="180"/>
      <c r="BZ1" s="180"/>
      <c r="CA1" s="180"/>
      <c r="CB1" s="180"/>
      <c r="CC1" s="180"/>
      <c r="CD1" s="180"/>
      <c r="CE1" s="180"/>
      <c r="CF1" s="180"/>
      <c r="CG1" s="180"/>
      <c r="CH1" s="180"/>
      <c r="CI1" s="180"/>
      <c r="CJ1" s="180"/>
      <c r="CK1" s="180"/>
      <c r="CL1" s="180"/>
      <c r="CM1" s="180"/>
      <c r="CN1" s="180"/>
      <c r="CO1" s="180"/>
      <c r="CP1" s="180"/>
      <c r="CQ1" s="180"/>
      <c r="CR1" s="180"/>
      <c r="CS1" s="180"/>
      <c r="CT1" s="180"/>
      <c r="CU1" s="180"/>
      <c r="CV1" s="180"/>
      <c r="CW1" s="180"/>
      <c r="CX1" s="180"/>
      <c r="CY1" s="180"/>
      <c r="CZ1" s="180"/>
      <c r="DA1" s="180"/>
      <c r="DB1" s="180"/>
      <c r="DC1" s="180"/>
      <c r="DD1" s="180"/>
      <c r="DE1" s="180"/>
      <c r="DF1" s="180"/>
      <c r="DG1" s="180"/>
      <c r="DH1" s="180"/>
      <c r="DI1" s="180"/>
      <c r="DJ1" s="180"/>
      <c r="DK1" s="180"/>
      <c r="DL1" s="180"/>
      <c r="DM1" s="180"/>
      <c r="DN1" s="180"/>
      <c r="DO1" s="180"/>
      <c r="DP1" s="180"/>
      <c r="DQ1" s="180"/>
      <c r="DR1" s="180"/>
      <c r="DS1" s="180"/>
      <c r="DT1" s="180"/>
      <c r="DU1" s="180"/>
      <c r="DV1" s="180"/>
      <c r="DW1" s="180"/>
      <c r="DX1" s="180"/>
      <c r="DY1" s="180"/>
      <c r="DZ1" s="180"/>
      <c r="EA1" s="180"/>
      <c r="EB1" s="180"/>
      <c r="EC1" s="180"/>
      <c r="ED1" s="180"/>
      <c r="EE1" s="180"/>
      <c r="EF1" s="180"/>
      <c r="EG1" s="180"/>
      <c r="EH1" s="180"/>
      <c r="EI1" s="180"/>
      <c r="EJ1" s="180"/>
      <c r="EK1" s="180"/>
      <c r="EL1" s="180"/>
      <c r="EM1" s="180"/>
      <c r="EN1" s="180"/>
      <c r="EO1" s="180"/>
      <c r="EP1" s="180"/>
      <c r="EQ1" s="180"/>
      <c r="ER1" s="180"/>
      <c r="ES1" s="180"/>
      <c r="ET1" s="180"/>
      <c r="EU1" s="180"/>
      <c r="EV1" s="180"/>
      <c r="EW1" s="180"/>
      <c r="EX1" s="180"/>
      <c r="EY1" s="180"/>
      <c r="EZ1" s="180"/>
      <c r="FA1" s="180"/>
      <c r="FB1" s="180"/>
      <c r="FC1" s="180"/>
      <c r="FD1" s="180"/>
      <c r="FE1" s="180"/>
      <c r="FF1" s="180"/>
      <c r="FG1" s="180"/>
      <c r="FH1" s="180"/>
      <c r="FI1" s="180"/>
      <c r="FJ1" s="180"/>
      <c r="FK1" s="180"/>
      <c r="FL1" s="180"/>
      <c r="FM1" s="180"/>
      <c r="FN1" s="180"/>
      <c r="FO1" s="180"/>
      <c r="FP1" s="180"/>
      <c r="FQ1" s="180"/>
      <c r="FR1" s="180"/>
      <c r="FS1" s="180"/>
      <c r="FT1" s="180"/>
      <c r="FU1" s="180"/>
      <c r="FV1" s="180"/>
      <c r="FW1" s="180"/>
      <c r="FX1" s="180"/>
      <c r="FY1" s="180"/>
      <c r="FZ1" s="180"/>
      <c r="GA1" s="180"/>
      <c r="GB1" s="180"/>
      <c r="GC1" s="180"/>
      <c r="GD1" s="180"/>
      <c r="GE1" s="180"/>
      <c r="GF1" s="180"/>
      <c r="GG1" s="180"/>
      <c r="GH1" s="180"/>
      <c r="GI1" s="180"/>
      <c r="GJ1" s="180"/>
      <c r="GK1" s="180"/>
      <c r="GL1" s="180"/>
      <c r="GM1" s="180"/>
      <c r="GN1" s="180"/>
      <c r="GO1" s="180"/>
      <c r="GP1" s="180"/>
      <c r="GQ1" s="180"/>
      <c r="GR1" s="180"/>
      <c r="GS1" s="180"/>
      <c r="GT1" s="180"/>
      <c r="GU1" s="180"/>
      <c r="GV1" s="180"/>
      <c r="GW1" s="180"/>
      <c r="GX1" s="180"/>
      <c r="GY1" s="180"/>
      <c r="GZ1" s="180"/>
      <c r="HA1" s="180"/>
      <c r="HB1" s="180"/>
      <c r="HC1" s="180"/>
      <c r="HD1" s="180"/>
      <c r="HE1" s="180"/>
      <c r="HF1" s="180"/>
      <c r="HG1" s="180"/>
      <c r="HH1" s="180"/>
      <c r="HI1" s="180"/>
      <c r="HJ1" s="180"/>
      <c r="HK1" s="180"/>
      <c r="HL1" s="180"/>
      <c r="HM1" s="180"/>
      <c r="HN1" s="180"/>
      <c r="HO1" s="180"/>
      <c r="HP1" s="180"/>
      <c r="HQ1" s="180"/>
      <c r="HR1" s="180"/>
      <c r="HS1" s="180"/>
      <c r="HT1" s="180"/>
      <c r="HU1" s="180"/>
      <c r="HV1" s="180"/>
      <c r="HW1" s="180"/>
      <c r="HX1" s="180"/>
      <c r="HY1" s="180"/>
      <c r="HZ1" s="180"/>
      <c r="IA1" s="180"/>
      <c r="IB1" s="180"/>
      <c r="IC1" s="180"/>
      <c r="ID1" s="180"/>
      <c r="IE1" s="180"/>
      <c r="IF1" s="180"/>
      <c r="IG1" s="180"/>
      <c r="IH1" s="180"/>
      <c r="II1" s="180"/>
      <c r="IJ1" s="180"/>
      <c r="IK1" s="180"/>
      <c r="IL1" s="180"/>
      <c r="IM1" s="180"/>
      <c r="IN1" s="180"/>
      <c r="IO1" s="180"/>
      <c r="IP1" s="180"/>
      <c r="IQ1" s="180"/>
      <c r="IR1" s="180"/>
      <c r="IS1" s="180"/>
      <c r="IT1" s="180"/>
      <c r="IU1" s="180"/>
      <c r="IV1" s="180"/>
      <c r="IW1" s="180"/>
    </row>
    <row r="2" customFormat="false" ht="13.5" hidden="false" customHeight="true" outlineLevel="0" collapsed="false">
      <c r="A2" s="394" t="n">
        <f aca="false">U1+PurchasesJul!A2</f>
        <v>0</v>
      </c>
      <c r="B2" s="239" t="s">
        <v>250</v>
      </c>
      <c r="C2" s="378" t="s">
        <v>251</v>
      </c>
      <c r="D2" s="378" t="s">
        <v>252</v>
      </c>
      <c r="E2" s="378" t="s">
        <v>253</v>
      </c>
      <c r="F2" s="206" t="s">
        <v>254</v>
      </c>
      <c r="G2" s="379" t="s">
        <v>255</v>
      </c>
      <c r="H2" s="379"/>
      <c r="I2" s="380" t="n">
        <f aca="false">G1+H1+I1+J1+PurchasesJul!I2</f>
        <v>2880</v>
      </c>
      <c r="J2" s="380"/>
      <c r="K2" s="206" t="s">
        <v>256</v>
      </c>
      <c r="L2" s="206" t="s">
        <v>257</v>
      </c>
      <c r="M2" s="206" t="s">
        <v>258</v>
      </c>
      <c r="N2" s="206" t="s">
        <v>290</v>
      </c>
      <c r="O2" s="206" t="s">
        <v>260</v>
      </c>
      <c r="P2" s="206" t="s">
        <v>261</v>
      </c>
      <c r="Q2" s="206" t="s">
        <v>262</v>
      </c>
      <c r="R2" s="206" t="s">
        <v>263</v>
      </c>
      <c r="S2" s="381" t="s">
        <v>264</v>
      </c>
      <c r="T2" s="382" t="str">
        <f aca="false">IF(T1&gt;'Fixed Assets'!$D$74,"ENTER VEHICLE CHANGES        on Fixed Asset schedule","Motor Vehicles: make, model, date reg. and reg. Mark")</f>
        <v>ENTER VEHICLE CHANGES        on Fixed Asset schedule</v>
      </c>
      <c r="U2" s="381" t="s">
        <v>118</v>
      </c>
      <c r="V2" s="180"/>
      <c r="W2" s="180"/>
      <c r="X2" s="180"/>
      <c r="Y2" s="180"/>
      <c r="Z2" s="180"/>
      <c r="AA2" s="180"/>
      <c r="AB2" s="180"/>
      <c r="AC2" s="180"/>
      <c r="AD2" s="180"/>
      <c r="AE2" s="180"/>
      <c r="AF2" s="180"/>
      <c r="AG2" s="180"/>
      <c r="AH2" s="180"/>
      <c r="AI2" s="180"/>
      <c r="AJ2" s="180"/>
      <c r="AK2" s="180"/>
      <c r="AL2" s="180"/>
      <c r="AM2" s="180"/>
      <c r="AN2" s="180"/>
      <c r="AO2" s="180"/>
      <c r="AP2" s="180"/>
      <c r="AQ2" s="180"/>
      <c r="AR2" s="180"/>
      <c r="AS2" s="180"/>
      <c r="AT2" s="180"/>
      <c r="AU2" s="180"/>
      <c r="AV2" s="180"/>
      <c r="AW2" s="180"/>
      <c r="AX2" s="180"/>
      <c r="AY2" s="180"/>
      <c r="AZ2" s="180"/>
      <c r="BA2" s="180"/>
      <c r="BB2" s="180"/>
      <c r="BC2" s="180"/>
      <c r="BD2" s="180"/>
      <c r="BE2" s="180"/>
      <c r="BF2" s="180"/>
      <c r="BG2" s="180"/>
      <c r="BH2" s="180"/>
      <c r="BI2" s="180"/>
      <c r="BJ2" s="180"/>
      <c r="BK2" s="180"/>
      <c r="BL2" s="180"/>
      <c r="BM2" s="180"/>
      <c r="BN2" s="180"/>
      <c r="BO2" s="180"/>
      <c r="BP2" s="180"/>
      <c r="BQ2" s="180"/>
      <c r="BR2" s="180"/>
      <c r="BS2" s="180"/>
      <c r="BT2" s="180"/>
      <c r="BU2" s="180"/>
      <c r="BV2" s="180"/>
      <c r="BW2" s="180"/>
      <c r="BX2" s="180"/>
      <c r="BY2" s="180"/>
      <c r="BZ2" s="180"/>
      <c r="CA2" s="180"/>
      <c r="CB2" s="180"/>
      <c r="CC2" s="180"/>
      <c r="CD2" s="180"/>
      <c r="CE2" s="180"/>
      <c r="CF2" s="180"/>
      <c r="CG2" s="180"/>
      <c r="CH2" s="180"/>
      <c r="CI2" s="180"/>
      <c r="CJ2" s="180"/>
      <c r="CK2" s="180"/>
      <c r="CL2" s="180"/>
      <c r="CM2" s="180"/>
      <c r="CN2" s="180"/>
      <c r="CO2" s="180"/>
      <c r="CP2" s="180"/>
      <c r="CQ2" s="180"/>
      <c r="CR2" s="180"/>
      <c r="CS2" s="180"/>
      <c r="CT2" s="180"/>
      <c r="CU2" s="180"/>
      <c r="CV2" s="180"/>
      <c r="CW2" s="180"/>
      <c r="CX2" s="180"/>
      <c r="CY2" s="180"/>
      <c r="CZ2" s="180"/>
      <c r="DA2" s="180"/>
      <c r="DB2" s="180"/>
      <c r="DC2" s="180"/>
      <c r="DD2" s="180"/>
      <c r="DE2" s="180"/>
      <c r="DF2" s="180"/>
      <c r="DG2" s="180"/>
      <c r="DH2" s="180"/>
      <c r="DI2" s="180"/>
      <c r="DJ2" s="180"/>
      <c r="DK2" s="180"/>
      <c r="DL2" s="180"/>
      <c r="DM2" s="180"/>
      <c r="DN2" s="180"/>
      <c r="DO2" s="180"/>
      <c r="DP2" s="180"/>
      <c r="DQ2" s="180"/>
      <c r="DR2" s="180"/>
      <c r="DS2" s="180"/>
      <c r="DT2" s="180"/>
      <c r="DU2" s="180"/>
      <c r="DV2" s="180"/>
      <c r="DW2" s="180"/>
      <c r="DX2" s="180"/>
      <c r="DY2" s="180"/>
      <c r="DZ2" s="180"/>
      <c r="EA2" s="180"/>
      <c r="EB2" s="180"/>
      <c r="EC2" s="180"/>
      <c r="ED2" s="180"/>
      <c r="EE2" s="180"/>
      <c r="EF2" s="180"/>
      <c r="EG2" s="180"/>
      <c r="EH2" s="180"/>
      <c r="EI2" s="180"/>
      <c r="EJ2" s="180"/>
      <c r="EK2" s="180"/>
      <c r="EL2" s="180"/>
      <c r="EM2" s="180"/>
      <c r="EN2" s="180"/>
      <c r="EO2" s="180"/>
      <c r="EP2" s="180"/>
      <c r="EQ2" s="180"/>
      <c r="ER2" s="180"/>
      <c r="ES2" s="180"/>
      <c r="ET2" s="180"/>
      <c r="EU2" s="180"/>
      <c r="EV2" s="180"/>
      <c r="EW2" s="180"/>
      <c r="EX2" s="180"/>
      <c r="EY2" s="180"/>
      <c r="EZ2" s="180"/>
      <c r="FA2" s="180"/>
      <c r="FB2" s="180"/>
      <c r="FC2" s="180"/>
      <c r="FD2" s="180"/>
      <c r="FE2" s="180"/>
      <c r="FF2" s="180"/>
      <c r="FG2" s="180"/>
      <c r="FH2" s="180"/>
      <c r="FI2" s="180"/>
      <c r="FJ2" s="180"/>
      <c r="FK2" s="180"/>
      <c r="FL2" s="180"/>
      <c r="FM2" s="180"/>
      <c r="FN2" s="180"/>
      <c r="FO2" s="180"/>
      <c r="FP2" s="180"/>
      <c r="FQ2" s="180"/>
      <c r="FR2" s="180"/>
      <c r="FS2" s="180"/>
      <c r="FT2" s="180"/>
      <c r="FU2" s="180"/>
      <c r="FV2" s="180"/>
      <c r="FW2" s="180"/>
      <c r="FX2" s="180"/>
      <c r="FY2" s="180"/>
      <c r="FZ2" s="180"/>
      <c r="GA2" s="180"/>
      <c r="GB2" s="180"/>
      <c r="GC2" s="180"/>
      <c r="GD2" s="180"/>
      <c r="GE2" s="180"/>
      <c r="GF2" s="180"/>
      <c r="GG2" s="180"/>
      <c r="GH2" s="180"/>
      <c r="GI2" s="180"/>
      <c r="GJ2" s="180"/>
      <c r="GK2" s="180"/>
      <c r="GL2" s="180"/>
      <c r="GM2" s="180"/>
      <c r="GN2" s="180"/>
      <c r="GO2" s="180"/>
      <c r="GP2" s="180"/>
      <c r="GQ2" s="180"/>
      <c r="GR2" s="180"/>
      <c r="GS2" s="180"/>
      <c r="GT2" s="180"/>
      <c r="GU2" s="180"/>
      <c r="GV2" s="180"/>
      <c r="GW2" s="180"/>
      <c r="GX2" s="180"/>
      <c r="GY2" s="180"/>
      <c r="GZ2" s="180"/>
      <c r="HA2" s="180"/>
      <c r="HB2" s="180"/>
      <c r="HC2" s="180"/>
      <c r="HD2" s="180"/>
      <c r="HE2" s="180"/>
      <c r="HF2" s="180"/>
      <c r="HG2" s="180"/>
      <c r="HH2" s="180"/>
      <c r="HI2" s="180"/>
      <c r="HJ2" s="180"/>
      <c r="HK2" s="180"/>
      <c r="HL2" s="180"/>
      <c r="HM2" s="180"/>
      <c r="HN2" s="180"/>
      <c r="HO2" s="180"/>
      <c r="HP2" s="180"/>
      <c r="HQ2" s="180"/>
      <c r="HR2" s="180"/>
      <c r="HS2" s="180"/>
      <c r="HT2" s="180"/>
      <c r="HU2" s="180"/>
      <c r="HV2" s="180"/>
      <c r="HW2" s="180"/>
      <c r="HX2" s="180"/>
      <c r="HY2" s="180"/>
      <c r="HZ2" s="180"/>
      <c r="IA2" s="180"/>
      <c r="IB2" s="180"/>
      <c r="IC2" s="180"/>
      <c r="ID2" s="180"/>
      <c r="IE2" s="180"/>
      <c r="IF2" s="180"/>
      <c r="IG2" s="180"/>
      <c r="IH2" s="180"/>
      <c r="II2" s="180"/>
      <c r="IJ2" s="180"/>
      <c r="IK2" s="180"/>
      <c r="IL2" s="180"/>
      <c r="IM2" s="180"/>
      <c r="IN2" s="180"/>
      <c r="IO2" s="180"/>
      <c r="IP2" s="180"/>
      <c r="IQ2" s="180"/>
      <c r="IR2" s="180"/>
      <c r="IS2" s="180"/>
      <c r="IT2" s="180"/>
      <c r="IU2" s="180"/>
      <c r="IV2" s="180"/>
      <c r="IW2" s="180"/>
    </row>
    <row r="3" customFormat="false" ht="45" hidden="false" customHeight="true" outlineLevel="0" collapsed="false">
      <c r="A3" s="383" t="s">
        <v>265</v>
      </c>
      <c r="B3" s="206" t="s">
        <v>266</v>
      </c>
      <c r="C3" s="378"/>
      <c r="D3" s="378"/>
      <c r="E3" s="378"/>
      <c r="F3" s="378"/>
      <c r="G3" s="206" t="s">
        <v>113</v>
      </c>
      <c r="H3" s="206" t="s">
        <v>267</v>
      </c>
      <c r="I3" s="206" t="s">
        <v>115</v>
      </c>
      <c r="J3" s="206" t="s">
        <v>116</v>
      </c>
      <c r="K3" s="206"/>
      <c r="L3" s="206"/>
      <c r="M3" s="206"/>
      <c r="N3" s="206"/>
      <c r="O3" s="206"/>
      <c r="P3" s="206"/>
      <c r="Q3" s="206"/>
      <c r="R3" s="206"/>
      <c r="S3" s="381"/>
      <c r="T3" s="382"/>
      <c r="U3" s="381"/>
      <c r="V3" s="384"/>
      <c r="W3" s="384"/>
      <c r="X3" s="384"/>
      <c r="Y3" s="384"/>
      <c r="Z3" s="384"/>
      <c r="AA3" s="384"/>
      <c r="AB3" s="384"/>
      <c r="AC3" s="384"/>
      <c r="AD3" s="384"/>
      <c r="AE3" s="384"/>
      <c r="AF3" s="384"/>
      <c r="AG3" s="384"/>
      <c r="AH3" s="384"/>
      <c r="AI3" s="384"/>
      <c r="AJ3" s="384"/>
      <c r="AK3" s="384"/>
      <c r="AL3" s="384"/>
      <c r="AM3" s="384"/>
      <c r="AN3" s="384"/>
      <c r="AO3" s="384"/>
      <c r="AP3" s="384"/>
      <c r="AQ3" s="384"/>
      <c r="AR3" s="384"/>
      <c r="AS3" s="384"/>
      <c r="AT3" s="384"/>
      <c r="AU3" s="384"/>
      <c r="AV3" s="384"/>
      <c r="AW3" s="384"/>
      <c r="AX3" s="384"/>
      <c r="AY3" s="384"/>
      <c r="AZ3" s="384"/>
      <c r="BA3" s="384"/>
      <c r="BB3" s="384"/>
      <c r="BC3" s="384"/>
      <c r="BD3" s="384"/>
      <c r="BE3" s="384"/>
      <c r="BF3" s="384"/>
      <c r="BG3" s="384"/>
      <c r="BH3" s="384"/>
      <c r="BI3" s="384"/>
      <c r="BJ3" s="384"/>
      <c r="BK3" s="384"/>
      <c r="BL3" s="384"/>
      <c r="BM3" s="384"/>
      <c r="BN3" s="384"/>
      <c r="BO3" s="384"/>
      <c r="BP3" s="384"/>
      <c r="BQ3" s="384"/>
      <c r="BR3" s="384"/>
      <c r="BS3" s="384"/>
      <c r="BT3" s="384"/>
      <c r="BU3" s="384"/>
      <c r="BV3" s="384"/>
      <c r="BW3" s="384"/>
      <c r="BX3" s="384"/>
      <c r="BY3" s="384"/>
      <c r="BZ3" s="384"/>
      <c r="CA3" s="384"/>
      <c r="CB3" s="384"/>
      <c r="CC3" s="384"/>
      <c r="CD3" s="384"/>
      <c r="CE3" s="384"/>
      <c r="CF3" s="384"/>
      <c r="CG3" s="384"/>
      <c r="CH3" s="384"/>
      <c r="CI3" s="384"/>
      <c r="CJ3" s="384"/>
      <c r="CK3" s="384"/>
      <c r="CL3" s="384"/>
      <c r="CM3" s="384"/>
      <c r="CN3" s="384"/>
      <c r="CO3" s="384"/>
      <c r="CP3" s="384"/>
      <c r="CQ3" s="384"/>
      <c r="CR3" s="384"/>
      <c r="CS3" s="384"/>
      <c r="CT3" s="384"/>
      <c r="CU3" s="384"/>
      <c r="CV3" s="384"/>
      <c r="CW3" s="384"/>
      <c r="CX3" s="384"/>
      <c r="CY3" s="384"/>
      <c r="CZ3" s="384"/>
      <c r="DA3" s="384"/>
      <c r="DB3" s="384"/>
      <c r="DC3" s="384"/>
      <c r="DD3" s="384"/>
      <c r="DE3" s="384"/>
      <c r="DF3" s="384"/>
      <c r="DG3" s="384"/>
      <c r="DH3" s="384"/>
      <c r="DI3" s="384"/>
      <c r="DJ3" s="384"/>
      <c r="DK3" s="384"/>
      <c r="DL3" s="384"/>
      <c r="DM3" s="384"/>
      <c r="DN3" s="384"/>
      <c r="DO3" s="384"/>
      <c r="DP3" s="384"/>
      <c r="DQ3" s="384"/>
      <c r="DR3" s="384"/>
      <c r="DS3" s="384"/>
      <c r="DT3" s="384"/>
      <c r="DU3" s="384"/>
      <c r="DV3" s="384"/>
      <c r="DW3" s="384"/>
      <c r="DX3" s="384"/>
      <c r="DY3" s="384"/>
      <c r="DZ3" s="384"/>
      <c r="EA3" s="384"/>
      <c r="EB3" s="384"/>
      <c r="EC3" s="384"/>
      <c r="ED3" s="384"/>
      <c r="EE3" s="384"/>
      <c r="EF3" s="384"/>
      <c r="EG3" s="384"/>
      <c r="EH3" s="384"/>
      <c r="EI3" s="384"/>
      <c r="EJ3" s="384"/>
      <c r="EK3" s="384"/>
      <c r="EL3" s="384"/>
      <c r="EM3" s="384"/>
      <c r="EN3" s="384"/>
      <c r="EO3" s="384"/>
      <c r="EP3" s="384"/>
      <c r="EQ3" s="384"/>
      <c r="ER3" s="384"/>
      <c r="ES3" s="384"/>
      <c r="ET3" s="384"/>
      <c r="EU3" s="384"/>
      <c r="EV3" s="384"/>
      <c r="EW3" s="384"/>
      <c r="EX3" s="384"/>
      <c r="EY3" s="384"/>
      <c r="EZ3" s="384"/>
      <c r="FA3" s="384"/>
      <c r="FB3" s="384"/>
      <c r="FC3" s="384"/>
      <c r="FD3" s="384"/>
      <c r="FE3" s="384"/>
      <c r="FF3" s="384"/>
      <c r="FG3" s="384"/>
      <c r="FH3" s="384"/>
      <c r="FI3" s="384"/>
      <c r="FJ3" s="384"/>
      <c r="FK3" s="384"/>
      <c r="FL3" s="384"/>
      <c r="FM3" s="384"/>
      <c r="FN3" s="384"/>
      <c r="FO3" s="384"/>
      <c r="FP3" s="384"/>
      <c r="FQ3" s="384"/>
      <c r="FR3" s="384"/>
      <c r="FS3" s="384"/>
      <c r="FT3" s="384"/>
      <c r="FU3" s="384"/>
      <c r="FV3" s="384"/>
      <c r="FW3" s="384"/>
      <c r="FX3" s="384"/>
      <c r="FY3" s="384"/>
      <c r="FZ3" s="384"/>
      <c r="GA3" s="384"/>
      <c r="GB3" s="384"/>
      <c r="GC3" s="384"/>
      <c r="GD3" s="384"/>
      <c r="GE3" s="384"/>
      <c r="GF3" s="384"/>
      <c r="GG3" s="384"/>
      <c r="GH3" s="384"/>
      <c r="GI3" s="384"/>
      <c r="GJ3" s="384"/>
      <c r="GK3" s="384"/>
      <c r="GL3" s="384"/>
      <c r="GM3" s="384"/>
      <c r="GN3" s="384"/>
      <c r="GO3" s="384"/>
      <c r="GP3" s="384"/>
      <c r="GQ3" s="384"/>
      <c r="GR3" s="384"/>
      <c r="GS3" s="384"/>
      <c r="GT3" s="384"/>
      <c r="GU3" s="384"/>
      <c r="GV3" s="384"/>
      <c r="GW3" s="384"/>
      <c r="GX3" s="384"/>
      <c r="GY3" s="384"/>
      <c r="GZ3" s="384"/>
      <c r="HA3" s="384"/>
      <c r="HB3" s="384"/>
      <c r="HC3" s="384"/>
      <c r="HD3" s="384"/>
      <c r="HE3" s="384"/>
      <c r="HF3" s="384"/>
      <c r="HG3" s="384"/>
      <c r="HH3" s="384"/>
      <c r="HI3" s="384"/>
      <c r="HJ3" s="384"/>
      <c r="HK3" s="384"/>
      <c r="HL3" s="384"/>
      <c r="HM3" s="384"/>
      <c r="HN3" s="384"/>
      <c r="HO3" s="384"/>
      <c r="HP3" s="384"/>
      <c r="HQ3" s="384"/>
      <c r="HR3" s="384"/>
      <c r="HS3" s="384"/>
      <c r="HT3" s="384"/>
      <c r="HU3" s="384"/>
      <c r="HV3" s="384"/>
      <c r="HW3" s="384"/>
      <c r="HX3" s="384"/>
      <c r="HY3" s="384"/>
      <c r="HZ3" s="384"/>
      <c r="IA3" s="384"/>
      <c r="IB3" s="384"/>
      <c r="IC3" s="384"/>
      <c r="ID3" s="384"/>
      <c r="IE3" s="384"/>
      <c r="IF3" s="384"/>
      <c r="IG3" s="384"/>
      <c r="IH3" s="384"/>
      <c r="II3" s="384"/>
      <c r="IJ3" s="384"/>
      <c r="IK3" s="384"/>
      <c r="IL3" s="384"/>
      <c r="IM3" s="384"/>
      <c r="IN3" s="384"/>
      <c r="IO3" s="384"/>
      <c r="IP3" s="384"/>
      <c r="IQ3" s="384"/>
      <c r="IR3" s="384"/>
      <c r="IS3" s="384"/>
      <c r="IT3" s="384"/>
      <c r="IU3" s="384"/>
      <c r="IV3" s="384"/>
      <c r="IW3" s="384"/>
    </row>
    <row r="4" customFormat="false" ht="12.75" hidden="false" customHeight="false" outlineLevel="0" collapsed="false">
      <c r="A4" s="385" t="str">
        <f aca="false">IF((E1&lt;&gt;0),Admin!$B$9," ")</f>
        <v> </v>
      </c>
      <c r="B4" s="206"/>
      <c r="C4" s="206"/>
      <c r="D4" s="206"/>
      <c r="E4" s="206"/>
      <c r="F4" s="206"/>
      <c r="G4" s="374" t="s">
        <v>268</v>
      </c>
      <c r="H4" s="374" t="s">
        <v>269</v>
      </c>
      <c r="I4" s="374" t="s">
        <v>270</v>
      </c>
      <c r="J4" s="374" t="s">
        <v>271</v>
      </c>
      <c r="K4" s="374" t="s">
        <v>272</v>
      </c>
      <c r="L4" s="374" t="s">
        <v>273</v>
      </c>
      <c r="M4" s="374" t="s">
        <v>274</v>
      </c>
      <c r="N4" s="374" t="s">
        <v>275</v>
      </c>
      <c r="O4" s="374" t="s">
        <v>276</v>
      </c>
      <c r="P4" s="374" t="s">
        <v>277</v>
      </c>
      <c r="Q4" s="374" t="s">
        <v>278</v>
      </c>
      <c r="R4" s="374" t="s">
        <v>279</v>
      </c>
      <c r="S4" s="386" t="s">
        <v>280</v>
      </c>
      <c r="T4" s="382"/>
      <c r="U4" s="393" t="n">
        <f aca="false">IF((A1&lt;Admin!$F$22),((A1-PurchasesJul!A1)*Admin!$G$21),(A1*Admin!$G$21-(A1-Admin!$F$21)*(Admin!$G$21-Admin!$G$22)-PurchasesJul!A2))</f>
        <v>0</v>
      </c>
      <c r="V4" s="387"/>
      <c r="W4" s="387"/>
      <c r="X4" s="387"/>
      <c r="Y4" s="387"/>
      <c r="Z4" s="387"/>
      <c r="AA4" s="387"/>
      <c r="AB4" s="387"/>
      <c r="AC4" s="387"/>
      <c r="AD4" s="387"/>
      <c r="AE4" s="387"/>
      <c r="AF4" s="387"/>
      <c r="AG4" s="387"/>
      <c r="AH4" s="387"/>
      <c r="AI4" s="387"/>
      <c r="AJ4" s="387"/>
      <c r="AK4" s="387"/>
      <c r="AL4" s="387"/>
      <c r="AM4" s="387"/>
      <c r="AN4" s="387"/>
      <c r="AO4" s="387"/>
      <c r="AP4" s="387"/>
      <c r="AQ4" s="387"/>
      <c r="AR4" s="387"/>
      <c r="AS4" s="387"/>
      <c r="AT4" s="387"/>
      <c r="AU4" s="387"/>
      <c r="AV4" s="387"/>
      <c r="AW4" s="387"/>
      <c r="AX4" s="387"/>
      <c r="AY4" s="387"/>
      <c r="AZ4" s="387"/>
      <c r="BA4" s="387"/>
      <c r="BB4" s="387"/>
      <c r="BC4" s="387"/>
      <c r="BD4" s="387"/>
      <c r="BE4" s="387"/>
      <c r="BF4" s="387"/>
      <c r="BG4" s="387"/>
      <c r="BH4" s="387"/>
      <c r="BI4" s="387"/>
      <c r="BJ4" s="387"/>
      <c r="BK4" s="387"/>
      <c r="BL4" s="387"/>
      <c r="BM4" s="387"/>
      <c r="BN4" s="387"/>
      <c r="BO4" s="387"/>
      <c r="BP4" s="387"/>
      <c r="BQ4" s="387"/>
      <c r="BR4" s="387"/>
      <c r="BS4" s="387"/>
      <c r="BT4" s="387"/>
      <c r="BU4" s="387"/>
      <c r="BV4" s="387"/>
      <c r="BW4" s="387"/>
      <c r="BX4" s="387"/>
      <c r="BY4" s="387"/>
      <c r="BZ4" s="387"/>
      <c r="CA4" s="387"/>
      <c r="CB4" s="387"/>
      <c r="CC4" s="387"/>
      <c r="CD4" s="387"/>
      <c r="CE4" s="387"/>
      <c r="CF4" s="387"/>
      <c r="CG4" s="387"/>
      <c r="CH4" s="387"/>
      <c r="CI4" s="387"/>
      <c r="CJ4" s="387"/>
      <c r="CK4" s="387"/>
      <c r="CL4" s="387"/>
      <c r="CM4" s="387"/>
      <c r="CN4" s="387"/>
      <c r="CO4" s="387"/>
      <c r="CP4" s="387"/>
      <c r="CQ4" s="387"/>
      <c r="CR4" s="387"/>
      <c r="CS4" s="387"/>
      <c r="CT4" s="387"/>
      <c r="CU4" s="387"/>
      <c r="CV4" s="387"/>
      <c r="CW4" s="387"/>
      <c r="CX4" s="387"/>
      <c r="CY4" s="387"/>
      <c r="CZ4" s="387"/>
      <c r="DA4" s="387"/>
      <c r="DB4" s="387"/>
      <c r="DC4" s="387"/>
      <c r="DD4" s="387"/>
      <c r="DE4" s="387"/>
      <c r="DF4" s="387"/>
      <c r="DG4" s="387"/>
      <c r="DH4" s="387"/>
      <c r="DI4" s="387"/>
      <c r="DJ4" s="387"/>
      <c r="DK4" s="387"/>
      <c r="DL4" s="387"/>
      <c r="DM4" s="387"/>
      <c r="DN4" s="387"/>
      <c r="DO4" s="387"/>
      <c r="DP4" s="387"/>
      <c r="DQ4" s="387"/>
      <c r="DR4" s="387"/>
      <c r="DS4" s="387"/>
      <c r="DT4" s="387"/>
      <c r="DU4" s="387"/>
      <c r="DV4" s="387"/>
      <c r="DW4" s="387"/>
      <c r="DX4" s="387"/>
      <c r="DY4" s="387"/>
      <c r="DZ4" s="387"/>
      <c r="EA4" s="387"/>
      <c r="EB4" s="387"/>
      <c r="EC4" s="387"/>
      <c r="ED4" s="387"/>
      <c r="EE4" s="387"/>
      <c r="EF4" s="387"/>
      <c r="EG4" s="387"/>
      <c r="EH4" s="387"/>
      <c r="EI4" s="387"/>
      <c r="EJ4" s="387"/>
      <c r="EK4" s="387"/>
      <c r="EL4" s="387"/>
      <c r="EM4" s="387"/>
      <c r="EN4" s="387"/>
      <c r="EO4" s="387"/>
      <c r="EP4" s="387"/>
      <c r="EQ4" s="387"/>
      <c r="ER4" s="387"/>
      <c r="ES4" s="387"/>
      <c r="ET4" s="387"/>
      <c r="EU4" s="387"/>
      <c r="EV4" s="387"/>
      <c r="EW4" s="387"/>
      <c r="EX4" s="387"/>
      <c r="EY4" s="387"/>
      <c r="EZ4" s="387"/>
      <c r="FA4" s="387"/>
      <c r="FB4" s="387"/>
      <c r="FC4" s="387"/>
      <c r="FD4" s="387"/>
      <c r="FE4" s="387"/>
      <c r="FF4" s="387"/>
      <c r="FG4" s="387"/>
      <c r="FH4" s="387"/>
      <c r="FI4" s="387"/>
      <c r="FJ4" s="387"/>
      <c r="FK4" s="387"/>
      <c r="FL4" s="387"/>
      <c r="FM4" s="387"/>
      <c r="FN4" s="387"/>
      <c r="FO4" s="387"/>
      <c r="FP4" s="387"/>
      <c r="FQ4" s="387"/>
      <c r="FR4" s="387"/>
      <c r="FS4" s="387"/>
      <c r="FT4" s="387"/>
      <c r="FU4" s="387"/>
      <c r="FV4" s="387"/>
      <c r="FW4" s="387"/>
      <c r="FX4" s="387"/>
      <c r="FY4" s="387"/>
      <c r="FZ4" s="387"/>
      <c r="GA4" s="387"/>
      <c r="GB4" s="387"/>
      <c r="GC4" s="387"/>
      <c r="GD4" s="387"/>
      <c r="GE4" s="387"/>
      <c r="GF4" s="387"/>
      <c r="GG4" s="387"/>
      <c r="GH4" s="387"/>
      <c r="GI4" s="387"/>
      <c r="GJ4" s="387"/>
      <c r="GK4" s="387"/>
      <c r="GL4" s="387"/>
      <c r="GM4" s="387"/>
      <c r="GN4" s="387"/>
      <c r="GO4" s="387"/>
      <c r="GP4" s="387"/>
      <c r="GQ4" s="387"/>
      <c r="GR4" s="387"/>
      <c r="GS4" s="387"/>
      <c r="GT4" s="387"/>
      <c r="GU4" s="387"/>
      <c r="GV4" s="387"/>
      <c r="GW4" s="387"/>
      <c r="GX4" s="387"/>
      <c r="GY4" s="387"/>
      <c r="GZ4" s="387"/>
      <c r="HA4" s="387"/>
      <c r="HB4" s="387"/>
      <c r="HC4" s="387"/>
      <c r="HD4" s="387"/>
      <c r="HE4" s="387"/>
      <c r="HF4" s="387"/>
      <c r="HG4" s="387"/>
      <c r="HH4" s="387"/>
      <c r="HI4" s="387"/>
      <c r="HJ4" s="387"/>
      <c r="HK4" s="387"/>
      <c r="HL4" s="387"/>
      <c r="HM4" s="387"/>
      <c r="HN4" s="387"/>
      <c r="HO4" s="387"/>
      <c r="HP4" s="387"/>
      <c r="HQ4" s="387"/>
      <c r="HR4" s="387"/>
      <c r="HS4" s="387"/>
      <c r="HT4" s="387"/>
      <c r="HU4" s="387"/>
      <c r="HV4" s="387"/>
      <c r="HW4" s="387"/>
      <c r="HX4" s="387"/>
      <c r="HY4" s="387"/>
      <c r="HZ4" s="387"/>
      <c r="IA4" s="387"/>
      <c r="IB4" s="387"/>
      <c r="IC4" s="387"/>
      <c r="ID4" s="387"/>
      <c r="IE4" s="387"/>
      <c r="IF4" s="387"/>
      <c r="IG4" s="387"/>
      <c r="IH4" s="387"/>
      <c r="II4" s="387"/>
      <c r="IJ4" s="387"/>
      <c r="IK4" s="387"/>
      <c r="IL4" s="387"/>
      <c r="IM4" s="387"/>
      <c r="IN4" s="387"/>
      <c r="IO4" s="387"/>
      <c r="IP4" s="387"/>
      <c r="IQ4" s="387"/>
      <c r="IR4" s="387"/>
      <c r="IS4" s="387"/>
      <c r="IT4" s="387"/>
      <c r="IU4" s="387"/>
      <c r="IV4" s="387"/>
      <c r="IW4" s="387"/>
    </row>
    <row r="5" customFormat="false" ht="12.75" hidden="false" customHeight="false" outlineLevel="0" collapsed="false">
      <c r="A5" s="370" t="n">
        <v>46249</v>
      </c>
      <c r="B5" s="388" t="s">
        <v>286</v>
      </c>
      <c r="C5" s="371"/>
      <c r="D5" s="371" t="s">
        <v>287</v>
      </c>
      <c r="F5" s="371" t="n">
        <v>300</v>
      </c>
      <c r="G5" s="180" t="n">
        <f aca="false">IF((D5="d"),F5," ")</f>
        <v>300</v>
      </c>
      <c r="H5" s="180" t="str">
        <f aca="false">IF((D5="h"),F5," ")</f>
        <v> </v>
      </c>
      <c r="I5" s="180" t="str">
        <f aca="false">IF((D5="r"),F5," ")</f>
        <v> </v>
      </c>
      <c r="J5" s="180" t="str">
        <f aca="false">IF((D5="t"),F5," ")</f>
        <v> </v>
      </c>
      <c r="K5" s="180" t="str">
        <f aca="false">IF((D5="e"),F5," ")</f>
        <v> </v>
      </c>
      <c r="L5" s="180" t="str">
        <f aca="false">IF((D5="p"),F5," ")</f>
        <v> </v>
      </c>
      <c r="M5" s="180" t="str">
        <f aca="false">IF((D5="g"),F5," ")</f>
        <v> </v>
      </c>
      <c r="N5" s="180" t="str">
        <f aca="false">IF((D5="a"),F5," ")</f>
        <v> </v>
      </c>
      <c r="O5" s="180" t="str">
        <f aca="false">IF((D5="l"),F5," ")</f>
        <v> </v>
      </c>
      <c r="P5" s="180" t="str">
        <f aca="false">IF((D5="i"),F5," ")</f>
        <v> </v>
      </c>
      <c r="Q5" s="180" t="str">
        <f aca="false">IF((D5="b"),F5," ")</f>
        <v> </v>
      </c>
      <c r="R5" s="180" t="str">
        <f aca="false">IF((D5="o"),F5," ")</f>
        <v> </v>
      </c>
      <c r="S5" s="180" t="str">
        <f aca="false">IF((D5="f"),F5," ")</f>
        <v> </v>
      </c>
      <c r="T5" s="371"/>
      <c r="U5" s="371"/>
      <c r="V5" s="371"/>
      <c r="W5" s="371"/>
      <c r="X5" s="371"/>
      <c r="Y5" s="371"/>
      <c r="Z5" s="371"/>
      <c r="AA5" s="371"/>
      <c r="AB5" s="371"/>
      <c r="AC5" s="371"/>
      <c r="AD5" s="371"/>
      <c r="AE5" s="371"/>
      <c r="AF5" s="371"/>
      <c r="AG5" s="371"/>
      <c r="AH5" s="371"/>
      <c r="AI5" s="371"/>
      <c r="AJ5" s="371"/>
      <c r="AK5" s="371"/>
      <c r="AL5" s="371"/>
      <c r="AM5" s="371"/>
      <c r="AN5" s="371"/>
      <c r="AO5" s="371"/>
      <c r="AP5" s="371"/>
      <c r="AQ5" s="371"/>
      <c r="AR5" s="371"/>
      <c r="AS5" s="371"/>
      <c r="AT5" s="371"/>
      <c r="AU5" s="371"/>
      <c r="AV5" s="371"/>
      <c r="AW5" s="371"/>
      <c r="AX5" s="371"/>
      <c r="AY5" s="371"/>
      <c r="AZ5" s="371"/>
      <c r="BA5" s="371"/>
      <c r="BB5" s="371"/>
      <c r="BC5" s="371"/>
      <c r="BD5" s="371"/>
      <c r="BE5" s="371"/>
      <c r="BF5" s="371"/>
      <c r="BG5" s="371"/>
      <c r="BH5" s="371"/>
      <c r="BI5" s="371"/>
      <c r="BJ5" s="371"/>
      <c r="BK5" s="371"/>
      <c r="BL5" s="371"/>
      <c r="BM5" s="371"/>
      <c r="BN5" s="371"/>
      <c r="BO5" s="371"/>
      <c r="BP5" s="371"/>
      <c r="BQ5" s="371"/>
      <c r="BR5" s="371"/>
      <c r="BS5" s="371"/>
      <c r="BT5" s="371"/>
      <c r="BU5" s="371"/>
      <c r="BV5" s="371"/>
      <c r="BW5" s="371"/>
      <c r="BX5" s="371"/>
      <c r="BY5" s="371"/>
      <c r="BZ5" s="371"/>
      <c r="CA5" s="371"/>
      <c r="CB5" s="371"/>
      <c r="CC5" s="371"/>
      <c r="CD5" s="371"/>
      <c r="CE5" s="371"/>
      <c r="CF5" s="371"/>
      <c r="CG5" s="371"/>
      <c r="CH5" s="371"/>
      <c r="CI5" s="371"/>
      <c r="CJ5" s="371"/>
      <c r="CK5" s="371"/>
      <c r="CL5" s="371"/>
      <c r="CM5" s="371"/>
      <c r="CN5" s="371"/>
      <c r="CO5" s="371"/>
      <c r="CP5" s="371"/>
      <c r="CQ5" s="371"/>
      <c r="CR5" s="371"/>
      <c r="CS5" s="371"/>
      <c r="CT5" s="371"/>
      <c r="CU5" s="371"/>
      <c r="CV5" s="371"/>
      <c r="CW5" s="371"/>
      <c r="CX5" s="371"/>
      <c r="CY5" s="371"/>
      <c r="CZ5" s="371"/>
      <c r="DA5" s="371"/>
      <c r="DB5" s="371"/>
      <c r="DC5" s="371"/>
      <c r="DD5" s="371"/>
      <c r="DE5" s="371"/>
      <c r="DF5" s="371"/>
      <c r="DG5" s="371"/>
      <c r="DH5" s="371"/>
      <c r="DI5" s="371"/>
      <c r="DJ5" s="371"/>
      <c r="DK5" s="371"/>
      <c r="DL5" s="371"/>
      <c r="DM5" s="371"/>
      <c r="DN5" s="371"/>
      <c r="DO5" s="371"/>
      <c r="DP5" s="371"/>
      <c r="DQ5" s="371"/>
      <c r="DR5" s="371"/>
      <c r="DS5" s="371"/>
      <c r="DT5" s="371"/>
      <c r="DU5" s="371"/>
      <c r="DV5" s="371"/>
      <c r="DW5" s="371"/>
      <c r="DX5" s="371"/>
      <c r="DY5" s="371"/>
      <c r="DZ5" s="371"/>
      <c r="EA5" s="371"/>
      <c r="EB5" s="371"/>
      <c r="EC5" s="371"/>
      <c r="ED5" s="371"/>
      <c r="EE5" s="371"/>
      <c r="EF5" s="371"/>
      <c r="EG5" s="371"/>
      <c r="EH5" s="371"/>
      <c r="EI5" s="371"/>
      <c r="EJ5" s="371"/>
      <c r="EK5" s="371"/>
      <c r="EL5" s="371"/>
      <c r="EM5" s="371"/>
      <c r="EN5" s="371"/>
      <c r="EO5" s="371"/>
      <c r="EP5" s="371"/>
      <c r="EQ5" s="371"/>
      <c r="ER5" s="371"/>
      <c r="ES5" s="371"/>
      <c r="ET5" s="371"/>
      <c r="EU5" s="371"/>
      <c r="EV5" s="371"/>
      <c r="EW5" s="371"/>
      <c r="EX5" s="371"/>
      <c r="EY5" s="371"/>
      <c r="EZ5" s="371"/>
      <c r="FA5" s="371"/>
      <c r="FB5" s="371"/>
      <c r="FC5" s="371"/>
      <c r="FD5" s="371"/>
      <c r="FE5" s="371"/>
      <c r="FF5" s="371"/>
      <c r="FG5" s="371"/>
      <c r="FH5" s="371"/>
      <c r="FI5" s="371"/>
      <c r="FJ5" s="371"/>
      <c r="FK5" s="371"/>
      <c r="FL5" s="371"/>
      <c r="FM5" s="371"/>
      <c r="FN5" s="371"/>
      <c r="FO5" s="371"/>
      <c r="FP5" s="371"/>
      <c r="FQ5" s="371"/>
      <c r="FR5" s="371"/>
      <c r="FS5" s="371"/>
      <c r="FT5" s="371"/>
      <c r="FU5" s="371"/>
      <c r="FV5" s="371"/>
      <c r="FW5" s="371"/>
      <c r="FX5" s="371"/>
      <c r="FY5" s="371"/>
      <c r="FZ5" s="371"/>
      <c r="GA5" s="371"/>
      <c r="GB5" s="371"/>
      <c r="GC5" s="371"/>
      <c r="GD5" s="371"/>
      <c r="GE5" s="371"/>
      <c r="GF5" s="371"/>
      <c r="GG5" s="371"/>
      <c r="GH5" s="371"/>
      <c r="GI5" s="371"/>
      <c r="GJ5" s="371"/>
      <c r="GK5" s="371"/>
      <c r="GL5" s="371"/>
      <c r="GM5" s="371"/>
      <c r="GN5" s="371"/>
      <c r="GO5" s="371"/>
      <c r="GP5" s="371"/>
      <c r="GQ5" s="371"/>
      <c r="GR5" s="371"/>
      <c r="GS5" s="371"/>
      <c r="GT5" s="371"/>
      <c r="GU5" s="371"/>
      <c r="GV5" s="371"/>
      <c r="GW5" s="371"/>
      <c r="GX5" s="371"/>
      <c r="GY5" s="371"/>
      <c r="GZ5" s="371"/>
      <c r="HA5" s="371"/>
      <c r="HB5" s="371"/>
      <c r="HC5" s="371"/>
      <c r="HD5" s="371"/>
      <c r="HE5" s="371"/>
      <c r="HF5" s="371"/>
      <c r="HG5" s="371"/>
      <c r="HH5" s="371"/>
      <c r="HI5" s="371"/>
      <c r="HJ5" s="371"/>
      <c r="HK5" s="371"/>
      <c r="HL5" s="371"/>
      <c r="HM5" s="371"/>
      <c r="HN5" s="371"/>
      <c r="HO5" s="371"/>
      <c r="HP5" s="371"/>
      <c r="HQ5" s="371"/>
      <c r="HR5" s="371"/>
      <c r="HS5" s="371"/>
      <c r="HT5" s="371"/>
      <c r="HU5" s="371"/>
      <c r="HV5" s="371"/>
      <c r="HW5" s="371"/>
      <c r="HX5" s="371"/>
      <c r="HY5" s="371"/>
      <c r="HZ5" s="371"/>
      <c r="IA5" s="371"/>
      <c r="IB5" s="371"/>
      <c r="IC5" s="371"/>
      <c r="ID5" s="371"/>
      <c r="IE5" s="371"/>
      <c r="IF5" s="371"/>
      <c r="IG5" s="371"/>
      <c r="IH5" s="371"/>
      <c r="II5" s="371"/>
      <c r="IJ5" s="371"/>
      <c r="IK5" s="371"/>
      <c r="IL5" s="371"/>
      <c r="IM5" s="371"/>
      <c r="IN5" s="371"/>
      <c r="IO5" s="371"/>
      <c r="IP5" s="371"/>
      <c r="IQ5" s="371"/>
      <c r="IR5" s="371"/>
      <c r="IS5" s="371"/>
      <c r="IT5" s="371"/>
      <c r="IU5" s="371"/>
      <c r="IV5" s="371"/>
      <c r="IW5" s="371"/>
    </row>
    <row r="6" customFormat="false" ht="12.75" hidden="false" customHeight="false" outlineLevel="0" collapsed="false">
      <c r="G6" s="180" t="str">
        <f aca="false">IF((D6="d"),F6," ")</f>
        <v> </v>
      </c>
      <c r="H6" s="180" t="str">
        <f aca="false">IF((D6="h"),F6," ")</f>
        <v> </v>
      </c>
      <c r="I6" s="180" t="str">
        <f aca="false">IF((D6="r"),F6," ")</f>
        <v> </v>
      </c>
      <c r="J6" s="180" t="str">
        <f aca="false">IF((D6="t"),F6," ")</f>
        <v> </v>
      </c>
      <c r="K6" s="180" t="str">
        <f aca="false">IF((D6="e"),F6," ")</f>
        <v> </v>
      </c>
      <c r="L6" s="180" t="str">
        <f aca="false">IF((D6="p"),F6," ")</f>
        <v> </v>
      </c>
      <c r="M6" s="180" t="str">
        <f aca="false">IF((D6="g"),F6," ")</f>
        <v> </v>
      </c>
      <c r="N6" s="180" t="str">
        <f aca="false">IF((D6="a"),F6," ")</f>
        <v> </v>
      </c>
      <c r="O6" s="180" t="str">
        <f aca="false">IF((D6="l"),F6," ")</f>
        <v> </v>
      </c>
      <c r="P6" s="180" t="str">
        <f aca="false">IF((D6="i"),F6," ")</f>
        <v> </v>
      </c>
      <c r="Q6" s="180" t="str">
        <f aca="false">IF((D6="b"),F6," ")</f>
        <v> </v>
      </c>
      <c r="R6" s="180" t="str">
        <f aca="false">IF((D6="o"),F6," ")</f>
        <v> </v>
      </c>
      <c r="S6" s="180" t="str">
        <f aca="false">IF((D6="f"),F6," ")</f>
        <v> </v>
      </c>
      <c r="U6" s="371"/>
    </row>
    <row r="7" customFormat="false" ht="12.75" hidden="false" customHeight="false" outlineLevel="0" collapsed="false">
      <c r="G7" s="180" t="str">
        <f aca="false">IF((D7="d"),F7," ")</f>
        <v> </v>
      </c>
      <c r="H7" s="180" t="str">
        <f aca="false">IF((D7="h"),F7," ")</f>
        <v> </v>
      </c>
      <c r="I7" s="180" t="str">
        <f aca="false">IF((D7="r"),F7," ")</f>
        <v> </v>
      </c>
      <c r="J7" s="180" t="str">
        <f aca="false">IF((D7="t"),F7," ")</f>
        <v> </v>
      </c>
      <c r="K7" s="180" t="str">
        <f aca="false">IF((D7="e"),F7," ")</f>
        <v> </v>
      </c>
      <c r="L7" s="180" t="str">
        <f aca="false">IF((D7="p"),F7," ")</f>
        <v> </v>
      </c>
      <c r="M7" s="180" t="str">
        <f aca="false">IF((D7="g"),F7," ")</f>
        <v> </v>
      </c>
      <c r="N7" s="180" t="str">
        <f aca="false">IF((D7="a"),F7," ")</f>
        <v> </v>
      </c>
      <c r="O7" s="180" t="str">
        <f aca="false">IF((D7="l"),F7," ")</f>
        <v> </v>
      </c>
      <c r="P7" s="180" t="str">
        <f aca="false">IF((D7="i"),F7," ")</f>
        <v> </v>
      </c>
      <c r="Q7" s="180" t="str">
        <f aca="false">IF((D7="b"),F7," ")</f>
        <v> </v>
      </c>
      <c r="R7" s="180" t="str">
        <f aca="false">IF((D7="o"),F7," ")</f>
        <v> </v>
      </c>
      <c r="S7" s="180" t="str">
        <f aca="false">IF((D7="f"),F7," ")</f>
        <v> </v>
      </c>
      <c r="U7" s="371"/>
    </row>
    <row r="8" customFormat="false" ht="12.75" hidden="false" customHeight="false" outlineLevel="0" collapsed="false">
      <c r="G8" s="180" t="str">
        <f aca="false">IF((D8="d"),F8," ")</f>
        <v> </v>
      </c>
      <c r="H8" s="180" t="str">
        <f aca="false">IF((D8="h"),F8," ")</f>
        <v> </v>
      </c>
      <c r="I8" s="180" t="str">
        <f aca="false">IF((D8="r"),F8," ")</f>
        <v> </v>
      </c>
      <c r="J8" s="180" t="str">
        <f aca="false">IF((D8="t"),F8," ")</f>
        <v> </v>
      </c>
      <c r="K8" s="180" t="str">
        <f aca="false">IF((D8="e"),F8," ")</f>
        <v> </v>
      </c>
      <c r="L8" s="180" t="str">
        <f aca="false">IF((D8="p"),F8," ")</f>
        <v> </v>
      </c>
      <c r="M8" s="180" t="str">
        <f aca="false">IF((D8="g"),F8," ")</f>
        <v> </v>
      </c>
      <c r="N8" s="180" t="str">
        <f aca="false">IF((D8="a"),F8," ")</f>
        <v> </v>
      </c>
      <c r="O8" s="180" t="str">
        <f aca="false">IF((D8="l"),F8," ")</f>
        <v> </v>
      </c>
      <c r="P8" s="180" t="str">
        <f aca="false">IF((D8="i"),F8," ")</f>
        <v> </v>
      </c>
      <c r="Q8" s="180" t="str">
        <f aca="false">IF((D8="b"),F8," ")</f>
        <v> </v>
      </c>
      <c r="R8" s="180" t="str">
        <f aca="false">IF((D8="o"),F8," ")</f>
        <v> </v>
      </c>
      <c r="S8" s="180" t="str">
        <f aca="false">IF((D8="f"),F8," ")</f>
        <v> </v>
      </c>
      <c r="U8" s="371"/>
    </row>
    <row r="9" customFormat="false" ht="12.75" hidden="false" customHeight="false" outlineLevel="0" collapsed="false">
      <c r="G9" s="180" t="str">
        <f aca="false">IF((D9="d"),F9," ")</f>
        <v> </v>
      </c>
      <c r="H9" s="180" t="str">
        <f aca="false">IF((D9="h"),F9," ")</f>
        <v> </v>
      </c>
      <c r="I9" s="180" t="str">
        <f aca="false">IF((D9="r"),F9," ")</f>
        <v> </v>
      </c>
      <c r="J9" s="180" t="str">
        <f aca="false">IF((D9="t"),F9," ")</f>
        <v> </v>
      </c>
      <c r="K9" s="180" t="str">
        <f aca="false">IF((D9="e"),F9," ")</f>
        <v> </v>
      </c>
      <c r="L9" s="180" t="str">
        <f aca="false">IF((D9="p"),F9," ")</f>
        <v> </v>
      </c>
      <c r="M9" s="180" t="str">
        <f aca="false">IF((D9="g"),F9," ")</f>
        <v> </v>
      </c>
      <c r="N9" s="180" t="str">
        <f aca="false">IF((D9="a"),F9," ")</f>
        <v> </v>
      </c>
      <c r="O9" s="180" t="str">
        <f aca="false">IF((D9="l"),F9," ")</f>
        <v> </v>
      </c>
      <c r="P9" s="180" t="str">
        <f aca="false">IF((D9="i"),F9," ")</f>
        <v> </v>
      </c>
      <c r="Q9" s="180" t="str">
        <f aca="false">IF((D9="b"),F9," ")</f>
        <v> </v>
      </c>
      <c r="R9" s="180" t="str">
        <f aca="false">IF((D9="o"),F9," ")</f>
        <v> </v>
      </c>
      <c r="S9" s="180" t="str">
        <f aca="false">IF((D9="f"),F9," ")</f>
        <v> </v>
      </c>
      <c r="U9" s="371"/>
    </row>
    <row r="10" customFormat="false" ht="12.75" hidden="false" customHeight="false" outlineLevel="0" collapsed="false">
      <c r="G10" s="180" t="str">
        <f aca="false">IF((D10="d"),F10," ")</f>
        <v> </v>
      </c>
      <c r="H10" s="180" t="str">
        <f aca="false">IF((D10="h"),F10," ")</f>
        <v> </v>
      </c>
      <c r="I10" s="180" t="str">
        <f aca="false">IF((D10="r"),F10," ")</f>
        <v> </v>
      </c>
      <c r="J10" s="180" t="str">
        <f aca="false">IF((D10="t"),F10," ")</f>
        <v> </v>
      </c>
      <c r="K10" s="180" t="str">
        <f aca="false">IF((D10="e"),F10," ")</f>
        <v> </v>
      </c>
      <c r="L10" s="180" t="str">
        <f aca="false">IF((D10="p"),F10," ")</f>
        <v> </v>
      </c>
      <c r="M10" s="180" t="str">
        <f aca="false">IF((D10="g"),F10," ")</f>
        <v> </v>
      </c>
      <c r="N10" s="180" t="str">
        <f aca="false">IF((D10="a"),F10," ")</f>
        <v> </v>
      </c>
      <c r="O10" s="180" t="str">
        <f aca="false">IF((D10="l"),F10," ")</f>
        <v> </v>
      </c>
      <c r="P10" s="180" t="str">
        <f aca="false">IF((D10="i"),F10," ")</f>
        <v> </v>
      </c>
      <c r="Q10" s="180" t="str">
        <f aca="false">IF((D10="b"),F10," ")</f>
        <v> </v>
      </c>
      <c r="R10" s="180" t="str">
        <f aca="false">IF((D10="o"),F10," ")</f>
        <v> </v>
      </c>
      <c r="S10" s="180" t="str">
        <f aca="false">IF((D10="f"),F10," ")</f>
        <v> </v>
      </c>
      <c r="U10" s="371"/>
    </row>
    <row r="11" customFormat="false" ht="12.75" hidden="false" customHeight="false" outlineLevel="0" collapsed="false">
      <c r="G11" s="180" t="str">
        <f aca="false">IF((D11="d"),F11," ")</f>
        <v> </v>
      </c>
      <c r="H11" s="180" t="str">
        <f aca="false">IF((D11="h"),F11," ")</f>
        <v> </v>
      </c>
      <c r="I11" s="180" t="str">
        <f aca="false">IF((D11="r"),F11," ")</f>
        <v> </v>
      </c>
      <c r="J11" s="180" t="str">
        <f aca="false">IF((D11="t"),F11," ")</f>
        <v> </v>
      </c>
      <c r="K11" s="180" t="str">
        <f aca="false">IF((D11="e"),F11," ")</f>
        <v> </v>
      </c>
      <c r="L11" s="180" t="str">
        <f aca="false">IF((D11="p"),F11," ")</f>
        <v> </v>
      </c>
      <c r="M11" s="180" t="str">
        <f aca="false">IF((D11="g"),F11," ")</f>
        <v> </v>
      </c>
      <c r="N11" s="180" t="str">
        <f aca="false">IF((D11="a"),F11," ")</f>
        <v> </v>
      </c>
      <c r="O11" s="180" t="str">
        <f aca="false">IF((D11="l"),F11," ")</f>
        <v> </v>
      </c>
      <c r="P11" s="180" t="str">
        <f aca="false">IF((D11="i"),F11," ")</f>
        <v> </v>
      </c>
      <c r="Q11" s="180" t="str">
        <f aca="false">IF((D11="b"),F11," ")</f>
        <v> </v>
      </c>
      <c r="R11" s="180" t="str">
        <f aca="false">IF((D11="o"),F11," ")</f>
        <v> </v>
      </c>
      <c r="S11" s="180" t="str">
        <f aca="false">IF((D11="f"),F11," ")</f>
        <v> </v>
      </c>
      <c r="U11" s="371"/>
    </row>
    <row r="12" customFormat="false" ht="12.75" hidden="false" customHeight="false" outlineLevel="0" collapsed="false">
      <c r="G12" s="180" t="str">
        <f aca="false">IF((D12="d"),F12," ")</f>
        <v> </v>
      </c>
      <c r="H12" s="180" t="str">
        <f aca="false">IF((D12="h"),F12," ")</f>
        <v> </v>
      </c>
      <c r="I12" s="180" t="str">
        <f aca="false">IF((D12="r"),F12," ")</f>
        <v> </v>
      </c>
      <c r="J12" s="180" t="str">
        <f aca="false">IF((D12="t"),F12," ")</f>
        <v> </v>
      </c>
      <c r="K12" s="180" t="str">
        <f aca="false">IF((D12="e"),F12," ")</f>
        <v> </v>
      </c>
      <c r="L12" s="180" t="str">
        <f aca="false">IF((D12="p"),F12," ")</f>
        <v> </v>
      </c>
      <c r="M12" s="180" t="str">
        <f aca="false">IF((D12="g"),F12," ")</f>
        <v> </v>
      </c>
      <c r="N12" s="180" t="str">
        <f aca="false">IF((D12="a"),F12," ")</f>
        <v> </v>
      </c>
      <c r="O12" s="180" t="str">
        <f aca="false">IF((D12="l"),F12," ")</f>
        <v> </v>
      </c>
      <c r="P12" s="180" t="str">
        <f aca="false">IF((D12="i"),F12," ")</f>
        <v> </v>
      </c>
      <c r="Q12" s="180" t="str">
        <f aca="false">IF((D12="b"),F12," ")</f>
        <v> </v>
      </c>
      <c r="R12" s="180" t="str">
        <f aca="false">IF((D12="o"),F12," ")</f>
        <v> </v>
      </c>
      <c r="S12" s="180" t="str">
        <f aca="false">IF((D12="f"),F12," ")</f>
        <v> </v>
      </c>
      <c r="U12" s="371"/>
    </row>
    <row r="13" customFormat="false" ht="12.75" hidden="false" customHeight="false" outlineLevel="0" collapsed="false">
      <c r="G13" s="180" t="str">
        <f aca="false">IF((D13="d"),F13," ")</f>
        <v> </v>
      </c>
      <c r="H13" s="180" t="str">
        <f aca="false">IF((D13="h"),F13," ")</f>
        <v> </v>
      </c>
      <c r="I13" s="180" t="str">
        <f aca="false">IF((D13="r"),F13," ")</f>
        <v> </v>
      </c>
      <c r="J13" s="180" t="str">
        <f aca="false">IF((D13="t"),F13," ")</f>
        <v> </v>
      </c>
      <c r="K13" s="180" t="str">
        <f aca="false">IF((D13="e"),F13," ")</f>
        <v> </v>
      </c>
      <c r="L13" s="180" t="str">
        <f aca="false">IF((D13="p"),F13," ")</f>
        <v> </v>
      </c>
      <c r="M13" s="180" t="str">
        <f aca="false">IF((D13="g"),F13," ")</f>
        <v> </v>
      </c>
      <c r="N13" s="180" t="str">
        <f aca="false">IF((D13="a"),F13," ")</f>
        <v> </v>
      </c>
      <c r="O13" s="180" t="str">
        <f aca="false">IF((D13="l"),F13," ")</f>
        <v> </v>
      </c>
      <c r="P13" s="180" t="str">
        <f aca="false">IF((D13="i"),F13," ")</f>
        <v> </v>
      </c>
      <c r="Q13" s="180" t="str">
        <f aca="false">IF((D13="b"),F13," ")</f>
        <v> </v>
      </c>
      <c r="R13" s="180" t="str">
        <f aca="false">IF((D13="o"),F13," ")</f>
        <v> </v>
      </c>
      <c r="S13" s="180" t="str">
        <f aca="false">IF((D13="f"),F13," ")</f>
        <v> </v>
      </c>
      <c r="U13" s="371"/>
    </row>
    <row r="14" customFormat="false" ht="12.75" hidden="false" customHeight="false" outlineLevel="0" collapsed="false">
      <c r="G14" s="180" t="str">
        <f aca="false">IF((D14="d"),F14," ")</f>
        <v> </v>
      </c>
      <c r="H14" s="180" t="str">
        <f aca="false">IF((D14="h"),F14," ")</f>
        <v> </v>
      </c>
      <c r="I14" s="180" t="str">
        <f aca="false">IF((D14="r"),F14," ")</f>
        <v> </v>
      </c>
      <c r="J14" s="180" t="str">
        <f aca="false">IF((D14="t"),F14," ")</f>
        <v> </v>
      </c>
      <c r="K14" s="180" t="str">
        <f aca="false">IF((D14="e"),F14," ")</f>
        <v> </v>
      </c>
      <c r="L14" s="180" t="str">
        <f aca="false">IF((D14="p"),F14," ")</f>
        <v> </v>
      </c>
      <c r="M14" s="180" t="str">
        <f aca="false">IF((D14="g"),F14," ")</f>
        <v> </v>
      </c>
      <c r="N14" s="180" t="str">
        <f aca="false">IF((D14="a"),F14," ")</f>
        <v> </v>
      </c>
      <c r="O14" s="180" t="str">
        <f aca="false">IF((D14="l"),F14," ")</f>
        <v> </v>
      </c>
      <c r="P14" s="180" t="str">
        <f aca="false">IF((D14="i"),F14," ")</f>
        <v> </v>
      </c>
      <c r="Q14" s="180" t="str">
        <f aca="false">IF((D14="b"),F14," ")</f>
        <v> </v>
      </c>
      <c r="R14" s="180" t="str">
        <f aca="false">IF((D14="o"),F14," ")</f>
        <v> </v>
      </c>
      <c r="S14" s="180" t="str">
        <f aca="false">IF((D14="f"),F14," ")</f>
        <v> </v>
      </c>
      <c r="U14" s="371"/>
    </row>
    <row r="15" customFormat="false" ht="12.75" hidden="false" customHeight="false" outlineLevel="0" collapsed="false">
      <c r="G15" s="180" t="str">
        <f aca="false">IF((D15="d"),F15," ")</f>
        <v> </v>
      </c>
      <c r="H15" s="180" t="str">
        <f aca="false">IF((D15="h"),F15," ")</f>
        <v> </v>
      </c>
      <c r="I15" s="180" t="str">
        <f aca="false">IF((D15="r"),F15," ")</f>
        <v> </v>
      </c>
      <c r="J15" s="180" t="str">
        <f aca="false">IF((D15="t"),F15," ")</f>
        <v> </v>
      </c>
      <c r="K15" s="180" t="str">
        <f aca="false">IF((D15="e"),F15," ")</f>
        <v> </v>
      </c>
      <c r="L15" s="180" t="str">
        <f aca="false">IF((D15="p"),F15," ")</f>
        <v> </v>
      </c>
      <c r="M15" s="180" t="str">
        <f aca="false">IF((D15="g"),F15," ")</f>
        <v> </v>
      </c>
      <c r="N15" s="180" t="str">
        <f aca="false">IF((D15="a"),F15," ")</f>
        <v> </v>
      </c>
      <c r="O15" s="180" t="str">
        <f aca="false">IF((D15="l"),F15," ")</f>
        <v> </v>
      </c>
      <c r="P15" s="180" t="str">
        <f aca="false">IF((D15="i"),F15," ")</f>
        <v> </v>
      </c>
      <c r="Q15" s="180" t="str">
        <f aca="false">IF((D15="b"),F15," ")</f>
        <v> </v>
      </c>
      <c r="R15" s="180" t="str">
        <f aca="false">IF((D15="o"),F15," ")</f>
        <v> </v>
      </c>
      <c r="S15" s="180" t="str">
        <f aca="false">IF((D15="f"),F15," ")</f>
        <v> </v>
      </c>
      <c r="U15" s="371"/>
    </row>
    <row r="16" customFormat="false" ht="12.75" hidden="false" customHeight="false" outlineLevel="0" collapsed="false">
      <c r="G16" s="180" t="str">
        <f aca="false">IF((D16="d"),F16," ")</f>
        <v> </v>
      </c>
      <c r="H16" s="180" t="str">
        <f aca="false">IF((D16="h"),F16," ")</f>
        <v> </v>
      </c>
      <c r="I16" s="180" t="str">
        <f aca="false">IF((D16="r"),F16," ")</f>
        <v> </v>
      </c>
      <c r="J16" s="180" t="str">
        <f aca="false">IF((D16="t"),F16," ")</f>
        <v> </v>
      </c>
      <c r="K16" s="180" t="str">
        <f aca="false">IF((D16="e"),F16," ")</f>
        <v> </v>
      </c>
      <c r="L16" s="180" t="str">
        <f aca="false">IF((D16="p"),F16," ")</f>
        <v> </v>
      </c>
      <c r="M16" s="180" t="str">
        <f aca="false">IF((D16="g"),F16," ")</f>
        <v> </v>
      </c>
      <c r="N16" s="180" t="str">
        <f aca="false">IF((D16="a"),F16," ")</f>
        <v> </v>
      </c>
      <c r="O16" s="180" t="str">
        <f aca="false">IF((D16="l"),F16," ")</f>
        <v> </v>
      </c>
      <c r="P16" s="180" t="str">
        <f aca="false">IF((D16="i"),F16," ")</f>
        <v> </v>
      </c>
      <c r="Q16" s="180" t="str">
        <f aca="false">IF((D16="b"),F16," ")</f>
        <v> </v>
      </c>
      <c r="R16" s="180" t="str">
        <f aca="false">IF((D16="o"),F16," ")</f>
        <v> </v>
      </c>
      <c r="S16" s="180" t="str">
        <f aca="false">IF((D16="f"),F16," ")</f>
        <v> </v>
      </c>
      <c r="U16" s="371"/>
    </row>
    <row r="17" customFormat="false" ht="12.75" hidden="false" customHeight="false" outlineLevel="0" collapsed="false">
      <c r="G17" s="180" t="str">
        <f aca="false">IF((D17="d"),F17," ")</f>
        <v> </v>
      </c>
      <c r="H17" s="180" t="str">
        <f aca="false">IF((D17="h"),F17," ")</f>
        <v> </v>
      </c>
      <c r="I17" s="180" t="str">
        <f aca="false">IF((D17="r"),F17," ")</f>
        <v> </v>
      </c>
      <c r="J17" s="180" t="str">
        <f aca="false">IF((D17="t"),F17," ")</f>
        <v> </v>
      </c>
      <c r="K17" s="180" t="str">
        <f aca="false">IF((D17="e"),F17," ")</f>
        <v> </v>
      </c>
      <c r="L17" s="180" t="str">
        <f aca="false">IF((D17="p"),F17," ")</f>
        <v> </v>
      </c>
      <c r="M17" s="180" t="str">
        <f aca="false">IF((D17="g"),F17," ")</f>
        <v> </v>
      </c>
      <c r="N17" s="180" t="str">
        <f aca="false">IF((D17="a"),F17," ")</f>
        <v> </v>
      </c>
      <c r="O17" s="180" t="str">
        <f aca="false">IF((D17="l"),F17," ")</f>
        <v> </v>
      </c>
      <c r="P17" s="180" t="str">
        <f aca="false">IF((D17="i"),F17," ")</f>
        <v> </v>
      </c>
      <c r="Q17" s="180" t="str">
        <f aca="false">IF((D17="b"),F17," ")</f>
        <v> </v>
      </c>
      <c r="R17" s="180" t="str">
        <f aca="false">IF((D17="o"),F17," ")</f>
        <v> </v>
      </c>
      <c r="S17" s="180" t="str">
        <f aca="false">IF((D17="f"),F17," ")</f>
        <v> </v>
      </c>
      <c r="U17" s="371"/>
    </row>
    <row r="18" customFormat="false" ht="12.75" hidden="false" customHeight="false" outlineLevel="0" collapsed="false">
      <c r="G18" s="180" t="str">
        <f aca="false">IF((D18="d"),F18," ")</f>
        <v> </v>
      </c>
      <c r="H18" s="180" t="str">
        <f aca="false">IF((D18="h"),F18," ")</f>
        <v> </v>
      </c>
      <c r="I18" s="180" t="str">
        <f aca="false">IF((D18="r"),F18," ")</f>
        <v> </v>
      </c>
      <c r="J18" s="180" t="str">
        <f aca="false">IF((D18="t"),F18," ")</f>
        <v> </v>
      </c>
      <c r="K18" s="180" t="str">
        <f aca="false">IF((D18="e"),F18," ")</f>
        <v> </v>
      </c>
      <c r="L18" s="180" t="str">
        <f aca="false">IF((D18="p"),F18," ")</f>
        <v> </v>
      </c>
      <c r="M18" s="180" t="str">
        <f aca="false">IF((D18="g"),F18," ")</f>
        <v> </v>
      </c>
      <c r="N18" s="180" t="str">
        <f aca="false">IF((D18="a"),F18," ")</f>
        <v> </v>
      </c>
      <c r="O18" s="180" t="str">
        <f aca="false">IF((D18="l"),F18," ")</f>
        <v> </v>
      </c>
      <c r="P18" s="180" t="str">
        <f aca="false">IF((D18="i"),F18," ")</f>
        <v> </v>
      </c>
      <c r="Q18" s="180" t="str">
        <f aca="false">IF((D18="b"),F18," ")</f>
        <v> </v>
      </c>
      <c r="R18" s="180" t="str">
        <f aca="false">IF((D18="o"),F18," ")</f>
        <v> </v>
      </c>
      <c r="S18" s="180" t="str">
        <f aca="false">IF((D18="f"),F18," ")</f>
        <v> </v>
      </c>
      <c r="U18" s="371"/>
    </row>
    <row r="19" customFormat="false" ht="12.75" hidden="false" customHeight="false" outlineLevel="0" collapsed="false">
      <c r="G19" s="180" t="str">
        <f aca="false">IF((D19="d"),F19," ")</f>
        <v> </v>
      </c>
      <c r="H19" s="180" t="str">
        <f aca="false">IF((D19="h"),F19," ")</f>
        <v> </v>
      </c>
      <c r="I19" s="180" t="str">
        <f aca="false">IF((D19="r"),F19," ")</f>
        <v> </v>
      </c>
      <c r="J19" s="180" t="str">
        <f aca="false">IF((D19="t"),F19," ")</f>
        <v> </v>
      </c>
      <c r="K19" s="180" t="str">
        <f aca="false">IF((D19="e"),F19," ")</f>
        <v> </v>
      </c>
      <c r="L19" s="180" t="str">
        <f aca="false">IF((D19="p"),F19," ")</f>
        <v> </v>
      </c>
      <c r="M19" s="180" t="str">
        <f aca="false">IF((D19="g"),F19," ")</f>
        <v> </v>
      </c>
      <c r="N19" s="180" t="str">
        <f aca="false">IF((D19="a"),F19," ")</f>
        <v> </v>
      </c>
      <c r="O19" s="180" t="str">
        <f aca="false">IF((D19="l"),F19," ")</f>
        <v> </v>
      </c>
      <c r="P19" s="180" t="str">
        <f aca="false">IF((D19="i"),F19," ")</f>
        <v> </v>
      </c>
      <c r="Q19" s="180" t="str">
        <f aca="false">IF((D19="b"),F19," ")</f>
        <v> </v>
      </c>
      <c r="R19" s="180" t="str">
        <f aca="false">IF((D19="o"),F19," ")</f>
        <v> </v>
      </c>
      <c r="S19" s="180" t="str">
        <f aca="false">IF((D19="f"),F19," ")</f>
        <v> </v>
      </c>
      <c r="U19" s="371"/>
    </row>
    <row r="20" customFormat="false" ht="12.75" hidden="false" customHeight="false" outlineLevel="0" collapsed="false">
      <c r="G20" s="180" t="str">
        <f aca="false">IF((D20="d"),F20," ")</f>
        <v> </v>
      </c>
      <c r="H20" s="180" t="str">
        <f aca="false">IF((D20="h"),F20," ")</f>
        <v> </v>
      </c>
      <c r="I20" s="180" t="str">
        <f aca="false">IF((D20="r"),F20," ")</f>
        <v> </v>
      </c>
      <c r="J20" s="180" t="str">
        <f aca="false">IF((D20="t"),F20," ")</f>
        <v> </v>
      </c>
      <c r="K20" s="180" t="str">
        <f aca="false">IF((D20="e"),F20," ")</f>
        <v> </v>
      </c>
      <c r="L20" s="180" t="str">
        <f aca="false">IF((D20="p"),F20," ")</f>
        <v> </v>
      </c>
      <c r="M20" s="180" t="str">
        <f aca="false">IF((D20="g"),F20," ")</f>
        <v> </v>
      </c>
      <c r="N20" s="180" t="str">
        <f aca="false">IF((D20="a"),F20," ")</f>
        <v> </v>
      </c>
      <c r="O20" s="180" t="str">
        <f aca="false">IF((D20="l"),F20," ")</f>
        <v> </v>
      </c>
      <c r="P20" s="180" t="str">
        <f aca="false">IF((D20="i"),F20," ")</f>
        <v> </v>
      </c>
      <c r="Q20" s="180" t="str">
        <f aca="false">IF((D20="b"),F20," ")</f>
        <v> </v>
      </c>
      <c r="R20" s="180" t="str">
        <f aca="false">IF((D20="o"),F20," ")</f>
        <v> </v>
      </c>
      <c r="S20" s="180" t="str">
        <f aca="false">IF((D20="f"),F20," ")</f>
        <v> </v>
      </c>
      <c r="U20" s="371"/>
    </row>
    <row r="21" customFormat="false" ht="12.75" hidden="false" customHeight="false" outlineLevel="0" collapsed="false">
      <c r="G21" s="180" t="str">
        <f aca="false">IF((D21="d"),F21," ")</f>
        <v> </v>
      </c>
      <c r="H21" s="180" t="str">
        <f aca="false">IF((D21="h"),F21," ")</f>
        <v> </v>
      </c>
      <c r="I21" s="180" t="str">
        <f aca="false">IF((D21="r"),F21," ")</f>
        <v> </v>
      </c>
      <c r="J21" s="180" t="str">
        <f aca="false">IF((D21="t"),F21," ")</f>
        <v> </v>
      </c>
      <c r="K21" s="180" t="str">
        <f aca="false">IF((D21="e"),F21," ")</f>
        <v> </v>
      </c>
      <c r="L21" s="180" t="str">
        <f aca="false">IF((D21="p"),F21," ")</f>
        <v> </v>
      </c>
      <c r="M21" s="180" t="str">
        <f aca="false">IF((D21="g"),F21," ")</f>
        <v> </v>
      </c>
      <c r="N21" s="180" t="str">
        <f aca="false">IF((D21="a"),F21," ")</f>
        <v> </v>
      </c>
      <c r="O21" s="180" t="str">
        <f aca="false">IF((D21="l"),F21," ")</f>
        <v> </v>
      </c>
      <c r="P21" s="180" t="str">
        <f aca="false">IF((D21="i"),F21," ")</f>
        <v> </v>
      </c>
      <c r="Q21" s="180" t="str">
        <f aca="false">IF((D21="b"),F21," ")</f>
        <v> </v>
      </c>
      <c r="R21" s="180" t="str">
        <f aca="false">IF((D21="o"),F21," ")</f>
        <v> </v>
      </c>
      <c r="S21" s="180" t="str">
        <f aca="false">IF((D21="f"),F21," ")</f>
        <v> </v>
      </c>
      <c r="U21" s="371"/>
    </row>
    <row r="22" customFormat="false" ht="12.75" hidden="false" customHeight="false" outlineLevel="0" collapsed="false">
      <c r="G22" s="180" t="str">
        <f aca="false">IF((D22="d"),F22," ")</f>
        <v> </v>
      </c>
      <c r="H22" s="180" t="str">
        <f aca="false">IF((D22="h"),F22," ")</f>
        <v> </v>
      </c>
      <c r="I22" s="180" t="str">
        <f aca="false">IF((D22="r"),F22," ")</f>
        <v> </v>
      </c>
      <c r="J22" s="180" t="str">
        <f aca="false">IF((D22="t"),F22," ")</f>
        <v> </v>
      </c>
      <c r="K22" s="180" t="str">
        <f aca="false">IF((D22="e"),F22," ")</f>
        <v> </v>
      </c>
      <c r="L22" s="180" t="str">
        <f aca="false">IF((D22="p"),F22," ")</f>
        <v> </v>
      </c>
      <c r="M22" s="180" t="str">
        <f aca="false">IF((D22="g"),F22," ")</f>
        <v> </v>
      </c>
      <c r="N22" s="180" t="str">
        <f aca="false">IF((D22="a"),F22," ")</f>
        <v> </v>
      </c>
      <c r="O22" s="180" t="str">
        <f aca="false">IF((D22="l"),F22," ")</f>
        <v> </v>
      </c>
      <c r="P22" s="180" t="str">
        <f aca="false">IF((D22="i"),F22," ")</f>
        <v> </v>
      </c>
      <c r="Q22" s="180" t="str">
        <f aca="false">IF((D22="b"),F22," ")</f>
        <v> </v>
      </c>
      <c r="R22" s="180" t="str">
        <f aca="false">IF((D22="o"),F22," ")</f>
        <v> </v>
      </c>
      <c r="S22" s="180" t="str">
        <f aca="false">IF((D22="f"),F22," ")</f>
        <v> </v>
      </c>
      <c r="U22" s="371"/>
    </row>
    <row r="23" customFormat="false" ht="12.75" hidden="false" customHeight="false" outlineLevel="0" collapsed="false">
      <c r="G23" s="180" t="str">
        <f aca="false">IF((D23="d"),F23," ")</f>
        <v> </v>
      </c>
      <c r="H23" s="180" t="str">
        <f aca="false">IF((D23="h"),F23," ")</f>
        <v> </v>
      </c>
      <c r="I23" s="180" t="str">
        <f aca="false">IF((D23="r"),F23," ")</f>
        <v> </v>
      </c>
      <c r="J23" s="180" t="str">
        <f aca="false">IF((D23="t"),F23," ")</f>
        <v> </v>
      </c>
      <c r="K23" s="180" t="str">
        <f aca="false">IF((D23="e"),F23," ")</f>
        <v> </v>
      </c>
      <c r="L23" s="180" t="str">
        <f aca="false">IF((D23="p"),F23," ")</f>
        <v> </v>
      </c>
      <c r="M23" s="180" t="str">
        <f aca="false">IF((D23="g"),F23," ")</f>
        <v> </v>
      </c>
      <c r="N23" s="180" t="str">
        <f aca="false">IF((D23="a"),F23," ")</f>
        <v> </v>
      </c>
      <c r="O23" s="180" t="str">
        <f aca="false">IF((D23="l"),F23," ")</f>
        <v> </v>
      </c>
      <c r="P23" s="180" t="str">
        <f aca="false">IF((D23="i"),F23," ")</f>
        <v> </v>
      </c>
      <c r="Q23" s="180" t="str">
        <f aca="false">IF((D23="b"),F23," ")</f>
        <v> </v>
      </c>
      <c r="R23" s="180" t="str">
        <f aca="false">IF((D23="o"),F23," ")</f>
        <v> </v>
      </c>
      <c r="S23" s="180" t="str">
        <f aca="false">IF((D23="f"),F23," ")</f>
        <v> </v>
      </c>
      <c r="U23" s="371"/>
    </row>
    <row r="24" customFormat="false" ht="12.75" hidden="false" customHeight="false" outlineLevel="0" collapsed="false">
      <c r="G24" s="180" t="str">
        <f aca="false">IF((D24="d"),F24," ")</f>
        <v> </v>
      </c>
      <c r="H24" s="180" t="str">
        <f aca="false">IF((D24="h"),F24," ")</f>
        <v> </v>
      </c>
      <c r="I24" s="180" t="str">
        <f aca="false">IF((D24="r"),F24," ")</f>
        <v> </v>
      </c>
      <c r="J24" s="180" t="str">
        <f aca="false">IF((D24="t"),F24," ")</f>
        <v> </v>
      </c>
      <c r="K24" s="180" t="str">
        <f aca="false">IF((D24="e"),F24," ")</f>
        <v> </v>
      </c>
      <c r="L24" s="180" t="str">
        <f aca="false">IF((D24="p"),F24," ")</f>
        <v> </v>
      </c>
      <c r="M24" s="180" t="str">
        <f aca="false">IF((D24="g"),F24," ")</f>
        <v> </v>
      </c>
      <c r="N24" s="180" t="str">
        <f aca="false">IF((D24="a"),F24," ")</f>
        <v> </v>
      </c>
      <c r="O24" s="180" t="str">
        <f aca="false">IF((D24="l"),F24," ")</f>
        <v> </v>
      </c>
      <c r="P24" s="180" t="str">
        <f aca="false">IF((D24="i"),F24," ")</f>
        <v> </v>
      </c>
      <c r="Q24" s="180" t="str">
        <f aca="false">IF((D24="b"),F24," ")</f>
        <v> </v>
      </c>
      <c r="R24" s="180" t="str">
        <f aca="false">IF((D24="o"),F24," ")</f>
        <v> </v>
      </c>
      <c r="S24" s="180" t="str">
        <f aca="false">IF((D24="f"),F24," ")</f>
        <v> </v>
      </c>
      <c r="U24" s="371"/>
    </row>
    <row r="25" customFormat="false" ht="12.75" hidden="false" customHeight="false" outlineLevel="0" collapsed="false">
      <c r="G25" s="180" t="str">
        <f aca="false">IF((D25="d"),F25," ")</f>
        <v> </v>
      </c>
      <c r="H25" s="180" t="str">
        <f aca="false">IF((D25="h"),F25," ")</f>
        <v> </v>
      </c>
      <c r="I25" s="180" t="str">
        <f aca="false">IF((D25="r"),F25," ")</f>
        <v> </v>
      </c>
      <c r="J25" s="180" t="str">
        <f aca="false">IF((D25="t"),F25," ")</f>
        <v> </v>
      </c>
      <c r="K25" s="180" t="str">
        <f aca="false">IF((D25="e"),F25," ")</f>
        <v> </v>
      </c>
      <c r="L25" s="180" t="str">
        <f aca="false">IF((D25="p"),F25," ")</f>
        <v> </v>
      </c>
      <c r="M25" s="180" t="str">
        <f aca="false">IF((D25="g"),F25," ")</f>
        <v> </v>
      </c>
      <c r="N25" s="180" t="str">
        <f aca="false">IF((D25="a"),F25," ")</f>
        <v> </v>
      </c>
      <c r="O25" s="180" t="str">
        <f aca="false">IF((D25="l"),F25," ")</f>
        <v> </v>
      </c>
      <c r="P25" s="180" t="str">
        <f aca="false">IF((D25="i"),F25," ")</f>
        <v> </v>
      </c>
      <c r="Q25" s="180" t="str">
        <f aca="false">IF((D25="b"),F25," ")</f>
        <v> </v>
      </c>
      <c r="R25" s="180" t="str">
        <f aca="false">IF((D25="o"),F25," ")</f>
        <v> </v>
      </c>
      <c r="S25" s="180" t="str">
        <f aca="false">IF((D25="f"),F25," ")</f>
        <v> </v>
      </c>
      <c r="U25" s="371"/>
    </row>
    <row r="26" customFormat="false" ht="12.75" hidden="false" customHeight="false" outlineLevel="0" collapsed="false">
      <c r="G26" s="180" t="str">
        <f aca="false">IF((D26="d"),F26," ")</f>
        <v> </v>
      </c>
      <c r="H26" s="180" t="str">
        <f aca="false">IF((D26="h"),F26," ")</f>
        <v> </v>
      </c>
      <c r="I26" s="180" t="str">
        <f aca="false">IF((D26="r"),F26," ")</f>
        <v> </v>
      </c>
      <c r="J26" s="180" t="str">
        <f aca="false">IF((D26="t"),F26," ")</f>
        <v> </v>
      </c>
      <c r="K26" s="180" t="str">
        <f aca="false">IF((D26="e"),F26," ")</f>
        <v> </v>
      </c>
      <c r="L26" s="180" t="str">
        <f aca="false">IF((D26="p"),F26," ")</f>
        <v> </v>
      </c>
      <c r="M26" s="180" t="str">
        <f aca="false">IF((D26="g"),F26," ")</f>
        <v> </v>
      </c>
      <c r="N26" s="180" t="str">
        <f aca="false">IF((D26="a"),F26," ")</f>
        <v> </v>
      </c>
      <c r="O26" s="180" t="str">
        <f aca="false">IF((D26="l"),F26," ")</f>
        <v> </v>
      </c>
      <c r="P26" s="180" t="str">
        <f aca="false">IF((D26="i"),F26," ")</f>
        <v> </v>
      </c>
      <c r="Q26" s="180" t="str">
        <f aca="false">IF((D26="b"),F26," ")</f>
        <v> </v>
      </c>
      <c r="R26" s="180" t="str">
        <f aca="false">IF((D26="o"),F26," ")</f>
        <v> </v>
      </c>
      <c r="S26" s="180" t="str">
        <f aca="false">IF((D26="f"),F26," ")</f>
        <v> </v>
      </c>
      <c r="U26" s="371"/>
    </row>
    <row r="27" customFormat="false" ht="12.75" hidden="false" customHeight="false" outlineLevel="0" collapsed="false">
      <c r="G27" s="180" t="str">
        <f aca="false">IF((D27="d"),F27," ")</f>
        <v> </v>
      </c>
      <c r="H27" s="180" t="str">
        <f aca="false">IF((D27="h"),F27," ")</f>
        <v> </v>
      </c>
      <c r="I27" s="180" t="str">
        <f aca="false">IF((D27="r"),F27," ")</f>
        <v> </v>
      </c>
      <c r="J27" s="180" t="str">
        <f aca="false">IF((D27="t"),F27," ")</f>
        <v> </v>
      </c>
      <c r="K27" s="180" t="str">
        <f aca="false">IF((D27="e"),F27," ")</f>
        <v> </v>
      </c>
      <c r="L27" s="180" t="str">
        <f aca="false">IF((D27="p"),F27," ")</f>
        <v> </v>
      </c>
      <c r="M27" s="180" t="str">
        <f aca="false">IF((D27="g"),F27," ")</f>
        <v> </v>
      </c>
      <c r="N27" s="180" t="str">
        <f aca="false">IF((D27="a"),F27," ")</f>
        <v> </v>
      </c>
      <c r="O27" s="180" t="str">
        <f aca="false">IF((D27="l"),F27," ")</f>
        <v> </v>
      </c>
      <c r="P27" s="180" t="str">
        <f aca="false">IF((D27="i"),F27," ")</f>
        <v> </v>
      </c>
      <c r="Q27" s="180" t="str">
        <f aca="false">IF((D27="b"),F27," ")</f>
        <v> </v>
      </c>
      <c r="R27" s="180" t="str">
        <f aca="false">IF((D27="o"),F27," ")</f>
        <v> </v>
      </c>
      <c r="S27" s="180" t="str">
        <f aca="false">IF((D27="f"),F27," ")</f>
        <v> </v>
      </c>
      <c r="U27" s="371"/>
    </row>
    <row r="28" customFormat="false" ht="12.75" hidden="false" customHeight="false" outlineLevel="0" collapsed="false">
      <c r="G28" s="180" t="str">
        <f aca="false">IF((D28="d"),F28," ")</f>
        <v> </v>
      </c>
      <c r="H28" s="180" t="str">
        <f aca="false">IF((D28="h"),F28," ")</f>
        <v> </v>
      </c>
      <c r="I28" s="180" t="str">
        <f aca="false">IF((D28="r"),F28," ")</f>
        <v> </v>
      </c>
      <c r="J28" s="180" t="str">
        <f aca="false">IF((D28="t"),F28," ")</f>
        <v> </v>
      </c>
      <c r="K28" s="180" t="str">
        <f aca="false">IF((D28="e"),F28," ")</f>
        <v> </v>
      </c>
      <c r="L28" s="180" t="str">
        <f aca="false">IF((D28="p"),F28," ")</f>
        <v> </v>
      </c>
      <c r="M28" s="180" t="str">
        <f aca="false">IF((D28="g"),F28," ")</f>
        <v> </v>
      </c>
      <c r="N28" s="180" t="str">
        <f aca="false">IF((D28="a"),F28," ")</f>
        <v> </v>
      </c>
      <c r="O28" s="180" t="str">
        <f aca="false">IF((D28="l"),F28," ")</f>
        <v> </v>
      </c>
      <c r="P28" s="180" t="str">
        <f aca="false">IF((D28="i"),F28," ")</f>
        <v> </v>
      </c>
      <c r="Q28" s="180" t="str">
        <f aca="false">IF((D28="b"),F28," ")</f>
        <v> </v>
      </c>
      <c r="R28" s="180" t="str">
        <f aca="false">IF((D28="o"),F28," ")</f>
        <v> </v>
      </c>
      <c r="S28" s="180" t="str">
        <f aca="false">IF((D28="f"),F28," ")</f>
        <v> </v>
      </c>
      <c r="U28" s="371"/>
    </row>
    <row r="29" customFormat="false" ht="12.75" hidden="false" customHeight="false" outlineLevel="0" collapsed="false">
      <c r="G29" s="180" t="str">
        <f aca="false">IF((D29="d"),F29," ")</f>
        <v> </v>
      </c>
      <c r="H29" s="180" t="str">
        <f aca="false">IF((D29="h"),F29," ")</f>
        <v> </v>
      </c>
      <c r="I29" s="180" t="str">
        <f aca="false">IF((D29="r"),F29," ")</f>
        <v> </v>
      </c>
      <c r="J29" s="180" t="str">
        <f aca="false">IF((D29="t"),F29," ")</f>
        <v> </v>
      </c>
      <c r="K29" s="180" t="str">
        <f aca="false">IF((D29="e"),F29," ")</f>
        <v> </v>
      </c>
      <c r="L29" s="180" t="str">
        <f aca="false">IF((D29="p"),F29," ")</f>
        <v> </v>
      </c>
      <c r="M29" s="180" t="str">
        <f aca="false">IF((D29="g"),F29," ")</f>
        <v> </v>
      </c>
      <c r="N29" s="180" t="str">
        <f aca="false">IF((D29="a"),F29," ")</f>
        <v> </v>
      </c>
      <c r="O29" s="180" t="str">
        <f aca="false">IF((D29="l"),F29," ")</f>
        <v> </v>
      </c>
      <c r="P29" s="180" t="str">
        <f aca="false">IF((D29="i"),F29," ")</f>
        <v> </v>
      </c>
      <c r="Q29" s="180" t="str">
        <f aca="false">IF((D29="b"),F29," ")</f>
        <v> </v>
      </c>
      <c r="R29" s="180" t="str">
        <f aca="false">IF((D29="o"),F29," ")</f>
        <v> </v>
      </c>
      <c r="S29" s="180" t="str">
        <f aca="false">IF((D29="f"),F29," ")</f>
        <v> </v>
      </c>
      <c r="U29" s="371"/>
    </row>
    <row r="30" customFormat="false" ht="12.75" hidden="false" customHeight="false" outlineLevel="0" collapsed="false">
      <c r="G30" s="180" t="str">
        <f aca="false">IF((D30="d"),F30," ")</f>
        <v> </v>
      </c>
      <c r="H30" s="180" t="str">
        <f aca="false">IF((D30="h"),F30," ")</f>
        <v> </v>
      </c>
      <c r="I30" s="180" t="str">
        <f aca="false">IF((D30="r"),F30," ")</f>
        <v> </v>
      </c>
      <c r="J30" s="180" t="str">
        <f aca="false">IF((D30="t"),F30," ")</f>
        <v> </v>
      </c>
      <c r="K30" s="180" t="str">
        <f aca="false">IF((D30="e"),F30," ")</f>
        <v> </v>
      </c>
      <c r="L30" s="180" t="str">
        <f aca="false">IF((D30="p"),F30," ")</f>
        <v> </v>
      </c>
      <c r="M30" s="180" t="str">
        <f aca="false">IF((D30="g"),F30," ")</f>
        <v> </v>
      </c>
      <c r="N30" s="180" t="str">
        <f aca="false">IF((D30="a"),F30," ")</f>
        <v> </v>
      </c>
      <c r="O30" s="180" t="str">
        <f aca="false">IF((D30="l"),F30," ")</f>
        <v> </v>
      </c>
      <c r="P30" s="180" t="str">
        <f aca="false">IF((D30="i"),F30," ")</f>
        <v> </v>
      </c>
      <c r="Q30" s="180" t="str">
        <f aca="false">IF((D30="b"),F30," ")</f>
        <v> </v>
      </c>
      <c r="R30" s="180" t="str">
        <f aca="false">IF((D30="o"),F30," ")</f>
        <v> </v>
      </c>
      <c r="S30" s="180" t="str">
        <f aca="false">IF((D30="f"),F30," ")</f>
        <v> </v>
      </c>
      <c r="U30" s="371"/>
    </row>
    <row r="31" customFormat="false" ht="12.75" hidden="false" customHeight="false" outlineLevel="0" collapsed="false">
      <c r="G31" s="180" t="str">
        <f aca="false">IF((D31="d"),F31," ")</f>
        <v> </v>
      </c>
      <c r="H31" s="180" t="str">
        <f aca="false">IF((D31="h"),F31," ")</f>
        <v> </v>
      </c>
      <c r="I31" s="180" t="str">
        <f aca="false">IF((D31="r"),F31," ")</f>
        <v> </v>
      </c>
      <c r="J31" s="180" t="str">
        <f aca="false">IF((D31="t"),F31," ")</f>
        <v> </v>
      </c>
      <c r="K31" s="180" t="str">
        <f aca="false">IF((D31="e"),F31," ")</f>
        <v> </v>
      </c>
      <c r="L31" s="180" t="str">
        <f aca="false">IF((D31="p"),F31," ")</f>
        <v> </v>
      </c>
      <c r="M31" s="180" t="str">
        <f aca="false">IF((D31="g"),F31," ")</f>
        <v> </v>
      </c>
      <c r="N31" s="180" t="str">
        <f aca="false">IF((D31="a"),F31," ")</f>
        <v> </v>
      </c>
      <c r="O31" s="180" t="str">
        <f aca="false">IF((D31="l"),F31," ")</f>
        <v> </v>
      </c>
      <c r="P31" s="180" t="str">
        <f aca="false">IF((D31="i"),F31," ")</f>
        <v> </v>
      </c>
      <c r="Q31" s="180" t="str">
        <f aca="false">IF((D31="b"),F31," ")</f>
        <v> </v>
      </c>
      <c r="R31" s="180" t="str">
        <f aca="false">IF((D31="o"),F31," ")</f>
        <v> </v>
      </c>
      <c r="S31" s="180" t="str">
        <f aca="false">IF((D31="f"),F31," ")</f>
        <v> </v>
      </c>
      <c r="U31" s="371"/>
    </row>
    <row r="32" customFormat="false" ht="12.75" hidden="false" customHeight="false" outlineLevel="0" collapsed="false">
      <c r="G32" s="180" t="str">
        <f aca="false">IF((D32="d"),F32," ")</f>
        <v> </v>
      </c>
      <c r="H32" s="180" t="str">
        <f aca="false">IF((D32="h"),F32," ")</f>
        <v> </v>
      </c>
      <c r="I32" s="180" t="str">
        <f aca="false">IF((D32="r"),F32," ")</f>
        <v> </v>
      </c>
      <c r="J32" s="180" t="str">
        <f aca="false">IF((D32="t"),F32," ")</f>
        <v> </v>
      </c>
      <c r="K32" s="180" t="str">
        <f aca="false">IF((D32="e"),F32," ")</f>
        <v> </v>
      </c>
      <c r="L32" s="180" t="str">
        <f aca="false">IF((D32="p"),F32," ")</f>
        <v> </v>
      </c>
      <c r="M32" s="180" t="str">
        <f aca="false">IF((D32="g"),F32," ")</f>
        <v> </v>
      </c>
      <c r="N32" s="180" t="str">
        <f aca="false">IF((D32="a"),F32," ")</f>
        <v> </v>
      </c>
      <c r="O32" s="180" t="str">
        <f aca="false">IF((D32="l"),F32," ")</f>
        <v> </v>
      </c>
      <c r="P32" s="180" t="str">
        <f aca="false">IF((D32="i"),F32," ")</f>
        <v> </v>
      </c>
      <c r="Q32" s="180" t="str">
        <f aca="false">IF((D32="b"),F32," ")</f>
        <v> </v>
      </c>
      <c r="R32" s="180" t="str">
        <f aca="false">IF((D32="o"),F32," ")</f>
        <v> </v>
      </c>
      <c r="S32" s="180" t="str">
        <f aca="false">IF((D32="f"),F32," ")</f>
        <v> </v>
      </c>
      <c r="U32" s="371"/>
    </row>
    <row r="33" customFormat="false" ht="12.75" hidden="false" customHeight="false" outlineLevel="0" collapsed="false">
      <c r="G33" s="180" t="str">
        <f aca="false">IF((D33="d"),F33," ")</f>
        <v> </v>
      </c>
      <c r="H33" s="180" t="str">
        <f aca="false">IF((D33="h"),F33," ")</f>
        <v> </v>
      </c>
      <c r="I33" s="180" t="str">
        <f aca="false">IF((D33="r"),F33," ")</f>
        <v> </v>
      </c>
      <c r="J33" s="180" t="str">
        <f aca="false">IF((D33="t"),F33," ")</f>
        <v> </v>
      </c>
      <c r="K33" s="180" t="str">
        <f aca="false">IF((D33="e"),F33," ")</f>
        <v> </v>
      </c>
      <c r="L33" s="180" t="str">
        <f aca="false">IF((D33="p"),F33," ")</f>
        <v> </v>
      </c>
      <c r="M33" s="180" t="str">
        <f aca="false">IF((D33="g"),F33," ")</f>
        <v> </v>
      </c>
      <c r="N33" s="180" t="str">
        <f aca="false">IF((D33="a"),F33," ")</f>
        <v> </v>
      </c>
      <c r="O33" s="180" t="str">
        <f aca="false">IF((D33="l"),F33," ")</f>
        <v> </v>
      </c>
      <c r="P33" s="180" t="str">
        <f aca="false">IF((D33="i"),F33," ")</f>
        <v> </v>
      </c>
      <c r="Q33" s="180" t="str">
        <f aca="false">IF((D33="b"),F33," ")</f>
        <v> </v>
      </c>
      <c r="R33" s="180" t="str">
        <f aca="false">IF((D33="o"),F33," ")</f>
        <v> </v>
      </c>
      <c r="S33" s="180" t="str">
        <f aca="false">IF((D33="f"),F33," ")</f>
        <v> </v>
      </c>
      <c r="U33" s="371"/>
    </row>
    <row r="34" customFormat="false" ht="12.75" hidden="false" customHeight="false" outlineLevel="0" collapsed="false">
      <c r="G34" s="180" t="str">
        <f aca="false">IF((D34="d"),F34," ")</f>
        <v> </v>
      </c>
      <c r="H34" s="180" t="str">
        <f aca="false">IF((D34="h"),F34," ")</f>
        <v> </v>
      </c>
      <c r="I34" s="180" t="str">
        <f aca="false">IF((D34="r"),F34," ")</f>
        <v> </v>
      </c>
      <c r="J34" s="180" t="str">
        <f aca="false">IF((D34="t"),F34," ")</f>
        <v> </v>
      </c>
      <c r="K34" s="180" t="str">
        <f aca="false">IF((D34="e"),F34," ")</f>
        <v> </v>
      </c>
      <c r="L34" s="180" t="str">
        <f aca="false">IF((D34="p"),F34," ")</f>
        <v> </v>
      </c>
      <c r="M34" s="180" t="str">
        <f aca="false">IF((D34="g"),F34," ")</f>
        <v> </v>
      </c>
      <c r="N34" s="180" t="str">
        <f aca="false">IF((D34="a"),F34," ")</f>
        <v> </v>
      </c>
      <c r="O34" s="180" t="str">
        <f aca="false">IF((D34="l"),F34," ")</f>
        <v> </v>
      </c>
      <c r="P34" s="180" t="str">
        <f aca="false">IF((D34="i"),F34," ")</f>
        <v> </v>
      </c>
      <c r="Q34" s="180" t="str">
        <f aca="false">IF((D34="b"),F34," ")</f>
        <v> </v>
      </c>
      <c r="R34" s="180" t="str">
        <f aca="false">IF((D34="o"),F34," ")</f>
        <v> </v>
      </c>
      <c r="S34" s="180" t="str">
        <f aca="false">IF((D34="f"),F34," ")</f>
        <v> </v>
      </c>
      <c r="U34" s="371"/>
    </row>
    <row r="35" customFormat="false" ht="12.75" hidden="false" customHeight="false" outlineLevel="0" collapsed="false">
      <c r="G35" s="180" t="str">
        <f aca="false">IF((D35="d"),F35," ")</f>
        <v> </v>
      </c>
      <c r="H35" s="180" t="str">
        <f aca="false">IF((D35="h"),F35," ")</f>
        <v> </v>
      </c>
      <c r="I35" s="180" t="str">
        <f aca="false">IF((D35="r"),F35," ")</f>
        <v> </v>
      </c>
      <c r="J35" s="180" t="str">
        <f aca="false">IF((D35="t"),F35," ")</f>
        <v> </v>
      </c>
      <c r="K35" s="180" t="str">
        <f aca="false">IF((D35="e"),F35," ")</f>
        <v> </v>
      </c>
      <c r="L35" s="180" t="str">
        <f aca="false">IF((D35="p"),F35," ")</f>
        <v> </v>
      </c>
      <c r="M35" s="180" t="str">
        <f aca="false">IF((D35="g"),F35," ")</f>
        <v> </v>
      </c>
      <c r="N35" s="180" t="str">
        <f aca="false">IF((D35="a"),F35," ")</f>
        <v> </v>
      </c>
      <c r="O35" s="180" t="str">
        <f aca="false">IF((D35="l"),F35," ")</f>
        <v> </v>
      </c>
      <c r="P35" s="180" t="str">
        <f aca="false">IF((D35="i"),F35," ")</f>
        <v> </v>
      </c>
      <c r="Q35" s="180" t="str">
        <f aca="false">IF((D35="b"),F35," ")</f>
        <v> </v>
      </c>
      <c r="R35" s="180" t="str">
        <f aca="false">IF((D35="o"),F35," ")</f>
        <v> </v>
      </c>
      <c r="S35" s="180" t="str">
        <f aca="false">IF((D35="f"),F35," ")</f>
        <v> </v>
      </c>
      <c r="U35" s="371"/>
    </row>
    <row r="36" customFormat="false" ht="12.75" hidden="false" customHeight="false" outlineLevel="0" collapsed="false">
      <c r="G36" s="180" t="str">
        <f aca="false">IF((D36="d"),F36," ")</f>
        <v> </v>
      </c>
      <c r="H36" s="180" t="str">
        <f aca="false">IF((D36="h"),F36," ")</f>
        <v> </v>
      </c>
      <c r="I36" s="180" t="str">
        <f aca="false">IF((D36="r"),F36," ")</f>
        <v> </v>
      </c>
      <c r="J36" s="180" t="str">
        <f aca="false">IF((D36="t"),F36," ")</f>
        <v> </v>
      </c>
      <c r="K36" s="180" t="str">
        <f aca="false">IF((D36="e"),F36," ")</f>
        <v> </v>
      </c>
      <c r="L36" s="180" t="str">
        <f aca="false">IF((D36="p"),F36," ")</f>
        <v> </v>
      </c>
      <c r="M36" s="180" t="str">
        <f aca="false">IF((D36="g"),F36," ")</f>
        <v> </v>
      </c>
      <c r="N36" s="180" t="str">
        <f aca="false">IF((D36="a"),F36," ")</f>
        <v> </v>
      </c>
      <c r="O36" s="180" t="str">
        <f aca="false">IF((D36="l"),F36," ")</f>
        <v> </v>
      </c>
      <c r="P36" s="180" t="str">
        <f aca="false">IF((D36="i"),F36," ")</f>
        <v> </v>
      </c>
      <c r="Q36" s="180" t="str">
        <f aca="false">IF((D36="b"),F36," ")</f>
        <v> </v>
      </c>
      <c r="R36" s="180" t="str">
        <f aca="false">IF((D36="o"),F36," ")</f>
        <v> </v>
      </c>
      <c r="S36" s="180" t="str">
        <f aca="false">IF((D36="f"),F36," ")</f>
        <v> </v>
      </c>
      <c r="U36" s="371"/>
    </row>
    <row r="37" customFormat="false" ht="12.75" hidden="false" customHeight="false" outlineLevel="0" collapsed="false">
      <c r="D37" s="371" t="str">
        <f aca="false">IF((F37&lt;&gt;0),"Enter Letter"," ")</f>
        <v> </v>
      </c>
      <c r="G37" s="180" t="str">
        <f aca="false">IF((D37="d"),F37," ")</f>
        <v> </v>
      </c>
      <c r="H37" s="180" t="str">
        <f aca="false">IF((D37="h"),F37," ")</f>
        <v> </v>
      </c>
      <c r="I37" s="180" t="str">
        <f aca="false">IF((D37="r"),F37," ")</f>
        <v> </v>
      </c>
      <c r="J37" s="180" t="str">
        <f aca="false">IF((D37="t"),F37," ")</f>
        <v> </v>
      </c>
      <c r="K37" s="180" t="str">
        <f aca="false">IF((D37="e"),F37," ")</f>
        <v> </v>
      </c>
      <c r="L37" s="180" t="str">
        <f aca="false">IF((D37="p"),F37," ")</f>
        <v> </v>
      </c>
      <c r="M37" s="180" t="str">
        <f aca="false">IF((D37="g"),F37," ")</f>
        <v> </v>
      </c>
      <c r="N37" s="180" t="str">
        <f aca="false">IF((D37="a"),F37," ")</f>
        <v> </v>
      </c>
      <c r="O37" s="180" t="str">
        <f aca="false">IF((D37="l"),F37," ")</f>
        <v> </v>
      </c>
      <c r="P37" s="180" t="str">
        <f aca="false">IF((D37="i"),F37," ")</f>
        <v> </v>
      </c>
      <c r="Q37" s="180" t="str">
        <f aca="false">IF((D37="b"),F37," ")</f>
        <v> </v>
      </c>
      <c r="R37" s="180" t="str">
        <f aca="false">IF((D37="o"),F37," ")</f>
        <v> </v>
      </c>
      <c r="S37" s="180" t="str">
        <f aca="false">IF((D37="f"),F37," ")</f>
        <v> </v>
      </c>
      <c r="U37" s="371"/>
    </row>
    <row r="38" customFormat="false" ht="12.75" hidden="false" customHeight="false" outlineLevel="0" collapsed="false">
      <c r="D38" s="371" t="str">
        <f aca="false">IF((F38&lt;&gt;0),"Enter Letter"," ")</f>
        <v> </v>
      </c>
      <c r="G38" s="180" t="str">
        <f aca="false">IF((D38="d"),F38," ")</f>
        <v> </v>
      </c>
      <c r="H38" s="180" t="str">
        <f aca="false">IF((D38="h"),F38," ")</f>
        <v> </v>
      </c>
      <c r="I38" s="180" t="str">
        <f aca="false">IF((D38="r"),F38," ")</f>
        <v> </v>
      </c>
      <c r="J38" s="180" t="str">
        <f aca="false">IF((D38="t"),F38," ")</f>
        <v> </v>
      </c>
      <c r="K38" s="180" t="str">
        <f aca="false">IF((D38="e"),F38," ")</f>
        <v> </v>
      </c>
      <c r="L38" s="180" t="str">
        <f aca="false">IF((D38="p"),F38," ")</f>
        <v> </v>
      </c>
      <c r="M38" s="180" t="str">
        <f aca="false">IF((D38="g"),F38," ")</f>
        <v> </v>
      </c>
      <c r="N38" s="180" t="str">
        <f aca="false">IF((D38="a"),F38," ")</f>
        <v> </v>
      </c>
      <c r="O38" s="180" t="str">
        <f aca="false">IF((D38="l"),F38," ")</f>
        <v> </v>
      </c>
      <c r="P38" s="180" t="str">
        <f aca="false">IF((D38="i"),F38," ")</f>
        <v> </v>
      </c>
      <c r="Q38" s="180" t="str">
        <f aca="false">IF((D38="b"),F38," ")</f>
        <v> </v>
      </c>
      <c r="R38" s="180" t="str">
        <f aca="false">IF((D38="o"),F38," ")</f>
        <v> </v>
      </c>
      <c r="S38" s="180" t="str">
        <f aca="false">IF((D38="f"),F38," ")</f>
        <v> </v>
      </c>
      <c r="U38" s="371"/>
    </row>
    <row r="39" customFormat="false" ht="12.75" hidden="false" customHeight="false" outlineLevel="0" collapsed="false">
      <c r="D39" s="371" t="str">
        <f aca="false">IF((F39&lt;&gt;0),"Enter Letter"," ")</f>
        <v> </v>
      </c>
      <c r="G39" s="180" t="str">
        <f aca="false">IF((D39="d"),F39," ")</f>
        <v> </v>
      </c>
      <c r="H39" s="180" t="str">
        <f aca="false">IF((D39="h"),F39," ")</f>
        <v> </v>
      </c>
      <c r="I39" s="180" t="str">
        <f aca="false">IF((D39="r"),F39," ")</f>
        <v> </v>
      </c>
      <c r="J39" s="180" t="str">
        <f aca="false">IF((D39="t"),F39," ")</f>
        <v> </v>
      </c>
      <c r="K39" s="180" t="str">
        <f aca="false">IF((D39="e"),F39," ")</f>
        <v> </v>
      </c>
      <c r="L39" s="180" t="str">
        <f aca="false">IF((D39="p"),F39," ")</f>
        <v> </v>
      </c>
      <c r="M39" s="180" t="str">
        <f aca="false">IF((D39="g"),F39," ")</f>
        <v> </v>
      </c>
      <c r="N39" s="180" t="str">
        <f aca="false">IF((D39="a"),F39," ")</f>
        <v> </v>
      </c>
      <c r="O39" s="180" t="str">
        <f aca="false">IF((D39="l"),F39," ")</f>
        <v> </v>
      </c>
      <c r="P39" s="180" t="str">
        <f aca="false">IF((D39="i"),F39," ")</f>
        <v> </v>
      </c>
      <c r="Q39" s="180" t="str">
        <f aca="false">IF((D39="b"),F39," ")</f>
        <v> </v>
      </c>
      <c r="R39" s="180" t="str">
        <f aca="false">IF((D39="o"),F39," ")</f>
        <v> </v>
      </c>
      <c r="S39" s="180" t="str">
        <f aca="false">IF((D39="f"),F39," ")</f>
        <v> </v>
      </c>
      <c r="U39" s="371"/>
    </row>
    <row r="40" customFormat="false" ht="12.75" hidden="false" customHeight="false" outlineLevel="0" collapsed="false">
      <c r="D40" s="371" t="str">
        <f aca="false">IF((F40&lt;&gt;0),"Enter Letter"," ")</f>
        <v> </v>
      </c>
      <c r="G40" s="180" t="str">
        <f aca="false">IF((D40="d"),F40," ")</f>
        <v> </v>
      </c>
      <c r="H40" s="180" t="str">
        <f aca="false">IF((D40="h"),F40," ")</f>
        <v> </v>
      </c>
      <c r="I40" s="180" t="str">
        <f aca="false">IF((D40="r"),F40," ")</f>
        <v> </v>
      </c>
      <c r="J40" s="180" t="str">
        <f aca="false">IF((D40="t"),F40," ")</f>
        <v> </v>
      </c>
      <c r="K40" s="180" t="str">
        <f aca="false">IF((D40="e"),F40," ")</f>
        <v> </v>
      </c>
      <c r="L40" s="180" t="str">
        <f aca="false">IF((D40="p"),F40," ")</f>
        <v> </v>
      </c>
      <c r="M40" s="180" t="str">
        <f aca="false">IF((D40="g"),F40," ")</f>
        <v> </v>
      </c>
      <c r="N40" s="180" t="str">
        <f aca="false">IF((D40="a"),F40," ")</f>
        <v> </v>
      </c>
      <c r="O40" s="180" t="str">
        <f aca="false">IF((D40="l"),F40," ")</f>
        <v> </v>
      </c>
      <c r="P40" s="180" t="str">
        <f aca="false">IF((D40="i"),F40," ")</f>
        <v> </v>
      </c>
      <c r="Q40" s="180" t="str">
        <f aca="false">IF((D40="b"),F40," ")</f>
        <v> </v>
      </c>
      <c r="R40" s="180" t="str">
        <f aca="false">IF((D40="o"),F40," ")</f>
        <v> </v>
      </c>
      <c r="S40" s="180" t="str">
        <f aca="false">IF((D40="f"),F40," ")</f>
        <v> </v>
      </c>
      <c r="U40" s="371"/>
    </row>
    <row r="41" customFormat="false" ht="12.75" hidden="false" customHeight="false" outlineLevel="0" collapsed="false">
      <c r="D41" s="371" t="str">
        <f aca="false">IF((F41&lt;&gt;0),"Enter Letter"," ")</f>
        <v> </v>
      </c>
      <c r="G41" s="180" t="str">
        <f aca="false">IF((D41="d"),F41," ")</f>
        <v> </v>
      </c>
      <c r="H41" s="180" t="str">
        <f aca="false">IF((D41="h"),F41," ")</f>
        <v> </v>
      </c>
      <c r="I41" s="180" t="str">
        <f aca="false">IF((D41="r"),F41," ")</f>
        <v> </v>
      </c>
      <c r="J41" s="180" t="str">
        <f aca="false">IF((D41="t"),F41," ")</f>
        <v> </v>
      </c>
      <c r="K41" s="180" t="str">
        <f aca="false">IF((D41="e"),F41," ")</f>
        <v> </v>
      </c>
      <c r="L41" s="180" t="str">
        <f aca="false">IF((D41="p"),F41," ")</f>
        <v> </v>
      </c>
      <c r="M41" s="180" t="str">
        <f aca="false">IF((D41="g"),F41," ")</f>
        <v> </v>
      </c>
      <c r="N41" s="180" t="str">
        <f aca="false">IF((D41="a"),F41," ")</f>
        <v> </v>
      </c>
      <c r="O41" s="180" t="str">
        <f aca="false">IF((D41="l"),F41," ")</f>
        <v> </v>
      </c>
      <c r="P41" s="180" t="str">
        <f aca="false">IF((D41="i"),F41," ")</f>
        <v> </v>
      </c>
      <c r="Q41" s="180" t="str">
        <f aca="false">IF((D41="b"),F41," ")</f>
        <v> </v>
      </c>
      <c r="R41" s="180" t="str">
        <f aca="false">IF((D41="o"),F41," ")</f>
        <v> </v>
      </c>
      <c r="S41" s="180" t="str">
        <f aca="false">IF((D41="f"),F41," ")</f>
        <v> </v>
      </c>
      <c r="U41" s="371"/>
    </row>
    <row r="42" customFormat="false" ht="12.75" hidden="false" customHeight="false" outlineLevel="0" collapsed="false">
      <c r="D42" s="371" t="str">
        <f aca="false">IF((F42&lt;&gt;0),"Enter Letter"," ")</f>
        <v> </v>
      </c>
      <c r="G42" s="180" t="str">
        <f aca="false">IF((D42="d"),F42," ")</f>
        <v> </v>
      </c>
      <c r="H42" s="180" t="str">
        <f aca="false">IF((D42="h"),F42," ")</f>
        <v> </v>
      </c>
      <c r="I42" s="180" t="str">
        <f aca="false">IF((D42="r"),F42," ")</f>
        <v> </v>
      </c>
      <c r="J42" s="180" t="str">
        <f aca="false">IF((D42="t"),F42," ")</f>
        <v> </v>
      </c>
      <c r="K42" s="180" t="str">
        <f aca="false">IF((D42="e"),F42," ")</f>
        <v> </v>
      </c>
      <c r="L42" s="180" t="str">
        <f aca="false">IF((D42="p"),F42," ")</f>
        <v> </v>
      </c>
      <c r="M42" s="180" t="str">
        <f aca="false">IF((D42="g"),F42," ")</f>
        <v> </v>
      </c>
      <c r="N42" s="180" t="str">
        <f aca="false">IF((D42="a"),F42," ")</f>
        <v> </v>
      </c>
      <c r="O42" s="180" t="str">
        <f aca="false">IF((D42="l"),F42," ")</f>
        <v> </v>
      </c>
      <c r="P42" s="180" t="str">
        <f aca="false">IF((D42="i"),F42," ")</f>
        <v> </v>
      </c>
      <c r="Q42" s="180" t="str">
        <f aca="false">IF((D42="b"),F42," ")</f>
        <v> </v>
      </c>
      <c r="R42" s="180" t="str">
        <f aca="false">IF((D42="o"),F42," ")</f>
        <v> </v>
      </c>
      <c r="S42" s="180" t="str">
        <f aca="false">IF((D42="f"),F42," ")</f>
        <v> </v>
      </c>
      <c r="U42" s="371"/>
    </row>
    <row r="43" customFormat="false" ht="12.75" hidden="false" customHeight="false" outlineLevel="0" collapsed="false">
      <c r="D43" s="371" t="str">
        <f aca="false">IF((F43&lt;&gt;0),"Enter Letter"," ")</f>
        <v> </v>
      </c>
      <c r="G43" s="180" t="str">
        <f aca="false">IF((D43="d"),F43," ")</f>
        <v> </v>
      </c>
      <c r="H43" s="180" t="str">
        <f aca="false">IF((D43="h"),F43," ")</f>
        <v> </v>
      </c>
      <c r="I43" s="180" t="str">
        <f aca="false">IF((D43="r"),F43," ")</f>
        <v> </v>
      </c>
      <c r="J43" s="180" t="str">
        <f aca="false">IF((D43="t"),F43," ")</f>
        <v> </v>
      </c>
      <c r="K43" s="180" t="str">
        <f aca="false">IF((D43="e"),F43," ")</f>
        <v> </v>
      </c>
      <c r="L43" s="180" t="str">
        <f aca="false">IF((D43="p"),F43," ")</f>
        <v> </v>
      </c>
      <c r="M43" s="180" t="str">
        <f aca="false">IF((D43="g"),F43," ")</f>
        <v> </v>
      </c>
      <c r="N43" s="180" t="str">
        <f aca="false">IF((D43="a"),F43," ")</f>
        <v> </v>
      </c>
      <c r="O43" s="180" t="str">
        <f aca="false">IF((D43="l"),F43," ")</f>
        <v> </v>
      </c>
      <c r="P43" s="180" t="str">
        <f aca="false">IF((D43="i"),F43," ")</f>
        <v> </v>
      </c>
      <c r="Q43" s="180" t="str">
        <f aca="false">IF((D43="b"),F43," ")</f>
        <v> </v>
      </c>
      <c r="R43" s="180" t="str">
        <f aca="false">IF((D43="o"),F43," ")</f>
        <v> </v>
      </c>
      <c r="S43" s="180" t="str">
        <f aca="false">IF((D43="f"),F43," ")</f>
        <v> </v>
      </c>
      <c r="U43" s="371"/>
    </row>
    <row r="44" customFormat="false" ht="12.75" hidden="false" customHeight="false" outlineLevel="0" collapsed="false">
      <c r="D44" s="371" t="str">
        <f aca="false">IF((F44&lt;&gt;0),"Enter Letter"," ")</f>
        <v> </v>
      </c>
      <c r="G44" s="180" t="str">
        <f aca="false">IF((D44="d"),F44," ")</f>
        <v> </v>
      </c>
      <c r="H44" s="180" t="str">
        <f aca="false">IF((D44="h"),F44," ")</f>
        <v> </v>
      </c>
      <c r="I44" s="180" t="str">
        <f aca="false">IF((D44="r"),F44," ")</f>
        <v> </v>
      </c>
      <c r="J44" s="180" t="str">
        <f aca="false">IF((D44="t"),F44," ")</f>
        <v> </v>
      </c>
      <c r="K44" s="180" t="str">
        <f aca="false">IF((D44="e"),F44," ")</f>
        <v> </v>
      </c>
      <c r="L44" s="180" t="str">
        <f aca="false">IF((D44="p"),F44," ")</f>
        <v> </v>
      </c>
      <c r="M44" s="180" t="str">
        <f aca="false">IF((D44="g"),F44," ")</f>
        <v> </v>
      </c>
      <c r="N44" s="180" t="str">
        <f aca="false">IF((D44="a"),F44," ")</f>
        <v> </v>
      </c>
      <c r="O44" s="180" t="str">
        <f aca="false">IF((D44="l"),F44," ")</f>
        <v> </v>
      </c>
      <c r="P44" s="180" t="str">
        <f aca="false">IF((D44="i"),F44," ")</f>
        <v> </v>
      </c>
      <c r="Q44" s="180" t="str">
        <f aca="false">IF((D44="b"),F44," ")</f>
        <v> </v>
      </c>
      <c r="R44" s="180" t="str">
        <f aca="false">IF((D44="o"),F44," ")</f>
        <v> </v>
      </c>
      <c r="S44" s="180" t="str">
        <f aca="false">IF((D44="f"),F44," ")</f>
        <v> </v>
      </c>
      <c r="U44" s="371"/>
    </row>
    <row r="45" customFormat="false" ht="12.75" hidden="false" customHeight="false" outlineLevel="0" collapsed="false">
      <c r="D45" s="371" t="str">
        <f aca="false">IF((F45&lt;&gt;0),"Enter Letter"," ")</f>
        <v> </v>
      </c>
      <c r="G45" s="180" t="str">
        <f aca="false">IF((D45="d"),F45," ")</f>
        <v> </v>
      </c>
      <c r="H45" s="180" t="str">
        <f aca="false">IF((D45="h"),F45," ")</f>
        <v> </v>
      </c>
      <c r="I45" s="180" t="str">
        <f aca="false">IF((D45="r"),F45," ")</f>
        <v> </v>
      </c>
      <c r="J45" s="180" t="str">
        <f aca="false">IF((D45="t"),F45," ")</f>
        <v> </v>
      </c>
      <c r="K45" s="180" t="str">
        <f aca="false">IF((D45="e"),F45," ")</f>
        <v> </v>
      </c>
      <c r="L45" s="180" t="str">
        <f aca="false">IF((D45="p"),F45," ")</f>
        <v> </v>
      </c>
      <c r="M45" s="180" t="str">
        <f aca="false">IF((D45="g"),F45," ")</f>
        <v> </v>
      </c>
      <c r="N45" s="180" t="str">
        <f aca="false">IF((D45="a"),F45," ")</f>
        <v> </v>
      </c>
      <c r="O45" s="180" t="str">
        <f aca="false">IF((D45="l"),F45," ")</f>
        <v> </v>
      </c>
      <c r="P45" s="180" t="str">
        <f aca="false">IF((D45="i"),F45," ")</f>
        <v> </v>
      </c>
      <c r="Q45" s="180" t="str">
        <f aca="false">IF((D45="b"),F45," ")</f>
        <v> </v>
      </c>
      <c r="R45" s="180" t="str">
        <f aca="false">IF((D45="o"),F45," ")</f>
        <v> </v>
      </c>
      <c r="S45" s="180" t="str">
        <f aca="false">IF((D45="f"),F45," ")</f>
        <v> </v>
      </c>
      <c r="U45" s="371"/>
    </row>
    <row r="46" customFormat="false" ht="12.75" hidden="false" customHeight="false" outlineLevel="0" collapsed="false">
      <c r="D46" s="371" t="str">
        <f aca="false">IF((F46&lt;&gt;0),"Enter Letter"," ")</f>
        <v> </v>
      </c>
      <c r="G46" s="180" t="str">
        <f aca="false">IF((D46="d"),F46," ")</f>
        <v> </v>
      </c>
      <c r="H46" s="180" t="str">
        <f aca="false">IF((D46="h"),F46," ")</f>
        <v> </v>
      </c>
      <c r="I46" s="180" t="str">
        <f aca="false">IF((D46="r"),F46," ")</f>
        <v> </v>
      </c>
      <c r="J46" s="180" t="str">
        <f aca="false">IF((D46="t"),F46," ")</f>
        <v> </v>
      </c>
      <c r="K46" s="180" t="str">
        <f aca="false">IF((D46="e"),F46," ")</f>
        <v> </v>
      </c>
      <c r="L46" s="180" t="str">
        <f aca="false">IF((D46="p"),F46," ")</f>
        <v> </v>
      </c>
      <c r="M46" s="180" t="str">
        <f aca="false">IF((D46="g"),F46," ")</f>
        <v> </v>
      </c>
      <c r="N46" s="180" t="str">
        <f aca="false">IF((D46="a"),F46," ")</f>
        <v> </v>
      </c>
      <c r="O46" s="180" t="str">
        <f aca="false">IF((D46="l"),F46," ")</f>
        <v> </v>
      </c>
      <c r="P46" s="180" t="str">
        <f aca="false">IF((D46="i"),F46," ")</f>
        <v> </v>
      </c>
      <c r="Q46" s="180" t="str">
        <f aca="false">IF((D46="b"),F46," ")</f>
        <v> </v>
      </c>
      <c r="R46" s="180" t="str">
        <f aca="false">IF((D46="o"),F46," ")</f>
        <v> </v>
      </c>
      <c r="S46" s="180" t="str">
        <f aca="false">IF((D46="f"),F46," ")</f>
        <v> </v>
      </c>
      <c r="U46" s="371"/>
    </row>
    <row r="47" customFormat="false" ht="12.75" hidden="false" customHeight="false" outlineLevel="0" collapsed="false">
      <c r="D47" s="371" t="str">
        <f aca="false">IF((F47&lt;&gt;0),"Enter Letter"," ")</f>
        <v> </v>
      </c>
      <c r="G47" s="180" t="str">
        <f aca="false">IF((D47="d"),F47," ")</f>
        <v> </v>
      </c>
      <c r="H47" s="180" t="str">
        <f aca="false">IF((D47="h"),F47," ")</f>
        <v> </v>
      </c>
      <c r="I47" s="180" t="str">
        <f aca="false">IF((D47="r"),F47," ")</f>
        <v> </v>
      </c>
      <c r="J47" s="180" t="str">
        <f aca="false">IF((D47="t"),F47," ")</f>
        <v> </v>
      </c>
      <c r="K47" s="180" t="str">
        <f aca="false">IF((D47="e"),F47," ")</f>
        <v> </v>
      </c>
      <c r="L47" s="180" t="str">
        <f aca="false">IF((D47="p"),F47," ")</f>
        <v> </v>
      </c>
      <c r="M47" s="180" t="str">
        <f aca="false">IF((D47="g"),F47," ")</f>
        <v> </v>
      </c>
      <c r="N47" s="180" t="str">
        <f aca="false">IF((D47="a"),F47," ")</f>
        <v> </v>
      </c>
      <c r="O47" s="180" t="str">
        <f aca="false">IF((D47="l"),F47," ")</f>
        <v> </v>
      </c>
      <c r="P47" s="180" t="str">
        <f aca="false">IF((D47="i"),F47," ")</f>
        <v> </v>
      </c>
      <c r="Q47" s="180" t="str">
        <f aca="false">IF((D47="b"),F47," ")</f>
        <v> </v>
      </c>
      <c r="R47" s="180" t="str">
        <f aca="false">IF((D47="o"),F47," ")</f>
        <v> </v>
      </c>
      <c r="S47" s="180" t="str">
        <f aca="false">IF((D47="f"),F47," ")</f>
        <v> </v>
      </c>
      <c r="U47" s="371"/>
    </row>
    <row r="48" customFormat="false" ht="12.75" hidden="false" customHeight="false" outlineLevel="0" collapsed="false">
      <c r="D48" s="371" t="str">
        <f aca="false">IF((F48&lt;&gt;0),"Enter Letter"," ")</f>
        <v> </v>
      </c>
      <c r="G48" s="180" t="str">
        <f aca="false">IF((D48="d"),F48," ")</f>
        <v> </v>
      </c>
      <c r="H48" s="180" t="str">
        <f aca="false">IF((D48="h"),F48," ")</f>
        <v> </v>
      </c>
      <c r="I48" s="180" t="str">
        <f aca="false">IF((D48="r"),F48," ")</f>
        <v> </v>
      </c>
      <c r="J48" s="180" t="str">
        <f aca="false">IF((D48="t"),F48," ")</f>
        <v> </v>
      </c>
      <c r="K48" s="180" t="str">
        <f aca="false">IF((D48="e"),F48," ")</f>
        <v> </v>
      </c>
      <c r="L48" s="180" t="str">
        <f aca="false">IF((D48="p"),F48," ")</f>
        <v> </v>
      </c>
      <c r="M48" s="180" t="str">
        <f aca="false">IF((D48="g"),F48," ")</f>
        <v> </v>
      </c>
      <c r="N48" s="180" t="str">
        <f aca="false">IF((D48="a"),F48," ")</f>
        <v> </v>
      </c>
      <c r="O48" s="180" t="str">
        <f aca="false">IF((D48="l"),F48," ")</f>
        <v> </v>
      </c>
      <c r="P48" s="180" t="str">
        <f aca="false">IF((D48="i"),F48," ")</f>
        <v> </v>
      </c>
      <c r="Q48" s="180" t="str">
        <f aca="false">IF((D48="b"),F48," ")</f>
        <v> </v>
      </c>
      <c r="R48" s="180" t="str">
        <f aca="false">IF((D48="o"),F48," ")</f>
        <v> </v>
      </c>
      <c r="S48" s="180" t="str">
        <f aca="false">IF((D48="f"),F48," ")</f>
        <v> </v>
      </c>
      <c r="U48" s="371"/>
    </row>
    <row r="49" customFormat="false" ht="12.75" hidden="false" customHeight="false" outlineLevel="0" collapsed="false">
      <c r="D49" s="371" t="str">
        <f aca="false">IF((F49&lt;&gt;0),"Enter Letter"," ")</f>
        <v> </v>
      </c>
      <c r="G49" s="180" t="str">
        <f aca="false">IF((D49="d"),F49," ")</f>
        <v> </v>
      </c>
      <c r="H49" s="180" t="str">
        <f aca="false">IF((D49="h"),F49," ")</f>
        <v> </v>
      </c>
      <c r="I49" s="180" t="str">
        <f aca="false">IF((D49="r"),F49," ")</f>
        <v> </v>
      </c>
      <c r="J49" s="180" t="str">
        <f aca="false">IF((D49="t"),F49," ")</f>
        <v> </v>
      </c>
      <c r="K49" s="180" t="str">
        <f aca="false">IF((D49="e"),F49," ")</f>
        <v> </v>
      </c>
      <c r="L49" s="180" t="str">
        <f aca="false">IF((D49="p"),F49," ")</f>
        <v> </v>
      </c>
      <c r="M49" s="180" t="str">
        <f aca="false">IF((D49="g"),F49," ")</f>
        <v> </v>
      </c>
      <c r="N49" s="180" t="str">
        <f aca="false">IF((D49="a"),F49," ")</f>
        <v> </v>
      </c>
      <c r="O49" s="180" t="str">
        <f aca="false">IF((D49="l"),F49," ")</f>
        <v> </v>
      </c>
      <c r="P49" s="180" t="str">
        <f aca="false">IF((D49="i"),F49," ")</f>
        <v> </v>
      </c>
      <c r="Q49" s="180" t="str">
        <f aca="false">IF((D49="b"),F49," ")</f>
        <v> </v>
      </c>
      <c r="R49" s="180" t="str">
        <f aca="false">IF((D49="o"),F49," ")</f>
        <v> </v>
      </c>
      <c r="S49" s="180" t="str">
        <f aca="false">IF((D49="f"),F49," ")</f>
        <v> </v>
      </c>
      <c r="U49" s="371"/>
    </row>
    <row r="50" customFormat="false" ht="12.75" hidden="false" customHeight="false" outlineLevel="0" collapsed="false">
      <c r="D50" s="371" t="str">
        <f aca="false">IF((F50&lt;&gt;0),"Enter Letter"," ")</f>
        <v> </v>
      </c>
      <c r="G50" s="180" t="str">
        <f aca="false">IF((D50="d"),F50," ")</f>
        <v> </v>
      </c>
      <c r="H50" s="180" t="str">
        <f aca="false">IF((D50="h"),F50," ")</f>
        <v> </v>
      </c>
      <c r="I50" s="180" t="str">
        <f aca="false">IF((D50="r"),F50," ")</f>
        <v> </v>
      </c>
      <c r="J50" s="180" t="str">
        <f aca="false">IF((D50="t"),F50," ")</f>
        <v> </v>
      </c>
      <c r="K50" s="180" t="str">
        <f aca="false">IF((D50="e"),F50," ")</f>
        <v> </v>
      </c>
      <c r="L50" s="180" t="str">
        <f aca="false">IF((D50="p"),F50," ")</f>
        <v> </v>
      </c>
      <c r="M50" s="180" t="str">
        <f aca="false">IF((D50="g"),F50," ")</f>
        <v> </v>
      </c>
      <c r="N50" s="180" t="str">
        <f aca="false">IF((D50="a"),F50," ")</f>
        <v> </v>
      </c>
      <c r="O50" s="180" t="str">
        <f aca="false">IF((D50="l"),F50," ")</f>
        <v> </v>
      </c>
      <c r="P50" s="180" t="str">
        <f aca="false">IF((D50="i"),F50," ")</f>
        <v> </v>
      </c>
      <c r="Q50" s="180" t="str">
        <f aca="false">IF((D50="b"),F50," ")</f>
        <v> </v>
      </c>
      <c r="R50" s="180" t="str">
        <f aca="false">IF((D50="o"),F50," ")</f>
        <v> </v>
      </c>
      <c r="S50" s="180" t="str">
        <f aca="false">IF((D50="f"),F50," ")</f>
        <v> </v>
      </c>
      <c r="U50" s="371"/>
    </row>
    <row r="51" customFormat="false" ht="12.75" hidden="false" customHeight="false" outlineLevel="0" collapsed="false">
      <c r="D51" s="371" t="str">
        <f aca="false">IF((F51&lt;&gt;0),"Enter Letter"," ")</f>
        <v> </v>
      </c>
      <c r="G51" s="180" t="str">
        <f aca="false">IF((D51="d"),F51," ")</f>
        <v> </v>
      </c>
      <c r="H51" s="180" t="str">
        <f aca="false">IF((D51="h"),F51," ")</f>
        <v> </v>
      </c>
      <c r="I51" s="180" t="str">
        <f aca="false">IF((D51="r"),F51," ")</f>
        <v> </v>
      </c>
      <c r="J51" s="180" t="str">
        <f aca="false">IF((D51="t"),F51," ")</f>
        <v> </v>
      </c>
      <c r="K51" s="180" t="str">
        <f aca="false">IF((D51="e"),F51," ")</f>
        <v> </v>
      </c>
      <c r="L51" s="180" t="str">
        <f aca="false">IF((D51="p"),F51," ")</f>
        <v> </v>
      </c>
      <c r="M51" s="180" t="str">
        <f aca="false">IF((D51="g"),F51," ")</f>
        <v> </v>
      </c>
      <c r="N51" s="180" t="str">
        <f aca="false">IF((D51="a"),F51," ")</f>
        <v> </v>
      </c>
      <c r="O51" s="180" t="str">
        <f aca="false">IF((D51="l"),F51," ")</f>
        <v> </v>
      </c>
      <c r="P51" s="180" t="str">
        <f aca="false">IF((D51="i"),F51," ")</f>
        <v> </v>
      </c>
      <c r="Q51" s="180" t="str">
        <f aca="false">IF((D51="b"),F51," ")</f>
        <v> </v>
      </c>
      <c r="R51" s="180" t="str">
        <f aca="false">IF((D51="o"),F51," ")</f>
        <v> </v>
      </c>
      <c r="S51" s="180" t="str">
        <f aca="false">IF((D51="f"),F51," ")</f>
        <v> </v>
      </c>
      <c r="U51" s="371"/>
    </row>
    <row r="52" customFormat="false" ht="12.75" hidden="false" customHeight="false" outlineLevel="0" collapsed="false">
      <c r="D52" s="371" t="str">
        <f aca="false">IF((F52&lt;&gt;0),"Enter Letter"," ")</f>
        <v> </v>
      </c>
      <c r="G52" s="180" t="str">
        <f aca="false">IF((D52="d"),F52," ")</f>
        <v> </v>
      </c>
      <c r="H52" s="180" t="str">
        <f aca="false">IF((D52="h"),F52," ")</f>
        <v> </v>
      </c>
      <c r="I52" s="180" t="str">
        <f aca="false">IF((D52="r"),F52," ")</f>
        <v> </v>
      </c>
      <c r="J52" s="180" t="str">
        <f aca="false">IF((D52="t"),F52," ")</f>
        <v> </v>
      </c>
      <c r="K52" s="180" t="str">
        <f aca="false">IF((D52="e"),F52," ")</f>
        <v> </v>
      </c>
      <c r="L52" s="180" t="str">
        <f aca="false">IF((D52="p"),F52," ")</f>
        <v> </v>
      </c>
      <c r="M52" s="180" t="str">
        <f aca="false">IF((D52="g"),F52," ")</f>
        <v> </v>
      </c>
      <c r="N52" s="180" t="str">
        <f aca="false">IF((D52="a"),F52," ")</f>
        <v> </v>
      </c>
      <c r="O52" s="180" t="str">
        <f aca="false">IF((D52="l"),F52," ")</f>
        <v> </v>
      </c>
      <c r="P52" s="180" t="str">
        <f aca="false">IF((D52="i"),F52," ")</f>
        <v> </v>
      </c>
      <c r="Q52" s="180" t="str">
        <f aca="false">IF((D52="b"),F52," ")</f>
        <v> </v>
      </c>
      <c r="R52" s="180" t="str">
        <f aca="false">IF((D52="o"),F52," ")</f>
        <v> </v>
      </c>
      <c r="S52" s="180" t="str">
        <f aca="false">IF((D52="f"),F52," ")</f>
        <v> </v>
      </c>
      <c r="U52" s="371"/>
    </row>
    <row r="53" customFormat="false" ht="12.75" hidden="false" customHeight="false" outlineLevel="0" collapsed="false">
      <c r="D53" s="371" t="str">
        <f aca="false">IF((F53&lt;&gt;0),"Enter Letter"," ")</f>
        <v> </v>
      </c>
      <c r="G53" s="180" t="str">
        <f aca="false">IF((D53="d"),F53," ")</f>
        <v> </v>
      </c>
      <c r="H53" s="180" t="str">
        <f aca="false">IF((D53="h"),F53," ")</f>
        <v> </v>
      </c>
      <c r="I53" s="180" t="str">
        <f aca="false">IF((D53="r"),F53," ")</f>
        <v> </v>
      </c>
      <c r="J53" s="180" t="str">
        <f aca="false">IF((D53="t"),F53," ")</f>
        <v> </v>
      </c>
      <c r="K53" s="180" t="str">
        <f aca="false">IF((D53="e"),F53," ")</f>
        <v> </v>
      </c>
      <c r="L53" s="180" t="str">
        <f aca="false">IF((D53="p"),F53," ")</f>
        <v> </v>
      </c>
      <c r="M53" s="180" t="str">
        <f aca="false">IF((D53="g"),F53," ")</f>
        <v> </v>
      </c>
      <c r="N53" s="180" t="str">
        <f aca="false">IF((D53="a"),F53," ")</f>
        <v> </v>
      </c>
      <c r="O53" s="180" t="str">
        <f aca="false">IF((D53="l"),F53," ")</f>
        <v> </v>
      </c>
      <c r="P53" s="180" t="str">
        <f aca="false">IF((D53="i"),F53," ")</f>
        <v> </v>
      </c>
      <c r="Q53" s="180" t="str">
        <f aca="false">IF((D53="b"),F53," ")</f>
        <v> </v>
      </c>
      <c r="R53" s="180" t="str">
        <f aca="false">IF((D53="o"),F53," ")</f>
        <v> </v>
      </c>
      <c r="S53" s="180" t="str">
        <f aca="false">IF((D53="f"),F53," ")</f>
        <v> </v>
      </c>
      <c r="U53" s="371"/>
    </row>
    <row r="54" customFormat="false" ht="12.75" hidden="false" customHeight="false" outlineLevel="0" collapsed="false">
      <c r="D54" s="371" t="str">
        <f aca="false">IF((F54&lt;&gt;0),"Enter Letter"," ")</f>
        <v> </v>
      </c>
      <c r="G54" s="180" t="str">
        <f aca="false">IF((D54="d"),F54," ")</f>
        <v> </v>
      </c>
      <c r="H54" s="180" t="str">
        <f aca="false">IF((D54="h"),F54," ")</f>
        <v> </v>
      </c>
      <c r="I54" s="180" t="str">
        <f aca="false">IF((D54="r"),F54," ")</f>
        <v> </v>
      </c>
      <c r="J54" s="180" t="str">
        <f aca="false">IF((D54="t"),F54," ")</f>
        <v> </v>
      </c>
      <c r="K54" s="180" t="str">
        <f aca="false">IF((D54="e"),F54," ")</f>
        <v> </v>
      </c>
      <c r="L54" s="180" t="str">
        <f aca="false">IF((D54="p"),F54," ")</f>
        <v> </v>
      </c>
      <c r="M54" s="180" t="str">
        <f aca="false">IF((D54="g"),F54," ")</f>
        <v> </v>
      </c>
      <c r="N54" s="180" t="str">
        <f aca="false">IF((D54="a"),F54," ")</f>
        <v> </v>
      </c>
      <c r="O54" s="180" t="str">
        <f aca="false">IF((D54="l"),F54," ")</f>
        <v> </v>
      </c>
      <c r="P54" s="180" t="str">
        <f aca="false">IF((D54="i"),F54," ")</f>
        <v> </v>
      </c>
      <c r="Q54" s="180" t="str">
        <f aca="false">IF((D54="b"),F54," ")</f>
        <v> </v>
      </c>
      <c r="R54" s="180" t="str">
        <f aca="false">IF((D54="o"),F54," ")</f>
        <v> </v>
      </c>
      <c r="S54" s="180" t="str">
        <f aca="false">IF((D54="f"),F54," ")</f>
        <v> </v>
      </c>
      <c r="U54" s="371"/>
    </row>
    <row r="55" customFormat="false" ht="12.75" hidden="false" customHeight="false" outlineLevel="0" collapsed="false">
      <c r="D55" s="371" t="str">
        <f aca="false">IF((F55&lt;&gt;0),"Enter Letter"," ")</f>
        <v> </v>
      </c>
      <c r="G55" s="180" t="str">
        <f aca="false">IF((D55="d"),F55," ")</f>
        <v> </v>
      </c>
      <c r="H55" s="180" t="str">
        <f aca="false">IF((D55="h"),F55," ")</f>
        <v> </v>
      </c>
      <c r="I55" s="180" t="str">
        <f aca="false">IF((D55="r"),F55," ")</f>
        <v> </v>
      </c>
      <c r="J55" s="180" t="str">
        <f aca="false">IF((D55="t"),F55," ")</f>
        <v> </v>
      </c>
      <c r="K55" s="180" t="str">
        <f aca="false">IF((D55="e"),F55," ")</f>
        <v> </v>
      </c>
      <c r="L55" s="180" t="str">
        <f aca="false">IF((D55="p"),F55," ")</f>
        <v> </v>
      </c>
      <c r="M55" s="180" t="str">
        <f aca="false">IF((D55="g"),F55," ")</f>
        <v> </v>
      </c>
      <c r="N55" s="180" t="str">
        <f aca="false">IF((D55="a"),F55," ")</f>
        <v> </v>
      </c>
      <c r="O55" s="180" t="str">
        <f aca="false">IF((D55="l"),F55," ")</f>
        <v> </v>
      </c>
      <c r="P55" s="180" t="str">
        <f aca="false">IF((D55="i"),F55," ")</f>
        <v> </v>
      </c>
      <c r="Q55" s="180" t="str">
        <f aca="false">IF((D55="b"),F55," ")</f>
        <v> </v>
      </c>
      <c r="R55" s="180" t="str">
        <f aca="false">IF((D55="o"),F55," ")</f>
        <v> </v>
      </c>
      <c r="S55" s="180" t="str">
        <f aca="false">IF((D55="f"),F55," ")</f>
        <v> </v>
      </c>
      <c r="U55" s="371"/>
    </row>
    <row r="56" customFormat="false" ht="12.75" hidden="false" customHeight="false" outlineLevel="0" collapsed="false">
      <c r="D56" s="371" t="str">
        <f aca="false">IF((F56&lt;&gt;0),"Enter Letter"," ")</f>
        <v> </v>
      </c>
      <c r="G56" s="180" t="str">
        <f aca="false">IF((D56="d"),F56," ")</f>
        <v> </v>
      </c>
      <c r="H56" s="180" t="str">
        <f aca="false">IF((D56="h"),F56," ")</f>
        <v> </v>
      </c>
      <c r="I56" s="180" t="str">
        <f aca="false">IF((D56="r"),F56," ")</f>
        <v> </v>
      </c>
      <c r="J56" s="180" t="str">
        <f aca="false">IF((D56="t"),F56," ")</f>
        <v> </v>
      </c>
      <c r="K56" s="180" t="str">
        <f aca="false">IF((D56="e"),F56," ")</f>
        <v> </v>
      </c>
      <c r="L56" s="180" t="str">
        <f aca="false">IF((D56="p"),F56," ")</f>
        <v> </v>
      </c>
      <c r="M56" s="180" t="str">
        <f aca="false">IF((D56="g"),F56," ")</f>
        <v> </v>
      </c>
      <c r="N56" s="180" t="str">
        <f aca="false">IF((D56="a"),F56," ")</f>
        <v> </v>
      </c>
      <c r="O56" s="180" t="str">
        <f aca="false">IF((D56="l"),F56," ")</f>
        <v> </v>
      </c>
      <c r="P56" s="180" t="str">
        <f aca="false">IF((D56="i"),F56," ")</f>
        <v> </v>
      </c>
      <c r="Q56" s="180" t="str">
        <f aca="false">IF((D56="b"),F56," ")</f>
        <v> </v>
      </c>
      <c r="R56" s="180" t="str">
        <f aca="false">IF((D56="o"),F56," ")</f>
        <v> </v>
      </c>
      <c r="S56" s="180" t="str">
        <f aca="false">IF((D56="f"),F56," ")</f>
        <v> </v>
      </c>
      <c r="U56" s="371"/>
    </row>
    <row r="57" customFormat="false" ht="12.75" hidden="false" customHeight="false" outlineLevel="0" collapsed="false">
      <c r="D57" s="371" t="str">
        <f aca="false">IF((F57&lt;&gt;0),"Enter Letter"," ")</f>
        <v> </v>
      </c>
      <c r="G57" s="180" t="str">
        <f aca="false">IF((D57="d"),F57," ")</f>
        <v> </v>
      </c>
      <c r="H57" s="180" t="str">
        <f aca="false">IF((D57="h"),F57," ")</f>
        <v> </v>
      </c>
      <c r="I57" s="180" t="str">
        <f aca="false">IF((D57="r"),F57," ")</f>
        <v> </v>
      </c>
      <c r="J57" s="180" t="str">
        <f aca="false">IF((D57="t"),F57," ")</f>
        <v> </v>
      </c>
      <c r="K57" s="180" t="str">
        <f aca="false">IF((D57="e"),F57," ")</f>
        <v> </v>
      </c>
      <c r="L57" s="180" t="str">
        <f aca="false">IF((D57="p"),F57," ")</f>
        <v> </v>
      </c>
      <c r="M57" s="180" t="str">
        <f aca="false">IF((D57="g"),F57," ")</f>
        <v> </v>
      </c>
      <c r="N57" s="180" t="str">
        <f aca="false">IF((D57="a"),F57," ")</f>
        <v> </v>
      </c>
      <c r="O57" s="180" t="str">
        <f aca="false">IF((D57="l"),F57," ")</f>
        <v> </v>
      </c>
      <c r="P57" s="180" t="str">
        <f aca="false">IF((D57="i"),F57," ")</f>
        <v> </v>
      </c>
      <c r="Q57" s="180" t="str">
        <f aca="false">IF((D57="b"),F57," ")</f>
        <v> </v>
      </c>
      <c r="R57" s="180" t="str">
        <f aca="false">IF((D57="o"),F57," ")</f>
        <v> </v>
      </c>
      <c r="S57" s="180" t="str">
        <f aca="false">IF((D57="f"),F57," ")</f>
        <v> </v>
      </c>
      <c r="U57" s="371"/>
    </row>
    <row r="58" customFormat="false" ht="12.75" hidden="false" customHeight="false" outlineLevel="0" collapsed="false">
      <c r="D58" s="371" t="str">
        <f aca="false">IF((F58&lt;&gt;0),"Enter Letter"," ")</f>
        <v> </v>
      </c>
      <c r="G58" s="180" t="str">
        <f aca="false">IF((D58="d"),F58," ")</f>
        <v> </v>
      </c>
      <c r="H58" s="180" t="str">
        <f aca="false">IF((D58="h"),F58," ")</f>
        <v> </v>
      </c>
      <c r="I58" s="180" t="str">
        <f aca="false">IF((D58="r"),F58," ")</f>
        <v> </v>
      </c>
      <c r="J58" s="180" t="str">
        <f aca="false">IF((D58="t"),F58," ")</f>
        <v> </v>
      </c>
      <c r="K58" s="180" t="str">
        <f aca="false">IF((D58="e"),F58," ")</f>
        <v> </v>
      </c>
      <c r="L58" s="180" t="str">
        <f aca="false">IF((D58="p"),F58," ")</f>
        <v> </v>
      </c>
      <c r="M58" s="180" t="str">
        <f aca="false">IF((D58="g"),F58," ")</f>
        <v> </v>
      </c>
      <c r="N58" s="180" t="str">
        <f aca="false">IF((D58="a"),F58," ")</f>
        <v> </v>
      </c>
      <c r="O58" s="180" t="str">
        <f aca="false">IF((D58="l"),F58," ")</f>
        <v> </v>
      </c>
      <c r="P58" s="180" t="str">
        <f aca="false">IF((D58="i"),F58," ")</f>
        <v> </v>
      </c>
      <c r="Q58" s="180" t="str">
        <f aca="false">IF((D58="b"),F58," ")</f>
        <v> </v>
      </c>
      <c r="R58" s="180" t="str">
        <f aca="false">IF((D58="o"),F58," ")</f>
        <v> </v>
      </c>
      <c r="S58" s="180" t="str">
        <f aca="false">IF((D58="f"),F58," ")</f>
        <v> </v>
      </c>
      <c r="U58" s="371"/>
    </row>
    <row r="59" customFormat="false" ht="12.75" hidden="false" customHeight="false" outlineLevel="0" collapsed="false">
      <c r="D59" s="371" t="str">
        <f aca="false">IF((F59&lt;&gt;0),"Enter Letter"," ")</f>
        <v> </v>
      </c>
      <c r="G59" s="180" t="str">
        <f aca="false">IF((D59="d"),F59," ")</f>
        <v> </v>
      </c>
      <c r="H59" s="180" t="str">
        <f aca="false">IF((D59="h"),F59," ")</f>
        <v> </v>
      </c>
      <c r="I59" s="180" t="str">
        <f aca="false">IF((D59="r"),F59," ")</f>
        <v> </v>
      </c>
      <c r="J59" s="180" t="str">
        <f aca="false">IF((D59="t"),F59," ")</f>
        <v> </v>
      </c>
      <c r="K59" s="180" t="str">
        <f aca="false">IF((D59="e"),F59," ")</f>
        <v> </v>
      </c>
      <c r="L59" s="180" t="str">
        <f aca="false">IF((D59="p"),F59," ")</f>
        <v> </v>
      </c>
      <c r="M59" s="180" t="str">
        <f aca="false">IF((D59="g"),F59," ")</f>
        <v> </v>
      </c>
      <c r="N59" s="180" t="str">
        <f aca="false">IF((D59="a"),F59," ")</f>
        <v> </v>
      </c>
      <c r="O59" s="180" t="str">
        <f aca="false">IF((D59="l"),F59," ")</f>
        <v> </v>
      </c>
      <c r="P59" s="180" t="str">
        <f aca="false">IF((D59="i"),F59," ")</f>
        <v> </v>
      </c>
      <c r="Q59" s="180" t="str">
        <f aca="false">IF((D59="b"),F59," ")</f>
        <v> </v>
      </c>
      <c r="R59" s="180" t="str">
        <f aca="false">IF((D59="o"),F59," ")</f>
        <v> </v>
      </c>
      <c r="S59" s="180" t="str">
        <f aca="false">IF((D59="f"),F59," ")</f>
        <v> </v>
      </c>
      <c r="U59" s="371"/>
    </row>
    <row r="60" customFormat="false" ht="12.75" hidden="false" customHeight="false" outlineLevel="0" collapsed="false">
      <c r="D60" s="371" t="str">
        <f aca="false">IF((F60&lt;&gt;0),"Enter Letter"," ")</f>
        <v> </v>
      </c>
      <c r="G60" s="180" t="str">
        <f aca="false">IF((D60="d"),F60," ")</f>
        <v> </v>
      </c>
      <c r="H60" s="180" t="str">
        <f aca="false">IF((D60="h"),F60," ")</f>
        <v> </v>
      </c>
      <c r="I60" s="180" t="str">
        <f aca="false">IF((D60="r"),F60," ")</f>
        <v> </v>
      </c>
      <c r="J60" s="180" t="str">
        <f aca="false">IF((D60="t"),F60," ")</f>
        <v> </v>
      </c>
      <c r="K60" s="180" t="str">
        <f aca="false">IF((D60="e"),F60," ")</f>
        <v> </v>
      </c>
      <c r="L60" s="180" t="str">
        <f aca="false">IF((D60="p"),F60," ")</f>
        <v> </v>
      </c>
      <c r="M60" s="180" t="str">
        <f aca="false">IF((D60="g"),F60," ")</f>
        <v> </v>
      </c>
      <c r="N60" s="180" t="str">
        <f aca="false">IF((D60="a"),F60," ")</f>
        <v> </v>
      </c>
      <c r="O60" s="180" t="str">
        <f aca="false">IF((D60="l"),F60," ")</f>
        <v> </v>
      </c>
      <c r="P60" s="180" t="str">
        <f aca="false">IF((D60="i"),F60," ")</f>
        <v> </v>
      </c>
      <c r="Q60" s="180" t="str">
        <f aca="false">IF((D60="b"),F60," ")</f>
        <v> </v>
      </c>
      <c r="R60" s="180" t="str">
        <f aca="false">IF((D60="o"),F60," ")</f>
        <v> </v>
      </c>
      <c r="S60" s="180" t="str">
        <f aca="false">IF((D60="f"),F60," ")</f>
        <v> </v>
      </c>
      <c r="U60" s="371"/>
    </row>
    <row r="61" customFormat="false" ht="12.75" hidden="false" customHeight="false" outlineLevel="0" collapsed="false">
      <c r="D61" s="371" t="str">
        <f aca="false">IF((F61&lt;&gt;0),"Enter Letter"," ")</f>
        <v> </v>
      </c>
      <c r="G61" s="180" t="str">
        <f aca="false">IF((D61="d"),F61," ")</f>
        <v> </v>
      </c>
      <c r="H61" s="180" t="str">
        <f aca="false">IF((D61="h"),F61," ")</f>
        <v> </v>
      </c>
      <c r="I61" s="180" t="str">
        <f aca="false">IF((D61="r"),F61," ")</f>
        <v> </v>
      </c>
      <c r="J61" s="180" t="str">
        <f aca="false">IF((D61="t"),F61," ")</f>
        <v> </v>
      </c>
      <c r="K61" s="180" t="str">
        <f aca="false">IF((D61="e"),F61," ")</f>
        <v> </v>
      </c>
      <c r="L61" s="180" t="str">
        <f aca="false">IF((D61="p"),F61," ")</f>
        <v> </v>
      </c>
      <c r="M61" s="180" t="str">
        <f aca="false">IF((D61="g"),F61," ")</f>
        <v> </v>
      </c>
      <c r="N61" s="180" t="str">
        <f aca="false">IF((D61="a"),F61," ")</f>
        <v> </v>
      </c>
      <c r="O61" s="180" t="str">
        <f aca="false">IF((D61="l"),F61," ")</f>
        <v> </v>
      </c>
      <c r="P61" s="180" t="str">
        <f aca="false">IF((D61="i"),F61," ")</f>
        <v> </v>
      </c>
      <c r="Q61" s="180" t="str">
        <f aca="false">IF((D61="b"),F61," ")</f>
        <v> </v>
      </c>
      <c r="R61" s="180" t="str">
        <f aca="false">IF((D61="o"),F61," ")</f>
        <v> </v>
      </c>
      <c r="S61" s="180" t="str">
        <f aca="false">IF((D61="f"),F61," ")</f>
        <v> </v>
      </c>
      <c r="U61" s="371"/>
    </row>
    <row r="62" customFormat="false" ht="12.75" hidden="false" customHeight="false" outlineLevel="0" collapsed="false">
      <c r="D62" s="371" t="str">
        <f aca="false">IF((F62&lt;&gt;0),"Enter Letter"," ")</f>
        <v> </v>
      </c>
      <c r="G62" s="180" t="str">
        <f aca="false">IF((D62="d"),F62," ")</f>
        <v> </v>
      </c>
      <c r="H62" s="180" t="str">
        <f aca="false">IF((D62="h"),F62," ")</f>
        <v> </v>
      </c>
      <c r="I62" s="180" t="str">
        <f aca="false">IF((D62="r"),F62," ")</f>
        <v> </v>
      </c>
      <c r="J62" s="180" t="str">
        <f aca="false">IF((D62="t"),F62," ")</f>
        <v> </v>
      </c>
      <c r="K62" s="180" t="str">
        <f aca="false">IF((D62="e"),F62," ")</f>
        <v> </v>
      </c>
      <c r="L62" s="180" t="str">
        <f aca="false">IF((D62="p"),F62," ")</f>
        <v> </v>
      </c>
      <c r="M62" s="180" t="str">
        <f aca="false">IF((D62="g"),F62," ")</f>
        <v> </v>
      </c>
      <c r="N62" s="180" t="str">
        <f aca="false">IF((D62="a"),F62," ")</f>
        <v> </v>
      </c>
      <c r="O62" s="180" t="str">
        <f aca="false">IF((D62="l"),F62," ")</f>
        <v> </v>
      </c>
      <c r="P62" s="180" t="str">
        <f aca="false">IF((D62="i"),F62," ")</f>
        <v> </v>
      </c>
      <c r="Q62" s="180" t="str">
        <f aca="false">IF((D62="b"),F62," ")</f>
        <v> </v>
      </c>
      <c r="R62" s="180" t="str">
        <f aca="false">IF((D62="o"),F62," ")</f>
        <v> </v>
      </c>
      <c r="S62" s="180" t="str">
        <f aca="false">IF((D62="f"),F62," ")</f>
        <v> </v>
      </c>
      <c r="U62" s="371"/>
    </row>
    <row r="63" customFormat="false" ht="12.75" hidden="false" customHeight="false" outlineLevel="0" collapsed="false">
      <c r="D63" s="371" t="str">
        <f aca="false">IF((F63&lt;&gt;0),"Enter Letter"," ")</f>
        <v> </v>
      </c>
      <c r="G63" s="180" t="str">
        <f aca="false">IF((D63="d"),F63," ")</f>
        <v> </v>
      </c>
      <c r="H63" s="180" t="str">
        <f aca="false">IF((D63="h"),F63," ")</f>
        <v> </v>
      </c>
      <c r="I63" s="180" t="str">
        <f aca="false">IF((D63="r"),F63," ")</f>
        <v> </v>
      </c>
      <c r="J63" s="180" t="str">
        <f aca="false">IF((D63="t"),F63," ")</f>
        <v> </v>
      </c>
      <c r="K63" s="180" t="str">
        <f aca="false">IF((D63="e"),F63," ")</f>
        <v> </v>
      </c>
      <c r="L63" s="180" t="str">
        <f aca="false">IF((D63="p"),F63," ")</f>
        <v> </v>
      </c>
      <c r="M63" s="180" t="str">
        <f aca="false">IF((D63="g"),F63," ")</f>
        <v> </v>
      </c>
      <c r="N63" s="180" t="str">
        <f aca="false">IF((D63="a"),F63," ")</f>
        <v> </v>
      </c>
      <c r="O63" s="180" t="str">
        <f aca="false">IF((D63="l"),F63," ")</f>
        <v> </v>
      </c>
      <c r="P63" s="180" t="str">
        <f aca="false">IF((D63="i"),F63," ")</f>
        <v> </v>
      </c>
      <c r="Q63" s="180" t="str">
        <f aca="false">IF((D63="b"),F63," ")</f>
        <v> </v>
      </c>
      <c r="R63" s="180" t="str">
        <f aca="false">IF((D63="o"),F63," ")</f>
        <v> </v>
      </c>
      <c r="S63" s="180" t="str">
        <f aca="false">IF((D63="f"),F63," ")</f>
        <v> </v>
      </c>
      <c r="U63" s="371"/>
    </row>
    <row r="64" customFormat="false" ht="12.75" hidden="false" customHeight="false" outlineLevel="0" collapsed="false">
      <c r="D64" s="371" t="str">
        <f aca="false">IF((F64&lt;&gt;0),"Enter Letter"," ")</f>
        <v> </v>
      </c>
      <c r="G64" s="180" t="str">
        <f aca="false">IF((D64="d"),F64," ")</f>
        <v> </v>
      </c>
      <c r="H64" s="180" t="str">
        <f aca="false">IF((D64="h"),F64," ")</f>
        <v> </v>
      </c>
      <c r="I64" s="180" t="str">
        <f aca="false">IF((D64="r"),F64," ")</f>
        <v> </v>
      </c>
      <c r="J64" s="180" t="str">
        <f aca="false">IF((D64="t"),F64," ")</f>
        <v> </v>
      </c>
      <c r="K64" s="180" t="str">
        <f aca="false">IF((D64="e"),F64," ")</f>
        <v> </v>
      </c>
      <c r="L64" s="180" t="str">
        <f aca="false">IF((D64="p"),F64," ")</f>
        <v> </v>
      </c>
      <c r="M64" s="180" t="str">
        <f aca="false">IF((D64="g"),F64," ")</f>
        <v> </v>
      </c>
      <c r="N64" s="180" t="str">
        <f aca="false">IF((D64="a"),F64," ")</f>
        <v> </v>
      </c>
      <c r="O64" s="180" t="str">
        <f aca="false">IF((D64="l"),F64," ")</f>
        <v> </v>
      </c>
      <c r="P64" s="180" t="str">
        <f aca="false">IF((D64="i"),F64," ")</f>
        <v> </v>
      </c>
      <c r="Q64" s="180" t="str">
        <f aca="false">IF((D64="b"),F64," ")</f>
        <v> </v>
      </c>
      <c r="R64" s="180" t="str">
        <f aca="false">IF((D64="o"),F64," ")</f>
        <v> </v>
      </c>
      <c r="S64" s="180" t="str">
        <f aca="false">IF((D64="f"),F64," ")</f>
        <v> </v>
      </c>
      <c r="U64" s="371"/>
    </row>
    <row r="65" customFormat="false" ht="12.75" hidden="false" customHeight="false" outlineLevel="0" collapsed="false">
      <c r="D65" s="371" t="str">
        <f aca="false">IF((F65&lt;&gt;0),"Enter Letter"," ")</f>
        <v> </v>
      </c>
      <c r="G65" s="180" t="str">
        <f aca="false">IF((D65="d"),F65," ")</f>
        <v> </v>
      </c>
      <c r="H65" s="180" t="str">
        <f aca="false">IF((D65="h"),F65," ")</f>
        <v> </v>
      </c>
      <c r="I65" s="180" t="str">
        <f aca="false">IF((D65="r"),F65," ")</f>
        <v> </v>
      </c>
      <c r="J65" s="180" t="str">
        <f aca="false">IF((D65="t"),F65," ")</f>
        <v> </v>
      </c>
      <c r="K65" s="180" t="str">
        <f aca="false">IF((D65="e"),F65," ")</f>
        <v> </v>
      </c>
      <c r="L65" s="180" t="str">
        <f aca="false">IF((D65="p"),F65," ")</f>
        <v> </v>
      </c>
      <c r="M65" s="180" t="str">
        <f aca="false">IF((D65="g"),F65," ")</f>
        <v> </v>
      </c>
      <c r="N65" s="180" t="str">
        <f aca="false">IF((D65="a"),F65," ")</f>
        <v> </v>
      </c>
      <c r="O65" s="180" t="str">
        <f aca="false">IF((D65="l"),F65," ")</f>
        <v> </v>
      </c>
      <c r="P65" s="180" t="str">
        <f aca="false">IF((D65="i"),F65," ")</f>
        <v> </v>
      </c>
      <c r="Q65" s="180" t="str">
        <f aca="false">IF((D65="b"),F65," ")</f>
        <v> </v>
      </c>
      <c r="R65" s="180" t="str">
        <f aca="false">IF((D65="o"),F65," ")</f>
        <v> </v>
      </c>
      <c r="S65" s="180" t="str">
        <f aca="false">IF((D65="f"),F65," ")</f>
        <v> </v>
      </c>
      <c r="U65" s="371"/>
    </row>
    <row r="66" customFormat="false" ht="12.75" hidden="false" customHeight="false" outlineLevel="0" collapsed="false">
      <c r="D66" s="371" t="str">
        <f aca="false">IF((F66&lt;&gt;0),"Enter Letter"," ")</f>
        <v> </v>
      </c>
      <c r="G66" s="180" t="str">
        <f aca="false">IF((D66="d"),F66," ")</f>
        <v> </v>
      </c>
      <c r="H66" s="180" t="str">
        <f aca="false">IF((D66="h"),F66," ")</f>
        <v> </v>
      </c>
      <c r="I66" s="180" t="str">
        <f aca="false">IF((D66="r"),F66," ")</f>
        <v> </v>
      </c>
      <c r="J66" s="180" t="str">
        <f aca="false">IF((D66="t"),F66," ")</f>
        <v> </v>
      </c>
      <c r="K66" s="180" t="str">
        <f aca="false">IF((D66="e"),F66," ")</f>
        <v> </v>
      </c>
      <c r="L66" s="180" t="str">
        <f aca="false">IF((D66="p"),F66," ")</f>
        <v> </v>
      </c>
      <c r="M66" s="180" t="str">
        <f aca="false">IF((D66="g"),F66," ")</f>
        <v> </v>
      </c>
      <c r="N66" s="180" t="str">
        <f aca="false">IF((D66="a"),F66," ")</f>
        <v> </v>
      </c>
      <c r="O66" s="180" t="str">
        <f aca="false">IF((D66="l"),F66," ")</f>
        <v> </v>
      </c>
      <c r="P66" s="180" t="str">
        <f aca="false">IF((D66="i"),F66," ")</f>
        <v> </v>
      </c>
      <c r="Q66" s="180" t="str">
        <f aca="false">IF((D66="b"),F66," ")</f>
        <v> </v>
      </c>
      <c r="R66" s="180" t="str">
        <f aca="false">IF((D66="o"),F66," ")</f>
        <v> </v>
      </c>
      <c r="S66" s="180" t="str">
        <f aca="false">IF((D66="f"),F66," ")</f>
        <v> </v>
      </c>
      <c r="U66" s="371"/>
    </row>
    <row r="67" customFormat="false" ht="12.75" hidden="false" customHeight="false" outlineLevel="0" collapsed="false">
      <c r="D67" s="371" t="str">
        <f aca="false">IF((F67&lt;&gt;0),"Enter Letter"," ")</f>
        <v> </v>
      </c>
      <c r="G67" s="180" t="str">
        <f aca="false">IF((D67="d"),F67," ")</f>
        <v> </v>
      </c>
      <c r="H67" s="180" t="str">
        <f aca="false">IF((D67="h"),F67," ")</f>
        <v> </v>
      </c>
      <c r="I67" s="180" t="str">
        <f aca="false">IF((D67="r"),F67," ")</f>
        <v> </v>
      </c>
      <c r="J67" s="180" t="str">
        <f aca="false">IF((D67="t"),F67," ")</f>
        <v> </v>
      </c>
      <c r="K67" s="180" t="str">
        <f aca="false">IF((D67="e"),F67," ")</f>
        <v> </v>
      </c>
      <c r="L67" s="180" t="str">
        <f aca="false">IF((D67="p"),F67," ")</f>
        <v> </v>
      </c>
      <c r="M67" s="180" t="str">
        <f aca="false">IF((D67="g"),F67," ")</f>
        <v> </v>
      </c>
      <c r="N67" s="180" t="str">
        <f aca="false">IF((D67="a"),F67," ")</f>
        <v> </v>
      </c>
      <c r="O67" s="180" t="str">
        <f aca="false">IF((D67="l"),F67," ")</f>
        <v> </v>
      </c>
      <c r="P67" s="180" t="str">
        <f aca="false">IF((D67="i"),F67," ")</f>
        <v> </v>
      </c>
      <c r="Q67" s="180" t="str">
        <f aca="false">IF((D67="b"),F67," ")</f>
        <v> </v>
      </c>
      <c r="R67" s="180" t="str">
        <f aca="false">IF((D67="o"),F67," ")</f>
        <v> </v>
      </c>
      <c r="S67" s="180" t="str">
        <f aca="false">IF((D67="f"),F67," ")</f>
        <v> </v>
      </c>
      <c r="U67" s="371"/>
    </row>
    <row r="68" customFormat="false" ht="12.75" hidden="false" customHeight="false" outlineLevel="0" collapsed="false">
      <c r="D68" s="371" t="str">
        <f aca="false">IF((F68&lt;&gt;0),"Enter Letter"," ")</f>
        <v> </v>
      </c>
      <c r="G68" s="180" t="str">
        <f aca="false">IF((D68="d"),F68," ")</f>
        <v> </v>
      </c>
      <c r="H68" s="180" t="str">
        <f aca="false">IF((D68="h"),F68," ")</f>
        <v> </v>
      </c>
      <c r="I68" s="180" t="str">
        <f aca="false">IF((D68="r"),F68," ")</f>
        <v> </v>
      </c>
      <c r="J68" s="180" t="str">
        <f aca="false">IF((D68="t"),F68," ")</f>
        <v> </v>
      </c>
      <c r="K68" s="180" t="str">
        <f aca="false">IF((D68="e"),F68," ")</f>
        <v> </v>
      </c>
      <c r="L68" s="180" t="str">
        <f aca="false">IF((D68="p"),F68," ")</f>
        <v> </v>
      </c>
      <c r="M68" s="180" t="str">
        <f aca="false">IF((D68="g"),F68," ")</f>
        <v> </v>
      </c>
      <c r="N68" s="180" t="str">
        <f aca="false">IF((D68="a"),F68," ")</f>
        <v> </v>
      </c>
      <c r="O68" s="180" t="str">
        <f aca="false">IF((D68="l"),F68," ")</f>
        <v> </v>
      </c>
      <c r="P68" s="180" t="str">
        <f aca="false">IF((D68="i"),F68," ")</f>
        <v> </v>
      </c>
      <c r="Q68" s="180" t="str">
        <f aca="false">IF((D68="b"),F68," ")</f>
        <v> </v>
      </c>
      <c r="R68" s="180" t="str">
        <f aca="false">IF((D68="o"),F68," ")</f>
        <v> </v>
      </c>
      <c r="S68" s="180" t="str">
        <f aca="false">IF((D68="f"),F68," ")</f>
        <v> </v>
      </c>
      <c r="U68" s="371"/>
    </row>
    <row r="69" customFormat="false" ht="12.75" hidden="false" customHeight="false" outlineLevel="0" collapsed="false">
      <c r="D69" s="371" t="str">
        <f aca="false">IF((F69&lt;&gt;0),"Enter Letter"," ")</f>
        <v> </v>
      </c>
      <c r="G69" s="180" t="str">
        <f aca="false">IF((D69="d"),F69," ")</f>
        <v> </v>
      </c>
      <c r="H69" s="180" t="str">
        <f aca="false">IF((D69="h"),F69," ")</f>
        <v> </v>
      </c>
      <c r="I69" s="180" t="str">
        <f aca="false">IF((D69="r"),F69," ")</f>
        <v> </v>
      </c>
      <c r="J69" s="180" t="str">
        <f aca="false">IF((D69="t"),F69," ")</f>
        <v> </v>
      </c>
      <c r="K69" s="180" t="str">
        <f aca="false">IF((D69="e"),F69," ")</f>
        <v> </v>
      </c>
      <c r="L69" s="180" t="str">
        <f aca="false">IF((D69="p"),F69," ")</f>
        <v> </v>
      </c>
      <c r="M69" s="180" t="str">
        <f aca="false">IF((D69="g"),F69," ")</f>
        <v> </v>
      </c>
      <c r="N69" s="180" t="str">
        <f aca="false">IF((D69="a"),F69," ")</f>
        <v> </v>
      </c>
      <c r="O69" s="180" t="str">
        <f aca="false">IF((D69="l"),F69," ")</f>
        <v> </v>
      </c>
      <c r="P69" s="180" t="str">
        <f aca="false">IF((D69="i"),F69," ")</f>
        <v> </v>
      </c>
      <c r="Q69" s="180" t="str">
        <f aca="false">IF((D69="b"),F69," ")</f>
        <v> </v>
      </c>
      <c r="R69" s="180" t="str">
        <f aca="false">IF((D69="o"),F69," ")</f>
        <v> </v>
      </c>
      <c r="S69" s="180" t="str">
        <f aca="false">IF((D69="f"),F69," ")</f>
        <v> </v>
      </c>
      <c r="U69" s="371"/>
    </row>
    <row r="70" customFormat="false" ht="12.75" hidden="false" customHeight="false" outlineLevel="0" collapsed="false">
      <c r="D70" s="371" t="str">
        <f aca="false">IF((F70&lt;&gt;0),"Enter Letter"," ")</f>
        <v> </v>
      </c>
      <c r="G70" s="180" t="str">
        <f aca="false">IF((D70="d"),F70," ")</f>
        <v> </v>
      </c>
      <c r="H70" s="180" t="str">
        <f aca="false">IF((D70="h"),F70," ")</f>
        <v> </v>
      </c>
      <c r="I70" s="180" t="str">
        <f aca="false">IF((D70="r"),F70," ")</f>
        <v> </v>
      </c>
      <c r="J70" s="180" t="str">
        <f aca="false">IF((D70="t"),F70," ")</f>
        <v> </v>
      </c>
      <c r="K70" s="180" t="str">
        <f aca="false">IF((D70="e"),F70," ")</f>
        <v> </v>
      </c>
      <c r="L70" s="180" t="str">
        <f aca="false">IF((D70="p"),F70," ")</f>
        <v> </v>
      </c>
      <c r="M70" s="180" t="str">
        <f aca="false">IF((D70="g"),F70," ")</f>
        <v> </v>
      </c>
      <c r="N70" s="180" t="str">
        <f aca="false">IF((D70="a"),F70," ")</f>
        <v> </v>
      </c>
      <c r="O70" s="180" t="str">
        <f aca="false">IF((D70="l"),F70," ")</f>
        <v> </v>
      </c>
      <c r="P70" s="180" t="str">
        <f aca="false">IF((D70="i"),F70," ")</f>
        <v> </v>
      </c>
      <c r="Q70" s="180" t="str">
        <f aca="false">IF((D70="b"),F70," ")</f>
        <v> </v>
      </c>
      <c r="R70" s="180" t="str">
        <f aca="false">IF((D70="o"),F70," ")</f>
        <v> </v>
      </c>
      <c r="S70" s="180" t="str">
        <f aca="false">IF((D70="f"),F70," ")</f>
        <v> </v>
      </c>
      <c r="U70" s="371"/>
    </row>
    <row r="71" customFormat="false" ht="12.75" hidden="false" customHeight="false" outlineLevel="0" collapsed="false">
      <c r="D71" s="371" t="str">
        <f aca="false">IF((F71&lt;&gt;0),"Enter Letter"," ")</f>
        <v> </v>
      </c>
      <c r="G71" s="180" t="str">
        <f aca="false">IF((D71="d"),F71," ")</f>
        <v> </v>
      </c>
      <c r="H71" s="180" t="str">
        <f aca="false">IF((D71="h"),F71," ")</f>
        <v> </v>
      </c>
      <c r="I71" s="180" t="str">
        <f aca="false">IF((D71="r"),F71," ")</f>
        <v> </v>
      </c>
      <c r="J71" s="180" t="str">
        <f aca="false">IF((D71="t"),F71," ")</f>
        <v> </v>
      </c>
      <c r="K71" s="180" t="str">
        <f aca="false">IF((D71="e"),F71," ")</f>
        <v> </v>
      </c>
      <c r="L71" s="180" t="str">
        <f aca="false">IF((D71="p"),F71," ")</f>
        <v> </v>
      </c>
      <c r="M71" s="180" t="str">
        <f aca="false">IF((D71="g"),F71," ")</f>
        <v> </v>
      </c>
      <c r="N71" s="180" t="str">
        <f aca="false">IF((D71="a"),F71," ")</f>
        <v> </v>
      </c>
      <c r="O71" s="180" t="str">
        <f aca="false">IF((D71="l"),F71," ")</f>
        <v> </v>
      </c>
      <c r="P71" s="180" t="str">
        <f aca="false">IF((D71="i"),F71," ")</f>
        <v> </v>
      </c>
      <c r="Q71" s="180" t="str">
        <f aca="false">IF((D71="b"),F71," ")</f>
        <v> </v>
      </c>
      <c r="R71" s="180" t="str">
        <f aca="false">IF((D71="o"),F71," ")</f>
        <v> </v>
      </c>
      <c r="S71" s="180" t="str">
        <f aca="false">IF((D71="f"),F71," ")</f>
        <v> </v>
      </c>
      <c r="U71" s="371"/>
    </row>
    <row r="72" customFormat="false" ht="12.75" hidden="false" customHeight="false" outlineLevel="0" collapsed="false">
      <c r="D72" s="371" t="str">
        <f aca="false">IF((F72&lt;&gt;0),"Enter Letter"," ")</f>
        <v> </v>
      </c>
      <c r="G72" s="180" t="str">
        <f aca="false">IF((D72="d"),F72," ")</f>
        <v> </v>
      </c>
      <c r="H72" s="180" t="str">
        <f aca="false">IF((D72="h"),F72," ")</f>
        <v> </v>
      </c>
      <c r="I72" s="180" t="str">
        <f aca="false">IF((D72="r"),F72," ")</f>
        <v> </v>
      </c>
      <c r="J72" s="180" t="str">
        <f aca="false">IF((D72="t"),F72," ")</f>
        <v> </v>
      </c>
      <c r="K72" s="180" t="str">
        <f aca="false">IF((D72="e"),F72," ")</f>
        <v> </v>
      </c>
      <c r="L72" s="180" t="str">
        <f aca="false">IF((D72="p"),F72," ")</f>
        <v> </v>
      </c>
      <c r="M72" s="180" t="str">
        <f aca="false">IF((D72="g"),F72," ")</f>
        <v> </v>
      </c>
      <c r="N72" s="180" t="str">
        <f aca="false">IF((D72="a"),F72," ")</f>
        <v> </v>
      </c>
      <c r="O72" s="180" t="str">
        <f aca="false">IF((D72="l"),F72," ")</f>
        <v> </v>
      </c>
      <c r="P72" s="180" t="str">
        <f aca="false">IF((D72="i"),F72," ")</f>
        <v> </v>
      </c>
      <c r="Q72" s="180" t="str">
        <f aca="false">IF((D72="b"),F72," ")</f>
        <v> </v>
      </c>
      <c r="R72" s="180" t="str">
        <f aca="false">IF((D72="o"),F72," ")</f>
        <v> </v>
      </c>
      <c r="S72" s="180" t="str">
        <f aca="false">IF((D72="f"),F72," ")</f>
        <v> </v>
      </c>
      <c r="U72" s="371"/>
    </row>
    <row r="73" customFormat="false" ht="12.75" hidden="false" customHeight="false" outlineLevel="0" collapsed="false">
      <c r="D73" s="371" t="str">
        <f aca="false">IF((F73&lt;&gt;0),"Enter Letter"," ")</f>
        <v> </v>
      </c>
      <c r="G73" s="180" t="str">
        <f aca="false">IF((D73="d"),F73," ")</f>
        <v> </v>
      </c>
      <c r="H73" s="180" t="str">
        <f aca="false">IF((D73="h"),F73," ")</f>
        <v> </v>
      </c>
      <c r="I73" s="180" t="str">
        <f aca="false">IF((D73="r"),F73," ")</f>
        <v> </v>
      </c>
      <c r="J73" s="180" t="str">
        <f aca="false">IF((D73="t"),F73," ")</f>
        <v> </v>
      </c>
      <c r="K73" s="180" t="str">
        <f aca="false">IF((D73="e"),F73," ")</f>
        <v> </v>
      </c>
      <c r="L73" s="180" t="str">
        <f aca="false">IF((D73="p"),F73," ")</f>
        <v> </v>
      </c>
      <c r="M73" s="180" t="str">
        <f aca="false">IF((D73="g"),F73," ")</f>
        <v> </v>
      </c>
      <c r="N73" s="180" t="str">
        <f aca="false">IF((D73="a"),F73," ")</f>
        <v> </v>
      </c>
      <c r="O73" s="180" t="str">
        <f aca="false">IF((D73="l"),F73," ")</f>
        <v> </v>
      </c>
      <c r="P73" s="180" t="str">
        <f aca="false">IF((D73="i"),F73," ")</f>
        <v> </v>
      </c>
      <c r="Q73" s="180" t="str">
        <f aca="false">IF((D73="b"),F73," ")</f>
        <v> </v>
      </c>
      <c r="R73" s="180" t="str">
        <f aca="false">IF((D73="o"),F73," ")</f>
        <v> </v>
      </c>
      <c r="S73" s="180" t="str">
        <f aca="false">IF((D73="f"),F73," ")</f>
        <v> </v>
      </c>
      <c r="U73" s="371"/>
    </row>
    <row r="74" customFormat="false" ht="12.75" hidden="false" customHeight="false" outlineLevel="0" collapsed="false">
      <c r="D74" s="371" t="str">
        <f aca="false">IF((F74&lt;&gt;0),"Enter Letter"," ")</f>
        <v> </v>
      </c>
      <c r="G74" s="180" t="str">
        <f aca="false">IF((D74="d"),F74," ")</f>
        <v> </v>
      </c>
      <c r="H74" s="180" t="str">
        <f aca="false">IF((D74="h"),F74," ")</f>
        <v> </v>
      </c>
      <c r="I74" s="180" t="str">
        <f aca="false">IF((D74="r"),F74," ")</f>
        <v> </v>
      </c>
      <c r="J74" s="180" t="str">
        <f aca="false">IF((D74="t"),F74," ")</f>
        <v> </v>
      </c>
      <c r="K74" s="180" t="str">
        <f aca="false">IF((D74="e"),F74," ")</f>
        <v> </v>
      </c>
      <c r="L74" s="180" t="str">
        <f aca="false">IF((D74="p"),F74," ")</f>
        <v> </v>
      </c>
      <c r="M74" s="180" t="str">
        <f aca="false">IF((D74="g"),F74," ")</f>
        <v> </v>
      </c>
      <c r="N74" s="180" t="str">
        <f aca="false">IF((D74="a"),F74," ")</f>
        <v> </v>
      </c>
      <c r="O74" s="180" t="str">
        <f aca="false">IF((D74="l"),F74," ")</f>
        <v> </v>
      </c>
      <c r="P74" s="180" t="str">
        <f aca="false">IF((D74="i"),F74," ")</f>
        <v> </v>
      </c>
      <c r="Q74" s="180" t="str">
        <f aca="false">IF((D74="b"),F74," ")</f>
        <v> </v>
      </c>
      <c r="R74" s="180" t="str">
        <f aca="false">IF((D74="o"),F74," ")</f>
        <v> </v>
      </c>
      <c r="S74" s="180" t="str">
        <f aca="false">IF((D74="f"),F74," ")</f>
        <v> </v>
      </c>
      <c r="U74" s="371"/>
    </row>
    <row r="75" customFormat="false" ht="12.75" hidden="false" customHeight="false" outlineLevel="0" collapsed="false">
      <c r="D75" s="371" t="str">
        <f aca="false">IF((F75&lt;&gt;0),"Enter Letter"," ")</f>
        <v> </v>
      </c>
      <c r="G75" s="180" t="str">
        <f aca="false">IF((D75="d"),F75," ")</f>
        <v> </v>
      </c>
      <c r="H75" s="180" t="str">
        <f aca="false">IF((D75="h"),F75," ")</f>
        <v> </v>
      </c>
      <c r="I75" s="180" t="str">
        <f aca="false">IF((D75="r"),F75," ")</f>
        <v> </v>
      </c>
      <c r="J75" s="180" t="str">
        <f aca="false">IF((D75="t"),F75," ")</f>
        <v> </v>
      </c>
      <c r="K75" s="180" t="str">
        <f aca="false">IF((D75="e"),F75," ")</f>
        <v> </v>
      </c>
      <c r="L75" s="180" t="str">
        <f aca="false">IF((D75="p"),F75," ")</f>
        <v> </v>
      </c>
      <c r="M75" s="180" t="str">
        <f aca="false">IF((D75="g"),F75," ")</f>
        <v> </v>
      </c>
      <c r="N75" s="180" t="str">
        <f aca="false">IF((D75="a"),F75," ")</f>
        <v> </v>
      </c>
      <c r="O75" s="180" t="str">
        <f aca="false">IF((D75="l"),F75," ")</f>
        <v> </v>
      </c>
      <c r="P75" s="180" t="str">
        <f aca="false">IF((D75="i"),F75," ")</f>
        <v> </v>
      </c>
      <c r="Q75" s="180" t="str">
        <f aca="false">IF((D75="b"),F75," ")</f>
        <v> </v>
      </c>
      <c r="R75" s="180" t="str">
        <f aca="false">IF((D75="o"),F75," ")</f>
        <v> </v>
      </c>
      <c r="S75" s="180" t="str">
        <f aca="false">IF((D75="f"),F75," ")</f>
        <v> </v>
      </c>
      <c r="U75" s="371"/>
    </row>
    <row r="76" customFormat="false" ht="12.75" hidden="false" customHeight="false" outlineLevel="0" collapsed="false">
      <c r="D76" s="371" t="str">
        <f aca="false">IF((F76&lt;&gt;0),"Enter Letter"," ")</f>
        <v> </v>
      </c>
      <c r="G76" s="180" t="str">
        <f aca="false">IF((D76="d"),F76," ")</f>
        <v> </v>
      </c>
      <c r="H76" s="180" t="str">
        <f aca="false">IF((D76="h"),F76," ")</f>
        <v> </v>
      </c>
      <c r="I76" s="180" t="str">
        <f aca="false">IF((D76="r"),F76," ")</f>
        <v> </v>
      </c>
      <c r="J76" s="180" t="str">
        <f aca="false">IF((D76="t"),F76," ")</f>
        <v> </v>
      </c>
      <c r="K76" s="180" t="str">
        <f aca="false">IF((D76="e"),F76," ")</f>
        <v> </v>
      </c>
      <c r="L76" s="180" t="str">
        <f aca="false">IF((D76="p"),F76," ")</f>
        <v> </v>
      </c>
      <c r="M76" s="180" t="str">
        <f aca="false">IF((D76="g"),F76," ")</f>
        <v> </v>
      </c>
      <c r="N76" s="180" t="str">
        <f aca="false">IF((D76="a"),F76," ")</f>
        <v> </v>
      </c>
      <c r="O76" s="180" t="str">
        <f aca="false">IF((D76="l"),F76," ")</f>
        <v> </v>
      </c>
      <c r="P76" s="180" t="str">
        <f aca="false">IF((D76="i"),F76," ")</f>
        <v> </v>
      </c>
      <c r="Q76" s="180" t="str">
        <f aca="false">IF((D76="b"),F76," ")</f>
        <v> </v>
      </c>
      <c r="R76" s="180" t="str">
        <f aca="false">IF((D76="o"),F76," ")</f>
        <v> </v>
      </c>
      <c r="S76" s="180" t="str">
        <f aca="false">IF((D76="f"),F76," ")</f>
        <v> </v>
      </c>
      <c r="U76" s="371"/>
    </row>
    <row r="77" customFormat="false" ht="12.75" hidden="false" customHeight="false" outlineLevel="0" collapsed="false">
      <c r="D77" s="371" t="str">
        <f aca="false">IF((F77&lt;&gt;0),"Enter Letter"," ")</f>
        <v> </v>
      </c>
      <c r="G77" s="180" t="str">
        <f aca="false">IF((D77="d"),F77," ")</f>
        <v> </v>
      </c>
      <c r="H77" s="180" t="str">
        <f aca="false">IF((D77="h"),F77," ")</f>
        <v> </v>
      </c>
      <c r="I77" s="180" t="str">
        <f aca="false">IF((D77="r"),F77," ")</f>
        <v> </v>
      </c>
      <c r="J77" s="180" t="str">
        <f aca="false">IF((D77="t"),F77," ")</f>
        <v> </v>
      </c>
      <c r="K77" s="180" t="str">
        <f aca="false">IF((D77="e"),F77," ")</f>
        <v> </v>
      </c>
      <c r="L77" s="180" t="str">
        <f aca="false">IF((D77="p"),F77," ")</f>
        <v> </v>
      </c>
      <c r="M77" s="180" t="str">
        <f aca="false">IF((D77="g"),F77," ")</f>
        <v> </v>
      </c>
      <c r="N77" s="180" t="str">
        <f aca="false">IF((D77="a"),F77," ")</f>
        <v> </v>
      </c>
      <c r="O77" s="180" t="str">
        <f aca="false">IF((D77="l"),F77," ")</f>
        <v> </v>
      </c>
      <c r="P77" s="180" t="str">
        <f aca="false">IF((D77="i"),F77," ")</f>
        <v> </v>
      </c>
      <c r="Q77" s="180" t="str">
        <f aca="false">IF((D77="b"),F77," ")</f>
        <v> </v>
      </c>
      <c r="R77" s="180" t="str">
        <f aca="false">IF((D77="o"),F77," ")</f>
        <v> </v>
      </c>
      <c r="S77" s="180" t="str">
        <f aca="false">IF((D77="f"),F77," ")</f>
        <v> </v>
      </c>
      <c r="U77" s="371"/>
    </row>
    <row r="78" customFormat="false" ht="12.75" hidden="false" customHeight="false" outlineLevel="0" collapsed="false">
      <c r="D78" s="371" t="str">
        <f aca="false">IF((F78&lt;&gt;0),"Enter Letter"," ")</f>
        <v> </v>
      </c>
      <c r="G78" s="180" t="str">
        <f aca="false">IF((D78="d"),F78," ")</f>
        <v> </v>
      </c>
      <c r="H78" s="180" t="str">
        <f aca="false">IF((D78="h"),F78," ")</f>
        <v> </v>
      </c>
      <c r="I78" s="180" t="str">
        <f aca="false">IF((D78="r"),F78," ")</f>
        <v> </v>
      </c>
      <c r="J78" s="180" t="str">
        <f aca="false">IF((D78="t"),F78," ")</f>
        <v> </v>
      </c>
      <c r="K78" s="180" t="str">
        <f aca="false">IF((D78="e"),F78," ")</f>
        <v> </v>
      </c>
      <c r="L78" s="180" t="str">
        <f aca="false">IF((D78="p"),F78," ")</f>
        <v> </v>
      </c>
      <c r="M78" s="180" t="str">
        <f aca="false">IF((D78="g"),F78," ")</f>
        <v> </v>
      </c>
      <c r="N78" s="180" t="str">
        <f aca="false">IF((D78="a"),F78," ")</f>
        <v> </v>
      </c>
      <c r="O78" s="180" t="str">
        <f aca="false">IF((D78="l"),F78," ")</f>
        <v> </v>
      </c>
      <c r="P78" s="180" t="str">
        <f aca="false">IF((D78="i"),F78," ")</f>
        <v> </v>
      </c>
      <c r="Q78" s="180" t="str">
        <f aca="false">IF((D78="b"),F78," ")</f>
        <v> </v>
      </c>
      <c r="R78" s="180" t="str">
        <f aca="false">IF((D78="o"),F78," ")</f>
        <v> </v>
      </c>
      <c r="S78" s="180" t="str">
        <f aca="false">IF((D78="f"),F78," ")</f>
        <v> </v>
      </c>
      <c r="U78" s="371"/>
    </row>
    <row r="79" customFormat="false" ht="12.75" hidden="false" customHeight="false" outlineLevel="0" collapsed="false">
      <c r="D79" s="371" t="str">
        <f aca="false">IF((F79&lt;&gt;0),"Enter Letter"," ")</f>
        <v> </v>
      </c>
      <c r="G79" s="180" t="str">
        <f aca="false">IF((D79="d"),F79," ")</f>
        <v> </v>
      </c>
      <c r="H79" s="180" t="str">
        <f aca="false">IF((D79="h"),F79," ")</f>
        <v> </v>
      </c>
      <c r="I79" s="180" t="str">
        <f aca="false">IF((D79="r"),F79," ")</f>
        <v> </v>
      </c>
      <c r="J79" s="180" t="str">
        <f aca="false">IF((D79="t"),F79," ")</f>
        <v> </v>
      </c>
      <c r="K79" s="180" t="str">
        <f aca="false">IF((D79="e"),F79," ")</f>
        <v> </v>
      </c>
      <c r="L79" s="180" t="str">
        <f aca="false">IF((D79="p"),F79," ")</f>
        <v> </v>
      </c>
      <c r="M79" s="180" t="str">
        <f aca="false">IF((D79="g"),F79," ")</f>
        <v> </v>
      </c>
      <c r="N79" s="180" t="str">
        <f aca="false">IF((D79="a"),F79," ")</f>
        <v> </v>
      </c>
      <c r="O79" s="180" t="str">
        <f aca="false">IF((D79="l"),F79," ")</f>
        <v> </v>
      </c>
      <c r="P79" s="180" t="str">
        <f aca="false">IF((D79="i"),F79," ")</f>
        <v> </v>
      </c>
      <c r="Q79" s="180" t="str">
        <f aca="false">IF((D79="b"),F79," ")</f>
        <v> </v>
      </c>
      <c r="R79" s="180" t="str">
        <f aca="false">IF((D79="o"),F79," ")</f>
        <v> </v>
      </c>
      <c r="S79" s="180" t="str">
        <f aca="false">IF((D79="f"),F79," ")</f>
        <v> </v>
      </c>
      <c r="U79" s="371"/>
    </row>
    <row r="80" customFormat="false" ht="12.75" hidden="false" customHeight="false" outlineLevel="0" collapsed="false">
      <c r="D80" s="371" t="str">
        <f aca="false">IF((F80&lt;&gt;0),"Enter Letter"," ")</f>
        <v> </v>
      </c>
      <c r="G80" s="180" t="str">
        <f aca="false">IF((D80="d"),F80," ")</f>
        <v> </v>
      </c>
      <c r="H80" s="180" t="str">
        <f aca="false">IF((D80="h"),F80," ")</f>
        <v> </v>
      </c>
      <c r="I80" s="180" t="str">
        <f aca="false">IF((D80="r"),F80," ")</f>
        <v> </v>
      </c>
      <c r="J80" s="180" t="str">
        <f aca="false">IF((D80="t"),F80," ")</f>
        <v> </v>
      </c>
      <c r="K80" s="180" t="str">
        <f aca="false">IF((D80="e"),F80," ")</f>
        <v> </v>
      </c>
      <c r="L80" s="180" t="str">
        <f aca="false">IF((D80="p"),F80," ")</f>
        <v> </v>
      </c>
      <c r="M80" s="180" t="str">
        <f aca="false">IF((D80="g"),F80," ")</f>
        <v> </v>
      </c>
      <c r="N80" s="180" t="str">
        <f aca="false">IF((D80="a"),F80," ")</f>
        <v> </v>
      </c>
      <c r="O80" s="180" t="str">
        <f aca="false">IF((D80="l"),F80," ")</f>
        <v> </v>
      </c>
      <c r="P80" s="180" t="str">
        <f aca="false">IF((D80="i"),F80," ")</f>
        <v> </v>
      </c>
      <c r="Q80" s="180" t="str">
        <f aca="false">IF((D80="b"),F80," ")</f>
        <v> </v>
      </c>
      <c r="R80" s="180" t="str">
        <f aca="false">IF((D80="o"),F80," ")</f>
        <v> </v>
      </c>
      <c r="S80" s="180" t="str">
        <f aca="false">IF((D80="f"),F80," ")</f>
        <v> </v>
      </c>
      <c r="U80" s="371"/>
    </row>
    <row r="81" customFormat="false" ht="12.75" hidden="false" customHeight="false" outlineLevel="0" collapsed="false">
      <c r="D81" s="371" t="str">
        <f aca="false">IF((F81&lt;&gt;0),"Enter Letter"," ")</f>
        <v> </v>
      </c>
      <c r="G81" s="180" t="str">
        <f aca="false">IF((D81="d"),F81," ")</f>
        <v> </v>
      </c>
      <c r="H81" s="180" t="str">
        <f aca="false">IF((D81="h"),F81," ")</f>
        <v> </v>
      </c>
      <c r="I81" s="180" t="str">
        <f aca="false">IF((D81="r"),F81," ")</f>
        <v> </v>
      </c>
      <c r="J81" s="180" t="str">
        <f aca="false">IF((D81="t"),F81," ")</f>
        <v> </v>
      </c>
      <c r="K81" s="180" t="str">
        <f aca="false">IF((D81="e"),F81," ")</f>
        <v> </v>
      </c>
      <c r="L81" s="180" t="str">
        <f aca="false">IF((D81="p"),F81," ")</f>
        <v> </v>
      </c>
      <c r="M81" s="180" t="str">
        <f aca="false">IF((D81="g"),F81," ")</f>
        <v> </v>
      </c>
      <c r="N81" s="180" t="str">
        <f aca="false">IF((D81="a"),F81," ")</f>
        <v> </v>
      </c>
      <c r="O81" s="180" t="str">
        <f aca="false">IF((D81="l"),F81," ")</f>
        <v> </v>
      </c>
      <c r="P81" s="180" t="str">
        <f aca="false">IF((D81="i"),F81," ")</f>
        <v> </v>
      </c>
      <c r="Q81" s="180" t="str">
        <f aca="false">IF((D81="b"),F81," ")</f>
        <v> </v>
      </c>
      <c r="R81" s="180" t="str">
        <f aca="false">IF((D81="o"),F81," ")</f>
        <v> </v>
      </c>
      <c r="S81" s="180" t="str">
        <f aca="false">IF((D81="f"),F81," ")</f>
        <v> </v>
      </c>
      <c r="U81" s="371"/>
    </row>
    <row r="82" customFormat="false" ht="12.75" hidden="false" customHeight="false" outlineLevel="0" collapsed="false">
      <c r="D82" s="371" t="str">
        <f aca="false">IF((F82&lt;&gt;0),"Enter Letter"," ")</f>
        <v> </v>
      </c>
      <c r="G82" s="180" t="str">
        <f aca="false">IF((D82="d"),F82," ")</f>
        <v> </v>
      </c>
      <c r="H82" s="180" t="str">
        <f aca="false">IF((D82="h"),F82," ")</f>
        <v> </v>
      </c>
      <c r="I82" s="180" t="str">
        <f aca="false">IF((D82="r"),F82," ")</f>
        <v> </v>
      </c>
      <c r="J82" s="180" t="str">
        <f aca="false">IF((D82="t"),F82," ")</f>
        <v> </v>
      </c>
      <c r="K82" s="180" t="str">
        <f aca="false">IF((D82="e"),F82," ")</f>
        <v> </v>
      </c>
      <c r="L82" s="180" t="str">
        <f aca="false">IF((D82="p"),F82," ")</f>
        <v> </v>
      </c>
      <c r="M82" s="180" t="str">
        <f aca="false">IF((D82="g"),F82," ")</f>
        <v> </v>
      </c>
      <c r="N82" s="180" t="str">
        <f aca="false">IF((D82="a"),F82," ")</f>
        <v> </v>
      </c>
      <c r="O82" s="180" t="str">
        <f aca="false">IF((D82="l"),F82," ")</f>
        <v> </v>
      </c>
      <c r="P82" s="180" t="str">
        <f aca="false">IF((D82="i"),F82," ")</f>
        <v> </v>
      </c>
      <c r="Q82" s="180" t="str">
        <f aca="false">IF((D82="b"),F82," ")</f>
        <v> </v>
      </c>
      <c r="R82" s="180" t="str">
        <f aca="false">IF((D82="o"),F82," ")</f>
        <v> </v>
      </c>
      <c r="S82" s="180" t="str">
        <f aca="false">IF((D82="f"),F82," ")</f>
        <v> </v>
      </c>
      <c r="U82" s="371"/>
    </row>
    <row r="83" customFormat="false" ht="12.75" hidden="false" customHeight="false" outlineLevel="0" collapsed="false">
      <c r="D83" s="371" t="str">
        <f aca="false">IF((F83&lt;&gt;0),"Enter Letter"," ")</f>
        <v> </v>
      </c>
      <c r="G83" s="180" t="str">
        <f aca="false">IF((D83="d"),F83," ")</f>
        <v> </v>
      </c>
      <c r="H83" s="180" t="str">
        <f aca="false">IF((D83="h"),F83," ")</f>
        <v> </v>
      </c>
      <c r="I83" s="180" t="str">
        <f aca="false">IF((D83="r"),F83," ")</f>
        <v> </v>
      </c>
      <c r="J83" s="180" t="str">
        <f aca="false">IF((D83="t"),F83," ")</f>
        <v> </v>
      </c>
      <c r="K83" s="180" t="str">
        <f aca="false">IF((D83="e"),F83," ")</f>
        <v> </v>
      </c>
      <c r="L83" s="180" t="str">
        <f aca="false">IF((D83="p"),F83," ")</f>
        <v> </v>
      </c>
      <c r="M83" s="180" t="str">
        <f aca="false">IF((D83="g"),F83," ")</f>
        <v> </v>
      </c>
      <c r="N83" s="180" t="str">
        <f aca="false">IF((D83="a"),F83," ")</f>
        <v> </v>
      </c>
      <c r="O83" s="180" t="str">
        <f aca="false">IF((D83="l"),F83," ")</f>
        <v> </v>
      </c>
      <c r="P83" s="180" t="str">
        <f aca="false">IF((D83="i"),F83," ")</f>
        <v> </v>
      </c>
      <c r="Q83" s="180" t="str">
        <f aca="false">IF((D83="b"),F83," ")</f>
        <v> </v>
      </c>
      <c r="R83" s="180" t="str">
        <f aca="false">IF((D83="o"),F83," ")</f>
        <v> </v>
      </c>
      <c r="S83" s="180" t="str">
        <f aca="false">IF((D83="f"),F83," ")</f>
        <v> </v>
      </c>
      <c r="U83" s="371"/>
    </row>
    <row r="84" customFormat="false" ht="12.75" hidden="false" customHeight="false" outlineLevel="0" collapsed="false">
      <c r="D84" s="371" t="str">
        <f aca="false">IF((F84&lt;&gt;0),"Enter Letter"," ")</f>
        <v> </v>
      </c>
      <c r="G84" s="180" t="str">
        <f aca="false">IF((D84="d"),F84," ")</f>
        <v> </v>
      </c>
      <c r="H84" s="180" t="str">
        <f aca="false">IF((D84="h"),F84," ")</f>
        <v> </v>
      </c>
      <c r="I84" s="180" t="str">
        <f aca="false">IF((D84="r"),F84," ")</f>
        <v> </v>
      </c>
      <c r="J84" s="180" t="str">
        <f aca="false">IF((D84="t"),F84," ")</f>
        <v> </v>
      </c>
      <c r="K84" s="180" t="str">
        <f aca="false">IF((D84="e"),F84," ")</f>
        <v> </v>
      </c>
      <c r="L84" s="180" t="str">
        <f aca="false">IF((D84="p"),F84," ")</f>
        <v> </v>
      </c>
      <c r="M84" s="180" t="str">
        <f aca="false">IF((D84="g"),F84," ")</f>
        <v> </v>
      </c>
      <c r="N84" s="180" t="str">
        <f aca="false">IF((D84="a"),F84," ")</f>
        <v> </v>
      </c>
      <c r="O84" s="180" t="str">
        <f aca="false">IF((D84="l"),F84," ")</f>
        <v> </v>
      </c>
      <c r="P84" s="180" t="str">
        <f aca="false">IF((D84="i"),F84," ")</f>
        <v> </v>
      </c>
      <c r="Q84" s="180" t="str">
        <f aca="false">IF((D84="b"),F84," ")</f>
        <v> </v>
      </c>
      <c r="R84" s="180" t="str">
        <f aca="false">IF((D84="o"),F84," ")</f>
        <v> </v>
      </c>
      <c r="S84" s="180" t="str">
        <f aca="false">IF((D84="f"),F84," ")</f>
        <v> </v>
      </c>
      <c r="U84" s="371"/>
    </row>
    <row r="85" customFormat="false" ht="12.75" hidden="false" customHeight="false" outlineLevel="0" collapsed="false">
      <c r="D85" s="371" t="str">
        <f aca="false">IF((F85&lt;&gt;0),"Enter Letter"," ")</f>
        <v> </v>
      </c>
      <c r="G85" s="180" t="str">
        <f aca="false">IF((D85="d"),F85," ")</f>
        <v> </v>
      </c>
      <c r="H85" s="180" t="str">
        <f aca="false">IF((D85="h"),F85," ")</f>
        <v> </v>
      </c>
      <c r="I85" s="180" t="str">
        <f aca="false">IF((D85="r"),F85," ")</f>
        <v> </v>
      </c>
      <c r="J85" s="180" t="str">
        <f aca="false">IF((D85="t"),F85," ")</f>
        <v> </v>
      </c>
      <c r="K85" s="180" t="str">
        <f aca="false">IF((D85="e"),F85," ")</f>
        <v> </v>
      </c>
      <c r="L85" s="180" t="str">
        <f aca="false">IF((D85="p"),F85," ")</f>
        <v> </v>
      </c>
      <c r="M85" s="180" t="str">
        <f aca="false">IF((D85="g"),F85," ")</f>
        <v> </v>
      </c>
      <c r="N85" s="180" t="str">
        <f aca="false">IF((D85="a"),F85," ")</f>
        <v> </v>
      </c>
      <c r="O85" s="180" t="str">
        <f aca="false">IF((D85="l"),F85," ")</f>
        <v> </v>
      </c>
      <c r="P85" s="180" t="str">
        <f aca="false">IF((D85="i"),F85," ")</f>
        <v> </v>
      </c>
      <c r="Q85" s="180" t="str">
        <f aca="false">IF((D85="b"),F85," ")</f>
        <v> </v>
      </c>
      <c r="R85" s="180" t="str">
        <f aca="false">IF((D85="o"),F85," ")</f>
        <v> </v>
      </c>
      <c r="S85" s="180" t="str">
        <f aca="false">IF((D85="f"),F85," ")</f>
        <v> </v>
      </c>
      <c r="U85" s="371"/>
    </row>
    <row r="86" customFormat="false" ht="12.75" hidden="false" customHeight="false" outlineLevel="0" collapsed="false">
      <c r="D86" s="371" t="str">
        <f aca="false">IF((F86&lt;&gt;0),"Enter Letter"," ")</f>
        <v> </v>
      </c>
      <c r="G86" s="180" t="str">
        <f aca="false">IF((D86="d"),F86," ")</f>
        <v> </v>
      </c>
      <c r="H86" s="180" t="str">
        <f aca="false">IF((D86="h"),F86," ")</f>
        <v> </v>
      </c>
      <c r="I86" s="180" t="str">
        <f aca="false">IF((D86="r"),F86," ")</f>
        <v> </v>
      </c>
      <c r="J86" s="180" t="str">
        <f aca="false">IF((D86="t"),F86," ")</f>
        <v> </v>
      </c>
      <c r="K86" s="180" t="str">
        <f aca="false">IF((D86="e"),F86," ")</f>
        <v> </v>
      </c>
      <c r="L86" s="180" t="str">
        <f aca="false">IF((D86="p"),F86," ")</f>
        <v> </v>
      </c>
      <c r="M86" s="180" t="str">
        <f aca="false">IF((D86="g"),F86," ")</f>
        <v> </v>
      </c>
      <c r="N86" s="180" t="str">
        <f aca="false">IF((D86="a"),F86," ")</f>
        <v> </v>
      </c>
      <c r="O86" s="180" t="str">
        <f aca="false">IF((D86="l"),F86," ")</f>
        <v> </v>
      </c>
      <c r="P86" s="180" t="str">
        <f aca="false">IF((D86="i"),F86," ")</f>
        <v> </v>
      </c>
      <c r="Q86" s="180" t="str">
        <f aca="false">IF((D86="b"),F86," ")</f>
        <v> </v>
      </c>
      <c r="R86" s="180" t="str">
        <f aca="false">IF((D86="o"),F86," ")</f>
        <v> </v>
      </c>
      <c r="S86" s="180" t="str">
        <f aca="false">IF((D86="f"),F86," ")</f>
        <v> </v>
      </c>
      <c r="U86" s="371"/>
    </row>
    <row r="87" customFormat="false" ht="12.75" hidden="false" customHeight="false" outlineLevel="0" collapsed="false">
      <c r="D87" s="371" t="str">
        <f aca="false">IF((F87&lt;&gt;0),"Enter Letter"," ")</f>
        <v> </v>
      </c>
      <c r="G87" s="180" t="str">
        <f aca="false">IF((D87="d"),F87," ")</f>
        <v> </v>
      </c>
      <c r="H87" s="180" t="str">
        <f aca="false">IF((D87="h"),F87," ")</f>
        <v> </v>
      </c>
      <c r="I87" s="180" t="str">
        <f aca="false">IF((D87="r"),F87," ")</f>
        <v> </v>
      </c>
      <c r="J87" s="180" t="str">
        <f aca="false">IF((D87="t"),F87," ")</f>
        <v> </v>
      </c>
      <c r="K87" s="180" t="str">
        <f aca="false">IF((D87="e"),F87," ")</f>
        <v> </v>
      </c>
      <c r="L87" s="180" t="str">
        <f aca="false">IF((D87="p"),F87," ")</f>
        <v> </v>
      </c>
      <c r="M87" s="180" t="str">
        <f aca="false">IF((D87="g"),F87," ")</f>
        <v> </v>
      </c>
      <c r="N87" s="180" t="str">
        <f aca="false">IF((D87="a"),F87," ")</f>
        <v> </v>
      </c>
      <c r="O87" s="180" t="str">
        <f aca="false">IF((D87="l"),F87," ")</f>
        <v> </v>
      </c>
      <c r="P87" s="180" t="str">
        <f aca="false">IF((D87="i"),F87," ")</f>
        <v> </v>
      </c>
      <c r="Q87" s="180" t="str">
        <f aca="false">IF((D87="b"),F87," ")</f>
        <v> </v>
      </c>
      <c r="R87" s="180" t="str">
        <f aca="false">IF((D87="o"),F87," ")</f>
        <v> </v>
      </c>
      <c r="S87" s="180" t="str">
        <f aca="false">IF((D87="f"),F87," ")</f>
        <v> </v>
      </c>
      <c r="U87" s="371"/>
    </row>
    <row r="88" customFormat="false" ht="12.75" hidden="false" customHeight="false" outlineLevel="0" collapsed="false">
      <c r="D88" s="371" t="str">
        <f aca="false">IF((F88&lt;&gt;0),"Enter Letter"," ")</f>
        <v> </v>
      </c>
      <c r="G88" s="180" t="str">
        <f aca="false">IF((D88="d"),F88," ")</f>
        <v> </v>
      </c>
      <c r="H88" s="180" t="str">
        <f aca="false">IF((D88="h"),F88," ")</f>
        <v> </v>
      </c>
      <c r="I88" s="180" t="str">
        <f aca="false">IF((D88="r"),F88," ")</f>
        <v> </v>
      </c>
      <c r="J88" s="180" t="str">
        <f aca="false">IF((D88="t"),F88," ")</f>
        <v> </v>
      </c>
      <c r="K88" s="180" t="str">
        <f aca="false">IF((D88="e"),F88," ")</f>
        <v> </v>
      </c>
      <c r="L88" s="180" t="str">
        <f aca="false">IF((D88="p"),F88," ")</f>
        <v> </v>
      </c>
      <c r="M88" s="180" t="str">
        <f aca="false">IF((D88="g"),F88," ")</f>
        <v> </v>
      </c>
      <c r="N88" s="180" t="str">
        <f aca="false">IF((D88="a"),F88," ")</f>
        <v> </v>
      </c>
      <c r="O88" s="180" t="str">
        <f aca="false">IF((D88="l"),F88," ")</f>
        <v> </v>
      </c>
      <c r="P88" s="180" t="str">
        <f aca="false">IF((D88="i"),F88," ")</f>
        <v> </v>
      </c>
      <c r="Q88" s="180" t="str">
        <f aca="false">IF((D88="b"),F88," ")</f>
        <v> </v>
      </c>
      <c r="R88" s="180" t="str">
        <f aca="false">IF((D88="o"),F88," ")</f>
        <v> </v>
      </c>
      <c r="S88" s="180" t="str">
        <f aca="false">IF((D88="f"),F88," ")</f>
        <v> </v>
      </c>
      <c r="U88" s="371"/>
    </row>
    <row r="89" customFormat="false" ht="12.75" hidden="false" customHeight="false" outlineLevel="0" collapsed="false">
      <c r="D89" s="371" t="str">
        <f aca="false">IF((F89&lt;&gt;0),"Enter Letter"," ")</f>
        <v> </v>
      </c>
      <c r="G89" s="180" t="str">
        <f aca="false">IF((D89="d"),F89," ")</f>
        <v> </v>
      </c>
      <c r="H89" s="180" t="str">
        <f aca="false">IF((D89="h"),F89," ")</f>
        <v> </v>
      </c>
      <c r="I89" s="180" t="str">
        <f aca="false">IF((D89="r"),F89," ")</f>
        <v> </v>
      </c>
      <c r="J89" s="180" t="str">
        <f aca="false">IF((D89="t"),F89," ")</f>
        <v> </v>
      </c>
      <c r="K89" s="180" t="str">
        <f aca="false">IF((D89="e"),F89," ")</f>
        <v> </v>
      </c>
      <c r="L89" s="180" t="str">
        <f aca="false">IF((D89="p"),F89," ")</f>
        <v> </v>
      </c>
      <c r="M89" s="180" t="str">
        <f aca="false">IF((D89="g"),F89," ")</f>
        <v> </v>
      </c>
      <c r="N89" s="180" t="str">
        <f aca="false">IF((D89="a"),F89," ")</f>
        <v> </v>
      </c>
      <c r="O89" s="180" t="str">
        <f aca="false">IF((D89="l"),F89," ")</f>
        <v> </v>
      </c>
      <c r="P89" s="180" t="str">
        <f aca="false">IF((D89="i"),F89," ")</f>
        <v> </v>
      </c>
      <c r="Q89" s="180" t="str">
        <f aca="false">IF((D89="b"),F89," ")</f>
        <v> </v>
      </c>
      <c r="R89" s="180" t="str">
        <f aca="false">IF((D89="o"),F89," ")</f>
        <v> </v>
      </c>
      <c r="S89" s="180" t="str">
        <f aca="false">IF((D89="f"),F89," ")</f>
        <v> </v>
      </c>
      <c r="U89" s="371"/>
    </row>
    <row r="90" customFormat="false" ht="12.75" hidden="false" customHeight="false" outlineLevel="0" collapsed="false">
      <c r="D90" s="371" t="str">
        <f aca="false">IF((F90&lt;&gt;0),"Enter Letter"," ")</f>
        <v> </v>
      </c>
      <c r="G90" s="180" t="str">
        <f aca="false">IF((D90="d"),F90," ")</f>
        <v> </v>
      </c>
      <c r="H90" s="180" t="str">
        <f aca="false">IF((D90="h"),F90," ")</f>
        <v> </v>
      </c>
      <c r="I90" s="180" t="str">
        <f aca="false">IF((D90="r"),F90," ")</f>
        <v> </v>
      </c>
      <c r="J90" s="180" t="str">
        <f aca="false">IF((D90="t"),F90," ")</f>
        <v> </v>
      </c>
      <c r="K90" s="180" t="str">
        <f aca="false">IF((D90="e"),F90," ")</f>
        <v> </v>
      </c>
      <c r="L90" s="180" t="str">
        <f aca="false">IF((D90="p"),F90," ")</f>
        <v> </v>
      </c>
      <c r="M90" s="180" t="str">
        <f aca="false">IF((D90="g"),F90," ")</f>
        <v> </v>
      </c>
      <c r="N90" s="180" t="str">
        <f aca="false">IF((D90="a"),F90," ")</f>
        <v> </v>
      </c>
      <c r="O90" s="180" t="str">
        <f aca="false">IF((D90="l"),F90," ")</f>
        <v> </v>
      </c>
      <c r="P90" s="180" t="str">
        <f aca="false">IF((D90="i"),F90," ")</f>
        <v> </v>
      </c>
      <c r="Q90" s="180" t="str">
        <f aca="false">IF((D90="b"),F90," ")</f>
        <v> </v>
      </c>
      <c r="R90" s="180" t="str">
        <f aca="false">IF((D90="o"),F90," ")</f>
        <v> </v>
      </c>
      <c r="S90" s="180" t="str">
        <f aca="false">IF((D90="f"),F90," ")</f>
        <v> </v>
      </c>
      <c r="U90" s="371"/>
    </row>
    <row r="91" customFormat="false" ht="12.75" hidden="false" customHeight="false" outlineLevel="0" collapsed="false">
      <c r="D91" s="371" t="str">
        <f aca="false">IF((F91&lt;&gt;0),"Enter Letter"," ")</f>
        <v> </v>
      </c>
      <c r="G91" s="180" t="str">
        <f aca="false">IF((D91="d"),F91," ")</f>
        <v> </v>
      </c>
      <c r="H91" s="180" t="str">
        <f aca="false">IF((D91="h"),F91," ")</f>
        <v> </v>
      </c>
      <c r="I91" s="180" t="str">
        <f aca="false">IF((D91="r"),F91," ")</f>
        <v> </v>
      </c>
      <c r="J91" s="180" t="str">
        <f aca="false">IF((D91="t"),F91," ")</f>
        <v> </v>
      </c>
      <c r="K91" s="180" t="str">
        <f aca="false">IF((D91="e"),F91," ")</f>
        <v> </v>
      </c>
      <c r="L91" s="180" t="str">
        <f aca="false">IF((D91="p"),F91," ")</f>
        <v> </v>
      </c>
      <c r="M91" s="180" t="str">
        <f aca="false">IF((D91="g"),F91," ")</f>
        <v> </v>
      </c>
      <c r="N91" s="180" t="str">
        <f aca="false">IF((D91="a"),F91," ")</f>
        <v> </v>
      </c>
      <c r="O91" s="180" t="str">
        <f aca="false">IF((D91="l"),F91," ")</f>
        <v> </v>
      </c>
      <c r="P91" s="180" t="str">
        <f aca="false">IF((D91="i"),F91," ")</f>
        <v> </v>
      </c>
      <c r="Q91" s="180" t="str">
        <f aca="false">IF((D91="b"),F91," ")</f>
        <v> </v>
      </c>
      <c r="R91" s="180" t="str">
        <f aca="false">IF((D91="o"),F91," ")</f>
        <v> </v>
      </c>
      <c r="S91" s="180" t="str">
        <f aca="false">IF((D91="f"),F91," ")</f>
        <v> </v>
      </c>
      <c r="U91" s="371"/>
    </row>
    <row r="92" customFormat="false" ht="12.75" hidden="false" customHeight="false" outlineLevel="0" collapsed="false">
      <c r="D92" s="371" t="str">
        <f aca="false">IF((F92&lt;&gt;0),"Enter Letter"," ")</f>
        <v> </v>
      </c>
      <c r="G92" s="180" t="str">
        <f aca="false">IF((D92="d"),F92," ")</f>
        <v> </v>
      </c>
      <c r="H92" s="180" t="str">
        <f aca="false">IF((D92="h"),F92," ")</f>
        <v> </v>
      </c>
      <c r="I92" s="180" t="str">
        <f aca="false">IF((D92="r"),F92," ")</f>
        <v> </v>
      </c>
      <c r="J92" s="180" t="str">
        <f aca="false">IF((D92="t"),F92," ")</f>
        <v> </v>
      </c>
      <c r="K92" s="180" t="str">
        <f aca="false">IF((D92="e"),F92," ")</f>
        <v> </v>
      </c>
      <c r="L92" s="180" t="str">
        <f aca="false">IF((D92="p"),F92," ")</f>
        <v> </v>
      </c>
      <c r="M92" s="180" t="str">
        <f aca="false">IF((D92="g"),F92," ")</f>
        <v> </v>
      </c>
      <c r="N92" s="180" t="str">
        <f aca="false">IF((D92="a"),F92," ")</f>
        <v> </v>
      </c>
      <c r="O92" s="180" t="str">
        <f aca="false">IF((D92="l"),F92," ")</f>
        <v> </v>
      </c>
      <c r="P92" s="180" t="str">
        <f aca="false">IF((D92="i"),F92," ")</f>
        <v> </v>
      </c>
      <c r="Q92" s="180" t="str">
        <f aca="false">IF((D92="b"),F92," ")</f>
        <v> </v>
      </c>
      <c r="R92" s="180" t="str">
        <f aca="false">IF((D92="o"),F92," ")</f>
        <v> </v>
      </c>
      <c r="S92" s="180" t="str">
        <f aca="false">IF((D92="f"),F92," ")</f>
        <v> </v>
      </c>
      <c r="U92" s="371"/>
    </row>
    <row r="93" customFormat="false" ht="12.75" hidden="false" customHeight="false" outlineLevel="0" collapsed="false">
      <c r="D93" s="371" t="str">
        <f aca="false">IF((F93&lt;&gt;0),"Enter Letter"," ")</f>
        <v> </v>
      </c>
      <c r="G93" s="180" t="str">
        <f aca="false">IF((D93="d"),F93," ")</f>
        <v> </v>
      </c>
      <c r="H93" s="180" t="str">
        <f aca="false">IF((D93="h"),F93," ")</f>
        <v> </v>
      </c>
      <c r="I93" s="180" t="str">
        <f aca="false">IF((D93="r"),F93," ")</f>
        <v> </v>
      </c>
      <c r="J93" s="180" t="str">
        <f aca="false">IF((D93="t"),F93," ")</f>
        <v> </v>
      </c>
      <c r="K93" s="180" t="str">
        <f aca="false">IF((D93="e"),F93," ")</f>
        <v> </v>
      </c>
      <c r="L93" s="180" t="str">
        <f aca="false">IF((D93="p"),F93," ")</f>
        <v> </v>
      </c>
      <c r="M93" s="180" t="str">
        <f aca="false">IF((D93="g"),F93," ")</f>
        <v> </v>
      </c>
      <c r="N93" s="180" t="str">
        <f aca="false">IF((D93="a"),F93," ")</f>
        <v> </v>
      </c>
      <c r="O93" s="180" t="str">
        <f aca="false">IF((D93="l"),F93," ")</f>
        <v> </v>
      </c>
      <c r="P93" s="180" t="str">
        <f aca="false">IF((D93="i"),F93," ")</f>
        <v> </v>
      </c>
      <c r="Q93" s="180" t="str">
        <f aca="false">IF((D93="b"),F93," ")</f>
        <v> </v>
      </c>
      <c r="R93" s="180" t="str">
        <f aca="false">IF((D93="o"),F93," ")</f>
        <v> </v>
      </c>
      <c r="S93" s="180" t="str">
        <f aca="false">IF((D93="f"),F93," ")</f>
        <v> </v>
      </c>
      <c r="U93" s="371"/>
    </row>
    <row r="94" customFormat="false" ht="12.75" hidden="false" customHeight="false" outlineLevel="0" collapsed="false">
      <c r="D94" s="371" t="str">
        <f aca="false">IF((F94&lt;&gt;0),"Enter Letter"," ")</f>
        <v> </v>
      </c>
      <c r="G94" s="180" t="str">
        <f aca="false">IF((D94="d"),F94," ")</f>
        <v> </v>
      </c>
      <c r="H94" s="180" t="str">
        <f aca="false">IF((D94="h"),F94," ")</f>
        <v> </v>
      </c>
      <c r="I94" s="180" t="str">
        <f aca="false">IF((D94="r"),F94," ")</f>
        <v> </v>
      </c>
      <c r="J94" s="180" t="str">
        <f aca="false">IF((D94="t"),F94," ")</f>
        <v> </v>
      </c>
      <c r="K94" s="180" t="str">
        <f aca="false">IF((D94="e"),F94," ")</f>
        <v> </v>
      </c>
      <c r="L94" s="180" t="str">
        <f aca="false">IF((D94="p"),F94," ")</f>
        <v> </v>
      </c>
      <c r="M94" s="180" t="str">
        <f aca="false">IF((D94="g"),F94," ")</f>
        <v> </v>
      </c>
      <c r="N94" s="180" t="str">
        <f aca="false">IF((D94="a"),F94," ")</f>
        <v> </v>
      </c>
      <c r="O94" s="180" t="str">
        <f aca="false">IF((D94="l"),F94," ")</f>
        <v> </v>
      </c>
      <c r="P94" s="180" t="str">
        <f aca="false">IF((D94="i"),F94," ")</f>
        <v> </v>
      </c>
      <c r="Q94" s="180" t="str">
        <f aca="false">IF((D94="b"),F94," ")</f>
        <v> </v>
      </c>
      <c r="R94" s="180" t="str">
        <f aca="false">IF((D94="o"),F94," ")</f>
        <v> </v>
      </c>
      <c r="S94" s="180" t="str">
        <f aca="false">IF((D94="f"),F94," ")</f>
        <v> </v>
      </c>
      <c r="U94" s="371"/>
    </row>
    <row r="95" customFormat="false" ht="12.75" hidden="false" customHeight="false" outlineLevel="0" collapsed="false">
      <c r="D95" s="371" t="str">
        <f aca="false">IF((F95&lt;&gt;0),"Enter Letter"," ")</f>
        <v> </v>
      </c>
      <c r="G95" s="180" t="str">
        <f aca="false">IF((D95="d"),F95," ")</f>
        <v> </v>
      </c>
      <c r="H95" s="180" t="str">
        <f aca="false">IF((D95="h"),F95," ")</f>
        <v> </v>
      </c>
      <c r="I95" s="180" t="str">
        <f aca="false">IF((D95="r"),F95," ")</f>
        <v> </v>
      </c>
      <c r="J95" s="180" t="str">
        <f aca="false">IF((D95="t"),F95," ")</f>
        <v> </v>
      </c>
      <c r="K95" s="180" t="str">
        <f aca="false">IF((D95="e"),F95," ")</f>
        <v> </v>
      </c>
      <c r="L95" s="180" t="str">
        <f aca="false">IF((D95="p"),F95," ")</f>
        <v> </v>
      </c>
      <c r="M95" s="180" t="str">
        <f aca="false">IF((D95="g"),F95," ")</f>
        <v> </v>
      </c>
      <c r="N95" s="180" t="str">
        <f aca="false">IF((D95="a"),F95," ")</f>
        <v> </v>
      </c>
      <c r="O95" s="180" t="str">
        <f aca="false">IF((D95="l"),F95," ")</f>
        <v> </v>
      </c>
      <c r="P95" s="180" t="str">
        <f aca="false">IF((D95="i"),F95," ")</f>
        <v> </v>
      </c>
      <c r="Q95" s="180" t="str">
        <f aca="false">IF((D95="b"),F95," ")</f>
        <v> </v>
      </c>
      <c r="R95" s="180" t="str">
        <f aca="false">IF((D95="o"),F95," ")</f>
        <v> </v>
      </c>
      <c r="S95" s="180" t="str">
        <f aca="false">IF((D95="f"),F95," ")</f>
        <v> </v>
      </c>
      <c r="U95" s="371"/>
    </row>
    <row r="96" customFormat="false" ht="12.75" hidden="false" customHeight="false" outlineLevel="0" collapsed="false">
      <c r="D96" s="371" t="str">
        <f aca="false">IF((F96&lt;&gt;0),"Enter Letter"," ")</f>
        <v> </v>
      </c>
      <c r="G96" s="180" t="str">
        <f aca="false">IF((D96="d"),F96," ")</f>
        <v> </v>
      </c>
      <c r="H96" s="180" t="str">
        <f aca="false">IF((D96="h"),F96," ")</f>
        <v> </v>
      </c>
      <c r="I96" s="180" t="str">
        <f aca="false">IF((D96="r"),F96," ")</f>
        <v> </v>
      </c>
      <c r="J96" s="180" t="str">
        <f aca="false">IF((D96="t"),F96," ")</f>
        <v> </v>
      </c>
      <c r="K96" s="180" t="str">
        <f aca="false">IF((D96="e"),F96," ")</f>
        <v> </v>
      </c>
      <c r="L96" s="180" t="str">
        <f aca="false">IF((D96="p"),F96," ")</f>
        <v> </v>
      </c>
      <c r="M96" s="180" t="str">
        <f aca="false">IF((D96="g"),F96," ")</f>
        <v> </v>
      </c>
      <c r="N96" s="180" t="str">
        <f aca="false">IF((D96="a"),F96," ")</f>
        <v> </v>
      </c>
      <c r="O96" s="180" t="str">
        <f aca="false">IF((D96="l"),F96," ")</f>
        <v> </v>
      </c>
      <c r="P96" s="180" t="str">
        <f aca="false">IF((D96="i"),F96," ")</f>
        <v> </v>
      </c>
      <c r="Q96" s="180" t="str">
        <f aca="false">IF((D96="b"),F96," ")</f>
        <v> </v>
      </c>
      <c r="R96" s="180" t="str">
        <f aca="false">IF((D96="o"),F96," ")</f>
        <v> </v>
      </c>
      <c r="S96" s="180" t="str">
        <f aca="false">IF((D96="f"),F96," ")</f>
        <v> </v>
      </c>
      <c r="U96" s="371"/>
    </row>
    <row r="97" customFormat="false" ht="12.75" hidden="false" customHeight="false" outlineLevel="0" collapsed="false">
      <c r="D97" s="371" t="str">
        <f aca="false">IF((F97&lt;&gt;0),"Enter Letter"," ")</f>
        <v> </v>
      </c>
      <c r="G97" s="180" t="str">
        <f aca="false">IF((D97="d"),F97," ")</f>
        <v> </v>
      </c>
      <c r="H97" s="180" t="str">
        <f aca="false">IF((D97="h"),F97," ")</f>
        <v> </v>
      </c>
      <c r="I97" s="180" t="str">
        <f aca="false">IF((D97="r"),F97," ")</f>
        <v> </v>
      </c>
      <c r="J97" s="180" t="str">
        <f aca="false">IF((D97="t"),F97," ")</f>
        <v> </v>
      </c>
      <c r="K97" s="180" t="str">
        <f aca="false">IF((D97="e"),F97," ")</f>
        <v> </v>
      </c>
      <c r="L97" s="180" t="str">
        <f aca="false">IF((D97="p"),F97," ")</f>
        <v> </v>
      </c>
      <c r="M97" s="180" t="str">
        <f aca="false">IF((D97="g"),F97," ")</f>
        <v> </v>
      </c>
      <c r="N97" s="180" t="str">
        <f aca="false">IF((D97="a"),F97," ")</f>
        <v> </v>
      </c>
      <c r="O97" s="180" t="str">
        <f aca="false">IF((D97="l"),F97," ")</f>
        <v> </v>
      </c>
      <c r="P97" s="180" t="str">
        <f aca="false">IF((D97="i"),F97," ")</f>
        <v> </v>
      </c>
      <c r="Q97" s="180" t="str">
        <f aca="false">IF((D97="b"),F97," ")</f>
        <v> </v>
      </c>
      <c r="R97" s="180" t="str">
        <f aca="false">IF((D97="o"),F97," ")</f>
        <v> </v>
      </c>
      <c r="S97" s="180" t="str">
        <f aca="false">IF((D97="f"),F97," ")</f>
        <v> </v>
      </c>
      <c r="U97" s="371"/>
    </row>
    <row r="98" customFormat="false" ht="12.75" hidden="false" customHeight="false" outlineLevel="0" collapsed="false">
      <c r="D98" s="371" t="str">
        <f aca="false">IF((F98&lt;&gt;0),"Enter Letter"," ")</f>
        <v> </v>
      </c>
      <c r="G98" s="180" t="str">
        <f aca="false">IF((D98="d"),F98," ")</f>
        <v> </v>
      </c>
      <c r="H98" s="180" t="str">
        <f aca="false">IF((D98="h"),F98," ")</f>
        <v> </v>
      </c>
      <c r="I98" s="180" t="str">
        <f aca="false">IF((D98="r"),F98," ")</f>
        <v> </v>
      </c>
      <c r="J98" s="180" t="str">
        <f aca="false">IF((D98="t"),F98," ")</f>
        <v> </v>
      </c>
      <c r="K98" s="180" t="str">
        <f aca="false">IF((D98="e"),F98," ")</f>
        <v> </v>
      </c>
      <c r="L98" s="180" t="str">
        <f aca="false">IF((D98="p"),F98," ")</f>
        <v> </v>
      </c>
      <c r="M98" s="180" t="str">
        <f aca="false">IF((D98="g"),F98," ")</f>
        <v> </v>
      </c>
      <c r="N98" s="180" t="str">
        <f aca="false">IF((D98="a"),F98," ")</f>
        <v> </v>
      </c>
      <c r="O98" s="180" t="str">
        <f aca="false">IF((D98="l"),F98," ")</f>
        <v> </v>
      </c>
      <c r="P98" s="180" t="str">
        <f aca="false">IF((D98="i"),F98," ")</f>
        <v> </v>
      </c>
      <c r="Q98" s="180" t="str">
        <f aca="false">IF((D98="b"),F98," ")</f>
        <v> </v>
      </c>
      <c r="R98" s="180" t="str">
        <f aca="false">IF((D98="o"),F98," ")</f>
        <v> </v>
      </c>
      <c r="S98" s="180" t="str">
        <f aca="false">IF((D98="f"),F98," ")</f>
        <v> </v>
      </c>
      <c r="U98" s="371"/>
    </row>
    <row r="99" customFormat="false" ht="12.75" hidden="false" customHeight="false" outlineLevel="0" collapsed="false">
      <c r="D99" s="371" t="str">
        <f aca="false">IF((F99&lt;&gt;0),"Enter Letter"," ")</f>
        <v> </v>
      </c>
      <c r="G99" s="180" t="str">
        <f aca="false">IF((D99="d"),F99," ")</f>
        <v> </v>
      </c>
      <c r="H99" s="180" t="str">
        <f aca="false">IF((D99="h"),F99," ")</f>
        <v> </v>
      </c>
      <c r="I99" s="180" t="str">
        <f aca="false">IF((D99="r"),F99," ")</f>
        <v> </v>
      </c>
      <c r="J99" s="180" t="str">
        <f aca="false">IF((D99="t"),F99," ")</f>
        <v> </v>
      </c>
      <c r="K99" s="180" t="str">
        <f aca="false">IF((D99="e"),F99," ")</f>
        <v> </v>
      </c>
      <c r="L99" s="180" t="str">
        <f aca="false">IF((D99="p"),F99," ")</f>
        <v> </v>
      </c>
      <c r="M99" s="180" t="str">
        <f aca="false">IF((D99="g"),F99," ")</f>
        <v> </v>
      </c>
      <c r="N99" s="180" t="str">
        <f aca="false">IF((D99="a"),F99," ")</f>
        <v> </v>
      </c>
      <c r="O99" s="180" t="str">
        <f aca="false">IF((D99="l"),F99," ")</f>
        <v> </v>
      </c>
      <c r="P99" s="180" t="str">
        <f aca="false">IF((D99="i"),F99," ")</f>
        <v> </v>
      </c>
      <c r="Q99" s="180" t="str">
        <f aca="false">IF((D99="b"),F99," ")</f>
        <v> </v>
      </c>
      <c r="R99" s="180" t="str">
        <f aca="false">IF((D99="o"),F99," ")</f>
        <v> </v>
      </c>
      <c r="S99" s="180" t="str">
        <f aca="false">IF((D99="f"),F99," ")</f>
        <v> </v>
      </c>
      <c r="U99" s="371"/>
    </row>
    <row r="100" customFormat="false" ht="12.75" hidden="false" customHeight="false" outlineLevel="0" collapsed="false">
      <c r="D100" s="371" t="str">
        <f aca="false">IF((F100&lt;&gt;0),"Enter Letter"," ")</f>
        <v> </v>
      </c>
      <c r="G100" s="180" t="str">
        <f aca="false">IF((D100="d"),F100," ")</f>
        <v> </v>
      </c>
      <c r="H100" s="180" t="str">
        <f aca="false">IF((D100="h"),F100," ")</f>
        <v> </v>
      </c>
      <c r="I100" s="180" t="str">
        <f aca="false">IF((D100="r"),F100," ")</f>
        <v> </v>
      </c>
      <c r="J100" s="180" t="str">
        <f aca="false">IF((D100="t"),F100," ")</f>
        <v> </v>
      </c>
      <c r="K100" s="180" t="str">
        <f aca="false">IF((D100="e"),F100," ")</f>
        <v> </v>
      </c>
      <c r="L100" s="180" t="str">
        <f aca="false">IF((D100="p"),F100," ")</f>
        <v> </v>
      </c>
      <c r="M100" s="180" t="str">
        <f aca="false">IF((D100="g"),F100," ")</f>
        <v> </v>
      </c>
      <c r="N100" s="180" t="str">
        <f aca="false">IF((D100="a"),F100," ")</f>
        <v> </v>
      </c>
      <c r="O100" s="180" t="str">
        <f aca="false">IF((D100="l"),F100," ")</f>
        <v> </v>
      </c>
      <c r="P100" s="180" t="str">
        <f aca="false">IF((D100="i"),F100," ")</f>
        <v> </v>
      </c>
      <c r="Q100" s="180" t="str">
        <f aca="false">IF((D100="b"),F100," ")</f>
        <v> </v>
      </c>
      <c r="R100" s="180" t="str">
        <f aca="false">IF((D100="o"),F100," ")</f>
        <v> </v>
      </c>
      <c r="S100" s="180" t="str">
        <f aca="false">IF((D100="f"),F100," ")</f>
        <v> </v>
      </c>
      <c r="U100" s="371"/>
    </row>
    <row r="101" customFormat="false" ht="12.75" hidden="false" customHeight="false" outlineLevel="0" collapsed="false">
      <c r="D101" s="371" t="str">
        <f aca="false">IF((F101&lt;&gt;0),"Enter Letter"," ")</f>
        <v> </v>
      </c>
      <c r="G101" s="180" t="str">
        <f aca="false">IF((D101="d"),F101," ")</f>
        <v> </v>
      </c>
      <c r="H101" s="180" t="str">
        <f aca="false">IF((D101="h"),F101," ")</f>
        <v> </v>
      </c>
      <c r="I101" s="180" t="str">
        <f aca="false">IF((D101="r"),F101," ")</f>
        <v> </v>
      </c>
      <c r="J101" s="180" t="str">
        <f aca="false">IF((D101="t"),F101," ")</f>
        <v> </v>
      </c>
      <c r="K101" s="180" t="str">
        <f aca="false">IF((D101="e"),F101," ")</f>
        <v> </v>
      </c>
      <c r="L101" s="180" t="str">
        <f aca="false">IF((D101="p"),F101," ")</f>
        <v> </v>
      </c>
      <c r="M101" s="180" t="str">
        <f aca="false">IF((D101="g"),F101," ")</f>
        <v> </v>
      </c>
      <c r="N101" s="180" t="str">
        <f aca="false">IF((D101="a"),F101," ")</f>
        <v> </v>
      </c>
      <c r="O101" s="180" t="str">
        <f aca="false">IF((D101="l"),F101," ")</f>
        <v> </v>
      </c>
      <c r="P101" s="180" t="str">
        <f aca="false">IF((D101="i"),F101," ")</f>
        <v> </v>
      </c>
      <c r="Q101" s="180" t="str">
        <f aca="false">IF((D101="b"),F101," ")</f>
        <v> </v>
      </c>
      <c r="R101" s="180" t="str">
        <f aca="false">IF((D101="o"),F101," ")</f>
        <v> </v>
      </c>
      <c r="S101" s="180" t="str">
        <f aca="false">IF((D101="f"),F101," ")</f>
        <v> </v>
      </c>
      <c r="U101" s="371"/>
    </row>
    <row r="102" customFormat="false" ht="12.75" hidden="false" customHeight="false" outlineLevel="0" collapsed="false">
      <c r="D102" s="371" t="str">
        <f aca="false">IF((F102&lt;&gt;0),"Enter Letter"," ")</f>
        <v> </v>
      </c>
      <c r="G102" s="180" t="str">
        <f aca="false">IF((D102="d"),F102," ")</f>
        <v> </v>
      </c>
      <c r="H102" s="180" t="str">
        <f aca="false">IF((D102="h"),F102," ")</f>
        <v> </v>
      </c>
      <c r="I102" s="180" t="str">
        <f aca="false">IF((D102="r"),F102," ")</f>
        <v> </v>
      </c>
      <c r="J102" s="180" t="str">
        <f aca="false">IF((D102="t"),F102," ")</f>
        <v> </v>
      </c>
      <c r="K102" s="180" t="str">
        <f aca="false">IF((D102="e"),F102," ")</f>
        <v> </v>
      </c>
      <c r="L102" s="180" t="str">
        <f aca="false">IF((D102="p"),F102," ")</f>
        <v> </v>
      </c>
      <c r="M102" s="180" t="str">
        <f aca="false">IF((D102="g"),F102," ")</f>
        <v> </v>
      </c>
      <c r="N102" s="180" t="str">
        <f aca="false">IF((D102="a"),F102," ")</f>
        <v> </v>
      </c>
      <c r="O102" s="180" t="str">
        <f aca="false">IF((D102="l"),F102," ")</f>
        <v> </v>
      </c>
      <c r="P102" s="180" t="str">
        <f aca="false">IF((D102="i"),F102," ")</f>
        <v> </v>
      </c>
      <c r="Q102" s="180" t="str">
        <f aca="false">IF((D102="b"),F102," ")</f>
        <v> </v>
      </c>
      <c r="R102" s="180" t="str">
        <f aca="false">IF((D102="o"),F102," ")</f>
        <v> </v>
      </c>
      <c r="S102" s="180" t="str">
        <f aca="false">IF((D102="f"),F102," ")</f>
        <v> </v>
      </c>
      <c r="U102" s="371"/>
    </row>
    <row r="103" customFormat="false" ht="12.75" hidden="false" customHeight="false" outlineLevel="0" collapsed="false">
      <c r="D103" s="371" t="str">
        <f aca="false">IF((F103&lt;&gt;0),"Enter Letter"," ")</f>
        <v> </v>
      </c>
      <c r="G103" s="180" t="str">
        <f aca="false">IF((D103="d"),F103," ")</f>
        <v> </v>
      </c>
      <c r="H103" s="180" t="str">
        <f aca="false">IF((D103="h"),F103," ")</f>
        <v> </v>
      </c>
      <c r="I103" s="180" t="str">
        <f aca="false">IF((D103="r"),F103," ")</f>
        <v> </v>
      </c>
      <c r="J103" s="180" t="str">
        <f aca="false">IF((D103="t"),F103," ")</f>
        <v> </v>
      </c>
      <c r="K103" s="180" t="str">
        <f aca="false">IF((D103="e"),F103," ")</f>
        <v> </v>
      </c>
      <c r="L103" s="180" t="str">
        <f aca="false">IF((D103="p"),F103," ")</f>
        <v> </v>
      </c>
      <c r="M103" s="180" t="str">
        <f aca="false">IF((D103="g"),F103," ")</f>
        <v> </v>
      </c>
      <c r="N103" s="180" t="str">
        <f aca="false">IF((D103="a"),F103," ")</f>
        <v> </v>
      </c>
      <c r="O103" s="180" t="str">
        <f aca="false">IF((D103="l"),F103," ")</f>
        <v> </v>
      </c>
      <c r="P103" s="180" t="str">
        <f aca="false">IF((D103="i"),F103," ")</f>
        <v> </v>
      </c>
      <c r="Q103" s="180" t="str">
        <f aca="false">IF((D103="b"),F103," ")</f>
        <v> </v>
      </c>
      <c r="R103" s="180" t="str">
        <f aca="false">IF((D103="o"),F103," ")</f>
        <v> </v>
      </c>
      <c r="S103" s="180" t="str">
        <f aca="false">IF((D103="f"),F103," ")</f>
        <v> </v>
      </c>
      <c r="U103" s="371"/>
    </row>
    <row r="104" customFormat="false" ht="12.75" hidden="false" customHeight="false" outlineLevel="0" collapsed="false">
      <c r="D104" s="371" t="str">
        <f aca="false">IF((F104&lt;&gt;0),"Enter Letter"," ")</f>
        <v> </v>
      </c>
      <c r="G104" s="180" t="str">
        <f aca="false">IF((D104="d"),F104," ")</f>
        <v> </v>
      </c>
      <c r="H104" s="180" t="str">
        <f aca="false">IF((D104="h"),F104," ")</f>
        <v> </v>
      </c>
      <c r="I104" s="180" t="str">
        <f aca="false">IF((D104="r"),F104," ")</f>
        <v> </v>
      </c>
      <c r="J104" s="180" t="str">
        <f aca="false">IF((D104="t"),F104," ")</f>
        <v> </v>
      </c>
      <c r="K104" s="180" t="str">
        <f aca="false">IF((D104="e"),F104," ")</f>
        <v> </v>
      </c>
      <c r="L104" s="180" t="str">
        <f aca="false">IF((D104="p"),F104," ")</f>
        <v> </v>
      </c>
      <c r="M104" s="180" t="str">
        <f aca="false">IF((D104="g"),F104," ")</f>
        <v> </v>
      </c>
      <c r="N104" s="180" t="str">
        <f aca="false">IF((D104="a"),F104," ")</f>
        <v> </v>
      </c>
      <c r="O104" s="180" t="str">
        <f aca="false">IF((D104="l"),F104," ")</f>
        <v> </v>
      </c>
      <c r="P104" s="180" t="str">
        <f aca="false">IF((D104="i"),F104," ")</f>
        <v> </v>
      </c>
      <c r="Q104" s="180" t="str">
        <f aca="false">IF((D104="b"),F104," ")</f>
        <v> </v>
      </c>
      <c r="R104" s="180" t="str">
        <f aca="false">IF((D104="o"),F104," ")</f>
        <v> </v>
      </c>
      <c r="S104" s="180" t="str">
        <f aca="false">IF((D104="f"),F104," ")</f>
        <v> </v>
      </c>
      <c r="U104" s="371"/>
    </row>
    <row r="105" customFormat="false" ht="12.75" hidden="false" customHeight="false" outlineLevel="0" collapsed="false">
      <c r="D105" s="371" t="str">
        <f aca="false">IF((F105&lt;&gt;0),"Enter Letter"," ")</f>
        <v> </v>
      </c>
      <c r="G105" s="180" t="str">
        <f aca="false">IF((D105="d"),F105," ")</f>
        <v> </v>
      </c>
      <c r="H105" s="180" t="str">
        <f aca="false">IF((D105="h"),F105," ")</f>
        <v> </v>
      </c>
      <c r="I105" s="180" t="str">
        <f aca="false">IF((D105="r"),F105," ")</f>
        <v> </v>
      </c>
      <c r="J105" s="180" t="str">
        <f aca="false">IF((D105="t"),F105," ")</f>
        <v> </v>
      </c>
      <c r="K105" s="180" t="str">
        <f aca="false">IF((D105="e"),F105," ")</f>
        <v> </v>
      </c>
      <c r="L105" s="180" t="str">
        <f aca="false">IF((D105="p"),F105," ")</f>
        <v> </v>
      </c>
      <c r="M105" s="180" t="str">
        <f aca="false">IF((D105="g"),F105," ")</f>
        <v> </v>
      </c>
      <c r="N105" s="180" t="str">
        <f aca="false">IF((D105="a"),F105," ")</f>
        <v> </v>
      </c>
      <c r="O105" s="180" t="str">
        <f aca="false">IF((D105="l"),F105," ")</f>
        <v> </v>
      </c>
      <c r="P105" s="180" t="str">
        <f aca="false">IF((D105="i"),F105," ")</f>
        <v> </v>
      </c>
      <c r="Q105" s="180" t="str">
        <f aca="false">IF((D105="b"),F105," ")</f>
        <v> </v>
      </c>
      <c r="R105" s="180" t="str">
        <f aca="false">IF((D105="o"),F105," ")</f>
        <v> </v>
      </c>
      <c r="S105" s="180" t="str">
        <f aca="false">IF((D105="f"),F105," ")</f>
        <v> </v>
      </c>
      <c r="U105" s="371"/>
    </row>
    <row r="106" customFormat="false" ht="12.75" hidden="false" customHeight="false" outlineLevel="0" collapsed="false">
      <c r="D106" s="371" t="str">
        <f aca="false">IF((F106&lt;&gt;0),"Enter Letter"," ")</f>
        <v> </v>
      </c>
      <c r="G106" s="180" t="str">
        <f aca="false">IF((D106="d"),F106," ")</f>
        <v> </v>
      </c>
      <c r="H106" s="180" t="str">
        <f aca="false">IF((D106="h"),F106," ")</f>
        <v> </v>
      </c>
      <c r="I106" s="180" t="str">
        <f aca="false">IF((D106="r"),F106," ")</f>
        <v> </v>
      </c>
      <c r="J106" s="180" t="str">
        <f aca="false">IF((D106="t"),F106," ")</f>
        <v> </v>
      </c>
      <c r="K106" s="180" t="str">
        <f aca="false">IF((D106="e"),F106," ")</f>
        <v> </v>
      </c>
      <c r="L106" s="180" t="str">
        <f aca="false">IF((D106="p"),F106," ")</f>
        <v> </v>
      </c>
      <c r="M106" s="180" t="str">
        <f aca="false">IF((D106="g"),F106," ")</f>
        <v> </v>
      </c>
      <c r="N106" s="180" t="str">
        <f aca="false">IF((D106="a"),F106," ")</f>
        <v> </v>
      </c>
      <c r="O106" s="180" t="str">
        <f aca="false">IF((D106="l"),F106," ")</f>
        <v> </v>
      </c>
      <c r="P106" s="180" t="str">
        <f aca="false">IF((D106="i"),F106," ")</f>
        <v> </v>
      </c>
      <c r="Q106" s="180" t="str">
        <f aca="false">IF((D106="b"),F106," ")</f>
        <v> </v>
      </c>
      <c r="R106" s="180" t="str">
        <f aca="false">IF((D106="o"),F106," ")</f>
        <v> </v>
      </c>
      <c r="S106" s="180" t="str">
        <f aca="false">IF((D106="f"),F106," ")</f>
        <v> </v>
      </c>
      <c r="U106" s="371"/>
    </row>
    <row r="107" customFormat="false" ht="12.75" hidden="false" customHeight="false" outlineLevel="0" collapsed="false">
      <c r="D107" s="371" t="str">
        <f aca="false">IF((F107&lt;&gt;0),"Enter Letter"," ")</f>
        <v> </v>
      </c>
      <c r="G107" s="180" t="str">
        <f aca="false">IF((D107="d"),F107," ")</f>
        <v> </v>
      </c>
      <c r="H107" s="180" t="str">
        <f aca="false">IF((D107="h"),F107," ")</f>
        <v> </v>
      </c>
      <c r="I107" s="180" t="str">
        <f aca="false">IF((D107="r"),F107," ")</f>
        <v> </v>
      </c>
      <c r="J107" s="180" t="str">
        <f aca="false">IF((D107="t"),F107," ")</f>
        <v> </v>
      </c>
      <c r="K107" s="180" t="str">
        <f aca="false">IF((D107="e"),F107," ")</f>
        <v> </v>
      </c>
      <c r="L107" s="180" t="str">
        <f aca="false">IF((D107="p"),F107," ")</f>
        <v> </v>
      </c>
      <c r="M107" s="180" t="str">
        <f aca="false">IF((D107="g"),F107," ")</f>
        <v> </v>
      </c>
      <c r="N107" s="180" t="str">
        <f aca="false">IF((D107="a"),F107," ")</f>
        <v> </v>
      </c>
      <c r="O107" s="180" t="str">
        <f aca="false">IF((D107="l"),F107," ")</f>
        <v> </v>
      </c>
      <c r="P107" s="180" t="str">
        <f aca="false">IF((D107="i"),F107," ")</f>
        <v> </v>
      </c>
      <c r="Q107" s="180" t="str">
        <f aca="false">IF((D107="b"),F107," ")</f>
        <v> </v>
      </c>
      <c r="R107" s="180" t="str">
        <f aca="false">IF((D107="o"),F107," ")</f>
        <v> </v>
      </c>
      <c r="S107" s="180" t="str">
        <f aca="false">IF((D107="f"),F107," ")</f>
        <v> </v>
      </c>
      <c r="U107" s="371"/>
    </row>
    <row r="108" customFormat="false" ht="12.75" hidden="false" customHeight="false" outlineLevel="0" collapsed="false">
      <c r="D108" s="371" t="str">
        <f aca="false">IF((F108&lt;&gt;0),"Enter Letter"," ")</f>
        <v> </v>
      </c>
      <c r="G108" s="180" t="str">
        <f aca="false">IF((D108="d"),F108," ")</f>
        <v> </v>
      </c>
      <c r="H108" s="180" t="str">
        <f aca="false">IF((D108="h"),F108," ")</f>
        <v> </v>
      </c>
      <c r="I108" s="180" t="str">
        <f aca="false">IF((D108="r"),F108," ")</f>
        <v> </v>
      </c>
      <c r="J108" s="180" t="str">
        <f aca="false">IF((D108="t"),F108," ")</f>
        <v> </v>
      </c>
      <c r="K108" s="180" t="str">
        <f aca="false">IF((D108="e"),F108," ")</f>
        <v> </v>
      </c>
      <c r="L108" s="180" t="str">
        <f aca="false">IF((D108="p"),F108," ")</f>
        <v> </v>
      </c>
      <c r="M108" s="180" t="str">
        <f aca="false">IF((D108="g"),F108," ")</f>
        <v> </v>
      </c>
      <c r="N108" s="180" t="str">
        <f aca="false">IF((D108="a"),F108," ")</f>
        <v> </v>
      </c>
      <c r="O108" s="180" t="str">
        <f aca="false">IF((D108="l"),F108," ")</f>
        <v> </v>
      </c>
      <c r="P108" s="180" t="str">
        <f aca="false">IF((D108="i"),F108," ")</f>
        <v> </v>
      </c>
      <c r="Q108" s="180" t="str">
        <f aca="false">IF((D108="b"),F108," ")</f>
        <v> </v>
      </c>
      <c r="R108" s="180" t="str">
        <f aca="false">IF((D108="o"),F108," ")</f>
        <v> </v>
      </c>
      <c r="S108" s="180" t="str">
        <f aca="false">IF((D108="f"),F108," ")</f>
        <v> </v>
      </c>
      <c r="U108" s="371"/>
    </row>
    <row r="109" customFormat="false" ht="12.75" hidden="false" customHeight="false" outlineLevel="0" collapsed="false">
      <c r="D109" s="371" t="str">
        <f aca="false">IF((F109&lt;&gt;0),"Enter Letter"," ")</f>
        <v> </v>
      </c>
      <c r="G109" s="180" t="str">
        <f aca="false">IF((D109="d"),F109," ")</f>
        <v> </v>
      </c>
      <c r="H109" s="180" t="str">
        <f aca="false">IF((D109="h"),F109," ")</f>
        <v> </v>
      </c>
      <c r="I109" s="180" t="str">
        <f aca="false">IF((D109="r"),F109," ")</f>
        <v> </v>
      </c>
      <c r="J109" s="180" t="str">
        <f aca="false">IF((D109="t"),F109," ")</f>
        <v> </v>
      </c>
      <c r="K109" s="180" t="str">
        <f aca="false">IF((D109="e"),F109," ")</f>
        <v> </v>
      </c>
      <c r="L109" s="180" t="str">
        <f aca="false">IF((D109="p"),F109," ")</f>
        <v> </v>
      </c>
      <c r="M109" s="180" t="str">
        <f aca="false">IF((D109="g"),F109," ")</f>
        <v> </v>
      </c>
      <c r="N109" s="180" t="str">
        <f aca="false">IF((D109="a"),F109," ")</f>
        <v> </v>
      </c>
      <c r="O109" s="180" t="str">
        <f aca="false">IF((D109="l"),F109," ")</f>
        <v> </v>
      </c>
      <c r="P109" s="180" t="str">
        <f aca="false">IF((D109="i"),F109," ")</f>
        <v> </v>
      </c>
      <c r="Q109" s="180" t="str">
        <f aca="false">IF((D109="b"),F109," ")</f>
        <v> </v>
      </c>
      <c r="R109" s="180" t="str">
        <f aca="false">IF((D109="o"),F109," ")</f>
        <v> </v>
      </c>
      <c r="S109" s="180" t="str">
        <f aca="false">IF((D109="f"),F109," ")</f>
        <v> </v>
      </c>
      <c r="U109" s="371"/>
    </row>
    <row r="110" customFormat="false" ht="12.75" hidden="false" customHeight="false" outlineLevel="0" collapsed="false">
      <c r="D110" s="371" t="str">
        <f aca="false">IF((F110&lt;&gt;0),"Enter Letter"," ")</f>
        <v> </v>
      </c>
      <c r="G110" s="180" t="str">
        <f aca="false">IF((D110="d"),F110," ")</f>
        <v> </v>
      </c>
      <c r="H110" s="180" t="str">
        <f aca="false">IF((D110="h"),F110," ")</f>
        <v> </v>
      </c>
      <c r="I110" s="180" t="str">
        <f aca="false">IF((D110="r"),F110," ")</f>
        <v> </v>
      </c>
      <c r="J110" s="180" t="str">
        <f aca="false">IF((D110="t"),F110," ")</f>
        <v> </v>
      </c>
      <c r="K110" s="180" t="str">
        <f aca="false">IF((D110="e"),F110," ")</f>
        <v> </v>
      </c>
      <c r="L110" s="180" t="str">
        <f aca="false">IF((D110="p"),F110," ")</f>
        <v> </v>
      </c>
      <c r="M110" s="180" t="str">
        <f aca="false">IF((D110="g"),F110," ")</f>
        <v> </v>
      </c>
      <c r="N110" s="180" t="str">
        <f aca="false">IF((D110="a"),F110," ")</f>
        <v> </v>
      </c>
      <c r="O110" s="180" t="str">
        <f aca="false">IF((D110="l"),F110," ")</f>
        <v> </v>
      </c>
      <c r="P110" s="180" t="str">
        <f aca="false">IF((D110="i"),F110," ")</f>
        <v> </v>
      </c>
      <c r="Q110" s="180" t="str">
        <f aca="false">IF((D110="b"),F110," ")</f>
        <v> </v>
      </c>
      <c r="R110" s="180" t="str">
        <f aca="false">IF((D110="o"),F110," ")</f>
        <v> </v>
      </c>
      <c r="S110" s="180" t="str">
        <f aca="false">IF((D110="f"),F110," ")</f>
        <v> </v>
      </c>
      <c r="U110" s="371"/>
    </row>
    <row r="111" customFormat="false" ht="12.75" hidden="false" customHeight="false" outlineLevel="0" collapsed="false">
      <c r="D111" s="371" t="str">
        <f aca="false">IF((F111&lt;&gt;0),"Enter Letter"," ")</f>
        <v> </v>
      </c>
      <c r="G111" s="180" t="str">
        <f aca="false">IF((D111="d"),F111," ")</f>
        <v> </v>
      </c>
      <c r="H111" s="180" t="str">
        <f aca="false">IF((D111="h"),F111," ")</f>
        <v> </v>
      </c>
      <c r="I111" s="180" t="str">
        <f aca="false">IF((D111="r"),F111," ")</f>
        <v> </v>
      </c>
      <c r="J111" s="180" t="str">
        <f aca="false">IF((D111="t"),F111," ")</f>
        <v> </v>
      </c>
      <c r="K111" s="180" t="str">
        <f aca="false">IF((D111="e"),F111," ")</f>
        <v> </v>
      </c>
      <c r="L111" s="180" t="str">
        <f aca="false">IF((D111="p"),F111," ")</f>
        <v> </v>
      </c>
      <c r="M111" s="180" t="str">
        <f aca="false">IF((D111="g"),F111," ")</f>
        <v> </v>
      </c>
      <c r="N111" s="180" t="str">
        <f aca="false">IF((D111="a"),F111," ")</f>
        <v> </v>
      </c>
      <c r="O111" s="180" t="str">
        <f aca="false">IF((D111="l"),F111," ")</f>
        <v> </v>
      </c>
      <c r="P111" s="180" t="str">
        <f aca="false">IF((D111="i"),F111," ")</f>
        <v> </v>
      </c>
      <c r="Q111" s="180" t="str">
        <f aca="false">IF((D111="b"),F111," ")</f>
        <v> </v>
      </c>
      <c r="R111" s="180" t="str">
        <f aca="false">IF((D111="o"),F111," ")</f>
        <v> </v>
      </c>
      <c r="S111" s="180" t="str">
        <f aca="false">IF((D111="f"),F111," ")</f>
        <v> </v>
      </c>
      <c r="U111" s="371"/>
    </row>
    <row r="112" customFormat="false" ht="12.75" hidden="false" customHeight="false" outlineLevel="0" collapsed="false">
      <c r="D112" s="371" t="str">
        <f aca="false">IF((F112&lt;&gt;0),"Enter Letter"," ")</f>
        <v> </v>
      </c>
      <c r="G112" s="180" t="str">
        <f aca="false">IF((D112="d"),F112," ")</f>
        <v> </v>
      </c>
      <c r="H112" s="180" t="str">
        <f aca="false">IF((D112="h"),F112," ")</f>
        <v> </v>
      </c>
      <c r="I112" s="180" t="str">
        <f aca="false">IF((D112="r"),F112," ")</f>
        <v> </v>
      </c>
      <c r="J112" s="180" t="str">
        <f aca="false">IF((D112="t"),F112," ")</f>
        <v> </v>
      </c>
      <c r="K112" s="180" t="str">
        <f aca="false">IF((D112="e"),F112," ")</f>
        <v> </v>
      </c>
      <c r="L112" s="180" t="str">
        <f aca="false">IF((D112="p"),F112," ")</f>
        <v> </v>
      </c>
      <c r="M112" s="180" t="str">
        <f aca="false">IF((D112="g"),F112," ")</f>
        <v> </v>
      </c>
      <c r="N112" s="180" t="str">
        <f aca="false">IF((D112="a"),F112," ")</f>
        <v> </v>
      </c>
      <c r="O112" s="180" t="str">
        <f aca="false">IF((D112="l"),F112," ")</f>
        <v> </v>
      </c>
      <c r="P112" s="180" t="str">
        <f aca="false">IF((D112="i"),F112," ")</f>
        <v> </v>
      </c>
      <c r="Q112" s="180" t="str">
        <f aca="false">IF((D112="b"),F112," ")</f>
        <v> </v>
      </c>
      <c r="R112" s="180" t="str">
        <f aca="false">IF((D112="o"),F112," ")</f>
        <v> </v>
      </c>
      <c r="S112" s="180" t="str">
        <f aca="false">IF((D112="f"),F112," ")</f>
        <v> </v>
      </c>
      <c r="U112" s="371"/>
    </row>
    <row r="113" customFormat="false" ht="12.75" hidden="false" customHeight="false" outlineLevel="0" collapsed="false">
      <c r="D113" s="371" t="str">
        <f aca="false">IF((F113&lt;&gt;0),"Enter Letter"," ")</f>
        <v> </v>
      </c>
      <c r="G113" s="180" t="str">
        <f aca="false">IF((D113="d"),F113," ")</f>
        <v> </v>
      </c>
      <c r="H113" s="180" t="str">
        <f aca="false">IF((D113="h"),F113," ")</f>
        <v> </v>
      </c>
      <c r="I113" s="180" t="str">
        <f aca="false">IF((D113="r"),F113," ")</f>
        <v> </v>
      </c>
      <c r="J113" s="180" t="str">
        <f aca="false">IF((D113="t"),F113," ")</f>
        <v> </v>
      </c>
      <c r="K113" s="180" t="str">
        <f aca="false">IF((D113="e"),F113," ")</f>
        <v> </v>
      </c>
      <c r="L113" s="180" t="str">
        <f aca="false">IF((D113="p"),F113," ")</f>
        <v> </v>
      </c>
      <c r="M113" s="180" t="str">
        <f aca="false">IF((D113="g"),F113," ")</f>
        <v> </v>
      </c>
      <c r="N113" s="180" t="str">
        <f aca="false">IF((D113="a"),F113," ")</f>
        <v> </v>
      </c>
      <c r="O113" s="180" t="str">
        <f aca="false">IF((D113="l"),F113," ")</f>
        <v> </v>
      </c>
      <c r="P113" s="180" t="str">
        <f aca="false">IF((D113="i"),F113," ")</f>
        <v> </v>
      </c>
      <c r="Q113" s="180" t="str">
        <f aca="false">IF((D113="b"),F113," ")</f>
        <v> </v>
      </c>
      <c r="R113" s="180" t="str">
        <f aca="false">IF((D113="o"),F113," ")</f>
        <v> </v>
      </c>
      <c r="S113" s="180" t="str">
        <f aca="false">IF((D113="f"),F113," ")</f>
        <v> </v>
      </c>
      <c r="U113" s="371"/>
    </row>
    <row r="114" customFormat="false" ht="12.75" hidden="false" customHeight="false" outlineLevel="0" collapsed="false">
      <c r="D114" s="371" t="str">
        <f aca="false">IF((F114&lt;&gt;0),"Enter Letter"," ")</f>
        <v> </v>
      </c>
      <c r="G114" s="180" t="str">
        <f aca="false">IF((D114="d"),F114," ")</f>
        <v> </v>
      </c>
      <c r="H114" s="180" t="str">
        <f aca="false">IF((D114="h"),F114," ")</f>
        <v> </v>
      </c>
      <c r="I114" s="180" t="str">
        <f aca="false">IF((D114="r"),F114," ")</f>
        <v> </v>
      </c>
      <c r="J114" s="180" t="str">
        <f aca="false">IF((D114="t"),F114," ")</f>
        <v> </v>
      </c>
      <c r="K114" s="180" t="str">
        <f aca="false">IF((D114="e"),F114," ")</f>
        <v> </v>
      </c>
      <c r="L114" s="180" t="str">
        <f aca="false">IF((D114="p"),F114," ")</f>
        <v> </v>
      </c>
      <c r="M114" s="180" t="str">
        <f aca="false">IF((D114="g"),F114," ")</f>
        <v> </v>
      </c>
      <c r="N114" s="180" t="str">
        <f aca="false">IF((D114="a"),F114," ")</f>
        <v> </v>
      </c>
      <c r="O114" s="180" t="str">
        <f aca="false">IF((D114="l"),F114," ")</f>
        <v> </v>
      </c>
      <c r="P114" s="180" t="str">
        <f aca="false">IF((D114="i"),F114," ")</f>
        <v> </v>
      </c>
      <c r="Q114" s="180" t="str">
        <f aca="false">IF((D114="b"),F114," ")</f>
        <v> </v>
      </c>
      <c r="R114" s="180" t="str">
        <f aca="false">IF((D114="o"),F114," ")</f>
        <v> </v>
      </c>
      <c r="S114" s="180" t="str">
        <f aca="false">IF((D114="f"),F114," ")</f>
        <v> </v>
      </c>
      <c r="U114" s="371"/>
    </row>
    <row r="115" customFormat="false" ht="12.75" hidden="false" customHeight="false" outlineLevel="0" collapsed="false">
      <c r="D115" s="371" t="str">
        <f aca="false">IF((F115&lt;&gt;0),"Enter Letter"," ")</f>
        <v> </v>
      </c>
      <c r="G115" s="180" t="str">
        <f aca="false">IF((D115="d"),F115," ")</f>
        <v> </v>
      </c>
      <c r="H115" s="180" t="str">
        <f aca="false">IF((D115="h"),F115," ")</f>
        <v> </v>
      </c>
      <c r="I115" s="180" t="str">
        <f aca="false">IF((D115="r"),F115," ")</f>
        <v> </v>
      </c>
      <c r="J115" s="180" t="str">
        <f aca="false">IF((D115="t"),F115," ")</f>
        <v> </v>
      </c>
      <c r="K115" s="180" t="str">
        <f aca="false">IF((D115="e"),F115," ")</f>
        <v> </v>
      </c>
      <c r="L115" s="180" t="str">
        <f aca="false">IF((D115="p"),F115," ")</f>
        <v> </v>
      </c>
      <c r="M115" s="180" t="str">
        <f aca="false">IF((D115="g"),F115," ")</f>
        <v> </v>
      </c>
      <c r="N115" s="180" t="str">
        <f aca="false">IF((D115="a"),F115," ")</f>
        <v> </v>
      </c>
      <c r="O115" s="180" t="str">
        <f aca="false">IF((D115="l"),F115," ")</f>
        <v> </v>
      </c>
      <c r="P115" s="180" t="str">
        <f aca="false">IF((D115="i"),F115," ")</f>
        <v> </v>
      </c>
      <c r="Q115" s="180" t="str">
        <f aca="false">IF((D115="b"),F115," ")</f>
        <v> </v>
      </c>
      <c r="R115" s="180" t="str">
        <f aca="false">IF((D115="o"),F115," ")</f>
        <v> </v>
      </c>
      <c r="S115" s="180" t="str">
        <f aca="false">IF((D115="f"),F115," ")</f>
        <v> </v>
      </c>
      <c r="U115" s="371"/>
    </row>
    <row r="116" customFormat="false" ht="12.75" hidden="false" customHeight="false" outlineLevel="0" collapsed="false">
      <c r="D116" s="371" t="str">
        <f aca="false">IF((F116&lt;&gt;0),"Enter Letter"," ")</f>
        <v> </v>
      </c>
      <c r="G116" s="180" t="str">
        <f aca="false">IF((D116="d"),F116," ")</f>
        <v> </v>
      </c>
      <c r="H116" s="180" t="str">
        <f aca="false">IF((D116="h"),F116," ")</f>
        <v> </v>
      </c>
      <c r="I116" s="180" t="str">
        <f aca="false">IF((D116="r"),F116," ")</f>
        <v> </v>
      </c>
      <c r="J116" s="180" t="str">
        <f aca="false">IF((D116="t"),F116," ")</f>
        <v> </v>
      </c>
      <c r="K116" s="180" t="str">
        <f aca="false">IF((D116="e"),F116," ")</f>
        <v> </v>
      </c>
      <c r="L116" s="180" t="str">
        <f aca="false">IF((D116="p"),F116," ")</f>
        <v> </v>
      </c>
      <c r="M116" s="180" t="str">
        <f aca="false">IF((D116="g"),F116," ")</f>
        <v> </v>
      </c>
      <c r="N116" s="180" t="str">
        <f aca="false">IF((D116="a"),F116," ")</f>
        <v> </v>
      </c>
      <c r="O116" s="180" t="str">
        <f aca="false">IF((D116="l"),F116," ")</f>
        <v> </v>
      </c>
      <c r="P116" s="180" t="str">
        <f aca="false">IF((D116="i"),F116," ")</f>
        <v> </v>
      </c>
      <c r="Q116" s="180" t="str">
        <f aca="false">IF((D116="b"),F116," ")</f>
        <v> </v>
      </c>
      <c r="R116" s="180" t="str">
        <f aca="false">IF((D116="o"),F116," ")</f>
        <v> </v>
      </c>
      <c r="S116" s="180" t="str">
        <f aca="false">IF((D116="f"),F116," ")</f>
        <v> </v>
      </c>
      <c r="U116" s="371"/>
    </row>
    <row r="117" customFormat="false" ht="12.75" hidden="false" customHeight="false" outlineLevel="0" collapsed="false">
      <c r="D117" s="371" t="str">
        <f aca="false">IF((F117&lt;&gt;0),"Enter Letter"," ")</f>
        <v> </v>
      </c>
      <c r="G117" s="180" t="str">
        <f aca="false">IF((D117="d"),F117," ")</f>
        <v> </v>
      </c>
      <c r="H117" s="180" t="str">
        <f aca="false">IF((D117="h"),F117," ")</f>
        <v> </v>
      </c>
      <c r="I117" s="180" t="str">
        <f aca="false">IF((D117="r"),F117," ")</f>
        <v> </v>
      </c>
      <c r="J117" s="180" t="str">
        <f aca="false">IF((D117="t"),F117," ")</f>
        <v> </v>
      </c>
      <c r="K117" s="180" t="str">
        <f aca="false">IF((D117="e"),F117," ")</f>
        <v> </v>
      </c>
      <c r="L117" s="180" t="str">
        <f aca="false">IF((D117="p"),F117," ")</f>
        <v> </v>
      </c>
      <c r="M117" s="180" t="str">
        <f aca="false">IF((D117="g"),F117," ")</f>
        <v> </v>
      </c>
      <c r="N117" s="180" t="str">
        <f aca="false">IF((D117="a"),F117," ")</f>
        <v> </v>
      </c>
      <c r="O117" s="180" t="str">
        <f aca="false">IF((D117="l"),F117," ")</f>
        <v> </v>
      </c>
      <c r="P117" s="180" t="str">
        <f aca="false">IF((D117="i"),F117," ")</f>
        <v> </v>
      </c>
      <c r="Q117" s="180" t="str">
        <f aca="false">IF((D117="b"),F117," ")</f>
        <v> </v>
      </c>
      <c r="R117" s="180" t="str">
        <f aca="false">IF((D117="o"),F117," ")</f>
        <v> </v>
      </c>
      <c r="S117" s="180" t="str">
        <f aca="false">IF((D117="f"),F117," ")</f>
        <v> </v>
      </c>
      <c r="U117" s="371"/>
    </row>
    <row r="118" customFormat="false" ht="12.75" hidden="false" customHeight="false" outlineLevel="0" collapsed="false">
      <c r="D118" s="371" t="str">
        <f aca="false">IF((F118&lt;&gt;0),"Enter Letter"," ")</f>
        <v> </v>
      </c>
      <c r="G118" s="180" t="str">
        <f aca="false">IF((D118="d"),F118," ")</f>
        <v> </v>
      </c>
      <c r="H118" s="180" t="str">
        <f aca="false">IF((D118="h"),F118," ")</f>
        <v> </v>
      </c>
      <c r="I118" s="180" t="str">
        <f aca="false">IF((D118="r"),F118," ")</f>
        <v> </v>
      </c>
      <c r="J118" s="180" t="str">
        <f aca="false">IF((D118="t"),F118," ")</f>
        <v> </v>
      </c>
      <c r="K118" s="180" t="str">
        <f aca="false">IF((D118="e"),F118," ")</f>
        <v> </v>
      </c>
      <c r="L118" s="180" t="str">
        <f aca="false">IF((D118="p"),F118," ")</f>
        <v> </v>
      </c>
      <c r="M118" s="180" t="str">
        <f aca="false">IF((D118="g"),F118," ")</f>
        <v> </v>
      </c>
      <c r="N118" s="180" t="str">
        <f aca="false">IF((D118="a"),F118," ")</f>
        <v> </v>
      </c>
      <c r="O118" s="180" t="str">
        <f aca="false">IF((D118="l"),F118," ")</f>
        <v> </v>
      </c>
      <c r="P118" s="180" t="str">
        <f aca="false">IF((D118="i"),F118," ")</f>
        <v> </v>
      </c>
      <c r="Q118" s="180" t="str">
        <f aca="false">IF((D118="b"),F118," ")</f>
        <v> </v>
      </c>
      <c r="R118" s="180" t="str">
        <f aca="false">IF((D118="o"),F118," ")</f>
        <v> </v>
      </c>
      <c r="S118" s="180" t="str">
        <f aca="false">IF((D118="f"),F118," ")</f>
        <v> </v>
      </c>
      <c r="U118" s="371"/>
    </row>
    <row r="119" customFormat="false" ht="12.75" hidden="false" customHeight="false" outlineLevel="0" collapsed="false">
      <c r="D119" s="371" t="str">
        <f aca="false">IF((F119&lt;&gt;0),"Enter Letter"," ")</f>
        <v> </v>
      </c>
      <c r="G119" s="180" t="str">
        <f aca="false">IF((D119="d"),F119," ")</f>
        <v> </v>
      </c>
      <c r="H119" s="180" t="str">
        <f aca="false">IF((D119="h"),F119," ")</f>
        <v> </v>
      </c>
      <c r="I119" s="180" t="str">
        <f aca="false">IF((D119="r"),F119," ")</f>
        <v> </v>
      </c>
      <c r="J119" s="180" t="str">
        <f aca="false">IF((D119="t"),F119," ")</f>
        <v> </v>
      </c>
      <c r="K119" s="180" t="str">
        <f aca="false">IF((D119="e"),F119," ")</f>
        <v> </v>
      </c>
      <c r="L119" s="180" t="str">
        <f aca="false">IF((D119="p"),F119," ")</f>
        <v> </v>
      </c>
      <c r="M119" s="180" t="str">
        <f aca="false">IF((D119="g"),F119," ")</f>
        <v> </v>
      </c>
      <c r="N119" s="180" t="str">
        <f aca="false">IF((D119="a"),F119," ")</f>
        <v> </v>
      </c>
      <c r="O119" s="180" t="str">
        <f aca="false">IF((D119="l"),F119," ")</f>
        <v> </v>
      </c>
      <c r="P119" s="180" t="str">
        <f aca="false">IF((D119="i"),F119," ")</f>
        <v> </v>
      </c>
      <c r="Q119" s="180" t="str">
        <f aca="false">IF((D119="b"),F119," ")</f>
        <v> </v>
      </c>
      <c r="R119" s="180" t="str">
        <f aca="false">IF((D119="o"),F119," ")</f>
        <v> </v>
      </c>
      <c r="S119" s="180" t="str">
        <f aca="false">IF((D119="f"),F119," ")</f>
        <v> </v>
      </c>
      <c r="U119" s="371"/>
    </row>
    <row r="120" customFormat="false" ht="12.75" hidden="false" customHeight="false" outlineLevel="0" collapsed="false">
      <c r="D120" s="371" t="str">
        <f aca="false">IF((F120&lt;&gt;0),"Enter Letter"," ")</f>
        <v> </v>
      </c>
      <c r="G120" s="180" t="str">
        <f aca="false">IF((D120="d"),F120," ")</f>
        <v> </v>
      </c>
      <c r="H120" s="180" t="str">
        <f aca="false">IF((D120="h"),F120," ")</f>
        <v> </v>
      </c>
      <c r="I120" s="180" t="str">
        <f aca="false">IF((D120="r"),F120," ")</f>
        <v> </v>
      </c>
      <c r="J120" s="180" t="str">
        <f aca="false">IF((D120="t"),F120," ")</f>
        <v> </v>
      </c>
      <c r="K120" s="180" t="str">
        <f aca="false">IF((D120="e"),F120," ")</f>
        <v> </v>
      </c>
      <c r="L120" s="180" t="str">
        <f aca="false">IF((D120="p"),F120," ")</f>
        <v> </v>
      </c>
      <c r="M120" s="180" t="str">
        <f aca="false">IF((D120="g"),F120," ")</f>
        <v> </v>
      </c>
      <c r="N120" s="180" t="str">
        <f aca="false">IF((D120="a"),F120," ")</f>
        <v> </v>
      </c>
      <c r="O120" s="180" t="str">
        <f aca="false">IF((D120="l"),F120," ")</f>
        <v> </v>
      </c>
      <c r="P120" s="180" t="str">
        <f aca="false">IF((D120="i"),F120," ")</f>
        <v> </v>
      </c>
      <c r="Q120" s="180" t="str">
        <f aca="false">IF((D120="b"),F120," ")</f>
        <v> </v>
      </c>
      <c r="R120" s="180" t="str">
        <f aca="false">IF((D120="o"),F120," ")</f>
        <v> </v>
      </c>
      <c r="S120" s="180" t="str">
        <f aca="false">IF((D120="f"),F120," ")</f>
        <v> </v>
      </c>
      <c r="U120" s="371"/>
    </row>
    <row r="121" customFormat="false" ht="12.75" hidden="false" customHeight="false" outlineLevel="0" collapsed="false">
      <c r="D121" s="371" t="str">
        <f aca="false">IF((F121&lt;&gt;0),"Enter Letter"," ")</f>
        <v> </v>
      </c>
      <c r="G121" s="180" t="str">
        <f aca="false">IF((D121="d"),F121," ")</f>
        <v> </v>
      </c>
      <c r="H121" s="180" t="str">
        <f aca="false">IF((D121="h"),F121," ")</f>
        <v> </v>
      </c>
      <c r="I121" s="180" t="str">
        <f aca="false">IF((D121="r"),F121," ")</f>
        <v> </v>
      </c>
      <c r="J121" s="180" t="str">
        <f aca="false">IF((D121="t"),F121," ")</f>
        <v> </v>
      </c>
      <c r="K121" s="180" t="str">
        <f aca="false">IF((D121="e"),F121," ")</f>
        <v> </v>
      </c>
      <c r="L121" s="180" t="str">
        <f aca="false">IF((D121="p"),F121," ")</f>
        <v> </v>
      </c>
      <c r="M121" s="180" t="str">
        <f aca="false">IF((D121="g"),F121," ")</f>
        <v> </v>
      </c>
      <c r="N121" s="180" t="str">
        <f aca="false">IF((D121="a"),F121," ")</f>
        <v> </v>
      </c>
      <c r="O121" s="180" t="str">
        <f aca="false">IF((D121="l"),F121," ")</f>
        <v> </v>
      </c>
      <c r="P121" s="180" t="str">
        <f aca="false">IF((D121="i"),F121," ")</f>
        <v> </v>
      </c>
      <c r="Q121" s="180" t="str">
        <f aca="false">IF((D121="b"),F121," ")</f>
        <v> </v>
      </c>
      <c r="R121" s="180" t="str">
        <f aca="false">IF((D121="o"),F121," ")</f>
        <v> </v>
      </c>
      <c r="S121" s="180" t="str">
        <f aca="false">IF((D121="f"),F121," ")</f>
        <v> </v>
      </c>
      <c r="U121" s="371"/>
    </row>
    <row r="122" customFormat="false" ht="12.75" hidden="false" customHeight="false" outlineLevel="0" collapsed="false">
      <c r="D122" s="371" t="str">
        <f aca="false">IF((F122&lt;&gt;0),"Enter Letter"," ")</f>
        <v> </v>
      </c>
      <c r="G122" s="180" t="str">
        <f aca="false">IF((D122="d"),F122," ")</f>
        <v> </v>
      </c>
      <c r="H122" s="180" t="str">
        <f aca="false">IF((D122="h"),F122," ")</f>
        <v> </v>
      </c>
      <c r="I122" s="180" t="str">
        <f aca="false">IF((D122="r"),F122," ")</f>
        <v> </v>
      </c>
      <c r="J122" s="180" t="str">
        <f aca="false">IF((D122="t"),F122," ")</f>
        <v> </v>
      </c>
      <c r="K122" s="180" t="str">
        <f aca="false">IF((D122="e"),F122," ")</f>
        <v> </v>
      </c>
      <c r="L122" s="180" t="str">
        <f aca="false">IF((D122="p"),F122," ")</f>
        <v> </v>
      </c>
      <c r="M122" s="180" t="str">
        <f aca="false">IF((D122="g"),F122," ")</f>
        <v> </v>
      </c>
      <c r="N122" s="180" t="str">
        <f aca="false">IF((D122="a"),F122," ")</f>
        <v> </v>
      </c>
      <c r="O122" s="180" t="str">
        <f aca="false">IF((D122="l"),F122," ")</f>
        <v> </v>
      </c>
      <c r="P122" s="180" t="str">
        <f aca="false">IF((D122="i"),F122," ")</f>
        <v> </v>
      </c>
      <c r="Q122" s="180" t="str">
        <f aca="false">IF((D122="b"),F122," ")</f>
        <v> </v>
      </c>
      <c r="R122" s="180" t="str">
        <f aca="false">IF((D122="o"),F122," ")</f>
        <v> </v>
      </c>
      <c r="S122" s="180" t="str">
        <f aca="false">IF((D122="f"),F122," ")</f>
        <v> </v>
      </c>
      <c r="U122" s="371"/>
    </row>
    <row r="123" customFormat="false" ht="12.75" hidden="false" customHeight="false" outlineLevel="0" collapsed="false">
      <c r="D123" s="371" t="str">
        <f aca="false">IF((F123&lt;&gt;0),"Enter Letter"," ")</f>
        <v> </v>
      </c>
      <c r="G123" s="180" t="str">
        <f aca="false">IF((D123="d"),F123," ")</f>
        <v> </v>
      </c>
      <c r="H123" s="180" t="str">
        <f aca="false">IF((D123="h"),F123," ")</f>
        <v> </v>
      </c>
      <c r="I123" s="180" t="str">
        <f aca="false">IF((D123="r"),F123," ")</f>
        <v> </v>
      </c>
      <c r="J123" s="180" t="str">
        <f aca="false">IF((D123="t"),F123," ")</f>
        <v> </v>
      </c>
      <c r="K123" s="180" t="str">
        <f aca="false">IF((D123="e"),F123," ")</f>
        <v> </v>
      </c>
      <c r="L123" s="180" t="str">
        <f aca="false">IF((D123="p"),F123," ")</f>
        <v> </v>
      </c>
      <c r="M123" s="180" t="str">
        <f aca="false">IF((D123="g"),F123," ")</f>
        <v> </v>
      </c>
      <c r="N123" s="180" t="str">
        <f aca="false">IF((D123="a"),F123," ")</f>
        <v> </v>
      </c>
      <c r="O123" s="180" t="str">
        <f aca="false">IF((D123="l"),F123," ")</f>
        <v> </v>
      </c>
      <c r="P123" s="180" t="str">
        <f aca="false">IF((D123="i"),F123," ")</f>
        <v> </v>
      </c>
      <c r="Q123" s="180" t="str">
        <f aca="false">IF((D123="b"),F123," ")</f>
        <v> </v>
      </c>
      <c r="R123" s="180" t="str">
        <f aca="false">IF((D123="o"),F123," ")</f>
        <v> </v>
      </c>
      <c r="S123" s="180" t="str">
        <f aca="false">IF((D123="f"),F123," ")</f>
        <v> </v>
      </c>
      <c r="U123" s="371"/>
    </row>
    <row r="124" customFormat="false" ht="12.75" hidden="false" customHeight="false" outlineLevel="0" collapsed="false">
      <c r="D124" s="371" t="str">
        <f aca="false">IF((F124&lt;&gt;0),"Enter Letter"," ")</f>
        <v> </v>
      </c>
      <c r="G124" s="180" t="str">
        <f aca="false">IF((D124="d"),F124," ")</f>
        <v> </v>
      </c>
      <c r="H124" s="180" t="str">
        <f aca="false">IF((D124="h"),F124," ")</f>
        <v> </v>
      </c>
      <c r="I124" s="180" t="str">
        <f aca="false">IF((D124="r"),F124," ")</f>
        <v> </v>
      </c>
      <c r="J124" s="180" t="str">
        <f aca="false">IF((D124="t"),F124," ")</f>
        <v> </v>
      </c>
      <c r="K124" s="180" t="str">
        <f aca="false">IF((D124="e"),F124," ")</f>
        <v> </v>
      </c>
      <c r="L124" s="180" t="str">
        <f aca="false">IF((D124="p"),F124," ")</f>
        <v> </v>
      </c>
      <c r="M124" s="180" t="str">
        <f aca="false">IF((D124="g"),F124," ")</f>
        <v> </v>
      </c>
      <c r="N124" s="180" t="str">
        <f aca="false">IF((D124="a"),F124," ")</f>
        <v> </v>
      </c>
      <c r="O124" s="180" t="str">
        <f aca="false">IF((D124="l"),F124," ")</f>
        <v> </v>
      </c>
      <c r="P124" s="180" t="str">
        <f aca="false">IF((D124="i"),F124," ")</f>
        <v> </v>
      </c>
      <c r="Q124" s="180" t="str">
        <f aca="false">IF((D124="b"),F124," ")</f>
        <v> </v>
      </c>
      <c r="R124" s="180" t="str">
        <f aca="false">IF((D124="o"),F124," ")</f>
        <v> </v>
      </c>
      <c r="S124" s="180" t="str">
        <f aca="false">IF((D124="f"),F124," ")</f>
        <v> </v>
      </c>
      <c r="U124" s="371"/>
    </row>
    <row r="125" customFormat="false" ht="12.75" hidden="false" customHeight="false" outlineLevel="0" collapsed="false">
      <c r="D125" s="371" t="str">
        <f aca="false">IF((F125&lt;&gt;0),"Enter Letter"," ")</f>
        <v> </v>
      </c>
      <c r="G125" s="180" t="str">
        <f aca="false">IF((D125="d"),F125," ")</f>
        <v> </v>
      </c>
      <c r="H125" s="180" t="str">
        <f aca="false">IF((D125="h"),F125," ")</f>
        <v> </v>
      </c>
      <c r="I125" s="180" t="str">
        <f aca="false">IF((D125="r"),F125," ")</f>
        <v> </v>
      </c>
      <c r="J125" s="180" t="str">
        <f aca="false">IF((D125="t"),F125," ")</f>
        <v> </v>
      </c>
      <c r="K125" s="180" t="str">
        <f aca="false">IF((D125="e"),F125," ")</f>
        <v> </v>
      </c>
      <c r="L125" s="180" t="str">
        <f aca="false">IF((D125="p"),F125," ")</f>
        <v> </v>
      </c>
      <c r="M125" s="180" t="str">
        <f aca="false">IF((D125="g"),F125," ")</f>
        <v> </v>
      </c>
      <c r="N125" s="180" t="str">
        <f aca="false">IF((D125="a"),F125," ")</f>
        <v> </v>
      </c>
      <c r="O125" s="180" t="str">
        <f aca="false">IF((D125="l"),F125," ")</f>
        <v> </v>
      </c>
      <c r="P125" s="180" t="str">
        <f aca="false">IF((D125="i"),F125," ")</f>
        <v> </v>
      </c>
      <c r="Q125" s="180" t="str">
        <f aca="false">IF((D125="b"),F125," ")</f>
        <v> </v>
      </c>
      <c r="R125" s="180" t="str">
        <f aca="false">IF((D125="o"),F125," ")</f>
        <v> </v>
      </c>
      <c r="S125" s="180" t="str">
        <f aca="false">IF((D125="f"),F125," ")</f>
        <v> </v>
      </c>
      <c r="U125" s="371"/>
    </row>
    <row r="126" customFormat="false" ht="12.75" hidden="false" customHeight="false" outlineLevel="0" collapsed="false">
      <c r="D126" s="371" t="str">
        <f aca="false">IF((F126&lt;&gt;0),"Enter Letter"," ")</f>
        <v> </v>
      </c>
      <c r="G126" s="180" t="str">
        <f aca="false">IF((D126="d"),F126," ")</f>
        <v> </v>
      </c>
      <c r="H126" s="180" t="str">
        <f aca="false">IF((D126="h"),F126," ")</f>
        <v> </v>
      </c>
      <c r="I126" s="180" t="str">
        <f aca="false">IF((D126="r"),F126," ")</f>
        <v> </v>
      </c>
      <c r="J126" s="180" t="str">
        <f aca="false">IF((D126="t"),F126," ")</f>
        <v> </v>
      </c>
      <c r="K126" s="180" t="str">
        <f aca="false">IF((D126="e"),F126," ")</f>
        <v> </v>
      </c>
      <c r="L126" s="180" t="str">
        <f aca="false">IF((D126="p"),F126," ")</f>
        <v> </v>
      </c>
      <c r="M126" s="180" t="str">
        <f aca="false">IF((D126="g"),F126," ")</f>
        <v> </v>
      </c>
      <c r="N126" s="180" t="str">
        <f aca="false">IF((D126="a"),F126," ")</f>
        <v> </v>
      </c>
      <c r="O126" s="180" t="str">
        <f aca="false">IF((D126="l"),F126," ")</f>
        <v> </v>
      </c>
      <c r="P126" s="180" t="str">
        <f aca="false">IF((D126="i"),F126," ")</f>
        <v> </v>
      </c>
      <c r="Q126" s="180" t="str">
        <f aca="false">IF((D126="b"),F126," ")</f>
        <v> </v>
      </c>
      <c r="R126" s="180" t="str">
        <f aca="false">IF((D126="o"),F126," ")</f>
        <v> </v>
      </c>
      <c r="S126" s="180" t="str">
        <f aca="false">IF((D126="f"),F126," ")</f>
        <v> </v>
      </c>
      <c r="U126" s="371"/>
    </row>
    <row r="127" customFormat="false" ht="12.75" hidden="false" customHeight="false" outlineLevel="0" collapsed="false">
      <c r="D127" s="371" t="str">
        <f aca="false">IF((F127&lt;&gt;0),"Enter Letter"," ")</f>
        <v> </v>
      </c>
      <c r="G127" s="180" t="str">
        <f aca="false">IF((D127="d"),F127," ")</f>
        <v> </v>
      </c>
      <c r="H127" s="180" t="str">
        <f aca="false">IF((D127="h"),F127," ")</f>
        <v> </v>
      </c>
      <c r="I127" s="180" t="str">
        <f aca="false">IF((D127="r"),F127," ")</f>
        <v> </v>
      </c>
      <c r="J127" s="180" t="str">
        <f aca="false">IF((D127="t"),F127," ")</f>
        <v> </v>
      </c>
      <c r="K127" s="180" t="str">
        <f aca="false">IF((D127="e"),F127," ")</f>
        <v> </v>
      </c>
      <c r="L127" s="180" t="str">
        <f aca="false">IF((D127="p"),F127," ")</f>
        <v> </v>
      </c>
      <c r="M127" s="180" t="str">
        <f aca="false">IF((D127="g"),F127," ")</f>
        <v> </v>
      </c>
      <c r="N127" s="180" t="str">
        <f aca="false">IF((D127="a"),F127," ")</f>
        <v> </v>
      </c>
      <c r="O127" s="180" t="str">
        <f aca="false">IF((D127="l"),F127," ")</f>
        <v> </v>
      </c>
      <c r="P127" s="180" t="str">
        <f aca="false">IF((D127="i"),F127," ")</f>
        <v> </v>
      </c>
      <c r="Q127" s="180" t="str">
        <f aca="false">IF((D127="b"),F127," ")</f>
        <v> </v>
      </c>
      <c r="R127" s="180" t="str">
        <f aca="false">IF((D127="o"),F127," ")</f>
        <v> </v>
      </c>
      <c r="S127" s="180" t="str">
        <f aca="false">IF((D127="f"),F127," ")</f>
        <v> </v>
      </c>
      <c r="U127" s="371"/>
    </row>
    <row r="128" customFormat="false" ht="12.75" hidden="false" customHeight="false" outlineLevel="0" collapsed="false">
      <c r="D128" s="371" t="str">
        <f aca="false">IF((F128&lt;&gt;0),"Enter Letter"," ")</f>
        <v> </v>
      </c>
      <c r="G128" s="180" t="str">
        <f aca="false">IF((D128="d"),F128," ")</f>
        <v> </v>
      </c>
      <c r="H128" s="180" t="str">
        <f aca="false">IF((D128="h"),F128," ")</f>
        <v> </v>
      </c>
      <c r="I128" s="180" t="str">
        <f aca="false">IF((D128="r"),F128," ")</f>
        <v> </v>
      </c>
      <c r="J128" s="180" t="str">
        <f aca="false">IF((D128="t"),F128," ")</f>
        <v> </v>
      </c>
      <c r="K128" s="180" t="str">
        <f aca="false">IF((D128="e"),F128," ")</f>
        <v> </v>
      </c>
      <c r="L128" s="180" t="str">
        <f aca="false">IF((D128="p"),F128," ")</f>
        <v> </v>
      </c>
      <c r="M128" s="180" t="str">
        <f aca="false">IF((D128="g"),F128," ")</f>
        <v> </v>
      </c>
      <c r="N128" s="180" t="str">
        <f aca="false">IF((D128="a"),F128," ")</f>
        <v> </v>
      </c>
      <c r="O128" s="180" t="str">
        <f aca="false">IF((D128="l"),F128," ")</f>
        <v> </v>
      </c>
      <c r="P128" s="180" t="str">
        <f aca="false">IF((D128="i"),F128," ")</f>
        <v> </v>
      </c>
      <c r="Q128" s="180" t="str">
        <f aca="false">IF((D128="b"),F128," ")</f>
        <v> </v>
      </c>
      <c r="R128" s="180" t="str">
        <f aca="false">IF((D128="o"),F128," ")</f>
        <v> </v>
      </c>
      <c r="S128" s="180" t="str">
        <f aca="false">IF((D128="f"),F128," ")</f>
        <v> </v>
      </c>
      <c r="U128" s="371"/>
    </row>
    <row r="129" customFormat="false" ht="12.75" hidden="false" customHeight="false" outlineLevel="0" collapsed="false">
      <c r="D129" s="371" t="str">
        <f aca="false">IF((F129&lt;&gt;0),"Enter Letter"," ")</f>
        <v> </v>
      </c>
      <c r="G129" s="180" t="str">
        <f aca="false">IF((D129="d"),F129," ")</f>
        <v> </v>
      </c>
      <c r="H129" s="180" t="str">
        <f aca="false">IF((D129="h"),F129," ")</f>
        <v> </v>
      </c>
      <c r="I129" s="180" t="str">
        <f aca="false">IF((D129="r"),F129," ")</f>
        <v> </v>
      </c>
      <c r="J129" s="180" t="str">
        <f aca="false">IF((D129="t"),F129," ")</f>
        <v> </v>
      </c>
      <c r="K129" s="180" t="str">
        <f aca="false">IF((D129="e"),F129," ")</f>
        <v> </v>
      </c>
      <c r="L129" s="180" t="str">
        <f aca="false">IF((D129="p"),F129," ")</f>
        <v> </v>
      </c>
      <c r="M129" s="180" t="str">
        <f aca="false">IF((D129="g"),F129," ")</f>
        <v> </v>
      </c>
      <c r="N129" s="180" t="str">
        <f aca="false">IF((D129="a"),F129," ")</f>
        <v> </v>
      </c>
      <c r="O129" s="180" t="str">
        <f aca="false">IF((D129="l"),F129," ")</f>
        <v> </v>
      </c>
      <c r="P129" s="180" t="str">
        <f aca="false">IF((D129="i"),F129," ")</f>
        <v> </v>
      </c>
      <c r="Q129" s="180" t="str">
        <f aca="false">IF((D129="b"),F129," ")</f>
        <v> </v>
      </c>
      <c r="R129" s="180" t="str">
        <f aca="false">IF((D129="o"),F129," ")</f>
        <v> </v>
      </c>
      <c r="S129" s="180" t="str">
        <f aca="false">IF((D129="f"),F129," ")</f>
        <v> </v>
      </c>
      <c r="U129" s="371"/>
    </row>
    <row r="130" customFormat="false" ht="12.75" hidden="false" customHeight="false" outlineLevel="0" collapsed="false">
      <c r="D130" s="371" t="str">
        <f aca="false">IF((F130&lt;&gt;0),"Enter Letter"," ")</f>
        <v> </v>
      </c>
      <c r="G130" s="180" t="str">
        <f aca="false">IF((D130="d"),F130," ")</f>
        <v> </v>
      </c>
      <c r="H130" s="180" t="str">
        <f aca="false">IF((D130="h"),F130," ")</f>
        <v> </v>
      </c>
      <c r="I130" s="180" t="str">
        <f aca="false">IF((D130="r"),F130," ")</f>
        <v> </v>
      </c>
      <c r="J130" s="180" t="str">
        <f aca="false">IF((D130="t"),F130," ")</f>
        <v> </v>
      </c>
      <c r="K130" s="180" t="str">
        <f aca="false">IF((D130="e"),F130," ")</f>
        <v> </v>
      </c>
      <c r="L130" s="180" t="str">
        <f aca="false">IF((D130="p"),F130," ")</f>
        <v> </v>
      </c>
      <c r="M130" s="180" t="str">
        <f aca="false">IF((D130="g"),F130," ")</f>
        <v> </v>
      </c>
      <c r="N130" s="180" t="str">
        <f aca="false">IF((D130="a"),F130," ")</f>
        <v> </v>
      </c>
      <c r="O130" s="180" t="str">
        <f aca="false">IF((D130="l"),F130," ")</f>
        <v> </v>
      </c>
      <c r="P130" s="180" t="str">
        <f aca="false">IF((D130="i"),F130," ")</f>
        <v> </v>
      </c>
      <c r="Q130" s="180" t="str">
        <f aca="false">IF((D130="b"),F130," ")</f>
        <v> </v>
      </c>
      <c r="R130" s="180" t="str">
        <f aca="false">IF((D130="o"),F130," ")</f>
        <v> </v>
      </c>
      <c r="S130" s="180" t="str">
        <f aca="false">IF((D130="f"),F130," ")</f>
        <v> </v>
      </c>
      <c r="U130" s="371"/>
    </row>
    <row r="131" customFormat="false" ht="12.75" hidden="false" customHeight="false" outlineLevel="0" collapsed="false">
      <c r="D131" s="371" t="str">
        <f aca="false">IF((F131&lt;&gt;0),"Enter Letter"," ")</f>
        <v> </v>
      </c>
      <c r="G131" s="180" t="str">
        <f aca="false">IF((D131="d"),F131," ")</f>
        <v> </v>
      </c>
      <c r="H131" s="180" t="str">
        <f aca="false">IF((D131="h"),F131," ")</f>
        <v> </v>
      </c>
      <c r="I131" s="180" t="str">
        <f aca="false">IF((D131="r"),F131," ")</f>
        <v> </v>
      </c>
      <c r="J131" s="180" t="str">
        <f aca="false">IF((D131="t"),F131," ")</f>
        <v> </v>
      </c>
      <c r="K131" s="180" t="str">
        <f aca="false">IF((D131="e"),F131," ")</f>
        <v> </v>
      </c>
      <c r="L131" s="180" t="str">
        <f aca="false">IF((D131="p"),F131," ")</f>
        <v> </v>
      </c>
      <c r="M131" s="180" t="str">
        <f aca="false">IF((D131="g"),F131," ")</f>
        <v> </v>
      </c>
      <c r="N131" s="180" t="str">
        <f aca="false">IF((D131="a"),F131," ")</f>
        <v> </v>
      </c>
      <c r="O131" s="180" t="str">
        <f aca="false">IF((D131="l"),F131," ")</f>
        <v> </v>
      </c>
      <c r="P131" s="180" t="str">
        <f aca="false">IF((D131="i"),F131," ")</f>
        <v> </v>
      </c>
      <c r="Q131" s="180" t="str">
        <f aca="false">IF((D131="b"),F131," ")</f>
        <v> </v>
      </c>
      <c r="R131" s="180" t="str">
        <f aca="false">IF((D131="o"),F131," ")</f>
        <v> </v>
      </c>
      <c r="S131" s="180" t="str">
        <f aca="false">IF((D131="f"),F131," ")</f>
        <v> </v>
      </c>
      <c r="U131" s="371"/>
    </row>
    <row r="132" customFormat="false" ht="12.75" hidden="false" customHeight="false" outlineLevel="0" collapsed="false">
      <c r="D132" s="371" t="str">
        <f aca="false">IF((F132&lt;&gt;0),"Enter Letter"," ")</f>
        <v> </v>
      </c>
      <c r="G132" s="180" t="str">
        <f aca="false">IF((D132="d"),F132," ")</f>
        <v> </v>
      </c>
      <c r="H132" s="180" t="str">
        <f aca="false">IF((D132="h"),F132," ")</f>
        <v> </v>
      </c>
      <c r="I132" s="180" t="str">
        <f aca="false">IF((D132="r"),F132," ")</f>
        <v> </v>
      </c>
      <c r="J132" s="180" t="str">
        <f aca="false">IF((D132="t"),F132," ")</f>
        <v> </v>
      </c>
      <c r="K132" s="180" t="str">
        <f aca="false">IF((D132="e"),F132," ")</f>
        <v> </v>
      </c>
      <c r="L132" s="180" t="str">
        <f aca="false">IF((D132="p"),F132," ")</f>
        <v> </v>
      </c>
      <c r="M132" s="180" t="str">
        <f aca="false">IF((D132="g"),F132," ")</f>
        <v> </v>
      </c>
      <c r="N132" s="180" t="str">
        <f aca="false">IF((D132="a"),F132," ")</f>
        <v> </v>
      </c>
      <c r="O132" s="180" t="str">
        <f aca="false">IF((D132="l"),F132," ")</f>
        <v> </v>
      </c>
      <c r="P132" s="180" t="str">
        <f aca="false">IF((D132="i"),F132," ")</f>
        <v> </v>
      </c>
      <c r="Q132" s="180" t="str">
        <f aca="false">IF((D132="b"),F132," ")</f>
        <v> </v>
      </c>
      <c r="R132" s="180" t="str">
        <f aca="false">IF((D132="o"),F132," ")</f>
        <v> </v>
      </c>
      <c r="S132" s="180" t="str">
        <f aca="false">IF((D132="f"),F132," ")</f>
        <v> </v>
      </c>
      <c r="U132" s="371"/>
    </row>
    <row r="133" customFormat="false" ht="12.75" hidden="false" customHeight="false" outlineLevel="0" collapsed="false">
      <c r="D133" s="371" t="str">
        <f aca="false">IF((F133&lt;&gt;0),"Enter Letter"," ")</f>
        <v> </v>
      </c>
      <c r="G133" s="180" t="str">
        <f aca="false">IF((D133="d"),F133," ")</f>
        <v> </v>
      </c>
      <c r="H133" s="180" t="str">
        <f aca="false">IF((D133="h"),F133," ")</f>
        <v> </v>
      </c>
      <c r="I133" s="180" t="str">
        <f aca="false">IF((D133="r"),F133," ")</f>
        <v> </v>
      </c>
      <c r="J133" s="180" t="str">
        <f aca="false">IF((D133="t"),F133," ")</f>
        <v> </v>
      </c>
      <c r="K133" s="180" t="str">
        <f aca="false">IF((D133="e"),F133," ")</f>
        <v> </v>
      </c>
      <c r="L133" s="180" t="str">
        <f aca="false">IF((D133="p"),F133," ")</f>
        <v> </v>
      </c>
      <c r="M133" s="180" t="str">
        <f aca="false">IF((D133="g"),F133," ")</f>
        <v> </v>
      </c>
      <c r="N133" s="180" t="str">
        <f aca="false">IF((D133="a"),F133," ")</f>
        <v> </v>
      </c>
      <c r="O133" s="180" t="str">
        <f aca="false">IF((D133="l"),F133," ")</f>
        <v> </v>
      </c>
      <c r="P133" s="180" t="str">
        <f aca="false">IF((D133="i"),F133," ")</f>
        <v> </v>
      </c>
      <c r="Q133" s="180" t="str">
        <f aca="false">IF((D133="b"),F133," ")</f>
        <v> </v>
      </c>
      <c r="R133" s="180" t="str">
        <f aca="false">IF((D133="o"),F133," ")</f>
        <v> </v>
      </c>
      <c r="S133" s="180" t="str">
        <f aca="false">IF((D133="f"),F133," ")</f>
        <v> </v>
      </c>
      <c r="U133" s="371"/>
    </row>
    <row r="134" customFormat="false" ht="12.75" hidden="false" customHeight="false" outlineLevel="0" collapsed="false">
      <c r="D134" s="371" t="str">
        <f aca="false">IF((F134&lt;&gt;0),"Enter Letter"," ")</f>
        <v> </v>
      </c>
      <c r="G134" s="180" t="str">
        <f aca="false">IF((D134="d"),F134," ")</f>
        <v> </v>
      </c>
      <c r="H134" s="180" t="str">
        <f aca="false">IF((D134="h"),F134," ")</f>
        <v> </v>
      </c>
      <c r="I134" s="180" t="str">
        <f aca="false">IF((D134="r"),F134," ")</f>
        <v> </v>
      </c>
      <c r="J134" s="180" t="str">
        <f aca="false">IF((D134="t"),F134," ")</f>
        <v> </v>
      </c>
      <c r="K134" s="180" t="str">
        <f aca="false">IF((D134="e"),F134," ")</f>
        <v> </v>
      </c>
      <c r="L134" s="180" t="str">
        <f aca="false">IF((D134="p"),F134," ")</f>
        <v> </v>
      </c>
      <c r="M134" s="180" t="str">
        <f aca="false">IF((D134="g"),F134," ")</f>
        <v> </v>
      </c>
      <c r="N134" s="180" t="str">
        <f aca="false">IF((D134="a"),F134," ")</f>
        <v> </v>
      </c>
      <c r="O134" s="180" t="str">
        <f aca="false">IF((D134="l"),F134," ")</f>
        <v> </v>
      </c>
      <c r="P134" s="180" t="str">
        <f aca="false">IF((D134="i"),F134," ")</f>
        <v> </v>
      </c>
      <c r="Q134" s="180" t="str">
        <f aca="false">IF((D134="b"),F134," ")</f>
        <v> </v>
      </c>
      <c r="R134" s="180" t="str">
        <f aca="false">IF((D134="o"),F134," ")</f>
        <v> </v>
      </c>
      <c r="S134" s="180" t="str">
        <f aca="false">IF((D134="f"),F134," ")</f>
        <v> </v>
      </c>
      <c r="U134" s="371"/>
    </row>
    <row r="135" customFormat="false" ht="12.75" hidden="false" customHeight="false" outlineLevel="0" collapsed="false">
      <c r="D135" s="371" t="str">
        <f aca="false">IF((F135&lt;&gt;0),"Enter Letter"," ")</f>
        <v> </v>
      </c>
      <c r="G135" s="180" t="str">
        <f aca="false">IF((D135="d"),F135," ")</f>
        <v> </v>
      </c>
      <c r="H135" s="180" t="str">
        <f aca="false">IF((D135="h"),F135," ")</f>
        <v> </v>
      </c>
      <c r="I135" s="180" t="str">
        <f aca="false">IF((D135="r"),F135," ")</f>
        <v> </v>
      </c>
      <c r="J135" s="180" t="str">
        <f aca="false">IF((D135="t"),F135," ")</f>
        <v> </v>
      </c>
      <c r="K135" s="180" t="str">
        <f aca="false">IF((D135="e"),F135," ")</f>
        <v> </v>
      </c>
      <c r="L135" s="180" t="str">
        <f aca="false">IF((D135="p"),F135," ")</f>
        <v> </v>
      </c>
      <c r="M135" s="180" t="str">
        <f aca="false">IF((D135="g"),F135," ")</f>
        <v> </v>
      </c>
      <c r="N135" s="180" t="str">
        <f aca="false">IF((D135="a"),F135," ")</f>
        <v> </v>
      </c>
      <c r="O135" s="180" t="str">
        <f aca="false">IF((D135="l"),F135," ")</f>
        <v> </v>
      </c>
      <c r="P135" s="180" t="str">
        <f aca="false">IF((D135="i"),F135," ")</f>
        <v> </v>
      </c>
      <c r="Q135" s="180" t="str">
        <f aca="false">IF((D135="b"),F135," ")</f>
        <v> </v>
      </c>
      <c r="R135" s="180" t="str">
        <f aca="false">IF((D135="o"),F135," ")</f>
        <v> </v>
      </c>
      <c r="S135" s="180" t="str">
        <f aca="false">IF((D135="f"),F135," ")</f>
        <v> </v>
      </c>
      <c r="U135" s="371"/>
    </row>
    <row r="136" customFormat="false" ht="12.75" hidden="false" customHeight="false" outlineLevel="0" collapsed="false">
      <c r="D136" s="371" t="str">
        <f aca="false">IF((F136&lt;&gt;0),"Enter Letter"," ")</f>
        <v> </v>
      </c>
      <c r="G136" s="180" t="str">
        <f aca="false">IF((D136="d"),F136," ")</f>
        <v> </v>
      </c>
      <c r="H136" s="180" t="str">
        <f aca="false">IF((D136="h"),F136," ")</f>
        <v> </v>
      </c>
      <c r="I136" s="180" t="str">
        <f aca="false">IF((D136="r"),F136," ")</f>
        <v> </v>
      </c>
      <c r="J136" s="180" t="str">
        <f aca="false">IF((D136="t"),F136," ")</f>
        <v> </v>
      </c>
      <c r="K136" s="180" t="str">
        <f aca="false">IF((D136="e"),F136," ")</f>
        <v> </v>
      </c>
      <c r="L136" s="180" t="str">
        <f aca="false">IF((D136="p"),F136," ")</f>
        <v> </v>
      </c>
      <c r="M136" s="180" t="str">
        <f aca="false">IF((D136="g"),F136," ")</f>
        <v> </v>
      </c>
      <c r="N136" s="180" t="str">
        <f aca="false">IF((D136="a"),F136," ")</f>
        <v> </v>
      </c>
      <c r="O136" s="180" t="str">
        <f aca="false">IF((D136="l"),F136," ")</f>
        <v> </v>
      </c>
      <c r="P136" s="180" t="str">
        <f aca="false">IF((D136="i"),F136," ")</f>
        <v> </v>
      </c>
      <c r="Q136" s="180" t="str">
        <f aca="false">IF((D136="b"),F136," ")</f>
        <v> </v>
      </c>
      <c r="R136" s="180" t="str">
        <f aca="false">IF((D136="o"),F136," ")</f>
        <v> </v>
      </c>
      <c r="S136" s="180" t="str">
        <f aca="false">IF((D136="f"),F136," ")</f>
        <v> </v>
      </c>
      <c r="U136" s="371"/>
    </row>
    <row r="137" customFormat="false" ht="12.75" hidden="false" customHeight="false" outlineLevel="0" collapsed="false">
      <c r="D137" s="371" t="str">
        <f aca="false">IF((F137&lt;&gt;0),"Enter Letter"," ")</f>
        <v> </v>
      </c>
      <c r="G137" s="180" t="str">
        <f aca="false">IF((D137="d"),F137," ")</f>
        <v> </v>
      </c>
      <c r="H137" s="180" t="str">
        <f aca="false">IF((D137="h"),F137," ")</f>
        <v> </v>
      </c>
      <c r="I137" s="180" t="str">
        <f aca="false">IF((D137="r"),F137," ")</f>
        <v> </v>
      </c>
      <c r="J137" s="180" t="str">
        <f aca="false">IF((D137="t"),F137," ")</f>
        <v> </v>
      </c>
      <c r="K137" s="180" t="str">
        <f aca="false">IF((D137="e"),F137," ")</f>
        <v> </v>
      </c>
      <c r="L137" s="180" t="str">
        <f aca="false">IF((D137="p"),F137," ")</f>
        <v> </v>
      </c>
      <c r="M137" s="180" t="str">
        <f aca="false">IF((D137="g"),F137," ")</f>
        <v> </v>
      </c>
      <c r="N137" s="180" t="str">
        <f aca="false">IF((D137="a"),F137," ")</f>
        <v> </v>
      </c>
      <c r="O137" s="180" t="str">
        <f aca="false">IF((D137="l"),F137," ")</f>
        <v> </v>
      </c>
      <c r="P137" s="180" t="str">
        <f aca="false">IF((D137="i"),F137," ")</f>
        <v> </v>
      </c>
      <c r="Q137" s="180" t="str">
        <f aca="false">IF((D137="b"),F137," ")</f>
        <v> </v>
      </c>
      <c r="R137" s="180" t="str">
        <f aca="false">IF((D137="o"),F137," ")</f>
        <v> </v>
      </c>
      <c r="S137" s="180" t="str">
        <f aca="false">IF((D137="f"),F137," ")</f>
        <v> </v>
      </c>
      <c r="U137" s="371"/>
    </row>
    <row r="138" customFormat="false" ht="12.75" hidden="false" customHeight="false" outlineLevel="0" collapsed="false">
      <c r="D138" s="371" t="str">
        <f aca="false">IF((F138&lt;&gt;0),"Enter Letter"," ")</f>
        <v> </v>
      </c>
      <c r="G138" s="180" t="str">
        <f aca="false">IF((D138="d"),F138," ")</f>
        <v> </v>
      </c>
      <c r="H138" s="180" t="str">
        <f aca="false">IF((D138="h"),F138," ")</f>
        <v> </v>
      </c>
      <c r="I138" s="180" t="str">
        <f aca="false">IF((D138="r"),F138," ")</f>
        <v> </v>
      </c>
      <c r="J138" s="180" t="str">
        <f aca="false">IF((D138="t"),F138," ")</f>
        <v> </v>
      </c>
      <c r="K138" s="180" t="str">
        <f aca="false">IF((D138="e"),F138," ")</f>
        <v> </v>
      </c>
      <c r="L138" s="180" t="str">
        <f aca="false">IF((D138="p"),F138," ")</f>
        <v> </v>
      </c>
      <c r="M138" s="180" t="str">
        <f aca="false">IF((D138="g"),F138," ")</f>
        <v> </v>
      </c>
      <c r="N138" s="180" t="str">
        <f aca="false">IF((D138="a"),F138," ")</f>
        <v> </v>
      </c>
      <c r="O138" s="180" t="str">
        <f aca="false">IF((D138="l"),F138," ")</f>
        <v> </v>
      </c>
      <c r="P138" s="180" t="str">
        <f aca="false">IF((D138="i"),F138," ")</f>
        <v> </v>
      </c>
      <c r="Q138" s="180" t="str">
        <f aca="false">IF((D138="b"),F138," ")</f>
        <v> </v>
      </c>
      <c r="R138" s="180" t="str">
        <f aca="false">IF((D138="o"),F138," ")</f>
        <v> </v>
      </c>
      <c r="S138" s="180" t="str">
        <f aca="false">IF((D138="f"),F138," ")</f>
        <v> </v>
      </c>
      <c r="U138" s="371"/>
    </row>
    <row r="139" customFormat="false" ht="12.75" hidden="false" customHeight="false" outlineLevel="0" collapsed="false">
      <c r="D139" s="371" t="str">
        <f aca="false">IF((F139&lt;&gt;0),"Enter Letter"," ")</f>
        <v> </v>
      </c>
      <c r="G139" s="180" t="str">
        <f aca="false">IF((D139="d"),F139," ")</f>
        <v> </v>
      </c>
      <c r="H139" s="180" t="str">
        <f aca="false">IF((D139="h"),F139," ")</f>
        <v> </v>
      </c>
      <c r="I139" s="180" t="str">
        <f aca="false">IF((D139="r"),F139," ")</f>
        <v> </v>
      </c>
      <c r="J139" s="180" t="str">
        <f aca="false">IF((D139="t"),F139," ")</f>
        <v> </v>
      </c>
      <c r="K139" s="180" t="str">
        <f aca="false">IF((D139="e"),F139," ")</f>
        <v> </v>
      </c>
      <c r="L139" s="180" t="str">
        <f aca="false">IF((D139="p"),F139," ")</f>
        <v> </v>
      </c>
      <c r="M139" s="180" t="str">
        <f aca="false">IF((D139="g"),F139," ")</f>
        <v> </v>
      </c>
      <c r="N139" s="180" t="str">
        <f aca="false">IF((D139="a"),F139," ")</f>
        <v> </v>
      </c>
      <c r="O139" s="180" t="str">
        <f aca="false">IF((D139="l"),F139," ")</f>
        <v> </v>
      </c>
      <c r="P139" s="180" t="str">
        <f aca="false">IF((D139="i"),F139," ")</f>
        <v> </v>
      </c>
      <c r="Q139" s="180" t="str">
        <f aca="false">IF((D139="b"),F139," ")</f>
        <v> </v>
      </c>
      <c r="R139" s="180" t="str">
        <f aca="false">IF((D139="o"),F139," ")</f>
        <v> </v>
      </c>
      <c r="S139" s="180" t="str">
        <f aca="false">IF((D139="f"),F139," ")</f>
        <v> </v>
      </c>
      <c r="U139" s="371"/>
    </row>
    <row r="140" customFormat="false" ht="12.75" hidden="false" customHeight="false" outlineLevel="0" collapsed="false">
      <c r="D140" s="371" t="str">
        <f aca="false">IF((F140&lt;&gt;0),"Enter Letter"," ")</f>
        <v> </v>
      </c>
      <c r="G140" s="180" t="str">
        <f aca="false">IF((D140="d"),F140," ")</f>
        <v> </v>
      </c>
      <c r="H140" s="180" t="str">
        <f aca="false">IF((D140="h"),F140," ")</f>
        <v> </v>
      </c>
      <c r="I140" s="180" t="str">
        <f aca="false">IF((D140="r"),F140," ")</f>
        <v> </v>
      </c>
      <c r="J140" s="180" t="str">
        <f aca="false">IF((D140="t"),F140," ")</f>
        <v> </v>
      </c>
      <c r="K140" s="180" t="str">
        <f aca="false">IF((D140="e"),F140," ")</f>
        <v> </v>
      </c>
      <c r="L140" s="180" t="str">
        <f aca="false">IF((D140="p"),F140," ")</f>
        <v> </v>
      </c>
      <c r="M140" s="180" t="str">
        <f aca="false">IF((D140="g"),F140," ")</f>
        <v> </v>
      </c>
      <c r="N140" s="180" t="str">
        <f aca="false">IF((D140="a"),F140," ")</f>
        <v> </v>
      </c>
      <c r="O140" s="180" t="str">
        <f aca="false">IF((D140="l"),F140," ")</f>
        <v> </v>
      </c>
      <c r="P140" s="180" t="str">
        <f aca="false">IF((D140="i"),F140," ")</f>
        <v> </v>
      </c>
      <c r="Q140" s="180" t="str">
        <f aca="false">IF((D140="b"),F140," ")</f>
        <v> </v>
      </c>
      <c r="R140" s="180" t="str">
        <f aca="false">IF((D140="o"),F140," ")</f>
        <v> </v>
      </c>
      <c r="S140" s="180" t="str">
        <f aca="false">IF((D140="f"),F140," ")</f>
        <v> </v>
      </c>
      <c r="U140" s="371"/>
    </row>
    <row r="141" customFormat="false" ht="12.75" hidden="false" customHeight="false" outlineLevel="0" collapsed="false">
      <c r="D141" s="371" t="str">
        <f aca="false">IF((F141&lt;&gt;0),"Enter Letter"," ")</f>
        <v> </v>
      </c>
      <c r="G141" s="180" t="str">
        <f aca="false">IF((D141="d"),F141," ")</f>
        <v> </v>
      </c>
      <c r="H141" s="180" t="str">
        <f aca="false">IF((D141="h"),F141," ")</f>
        <v> </v>
      </c>
      <c r="I141" s="180" t="str">
        <f aca="false">IF((D141="r"),F141," ")</f>
        <v> </v>
      </c>
      <c r="J141" s="180" t="str">
        <f aca="false">IF((D141="t"),F141," ")</f>
        <v> </v>
      </c>
      <c r="K141" s="180" t="str">
        <f aca="false">IF((D141="e"),F141," ")</f>
        <v> </v>
      </c>
      <c r="L141" s="180" t="str">
        <f aca="false">IF((D141="p"),F141," ")</f>
        <v> </v>
      </c>
      <c r="M141" s="180" t="str">
        <f aca="false">IF((D141="g"),F141," ")</f>
        <v> </v>
      </c>
      <c r="N141" s="180" t="str">
        <f aca="false">IF((D141="a"),F141," ")</f>
        <v> </v>
      </c>
      <c r="O141" s="180" t="str">
        <f aca="false">IF((D141="l"),F141," ")</f>
        <v> </v>
      </c>
      <c r="P141" s="180" t="str">
        <f aca="false">IF((D141="i"),F141," ")</f>
        <v> </v>
      </c>
      <c r="Q141" s="180" t="str">
        <f aca="false">IF((D141="b"),F141," ")</f>
        <v> </v>
      </c>
      <c r="R141" s="180" t="str">
        <f aca="false">IF((D141="o"),F141," ")</f>
        <v> </v>
      </c>
      <c r="S141" s="180" t="str">
        <f aca="false">IF((D141="f"),F141," ")</f>
        <v> </v>
      </c>
      <c r="U141" s="371"/>
    </row>
    <row r="142" customFormat="false" ht="12.75" hidden="false" customHeight="false" outlineLevel="0" collapsed="false">
      <c r="D142" s="371" t="str">
        <f aca="false">IF((F142&lt;&gt;0),"Enter Letter"," ")</f>
        <v> </v>
      </c>
      <c r="G142" s="180" t="str">
        <f aca="false">IF((D142="d"),F142," ")</f>
        <v> </v>
      </c>
      <c r="H142" s="180" t="str">
        <f aca="false">IF((D142="h"),F142," ")</f>
        <v> </v>
      </c>
      <c r="I142" s="180" t="str">
        <f aca="false">IF((D142="r"),F142," ")</f>
        <v> </v>
      </c>
      <c r="J142" s="180" t="str">
        <f aca="false">IF((D142="t"),F142," ")</f>
        <v> </v>
      </c>
      <c r="K142" s="180" t="str">
        <f aca="false">IF((D142="e"),F142," ")</f>
        <v> </v>
      </c>
      <c r="L142" s="180" t="str">
        <f aca="false">IF((D142="p"),F142," ")</f>
        <v> </v>
      </c>
      <c r="M142" s="180" t="str">
        <f aca="false">IF((D142="g"),F142," ")</f>
        <v> </v>
      </c>
      <c r="N142" s="180" t="str">
        <f aca="false">IF((D142="a"),F142," ")</f>
        <v> </v>
      </c>
      <c r="O142" s="180" t="str">
        <f aca="false">IF((D142="l"),F142," ")</f>
        <v> </v>
      </c>
      <c r="P142" s="180" t="str">
        <f aca="false">IF((D142="i"),F142," ")</f>
        <v> </v>
      </c>
      <c r="Q142" s="180" t="str">
        <f aca="false">IF((D142="b"),F142," ")</f>
        <v> </v>
      </c>
      <c r="R142" s="180" t="str">
        <f aca="false">IF((D142="o"),F142," ")</f>
        <v> </v>
      </c>
      <c r="S142" s="180" t="str">
        <f aca="false">IF((D142="f"),F142," ")</f>
        <v> </v>
      </c>
      <c r="U142" s="371"/>
    </row>
    <row r="143" customFormat="false" ht="12.75" hidden="false" customHeight="false" outlineLevel="0" collapsed="false">
      <c r="D143" s="371" t="str">
        <f aca="false">IF((F143&lt;&gt;0),"Enter Letter"," ")</f>
        <v> </v>
      </c>
      <c r="G143" s="180" t="str">
        <f aca="false">IF((D143="d"),F143," ")</f>
        <v> </v>
      </c>
      <c r="H143" s="180" t="str">
        <f aca="false">IF((D143="h"),F143," ")</f>
        <v> </v>
      </c>
      <c r="I143" s="180" t="str">
        <f aca="false">IF((D143="r"),F143," ")</f>
        <v> </v>
      </c>
      <c r="J143" s="180" t="str">
        <f aca="false">IF((D143="t"),F143," ")</f>
        <v> </v>
      </c>
      <c r="K143" s="180" t="str">
        <f aca="false">IF((D143="e"),F143," ")</f>
        <v> </v>
      </c>
      <c r="L143" s="180" t="str">
        <f aca="false">IF((D143="p"),F143," ")</f>
        <v> </v>
      </c>
      <c r="M143" s="180" t="str">
        <f aca="false">IF((D143="g"),F143," ")</f>
        <v> </v>
      </c>
      <c r="N143" s="180" t="str">
        <f aca="false">IF((D143="a"),F143," ")</f>
        <v> </v>
      </c>
      <c r="O143" s="180" t="str">
        <f aca="false">IF((D143="l"),F143," ")</f>
        <v> </v>
      </c>
      <c r="P143" s="180" t="str">
        <f aca="false">IF((D143="i"),F143," ")</f>
        <v> </v>
      </c>
      <c r="Q143" s="180" t="str">
        <f aca="false">IF((D143="b"),F143," ")</f>
        <v> </v>
      </c>
      <c r="R143" s="180" t="str">
        <f aca="false">IF((D143="o"),F143," ")</f>
        <v> </v>
      </c>
      <c r="S143" s="180" t="str">
        <f aca="false">IF((D143="f"),F143," ")</f>
        <v> </v>
      </c>
      <c r="U143" s="371"/>
    </row>
    <row r="144" customFormat="false" ht="12.75" hidden="false" customHeight="false" outlineLevel="0" collapsed="false">
      <c r="D144" s="371" t="str">
        <f aca="false">IF((F144&lt;&gt;0),"Enter Letter"," ")</f>
        <v> </v>
      </c>
      <c r="G144" s="180" t="str">
        <f aca="false">IF((D144="d"),F144," ")</f>
        <v> </v>
      </c>
      <c r="H144" s="180" t="str">
        <f aca="false">IF((D144="h"),F144," ")</f>
        <v> </v>
      </c>
      <c r="I144" s="180" t="str">
        <f aca="false">IF((D144="r"),F144," ")</f>
        <v> </v>
      </c>
      <c r="J144" s="180" t="str">
        <f aca="false">IF((D144="t"),F144," ")</f>
        <v> </v>
      </c>
      <c r="K144" s="180" t="str">
        <f aca="false">IF((D144="e"),F144," ")</f>
        <v> </v>
      </c>
      <c r="L144" s="180" t="str">
        <f aca="false">IF((D144="p"),F144," ")</f>
        <v> </v>
      </c>
      <c r="M144" s="180" t="str">
        <f aca="false">IF((D144="g"),F144," ")</f>
        <v> </v>
      </c>
      <c r="N144" s="180" t="str">
        <f aca="false">IF((D144="a"),F144," ")</f>
        <v> </v>
      </c>
      <c r="O144" s="180" t="str">
        <f aca="false">IF((D144="l"),F144," ")</f>
        <v> </v>
      </c>
      <c r="P144" s="180" t="str">
        <f aca="false">IF((D144="i"),F144," ")</f>
        <v> </v>
      </c>
      <c r="Q144" s="180" t="str">
        <f aca="false">IF((D144="b"),F144," ")</f>
        <v> </v>
      </c>
      <c r="R144" s="180" t="str">
        <f aca="false">IF((D144="o"),F144," ")</f>
        <v> </v>
      </c>
      <c r="S144" s="180" t="str">
        <f aca="false">IF((D144="f"),F144," ")</f>
        <v> </v>
      </c>
      <c r="U144" s="371"/>
    </row>
    <row r="145" customFormat="false" ht="12.75" hidden="false" customHeight="false" outlineLevel="0" collapsed="false">
      <c r="D145" s="371" t="str">
        <f aca="false">IF((F145&lt;&gt;0),"Enter Letter"," ")</f>
        <v> </v>
      </c>
      <c r="G145" s="180" t="str">
        <f aca="false">IF((D145="d"),F145," ")</f>
        <v> </v>
      </c>
      <c r="H145" s="180" t="str">
        <f aca="false">IF((D145="h"),F145," ")</f>
        <v> </v>
      </c>
      <c r="I145" s="180" t="str">
        <f aca="false">IF((D145="r"),F145," ")</f>
        <v> </v>
      </c>
      <c r="J145" s="180" t="str">
        <f aca="false">IF((D145="t"),F145," ")</f>
        <v> </v>
      </c>
      <c r="K145" s="180" t="str">
        <f aca="false">IF((D145="e"),F145," ")</f>
        <v> </v>
      </c>
      <c r="L145" s="180" t="str">
        <f aca="false">IF((D145="p"),F145," ")</f>
        <v> </v>
      </c>
      <c r="M145" s="180" t="str">
        <f aca="false">IF((D145="g"),F145," ")</f>
        <v> </v>
      </c>
      <c r="N145" s="180" t="str">
        <f aca="false">IF((D145="a"),F145," ")</f>
        <v> </v>
      </c>
      <c r="O145" s="180" t="str">
        <f aca="false">IF((D145="l"),F145," ")</f>
        <v> </v>
      </c>
      <c r="P145" s="180" t="str">
        <f aca="false">IF((D145="i"),F145," ")</f>
        <v> </v>
      </c>
      <c r="Q145" s="180" t="str">
        <f aca="false">IF((D145="b"),F145," ")</f>
        <v> </v>
      </c>
      <c r="R145" s="180" t="str">
        <f aca="false">IF((D145="o"),F145," ")</f>
        <v> </v>
      </c>
      <c r="S145" s="180" t="str">
        <f aca="false">IF((D145="f"),F145," ")</f>
        <v> </v>
      </c>
      <c r="U145" s="371"/>
    </row>
    <row r="146" customFormat="false" ht="12.75" hidden="false" customHeight="false" outlineLevel="0" collapsed="false">
      <c r="D146" s="371" t="str">
        <f aca="false">IF((F146&lt;&gt;0),"Enter Letter"," ")</f>
        <v> </v>
      </c>
      <c r="G146" s="180" t="str">
        <f aca="false">IF((D146="d"),F146," ")</f>
        <v> </v>
      </c>
      <c r="H146" s="180" t="str">
        <f aca="false">IF((D146="h"),F146," ")</f>
        <v> </v>
      </c>
      <c r="I146" s="180" t="str">
        <f aca="false">IF((D146="r"),F146," ")</f>
        <v> </v>
      </c>
      <c r="J146" s="180" t="str">
        <f aca="false">IF((D146="t"),F146," ")</f>
        <v> </v>
      </c>
      <c r="K146" s="180" t="str">
        <f aca="false">IF((D146="e"),F146," ")</f>
        <v> </v>
      </c>
      <c r="L146" s="180" t="str">
        <f aca="false">IF((D146="p"),F146," ")</f>
        <v> </v>
      </c>
      <c r="M146" s="180" t="str">
        <f aca="false">IF((D146="g"),F146," ")</f>
        <v> </v>
      </c>
      <c r="N146" s="180" t="str">
        <f aca="false">IF((D146="a"),F146," ")</f>
        <v> </v>
      </c>
      <c r="O146" s="180" t="str">
        <f aca="false">IF((D146="l"),F146," ")</f>
        <v> </v>
      </c>
      <c r="P146" s="180" t="str">
        <f aca="false">IF((D146="i"),F146," ")</f>
        <v> </v>
      </c>
      <c r="Q146" s="180" t="str">
        <f aca="false">IF((D146="b"),F146," ")</f>
        <v> </v>
      </c>
      <c r="R146" s="180" t="str">
        <f aca="false">IF((D146="o"),F146," ")</f>
        <v> </v>
      </c>
      <c r="S146" s="180" t="str">
        <f aca="false">IF((D146="f"),F146," ")</f>
        <v> </v>
      </c>
      <c r="U146" s="371"/>
    </row>
    <row r="147" customFormat="false" ht="12.75" hidden="false" customHeight="false" outlineLevel="0" collapsed="false">
      <c r="D147" s="371" t="str">
        <f aca="false">IF((F147&lt;&gt;0),"Enter Letter"," ")</f>
        <v> </v>
      </c>
      <c r="G147" s="180" t="str">
        <f aca="false">IF((D147="d"),F147," ")</f>
        <v> </v>
      </c>
      <c r="H147" s="180" t="str">
        <f aca="false">IF((D147="h"),F147," ")</f>
        <v> </v>
      </c>
      <c r="I147" s="180" t="str">
        <f aca="false">IF((D147="r"),F147," ")</f>
        <v> </v>
      </c>
      <c r="J147" s="180" t="str">
        <f aca="false">IF((D147="t"),F147," ")</f>
        <v> </v>
      </c>
      <c r="K147" s="180" t="str">
        <f aca="false">IF((D147="e"),F147," ")</f>
        <v> </v>
      </c>
      <c r="L147" s="180" t="str">
        <f aca="false">IF((D147="p"),F147," ")</f>
        <v> </v>
      </c>
      <c r="M147" s="180" t="str">
        <f aca="false">IF((D147="g"),F147," ")</f>
        <v> </v>
      </c>
      <c r="N147" s="180" t="str">
        <f aca="false">IF((D147="a"),F147," ")</f>
        <v> </v>
      </c>
      <c r="O147" s="180" t="str">
        <f aca="false">IF((D147="l"),F147," ")</f>
        <v> </v>
      </c>
      <c r="P147" s="180" t="str">
        <f aca="false">IF((D147="i"),F147," ")</f>
        <v> </v>
      </c>
      <c r="Q147" s="180" t="str">
        <f aca="false">IF((D147="b"),F147," ")</f>
        <v> </v>
      </c>
      <c r="R147" s="180" t="str">
        <f aca="false">IF((D147="o"),F147," ")</f>
        <v> </v>
      </c>
      <c r="S147" s="180" t="str">
        <f aca="false">IF((D147="f"),F147," ")</f>
        <v> </v>
      </c>
      <c r="U147" s="371"/>
    </row>
    <row r="148" customFormat="false" ht="12.75" hidden="false" customHeight="false" outlineLevel="0" collapsed="false">
      <c r="D148" s="371" t="str">
        <f aca="false">IF((F148&lt;&gt;0),"Enter Letter"," ")</f>
        <v> </v>
      </c>
      <c r="G148" s="180" t="str">
        <f aca="false">IF((D148="d"),F148," ")</f>
        <v> </v>
      </c>
      <c r="H148" s="180" t="str">
        <f aca="false">IF((D148="h"),F148," ")</f>
        <v> </v>
      </c>
      <c r="I148" s="180" t="str">
        <f aca="false">IF((D148="r"),F148," ")</f>
        <v> </v>
      </c>
      <c r="J148" s="180" t="str">
        <f aca="false">IF((D148="t"),F148," ")</f>
        <v> </v>
      </c>
      <c r="K148" s="180" t="str">
        <f aca="false">IF((D148="e"),F148," ")</f>
        <v> </v>
      </c>
      <c r="L148" s="180" t="str">
        <f aca="false">IF((D148="p"),F148," ")</f>
        <v> </v>
      </c>
      <c r="M148" s="180" t="str">
        <f aca="false">IF((D148="g"),F148," ")</f>
        <v> </v>
      </c>
      <c r="N148" s="180" t="str">
        <f aca="false">IF((D148="a"),F148," ")</f>
        <v> </v>
      </c>
      <c r="O148" s="180" t="str">
        <f aca="false">IF((D148="l"),F148," ")</f>
        <v> </v>
      </c>
      <c r="P148" s="180" t="str">
        <f aca="false">IF((D148="i"),F148," ")</f>
        <v> </v>
      </c>
      <c r="Q148" s="180" t="str">
        <f aca="false">IF((D148="b"),F148," ")</f>
        <v> </v>
      </c>
      <c r="R148" s="180" t="str">
        <f aca="false">IF((D148="o"),F148," ")</f>
        <v> </v>
      </c>
      <c r="S148" s="180" t="str">
        <f aca="false">IF((D148="f"),F148," ")</f>
        <v> </v>
      </c>
      <c r="U148" s="371"/>
    </row>
    <row r="149" customFormat="false" ht="12.75" hidden="false" customHeight="false" outlineLevel="0" collapsed="false">
      <c r="D149" s="371" t="str">
        <f aca="false">IF((F149&lt;&gt;0),"Enter Letter"," ")</f>
        <v> </v>
      </c>
      <c r="G149" s="180" t="str">
        <f aca="false">IF((D149="d"),F149," ")</f>
        <v> </v>
      </c>
      <c r="H149" s="180" t="str">
        <f aca="false">IF((D149="h"),F149," ")</f>
        <v> </v>
      </c>
      <c r="I149" s="180" t="str">
        <f aca="false">IF((D149="r"),F149," ")</f>
        <v> </v>
      </c>
      <c r="J149" s="180" t="str">
        <f aca="false">IF((D149="t"),F149," ")</f>
        <v> </v>
      </c>
      <c r="K149" s="180" t="str">
        <f aca="false">IF((D149="e"),F149," ")</f>
        <v> </v>
      </c>
      <c r="L149" s="180" t="str">
        <f aca="false">IF((D149="p"),F149," ")</f>
        <v> </v>
      </c>
      <c r="M149" s="180" t="str">
        <f aca="false">IF((D149="g"),F149," ")</f>
        <v> </v>
      </c>
      <c r="N149" s="180" t="str">
        <f aca="false">IF((D149="a"),F149," ")</f>
        <v> </v>
      </c>
      <c r="O149" s="180" t="str">
        <f aca="false">IF((D149="l"),F149," ")</f>
        <v> </v>
      </c>
      <c r="P149" s="180" t="str">
        <f aca="false">IF((D149="i"),F149," ")</f>
        <v> </v>
      </c>
      <c r="Q149" s="180" t="str">
        <f aca="false">IF((D149="b"),F149," ")</f>
        <v> </v>
      </c>
      <c r="R149" s="180" t="str">
        <f aca="false">IF((D149="o"),F149," ")</f>
        <v> </v>
      </c>
      <c r="S149" s="180" t="str">
        <f aca="false">IF((D149="f"),F149," ")</f>
        <v> </v>
      </c>
      <c r="U149" s="371"/>
    </row>
    <row r="150" customFormat="false" ht="12.75" hidden="false" customHeight="false" outlineLevel="0" collapsed="false">
      <c r="D150" s="371" t="str">
        <f aca="false">IF((F150&lt;&gt;0),"Enter Letter"," ")</f>
        <v> </v>
      </c>
      <c r="G150" s="180" t="str">
        <f aca="false">IF((D150="d"),F150," ")</f>
        <v> </v>
      </c>
      <c r="H150" s="180" t="str">
        <f aca="false">IF((D150="h"),F150," ")</f>
        <v> </v>
      </c>
      <c r="I150" s="180" t="str">
        <f aca="false">IF((D150="r"),F150," ")</f>
        <v> </v>
      </c>
      <c r="J150" s="180" t="str">
        <f aca="false">IF((D150="t"),F150," ")</f>
        <v> </v>
      </c>
      <c r="K150" s="180" t="str">
        <f aca="false">IF((D150="e"),F150," ")</f>
        <v> </v>
      </c>
      <c r="L150" s="180" t="str">
        <f aca="false">IF((D150="p"),F150," ")</f>
        <v> </v>
      </c>
      <c r="M150" s="180" t="str">
        <f aca="false">IF((D150="g"),F150," ")</f>
        <v> </v>
      </c>
      <c r="N150" s="180" t="str">
        <f aca="false">IF((D150="a"),F150," ")</f>
        <v> </v>
      </c>
      <c r="O150" s="180" t="str">
        <f aca="false">IF((D150="l"),F150," ")</f>
        <v> </v>
      </c>
      <c r="P150" s="180" t="str">
        <f aca="false">IF((D150="i"),F150," ")</f>
        <v> </v>
      </c>
      <c r="Q150" s="180" t="str">
        <f aca="false">IF((D150="b"),F150," ")</f>
        <v> </v>
      </c>
      <c r="R150" s="180" t="str">
        <f aca="false">IF((D150="o"),F150," ")</f>
        <v> </v>
      </c>
      <c r="S150" s="180" t="str">
        <f aca="false">IF((D150="f"),F150," ")</f>
        <v> </v>
      </c>
      <c r="U150" s="371"/>
    </row>
    <row r="151" customFormat="false" ht="12.75" hidden="false" customHeight="false" outlineLevel="0" collapsed="false">
      <c r="D151" s="371" t="str">
        <f aca="false">IF((F151&lt;&gt;0),"Enter Letter"," ")</f>
        <v> </v>
      </c>
      <c r="G151" s="180" t="str">
        <f aca="false">IF((D151="d"),F151," ")</f>
        <v> </v>
      </c>
      <c r="H151" s="180" t="str">
        <f aca="false">IF((D151="h"),F151," ")</f>
        <v> </v>
      </c>
      <c r="I151" s="180" t="str">
        <f aca="false">IF((D151="r"),F151," ")</f>
        <v> </v>
      </c>
      <c r="J151" s="180" t="str">
        <f aca="false">IF((D151="t"),F151," ")</f>
        <v> </v>
      </c>
      <c r="K151" s="180" t="str">
        <f aca="false">IF((D151="e"),F151," ")</f>
        <v> </v>
      </c>
      <c r="L151" s="180" t="str">
        <f aca="false">IF((D151="p"),F151," ")</f>
        <v> </v>
      </c>
      <c r="M151" s="180" t="str">
        <f aca="false">IF((D151="g"),F151," ")</f>
        <v> </v>
      </c>
      <c r="N151" s="180" t="str">
        <f aca="false">IF((D151="a"),F151," ")</f>
        <v> </v>
      </c>
      <c r="O151" s="180" t="str">
        <f aca="false">IF((D151="l"),F151," ")</f>
        <v> </v>
      </c>
      <c r="P151" s="180" t="str">
        <f aca="false">IF((D151="i"),F151," ")</f>
        <v> </v>
      </c>
      <c r="Q151" s="180" t="str">
        <f aca="false">IF((D151="b"),F151," ")</f>
        <v> </v>
      </c>
      <c r="R151" s="180" t="str">
        <f aca="false">IF((D151="o"),F151," ")</f>
        <v> </v>
      </c>
      <c r="S151" s="180" t="str">
        <f aca="false">IF((D151="f"),F151," ")</f>
        <v> </v>
      </c>
      <c r="U151" s="371"/>
    </row>
    <row r="152" customFormat="false" ht="12.75" hidden="false" customHeight="false" outlineLevel="0" collapsed="false">
      <c r="D152" s="371" t="str">
        <f aca="false">IF((F152&lt;&gt;0),"Enter Letter"," ")</f>
        <v> </v>
      </c>
      <c r="G152" s="180" t="str">
        <f aca="false">IF((D152="d"),F152," ")</f>
        <v> </v>
      </c>
      <c r="H152" s="180" t="str">
        <f aca="false">IF((D152="h"),F152," ")</f>
        <v> </v>
      </c>
      <c r="I152" s="180" t="str">
        <f aca="false">IF((D152="r"),F152," ")</f>
        <v> </v>
      </c>
      <c r="J152" s="180" t="str">
        <f aca="false">IF((D152="t"),F152," ")</f>
        <v> </v>
      </c>
      <c r="K152" s="180" t="str">
        <f aca="false">IF((D152="e"),F152," ")</f>
        <v> </v>
      </c>
      <c r="L152" s="180" t="str">
        <f aca="false">IF((D152="p"),F152," ")</f>
        <v> </v>
      </c>
      <c r="M152" s="180" t="str">
        <f aca="false">IF((D152="g"),F152," ")</f>
        <v> </v>
      </c>
      <c r="N152" s="180" t="str">
        <f aca="false">IF((D152="a"),F152," ")</f>
        <v> </v>
      </c>
      <c r="O152" s="180" t="str">
        <f aca="false">IF((D152="l"),F152," ")</f>
        <v> </v>
      </c>
      <c r="P152" s="180" t="str">
        <f aca="false">IF((D152="i"),F152," ")</f>
        <v> </v>
      </c>
      <c r="Q152" s="180" t="str">
        <f aca="false">IF((D152="b"),F152," ")</f>
        <v> </v>
      </c>
      <c r="R152" s="180" t="str">
        <f aca="false">IF((D152="o"),F152," ")</f>
        <v> </v>
      </c>
      <c r="S152" s="180" t="str">
        <f aca="false">IF((D152="f"),F152," ")</f>
        <v> </v>
      </c>
      <c r="U152" s="371"/>
    </row>
    <row r="153" customFormat="false" ht="12.75" hidden="false" customHeight="false" outlineLevel="0" collapsed="false">
      <c r="D153" s="371" t="str">
        <f aca="false">IF((F153&lt;&gt;0),"Enter Letter"," ")</f>
        <v> </v>
      </c>
      <c r="G153" s="180" t="str">
        <f aca="false">IF((D153="d"),F153," ")</f>
        <v> </v>
      </c>
      <c r="H153" s="180" t="str">
        <f aca="false">IF((D153="h"),F153," ")</f>
        <v> </v>
      </c>
      <c r="I153" s="180" t="str">
        <f aca="false">IF((D153="r"),F153," ")</f>
        <v> </v>
      </c>
      <c r="J153" s="180" t="str">
        <f aca="false">IF((D153="t"),F153," ")</f>
        <v> </v>
      </c>
      <c r="K153" s="180" t="str">
        <f aca="false">IF((D153="e"),F153," ")</f>
        <v> </v>
      </c>
      <c r="L153" s="180" t="str">
        <f aca="false">IF((D153="p"),F153," ")</f>
        <v> </v>
      </c>
      <c r="M153" s="180" t="str">
        <f aca="false">IF((D153="g"),F153," ")</f>
        <v> </v>
      </c>
      <c r="N153" s="180" t="str">
        <f aca="false">IF((D153="a"),F153," ")</f>
        <v> </v>
      </c>
      <c r="O153" s="180" t="str">
        <f aca="false">IF((D153="l"),F153," ")</f>
        <v> </v>
      </c>
      <c r="P153" s="180" t="str">
        <f aca="false">IF((D153="i"),F153," ")</f>
        <v> </v>
      </c>
      <c r="Q153" s="180" t="str">
        <f aca="false">IF((D153="b"),F153," ")</f>
        <v> </v>
      </c>
      <c r="R153" s="180" t="str">
        <f aca="false">IF((D153="o"),F153," ")</f>
        <v> </v>
      </c>
      <c r="S153" s="180" t="str">
        <f aca="false">IF((D153="f"),F153," ")</f>
        <v> </v>
      </c>
      <c r="U153" s="371"/>
    </row>
    <row r="154" customFormat="false" ht="12.75" hidden="false" customHeight="false" outlineLevel="0" collapsed="false">
      <c r="D154" s="371" t="str">
        <f aca="false">IF((F154&lt;&gt;0),"Enter Letter"," ")</f>
        <v> </v>
      </c>
      <c r="G154" s="180" t="str">
        <f aca="false">IF((D154="d"),F154," ")</f>
        <v> </v>
      </c>
      <c r="H154" s="180" t="str">
        <f aca="false">IF((D154="h"),F154," ")</f>
        <v> </v>
      </c>
      <c r="I154" s="180" t="str">
        <f aca="false">IF((D154="r"),F154," ")</f>
        <v> </v>
      </c>
      <c r="J154" s="180" t="str">
        <f aca="false">IF((D154="t"),F154," ")</f>
        <v> </v>
      </c>
      <c r="K154" s="180" t="str">
        <f aca="false">IF((D154="e"),F154," ")</f>
        <v> </v>
      </c>
      <c r="L154" s="180" t="str">
        <f aca="false">IF((D154="p"),F154," ")</f>
        <v> </v>
      </c>
      <c r="M154" s="180" t="str">
        <f aca="false">IF((D154="g"),F154," ")</f>
        <v> </v>
      </c>
      <c r="N154" s="180" t="str">
        <f aca="false">IF((D154="a"),F154," ")</f>
        <v> </v>
      </c>
      <c r="O154" s="180" t="str">
        <f aca="false">IF((D154="l"),F154," ")</f>
        <v> </v>
      </c>
      <c r="P154" s="180" t="str">
        <f aca="false">IF((D154="i"),F154," ")</f>
        <v> </v>
      </c>
      <c r="Q154" s="180" t="str">
        <f aca="false">IF((D154="b"),F154," ")</f>
        <v> </v>
      </c>
      <c r="R154" s="180" t="str">
        <f aca="false">IF((D154="o"),F154," ")</f>
        <v> </v>
      </c>
      <c r="S154" s="180" t="str">
        <f aca="false">IF((D154="f"),F154," ")</f>
        <v> </v>
      </c>
      <c r="U154" s="371"/>
    </row>
    <row r="155" customFormat="false" ht="12.75" hidden="false" customHeight="false" outlineLevel="0" collapsed="false">
      <c r="D155" s="371" t="str">
        <f aca="false">IF((F155&lt;&gt;0),"Enter Letter"," ")</f>
        <v> </v>
      </c>
      <c r="G155" s="180" t="str">
        <f aca="false">IF((D155="d"),F155," ")</f>
        <v> </v>
      </c>
      <c r="H155" s="180" t="str">
        <f aca="false">IF((D155="h"),F155," ")</f>
        <v> </v>
      </c>
      <c r="I155" s="180" t="str">
        <f aca="false">IF((D155="r"),F155," ")</f>
        <v> </v>
      </c>
      <c r="J155" s="180" t="str">
        <f aca="false">IF((D155="t"),F155," ")</f>
        <v> </v>
      </c>
      <c r="K155" s="180" t="str">
        <f aca="false">IF((D155="e"),F155," ")</f>
        <v> </v>
      </c>
      <c r="L155" s="180" t="str">
        <f aca="false">IF((D155="p"),F155," ")</f>
        <v> </v>
      </c>
      <c r="M155" s="180" t="str">
        <f aca="false">IF((D155="g"),F155," ")</f>
        <v> </v>
      </c>
      <c r="N155" s="180" t="str">
        <f aca="false">IF((D155="a"),F155," ")</f>
        <v> </v>
      </c>
      <c r="O155" s="180" t="str">
        <f aca="false">IF((D155="l"),F155," ")</f>
        <v> </v>
      </c>
      <c r="P155" s="180" t="str">
        <f aca="false">IF((D155="i"),F155," ")</f>
        <v> </v>
      </c>
      <c r="Q155" s="180" t="str">
        <f aca="false">IF((D155="b"),F155," ")</f>
        <v> </v>
      </c>
      <c r="R155" s="180" t="str">
        <f aca="false">IF((D155="o"),F155," ")</f>
        <v> </v>
      </c>
      <c r="S155" s="180" t="str">
        <f aca="false">IF((D155="f"),F155," ")</f>
        <v> </v>
      </c>
      <c r="U155" s="371"/>
    </row>
    <row r="156" customFormat="false" ht="12.75" hidden="false" customHeight="false" outlineLevel="0" collapsed="false">
      <c r="D156" s="371" t="str">
        <f aca="false">IF((F156&lt;&gt;0),"Enter Letter"," ")</f>
        <v> </v>
      </c>
      <c r="G156" s="180" t="str">
        <f aca="false">IF((D156="d"),F156," ")</f>
        <v> </v>
      </c>
      <c r="H156" s="180" t="str">
        <f aca="false">IF((D156="h"),F156," ")</f>
        <v> </v>
      </c>
      <c r="I156" s="180" t="str">
        <f aca="false">IF((D156="r"),F156," ")</f>
        <v> </v>
      </c>
      <c r="J156" s="180" t="str">
        <f aca="false">IF((D156="t"),F156," ")</f>
        <v> </v>
      </c>
      <c r="K156" s="180" t="str">
        <f aca="false">IF((D156="e"),F156," ")</f>
        <v> </v>
      </c>
      <c r="L156" s="180" t="str">
        <f aca="false">IF((D156="p"),F156," ")</f>
        <v> </v>
      </c>
      <c r="M156" s="180" t="str">
        <f aca="false">IF((D156="g"),F156," ")</f>
        <v> </v>
      </c>
      <c r="N156" s="180" t="str">
        <f aca="false">IF((D156="a"),F156," ")</f>
        <v> </v>
      </c>
      <c r="O156" s="180" t="str">
        <f aca="false">IF((D156="l"),F156," ")</f>
        <v> </v>
      </c>
      <c r="P156" s="180" t="str">
        <f aca="false">IF((D156="i"),F156," ")</f>
        <v> </v>
      </c>
      <c r="Q156" s="180" t="str">
        <f aca="false">IF((D156="b"),F156," ")</f>
        <v> </v>
      </c>
      <c r="R156" s="180" t="str">
        <f aca="false">IF((D156="o"),F156," ")</f>
        <v> </v>
      </c>
      <c r="S156" s="180" t="str">
        <f aca="false">IF((D156="f"),F156," ")</f>
        <v> </v>
      </c>
      <c r="U156" s="371"/>
    </row>
    <row r="157" customFormat="false" ht="12.75" hidden="false" customHeight="false" outlineLevel="0" collapsed="false">
      <c r="D157" s="371" t="str">
        <f aca="false">IF((F157&lt;&gt;0),"Enter Letter"," ")</f>
        <v> </v>
      </c>
      <c r="G157" s="180" t="str">
        <f aca="false">IF((D157="d"),F157," ")</f>
        <v> </v>
      </c>
      <c r="H157" s="180" t="str">
        <f aca="false">IF((D157="h"),F157," ")</f>
        <v> </v>
      </c>
      <c r="I157" s="180" t="str">
        <f aca="false">IF((D157="r"),F157," ")</f>
        <v> </v>
      </c>
      <c r="J157" s="180" t="str">
        <f aca="false">IF((D157="t"),F157," ")</f>
        <v> </v>
      </c>
      <c r="K157" s="180" t="str">
        <f aca="false">IF((D157="e"),F157," ")</f>
        <v> </v>
      </c>
      <c r="L157" s="180" t="str">
        <f aca="false">IF((D157="p"),F157," ")</f>
        <v> </v>
      </c>
      <c r="M157" s="180" t="str">
        <f aca="false">IF((D157="g"),F157," ")</f>
        <v> </v>
      </c>
      <c r="N157" s="180" t="str">
        <f aca="false">IF((D157="a"),F157," ")</f>
        <v> </v>
      </c>
      <c r="O157" s="180" t="str">
        <f aca="false">IF((D157="l"),F157," ")</f>
        <v> </v>
      </c>
      <c r="P157" s="180" t="str">
        <f aca="false">IF((D157="i"),F157," ")</f>
        <v> </v>
      </c>
      <c r="Q157" s="180" t="str">
        <f aca="false">IF((D157="b"),F157," ")</f>
        <v> </v>
      </c>
      <c r="R157" s="180" t="str">
        <f aca="false">IF((D157="o"),F157," ")</f>
        <v> </v>
      </c>
      <c r="S157" s="180" t="str">
        <f aca="false">IF((D157="f"),F157," ")</f>
        <v> </v>
      </c>
      <c r="U157" s="371"/>
    </row>
    <row r="158" customFormat="false" ht="12.75" hidden="false" customHeight="false" outlineLevel="0" collapsed="false">
      <c r="D158" s="371" t="str">
        <f aca="false">IF((F158&lt;&gt;0),"Enter Letter"," ")</f>
        <v> </v>
      </c>
      <c r="G158" s="180" t="str">
        <f aca="false">IF((D158="d"),F158," ")</f>
        <v> </v>
      </c>
      <c r="H158" s="180" t="str">
        <f aca="false">IF((D158="h"),F158," ")</f>
        <v> </v>
      </c>
      <c r="I158" s="180" t="str">
        <f aca="false">IF((D158="r"),F158," ")</f>
        <v> </v>
      </c>
      <c r="J158" s="180" t="str">
        <f aca="false">IF((D158="t"),F158," ")</f>
        <v> </v>
      </c>
      <c r="K158" s="180" t="str">
        <f aca="false">IF((D158="e"),F158," ")</f>
        <v> </v>
      </c>
      <c r="L158" s="180" t="str">
        <f aca="false">IF((D158="p"),F158," ")</f>
        <v> </v>
      </c>
      <c r="M158" s="180" t="str">
        <f aca="false">IF((D158="g"),F158," ")</f>
        <v> </v>
      </c>
      <c r="N158" s="180" t="str">
        <f aca="false">IF((D158="a"),F158," ")</f>
        <v> </v>
      </c>
      <c r="O158" s="180" t="str">
        <f aca="false">IF((D158="l"),F158," ")</f>
        <v> </v>
      </c>
      <c r="P158" s="180" t="str">
        <f aca="false">IF((D158="i"),F158," ")</f>
        <v> </v>
      </c>
      <c r="Q158" s="180" t="str">
        <f aca="false">IF((D158="b"),F158," ")</f>
        <v> </v>
      </c>
      <c r="R158" s="180" t="str">
        <f aca="false">IF((D158="o"),F158," ")</f>
        <v> </v>
      </c>
      <c r="S158" s="180" t="str">
        <f aca="false">IF((D158="f"),F158," ")</f>
        <v> </v>
      </c>
      <c r="U158" s="371"/>
    </row>
    <row r="159" customFormat="false" ht="12.75" hidden="false" customHeight="false" outlineLevel="0" collapsed="false">
      <c r="D159" s="371" t="str">
        <f aca="false">IF((F159&lt;&gt;0),"Enter Letter"," ")</f>
        <v> </v>
      </c>
      <c r="G159" s="180" t="str">
        <f aca="false">IF((D159="d"),F159," ")</f>
        <v> </v>
      </c>
      <c r="H159" s="180" t="str">
        <f aca="false">IF((D159="h"),F159," ")</f>
        <v> </v>
      </c>
      <c r="I159" s="180" t="str">
        <f aca="false">IF((D159="r"),F159," ")</f>
        <v> </v>
      </c>
      <c r="J159" s="180" t="str">
        <f aca="false">IF((D159="t"),F159," ")</f>
        <v> </v>
      </c>
      <c r="K159" s="180" t="str">
        <f aca="false">IF((D159="e"),F159," ")</f>
        <v> </v>
      </c>
      <c r="L159" s="180" t="str">
        <f aca="false">IF((D159="p"),F159," ")</f>
        <v> </v>
      </c>
      <c r="M159" s="180" t="str">
        <f aca="false">IF((D159="g"),F159," ")</f>
        <v> </v>
      </c>
      <c r="N159" s="180" t="str">
        <f aca="false">IF((D159="a"),F159," ")</f>
        <v> </v>
      </c>
      <c r="O159" s="180" t="str">
        <f aca="false">IF((D159="l"),F159," ")</f>
        <v> </v>
      </c>
      <c r="P159" s="180" t="str">
        <f aca="false">IF((D159="i"),F159," ")</f>
        <v> </v>
      </c>
      <c r="Q159" s="180" t="str">
        <f aca="false">IF((D159="b"),F159," ")</f>
        <v> </v>
      </c>
      <c r="R159" s="180" t="str">
        <f aca="false">IF((D159="o"),F159," ")</f>
        <v> </v>
      </c>
      <c r="S159" s="180" t="str">
        <f aca="false">IF((D159="f"),F159," ")</f>
        <v> </v>
      </c>
      <c r="U159" s="371"/>
    </row>
    <row r="160" customFormat="false" ht="12.75" hidden="false" customHeight="false" outlineLevel="0" collapsed="false">
      <c r="D160" s="371" t="str">
        <f aca="false">IF((F160&lt;&gt;0),"Enter Letter"," ")</f>
        <v> </v>
      </c>
      <c r="G160" s="180" t="str">
        <f aca="false">IF((D160="d"),F160," ")</f>
        <v> </v>
      </c>
      <c r="H160" s="180" t="str">
        <f aca="false">IF((D160="h"),F160," ")</f>
        <v> </v>
      </c>
      <c r="I160" s="180" t="str">
        <f aca="false">IF((D160="r"),F160," ")</f>
        <v> </v>
      </c>
      <c r="J160" s="180" t="str">
        <f aca="false">IF((D160="t"),F160," ")</f>
        <v> </v>
      </c>
      <c r="K160" s="180" t="str">
        <f aca="false">IF((D160="e"),F160," ")</f>
        <v> </v>
      </c>
      <c r="L160" s="180" t="str">
        <f aca="false">IF((D160="p"),F160," ")</f>
        <v> </v>
      </c>
      <c r="M160" s="180" t="str">
        <f aca="false">IF((D160="g"),F160," ")</f>
        <v> </v>
      </c>
      <c r="N160" s="180" t="str">
        <f aca="false">IF((D160="a"),F160," ")</f>
        <v> </v>
      </c>
      <c r="O160" s="180" t="str">
        <f aca="false">IF((D160="l"),F160," ")</f>
        <v> </v>
      </c>
      <c r="P160" s="180" t="str">
        <f aca="false">IF((D160="i"),F160," ")</f>
        <v> </v>
      </c>
      <c r="Q160" s="180" t="str">
        <f aca="false">IF((D160="b"),F160," ")</f>
        <v> </v>
      </c>
      <c r="R160" s="180" t="str">
        <f aca="false">IF((D160="o"),F160," ")</f>
        <v> </v>
      </c>
      <c r="S160" s="180" t="str">
        <f aca="false">IF((D160="f"),F160," ")</f>
        <v> </v>
      </c>
      <c r="U160" s="371"/>
    </row>
    <row r="161" customFormat="false" ht="12.75" hidden="false" customHeight="false" outlineLevel="0" collapsed="false">
      <c r="D161" s="371" t="str">
        <f aca="false">IF((F161&lt;&gt;0),"Enter Letter"," ")</f>
        <v> </v>
      </c>
      <c r="G161" s="180" t="str">
        <f aca="false">IF((D161="d"),F161," ")</f>
        <v> </v>
      </c>
      <c r="H161" s="180" t="str">
        <f aca="false">IF((D161="h"),F161," ")</f>
        <v> </v>
      </c>
      <c r="I161" s="180" t="str">
        <f aca="false">IF((D161="r"),F161," ")</f>
        <v> </v>
      </c>
      <c r="J161" s="180" t="str">
        <f aca="false">IF((D161="t"),F161," ")</f>
        <v> </v>
      </c>
      <c r="K161" s="180" t="str">
        <f aca="false">IF((D161="e"),F161," ")</f>
        <v> </v>
      </c>
      <c r="L161" s="180" t="str">
        <f aca="false">IF((D161="p"),F161," ")</f>
        <v> </v>
      </c>
      <c r="M161" s="180" t="str">
        <f aca="false">IF((D161="g"),F161," ")</f>
        <v> </v>
      </c>
      <c r="N161" s="180" t="str">
        <f aca="false">IF((D161="a"),F161," ")</f>
        <v> </v>
      </c>
      <c r="O161" s="180" t="str">
        <f aca="false">IF((D161="l"),F161," ")</f>
        <v> </v>
      </c>
      <c r="P161" s="180" t="str">
        <f aca="false">IF((D161="i"),F161," ")</f>
        <v> </v>
      </c>
      <c r="Q161" s="180" t="str">
        <f aca="false">IF((D161="b"),F161," ")</f>
        <v> </v>
      </c>
      <c r="R161" s="180" t="str">
        <f aca="false">IF((D161="o"),F161," ")</f>
        <v> </v>
      </c>
      <c r="S161" s="180" t="str">
        <f aca="false">IF((D161="f"),F161," ")</f>
        <v> </v>
      </c>
      <c r="U161" s="371"/>
    </row>
    <row r="162" customFormat="false" ht="12.75" hidden="false" customHeight="false" outlineLevel="0" collapsed="false">
      <c r="D162" s="371" t="str">
        <f aca="false">IF((F162&lt;&gt;0),"Enter Letter"," ")</f>
        <v> </v>
      </c>
      <c r="G162" s="180" t="str">
        <f aca="false">IF((D162="d"),F162," ")</f>
        <v> </v>
      </c>
      <c r="H162" s="180" t="str">
        <f aca="false">IF((D162="h"),F162," ")</f>
        <v> </v>
      </c>
      <c r="I162" s="180" t="str">
        <f aca="false">IF((D162="r"),F162," ")</f>
        <v> </v>
      </c>
      <c r="J162" s="180" t="str">
        <f aca="false">IF((D162="t"),F162," ")</f>
        <v> </v>
      </c>
      <c r="K162" s="180" t="str">
        <f aca="false">IF((D162="e"),F162," ")</f>
        <v> </v>
      </c>
      <c r="L162" s="180" t="str">
        <f aca="false">IF((D162="p"),F162," ")</f>
        <v> </v>
      </c>
      <c r="M162" s="180" t="str">
        <f aca="false">IF((D162="g"),F162," ")</f>
        <v> </v>
      </c>
      <c r="N162" s="180" t="str">
        <f aca="false">IF((D162="a"),F162," ")</f>
        <v> </v>
      </c>
      <c r="O162" s="180" t="str">
        <f aca="false">IF((D162="l"),F162," ")</f>
        <v> </v>
      </c>
      <c r="P162" s="180" t="str">
        <f aca="false">IF((D162="i"),F162," ")</f>
        <v> </v>
      </c>
      <c r="Q162" s="180" t="str">
        <f aca="false">IF((D162="b"),F162," ")</f>
        <v> </v>
      </c>
      <c r="R162" s="180" t="str">
        <f aca="false">IF((D162="o"),F162," ")</f>
        <v> </v>
      </c>
      <c r="S162" s="180" t="str">
        <f aca="false">IF((D162="f"),F162," ")</f>
        <v> </v>
      </c>
      <c r="U162" s="371"/>
    </row>
    <row r="163" customFormat="false" ht="12.75" hidden="false" customHeight="false" outlineLevel="0" collapsed="false">
      <c r="D163" s="371" t="str">
        <f aca="false">IF((F163&lt;&gt;0),"Enter Letter"," ")</f>
        <v> </v>
      </c>
      <c r="G163" s="180" t="str">
        <f aca="false">IF((D163="d"),F163," ")</f>
        <v> </v>
      </c>
      <c r="H163" s="180" t="str">
        <f aca="false">IF((D163="h"),F163," ")</f>
        <v> </v>
      </c>
      <c r="I163" s="180" t="str">
        <f aca="false">IF((D163="r"),F163," ")</f>
        <v> </v>
      </c>
      <c r="J163" s="180" t="str">
        <f aca="false">IF((D163="t"),F163," ")</f>
        <v> </v>
      </c>
      <c r="K163" s="180" t="str">
        <f aca="false">IF((D163="e"),F163," ")</f>
        <v> </v>
      </c>
      <c r="L163" s="180" t="str">
        <f aca="false">IF((D163="p"),F163," ")</f>
        <v> </v>
      </c>
      <c r="M163" s="180" t="str">
        <f aca="false">IF((D163="g"),F163," ")</f>
        <v> </v>
      </c>
      <c r="N163" s="180" t="str">
        <f aca="false">IF((D163="a"),F163," ")</f>
        <v> </v>
      </c>
      <c r="O163" s="180" t="str">
        <f aca="false">IF((D163="l"),F163," ")</f>
        <v> </v>
      </c>
      <c r="P163" s="180" t="str">
        <f aca="false">IF((D163="i"),F163," ")</f>
        <v> </v>
      </c>
      <c r="Q163" s="180" t="str">
        <f aca="false">IF((D163="b"),F163," ")</f>
        <v> </v>
      </c>
      <c r="R163" s="180" t="str">
        <f aca="false">IF((D163="o"),F163," ")</f>
        <v> </v>
      </c>
      <c r="S163" s="180" t="str">
        <f aca="false">IF((D163="f"),F163," ")</f>
        <v> </v>
      </c>
      <c r="U163" s="371"/>
    </row>
    <row r="164" customFormat="false" ht="12.75" hidden="false" customHeight="false" outlineLevel="0" collapsed="false">
      <c r="D164" s="371" t="str">
        <f aca="false">IF((F164&lt;&gt;0),"Enter Letter"," ")</f>
        <v> </v>
      </c>
      <c r="G164" s="180" t="str">
        <f aca="false">IF((D164="d"),F164," ")</f>
        <v> </v>
      </c>
      <c r="H164" s="180" t="str">
        <f aca="false">IF((D164="h"),F164," ")</f>
        <v> </v>
      </c>
      <c r="I164" s="180" t="str">
        <f aca="false">IF((D164="r"),F164," ")</f>
        <v> </v>
      </c>
      <c r="J164" s="180" t="str">
        <f aca="false">IF((D164="t"),F164," ")</f>
        <v> </v>
      </c>
      <c r="K164" s="180" t="str">
        <f aca="false">IF((D164="e"),F164," ")</f>
        <v> </v>
      </c>
      <c r="L164" s="180" t="str">
        <f aca="false">IF((D164="p"),F164," ")</f>
        <v> </v>
      </c>
      <c r="M164" s="180" t="str">
        <f aca="false">IF((D164="g"),F164," ")</f>
        <v> </v>
      </c>
      <c r="N164" s="180" t="str">
        <f aca="false">IF((D164="a"),F164," ")</f>
        <v> </v>
      </c>
      <c r="O164" s="180" t="str">
        <f aca="false">IF((D164="l"),F164," ")</f>
        <v> </v>
      </c>
      <c r="P164" s="180" t="str">
        <f aca="false">IF((D164="i"),F164," ")</f>
        <v> </v>
      </c>
      <c r="Q164" s="180" t="str">
        <f aca="false">IF((D164="b"),F164," ")</f>
        <v> </v>
      </c>
      <c r="R164" s="180" t="str">
        <f aca="false">IF((D164="o"),F164," ")</f>
        <v> </v>
      </c>
      <c r="S164" s="180" t="str">
        <f aca="false">IF((D164="f"),F164," ")</f>
        <v> </v>
      </c>
      <c r="U164" s="371"/>
    </row>
    <row r="165" customFormat="false" ht="12.75" hidden="false" customHeight="false" outlineLevel="0" collapsed="false">
      <c r="D165" s="371" t="str">
        <f aca="false">IF((F165&lt;&gt;0),"Enter Letter"," ")</f>
        <v> </v>
      </c>
      <c r="G165" s="180" t="str">
        <f aca="false">IF((D165="d"),F165," ")</f>
        <v> </v>
      </c>
      <c r="H165" s="180" t="str">
        <f aca="false">IF((D165="h"),F165," ")</f>
        <v> </v>
      </c>
      <c r="I165" s="180" t="str">
        <f aca="false">IF((D165="r"),F165," ")</f>
        <v> </v>
      </c>
      <c r="J165" s="180" t="str">
        <f aca="false">IF((D165="t"),F165," ")</f>
        <v> </v>
      </c>
      <c r="K165" s="180" t="str">
        <f aca="false">IF((D165="e"),F165," ")</f>
        <v> </v>
      </c>
      <c r="L165" s="180" t="str">
        <f aca="false">IF((D165="p"),F165," ")</f>
        <v> </v>
      </c>
      <c r="M165" s="180" t="str">
        <f aca="false">IF((D165="g"),F165," ")</f>
        <v> </v>
      </c>
      <c r="N165" s="180" t="str">
        <f aca="false">IF((D165="a"),F165," ")</f>
        <v> </v>
      </c>
      <c r="O165" s="180" t="str">
        <f aca="false">IF((D165="l"),F165," ")</f>
        <v> </v>
      </c>
      <c r="P165" s="180" t="str">
        <f aca="false">IF((D165="i"),F165," ")</f>
        <v> </v>
      </c>
      <c r="Q165" s="180" t="str">
        <f aca="false">IF((D165="b"),F165," ")</f>
        <v> </v>
      </c>
      <c r="R165" s="180" t="str">
        <f aca="false">IF((D165="o"),F165," ")</f>
        <v> </v>
      </c>
      <c r="S165" s="180" t="str">
        <f aca="false">IF((D165="f"),F165," ")</f>
        <v> </v>
      </c>
      <c r="U165" s="371"/>
    </row>
    <row r="166" customFormat="false" ht="12.75" hidden="false" customHeight="false" outlineLevel="0" collapsed="false">
      <c r="D166" s="371" t="str">
        <f aca="false">IF((F166&lt;&gt;0),"Enter Letter"," ")</f>
        <v> </v>
      </c>
      <c r="G166" s="180" t="str">
        <f aca="false">IF((D166="d"),F166," ")</f>
        <v> </v>
      </c>
      <c r="H166" s="180" t="str">
        <f aca="false">IF((D166="h"),F166," ")</f>
        <v> </v>
      </c>
      <c r="I166" s="180" t="str">
        <f aca="false">IF((D166="r"),F166," ")</f>
        <v> </v>
      </c>
      <c r="J166" s="180" t="str">
        <f aca="false">IF((D166="t"),F166," ")</f>
        <v> </v>
      </c>
      <c r="K166" s="180" t="str">
        <f aca="false">IF((D166="e"),F166," ")</f>
        <v> </v>
      </c>
      <c r="L166" s="180" t="str">
        <f aca="false">IF((D166="p"),F166," ")</f>
        <v> </v>
      </c>
      <c r="M166" s="180" t="str">
        <f aca="false">IF((D166="g"),F166," ")</f>
        <v> </v>
      </c>
      <c r="N166" s="180" t="str">
        <f aca="false">IF((D166="a"),F166," ")</f>
        <v> </v>
      </c>
      <c r="O166" s="180" t="str">
        <f aca="false">IF((D166="l"),F166," ")</f>
        <v> </v>
      </c>
      <c r="P166" s="180" t="str">
        <f aca="false">IF((D166="i"),F166," ")</f>
        <v> </v>
      </c>
      <c r="Q166" s="180" t="str">
        <f aca="false">IF((D166="b"),F166," ")</f>
        <v> </v>
      </c>
      <c r="R166" s="180" t="str">
        <f aca="false">IF((D166="o"),F166," ")</f>
        <v> </v>
      </c>
      <c r="S166" s="180" t="str">
        <f aca="false">IF((D166="f"),F166," ")</f>
        <v> </v>
      </c>
      <c r="U166" s="371"/>
    </row>
    <row r="167" customFormat="false" ht="12.75" hidden="false" customHeight="false" outlineLevel="0" collapsed="false">
      <c r="D167" s="371" t="str">
        <f aca="false">IF((F167&lt;&gt;0),"Enter Letter"," ")</f>
        <v> </v>
      </c>
      <c r="G167" s="180" t="str">
        <f aca="false">IF((D167="d"),F167," ")</f>
        <v> </v>
      </c>
      <c r="H167" s="180" t="str">
        <f aca="false">IF((D167="h"),F167," ")</f>
        <v> </v>
      </c>
      <c r="I167" s="180" t="str">
        <f aca="false">IF((D167="r"),F167," ")</f>
        <v> </v>
      </c>
      <c r="J167" s="180" t="str">
        <f aca="false">IF((D167="t"),F167," ")</f>
        <v> </v>
      </c>
      <c r="K167" s="180" t="str">
        <f aca="false">IF((D167="e"),F167," ")</f>
        <v> </v>
      </c>
      <c r="L167" s="180" t="str">
        <f aca="false">IF((D167="p"),F167," ")</f>
        <v> </v>
      </c>
      <c r="M167" s="180" t="str">
        <f aca="false">IF((D167="g"),F167," ")</f>
        <v> </v>
      </c>
      <c r="N167" s="180" t="str">
        <f aca="false">IF((D167="a"),F167," ")</f>
        <v> </v>
      </c>
      <c r="O167" s="180" t="str">
        <f aca="false">IF((D167="l"),F167," ")</f>
        <v> </v>
      </c>
      <c r="P167" s="180" t="str">
        <f aca="false">IF((D167="i"),F167," ")</f>
        <v> </v>
      </c>
      <c r="Q167" s="180" t="str">
        <f aca="false">IF((D167="b"),F167," ")</f>
        <v> </v>
      </c>
      <c r="R167" s="180" t="str">
        <f aca="false">IF((D167="o"),F167," ")</f>
        <v> </v>
      </c>
      <c r="S167" s="180" t="str">
        <f aca="false">IF((D167="f"),F167," ")</f>
        <v> </v>
      </c>
      <c r="U167" s="371"/>
    </row>
    <row r="168" customFormat="false" ht="12.75" hidden="false" customHeight="false" outlineLevel="0" collapsed="false">
      <c r="D168" s="371" t="str">
        <f aca="false">IF((F168&lt;&gt;0),"Enter Letter"," ")</f>
        <v> </v>
      </c>
      <c r="G168" s="180" t="str">
        <f aca="false">IF((D168="d"),F168," ")</f>
        <v> </v>
      </c>
      <c r="H168" s="180" t="str">
        <f aca="false">IF((D168="h"),F168," ")</f>
        <v> </v>
      </c>
      <c r="I168" s="180" t="str">
        <f aca="false">IF((D168="r"),F168," ")</f>
        <v> </v>
      </c>
      <c r="J168" s="180" t="str">
        <f aca="false">IF((D168="t"),F168," ")</f>
        <v> </v>
      </c>
      <c r="K168" s="180" t="str">
        <f aca="false">IF((D168="e"),F168," ")</f>
        <v> </v>
      </c>
      <c r="L168" s="180" t="str">
        <f aca="false">IF((D168="p"),F168," ")</f>
        <v> </v>
      </c>
      <c r="M168" s="180" t="str">
        <f aca="false">IF((D168="g"),F168," ")</f>
        <v> </v>
      </c>
      <c r="N168" s="180" t="str">
        <f aca="false">IF((D168="a"),F168," ")</f>
        <v> </v>
      </c>
      <c r="O168" s="180" t="str">
        <f aca="false">IF((D168="l"),F168," ")</f>
        <v> </v>
      </c>
      <c r="P168" s="180" t="str">
        <f aca="false">IF((D168="i"),F168," ")</f>
        <v> </v>
      </c>
      <c r="Q168" s="180" t="str">
        <f aca="false">IF((D168="b"),F168," ")</f>
        <v> </v>
      </c>
      <c r="R168" s="180" t="str">
        <f aca="false">IF((D168="o"),F168," ")</f>
        <v> </v>
      </c>
      <c r="S168" s="180" t="str">
        <f aca="false">IF((D168="f"),F168," ")</f>
        <v> </v>
      </c>
      <c r="U168" s="371"/>
    </row>
    <row r="169" customFormat="false" ht="12.75" hidden="false" customHeight="false" outlineLevel="0" collapsed="false">
      <c r="D169" s="371" t="str">
        <f aca="false">IF((F169&lt;&gt;0),"Enter Letter"," ")</f>
        <v> </v>
      </c>
      <c r="G169" s="180" t="str">
        <f aca="false">IF((D169="d"),F169," ")</f>
        <v> </v>
      </c>
      <c r="H169" s="180" t="str">
        <f aca="false">IF((D169="h"),F169," ")</f>
        <v> </v>
      </c>
      <c r="I169" s="180" t="str">
        <f aca="false">IF((D169="r"),F169," ")</f>
        <v> </v>
      </c>
      <c r="J169" s="180" t="str">
        <f aca="false">IF((D169="t"),F169," ")</f>
        <v> </v>
      </c>
      <c r="K169" s="180" t="str">
        <f aca="false">IF((D169="e"),F169," ")</f>
        <v> </v>
      </c>
      <c r="L169" s="180" t="str">
        <f aca="false">IF((D169="p"),F169," ")</f>
        <v> </v>
      </c>
      <c r="M169" s="180" t="str">
        <f aca="false">IF((D169="g"),F169," ")</f>
        <v> </v>
      </c>
      <c r="N169" s="180" t="str">
        <f aca="false">IF((D169="a"),F169," ")</f>
        <v> </v>
      </c>
      <c r="O169" s="180" t="str">
        <f aca="false">IF((D169="l"),F169," ")</f>
        <v> </v>
      </c>
      <c r="P169" s="180" t="str">
        <f aca="false">IF((D169="i"),F169," ")</f>
        <v> </v>
      </c>
      <c r="Q169" s="180" t="str">
        <f aca="false">IF((D169="b"),F169," ")</f>
        <v> </v>
      </c>
      <c r="R169" s="180" t="str">
        <f aca="false">IF((D169="o"),F169," ")</f>
        <v> </v>
      </c>
      <c r="S169" s="180" t="str">
        <f aca="false">IF((D169="f"),F169," ")</f>
        <v> </v>
      </c>
      <c r="U169" s="371"/>
    </row>
    <row r="170" customFormat="false" ht="12.75" hidden="false" customHeight="false" outlineLevel="0" collapsed="false">
      <c r="D170" s="371" t="str">
        <f aca="false">IF((F170&lt;&gt;0),"Enter Letter"," ")</f>
        <v> </v>
      </c>
      <c r="G170" s="180" t="str">
        <f aca="false">IF((D170="d"),F170," ")</f>
        <v> </v>
      </c>
      <c r="H170" s="180" t="str">
        <f aca="false">IF((D170="h"),F170," ")</f>
        <v> </v>
      </c>
      <c r="I170" s="180" t="str">
        <f aca="false">IF((D170="r"),F170," ")</f>
        <v> </v>
      </c>
      <c r="J170" s="180" t="str">
        <f aca="false">IF((D170="t"),F170," ")</f>
        <v> </v>
      </c>
      <c r="K170" s="180" t="str">
        <f aca="false">IF((D170="e"),F170," ")</f>
        <v> </v>
      </c>
      <c r="L170" s="180" t="str">
        <f aca="false">IF((D170="p"),F170," ")</f>
        <v> </v>
      </c>
      <c r="M170" s="180" t="str">
        <f aca="false">IF((D170="g"),F170," ")</f>
        <v> </v>
      </c>
      <c r="N170" s="180" t="str">
        <f aca="false">IF((D170="a"),F170," ")</f>
        <v> </v>
      </c>
      <c r="O170" s="180" t="str">
        <f aca="false">IF((D170="l"),F170," ")</f>
        <v> </v>
      </c>
      <c r="P170" s="180" t="str">
        <f aca="false">IF((D170="i"),F170," ")</f>
        <v> </v>
      </c>
      <c r="Q170" s="180" t="str">
        <f aca="false">IF((D170="b"),F170," ")</f>
        <v> </v>
      </c>
      <c r="R170" s="180" t="str">
        <f aca="false">IF((D170="o"),F170," ")</f>
        <v> </v>
      </c>
      <c r="S170" s="180" t="str">
        <f aca="false">IF((D170="f"),F170," ")</f>
        <v> </v>
      </c>
      <c r="U170" s="371"/>
    </row>
    <row r="171" customFormat="false" ht="12.75" hidden="false" customHeight="false" outlineLevel="0" collapsed="false">
      <c r="D171" s="371" t="str">
        <f aca="false">IF((F171&lt;&gt;0),"Enter Letter"," ")</f>
        <v> </v>
      </c>
      <c r="G171" s="180" t="str">
        <f aca="false">IF((D171="d"),F171," ")</f>
        <v> </v>
      </c>
      <c r="H171" s="180" t="str">
        <f aca="false">IF((D171="h"),F171," ")</f>
        <v> </v>
      </c>
      <c r="I171" s="180" t="str">
        <f aca="false">IF((D171="r"),F171," ")</f>
        <v> </v>
      </c>
      <c r="J171" s="180" t="str">
        <f aca="false">IF((D171="t"),F171," ")</f>
        <v> </v>
      </c>
      <c r="K171" s="180" t="str">
        <f aca="false">IF((D171="e"),F171," ")</f>
        <v> </v>
      </c>
      <c r="L171" s="180" t="str">
        <f aca="false">IF((D171="p"),F171," ")</f>
        <v> </v>
      </c>
      <c r="M171" s="180" t="str">
        <f aca="false">IF((D171="g"),F171," ")</f>
        <v> </v>
      </c>
      <c r="N171" s="180" t="str">
        <f aca="false">IF((D171="a"),F171," ")</f>
        <v> </v>
      </c>
      <c r="O171" s="180" t="str">
        <f aca="false">IF((D171="l"),F171," ")</f>
        <v> </v>
      </c>
      <c r="P171" s="180" t="str">
        <f aca="false">IF((D171="i"),F171," ")</f>
        <v> </v>
      </c>
      <c r="Q171" s="180" t="str">
        <f aca="false">IF((D171="b"),F171," ")</f>
        <v> </v>
      </c>
      <c r="R171" s="180" t="str">
        <f aca="false">IF((D171="o"),F171," ")</f>
        <v> </v>
      </c>
      <c r="S171" s="180" t="str">
        <f aca="false">IF((D171="f"),F171," ")</f>
        <v> </v>
      </c>
      <c r="U171" s="371"/>
    </row>
    <row r="172" customFormat="false" ht="12.75" hidden="false" customHeight="false" outlineLevel="0" collapsed="false">
      <c r="D172" s="371" t="str">
        <f aca="false">IF((F172&lt;&gt;0),"Enter Letter"," ")</f>
        <v> </v>
      </c>
      <c r="G172" s="180" t="str">
        <f aca="false">IF((D172="d"),F172," ")</f>
        <v> </v>
      </c>
      <c r="H172" s="180" t="str">
        <f aca="false">IF((D172="h"),F172," ")</f>
        <v> </v>
      </c>
      <c r="I172" s="180" t="str">
        <f aca="false">IF((D172="r"),F172," ")</f>
        <v> </v>
      </c>
      <c r="J172" s="180" t="str">
        <f aca="false">IF((D172="t"),F172," ")</f>
        <v> </v>
      </c>
      <c r="K172" s="180" t="str">
        <f aca="false">IF((D172="e"),F172," ")</f>
        <v> </v>
      </c>
      <c r="L172" s="180" t="str">
        <f aca="false">IF((D172="p"),F172," ")</f>
        <v> </v>
      </c>
      <c r="M172" s="180" t="str">
        <f aca="false">IF((D172="g"),F172," ")</f>
        <v> </v>
      </c>
      <c r="N172" s="180" t="str">
        <f aca="false">IF((D172="a"),F172," ")</f>
        <v> </v>
      </c>
      <c r="O172" s="180" t="str">
        <f aca="false">IF((D172="l"),F172," ")</f>
        <v> </v>
      </c>
      <c r="P172" s="180" t="str">
        <f aca="false">IF((D172="i"),F172," ")</f>
        <v> </v>
      </c>
      <c r="Q172" s="180" t="str">
        <f aca="false">IF((D172="b"),F172," ")</f>
        <v> </v>
      </c>
      <c r="R172" s="180" t="str">
        <f aca="false">IF((D172="o"),F172," ")</f>
        <v> </v>
      </c>
      <c r="S172" s="180" t="str">
        <f aca="false">IF((D172="f"),F172," ")</f>
        <v> </v>
      </c>
      <c r="U172" s="371"/>
    </row>
    <row r="173" customFormat="false" ht="12.75" hidden="false" customHeight="false" outlineLevel="0" collapsed="false">
      <c r="D173" s="371" t="str">
        <f aca="false">IF((F173&lt;&gt;0),"Enter Letter"," ")</f>
        <v> </v>
      </c>
      <c r="G173" s="180" t="str">
        <f aca="false">IF((D173="d"),F173," ")</f>
        <v> </v>
      </c>
      <c r="H173" s="180" t="str">
        <f aca="false">IF((D173="h"),F173," ")</f>
        <v> </v>
      </c>
      <c r="I173" s="180" t="str">
        <f aca="false">IF((D173="r"),F173," ")</f>
        <v> </v>
      </c>
      <c r="J173" s="180" t="str">
        <f aca="false">IF((D173="t"),F173," ")</f>
        <v> </v>
      </c>
      <c r="K173" s="180" t="str">
        <f aca="false">IF((D173="e"),F173," ")</f>
        <v> </v>
      </c>
      <c r="L173" s="180" t="str">
        <f aca="false">IF((D173="p"),F173," ")</f>
        <v> </v>
      </c>
      <c r="M173" s="180" t="str">
        <f aca="false">IF((D173="g"),F173," ")</f>
        <v> </v>
      </c>
      <c r="N173" s="180" t="str">
        <f aca="false">IF((D173="a"),F173," ")</f>
        <v> </v>
      </c>
      <c r="O173" s="180" t="str">
        <f aca="false">IF((D173="l"),F173," ")</f>
        <v> </v>
      </c>
      <c r="P173" s="180" t="str">
        <f aca="false">IF((D173="i"),F173," ")</f>
        <v> </v>
      </c>
      <c r="Q173" s="180" t="str">
        <f aca="false">IF((D173="b"),F173," ")</f>
        <v> </v>
      </c>
      <c r="R173" s="180" t="str">
        <f aca="false">IF((D173="o"),F173," ")</f>
        <v> </v>
      </c>
      <c r="S173" s="180" t="str">
        <f aca="false">IF((D173="f"),F173," ")</f>
        <v> </v>
      </c>
      <c r="U173" s="371"/>
    </row>
    <row r="174" customFormat="false" ht="12.75" hidden="false" customHeight="false" outlineLevel="0" collapsed="false">
      <c r="D174" s="371" t="str">
        <f aca="false">IF((F174&lt;&gt;0),"Enter Letter"," ")</f>
        <v> </v>
      </c>
      <c r="G174" s="180" t="str">
        <f aca="false">IF((D174="d"),F174," ")</f>
        <v> </v>
      </c>
      <c r="H174" s="180" t="str">
        <f aca="false">IF((D174="h"),F174," ")</f>
        <v> </v>
      </c>
      <c r="I174" s="180" t="str">
        <f aca="false">IF((D174="r"),F174," ")</f>
        <v> </v>
      </c>
      <c r="J174" s="180" t="str">
        <f aca="false">IF((D174="t"),F174," ")</f>
        <v> </v>
      </c>
      <c r="K174" s="180" t="str">
        <f aca="false">IF((D174="e"),F174," ")</f>
        <v> </v>
      </c>
      <c r="L174" s="180" t="str">
        <f aca="false">IF((D174="p"),F174," ")</f>
        <v> </v>
      </c>
      <c r="M174" s="180" t="str">
        <f aca="false">IF((D174="g"),F174," ")</f>
        <v> </v>
      </c>
      <c r="N174" s="180" t="str">
        <f aca="false">IF((D174="a"),F174," ")</f>
        <v> </v>
      </c>
      <c r="O174" s="180" t="str">
        <f aca="false">IF((D174="l"),F174," ")</f>
        <v> </v>
      </c>
      <c r="P174" s="180" t="str">
        <f aca="false">IF((D174="i"),F174," ")</f>
        <v> </v>
      </c>
      <c r="Q174" s="180" t="str">
        <f aca="false">IF((D174="b"),F174," ")</f>
        <v> </v>
      </c>
      <c r="R174" s="180" t="str">
        <f aca="false">IF((D174="o"),F174," ")</f>
        <v> </v>
      </c>
      <c r="S174" s="180" t="str">
        <f aca="false">IF((D174="f"),F174," ")</f>
        <v> </v>
      </c>
      <c r="U174" s="371"/>
    </row>
    <row r="175" customFormat="false" ht="12.75" hidden="false" customHeight="false" outlineLevel="0" collapsed="false">
      <c r="D175" s="371" t="str">
        <f aca="false">IF((F175&lt;&gt;0),"Enter Letter"," ")</f>
        <v> </v>
      </c>
      <c r="G175" s="180" t="str">
        <f aca="false">IF((D175="d"),F175," ")</f>
        <v> </v>
      </c>
      <c r="H175" s="180" t="str">
        <f aca="false">IF((D175="h"),F175," ")</f>
        <v> </v>
      </c>
      <c r="I175" s="180" t="str">
        <f aca="false">IF((D175="r"),F175," ")</f>
        <v> </v>
      </c>
      <c r="J175" s="180" t="str">
        <f aca="false">IF((D175="t"),F175," ")</f>
        <v> </v>
      </c>
      <c r="K175" s="180" t="str">
        <f aca="false">IF((D175="e"),F175," ")</f>
        <v> </v>
      </c>
      <c r="L175" s="180" t="str">
        <f aca="false">IF((D175="p"),F175," ")</f>
        <v> </v>
      </c>
      <c r="M175" s="180" t="str">
        <f aca="false">IF((D175="g"),F175," ")</f>
        <v> </v>
      </c>
      <c r="N175" s="180" t="str">
        <f aca="false">IF((D175="a"),F175," ")</f>
        <v> </v>
      </c>
      <c r="O175" s="180" t="str">
        <f aca="false">IF((D175="l"),F175," ")</f>
        <v> </v>
      </c>
      <c r="P175" s="180" t="str">
        <f aca="false">IF((D175="i"),F175," ")</f>
        <v> </v>
      </c>
      <c r="Q175" s="180" t="str">
        <f aca="false">IF((D175="b"),F175," ")</f>
        <v> </v>
      </c>
      <c r="R175" s="180" t="str">
        <f aca="false">IF((D175="o"),F175," ")</f>
        <v> </v>
      </c>
      <c r="S175" s="180" t="str">
        <f aca="false">IF((D175="f"),F175," ")</f>
        <v> </v>
      </c>
      <c r="U175" s="371"/>
    </row>
    <row r="176" customFormat="false" ht="12.75" hidden="false" customHeight="false" outlineLevel="0" collapsed="false">
      <c r="D176" s="371" t="str">
        <f aca="false">IF((F176&lt;&gt;0),"Enter Letter"," ")</f>
        <v> </v>
      </c>
      <c r="G176" s="180" t="str">
        <f aca="false">IF((D176="d"),F176," ")</f>
        <v> </v>
      </c>
      <c r="H176" s="180" t="str">
        <f aca="false">IF((D176="h"),F176," ")</f>
        <v> </v>
      </c>
      <c r="I176" s="180" t="str">
        <f aca="false">IF((D176="r"),F176," ")</f>
        <v> </v>
      </c>
      <c r="J176" s="180" t="str">
        <f aca="false">IF((D176="t"),F176," ")</f>
        <v> </v>
      </c>
      <c r="K176" s="180" t="str">
        <f aca="false">IF((D176="e"),F176," ")</f>
        <v> </v>
      </c>
      <c r="L176" s="180" t="str">
        <f aca="false">IF((D176="p"),F176," ")</f>
        <v> </v>
      </c>
      <c r="M176" s="180" t="str">
        <f aca="false">IF((D176="g"),F176," ")</f>
        <v> </v>
      </c>
      <c r="N176" s="180" t="str">
        <f aca="false">IF((D176="a"),F176," ")</f>
        <v> </v>
      </c>
      <c r="O176" s="180" t="str">
        <f aca="false">IF((D176="l"),F176," ")</f>
        <v> </v>
      </c>
      <c r="P176" s="180" t="str">
        <f aca="false">IF((D176="i"),F176," ")</f>
        <v> </v>
      </c>
      <c r="Q176" s="180" t="str">
        <f aca="false">IF((D176="b"),F176," ")</f>
        <v> </v>
      </c>
      <c r="R176" s="180" t="str">
        <f aca="false">IF((D176="o"),F176," ")</f>
        <v> </v>
      </c>
      <c r="S176" s="180" t="str">
        <f aca="false">IF((D176="f"),F176," ")</f>
        <v> </v>
      </c>
      <c r="U176" s="371"/>
    </row>
    <row r="177" customFormat="false" ht="12.75" hidden="false" customHeight="false" outlineLevel="0" collapsed="false">
      <c r="D177" s="371" t="str">
        <f aca="false">IF((F177&lt;&gt;0),"Enter Letter"," ")</f>
        <v> </v>
      </c>
      <c r="G177" s="180" t="str">
        <f aca="false">IF((D177="d"),F177," ")</f>
        <v> </v>
      </c>
      <c r="H177" s="180" t="str">
        <f aca="false">IF((D177="h"),F177," ")</f>
        <v> </v>
      </c>
      <c r="I177" s="180" t="str">
        <f aca="false">IF((D177="r"),F177," ")</f>
        <v> </v>
      </c>
      <c r="J177" s="180" t="str">
        <f aca="false">IF((D177="t"),F177," ")</f>
        <v> </v>
      </c>
      <c r="K177" s="180" t="str">
        <f aca="false">IF((D177="e"),F177," ")</f>
        <v> </v>
      </c>
      <c r="L177" s="180" t="str">
        <f aca="false">IF((D177="p"),F177," ")</f>
        <v> </v>
      </c>
      <c r="M177" s="180" t="str">
        <f aca="false">IF((D177="g"),F177," ")</f>
        <v> </v>
      </c>
      <c r="N177" s="180" t="str">
        <f aca="false">IF((D177="a"),F177," ")</f>
        <v> </v>
      </c>
      <c r="O177" s="180" t="str">
        <f aca="false">IF((D177="l"),F177," ")</f>
        <v> </v>
      </c>
      <c r="P177" s="180" t="str">
        <f aca="false">IF((D177="i"),F177," ")</f>
        <v> </v>
      </c>
      <c r="Q177" s="180" t="str">
        <f aca="false">IF((D177="b"),F177," ")</f>
        <v> </v>
      </c>
      <c r="R177" s="180" t="str">
        <f aca="false">IF((D177="o"),F177," ")</f>
        <v> </v>
      </c>
      <c r="S177" s="180" t="str">
        <f aca="false">IF((D177="f"),F177," ")</f>
        <v> </v>
      </c>
      <c r="U177" s="371"/>
    </row>
    <row r="178" customFormat="false" ht="12.75" hidden="false" customHeight="false" outlineLevel="0" collapsed="false">
      <c r="D178" s="371" t="str">
        <f aca="false">IF((F178&lt;&gt;0),"Enter Letter"," ")</f>
        <v> </v>
      </c>
      <c r="G178" s="180" t="str">
        <f aca="false">IF((D178="d"),F178," ")</f>
        <v> </v>
      </c>
      <c r="H178" s="180" t="str">
        <f aca="false">IF((D178="h"),F178," ")</f>
        <v> </v>
      </c>
      <c r="I178" s="180" t="str">
        <f aca="false">IF((D178="r"),F178," ")</f>
        <v> </v>
      </c>
      <c r="J178" s="180" t="str">
        <f aca="false">IF((D178="t"),F178," ")</f>
        <v> </v>
      </c>
      <c r="K178" s="180" t="str">
        <f aca="false">IF((D178="e"),F178," ")</f>
        <v> </v>
      </c>
      <c r="L178" s="180" t="str">
        <f aca="false">IF((D178="p"),F178," ")</f>
        <v> </v>
      </c>
      <c r="M178" s="180" t="str">
        <f aca="false">IF((D178="g"),F178," ")</f>
        <v> </v>
      </c>
      <c r="N178" s="180" t="str">
        <f aca="false">IF((D178="a"),F178," ")</f>
        <v> </v>
      </c>
      <c r="O178" s="180" t="str">
        <f aca="false">IF((D178="l"),F178," ")</f>
        <v> </v>
      </c>
      <c r="P178" s="180" t="str">
        <f aca="false">IF((D178="i"),F178," ")</f>
        <v> </v>
      </c>
      <c r="Q178" s="180" t="str">
        <f aca="false">IF((D178="b"),F178," ")</f>
        <v> </v>
      </c>
      <c r="R178" s="180" t="str">
        <f aca="false">IF((D178="o"),F178," ")</f>
        <v> </v>
      </c>
      <c r="S178" s="180" t="str">
        <f aca="false">IF((D178="f"),F178," ")</f>
        <v> </v>
      </c>
      <c r="U178" s="371"/>
    </row>
    <row r="179" customFormat="false" ht="12.75" hidden="false" customHeight="false" outlineLevel="0" collapsed="false">
      <c r="D179" s="371" t="str">
        <f aca="false">IF((F179&lt;&gt;0),"Enter Letter"," ")</f>
        <v> </v>
      </c>
      <c r="G179" s="180" t="str">
        <f aca="false">IF((D179="d"),F179," ")</f>
        <v> </v>
      </c>
      <c r="H179" s="180" t="str">
        <f aca="false">IF((D179="h"),F179," ")</f>
        <v> </v>
      </c>
      <c r="I179" s="180" t="str">
        <f aca="false">IF((D179="r"),F179," ")</f>
        <v> </v>
      </c>
      <c r="J179" s="180" t="str">
        <f aca="false">IF((D179="t"),F179," ")</f>
        <v> </v>
      </c>
      <c r="K179" s="180" t="str">
        <f aca="false">IF((D179="e"),F179," ")</f>
        <v> </v>
      </c>
      <c r="L179" s="180" t="str">
        <f aca="false">IF((D179="p"),F179," ")</f>
        <v> </v>
      </c>
      <c r="M179" s="180" t="str">
        <f aca="false">IF((D179="g"),F179," ")</f>
        <v> </v>
      </c>
      <c r="N179" s="180" t="str">
        <f aca="false">IF((D179="a"),F179," ")</f>
        <v> </v>
      </c>
      <c r="O179" s="180" t="str">
        <f aca="false">IF((D179="l"),F179," ")</f>
        <v> </v>
      </c>
      <c r="P179" s="180" t="str">
        <f aca="false">IF((D179="i"),F179," ")</f>
        <v> </v>
      </c>
      <c r="Q179" s="180" t="str">
        <f aca="false">IF((D179="b"),F179," ")</f>
        <v> </v>
      </c>
      <c r="R179" s="180" t="str">
        <f aca="false">IF((D179="o"),F179," ")</f>
        <v> </v>
      </c>
      <c r="S179" s="180" t="str">
        <f aca="false">IF((D179="f"),F179," ")</f>
        <v> </v>
      </c>
      <c r="U179" s="371"/>
    </row>
    <row r="180" customFormat="false" ht="12.75" hidden="false" customHeight="false" outlineLevel="0" collapsed="false">
      <c r="D180" s="371" t="str">
        <f aca="false">IF((F180&lt;&gt;0),"Enter Letter"," ")</f>
        <v> </v>
      </c>
      <c r="G180" s="180" t="str">
        <f aca="false">IF((D180="d"),F180," ")</f>
        <v> </v>
      </c>
      <c r="H180" s="180" t="str">
        <f aca="false">IF((D180="h"),F180," ")</f>
        <v> </v>
      </c>
      <c r="I180" s="180" t="str">
        <f aca="false">IF((D180="r"),F180," ")</f>
        <v> </v>
      </c>
      <c r="J180" s="180" t="str">
        <f aca="false">IF((D180="t"),F180," ")</f>
        <v> </v>
      </c>
      <c r="K180" s="180" t="str">
        <f aca="false">IF((D180="e"),F180," ")</f>
        <v> </v>
      </c>
      <c r="L180" s="180" t="str">
        <f aca="false">IF((D180="p"),F180," ")</f>
        <v> </v>
      </c>
      <c r="M180" s="180" t="str">
        <f aca="false">IF((D180="g"),F180," ")</f>
        <v> </v>
      </c>
      <c r="N180" s="180" t="str">
        <f aca="false">IF((D180="a"),F180," ")</f>
        <v> </v>
      </c>
      <c r="O180" s="180" t="str">
        <f aca="false">IF((D180="l"),F180," ")</f>
        <v> </v>
      </c>
      <c r="P180" s="180" t="str">
        <f aca="false">IF((D180="i"),F180," ")</f>
        <v> </v>
      </c>
      <c r="Q180" s="180" t="str">
        <f aca="false">IF((D180="b"),F180," ")</f>
        <v> </v>
      </c>
      <c r="R180" s="180" t="str">
        <f aca="false">IF((D180="o"),F180," ")</f>
        <v> </v>
      </c>
      <c r="S180" s="180" t="str">
        <f aca="false">IF((D180="f"),F180," ")</f>
        <v> </v>
      </c>
      <c r="U180" s="371"/>
    </row>
    <row r="181" customFormat="false" ht="12.75" hidden="false" customHeight="false" outlineLevel="0" collapsed="false">
      <c r="D181" s="371" t="str">
        <f aca="false">IF((F181&lt;&gt;0),"Enter Letter"," ")</f>
        <v> </v>
      </c>
      <c r="G181" s="180" t="str">
        <f aca="false">IF((D181="d"),F181," ")</f>
        <v> </v>
      </c>
      <c r="H181" s="180" t="str">
        <f aca="false">IF((D181="h"),F181," ")</f>
        <v> </v>
      </c>
      <c r="I181" s="180" t="str">
        <f aca="false">IF((D181="r"),F181," ")</f>
        <v> </v>
      </c>
      <c r="J181" s="180" t="str">
        <f aca="false">IF((D181="t"),F181," ")</f>
        <v> </v>
      </c>
      <c r="K181" s="180" t="str">
        <f aca="false">IF((D181="e"),F181," ")</f>
        <v> </v>
      </c>
      <c r="L181" s="180" t="str">
        <f aca="false">IF((D181="p"),F181," ")</f>
        <v> </v>
      </c>
      <c r="M181" s="180" t="str">
        <f aca="false">IF((D181="g"),F181," ")</f>
        <v> </v>
      </c>
      <c r="N181" s="180" t="str">
        <f aca="false">IF((D181="a"),F181," ")</f>
        <v> </v>
      </c>
      <c r="O181" s="180" t="str">
        <f aca="false">IF((D181="l"),F181," ")</f>
        <v> </v>
      </c>
      <c r="P181" s="180" t="str">
        <f aca="false">IF((D181="i"),F181," ")</f>
        <v> </v>
      </c>
      <c r="Q181" s="180" t="str">
        <f aca="false">IF((D181="b"),F181," ")</f>
        <v> </v>
      </c>
      <c r="R181" s="180" t="str">
        <f aca="false">IF((D181="o"),F181," ")</f>
        <v> </v>
      </c>
      <c r="S181" s="180" t="str">
        <f aca="false">IF((D181="f"),F181," ")</f>
        <v> </v>
      </c>
      <c r="U181" s="371"/>
    </row>
    <row r="182" customFormat="false" ht="12.75" hidden="false" customHeight="false" outlineLevel="0" collapsed="false">
      <c r="D182" s="371" t="str">
        <f aca="false">IF((F182&lt;&gt;0),"Enter Letter"," ")</f>
        <v> </v>
      </c>
      <c r="G182" s="180" t="str">
        <f aca="false">IF((D182="d"),F182," ")</f>
        <v> </v>
      </c>
      <c r="H182" s="180" t="str">
        <f aca="false">IF((D182="h"),F182," ")</f>
        <v> </v>
      </c>
      <c r="I182" s="180" t="str">
        <f aca="false">IF((D182="r"),F182," ")</f>
        <v> </v>
      </c>
      <c r="J182" s="180" t="str">
        <f aca="false">IF((D182="t"),F182," ")</f>
        <v> </v>
      </c>
      <c r="K182" s="180" t="str">
        <f aca="false">IF((D182="e"),F182," ")</f>
        <v> </v>
      </c>
      <c r="L182" s="180" t="str">
        <f aca="false">IF((D182="p"),F182," ")</f>
        <v> </v>
      </c>
      <c r="M182" s="180" t="str">
        <f aca="false">IF((D182="g"),F182," ")</f>
        <v> </v>
      </c>
      <c r="N182" s="180" t="str">
        <f aca="false">IF((D182="a"),F182," ")</f>
        <v> </v>
      </c>
      <c r="O182" s="180" t="str">
        <f aca="false">IF((D182="l"),F182," ")</f>
        <v> </v>
      </c>
      <c r="P182" s="180" t="str">
        <f aca="false">IF((D182="i"),F182," ")</f>
        <v> </v>
      </c>
      <c r="Q182" s="180" t="str">
        <f aca="false">IF((D182="b"),F182," ")</f>
        <v> </v>
      </c>
      <c r="R182" s="180" t="str">
        <f aca="false">IF((D182="o"),F182," ")</f>
        <v> </v>
      </c>
      <c r="S182" s="180" t="str">
        <f aca="false">IF((D182="f"),F182," ")</f>
        <v> </v>
      </c>
      <c r="U182" s="371"/>
    </row>
    <row r="183" customFormat="false" ht="12.75" hidden="false" customHeight="false" outlineLevel="0" collapsed="false">
      <c r="D183" s="371" t="str">
        <f aca="false">IF((F183&lt;&gt;0),"Enter Letter"," ")</f>
        <v> </v>
      </c>
      <c r="G183" s="180" t="str">
        <f aca="false">IF((D183="d"),F183," ")</f>
        <v> </v>
      </c>
      <c r="H183" s="180" t="str">
        <f aca="false">IF((D183="h"),F183," ")</f>
        <v> </v>
      </c>
      <c r="I183" s="180" t="str">
        <f aca="false">IF((D183="r"),F183," ")</f>
        <v> </v>
      </c>
      <c r="J183" s="180" t="str">
        <f aca="false">IF((D183="t"),F183," ")</f>
        <v> </v>
      </c>
      <c r="K183" s="180" t="str">
        <f aca="false">IF((D183="e"),F183," ")</f>
        <v> </v>
      </c>
      <c r="L183" s="180" t="str">
        <f aca="false">IF((D183="p"),F183," ")</f>
        <v> </v>
      </c>
      <c r="M183" s="180" t="str">
        <f aca="false">IF((D183="g"),F183," ")</f>
        <v> </v>
      </c>
      <c r="N183" s="180" t="str">
        <f aca="false">IF((D183="a"),F183," ")</f>
        <v> </v>
      </c>
      <c r="O183" s="180" t="str">
        <f aca="false">IF((D183="l"),F183," ")</f>
        <v> </v>
      </c>
      <c r="P183" s="180" t="str">
        <f aca="false">IF((D183="i"),F183," ")</f>
        <v> </v>
      </c>
      <c r="Q183" s="180" t="str">
        <f aca="false">IF((D183="b"),F183," ")</f>
        <v> </v>
      </c>
      <c r="R183" s="180" t="str">
        <f aca="false">IF((D183="o"),F183," ")</f>
        <v> </v>
      </c>
      <c r="S183" s="180" t="str">
        <f aca="false">IF((D183="f"),F183," ")</f>
        <v> </v>
      </c>
      <c r="U183" s="371"/>
    </row>
    <row r="184" customFormat="false" ht="12.75" hidden="false" customHeight="false" outlineLevel="0" collapsed="false">
      <c r="D184" s="371" t="str">
        <f aca="false">IF((F184&lt;&gt;0),"Enter Letter"," ")</f>
        <v> </v>
      </c>
      <c r="G184" s="180" t="str">
        <f aca="false">IF((D184="d"),F184," ")</f>
        <v> </v>
      </c>
      <c r="H184" s="180" t="str">
        <f aca="false">IF((D184="h"),F184," ")</f>
        <v> </v>
      </c>
      <c r="I184" s="180" t="str">
        <f aca="false">IF((D184="r"),F184," ")</f>
        <v> </v>
      </c>
      <c r="J184" s="180" t="str">
        <f aca="false">IF((D184="t"),F184," ")</f>
        <v> </v>
      </c>
      <c r="K184" s="180" t="str">
        <f aca="false">IF((D184="e"),F184," ")</f>
        <v> </v>
      </c>
      <c r="L184" s="180" t="str">
        <f aca="false">IF((D184="p"),F184," ")</f>
        <v> </v>
      </c>
      <c r="M184" s="180" t="str">
        <f aca="false">IF((D184="g"),F184," ")</f>
        <v> </v>
      </c>
      <c r="N184" s="180" t="str">
        <f aca="false">IF((D184="a"),F184," ")</f>
        <v> </v>
      </c>
      <c r="O184" s="180" t="str">
        <f aca="false">IF((D184="l"),F184," ")</f>
        <v> </v>
      </c>
      <c r="P184" s="180" t="str">
        <f aca="false">IF((D184="i"),F184," ")</f>
        <v> </v>
      </c>
      <c r="Q184" s="180" t="str">
        <f aca="false">IF((D184="b"),F184," ")</f>
        <v> </v>
      </c>
      <c r="R184" s="180" t="str">
        <f aca="false">IF((D184="o"),F184," ")</f>
        <v> </v>
      </c>
      <c r="S184" s="180" t="str">
        <f aca="false">IF((D184="f"),F184," ")</f>
        <v> </v>
      </c>
      <c r="U184" s="371"/>
    </row>
    <row r="185" customFormat="false" ht="12.75" hidden="false" customHeight="false" outlineLevel="0" collapsed="false">
      <c r="D185" s="371" t="str">
        <f aca="false">IF((F185&lt;&gt;0),"Enter Letter"," ")</f>
        <v> </v>
      </c>
      <c r="G185" s="180" t="str">
        <f aca="false">IF((D185="d"),F185," ")</f>
        <v> </v>
      </c>
      <c r="H185" s="180" t="str">
        <f aca="false">IF((D185="h"),F185," ")</f>
        <v> </v>
      </c>
      <c r="I185" s="180" t="str">
        <f aca="false">IF((D185="r"),F185," ")</f>
        <v> </v>
      </c>
      <c r="J185" s="180" t="str">
        <f aca="false">IF((D185="t"),F185," ")</f>
        <v> </v>
      </c>
      <c r="K185" s="180" t="str">
        <f aca="false">IF((D185="e"),F185," ")</f>
        <v> </v>
      </c>
      <c r="L185" s="180" t="str">
        <f aca="false">IF((D185="p"),F185," ")</f>
        <v> </v>
      </c>
      <c r="M185" s="180" t="str">
        <f aca="false">IF((D185="g"),F185," ")</f>
        <v> </v>
      </c>
      <c r="N185" s="180" t="str">
        <f aca="false">IF((D185="a"),F185," ")</f>
        <v> </v>
      </c>
      <c r="O185" s="180" t="str">
        <f aca="false">IF((D185="l"),F185," ")</f>
        <v> </v>
      </c>
      <c r="P185" s="180" t="str">
        <f aca="false">IF((D185="i"),F185," ")</f>
        <v> </v>
      </c>
      <c r="Q185" s="180" t="str">
        <f aca="false">IF((D185="b"),F185," ")</f>
        <v> </v>
      </c>
      <c r="R185" s="180" t="str">
        <f aca="false">IF((D185="o"),F185," ")</f>
        <v> </v>
      </c>
      <c r="S185" s="180" t="str">
        <f aca="false">IF((D185="f"),F185," ")</f>
        <v> </v>
      </c>
      <c r="U185" s="371"/>
    </row>
    <row r="186" customFormat="false" ht="12.75" hidden="false" customHeight="false" outlineLevel="0" collapsed="false">
      <c r="D186" s="371" t="str">
        <f aca="false">IF((F186&lt;&gt;0),"Enter Letter"," ")</f>
        <v> </v>
      </c>
      <c r="G186" s="180" t="str">
        <f aca="false">IF((D186="d"),F186," ")</f>
        <v> </v>
      </c>
      <c r="H186" s="180" t="str">
        <f aca="false">IF((D186="h"),F186," ")</f>
        <v> </v>
      </c>
      <c r="I186" s="180" t="str">
        <f aca="false">IF((D186="r"),F186," ")</f>
        <v> </v>
      </c>
      <c r="J186" s="180" t="str">
        <f aca="false">IF((D186="t"),F186," ")</f>
        <v> </v>
      </c>
      <c r="K186" s="180" t="str">
        <f aca="false">IF((D186="e"),F186," ")</f>
        <v> </v>
      </c>
      <c r="L186" s="180" t="str">
        <f aca="false">IF((D186="p"),F186," ")</f>
        <v> </v>
      </c>
      <c r="M186" s="180" t="str">
        <f aca="false">IF((D186="g"),F186," ")</f>
        <v> </v>
      </c>
      <c r="N186" s="180" t="str">
        <f aca="false">IF((D186="a"),F186," ")</f>
        <v> </v>
      </c>
      <c r="O186" s="180" t="str">
        <f aca="false">IF((D186="l"),F186," ")</f>
        <v> </v>
      </c>
      <c r="P186" s="180" t="str">
        <f aca="false">IF((D186="i"),F186," ")</f>
        <v> </v>
      </c>
      <c r="Q186" s="180" t="str">
        <f aca="false">IF((D186="b"),F186," ")</f>
        <v> </v>
      </c>
      <c r="R186" s="180" t="str">
        <f aca="false">IF((D186="o"),F186," ")</f>
        <v> </v>
      </c>
      <c r="S186" s="180" t="str">
        <f aca="false">IF((D186="f"),F186," ")</f>
        <v> </v>
      </c>
      <c r="U186" s="371"/>
    </row>
    <row r="187" customFormat="false" ht="12.75" hidden="false" customHeight="false" outlineLevel="0" collapsed="false">
      <c r="D187" s="371" t="str">
        <f aca="false">IF((F187&lt;&gt;0),"Enter Letter"," ")</f>
        <v> </v>
      </c>
      <c r="G187" s="180" t="str">
        <f aca="false">IF((D187="d"),F187," ")</f>
        <v> </v>
      </c>
      <c r="H187" s="180" t="str">
        <f aca="false">IF((D187="h"),F187," ")</f>
        <v> </v>
      </c>
      <c r="I187" s="180" t="str">
        <f aca="false">IF((D187="r"),F187," ")</f>
        <v> </v>
      </c>
      <c r="J187" s="180" t="str">
        <f aca="false">IF((D187="t"),F187," ")</f>
        <v> </v>
      </c>
      <c r="K187" s="180" t="str">
        <f aca="false">IF((D187="e"),F187," ")</f>
        <v> </v>
      </c>
      <c r="L187" s="180" t="str">
        <f aca="false">IF((D187="p"),F187," ")</f>
        <v> </v>
      </c>
      <c r="M187" s="180" t="str">
        <f aca="false">IF((D187="g"),F187," ")</f>
        <v> </v>
      </c>
      <c r="N187" s="180" t="str">
        <f aca="false">IF((D187="a"),F187," ")</f>
        <v> </v>
      </c>
      <c r="O187" s="180" t="str">
        <f aca="false">IF((D187="l"),F187," ")</f>
        <v> </v>
      </c>
      <c r="P187" s="180" t="str">
        <f aca="false">IF((D187="i"),F187," ")</f>
        <v> </v>
      </c>
      <c r="Q187" s="180" t="str">
        <f aca="false">IF((D187="b"),F187," ")</f>
        <v> </v>
      </c>
      <c r="R187" s="180" t="str">
        <f aca="false">IF((D187="o"),F187," ")</f>
        <v> </v>
      </c>
      <c r="S187" s="180" t="str">
        <f aca="false">IF((D187="f"),F187," ")</f>
        <v> </v>
      </c>
      <c r="U187" s="371"/>
    </row>
    <row r="188" customFormat="false" ht="12.75" hidden="false" customHeight="false" outlineLevel="0" collapsed="false">
      <c r="D188" s="371" t="str">
        <f aca="false">IF((F188&lt;&gt;0),"Enter Letter"," ")</f>
        <v> </v>
      </c>
      <c r="G188" s="180" t="str">
        <f aca="false">IF((D188="d"),F188," ")</f>
        <v> </v>
      </c>
      <c r="H188" s="180" t="str">
        <f aca="false">IF((D188="h"),F188," ")</f>
        <v> </v>
      </c>
      <c r="I188" s="180" t="str">
        <f aca="false">IF((D188="r"),F188," ")</f>
        <v> </v>
      </c>
      <c r="J188" s="180" t="str">
        <f aca="false">IF((D188="t"),F188," ")</f>
        <v> </v>
      </c>
      <c r="K188" s="180" t="str">
        <f aca="false">IF((D188="e"),F188," ")</f>
        <v> </v>
      </c>
      <c r="L188" s="180" t="str">
        <f aca="false">IF((D188="p"),F188," ")</f>
        <v> </v>
      </c>
      <c r="M188" s="180" t="str">
        <f aca="false">IF((D188="g"),F188," ")</f>
        <v> </v>
      </c>
      <c r="N188" s="180" t="str">
        <f aca="false">IF((D188="a"),F188," ")</f>
        <v> </v>
      </c>
      <c r="O188" s="180" t="str">
        <f aca="false">IF((D188="l"),F188," ")</f>
        <v> </v>
      </c>
      <c r="P188" s="180" t="str">
        <f aca="false">IF((D188="i"),F188," ")</f>
        <v> </v>
      </c>
      <c r="Q188" s="180" t="str">
        <f aca="false">IF((D188="b"),F188," ")</f>
        <v> </v>
      </c>
      <c r="R188" s="180" t="str">
        <f aca="false">IF((D188="o"),F188," ")</f>
        <v> </v>
      </c>
      <c r="S188" s="180" t="str">
        <f aca="false">IF((D188="f"),F188," ")</f>
        <v> </v>
      </c>
      <c r="U188" s="371"/>
    </row>
    <row r="189" customFormat="false" ht="12.75" hidden="false" customHeight="false" outlineLevel="0" collapsed="false">
      <c r="D189" s="371" t="str">
        <f aca="false">IF((F189&lt;&gt;0),"Enter Letter"," ")</f>
        <v> </v>
      </c>
      <c r="G189" s="180" t="str">
        <f aca="false">IF((D189="d"),F189," ")</f>
        <v> </v>
      </c>
      <c r="H189" s="180" t="str">
        <f aca="false">IF((D189="h"),F189," ")</f>
        <v> </v>
      </c>
      <c r="I189" s="180" t="str">
        <f aca="false">IF((D189="r"),F189," ")</f>
        <v> </v>
      </c>
      <c r="J189" s="180" t="str">
        <f aca="false">IF((D189="t"),F189," ")</f>
        <v> </v>
      </c>
      <c r="K189" s="180" t="str">
        <f aca="false">IF((D189="e"),F189," ")</f>
        <v> </v>
      </c>
      <c r="L189" s="180" t="str">
        <f aca="false">IF((D189="p"),F189," ")</f>
        <v> </v>
      </c>
      <c r="M189" s="180" t="str">
        <f aca="false">IF((D189="g"),F189," ")</f>
        <v> </v>
      </c>
      <c r="N189" s="180" t="str">
        <f aca="false">IF((D189="a"),F189," ")</f>
        <v> </v>
      </c>
      <c r="O189" s="180" t="str">
        <f aca="false">IF((D189="l"),F189," ")</f>
        <v> </v>
      </c>
      <c r="P189" s="180" t="str">
        <f aca="false">IF((D189="i"),F189," ")</f>
        <v> </v>
      </c>
      <c r="Q189" s="180" t="str">
        <f aca="false">IF((D189="b"),F189," ")</f>
        <v> </v>
      </c>
      <c r="R189" s="180" t="str">
        <f aca="false">IF((D189="o"),F189," ")</f>
        <v> </v>
      </c>
      <c r="S189" s="180" t="str">
        <f aca="false">IF((D189="f"),F189," ")</f>
        <v> </v>
      </c>
      <c r="U189" s="371"/>
    </row>
    <row r="190" customFormat="false" ht="12.75" hidden="false" customHeight="false" outlineLevel="0" collapsed="false">
      <c r="D190" s="371" t="str">
        <f aca="false">IF((F190&lt;&gt;0),"Enter Letter"," ")</f>
        <v> </v>
      </c>
      <c r="G190" s="180" t="str">
        <f aca="false">IF((D190="d"),F190," ")</f>
        <v> </v>
      </c>
      <c r="H190" s="180" t="str">
        <f aca="false">IF((D190="h"),F190," ")</f>
        <v> </v>
      </c>
      <c r="I190" s="180" t="str">
        <f aca="false">IF((D190="r"),F190," ")</f>
        <v> </v>
      </c>
      <c r="J190" s="180" t="str">
        <f aca="false">IF((D190="t"),F190," ")</f>
        <v> </v>
      </c>
      <c r="K190" s="180" t="str">
        <f aca="false">IF((D190="e"),F190," ")</f>
        <v> </v>
      </c>
      <c r="L190" s="180" t="str">
        <f aca="false">IF((D190="p"),F190," ")</f>
        <v> </v>
      </c>
      <c r="M190" s="180" t="str">
        <f aca="false">IF((D190="g"),F190," ")</f>
        <v> </v>
      </c>
      <c r="N190" s="180" t="str">
        <f aca="false">IF((D190="a"),F190," ")</f>
        <v> </v>
      </c>
      <c r="O190" s="180" t="str">
        <f aca="false">IF((D190="l"),F190," ")</f>
        <v> </v>
      </c>
      <c r="P190" s="180" t="str">
        <f aca="false">IF((D190="i"),F190," ")</f>
        <v> </v>
      </c>
      <c r="Q190" s="180" t="str">
        <f aca="false">IF((D190="b"),F190," ")</f>
        <v> </v>
      </c>
      <c r="R190" s="180" t="str">
        <f aca="false">IF((D190="o"),F190," ")</f>
        <v> </v>
      </c>
      <c r="S190" s="180" t="str">
        <f aca="false">IF((D190="f"),F190," ")</f>
        <v> </v>
      </c>
      <c r="U190" s="371"/>
    </row>
    <row r="191" customFormat="false" ht="12.75" hidden="false" customHeight="false" outlineLevel="0" collapsed="false">
      <c r="D191" s="371" t="str">
        <f aca="false">IF((F191&lt;&gt;0),"Enter Letter"," ")</f>
        <v> </v>
      </c>
      <c r="G191" s="180" t="str">
        <f aca="false">IF((D191="d"),F191," ")</f>
        <v> </v>
      </c>
      <c r="H191" s="180" t="str">
        <f aca="false">IF((D191="h"),F191," ")</f>
        <v> </v>
      </c>
      <c r="I191" s="180" t="str">
        <f aca="false">IF((D191="r"),F191," ")</f>
        <v> </v>
      </c>
      <c r="J191" s="180" t="str">
        <f aca="false">IF((D191="t"),F191," ")</f>
        <v> </v>
      </c>
      <c r="K191" s="180" t="str">
        <f aca="false">IF((D191="e"),F191," ")</f>
        <v> </v>
      </c>
      <c r="L191" s="180" t="str">
        <f aca="false">IF((D191="p"),F191," ")</f>
        <v> </v>
      </c>
      <c r="M191" s="180" t="str">
        <f aca="false">IF((D191="g"),F191," ")</f>
        <v> </v>
      </c>
      <c r="N191" s="180" t="str">
        <f aca="false">IF((D191="a"),F191," ")</f>
        <v> </v>
      </c>
      <c r="O191" s="180" t="str">
        <f aca="false">IF((D191="l"),F191," ")</f>
        <v> </v>
      </c>
      <c r="P191" s="180" t="str">
        <f aca="false">IF((D191="i"),F191," ")</f>
        <v> </v>
      </c>
      <c r="Q191" s="180" t="str">
        <f aca="false">IF((D191="b"),F191," ")</f>
        <v> </v>
      </c>
      <c r="R191" s="180" t="str">
        <f aca="false">IF((D191="o"),F191," ")</f>
        <v> </v>
      </c>
      <c r="S191" s="180" t="str">
        <f aca="false">IF((D191="f"),F191," ")</f>
        <v> </v>
      </c>
      <c r="U191" s="371"/>
    </row>
    <row r="192" customFormat="false" ht="12.75" hidden="false" customHeight="false" outlineLevel="0" collapsed="false">
      <c r="D192" s="371" t="str">
        <f aca="false">IF((F192&lt;&gt;0),"Enter Letter"," ")</f>
        <v> </v>
      </c>
      <c r="G192" s="180" t="str">
        <f aca="false">IF((D192="d"),F192," ")</f>
        <v> </v>
      </c>
      <c r="H192" s="180" t="str">
        <f aca="false">IF((D192="h"),F192," ")</f>
        <v> </v>
      </c>
      <c r="I192" s="180" t="str">
        <f aca="false">IF((D192="r"),F192," ")</f>
        <v> </v>
      </c>
      <c r="J192" s="180" t="str">
        <f aca="false">IF((D192="t"),F192," ")</f>
        <v> </v>
      </c>
      <c r="K192" s="180" t="str">
        <f aca="false">IF((D192="e"),F192," ")</f>
        <v> </v>
      </c>
      <c r="L192" s="180" t="str">
        <f aca="false">IF((D192="p"),F192," ")</f>
        <v> </v>
      </c>
      <c r="M192" s="180" t="str">
        <f aca="false">IF((D192="g"),F192," ")</f>
        <v> </v>
      </c>
      <c r="N192" s="180" t="str">
        <f aca="false">IF((D192="a"),F192," ")</f>
        <v> </v>
      </c>
      <c r="O192" s="180" t="str">
        <f aca="false">IF((D192="l"),F192," ")</f>
        <v> </v>
      </c>
      <c r="P192" s="180" t="str">
        <f aca="false">IF((D192="i"),F192," ")</f>
        <v> </v>
      </c>
      <c r="Q192" s="180" t="str">
        <f aca="false">IF((D192="b"),F192," ")</f>
        <v> </v>
      </c>
      <c r="R192" s="180" t="str">
        <f aca="false">IF((D192="o"),F192," ")</f>
        <v> </v>
      </c>
      <c r="S192" s="180" t="str">
        <f aca="false">IF((D192="f"),F192," ")</f>
        <v> </v>
      </c>
      <c r="U192" s="371"/>
    </row>
    <row r="193" customFormat="false" ht="12.75" hidden="false" customHeight="false" outlineLevel="0" collapsed="false">
      <c r="D193" s="371" t="str">
        <f aca="false">IF((F193&lt;&gt;0),"Enter Letter"," ")</f>
        <v> </v>
      </c>
      <c r="G193" s="180" t="str">
        <f aca="false">IF((D193="d"),F193," ")</f>
        <v> </v>
      </c>
      <c r="H193" s="180" t="str">
        <f aca="false">IF((D193="h"),F193," ")</f>
        <v> </v>
      </c>
      <c r="I193" s="180" t="str">
        <f aca="false">IF((D193="r"),F193," ")</f>
        <v> </v>
      </c>
      <c r="J193" s="180" t="str">
        <f aca="false">IF((D193="t"),F193," ")</f>
        <v> </v>
      </c>
      <c r="K193" s="180" t="str">
        <f aca="false">IF((D193="e"),F193," ")</f>
        <v> </v>
      </c>
      <c r="L193" s="180" t="str">
        <f aca="false">IF((D193="p"),F193," ")</f>
        <v> </v>
      </c>
      <c r="M193" s="180" t="str">
        <f aca="false">IF((D193="g"),F193," ")</f>
        <v> </v>
      </c>
      <c r="N193" s="180" t="str">
        <f aca="false">IF((D193="a"),F193," ")</f>
        <v> </v>
      </c>
      <c r="O193" s="180" t="str">
        <f aca="false">IF((D193="l"),F193," ")</f>
        <v> </v>
      </c>
      <c r="P193" s="180" t="str">
        <f aca="false">IF((D193="i"),F193," ")</f>
        <v> </v>
      </c>
      <c r="Q193" s="180" t="str">
        <f aca="false">IF((D193="b"),F193," ")</f>
        <v> </v>
      </c>
      <c r="R193" s="180" t="str">
        <f aca="false">IF((D193="o"),F193," ")</f>
        <v> </v>
      </c>
      <c r="S193" s="180" t="str">
        <f aca="false">IF((D193="f"),F193," ")</f>
        <v> </v>
      </c>
      <c r="U193" s="371"/>
    </row>
    <row r="194" customFormat="false" ht="12.75" hidden="false" customHeight="false" outlineLevel="0" collapsed="false">
      <c r="D194" s="371" t="str">
        <f aca="false">IF((F194&lt;&gt;0),"Enter Letter"," ")</f>
        <v> </v>
      </c>
      <c r="G194" s="180" t="str">
        <f aca="false">IF((D194="d"),F194," ")</f>
        <v> </v>
      </c>
      <c r="H194" s="180" t="str">
        <f aca="false">IF((D194="h"),F194," ")</f>
        <v> </v>
      </c>
      <c r="I194" s="180" t="str">
        <f aca="false">IF((D194="r"),F194," ")</f>
        <v> </v>
      </c>
      <c r="J194" s="180" t="str">
        <f aca="false">IF((D194="t"),F194," ")</f>
        <v> </v>
      </c>
      <c r="K194" s="180" t="str">
        <f aca="false">IF((D194="e"),F194," ")</f>
        <v> </v>
      </c>
      <c r="L194" s="180" t="str">
        <f aca="false">IF((D194="p"),F194," ")</f>
        <v> </v>
      </c>
      <c r="M194" s="180" t="str">
        <f aca="false">IF((D194="g"),F194," ")</f>
        <v> </v>
      </c>
      <c r="N194" s="180" t="str">
        <f aca="false">IF((D194="a"),F194," ")</f>
        <v> </v>
      </c>
      <c r="O194" s="180" t="str">
        <f aca="false">IF((D194="l"),F194," ")</f>
        <v> </v>
      </c>
      <c r="P194" s="180" t="str">
        <f aca="false">IF((D194="i"),F194," ")</f>
        <v> </v>
      </c>
      <c r="Q194" s="180" t="str">
        <f aca="false">IF((D194="b"),F194," ")</f>
        <v> </v>
      </c>
      <c r="R194" s="180" t="str">
        <f aca="false">IF((D194="o"),F194," ")</f>
        <v> </v>
      </c>
      <c r="S194" s="180" t="str">
        <f aca="false">IF((D194="f"),F194," ")</f>
        <v> </v>
      </c>
      <c r="U194" s="371"/>
    </row>
    <row r="195" customFormat="false" ht="12.75" hidden="false" customHeight="false" outlineLevel="0" collapsed="false">
      <c r="D195" s="371" t="str">
        <f aca="false">IF((F195&lt;&gt;0),"Enter Letter"," ")</f>
        <v> </v>
      </c>
      <c r="G195" s="180" t="str">
        <f aca="false">IF((D195="d"),F195," ")</f>
        <v> </v>
      </c>
      <c r="H195" s="180" t="str">
        <f aca="false">IF((D195="h"),F195," ")</f>
        <v> </v>
      </c>
      <c r="I195" s="180" t="str">
        <f aca="false">IF((D195="r"),F195," ")</f>
        <v> </v>
      </c>
      <c r="J195" s="180" t="str">
        <f aca="false">IF((D195="t"),F195," ")</f>
        <v> </v>
      </c>
      <c r="K195" s="180" t="str">
        <f aca="false">IF((D195="e"),F195," ")</f>
        <v> </v>
      </c>
      <c r="L195" s="180" t="str">
        <f aca="false">IF((D195="p"),F195," ")</f>
        <v> </v>
      </c>
      <c r="M195" s="180" t="str">
        <f aca="false">IF((D195="g"),F195," ")</f>
        <v> </v>
      </c>
      <c r="N195" s="180" t="str">
        <f aca="false">IF((D195="a"),F195," ")</f>
        <v> </v>
      </c>
      <c r="O195" s="180" t="str">
        <f aca="false">IF((D195="l"),F195," ")</f>
        <v> </v>
      </c>
      <c r="P195" s="180" t="str">
        <f aca="false">IF((D195="i"),F195," ")</f>
        <v> </v>
      </c>
      <c r="Q195" s="180" t="str">
        <f aca="false">IF((D195="b"),F195," ")</f>
        <v> </v>
      </c>
      <c r="R195" s="180" t="str">
        <f aca="false">IF((D195="o"),F195," ")</f>
        <v> </v>
      </c>
      <c r="S195" s="180" t="str">
        <f aca="false">IF((D195="f"),F195," ")</f>
        <v> </v>
      </c>
      <c r="U195" s="371"/>
    </row>
    <row r="196" customFormat="false" ht="12.75" hidden="false" customHeight="false" outlineLevel="0" collapsed="false">
      <c r="D196" s="371" t="str">
        <f aca="false">IF((F196&lt;&gt;0),"Enter Letter"," ")</f>
        <v> </v>
      </c>
      <c r="G196" s="180" t="str">
        <f aca="false">IF((D196="d"),F196," ")</f>
        <v> </v>
      </c>
      <c r="H196" s="180" t="str">
        <f aca="false">IF((D196="h"),F196," ")</f>
        <v> </v>
      </c>
      <c r="I196" s="180" t="str">
        <f aca="false">IF((D196="r"),F196," ")</f>
        <v> </v>
      </c>
      <c r="J196" s="180" t="str">
        <f aca="false">IF((D196="t"),F196," ")</f>
        <v> </v>
      </c>
      <c r="K196" s="180" t="str">
        <f aca="false">IF((D196="e"),F196," ")</f>
        <v> </v>
      </c>
      <c r="L196" s="180" t="str">
        <f aca="false">IF((D196="p"),F196," ")</f>
        <v> </v>
      </c>
      <c r="M196" s="180" t="str">
        <f aca="false">IF((D196="g"),F196," ")</f>
        <v> </v>
      </c>
      <c r="N196" s="180" t="str">
        <f aca="false">IF((D196="a"),F196," ")</f>
        <v> </v>
      </c>
      <c r="O196" s="180" t="str">
        <f aca="false">IF((D196="l"),F196," ")</f>
        <v> </v>
      </c>
      <c r="P196" s="180" t="str">
        <f aca="false">IF((D196="i"),F196," ")</f>
        <v> </v>
      </c>
      <c r="Q196" s="180" t="str">
        <f aca="false">IF((D196="b"),F196," ")</f>
        <v> </v>
      </c>
      <c r="R196" s="180" t="str">
        <f aca="false">IF((D196="o"),F196," ")</f>
        <v> </v>
      </c>
      <c r="S196" s="180" t="str">
        <f aca="false">IF((D196="f"),F196," ")</f>
        <v> </v>
      </c>
      <c r="U196" s="371"/>
    </row>
    <row r="197" customFormat="false" ht="12.75" hidden="false" customHeight="false" outlineLevel="0" collapsed="false">
      <c r="D197" s="371" t="str">
        <f aca="false">IF((F197&lt;&gt;0),"Enter Letter"," ")</f>
        <v> </v>
      </c>
      <c r="G197" s="180" t="str">
        <f aca="false">IF((D197="d"),F197," ")</f>
        <v> </v>
      </c>
      <c r="H197" s="180" t="str">
        <f aca="false">IF((D197="h"),F197," ")</f>
        <v> </v>
      </c>
      <c r="I197" s="180" t="str">
        <f aca="false">IF((D197="r"),F197," ")</f>
        <v> </v>
      </c>
      <c r="J197" s="180" t="str">
        <f aca="false">IF((D197="t"),F197," ")</f>
        <v> </v>
      </c>
      <c r="K197" s="180" t="str">
        <f aca="false">IF((D197="e"),F197," ")</f>
        <v> </v>
      </c>
      <c r="L197" s="180" t="str">
        <f aca="false">IF((D197="p"),F197," ")</f>
        <v> </v>
      </c>
      <c r="M197" s="180" t="str">
        <f aca="false">IF((D197="g"),F197," ")</f>
        <v> </v>
      </c>
      <c r="N197" s="180" t="str">
        <f aca="false">IF((D197="a"),F197," ")</f>
        <v> </v>
      </c>
      <c r="O197" s="180" t="str">
        <f aca="false">IF((D197="l"),F197," ")</f>
        <v> </v>
      </c>
      <c r="P197" s="180" t="str">
        <f aca="false">IF((D197="i"),F197," ")</f>
        <v> </v>
      </c>
      <c r="Q197" s="180" t="str">
        <f aca="false">IF((D197="b"),F197," ")</f>
        <v> </v>
      </c>
      <c r="R197" s="180" t="str">
        <f aca="false">IF((D197="o"),F197," ")</f>
        <v> </v>
      </c>
      <c r="S197" s="180" t="str">
        <f aca="false">IF((D197="f"),F197," ")</f>
        <v> </v>
      </c>
      <c r="U197" s="371"/>
    </row>
    <row r="198" customFormat="false" ht="12.75" hidden="false" customHeight="false" outlineLevel="0" collapsed="false">
      <c r="D198" s="371" t="str">
        <f aca="false">IF((F198&lt;&gt;0),"Enter Letter"," ")</f>
        <v> </v>
      </c>
      <c r="G198" s="180" t="str">
        <f aca="false">IF((D198="d"),F198," ")</f>
        <v> </v>
      </c>
      <c r="H198" s="180" t="str">
        <f aca="false">IF((D198="h"),F198," ")</f>
        <v> </v>
      </c>
      <c r="I198" s="180" t="str">
        <f aca="false">IF((D198="r"),F198," ")</f>
        <v> </v>
      </c>
      <c r="J198" s="180" t="str">
        <f aca="false">IF((D198="t"),F198," ")</f>
        <v> </v>
      </c>
      <c r="K198" s="180" t="str">
        <f aca="false">IF((D198="e"),F198," ")</f>
        <v> </v>
      </c>
      <c r="L198" s="180" t="str">
        <f aca="false">IF((D198="p"),F198," ")</f>
        <v> </v>
      </c>
      <c r="M198" s="180" t="str">
        <f aca="false">IF((D198="g"),F198," ")</f>
        <v> </v>
      </c>
      <c r="N198" s="180" t="str">
        <f aca="false">IF((D198="a"),F198," ")</f>
        <v> </v>
      </c>
      <c r="O198" s="180" t="str">
        <f aca="false">IF((D198="l"),F198," ")</f>
        <v> </v>
      </c>
      <c r="P198" s="180" t="str">
        <f aca="false">IF((D198="i"),F198," ")</f>
        <v> </v>
      </c>
      <c r="Q198" s="180" t="str">
        <f aca="false">IF((D198="b"),F198," ")</f>
        <v> </v>
      </c>
      <c r="R198" s="180" t="str">
        <f aca="false">IF((D198="o"),F198," ")</f>
        <v> </v>
      </c>
      <c r="S198" s="180" t="str">
        <f aca="false">IF((D198="f"),F198," ")</f>
        <v> </v>
      </c>
      <c r="U198" s="371"/>
    </row>
    <row r="199" customFormat="false" ht="12.75" hidden="false" customHeight="false" outlineLevel="0" collapsed="false">
      <c r="D199" s="371" t="str">
        <f aca="false">IF((F199&lt;&gt;0),"Enter Letter"," ")</f>
        <v> </v>
      </c>
      <c r="G199" s="180" t="str">
        <f aca="false">IF((D199="d"),F199," ")</f>
        <v> </v>
      </c>
      <c r="H199" s="180" t="str">
        <f aca="false">IF((D199="h"),F199," ")</f>
        <v> </v>
      </c>
      <c r="I199" s="180" t="str">
        <f aca="false">IF((D199="r"),F199," ")</f>
        <v> </v>
      </c>
      <c r="J199" s="180" t="str">
        <f aca="false">IF((D199="t"),F199," ")</f>
        <v> </v>
      </c>
      <c r="K199" s="180" t="str">
        <f aca="false">IF((D199="e"),F199," ")</f>
        <v> </v>
      </c>
      <c r="L199" s="180" t="str">
        <f aca="false">IF((D199="p"),F199," ")</f>
        <v> </v>
      </c>
      <c r="M199" s="180" t="str">
        <f aca="false">IF((D199="g"),F199," ")</f>
        <v> </v>
      </c>
      <c r="N199" s="180" t="str">
        <f aca="false">IF((D199="a"),F199," ")</f>
        <v> </v>
      </c>
      <c r="O199" s="180" t="str">
        <f aca="false">IF((D199="l"),F199," ")</f>
        <v> </v>
      </c>
      <c r="P199" s="180" t="str">
        <f aca="false">IF((D199="i"),F199," ")</f>
        <v> </v>
      </c>
      <c r="Q199" s="180" t="str">
        <f aca="false">IF((D199="b"),F199," ")</f>
        <v> </v>
      </c>
      <c r="R199" s="180" t="str">
        <f aca="false">IF((D199="o"),F199," ")</f>
        <v> </v>
      </c>
      <c r="S199" s="180" t="str">
        <f aca="false">IF((D199="f"),F199," ")</f>
        <v> </v>
      </c>
      <c r="U199" s="371"/>
    </row>
    <row r="200" customFormat="false" ht="12.75" hidden="false" customHeight="false" outlineLevel="0" collapsed="false">
      <c r="D200" s="371" t="str">
        <f aca="false">IF((F200&lt;&gt;0),"Enter Letter"," ")</f>
        <v> </v>
      </c>
      <c r="G200" s="180" t="str">
        <f aca="false">IF((D200="d"),F200," ")</f>
        <v> </v>
      </c>
      <c r="H200" s="180" t="str">
        <f aca="false">IF((D200="h"),F200," ")</f>
        <v> </v>
      </c>
      <c r="I200" s="180" t="str">
        <f aca="false">IF((D200="r"),F200," ")</f>
        <v> </v>
      </c>
      <c r="J200" s="180" t="str">
        <f aca="false">IF((D200="t"),F200," ")</f>
        <v> </v>
      </c>
      <c r="K200" s="180" t="str">
        <f aca="false">IF((D200="e"),F200," ")</f>
        <v> </v>
      </c>
      <c r="L200" s="180" t="str">
        <f aca="false">IF((D200="p"),F200," ")</f>
        <v> </v>
      </c>
      <c r="M200" s="180" t="str">
        <f aca="false">IF((D200="g"),F200," ")</f>
        <v> </v>
      </c>
      <c r="N200" s="180" t="str">
        <f aca="false">IF((D200="a"),F200," ")</f>
        <v> </v>
      </c>
      <c r="O200" s="180" t="str">
        <f aca="false">IF((D200="l"),F200," ")</f>
        <v> </v>
      </c>
      <c r="P200" s="180" t="str">
        <f aca="false">IF((D200="i"),F200," ")</f>
        <v> </v>
      </c>
      <c r="Q200" s="180" t="str">
        <f aca="false">IF((D200="b"),F200," ")</f>
        <v> </v>
      </c>
      <c r="R200" s="180" t="str">
        <f aca="false">IF((D200="o"),F200," ")</f>
        <v> </v>
      </c>
      <c r="S200" s="180" t="str">
        <f aca="false">IF((D200="f"),F200," ")</f>
        <v> </v>
      </c>
      <c r="U200" s="371"/>
    </row>
    <row r="201" customFormat="false" ht="12.75" hidden="false" customHeight="false" outlineLevel="0" collapsed="false">
      <c r="D201" s="371" t="str">
        <f aca="false">IF((F201&lt;&gt;0),"Enter Letter"," ")</f>
        <v> </v>
      </c>
      <c r="G201" s="180" t="str">
        <f aca="false">IF((D201="d"),F201," ")</f>
        <v> </v>
      </c>
      <c r="H201" s="180" t="str">
        <f aca="false">IF((D201="h"),F201," ")</f>
        <v> </v>
      </c>
      <c r="I201" s="180" t="str">
        <f aca="false">IF((D201="r"),F201," ")</f>
        <v> </v>
      </c>
      <c r="J201" s="180" t="str">
        <f aca="false">IF((D201="t"),F201," ")</f>
        <v> </v>
      </c>
      <c r="K201" s="180" t="str">
        <f aca="false">IF((D201="e"),F201," ")</f>
        <v> </v>
      </c>
      <c r="L201" s="180" t="str">
        <f aca="false">IF((D201="p"),F201," ")</f>
        <v> </v>
      </c>
      <c r="M201" s="180" t="str">
        <f aca="false">IF((D201="g"),F201," ")</f>
        <v> </v>
      </c>
      <c r="N201" s="180" t="str">
        <f aca="false">IF((D201="a"),F201," ")</f>
        <v> </v>
      </c>
      <c r="O201" s="180" t="str">
        <f aca="false">IF((D201="l"),F201," ")</f>
        <v> </v>
      </c>
      <c r="P201" s="180" t="str">
        <f aca="false">IF((D201="i"),F201," ")</f>
        <v> </v>
      </c>
      <c r="Q201" s="180" t="str">
        <f aca="false">IF((D201="b"),F201," ")</f>
        <v> </v>
      </c>
      <c r="R201" s="180" t="str">
        <f aca="false">IF((D201="o"),F201," ")</f>
        <v> </v>
      </c>
      <c r="S201" s="180" t="str">
        <f aca="false">IF((D201="f"),F201," ")</f>
        <v> </v>
      </c>
      <c r="U201" s="371"/>
    </row>
    <row r="202" customFormat="false" ht="12.75" hidden="false" customHeight="false" outlineLevel="0" collapsed="false">
      <c r="D202" s="371" t="str">
        <f aca="false">IF((F202&lt;&gt;0),"Enter Letter"," ")</f>
        <v> </v>
      </c>
      <c r="G202" s="180" t="str">
        <f aca="false">IF((D202="d"),F202," ")</f>
        <v> </v>
      </c>
      <c r="H202" s="180" t="str">
        <f aca="false">IF((D202="h"),F202," ")</f>
        <v> </v>
      </c>
      <c r="I202" s="180" t="str">
        <f aca="false">IF((D202="r"),F202," ")</f>
        <v> </v>
      </c>
      <c r="J202" s="180" t="str">
        <f aca="false">IF((D202="t"),F202," ")</f>
        <v> </v>
      </c>
      <c r="K202" s="180" t="str">
        <f aca="false">IF((D202="e"),F202," ")</f>
        <v> </v>
      </c>
      <c r="L202" s="180" t="str">
        <f aca="false">IF((D202="p"),F202," ")</f>
        <v> </v>
      </c>
      <c r="M202" s="180" t="str">
        <f aca="false">IF((D202="g"),F202," ")</f>
        <v> </v>
      </c>
      <c r="N202" s="180" t="str">
        <f aca="false">IF((D202="a"),F202," ")</f>
        <v> </v>
      </c>
      <c r="O202" s="180" t="str">
        <f aca="false">IF((D202="l"),F202," ")</f>
        <v> </v>
      </c>
      <c r="P202" s="180" t="str">
        <f aca="false">IF((D202="i"),F202," ")</f>
        <v> </v>
      </c>
      <c r="Q202" s="180" t="str">
        <f aca="false">IF((D202="b"),F202," ")</f>
        <v> </v>
      </c>
      <c r="R202" s="180" t="str">
        <f aca="false">IF((D202="o"),F202," ")</f>
        <v> </v>
      </c>
      <c r="S202" s="180" t="str">
        <f aca="false">IF((D202="f"),F202," ")</f>
        <v> </v>
      </c>
      <c r="U202" s="371"/>
    </row>
    <row r="203" customFormat="false" ht="12.75" hidden="false" customHeight="false" outlineLevel="0" collapsed="false">
      <c r="D203" s="371" t="str">
        <f aca="false">IF((F203&lt;&gt;0),"Enter Letter"," ")</f>
        <v> </v>
      </c>
      <c r="G203" s="180" t="str">
        <f aca="false">IF((D203="d"),F203," ")</f>
        <v> </v>
      </c>
      <c r="H203" s="180" t="str">
        <f aca="false">IF((D203="h"),F203," ")</f>
        <v> </v>
      </c>
      <c r="I203" s="180" t="str">
        <f aca="false">IF((D203="r"),F203," ")</f>
        <v> </v>
      </c>
      <c r="J203" s="180" t="str">
        <f aca="false">IF((D203="t"),F203," ")</f>
        <v> </v>
      </c>
      <c r="K203" s="180" t="str">
        <f aca="false">IF((D203="e"),F203," ")</f>
        <v> </v>
      </c>
      <c r="L203" s="180" t="str">
        <f aca="false">IF((D203="p"),F203," ")</f>
        <v> </v>
      </c>
      <c r="M203" s="180" t="str">
        <f aca="false">IF((D203="g"),F203," ")</f>
        <v> </v>
      </c>
      <c r="N203" s="180" t="str">
        <f aca="false">IF((D203="a"),F203," ")</f>
        <v> </v>
      </c>
      <c r="O203" s="180" t="str">
        <f aca="false">IF((D203="l"),F203," ")</f>
        <v> </v>
      </c>
      <c r="P203" s="180" t="str">
        <f aca="false">IF((D203="i"),F203," ")</f>
        <v> </v>
      </c>
      <c r="Q203" s="180" t="str">
        <f aca="false">IF((D203="b"),F203," ")</f>
        <v> </v>
      </c>
      <c r="R203" s="180" t="str">
        <f aca="false">IF((D203="o"),F203," ")</f>
        <v> </v>
      </c>
      <c r="S203" s="180" t="str">
        <f aca="false">IF((D203="f"),F203," ")</f>
        <v> </v>
      </c>
      <c r="U203" s="371"/>
    </row>
    <row r="204" customFormat="false" ht="12.75" hidden="false" customHeight="false" outlineLevel="0" collapsed="false">
      <c r="D204" s="371" t="str">
        <f aca="false">IF((F204&lt;&gt;0),"Enter Letter"," ")</f>
        <v> </v>
      </c>
      <c r="G204" s="180" t="str">
        <f aca="false">IF((D204="d"),F204," ")</f>
        <v> </v>
      </c>
      <c r="H204" s="180" t="str">
        <f aca="false">IF((D204="h"),F204," ")</f>
        <v> </v>
      </c>
      <c r="I204" s="180" t="str">
        <f aca="false">IF((D204="r"),F204," ")</f>
        <v> </v>
      </c>
      <c r="J204" s="180" t="str">
        <f aca="false">IF((D204="t"),F204," ")</f>
        <v> </v>
      </c>
      <c r="K204" s="180" t="str">
        <f aca="false">IF((D204="e"),F204," ")</f>
        <v> </v>
      </c>
      <c r="L204" s="180" t="str">
        <f aca="false">IF((D204="p"),F204," ")</f>
        <v> </v>
      </c>
      <c r="M204" s="180" t="str">
        <f aca="false">IF((D204="g"),F204," ")</f>
        <v> </v>
      </c>
      <c r="N204" s="180" t="str">
        <f aca="false">IF((D204="a"),F204," ")</f>
        <v> </v>
      </c>
      <c r="O204" s="180" t="str">
        <f aca="false">IF((D204="l"),F204," ")</f>
        <v> </v>
      </c>
      <c r="P204" s="180" t="str">
        <f aca="false">IF((D204="i"),F204," ")</f>
        <v> </v>
      </c>
      <c r="Q204" s="180" t="str">
        <f aca="false">IF((D204="b"),F204," ")</f>
        <v> </v>
      </c>
      <c r="R204" s="180" t="str">
        <f aca="false">IF((D204="o"),F204," ")</f>
        <v> </v>
      </c>
      <c r="S204" s="180" t="str">
        <f aca="false">IF((D204="f"),F204," ")</f>
        <v> </v>
      </c>
      <c r="U204" s="371"/>
    </row>
    <row r="205" customFormat="false" ht="12.75" hidden="false" customHeight="false" outlineLevel="0" collapsed="false">
      <c r="U205" s="371"/>
    </row>
    <row r="206" customFormat="false" ht="12.75" hidden="false" customHeight="false" outlineLevel="0" collapsed="false">
      <c r="U206" s="371"/>
    </row>
    <row r="207" customFormat="false" ht="12.75" hidden="false" customHeight="false" outlineLevel="0" collapsed="false">
      <c r="U207" s="371"/>
    </row>
    <row r="208" customFormat="false" ht="12.75" hidden="false" customHeight="false" outlineLevel="0" collapsed="false">
      <c r="U208" s="371"/>
    </row>
    <row r="209" customFormat="false" ht="12.75" hidden="false" customHeight="false" outlineLevel="0" collapsed="false">
      <c r="U209" s="371"/>
    </row>
    <row r="210" customFormat="false" ht="12.75" hidden="false" customHeight="false" outlineLevel="0" collapsed="false">
      <c r="U210" s="371"/>
    </row>
    <row r="211" customFormat="false" ht="12.75" hidden="false" customHeight="false" outlineLevel="0" collapsed="false">
      <c r="U211" s="371"/>
    </row>
    <row r="212" customFormat="false" ht="12.75" hidden="false" customHeight="false" outlineLevel="0" collapsed="false">
      <c r="U212" s="371"/>
    </row>
    <row r="213" customFormat="false" ht="12.75" hidden="false" customHeight="false" outlineLevel="0" collapsed="false">
      <c r="U213" s="371"/>
    </row>
    <row r="214" customFormat="false" ht="12.75" hidden="false" customHeight="false" outlineLevel="0" collapsed="false">
      <c r="U214" s="371"/>
    </row>
    <row r="215" customFormat="false" ht="12.75" hidden="false" customHeight="false" outlineLevel="0" collapsed="false">
      <c r="U215" s="371"/>
    </row>
    <row r="216" customFormat="false" ht="12.75" hidden="false" customHeight="false" outlineLevel="0" collapsed="false">
      <c r="U216" s="371"/>
    </row>
    <row r="217" customFormat="false" ht="12.75" hidden="false" customHeight="false" outlineLevel="0" collapsed="false">
      <c r="U217" s="371"/>
    </row>
    <row r="218" customFormat="false" ht="12.75" hidden="false" customHeight="false" outlineLevel="0" collapsed="false">
      <c r="U218" s="371"/>
    </row>
    <row r="219" customFormat="false" ht="12.75" hidden="false" customHeight="false" outlineLevel="0" collapsed="false">
      <c r="U219" s="371"/>
    </row>
    <row r="220" customFormat="false" ht="12.75" hidden="false" customHeight="false" outlineLevel="0" collapsed="false">
      <c r="U220" s="371"/>
    </row>
    <row r="221" customFormat="false" ht="12.75" hidden="false" customHeight="false" outlineLevel="0" collapsed="false">
      <c r="U221" s="371"/>
    </row>
    <row r="222" customFormat="false" ht="12.75" hidden="false" customHeight="false" outlineLevel="0" collapsed="false">
      <c r="U222" s="371"/>
    </row>
    <row r="223" customFormat="false" ht="12.75" hidden="false" customHeight="false" outlineLevel="0" collapsed="false">
      <c r="U223" s="371"/>
    </row>
    <row r="224" customFormat="false" ht="12.75" hidden="false" customHeight="false" outlineLevel="0" collapsed="false">
      <c r="U224" s="371"/>
    </row>
    <row r="225" customFormat="false" ht="12.75" hidden="false" customHeight="false" outlineLevel="0" collapsed="false">
      <c r="U225" s="371"/>
    </row>
    <row r="226" customFormat="false" ht="12.75" hidden="false" customHeight="false" outlineLevel="0" collapsed="false">
      <c r="U226" s="371"/>
    </row>
    <row r="227" customFormat="false" ht="12.75" hidden="false" customHeight="false" outlineLevel="0" collapsed="false">
      <c r="U227" s="371"/>
    </row>
    <row r="228" customFormat="false" ht="12.75" hidden="false" customHeight="false" outlineLevel="0" collapsed="false">
      <c r="U228" s="371"/>
    </row>
    <row r="229" customFormat="false" ht="12.75" hidden="false" customHeight="false" outlineLevel="0" collapsed="false">
      <c r="U229" s="371"/>
    </row>
    <row r="230" customFormat="false" ht="12.75" hidden="false" customHeight="false" outlineLevel="0" collapsed="false">
      <c r="U230" s="371"/>
    </row>
    <row r="231" customFormat="false" ht="12.75" hidden="false" customHeight="false" outlineLevel="0" collapsed="false">
      <c r="U231" s="371"/>
    </row>
    <row r="232" customFormat="false" ht="12.75" hidden="false" customHeight="false" outlineLevel="0" collapsed="false">
      <c r="U232" s="371"/>
    </row>
    <row r="233" customFormat="false" ht="12.75" hidden="false" customHeight="false" outlineLevel="0" collapsed="false">
      <c r="U233" s="371"/>
    </row>
    <row r="234" customFormat="false" ht="12.75" hidden="false" customHeight="false" outlineLevel="0" collapsed="false">
      <c r="U234" s="371"/>
    </row>
    <row r="235" customFormat="false" ht="12.75" hidden="false" customHeight="false" outlineLevel="0" collapsed="false">
      <c r="U235" s="371"/>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customHeight="false" zeroHeight="false" outlineLevelRow="0" outlineLevelCol="0"/>
  <cols>
    <col collapsed="false" customWidth="true" hidden="false" outlineLevel="0" max="1" min="1" style="344" width="9.66"/>
    <col collapsed="false" customWidth="true" hidden="false" outlineLevel="0" max="2" min="2" style="345" width="14.66"/>
    <col collapsed="false" customWidth="true" hidden="false" outlineLevel="0" max="3" min="3" style="180" width="13.66"/>
    <col collapsed="false" customWidth="true" hidden="false" outlineLevel="0" max="4" min="4" style="346" width="12.66"/>
    <col collapsed="false" customWidth="true" hidden="false" outlineLevel="0" max="5" min="5" style="347" width="12.66"/>
    <col collapsed="false" customWidth="true" hidden="false" outlineLevel="0" max="6" min="6" style="180" width="12.66"/>
    <col collapsed="false" customWidth="false" hidden="false" outlineLevel="0" max="257" min="7" style="180" width="9.15"/>
  </cols>
  <sheetData>
    <row r="1" customFormat="false" ht="12.75" hidden="false" customHeight="true" outlineLevel="0" collapsed="false">
      <c r="A1" s="348" t="s">
        <v>240</v>
      </c>
      <c r="B1" s="349" t="s">
        <v>241</v>
      </c>
      <c r="C1" s="350" t="s">
        <v>242</v>
      </c>
      <c r="D1" s="351" t="n">
        <f aca="false">SUM(D4:D47)</f>
        <v>0</v>
      </c>
      <c r="E1" s="350" t="n">
        <f aca="false">SUM(E4:E47)/2</f>
        <v>3000</v>
      </c>
      <c r="F1" s="350" t="n">
        <f aca="false">SUM(F4:F47)/2</f>
        <v>500</v>
      </c>
      <c r="G1" s="352"/>
      <c r="H1" s="352"/>
      <c r="I1" s="352"/>
      <c r="J1" s="352"/>
      <c r="K1" s="352"/>
      <c r="L1" s="352"/>
      <c r="M1" s="352"/>
      <c r="N1" s="352"/>
      <c r="O1" s="352"/>
      <c r="P1" s="352"/>
      <c r="Q1" s="352"/>
      <c r="R1" s="352"/>
      <c r="S1" s="352"/>
      <c r="T1" s="352"/>
      <c r="U1" s="352"/>
      <c r="V1" s="352"/>
      <c r="W1" s="352"/>
      <c r="X1" s="352"/>
      <c r="Y1" s="352"/>
      <c r="Z1" s="352"/>
      <c r="AA1" s="352"/>
      <c r="AB1" s="352"/>
      <c r="AC1" s="352"/>
      <c r="AD1" s="352"/>
      <c r="AE1" s="352"/>
      <c r="AF1" s="352"/>
      <c r="AG1" s="352"/>
      <c r="AH1" s="352"/>
      <c r="AI1" s="352"/>
      <c r="AJ1" s="352"/>
      <c r="AK1" s="352"/>
      <c r="AL1" s="352"/>
      <c r="AM1" s="352"/>
      <c r="AN1" s="352"/>
      <c r="AO1" s="352"/>
      <c r="AP1" s="352"/>
      <c r="AQ1" s="352"/>
      <c r="AR1" s="352"/>
      <c r="AS1" s="352"/>
      <c r="AT1" s="352"/>
      <c r="AU1" s="352"/>
      <c r="AV1" s="352"/>
      <c r="AW1" s="352"/>
      <c r="AX1" s="352"/>
      <c r="AY1" s="352"/>
      <c r="AZ1" s="352"/>
      <c r="BA1" s="352"/>
      <c r="BB1" s="352"/>
      <c r="BC1" s="352"/>
      <c r="BD1" s="352"/>
      <c r="BE1" s="352"/>
      <c r="BF1" s="352"/>
      <c r="BG1" s="352"/>
      <c r="BH1" s="352"/>
      <c r="BI1" s="352"/>
      <c r="BJ1" s="352"/>
      <c r="BK1" s="352"/>
      <c r="BL1" s="352"/>
      <c r="BM1" s="352"/>
      <c r="BN1" s="352"/>
      <c r="BO1" s="352"/>
      <c r="BP1" s="352"/>
      <c r="BQ1" s="352"/>
      <c r="BR1" s="352"/>
      <c r="BS1" s="352"/>
      <c r="BT1" s="352"/>
      <c r="BU1" s="352"/>
      <c r="BV1" s="352"/>
      <c r="BW1" s="352"/>
      <c r="BX1" s="352"/>
      <c r="BY1" s="352"/>
      <c r="BZ1" s="352"/>
      <c r="CA1" s="352"/>
      <c r="CB1" s="352"/>
      <c r="CC1" s="352"/>
      <c r="CD1" s="352"/>
      <c r="CE1" s="352"/>
      <c r="CF1" s="352"/>
      <c r="CG1" s="352"/>
      <c r="CH1" s="352"/>
      <c r="CI1" s="352"/>
      <c r="CJ1" s="352"/>
      <c r="CK1" s="352"/>
      <c r="CL1" s="352"/>
      <c r="CM1" s="352"/>
      <c r="CN1" s="352"/>
      <c r="CO1" s="352"/>
      <c r="CP1" s="352"/>
      <c r="CQ1" s="352"/>
      <c r="CR1" s="352"/>
      <c r="CS1" s="352"/>
      <c r="CT1" s="352"/>
      <c r="CU1" s="352"/>
      <c r="CV1" s="352"/>
      <c r="CW1" s="352"/>
      <c r="CX1" s="352"/>
      <c r="CY1" s="352"/>
      <c r="CZ1" s="352"/>
      <c r="DA1" s="352"/>
      <c r="DB1" s="352"/>
      <c r="DC1" s="352"/>
      <c r="DD1" s="352"/>
      <c r="DE1" s="352"/>
      <c r="DF1" s="352"/>
      <c r="DG1" s="352"/>
      <c r="DH1" s="352"/>
      <c r="DI1" s="352"/>
      <c r="DJ1" s="352"/>
      <c r="DK1" s="352"/>
      <c r="DL1" s="352"/>
      <c r="DM1" s="352"/>
      <c r="DN1" s="352"/>
      <c r="DO1" s="352"/>
      <c r="DP1" s="352"/>
      <c r="DQ1" s="352"/>
      <c r="DR1" s="352"/>
      <c r="DS1" s="352"/>
      <c r="DT1" s="352"/>
      <c r="DU1" s="352"/>
      <c r="DV1" s="352"/>
      <c r="DW1" s="352"/>
      <c r="DX1" s="352"/>
      <c r="DY1" s="352"/>
      <c r="DZ1" s="352"/>
      <c r="EA1" s="352"/>
      <c r="EB1" s="352"/>
      <c r="EC1" s="352"/>
      <c r="ED1" s="352"/>
      <c r="EE1" s="352"/>
      <c r="EF1" s="352"/>
      <c r="EG1" s="352"/>
      <c r="EH1" s="352"/>
      <c r="EI1" s="352"/>
      <c r="EJ1" s="352"/>
      <c r="EK1" s="352"/>
      <c r="EL1" s="352"/>
      <c r="EM1" s="352"/>
      <c r="EN1" s="352"/>
      <c r="EO1" s="352"/>
      <c r="EP1" s="352"/>
      <c r="EQ1" s="352"/>
      <c r="ER1" s="352"/>
      <c r="ES1" s="352"/>
      <c r="ET1" s="352"/>
      <c r="EU1" s="352"/>
      <c r="EV1" s="352"/>
      <c r="EW1" s="352"/>
      <c r="EX1" s="352"/>
      <c r="EY1" s="352"/>
      <c r="EZ1" s="352"/>
      <c r="FA1" s="352"/>
      <c r="FB1" s="352"/>
      <c r="FC1" s="352"/>
      <c r="FD1" s="352"/>
      <c r="FE1" s="352"/>
      <c r="FF1" s="352"/>
      <c r="FG1" s="352"/>
      <c r="FH1" s="352"/>
      <c r="FI1" s="352"/>
      <c r="FJ1" s="352"/>
      <c r="FK1" s="352"/>
      <c r="FL1" s="352"/>
      <c r="FM1" s="352"/>
      <c r="FN1" s="352"/>
      <c r="FO1" s="352"/>
      <c r="FP1" s="352"/>
      <c r="FQ1" s="352"/>
      <c r="FR1" s="352"/>
      <c r="FS1" s="352"/>
      <c r="FT1" s="352"/>
      <c r="FU1" s="352"/>
      <c r="FV1" s="352"/>
      <c r="FW1" s="352"/>
      <c r="FX1" s="352"/>
      <c r="FY1" s="352"/>
      <c r="FZ1" s="352"/>
      <c r="GA1" s="352"/>
      <c r="GB1" s="352"/>
      <c r="GC1" s="352"/>
      <c r="GD1" s="352"/>
      <c r="GE1" s="352"/>
      <c r="GF1" s="352"/>
      <c r="GG1" s="352"/>
      <c r="GH1" s="352"/>
      <c r="GI1" s="352"/>
      <c r="GJ1" s="352"/>
      <c r="GK1" s="352"/>
      <c r="GL1" s="352"/>
      <c r="GM1" s="352"/>
      <c r="GN1" s="352"/>
      <c r="GO1" s="352"/>
      <c r="GP1" s="352"/>
      <c r="GQ1" s="352"/>
      <c r="GR1" s="352"/>
      <c r="GS1" s="352"/>
      <c r="GT1" s="352"/>
      <c r="GU1" s="352"/>
      <c r="GV1" s="352"/>
      <c r="GW1" s="352"/>
      <c r="GX1" s="352"/>
      <c r="GY1" s="352"/>
      <c r="GZ1" s="352"/>
      <c r="HA1" s="352"/>
      <c r="HB1" s="352"/>
      <c r="HC1" s="352"/>
      <c r="HD1" s="352"/>
      <c r="HE1" s="352"/>
      <c r="HF1" s="352"/>
      <c r="HG1" s="352"/>
      <c r="HH1" s="352"/>
      <c r="HI1" s="352"/>
      <c r="HJ1" s="352"/>
      <c r="HK1" s="352"/>
      <c r="HL1" s="352"/>
      <c r="HM1" s="352"/>
      <c r="HN1" s="352"/>
      <c r="HO1" s="352"/>
      <c r="HP1" s="352"/>
      <c r="HQ1" s="352"/>
      <c r="HR1" s="352"/>
      <c r="HS1" s="352"/>
      <c r="HT1" s="352"/>
      <c r="HU1" s="352"/>
      <c r="HV1" s="352"/>
      <c r="HW1" s="352"/>
      <c r="HX1" s="352"/>
      <c r="HY1" s="352"/>
      <c r="HZ1" s="352"/>
      <c r="IA1" s="352"/>
      <c r="IB1" s="352"/>
      <c r="IC1" s="352"/>
      <c r="ID1" s="352"/>
      <c r="IE1" s="352"/>
      <c r="IF1" s="352"/>
      <c r="IG1" s="352"/>
      <c r="IH1" s="352"/>
      <c r="II1" s="352"/>
      <c r="IJ1" s="352"/>
      <c r="IK1" s="352"/>
      <c r="IL1" s="352"/>
      <c r="IM1" s="352"/>
      <c r="IN1" s="352"/>
      <c r="IO1" s="352"/>
      <c r="IP1" s="352"/>
      <c r="IQ1" s="352"/>
      <c r="IR1" s="352"/>
      <c r="IS1" s="352"/>
      <c r="IT1" s="352"/>
      <c r="IU1" s="352"/>
      <c r="IV1" s="352"/>
      <c r="IW1" s="352"/>
    </row>
    <row r="2" customFormat="false" ht="12.75" hidden="false" customHeight="true" outlineLevel="0" collapsed="false">
      <c r="A2" s="348"/>
      <c r="B2" s="349"/>
      <c r="C2" s="353" t="s">
        <v>243</v>
      </c>
      <c r="D2" s="354" t="s">
        <v>244</v>
      </c>
      <c r="E2" s="353" t="s">
        <v>245</v>
      </c>
      <c r="F2" s="353" t="s">
        <v>246</v>
      </c>
      <c r="G2" s="352"/>
      <c r="H2" s="352"/>
      <c r="I2" s="352"/>
      <c r="J2" s="352"/>
      <c r="K2" s="352"/>
      <c r="L2" s="352"/>
      <c r="M2" s="352"/>
      <c r="N2" s="352"/>
      <c r="O2" s="352"/>
      <c r="P2" s="352"/>
      <c r="Q2" s="352"/>
      <c r="R2" s="352"/>
      <c r="S2" s="352"/>
      <c r="T2" s="352"/>
      <c r="U2" s="352"/>
      <c r="V2" s="352"/>
      <c r="W2" s="352"/>
      <c r="X2" s="352"/>
      <c r="Y2" s="352"/>
      <c r="Z2" s="352"/>
      <c r="AA2" s="352"/>
      <c r="AB2" s="352"/>
      <c r="AC2" s="352"/>
      <c r="AD2" s="352"/>
      <c r="AE2" s="352"/>
      <c r="AF2" s="352"/>
      <c r="AG2" s="352"/>
      <c r="AH2" s="352"/>
      <c r="AI2" s="352"/>
      <c r="AJ2" s="352"/>
      <c r="AK2" s="352"/>
      <c r="AL2" s="352"/>
      <c r="AM2" s="352"/>
      <c r="AN2" s="352"/>
      <c r="AO2" s="352"/>
      <c r="AP2" s="352"/>
      <c r="AQ2" s="352"/>
      <c r="AR2" s="352"/>
      <c r="AS2" s="352"/>
      <c r="AT2" s="352"/>
      <c r="AU2" s="352"/>
      <c r="AV2" s="352"/>
      <c r="AW2" s="352"/>
      <c r="AX2" s="352"/>
      <c r="AY2" s="352"/>
      <c r="AZ2" s="352"/>
      <c r="BA2" s="352"/>
      <c r="BB2" s="352"/>
      <c r="BC2" s="352"/>
      <c r="BD2" s="352"/>
      <c r="BE2" s="352"/>
      <c r="BF2" s="352"/>
      <c r="BG2" s="352"/>
      <c r="BH2" s="352"/>
      <c r="BI2" s="352"/>
      <c r="BJ2" s="352"/>
      <c r="BK2" s="352"/>
      <c r="BL2" s="352"/>
      <c r="BM2" s="352"/>
      <c r="BN2" s="352"/>
      <c r="BO2" s="352"/>
      <c r="BP2" s="352"/>
      <c r="BQ2" s="352"/>
      <c r="BR2" s="352"/>
      <c r="BS2" s="352"/>
      <c r="BT2" s="352"/>
      <c r="BU2" s="352"/>
      <c r="BV2" s="352"/>
      <c r="BW2" s="352"/>
      <c r="BX2" s="352"/>
      <c r="BY2" s="352"/>
      <c r="BZ2" s="352"/>
      <c r="CA2" s="352"/>
      <c r="CB2" s="352"/>
      <c r="CC2" s="352"/>
      <c r="CD2" s="352"/>
      <c r="CE2" s="352"/>
      <c r="CF2" s="352"/>
      <c r="CG2" s="352"/>
      <c r="CH2" s="352"/>
      <c r="CI2" s="352"/>
      <c r="CJ2" s="352"/>
      <c r="CK2" s="352"/>
      <c r="CL2" s="352"/>
      <c r="CM2" s="352"/>
      <c r="CN2" s="352"/>
      <c r="CO2" s="352"/>
      <c r="CP2" s="352"/>
      <c r="CQ2" s="352"/>
      <c r="CR2" s="352"/>
      <c r="CS2" s="352"/>
      <c r="CT2" s="352"/>
      <c r="CU2" s="352"/>
      <c r="CV2" s="352"/>
      <c r="CW2" s="352"/>
      <c r="CX2" s="352"/>
      <c r="CY2" s="352"/>
      <c r="CZ2" s="352"/>
      <c r="DA2" s="352"/>
      <c r="DB2" s="352"/>
      <c r="DC2" s="352"/>
      <c r="DD2" s="352"/>
      <c r="DE2" s="352"/>
      <c r="DF2" s="352"/>
      <c r="DG2" s="352"/>
      <c r="DH2" s="352"/>
      <c r="DI2" s="352"/>
      <c r="DJ2" s="352"/>
      <c r="DK2" s="352"/>
      <c r="DL2" s="352"/>
      <c r="DM2" s="352"/>
      <c r="DN2" s="352"/>
      <c r="DO2" s="352"/>
      <c r="DP2" s="352"/>
      <c r="DQ2" s="352"/>
      <c r="DR2" s="352"/>
      <c r="DS2" s="352"/>
      <c r="DT2" s="352"/>
      <c r="DU2" s="352"/>
      <c r="DV2" s="352"/>
      <c r="DW2" s="352"/>
      <c r="DX2" s="352"/>
      <c r="DY2" s="352"/>
      <c r="DZ2" s="352"/>
      <c r="EA2" s="352"/>
      <c r="EB2" s="352"/>
      <c r="EC2" s="352"/>
      <c r="ED2" s="352"/>
      <c r="EE2" s="352"/>
      <c r="EF2" s="352"/>
      <c r="EG2" s="352"/>
      <c r="EH2" s="352"/>
      <c r="EI2" s="352"/>
      <c r="EJ2" s="352"/>
      <c r="EK2" s="352"/>
      <c r="EL2" s="352"/>
      <c r="EM2" s="352"/>
      <c r="EN2" s="352"/>
      <c r="EO2" s="352"/>
      <c r="EP2" s="352"/>
      <c r="EQ2" s="352"/>
      <c r="ER2" s="352"/>
      <c r="ES2" s="352"/>
      <c r="ET2" s="352"/>
      <c r="EU2" s="352"/>
      <c r="EV2" s="352"/>
      <c r="EW2" s="352"/>
      <c r="EX2" s="352"/>
      <c r="EY2" s="352"/>
      <c r="EZ2" s="352"/>
      <c r="FA2" s="352"/>
      <c r="FB2" s="352"/>
      <c r="FC2" s="352"/>
      <c r="FD2" s="352"/>
      <c r="FE2" s="352"/>
      <c r="FF2" s="352"/>
      <c r="FG2" s="352"/>
      <c r="FH2" s="352"/>
      <c r="FI2" s="352"/>
      <c r="FJ2" s="352"/>
      <c r="FK2" s="352"/>
      <c r="FL2" s="352"/>
      <c r="FM2" s="352"/>
      <c r="FN2" s="352"/>
      <c r="FO2" s="352"/>
      <c r="FP2" s="352"/>
      <c r="FQ2" s="352"/>
      <c r="FR2" s="352"/>
      <c r="FS2" s="352"/>
      <c r="FT2" s="352"/>
      <c r="FU2" s="352"/>
      <c r="FV2" s="352"/>
      <c r="FW2" s="352"/>
      <c r="FX2" s="352"/>
      <c r="FY2" s="352"/>
      <c r="FZ2" s="352"/>
      <c r="GA2" s="352"/>
      <c r="GB2" s="352"/>
      <c r="GC2" s="352"/>
      <c r="GD2" s="352"/>
      <c r="GE2" s="352"/>
      <c r="GF2" s="352"/>
      <c r="GG2" s="352"/>
      <c r="GH2" s="352"/>
      <c r="GI2" s="352"/>
      <c r="GJ2" s="352"/>
      <c r="GK2" s="352"/>
      <c r="GL2" s="352"/>
      <c r="GM2" s="352"/>
      <c r="GN2" s="352"/>
      <c r="GO2" s="352"/>
      <c r="GP2" s="352"/>
      <c r="GQ2" s="352"/>
      <c r="GR2" s="352"/>
      <c r="GS2" s="352"/>
      <c r="GT2" s="352"/>
      <c r="GU2" s="352"/>
      <c r="GV2" s="352"/>
      <c r="GW2" s="352"/>
      <c r="GX2" s="352"/>
      <c r="GY2" s="352"/>
      <c r="GZ2" s="352"/>
      <c r="HA2" s="352"/>
      <c r="HB2" s="352"/>
      <c r="HC2" s="352"/>
      <c r="HD2" s="352"/>
      <c r="HE2" s="352"/>
      <c r="HF2" s="352"/>
      <c r="HG2" s="352"/>
      <c r="HH2" s="352"/>
      <c r="HI2" s="352"/>
      <c r="HJ2" s="352"/>
      <c r="HK2" s="352"/>
      <c r="HL2" s="352"/>
      <c r="HM2" s="352"/>
      <c r="HN2" s="352"/>
      <c r="HO2" s="352"/>
      <c r="HP2" s="352"/>
      <c r="HQ2" s="352"/>
      <c r="HR2" s="352"/>
      <c r="HS2" s="352"/>
      <c r="HT2" s="352"/>
      <c r="HU2" s="352"/>
      <c r="HV2" s="352"/>
      <c r="HW2" s="352"/>
      <c r="HX2" s="352"/>
      <c r="HY2" s="352"/>
      <c r="HZ2" s="352"/>
      <c r="IA2" s="352"/>
      <c r="IB2" s="352"/>
      <c r="IC2" s="352"/>
      <c r="ID2" s="352"/>
      <c r="IE2" s="352"/>
      <c r="IF2" s="352"/>
      <c r="IG2" s="352"/>
      <c r="IH2" s="352"/>
      <c r="II2" s="352"/>
      <c r="IJ2" s="352"/>
      <c r="IK2" s="352"/>
      <c r="IL2" s="352"/>
      <c r="IM2" s="352"/>
      <c r="IN2" s="352"/>
      <c r="IO2" s="352"/>
      <c r="IP2" s="352"/>
      <c r="IQ2" s="352"/>
      <c r="IR2" s="352"/>
      <c r="IS2" s="352"/>
      <c r="IT2" s="352"/>
      <c r="IU2" s="352"/>
      <c r="IV2" s="352"/>
      <c r="IW2" s="352"/>
    </row>
    <row r="3" customFormat="false" ht="24" hidden="false" customHeight="true" outlineLevel="0" collapsed="false">
      <c r="A3" s="348"/>
      <c r="B3" s="349"/>
      <c r="C3" s="353"/>
      <c r="D3" s="354"/>
      <c r="E3" s="353"/>
      <c r="F3" s="353"/>
      <c r="G3" s="355"/>
      <c r="H3" s="355"/>
      <c r="I3" s="355"/>
      <c r="J3" s="355"/>
      <c r="K3" s="355"/>
      <c r="L3" s="355"/>
      <c r="M3" s="355"/>
      <c r="N3" s="355"/>
      <c r="O3" s="355"/>
      <c r="P3" s="355"/>
      <c r="Q3" s="355"/>
      <c r="R3" s="355"/>
      <c r="S3" s="355"/>
      <c r="T3" s="355"/>
      <c r="U3" s="355"/>
      <c r="V3" s="355"/>
      <c r="W3" s="355"/>
      <c r="X3" s="355"/>
      <c r="Y3" s="355"/>
      <c r="Z3" s="355"/>
      <c r="AA3" s="355"/>
      <c r="AB3" s="355"/>
      <c r="AC3" s="355"/>
      <c r="AD3" s="355"/>
      <c r="AE3" s="355"/>
      <c r="AF3" s="355"/>
      <c r="AG3" s="355"/>
      <c r="AH3" s="355"/>
      <c r="AI3" s="355"/>
      <c r="AJ3" s="355"/>
      <c r="AK3" s="355"/>
      <c r="AL3" s="355"/>
      <c r="AM3" s="355"/>
      <c r="AN3" s="355"/>
      <c r="AO3" s="355"/>
      <c r="AP3" s="355"/>
      <c r="AQ3" s="355"/>
      <c r="AR3" s="355"/>
      <c r="AS3" s="355"/>
      <c r="AT3" s="355"/>
      <c r="AU3" s="355"/>
      <c r="AV3" s="355"/>
      <c r="AW3" s="355"/>
      <c r="AX3" s="355"/>
      <c r="AY3" s="355"/>
      <c r="AZ3" s="355"/>
      <c r="BA3" s="355"/>
      <c r="BB3" s="355"/>
      <c r="BC3" s="355"/>
      <c r="BD3" s="355"/>
      <c r="BE3" s="355"/>
      <c r="BF3" s="355"/>
      <c r="BG3" s="355"/>
      <c r="BH3" s="355"/>
      <c r="BI3" s="355"/>
      <c r="BJ3" s="355"/>
      <c r="BK3" s="355"/>
      <c r="BL3" s="355"/>
      <c r="BM3" s="355"/>
      <c r="BN3" s="355"/>
      <c r="BO3" s="355"/>
      <c r="BP3" s="355"/>
      <c r="BQ3" s="355"/>
      <c r="BR3" s="355"/>
      <c r="BS3" s="355"/>
      <c r="BT3" s="355"/>
      <c r="BU3" s="355"/>
      <c r="BV3" s="355"/>
      <c r="BW3" s="355"/>
      <c r="BX3" s="355"/>
      <c r="BY3" s="355"/>
      <c r="BZ3" s="355"/>
      <c r="CA3" s="355"/>
      <c r="CB3" s="355"/>
      <c r="CC3" s="355"/>
      <c r="CD3" s="355"/>
      <c r="CE3" s="355"/>
      <c r="CF3" s="355"/>
      <c r="CG3" s="355"/>
      <c r="CH3" s="355"/>
      <c r="CI3" s="355"/>
      <c r="CJ3" s="355"/>
      <c r="CK3" s="355"/>
      <c r="CL3" s="355"/>
      <c r="CM3" s="355"/>
      <c r="CN3" s="355"/>
      <c r="CO3" s="355"/>
      <c r="CP3" s="355"/>
      <c r="CQ3" s="355"/>
      <c r="CR3" s="355"/>
      <c r="CS3" s="355"/>
      <c r="CT3" s="355"/>
      <c r="CU3" s="355"/>
      <c r="CV3" s="355"/>
      <c r="CW3" s="355"/>
      <c r="CX3" s="355"/>
      <c r="CY3" s="355"/>
      <c r="CZ3" s="355"/>
      <c r="DA3" s="355"/>
      <c r="DB3" s="355"/>
      <c r="DC3" s="355"/>
      <c r="DD3" s="355"/>
      <c r="DE3" s="355"/>
      <c r="DF3" s="355"/>
      <c r="DG3" s="355"/>
      <c r="DH3" s="355"/>
      <c r="DI3" s="355"/>
      <c r="DJ3" s="355"/>
      <c r="DK3" s="355"/>
      <c r="DL3" s="355"/>
      <c r="DM3" s="355"/>
      <c r="DN3" s="355"/>
      <c r="DO3" s="355"/>
      <c r="DP3" s="355"/>
      <c r="DQ3" s="355"/>
      <c r="DR3" s="355"/>
      <c r="DS3" s="355"/>
      <c r="DT3" s="355"/>
      <c r="DU3" s="355"/>
      <c r="DV3" s="355"/>
      <c r="DW3" s="355"/>
      <c r="DX3" s="355"/>
      <c r="DY3" s="355"/>
      <c r="DZ3" s="355"/>
      <c r="EA3" s="355"/>
      <c r="EB3" s="355"/>
      <c r="EC3" s="355"/>
      <c r="ED3" s="355"/>
      <c r="EE3" s="355"/>
      <c r="EF3" s="355"/>
      <c r="EG3" s="355"/>
      <c r="EH3" s="355"/>
      <c r="EI3" s="355"/>
      <c r="EJ3" s="355"/>
      <c r="EK3" s="355"/>
      <c r="EL3" s="355"/>
      <c r="EM3" s="355"/>
      <c r="EN3" s="355"/>
      <c r="EO3" s="355"/>
      <c r="EP3" s="355"/>
      <c r="EQ3" s="355"/>
      <c r="ER3" s="355"/>
      <c r="ES3" s="355"/>
      <c r="ET3" s="355"/>
      <c r="EU3" s="355"/>
      <c r="EV3" s="355"/>
      <c r="EW3" s="355"/>
      <c r="EX3" s="355"/>
      <c r="EY3" s="355"/>
      <c r="EZ3" s="355"/>
      <c r="FA3" s="355"/>
      <c r="FB3" s="355"/>
      <c r="FC3" s="355"/>
      <c r="FD3" s="355"/>
      <c r="FE3" s="355"/>
      <c r="FF3" s="355"/>
      <c r="FG3" s="355"/>
      <c r="FH3" s="355"/>
      <c r="FI3" s="355"/>
      <c r="FJ3" s="355"/>
      <c r="FK3" s="355"/>
      <c r="FL3" s="355"/>
      <c r="FM3" s="355"/>
      <c r="FN3" s="355"/>
      <c r="FO3" s="355"/>
      <c r="FP3" s="355"/>
      <c r="FQ3" s="355"/>
      <c r="FR3" s="355"/>
      <c r="FS3" s="355"/>
      <c r="FT3" s="355"/>
      <c r="FU3" s="355"/>
      <c r="FV3" s="355"/>
      <c r="FW3" s="355"/>
      <c r="FX3" s="355"/>
      <c r="FY3" s="355"/>
      <c r="FZ3" s="355"/>
      <c r="GA3" s="355"/>
      <c r="GB3" s="355"/>
      <c r="GC3" s="355"/>
      <c r="GD3" s="355"/>
      <c r="GE3" s="355"/>
      <c r="GF3" s="355"/>
      <c r="GG3" s="355"/>
      <c r="GH3" s="355"/>
      <c r="GI3" s="355"/>
      <c r="GJ3" s="355"/>
      <c r="GK3" s="355"/>
      <c r="GL3" s="355"/>
      <c r="GM3" s="355"/>
      <c r="GN3" s="355"/>
      <c r="GO3" s="355"/>
      <c r="GP3" s="355"/>
      <c r="GQ3" s="355"/>
      <c r="GR3" s="355"/>
      <c r="GS3" s="355"/>
      <c r="GT3" s="355"/>
      <c r="GU3" s="355"/>
      <c r="GV3" s="355"/>
      <c r="GW3" s="355"/>
      <c r="GX3" s="355"/>
      <c r="GY3" s="355"/>
      <c r="GZ3" s="355"/>
      <c r="HA3" s="355"/>
      <c r="HB3" s="355"/>
      <c r="HC3" s="355"/>
      <c r="HD3" s="355"/>
      <c r="HE3" s="355"/>
      <c r="HF3" s="355"/>
      <c r="HG3" s="355"/>
      <c r="HH3" s="355"/>
      <c r="HI3" s="355"/>
      <c r="HJ3" s="355"/>
      <c r="HK3" s="355"/>
      <c r="HL3" s="355"/>
      <c r="HM3" s="355"/>
      <c r="HN3" s="355"/>
      <c r="HO3" s="355"/>
      <c r="HP3" s="355"/>
      <c r="HQ3" s="355"/>
      <c r="HR3" s="355"/>
      <c r="HS3" s="355"/>
      <c r="HT3" s="355"/>
      <c r="HU3" s="355"/>
      <c r="HV3" s="355"/>
      <c r="HW3" s="355"/>
      <c r="HX3" s="355"/>
      <c r="HY3" s="355"/>
      <c r="HZ3" s="355"/>
      <c r="IA3" s="355"/>
      <c r="IB3" s="355"/>
      <c r="IC3" s="355"/>
      <c r="ID3" s="355"/>
      <c r="IE3" s="355"/>
      <c r="IF3" s="355"/>
      <c r="IG3" s="355"/>
      <c r="IH3" s="355"/>
      <c r="II3" s="355"/>
      <c r="IJ3" s="355"/>
      <c r="IK3" s="355"/>
      <c r="IL3" s="355"/>
      <c r="IM3" s="355"/>
      <c r="IN3" s="355"/>
      <c r="IO3" s="355"/>
      <c r="IP3" s="355"/>
      <c r="IQ3" s="355"/>
      <c r="IR3" s="355"/>
      <c r="IS3" s="355"/>
      <c r="IT3" s="355"/>
      <c r="IU3" s="355"/>
      <c r="IV3" s="355"/>
      <c r="IW3" s="355"/>
    </row>
    <row r="5" customFormat="false" ht="12.75" hidden="false" customHeight="false" outlineLevel="0" collapsed="false">
      <c r="A5" s="356" t="n">
        <v>46265</v>
      </c>
      <c r="B5" s="357" t="n">
        <v>46265</v>
      </c>
      <c r="C5" s="358"/>
      <c r="D5" s="359"/>
      <c r="E5" s="360"/>
      <c r="F5" s="361"/>
    </row>
    <row r="6" customFormat="false" ht="12.75" hidden="false" customHeight="false" outlineLevel="0" collapsed="false">
      <c r="A6" s="362" t="n">
        <v>46266</v>
      </c>
      <c r="B6" s="345" t="n">
        <v>46266</v>
      </c>
      <c r="E6" s="347" t="n">
        <v>200</v>
      </c>
      <c r="F6" s="363"/>
    </row>
    <row r="7" customFormat="false" ht="12.75" hidden="false" customHeight="false" outlineLevel="0" collapsed="false">
      <c r="A7" s="362" t="n">
        <v>46267</v>
      </c>
      <c r="B7" s="345" t="n">
        <v>46267</v>
      </c>
      <c r="E7" s="347" t="n">
        <v>200</v>
      </c>
      <c r="F7" s="363"/>
    </row>
    <row r="8" customFormat="false" ht="12.75" hidden="false" customHeight="false" outlineLevel="0" collapsed="false">
      <c r="A8" s="362" t="n">
        <v>46268</v>
      </c>
      <c r="B8" s="345" t="n">
        <v>46268</v>
      </c>
      <c r="E8" s="347" t="n">
        <v>200</v>
      </c>
      <c r="F8" s="363"/>
    </row>
    <row r="9" customFormat="false" ht="12.75" hidden="false" customHeight="false" outlineLevel="0" collapsed="false">
      <c r="A9" s="362" t="n">
        <v>46269</v>
      </c>
      <c r="B9" s="345" t="n">
        <v>46269</v>
      </c>
      <c r="E9" s="347" t="n">
        <v>200</v>
      </c>
      <c r="F9" s="363"/>
    </row>
    <row r="10" customFormat="false" ht="12.75" hidden="false" customHeight="false" outlineLevel="0" collapsed="false">
      <c r="A10" s="362" t="n">
        <v>46270</v>
      </c>
      <c r="B10" s="345" t="n">
        <v>46270</v>
      </c>
      <c r="E10" s="347" t="n">
        <v>200</v>
      </c>
      <c r="F10" s="363"/>
    </row>
    <row r="11" customFormat="false" ht="12.75" hidden="false" customHeight="false" outlineLevel="0" collapsed="false">
      <c r="A11" s="362" t="n">
        <v>46271</v>
      </c>
      <c r="B11" s="345" t="n">
        <v>46271</v>
      </c>
      <c r="F11" s="363"/>
    </row>
    <row r="12" customFormat="false" ht="12.75" hidden="false" customHeight="false" outlineLevel="0" collapsed="false">
      <c r="A12" s="362" t="n">
        <v>46271</v>
      </c>
      <c r="B12" s="345" t="s">
        <v>247</v>
      </c>
      <c r="F12" s="363"/>
    </row>
    <row r="13" customFormat="false" ht="12.75" hidden="false" customHeight="false" outlineLevel="0" collapsed="false">
      <c r="A13" s="362" t="n">
        <v>46271</v>
      </c>
      <c r="B13" s="345" t="s">
        <v>248</v>
      </c>
      <c r="F13" s="363"/>
    </row>
    <row r="14" customFormat="false" ht="12.75" hidden="false" customHeight="false" outlineLevel="0" collapsed="false">
      <c r="A14" s="364"/>
      <c r="B14" s="365"/>
      <c r="C14" s="366"/>
      <c r="D14" s="367"/>
      <c r="E14" s="368" t="n">
        <f aca="false">SUM(E5:E13)</f>
        <v>1000</v>
      </c>
      <c r="F14" s="369" t="n">
        <f aca="false">SUM(F5:F13)</f>
        <v>0</v>
      </c>
    </row>
    <row r="16" customFormat="false" ht="12.75" hidden="false" customHeight="false" outlineLevel="0" collapsed="false">
      <c r="A16" s="356" t="n">
        <v>46272</v>
      </c>
      <c r="B16" s="357" t="n">
        <v>46272</v>
      </c>
      <c r="C16" s="358"/>
      <c r="D16" s="359"/>
      <c r="E16" s="360"/>
      <c r="F16" s="361"/>
    </row>
    <row r="17" customFormat="false" ht="12.75" hidden="false" customHeight="false" outlineLevel="0" collapsed="false">
      <c r="A17" s="362" t="n">
        <v>46273</v>
      </c>
      <c r="B17" s="345" t="n">
        <v>46273</v>
      </c>
      <c r="E17" s="347" t="n">
        <v>200</v>
      </c>
      <c r="F17" s="363"/>
    </row>
    <row r="18" customFormat="false" ht="12.75" hidden="false" customHeight="false" outlineLevel="0" collapsed="false">
      <c r="A18" s="362" t="n">
        <v>46274</v>
      </c>
      <c r="B18" s="345" t="n">
        <v>46274</v>
      </c>
      <c r="E18" s="347" t="n">
        <v>200</v>
      </c>
      <c r="F18" s="363"/>
    </row>
    <row r="19" customFormat="false" ht="12.75" hidden="false" customHeight="false" outlineLevel="0" collapsed="false">
      <c r="A19" s="362" t="n">
        <v>46275</v>
      </c>
      <c r="B19" s="345" t="n">
        <v>46275</v>
      </c>
      <c r="E19" s="347" t="n">
        <v>200</v>
      </c>
      <c r="F19" s="363"/>
    </row>
    <row r="20" customFormat="false" ht="12.75" hidden="false" customHeight="false" outlineLevel="0" collapsed="false">
      <c r="A20" s="362" t="n">
        <v>46276</v>
      </c>
      <c r="B20" s="345" t="n">
        <v>46276</v>
      </c>
      <c r="E20" s="347" t="n">
        <v>200</v>
      </c>
      <c r="F20" s="363"/>
    </row>
    <row r="21" customFormat="false" ht="12.75" hidden="false" customHeight="false" outlineLevel="0" collapsed="false">
      <c r="A21" s="362" t="n">
        <v>46277</v>
      </c>
      <c r="B21" s="345" t="n">
        <v>46277</v>
      </c>
      <c r="E21" s="347" t="n">
        <v>200</v>
      </c>
      <c r="F21" s="363"/>
    </row>
    <row r="22" customFormat="false" ht="12.75" hidden="false" customHeight="false" outlineLevel="0" collapsed="false">
      <c r="A22" s="362" t="n">
        <v>46278</v>
      </c>
      <c r="B22" s="345" t="n">
        <v>46278</v>
      </c>
      <c r="F22" s="363"/>
    </row>
    <row r="23" customFormat="false" ht="12.75" hidden="false" customHeight="false" outlineLevel="0" collapsed="false">
      <c r="A23" s="362" t="n">
        <v>46278</v>
      </c>
      <c r="B23" s="345" t="s">
        <v>247</v>
      </c>
      <c r="F23" s="363"/>
    </row>
    <row r="24" customFormat="false" ht="12.75" hidden="false" customHeight="false" outlineLevel="0" collapsed="false">
      <c r="A24" s="362" t="n">
        <v>46278</v>
      </c>
      <c r="B24" s="345" t="s">
        <v>248</v>
      </c>
      <c r="F24" s="363"/>
    </row>
    <row r="25" customFormat="false" ht="12.75" hidden="false" customHeight="false" outlineLevel="0" collapsed="false">
      <c r="A25" s="364"/>
      <c r="B25" s="365"/>
      <c r="C25" s="366"/>
      <c r="D25" s="367"/>
      <c r="E25" s="368" t="n">
        <f aca="false">SUM(E16:E24)</f>
        <v>1000</v>
      </c>
      <c r="F25" s="369" t="n">
        <f aca="false">SUM(F16:F24)</f>
        <v>0</v>
      </c>
    </row>
    <row r="27" customFormat="false" ht="12.75" hidden="false" customHeight="false" outlineLevel="0" collapsed="false">
      <c r="A27" s="356" t="n">
        <v>46279</v>
      </c>
      <c r="B27" s="357" t="n">
        <v>46279</v>
      </c>
      <c r="C27" s="358"/>
      <c r="D27" s="359"/>
      <c r="E27" s="360"/>
      <c r="F27" s="361"/>
    </row>
    <row r="28" customFormat="false" ht="12.75" hidden="false" customHeight="false" outlineLevel="0" collapsed="false">
      <c r="A28" s="362" t="n">
        <v>46280</v>
      </c>
      <c r="B28" s="345" t="n">
        <v>46280</v>
      </c>
      <c r="C28" s="180" t="s">
        <v>293</v>
      </c>
      <c r="E28" s="347" t="n">
        <v>200</v>
      </c>
      <c r="F28" s="363" t="n">
        <v>500</v>
      </c>
    </row>
    <row r="29" customFormat="false" ht="12.75" hidden="false" customHeight="false" outlineLevel="0" collapsed="false">
      <c r="A29" s="362" t="n">
        <v>46281</v>
      </c>
      <c r="B29" s="345" t="n">
        <v>46281</v>
      </c>
      <c r="E29" s="347" t="n">
        <v>200</v>
      </c>
      <c r="F29" s="363"/>
    </row>
    <row r="30" customFormat="false" ht="12.75" hidden="false" customHeight="false" outlineLevel="0" collapsed="false">
      <c r="A30" s="362" t="n">
        <v>46282</v>
      </c>
      <c r="B30" s="345" t="n">
        <v>46282</v>
      </c>
      <c r="E30" s="347" t="n">
        <v>200</v>
      </c>
      <c r="F30" s="363"/>
    </row>
    <row r="31" customFormat="false" ht="12.75" hidden="false" customHeight="false" outlineLevel="0" collapsed="false">
      <c r="A31" s="362" t="n">
        <v>46283</v>
      </c>
      <c r="B31" s="345" t="n">
        <v>46283</v>
      </c>
      <c r="E31" s="347" t="n">
        <v>200</v>
      </c>
      <c r="F31" s="363"/>
    </row>
    <row r="32" customFormat="false" ht="12.75" hidden="false" customHeight="false" outlineLevel="0" collapsed="false">
      <c r="A32" s="362" t="n">
        <v>46284</v>
      </c>
      <c r="B32" s="345" t="n">
        <v>46284</v>
      </c>
      <c r="E32" s="347" t="n">
        <v>200</v>
      </c>
      <c r="F32" s="363"/>
    </row>
    <row r="33" customFormat="false" ht="12.75" hidden="false" customHeight="false" outlineLevel="0" collapsed="false">
      <c r="A33" s="362" t="n">
        <v>46285</v>
      </c>
      <c r="B33" s="345" t="n">
        <v>46285</v>
      </c>
      <c r="F33" s="363"/>
    </row>
    <row r="34" customFormat="false" ht="12.75" hidden="false" customHeight="false" outlineLevel="0" collapsed="false">
      <c r="A34" s="362" t="n">
        <v>46285</v>
      </c>
      <c r="B34" s="345" t="s">
        <v>247</v>
      </c>
      <c r="F34" s="363"/>
    </row>
    <row r="35" customFormat="false" ht="12.75" hidden="false" customHeight="false" outlineLevel="0" collapsed="false">
      <c r="A35" s="362" t="n">
        <v>46285</v>
      </c>
      <c r="B35" s="345" t="s">
        <v>248</v>
      </c>
      <c r="F35" s="363"/>
    </row>
    <row r="36" customFormat="false" ht="12.75" hidden="false" customHeight="false" outlineLevel="0" collapsed="false">
      <c r="A36" s="364"/>
      <c r="B36" s="365"/>
      <c r="C36" s="366"/>
      <c r="D36" s="367"/>
      <c r="E36" s="368" t="n">
        <f aca="false">SUM(E27:E35)</f>
        <v>1000</v>
      </c>
      <c r="F36" s="369" t="n">
        <f aca="false">SUM(F27:F35)</f>
        <v>500</v>
      </c>
    </row>
    <row r="38" customFormat="false" ht="12.75" hidden="false" customHeight="false" outlineLevel="0" collapsed="false">
      <c r="A38" s="356" t="n">
        <v>46286</v>
      </c>
      <c r="B38" s="357" t="n">
        <v>46286</v>
      </c>
      <c r="C38" s="358"/>
      <c r="D38" s="359"/>
      <c r="E38" s="360"/>
      <c r="F38" s="361"/>
    </row>
    <row r="39" customFormat="false" ht="12.75" hidden="false" customHeight="false" outlineLevel="0" collapsed="false">
      <c r="A39" s="362" t="n">
        <v>46287</v>
      </c>
      <c r="B39" s="345" t="n">
        <v>46287</v>
      </c>
      <c r="F39" s="363"/>
    </row>
    <row r="40" customFormat="false" ht="12.75" hidden="false" customHeight="false" outlineLevel="0" collapsed="false">
      <c r="A40" s="362" t="n">
        <v>46288</v>
      </c>
      <c r="B40" s="345" t="n">
        <v>46288</v>
      </c>
      <c r="F40" s="363"/>
    </row>
    <row r="41" customFormat="false" ht="12.75" hidden="false" customHeight="false" outlineLevel="0" collapsed="false">
      <c r="A41" s="362" t="n">
        <v>46289</v>
      </c>
      <c r="B41" s="345" t="n">
        <v>46289</v>
      </c>
      <c r="F41" s="363"/>
    </row>
    <row r="42" customFormat="false" ht="12.75" hidden="false" customHeight="false" outlineLevel="0" collapsed="false">
      <c r="A42" s="362" t="n">
        <v>46290</v>
      </c>
      <c r="B42" s="345" t="n">
        <v>46290</v>
      </c>
      <c r="F42" s="363"/>
    </row>
    <row r="43" customFormat="false" ht="12.75" hidden="false" customHeight="false" outlineLevel="0" collapsed="false">
      <c r="A43" s="362" t="n">
        <v>46291</v>
      </c>
      <c r="B43" s="345" t="n">
        <v>46291</v>
      </c>
      <c r="F43" s="363"/>
    </row>
    <row r="44" customFormat="false" ht="12.75" hidden="false" customHeight="false" outlineLevel="0" collapsed="false">
      <c r="A44" s="362" t="n">
        <v>46292</v>
      </c>
      <c r="B44" s="345" t="n">
        <v>46292</v>
      </c>
      <c r="F44" s="363"/>
    </row>
    <row r="45" customFormat="false" ht="12.75" hidden="false" customHeight="false" outlineLevel="0" collapsed="false">
      <c r="A45" s="362" t="n">
        <v>46292</v>
      </c>
      <c r="B45" s="345" t="s">
        <v>247</v>
      </c>
      <c r="F45" s="363"/>
    </row>
    <row r="46" customFormat="false" ht="12.75" hidden="false" customHeight="false" outlineLevel="0" collapsed="false">
      <c r="A46" s="362" t="n">
        <v>46292</v>
      </c>
      <c r="B46" s="345" t="s">
        <v>248</v>
      </c>
      <c r="F46" s="363"/>
    </row>
    <row r="47" customFormat="false" ht="12.75" hidden="false" customHeight="false" outlineLevel="0" collapsed="false">
      <c r="A47" s="364"/>
      <c r="B47" s="365"/>
      <c r="C47" s="366"/>
      <c r="D47" s="367"/>
      <c r="E47" s="368" t="n">
        <f aca="false">SUM(E38:E46)</f>
        <v>0</v>
      </c>
      <c r="F47" s="369" t="n">
        <f aca="false">SUM(F38:F46)</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customHeight="false" zeroHeight="false" outlineLevelRow="0" outlineLevelCol="0"/>
  <cols>
    <col collapsed="false" customWidth="true" hidden="false" outlineLevel="0" max="1" min="1" style="370" width="9.66"/>
    <col collapsed="false" customWidth="true" hidden="false" outlineLevel="0" max="2" min="2" style="179" width="23.99"/>
    <col collapsed="false" customWidth="true" hidden="false" outlineLevel="0" max="3" min="3" style="179" width="15.99"/>
    <col collapsed="false" customWidth="false" hidden="false" outlineLevel="0" max="5" min="4" style="371" width="9.15"/>
    <col collapsed="false" customWidth="true" hidden="false" outlineLevel="0" max="6" min="6" style="372" width="12.66"/>
    <col collapsed="false" customWidth="true" hidden="false" outlineLevel="0" max="8" min="7" style="180" width="9.82"/>
    <col collapsed="false" customWidth="true" hidden="false" outlineLevel="0" max="10" min="9" style="180" width="8.33"/>
    <col collapsed="false" customWidth="true" hidden="false" outlineLevel="0" max="12" min="11" style="180" width="7.66"/>
    <col collapsed="false" customWidth="true" hidden="false" outlineLevel="0" max="13" min="13" style="180" width="8.99"/>
    <col collapsed="false" customWidth="false" hidden="false" outlineLevel="0" max="14" min="14" style="180" width="9.15"/>
    <col collapsed="false" customWidth="true" hidden="false" outlineLevel="0" max="15" min="15" style="180" width="9.49"/>
    <col collapsed="false" customWidth="true" hidden="false" outlineLevel="0" max="18" min="16" style="180" width="7.66"/>
    <col collapsed="false" customWidth="true" hidden="false" outlineLevel="0" max="19" min="19" style="180" width="8.49"/>
    <col collapsed="false" customWidth="true" hidden="false" outlineLevel="0" max="20" min="20" style="179" width="12.82"/>
    <col collapsed="false" customWidth="true" hidden="false" outlineLevel="0" max="21" min="21" style="180" width="7.99"/>
    <col collapsed="false" customWidth="false" hidden="false" outlineLevel="0" max="257" min="22" style="179" width="9.15"/>
  </cols>
  <sheetData>
    <row r="1" customFormat="false" ht="13.5" hidden="false" customHeight="true" outlineLevel="0" collapsed="false">
      <c r="A1" s="389" t="n">
        <f aca="false">E1+SalesSep!$D$1+PurchasesAug!A1</f>
        <v>0</v>
      </c>
      <c r="B1" s="390" t="s">
        <v>249</v>
      </c>
      <c r="C1" s="391" t="s">
        <v>242</v>
      </c>
      <c r="D1" s="375" t="str">
        <f aca="false">IF((F1-SUM(G1:S1)&lt;&gt;0),(F1-SUM(G1:S1))," ")</f>
        <v> </v>
      </c>
      <c r="E1" s="351" t="n">
        <f aca="false">SUM(E5:E199)</f>
        <v>0</v>
      </c>
      <c r="F1" s="350" t="n">
        <f aca="false">SUM(F5:F199)</f>
        <v>300</v>
      </c>
      <c r="G1" s="350" t="n">
        <f aca="false">SUM(G5:G199)</f>
        <v>300</v>
      </c>
      <c r="H1" s="350" t="n">
        <f aca="false">SUM(H5:H199)</f>
        <v>0</v>
      </c>
      <c r="I1" s="350" t="n">
        <f aca="false">SUM(I5:I199)</f>
        <v>0</v>
      </c>
      <c r="J1" s="350" t="n">
        <f aca="false">SUM(J5:J199)</f>
        <v>0</v>
      </c>
      <c r="K1" s="350" t="n">
        <f aca="false">SUM(K5:K199)</f>
        <v>0</v>
      </c>
      <c r="L1" s="350" t="n">
        <f aca="false">SUM(L5:L199)</f>
        <v>0</v>
      </c>
      <c r="M1" s="350" t="n">
        <f aca="false">SUM(M5:M199)</f>
        <v>0</v>
      </c>
      <c r="N1" s="350" t="n">
        <f aca="false">SUM(N5:N199)</f>
        <v>0</v>
      </c>
      <c r="O1" s="350" t="n">
        <f aca="false">SUM(O5:O199)</f>
        <v>0</v>
      </c>
      <c r="P1" s="350" t="n">
        <f aca="false">SUM(P5:P199)</f>
        <v>0</v>
      </c>
      <c r="Q1" s="350" t="n">
        <f aca="false">SUM(Q5:Q199)</f>
        <v>0</v>
      </c>
      <c r="R1" s="350" t="n">
        <f aca="false">SUM(R5:R199)</f>
        <v>0</v>
      </c>
      <c r="S1" s="392" t="n">
        <f aca="false">SUM(S5:S199)</f>
        <v>0</v>
      </c>
      <c r="T1" s="393" t="n">
        <f aca="false">S1+PurchasesAug!T1</f>
        <v>8000</v>
      </c>
      <c r="U1" s="392" t="n">
        <f aca="false">SUM(U4:U199)</f>
        <v>0</v>
      </c>
      <c r="V1" s="180"/>
      <c r="W1" s="180"/>
      <c r="X1" s="180"/>
      <c r="Y1" s="180"/>
      <c r="Z1" s="180"/>
      <c r="AA1" s="180"/>
      <c r="AB1" s="180"/>
      <c r="AC1" s="180"/>
      <c r="AD1" s="180"/>
      <c r="AE1" s="180"/>
      <c r="AF1" s="180"/>
      <c r="AG1" s="180"/>
      <c r="AH1" s="180"/>
      <c r="AI1" s="180"/>
      <c r="AJ1" s="180"/>
      <c r="AK1" s="180"/>
      <c r="AL1" s="180"/>
      <c r="AM1" s="180"/>
      <c r="AN1" s="180"/>
      <c r="AO1" s="180"/>
      <c r="AP1" s="180"/>
      <c r="AQ1" s="180"/>
      <c r="AR1" s="180"/>
      <c r="AS1" s="180"/>
      <c r="AT1" s="180"/>
      <c r="AU1" s="180"/>
      <c r="AV1" s="180"/>
      <c r="AW1" s="180"/>
      <c r="AX1" s="180"/>
      <c r="AY1" s="180"/>
      <c r="AZ1" s="180"/>
      <c r="BA1" s="180"/>
      <c r="BB1" s="180"/>
      <c r="BC1" s="180"/>
      <c r="BD1" s="180"/>
      <c r="BE1" s="180"/>
      <c r="BF1" s="180"/>
      <c r="BG1" s="180"/>
      <c r="BH1" s="180"/>
      <c r="BI1" s="180"/>
      <c r="BJ1" s="180"/>
      <c r="BK1" s="180"/>
      <c r="BL1" s="180"/>
      <c r="BM1" s="180"/>
      <c r="BN1" s="180"/>
      <c r="BO1" s="180"/>
      <c r="BP1" s="180"/>
      <c r="BQ1" s="180"/>
      <c r="BR1" s="180"/>
      <c r="BS1" s="180"/>
      <c r="BT1" s="180"/>
      <c r="BU1" s="180"/>
      <c r="BV1" s="180"/>
      <c r="BW1" s="180"/>
      <c r="BX1" s="180"/>
      <c r="BY1" s="180"/>
      <c r="BZ1" s="180"/>
      <c r="CA1" s="180"/>
      <c r="CB1" s="180"/>
      <c r="CC1" s="180"/>
      <c r="CD1" s="180"/>
      <c r="CE1" s="180"/>
      <c r="CF1" s="180"/>
      <c r="CG1" s="180"/>
      <c r="CH1" s="180"/>
      <c r="CI1" s="180"/>
      <c r="CJ1" s="180"/>
      <c r="CK1" s="180"/>
      <c r="CL1" s="180"/>
      <c r="CM1" s="180"/>
      <c r="CN1" s="180"/>
      <c r="CO1" s="180"/>
      <c r="CP1" s="180"/>
      <c r="CQ1" s="180"/>
      <c r="CR1" s="180"/>
      <c r="CS1" s="180"/>
      <c r="CT1" s="180"/>
      <c r="CU1" s="180"/>
      <c r="CV1" s="180"/>
      <c r="CW1" s="180"/>
      <c r="CX1" s="180"/>
      <c r="CY1" s="180"/>
      <c r="CZ1" s="180"/>
      <c r="DA1" s="180"/>
      <c r="DB1" s="180"/>
      <c r="DC1" s="180"/>
      <c r="DD1" s="180"/>
      <c r="DE1" s="180"/>
      <c r="DF1" s="180"/>
      <c r="DG1" s="180"/>
      <c r="DH1" s="180"/>
      <c r="DI1" s="180"/>
      <c r="DJ1" s="180"/>
      <c r="DK1" s="180"/>
      <c r="DL1" s="180"/>
      <c r="DM1" s="180"/>
      <c r="DN1" s="180"/>
      <c r="DO1" s="180"/>
      <c r="DP1" s="180"/>
      <c r="DQ1" s="180"/>
      <c r="DR1" s="180"/>
      <c r="DS1" s="180"/>
      <c r="DT1" s="180"/>
      <c r="DU1" s="180"/>
      <c r="DV1" s="180"/>
      <c r="DW1" s="180"/>
      <c r="DX1" s="180"/>
      <c r="DY1" s="180"/>
      <c r="DZ1" s="180"/>
      <c r="EA1" s="180"/>
      <c r="EB1" s="180"/>
      <c r="EC1" s="180"/>
      <c r="ED1" s="180"/>
      <c r="EE1" s="180"/>
      <c r="EF1" s="180"/>
      <c r="EG1" s="180"/>
      <c r="EH1" s="180"/>
      <c r="EI1" s="180"/>
      <c r="EJ1" s="180"/>
      <c r="EK1" s="180"/>
      <c r="EL1" s="180"/>
      <c r="EM1" s="180"/>
      <c r="EN1" s="180"/>
      <c r="EO1" s="180"/>
      <c r="EP1" s="180"/>
      <c r="EQ1" s="180"/>
      <c r="ER1" s="180"/>
      <c r="ES1" s="180"/>
      <c r="ET1" s="180"/>
      <c r="EU1" s="180"/>
      <c r="EV1" s="180"/>
      <c r="EW1" s="180"/>
      <c r="EX1" s="180"/>
      <c r="EY1" s="180"/>
      <c r="EZ1" s="180"/>
      <c r="FA1" s="180"/>
      <c r="FB1" s="180"/>
      <c r="FC1" s="180"/>
      <c r="FD1" s="180"/>
      <c r="FE1" s="180"/>
      <c r="FF1" s="180"/>
      <c r="FG1" s="180"/>
      <c r="FH1" s="180"/>
      <c r="FI1" s="180"/>
      <c r="FJ1" s="180"/>
      <c r="FK1" s="180"/>
      <c r="FL1" s="180"/>
      <c r="FM1" s="180"/>
      <c r="FN1" s="180"/>
      <c r="FO1" s="180"/>
      <c r="FP1" s="180"/>
      <c r="FQ1" s="180"/>
      <c r="FR1" s="180"/>
      <c r="FS1" s="180"/>
      <c r="FT1" s="180"/>
      <c r="FU1" s="180"/>
      <c r="FV1" s="180"/>
      <c r="FW1" s="180"/>
      <c r="FX1" s="180"/>
      <c r="FY1" s="180"/>
      <c r="FZ1" s="180"/>
      <c r="GA1" s="180"/>
      <c r="GB1" s="180"/>
      <c r="GC1" s="180"/>
      <c r="GD1" s="180"/>
      <c r="GE1" s="180"/>
      <c r="GF1" s="180"/>
      <c r="GG1" s="180"/>
      <c r="GH1" s="180"/>
      <c r="GI1" s="180"/>
      <c r="GJ1" s="180"/>
      <c r="GK1" s="180"/>
      <c r="GL1" s="180"/>
      <c r="GM1" s="180"/>
      <c r="GN1" s="180"/>
      <c r="GO1" s="180"/>
      <c r="GP1" s="180"/>
      <c r="GQ1" s="180"/>
      <c r="GR1" s="180"/>
      <c r="GS1" s="180"/>
      <c r="GT1" s="180"/>
      <c r="GU1" s="180"/>
      <c r="GV1" s="180"/>
      <c r="GW1" s="180"/>
      <c r="GX1" s="180"/>
      <c r="GY1" s="180"/>
      <c r="GZ1" s="180"/>
      <c r="HA1" s="180"/>
      <c r="HB1" s="180"/>
      <c r="HC1" s="180"/>
      <c r="HD1" s="180"/>
      <c r="HE1" s="180"/>
      <c r="HF1" s="180"/>
      <c r="HG1" s="180"/>
      <c r="HH1" s="180"/>
      <c r="HI1" s="180"/>
      <c r="HJ1" s="180"/>
      <c r="HK1" s="180"/>
      <c r="HL1" s="180"/>
      <c r="HM1" s="180"/>
      <c r="HN1" s="180"/>
      <c r="HO1" s="180"/>
      <c r="HP1" s="180"/>
      <c r="HQ1" s="180"/>
      <c r="HR1" s="180"/>
      <c r="HS1" s="180"/>
      <c r="HT1" s="180"/>
      <c r="HU1" s="180"/>
      <c r="HV1" s="180"/>
      <c r="HW1" s="180"/>
      <c r="HX1" s="180"/>
      <c r="HY1" s="180"/>
      <c r="HZ1" s="180"/>
      <c r="IA1" s="180"/>
      <c r="IB1" s="180"/>
      <c r="IC1" s="180"/>
      <c r="ID1" s="180"/>
      <c r="IE1" s="180"/>
      <c r="IF1" s="180"/>
      <c r="IG1" s="180"/>
      <c r="IH1" s="180"/>
      <c r="II1" s="180"/>
      <c r="IJ1" s="180"/>
      <c r="IK1" s="180"/>
      <c r="IL1" s="180"/>
      <c r="IM1" s="180"/>
      <c r="IN1" s="180"/>
      <c r="IO1" s="180"/>
      <c r="IP1" s="180"/>
      <c r="IQ1" s="180"/>
      <c r="IR1" s="180"/>
      <c r="IS1" s="180"/>
      <c r="IT1" s="180"/>
      <c r="IU1" s="180"/>
      <c r="IV1" s="180"/>
      <c r="IW1" s="180"/>
    </row>
    <row r="2" customFormat="false" ht="13.5" hidden="false" customHeight="true" outlineLevel="0" collapsed="false">
      <c r="A2" s="394" t="n">
        <f aca="false">U1+PurchasesAug!A2</f>
        <v>0</v>
      </c>
      <c r="B2" s="239" t="s">
        <v>250</v>
      </c>
      <c r="C2" s="378" t="s">
        <v>251</v>
      </c>
      <c r="D2" s="378" t="s">
        <v>252</v>
      </c>
      <c r="E2" s="378" t="s">
        <v>253</v>
      </c>
      <c r="F2" s="206" t="s">
        <v>254</v>
      </c>
      <c r="G2" s="379" t="s">
        <v>255</v>
      </c>
      <c r="H2" s="379"/>
      <c r="I2" s="380" t="n">
        <f aca="false">G1+H1+I1+J1+PurchasesAug!I2</f>
        <v>3180</v>
      </c>
      <c r="J2" s="380"/>
      <c r="K2" s="206" t="s">
        <v>256</v>
      </c>
      <c r="L2" s="206" t="s">
        <v>257</v>
      </c>
      <c r="M2" s="206" t="s">
        <v>258</v>
      </c>
      <c r="N2" s="206" t="s">
        <v>290</v>
      </c>
      <c r="O2" s="206" t="s">
        <v>260</v>
      </c>
      <c r="P2" s="206" t="s">
        <v>261</v>
      </c>
      <c r="Q2" s="206" t="s">
        <v>262</v>
      </c>
      <c r="R2" s="206" t="s">
        <v>263</v>
      </c>
      <c r="S2" s="381" t="s">
        <v>264</v>
      </c>
      <c r="T2" s="382" t="str">
        <f aca="false">IF(T1&gt;'Fixed Assets'!$D$74,"ENTER VEHICLE CHANGES        on Fixed Asset schedule","Motor Vehicles: make, model, date reg. and reg. Mark")</f>
        <v>ENTER VEHICLE CHANGES        on Fixed Asset schedule</v>
      </c>
      <c r="U2" s="381" t="s">
        <v>118</v>
      </c>
      <c r="V2" s="180"/>
      <c r="W2" s="180"/>
      <c r="X2" s="180"/>
      <c r="Y2" s="180"/>
      <c r="Z2" s="180"/>
      <c r="AA2" s="180"/>
      <c r="AB2" s="180"/>
      <c r="AC2" s="180"/>
      <c r="AD2" s="180"/>
      <c r="AE2" s="180"/>
      <c r="AF2" s="180"/>
      <c r="AG2" s="180"/>
      <c r="AH2" s="180"/>
      <c r="AI2" s="180"/>
      <c r="AJ2" s="180"/>
      <c r="AK2" s="180"/>
      <c r="AL2" s="180"/>
      <c r="AM2" s="180"/>
      <c r="AN2" s="180"/>
      <c r="AO2" s="180"/>
      <c r="AP2" s="180"/>
      <c r="AQ2" s="180"/>
      <c r="AR2" s="180"/>
      <c r="AS2" s="180"/>
      <c r="AT2" s="180"/>
      <c r="AU2" s="180"/>
      <c r="AV2" s="180"/>
      <c r="AW2" s="180"/>
      <c r="AX2" s="180"/>
      <c r="AY2" s="180"/>
      <c r="AZ2" s="180"/>
      <c r="BA2" s="180"/>
      <c r="BB2" s="180"/>
      <c r="BC2" s="180"/>
      <c r="BD2" s="180"/>
      <c r="BE2" s="180"/>
      <c r="BF2" s="180"/>
      <c r="BG2" s="180"/>
      <c r="BH2" s="180"/>
      <c r="BI2" s="180"/>
      <c r="BJ2" s="180"/>
      <c r="BK2" s="180"/>
      <c r="BL2" s="180"/>
      <c r="BM2" s="180"/>
      <c r="BN2" s="180"/>
      <c r="BO2" s="180"/>
      <c r="BP2" s="180"/>
      <c r="BQ2" s="180"/>
      <c r="BR2" s="180"/>
      <c r="BS2" s="180"/>
      <c r="BT2" s="180"/>
      <c r="BU2" s="180"/>
      <c r="BV2" s="180"/>
      <c r="BW2" s="180"/>
      <c r="BX2" s="180"/>
      <c r="BY2" s="180"/>
      <c r="BZ2" s="180"/>
      <c r="CA2" s="180"/>
      <c r="CB2" s="180"/>
      <c r="CC2" s="180"/>
      <c r="CD2" s="180"/>
      <c r="CE2" s="180"/>
      <c r="CF2" s="180"/>
      <c r="CG2" s="180"/>
      <c r="CH2" s="180"/>
      <c r="CI2" s="180"/>
      <c r="CJ2" s="180"/>
      <c r="CK2" s="180"/>
      <c r="CL2" s="180"/>
      <c r="CM2" s="180"/>
      <c r="CN2" s="180"/>
      <c r="CO2" s="180"/>
      <c r="CP2" s="180"/>
      <c r="CQ2" s="180"/>
      <c r="CR2" s="180"/>
      <c r="CS2" s="180"/>
      <c r="CT2" s="180"/>
      <c r="CU2" s="180"/>
      <c r="CV2" s="180"/>
      <c r="CW2" s="180"/>
      <c r="CX2" s="180"/>
      <c r="CY2" s="180"/>
      <c r="CZ2" s="180"/>
      <c r="DA2" s="180"/>
      <c r="DB2" s="180"/>
      <c r="DC2" s="180"/>
      <c r="DD2" s="180"/>
      <c r="DE2" s="180"/>
      <c r="DF2" s="180"/>
      <c r="DG2" s="180"/>
      <c r="DH2" s="180"/>
      <c r="DI2" s="180"/>
      <c r="DJ2" s="180"/>
      <c r="DK2" s="180"/>
      <c r="DL2" s="180"/>
      <c r="DM2" s="180"/>
      <c r="DN2" s="180"/>
      <c r="DO2" s="180"/>
      <c r="DP2" s="180"/>
      <c r="DQ2" s="180"/>
      <c r="DR2" s="180"/>
      <c r="DS2" s="180"/>
      <c r="DT2" s="180"/>
      <c r="DU2" s="180"/>
      <c r="DV2" s="180"/>
      <c r="DW2" s="180"/>
      <c r="DX2" s="180"/>
      <c r="DY2" s="180"/>
      <c r="DZ2" s="180"/>
      <c r="EA2" s="180"/>
      <c r="EB2" s="180"/>
      <c r="EC2" s="180"/>
      <c r="ED2" s="180"/>
      <c r="EE2" s="180"/>
      <c r="EF2" s="180"/>
      <c r="EG2" s="180"/>
      <c r="EH2" s="180"/>
      <c r="EI2" s="180"/>
      <c r="EJ2" s="180"/>
      <c r="EK2" s="180"/>
      <c r="EL2" s="180"/>
      <c r="EM2" s="180"/>
      <c r="EN2" s="180"/>
      <c r="EO2" s="180"/>
      <c r="EP2" s="180"/>
      <c r="EQ2" s="180"/>
      <c r="ER2" s="180"/>
      <c r="ES2" s="180"/>
      <c r="ET2" s="180"/>
      <c r="EU2" s="180"/>
      <c r="EV2" s="180"/>
      <c r="EW2" s="180"/>
      <c r="EX2" s="180"/>
      <c r="EY2" s="180"/>
      <c r="EZ2" s="180"/>
      <c r="FA2" s="180"/>
      <c r="FB2" s="180"/>
      <c r="FC2" s="180"/>
      <c r="FD2" s="180"/>
      <c r="FE2" s="180"/>
      <c r="FF2" s="180"/>
      <c r="FG2" s="180"/>
      <c r="FH2" s="180"/>
      <c r="FI2" s="180"/>
      <c r="FJ2" s="180"/>
      <c r="FK2" s="180"/>
      <c r="FL2" s="180"/>
      <c r="FM2" s="180"/>
      <c r="FN2" s="180"/>
      <c r="FO2" s="180"/>
      <c r="FP2" s="180"/>
      <c r="FQ2" s="180"/>
      <c r="FR2" s="180"/>
      <c r="FS2" s="180"/>
      <c r="FT2" s="180"/>
      <c r="FU2" s="180"/>
      <c r="FV2" s="180"/>
      <c r="FW2" s="180"/>
      <c r="FX2" s="180"/>
      <c r="FY2" s="180"/>
      <c r="FZ2" s="180"/>
      <c r="GA2" s="180"/>
      <c r="GB2" s="180"/>
      <c r="GC2" s="180"/>
      <c r="GD2" s="180"/>
      <c r="GE2" s="180"/>
      <c r="GF2" s="180"/>
      <c r="GG2" s="180"/>
      <c r="GH2" s="180"/>
      <c r="GI2" s="180"/>
      <c r="GJ2" s="180"/>
      <c r="GK2" s="180"/>
      <c r="GL2" s="180"/>
      <c r="GM2" s="180"/>
      <c r="GN2" s="180"/>
      <c r="GO2" s="180"/>
      <c r="GP2" s="180"/>
      <c r="GQ2" s="180"/>
      <c r="GR2" s="180"/>
      <c r="GS2" s="180"/>
      <c r="GT2" s="180"/>
      <c r="GU2" s="180"/>
      <c r="GV2" s="180"/>
      <c r="GW2" s="180"/>
      <c r="GX2" s="180"/>
      <c r="GY2" s="180"/>
      <c r="GZ2" s="180"/>
      <c r="HA2" s="180"/>
      <c r="HB2" s="180"/>
      <c r="HC2" s="180"/>
      <c r="HD2" s="180"/>
      <c r="HE2" s="180"/>
      <c r="HF2" s="180"/>
      <c r="HG2" s="180"/>
      <c r="HH2" s="180"/>
      <c r="HI2" s="180"/>
      <c r="HJ2" s="180"/>
      <c r="HK2" s="180"/>
      <c r="HL2" s="180"/>
      <c r="HM2" s="180"/>
      <c r="HN2" s="180"/>
      <c r="HO2" s="180"/>
      <c r="HP2" s="180"/>
      <c r="HQ2" s="180"/>
      <c r="HR2" s="180"/>
      <c r="HS2" s="180"/>
      <c r="HT2" s="180"/>
      <c r="HU2" s="180"/>
      <c r="HV2" s="180"/>
      <c r="HW2" s="180"/>
      <c r="HX2" s="180"/>
      <c r="HY2" s="180"/>
      <c r="HZ2" s="180"/>
      <c r="IA2" s="180"/>
      <c r="IB2" s="180"/>
      <c r="IC2" s="180"/>
      <c r="ID2" s="180"/>
      <c r="IE2" s="180"/>
      <c r="IF2" s="180"/>
      <c r="IG2" s="180"/>
      <c r="IH2" s="180"/>
      <c r="II2" s="180"/>
      <c r="IJ2" s="180"/>
      <c r="IK2" s="180"/>
      <c r="IL2" s="180"/>
      <c r="IM2" s="180"/>
      <c r="IN2" s="180"/>
      <c r="IO2" s="180"/>
      <c r="IP2" s="180"/>
      <c r="IQ2" s="180"/>
      <c r="IR2" s="180"/>
      <c r="IS2" s="180"/>
      <c r="IT2" s="180"/>
      <c r="IU2" s="180"/>
      <c r="IV2" s="180"/>
      <c r="IW2" s="180"/>
    </row>
    <row r="3" customFormat="false" ht="45" hidden="false" customHeight="true" outlineLevel="0" collapsed="false">
      <c r="A3" s="383" t="s">
        <v>265</v>
      </c>
      <c r="B3" s="206" t="s">
        <v>266</v>
      </c>
      <c r="C3" s="378"/>
      <c r="D3" s="378"/>
      <c r="E3" s="378"/>
      <c r="F3" s="378"/>
      <c r="G3" s="206" t="s">
        <v>113</v>
      </c>
      <c r="H3" s="206" t="s">
        <v>267</v>
      </c>
      <c r="I3" s="206" t="s">
        <v>115</v>
      </c>
      <c r="J3" s="206" t="s">
        <v>116</v>
      </c>
      <c r="K3" s="206"/>
      <c r="L3" s="206"/>
      <c r="M3" s="206"/>
      <c r="N3" s="206"/>
      <c r="O3" s="206"/>
      <c r="P3" s="206"/>
      <c r="Q3" s="206"/>
      <c r="R3" s="206"/>
      <c r="S3" s="381"/>
      <c r="T3" s="382"/>
      <c r="U3" s="381"/>
      <c r="V3" s="384"/>
      <c r="W3" s="384"/>
      <c r="X3" s="384"/>
      <c r="Y3" s="384"/>
      <c r="Z3" s="384"/>
      <c r="AA3" s="384"/>
      <c r="AB3" s="384"/>
      <c r="AC3" s="384"/>
      <c r="AD3" s="384"/>
      <c r="AE3" s="384"/>
      <c r="AF3" s="384"/>
      <c r="AG3" s="384"/>
      <c r="AH3" s="384"/>
      <c r="AI3" s="384"/>
      <c r="AJ3" s="384"/>
      <c r="AK3" s="384"/>
      <c r="AL3" s="384"/>
      <c r="AM3" s="384"/>
      <c r="AN3" s="384"/>
      <c r="AO3" s="384"/>
      <c r="AP3" s="384"/>
      <c r="AQ3" s="384"/>
      <c r="AR3" s="384"/>
      <c r="AS3" s="384"/>
      <c r="AT3" s="384"/>
      <c r="AU3" s="384"/>
      <c r="AV3" s="384"/>
      <c r="AW3" s="384"/>
      <c r="AX3" s="384"/>
      <c r="AY3" s="384"/>
      <c r="AZ3" s="384"/>
      <c r="BA3" s="384"/>
      <c r="BB3" s="384"/>
      <c r="BC3" s="384"/>
      <c r="BD3" s="384"/>
      <c r="BE3" s="384"/>
      <c r="BF3" s="384"/>
      <c r="BG3" s="384"/>
      <c r="BH3" s="384"/>
      <c r="BI3" s="384"/>
      <c r="BJ3" s="384"/>
      <c r="BK3" s="384"/>
      <c r="BL3" s="384"/>
      <c r="BM3" s="384"/>
      <c r="BN3" s="384"/>
      <c r="BO3" s="384"/>
      <c r="BP3" s="384"/>
      <c r="BQ3" s="384"/>
      <c r="BR3" s="384"/>
      <c r="BS3" s="384"/>
      <c r="BT3" s="384"/>
      <c r="BU3" s="384"/>
      <c r="BV3" s="384"/>
      <c r="BW3" s="384"/>
      <c r="BX3" s="384"/>
      <c r="BY3" s="384"/>
      <c r="BZ3" s="384"/>
      <c r="CA3" s="384"/>
      <c r="CB3" s="384"/>
      <c r="CC3" s="384"/>
      <c r="CD3" s="384"/>
      <c r="CE3" s="384"/>
      <c r="CF3" s="384"/>
      <c r="CG3" s="384"/>
      <c r="CH3" s="384"/>
      <c r="CI3" s="384"/>
      <c r="CJ3" s="384"/>
      <c r="CK3" s="384"/>
      <c r="CL3" s="384"/>
      <c r="CM3" s="384"/>
      <c r="CN3" s="384"/>
      <c r="CO3" s="384"/>
      <c r="CP3" s="384"/>
      <c r="CQ3" s="384"/>
      <c r="CR3" s="384"/>
      <c r="CS3" s="384"/>
      <c r="CT3" s="384"/>
      <c r="CU3" s="384"/>
      <c r="CV3" s="384"/>
      <c r="CW3" s="384"/>
      <c r="CX3" s="384"/>
      <c r="CY3" s="384"/>
      <c r="CZ3" s="384"/>
      <c r="DA3" s="384"/>
      <c r="DB3" s="384"/>
      <c r="DC3" s="384"/>
      <c r="DD3" s="384"/>
      <c r="DE3" s="384"/>
      <c r="DF3" s="384"/>
      <c r="DG3" s="384"/>
      <c r="DH3" s="384"/>
      <c r="DI3" s="384"/>
      <c r="DJ3" s="384"/>
      <c r="DK3" s="384"/>
      <c r="DL3" s="384"/>
      <c r="DM3" s="384"/>
      <c r="DN3" s="384"/>
      <c r="DO3" s="384"/>
      <c r="DP3" s="384"/>
      <c r="DQ3" s="384"/>
      <c r="DR3" s="384"/>
      <c r="DS3" s="384"/>
      <c r="DT3" s="384"/>
      <c r="DU3" s="384"/>
      <c r="DV3" s="384"/>
      <c r="DW3" s="384"/>
      <c r="DX3" s="384"/>
      <c r="DY3" s="384"/>
      <c r="DZ3" s="384"/>
      <c r="EA3" s="384"/>
      <c r="EB3" s="384"/>
      <c r="EC3" s="384"/>
      <c r="ED3" s="384"/>
      <c r="EE3" s="384"/>
      <c r="EF3" s="384"/>
      <c r="EG3" s="384"/>
      <c r="EH3" s="384"/>
      <c r="EI3" s="384"/>
      <c r="EJ3" s="384"/>
      <c r="EK3" s="384"/>
      <c r="EL3" s="384"/>
      <c r="EM3" s="384"/>
      <c r="EN3" s="384"/>
      <c r="EO3" s="384"/>
      <c r="EP3" s="384"/>
      <c r="EQ3" s="384"/>
      <c r="ER3" s="384"/>
      <c r="ES3" s="384"/>
      <c r="ET3" s="384"/>
      <c r="EU3" s="384"/>
      <c r="EV3" s="384"/>
      <c r="EW3" s="384"/>
      <c r="EX3" s="384"/>
      <c r="EY3" s="384"/>
      <c r="EZ3" s="384"/>
      <c r="FA3" s="384"/>
      <c r="FB3" s="384"/>
      <c r="FC3" s="384"/>
      <c r="FD3" s="384"/>
      <c r="FE3" s="384"/>
      <c r="FF3" s="384"/>
      <c r="FG3" s="384"/>
      <c r="FH3" s="384"/>
      <c r="FI3" s="384"/>
      <c r="FJ3" s="384"/>
      <c r="FK3" s="384"/>
      <c r="FL3" s="384"/>
      <c r="FM3" s="384"/>
      <c r="FN3" s="384"/>
      <c r="FO3" s="384"/>
      <c r="FP3" s="384"/>
      <c r="FQ3" s="384"/>
      <c r="FR3" s="384"/>
      <c r="FS3" s="384"/>
      <c r="FT3" s="384"/>
      <c r="FU3" s="384"/>
      <c r="FV3" s="384"/>
      <c r="FW3" s="384"/>
      <c r="FX3" s="384"/>
      <c r="FY3" s="384"/>
      <c r="FZ3" s="384"/>
      <c r="GA3" s="384"/>
      <c r="GB3" s="384"/>
      <c r="GC3" s="384"/>
      <c r="GD3" s="384"/>
      <c r="GE3" s="384"/>
      <c r="GF3" s="384"/>
      <c r="GG3" s="384"/>
      <c r="GH3" s="384"/>
      <c r="GI3" s="384"/>
      <c r="GJ3" s="384"/>
      <c r="GK3" s="384"/>
      <c r="GL3" s="384"/>
      <c r="GM3" s="384"/>
      <c r="GN3" s="384"/>
      <c r="GO3" s="384"/>
      <c r="GP3" s="384"/>
      <c r="GQ3" s="384"/>
      <c r="GR3" s="384"/>
      <c r="GS3" s="384"/>
      <c r="GT3" s="384"/>
      <c r="GU3" s="384"/>
      <c r="GV3" s="384"/>
      <c r="GW3" s="384"/>
      <c r="GX3" s="384"/>
      <c r="GY3" s="384"/>
      <c r="GZ3" s="384"/>
      <c r="HA3" s="384"/>
      <c r="HB3" s="384"/>
      <c r="HC3" s="384"/>
      <c r="HD3" s="384"/>
      <c r="HE3" s="384"/>
      <c r="HF3" s="384"/>
      <c r="HG3" s="384"/>
      <c r="HH3" s="384"/>
      <c r="HI3" s="384"/>
      <c r="HJ3" s="384"/>
      <c r="HK3" s="384"/>
      <c r="HL3" s="384"/>
      <c r="HM3" s="384"/>
      <c r="HN3" s="384"/>
      <c r="HO3" s="384"/>
      <c r="HP3" s="384"/>
      <c r="HQ3" s="384"/>
      <c r="HR3" s="384"/>
      <c r="HS3" s="384"/>
      <c r="HT3" s="384"/>
      <c r="HU3" s="384"/>
      <c r="HV3" s="384"/>
      <c r="HW3" s="384"/>
      <c r="HX3" s="384"/>
      <c r="HY3" s="384"/>
      <c r="HZ3" s="384"/>
      <c r="IA3" s="384"/>
      <c r="IB3" s="384"/>
      <c r="IC3" s="384"/>
      <c r="ID3" s="384"/>
      <c r="IE3" s="384"/>
      <c r="IF3" s="384"/>
      <c r="IG3" s="384"/>
      <c r="IH3" s="384"/>
      <c r="II3" s="384"/>
      <c r="IJ3" s="384"/>
      <c r="IK3" s="384"/>
      <c r="IL3" s="384"/>
      <c r="IM3" s="384"/>
      <c r="IN3" s="384"/>
      <c r="IO3" s="384"/>
      <c r="IP3" s="384"/>
      <c r="IQ3" s="384"/>
      <c r="IR3" s="384"/>
      <c r="IS3" s="384"/>
      <c r="IT3" s="384"/>
      <c r="IU3" s="384"/>
      <c r="IV3" s="384"/>
      <c r="IW3" s="384"/>
    </row>
    <row r="4" customFormat="false" ht="12.75" hidden="false" customHeight="false" outlineLevel="0" collapsed="false">
      <c r="A4" s="385" t="str">
        <f aca="false">IF((E1&lt;&gt;0),Admin!$B$10," ")</f>
        <v> </v>
      </c>
      <c r="B4" s="206"/>
      <c r="C4" s="206"/>
      <c r="D4" s="206"/>
      <c r="E4" s="206"/>
      <c r="F4" s="206"/>
      <c r="G4" s="374" t="s">
        <v>268</v>
      </c>
      <c r="H4" s="374" t="s">
        <v>269</v>
      </c>
      <c r="I4" s="374" t="s">
        <v>270</v>
      </c>
      <c r="J4" s="374" t="s">
        <v>271</v>
      </c>
      <c r="K4" s="374" t="s">
        <v>272</v>
      </c>
      <c r="L4" s="374" t="s">
        <v>273</v>
      </c>
      <c r="M4" s="374" t="s">
        <v>274</v>
      </c>
      <c r="N4" s="374" t="s">
        <v>275</v>
      </c>
      <c r="O4" s="374" t="s">
        <v>276</v>
      </c>
      <c r="P4" s="374" t="s">
        <v>277</v>
      </c>
      <c r="Q4" s="374" t="s">
        <v>278</v>
      </c>
      <c r="R4" s="374" t="s">
        <v>279</v>
      </c>
      <c r="S4" s="386" t="s">
        <v>280</v>
      </c>
      <c r="T4" s="382"/>
      <c r="U4" s="393" t="n">
        <f aca="false">IF((A1&lt;Admin!$F$22),((A1-PurchasesAug!A1)*Admin!$G$21),(A1*Admin!$G$21-(A1-Admin!$F$21)*(Admin!$G$21-Admin!$G$22)-PurchasesAug!A2))</f>
        <v>0</v>
      </c>
      <c r="V4" s="387"/>
      <c r="W4" s="387"/>
      <c r="X4" s="387"/>
      <c r="Y4" s="387"/>
      <c r="Z4" s="387"/>
      <c r="AA4" s="387"/>
      <c r="AB4" s="387"/>
      <c r="AC4" s="387"/>
      <c r="AD4" s="387"/>
      <c r="AE4" s="387"/>
      <c r="AF4" s="387"/>
      <c r="AG4" s="387"/>
      <c r="AH4" s="387"/>
      <c r="AI4" s="387"/>
      <c r="AJ4" s="387"/>
      <c r="AK4" s="387"/>
      <c r="AL4" s="387"/>
      <c r="AM4" s="387"/>
      <c r="AN4" s="387"/>
      <c r="AO4" s="387"/>
      <c r="AP4" s="387"/>
      <c r="AQ4" s="387"/>
      <c r="AR4" s="387"/>
      <c r="AS4" s="387"/>
      <c r="AT4" s="387"/>
      <c r="AU4" s="387"/>
      <c r="AV4" s="387"/>
      <c r="AW4" s="387"/>
      <c r="AX4" s="387"/>
      <c r="AY4" s="387"/>
      <c r="AZ4" s="387"/>
      <c r="BA4" s="387"/>
      <c r="BB4" s="387"/>
      <c r="BC4" s="387"/>
      <c r="BD4" s="387"/>
      <c r="BE4" s="387"/>
      <c r="BF4" s="387"/>
      <c r="BG4" s="387"/>
      <c r="BH4" s="387"/>
      <c r="BI4" s="387"/>
      <c r="BJ4" s="387"/>
      <c r="BK4" s="387"/>
      <c r="BL4" s="387"/>
      <c r="BM4" s="387"/>
      <c r="BN4" s="387"/>
      <c r="BO4" s="387"/>
      <c r="BP4" s="387"/>
      <c r="BQ4" s="387"/>
      <c r="BR4" s="387"/>
      <c r="BS4" s="387"/>
      <c r="BT4" s="387"/>
      <c r="BU4" s="387"/>
      <c r="BV4" s="387"/>
      <c r="BW4" s="387"/>
      <c r="BX4" s="387"/>
      <c r="BY4" s="387"/>
      <c r="BZ4" s="387"/>
      <c r="CA4" s="387"/>
      <c r="CB4" s="387"/>
      <c r="CC4" s="387"/>
      <c r="CD4" s="387"/>
      <c r="CE4" s="387"/>
      <c r="CF4" s="387"/>
      <c r="CG4" s="387"/>
      <c r="CH4" s="387"/>
      <c r="CI4" s="387"/>
      <c r="CJ4" s="387"/>
      <c r="CK4" s="387"/>
      <c r="CL4" s="387"/>
      <c r="CM4" s="387"/>
      <c r="CN4" s="387"/>
      <c r="CO4" s="387"/>
      <c r="CP4" s="387"/>
      <c r="CQ4" s="387"/>
      <c r="CR4" s="387"/>
      <c r="CS4" s="387"/>
      <c r="CT4" s="387"/>
      <c r="CU4" s="387"/>
      <c r="CV4" s="387"/>
      <c r="CW4" s="387"/>
      <c r="CX4" s="387"/>
      <c r="CY4" s="387"/>
      <c r="CZ4" s="387"/>
      <c r="DA4" s="387"/>
      <c r="DB4" s="387"/>
      <c r="DC4" s="387"/>
      <c r="DD4" s="387"/>
      <c r="DE4" s="387"/>
      <c r="DF4" s="387"/>
      <c r="DG4" s="387"/>
      <c r="DH4" s="387"/>
      <c r="DI4" s="387"/>
      <c r="DJ4" s="387"/>
      <c r="DK4" s="387"/>
      <c r="DL4" s="387"/>
      <c r="DM4" s="387"/>
      <c r="DN4" s="387"/>
      <c r="DO4" s="387"/>
      <c r="DP4" s="387"/>
      <c r="DQ4" s="387"/>
      <c r="DR4" s="387"/>
      <c r="DS4" s="387"/>
      <c r="DT4" s="387"/>
      <c r="DU4" s="387"/>
      <c r="DV4" s="387"/>
      <c r="DW4" s="387"/>
      <c r="DX4" s="387"/>
      <c r="DY4" s="387"/>
      <c r="DZ4" s="387"/>
      <c r="EA4" s="387"/>
      <c r="EB4" s="387"/>
      <c r="EC4" s="387"/>
      <c r="ED4" s="387"/>
      <c r="EE4" s="387"/>
      <c r="EF4" s="387"/>
      <c r="EG4" s="387"/>
      <c r="EH4" s="387"/>
      <c r="EI4" s="387"/>
      <c r="EJ4" s="387"/>
      <c r="EK4" s="387"/>
      <c r="EL4" s="387"/>
      <c r="EM4" s="387"/>
      <c r="EN4" s="387"/>
      <c r="EO4" s="387"/>
      <c r="EP4" s="387"/>
      <c r="EQ4" s="387"/>
      <c r="ER4" s="387"/>
      <c r="ES4" s="387"/>
      <c r="ET4" s="387"/>
      <c r="EU4" s="387"/>
      <c r="EV4" s="387"/>
      <c r="EW4" s="387"/>
      <c r="EX4" s="387"/>
      <c r="EY4" s="387"/>
      <c r="EZ4" s="387"/>
      <c r="FA4" s="387"/>
      <c r="FB4" s="387"/>
      <c r="FC4" s="387"/>
      <c r="FD4" s="387"/>
      <c r="FE4" s="387"/>
      <c r="FF4" s="387"/>
      <c r="FG4" s="387"/>
      <c r="FH4" s="387"/>
      <c r="FI4" s="387"/>
      <c r="FJ4" s="387"/>
      <c r="FK4" s="387"/>
      <c r="FL4" s="387"/>
      <c r="FM4" s="387"/>
      <c r="FN4" s="387"/>
      <c r="FO4" s="387"/>
      <c r="FP4" s="387"/>
      <c r="FQ4" s="387"/>
      <c r="FR4" s="387"/>
      <c r="FS4" s="387"/>
      <c r="FT4" s="387"/>
      <c r="FU4" s="387"/>
      <c r="FV4" s="387"/>
      <c r="FW4" s="387"/>
      <c r="FX4" s="387"/>
      <c r="FY4" s="387"/>
      <c r="FZ4" s="387"/>
      <c r="GA4" s="387"/>
      <c r="GB4" s="387"/>
      <c r="GC4" s="387"/>
      <c r="GD4" s="387"/>
      <c r="GE4" s="387"/>
      <c r="GF4" s="387"/>
      <c r="GG4" s="387"/>
      <c r="GH4" s="387"/>
      <c r="GI4" s="387"/>
      <c r="GJ4" s="387"/>
      <c r="GK4" s="387"/>
      <c r="GL4" s="387"/>
      <c r="GM4" s="387"/>
      <c r="GN4" s="387"/>
      <c r="GO4" s="387"/>
      <c r="GP4" s="387"/>
      <c r="GQ4" s="387"/>
      <c r="GR4" s="387"/>
      <c r="GS4" s="387"/>
      <c r="GT4" s="387"/>
      <c r="GU4" s="387"/>
      <c r="GV4" s="387"/>
      <c r="GW4" s="387"/>
      <c r="GX4" s="387"/>
      <c r="GY4" s="387"/>
      <c r="GZ4" s="387"/>
      <c r="HA4" s="387"/>
      <c r="HB4" s="387"/>
      <c r="HC4" s="387"/>
      <c r="HD4" s="387"/>
      <c r="HE4" s="387"/>
      <c r="HF4" s="387"/>
      <c r="HG4" s="387"/>
      <c r="HH4" s="387"/>
      <c r="HI4" s="387"/>
      <c r="HJ4" s="387"/>
      <c r="HK4" s="387"/>
      <c r="HL4" s="387"/>
      <c r="HM4" s="387"/>
      <c r="HN4" s="387"/>
      <c r="HO4" s="387"/>
      <c r="HP4" s="387"/>
      <c r="HQ4" s="387"/>
      <c r="HR4" s="387"/>
      <c r="HS4" s="387"/>
      <c r="HT4" s="387"/>
      <c r="HU4" s="387"/>
      <c r="HV4" s="387"/>
      <c r="HW4" s="387"/>
      <c r="HX4" s="387"/>
      <c r="HY4" s="387"/>
      <c r="HZ4" s="387"/>
      <c r="IA4" s="387"/>
      <c r="IB4" s="387"/>
      <c r="IC4" s="387"/>
      <c r="ID4" s="387"/>
      <c r="IE4" s="387"/>
      <c r="IF4" s="387"/>
      <c r="IG4" s="387"/>
      <c r="IH4" s="387"/>
      <c r="II4" s="387"/>
      <c r="IJ4" s="387"/>
      <c r="IK4" s="387"/>
      <c r="IL4" s="387"/>
      <c r="IM4" s="387"/>
      <c r="IN4" s="387"/>
      <c r="IO4" s="387"/>
      <c r="IP4" s="387"/>
      <c r="IQ4" s="387"/>
      <c r="IR4" s="387"/>
      <c r="IS4" s="387"/>
      <c r="IT4" s="387"/>
      <c r="IU4" s="387"/>
      <c r="IV4" s="387"/>
      <c r="IW4" s="387"/>
    </row>
    <row r="5" customFormat="false" ht="12.75" hidden="false" customHeight="false" outlineLevel="0" collapsed="false">
      <c r="A5" s="370" t="n">
        <v>46280</v>
      </c>
      <c r="B5" s="388" t="s">
        <v>286</v>
      </c>
      <c r="C5" s="371"/>
      <c r="D5" s="371" t="s">
        <v>287</v>
      </c>
      <c r="F5" s="371" t="n">
        <v>300</v>
      </c>
      <c r="G5" s="180" t="n">
        <f aca="false">IF((D5="d"),F5," ")</f>
        <v>300</v>
      </c>
      <c r="H5" s="180" t="str">
        <f aca="false">IF((D5="h"),F5," ")</f>
        <v> </v>
      </c>
      <c r="I5" s="180" t="str">
        <f aca="false">IF((D5="r"),F5," ")</f>
        <v> </v>
      </c>
      <c r="J5" s="180" t="str">
        <f aca="false">IF((D5="t"),F5," ")</f>
        <v> </v>
      </c>
      <c r="K5" s="180" t="str">
        <f aca="false">IF((D5="e"),F5," ")</f>
        <v> </v>
      </c>
      <c r="L5" s="180" t="str">
        <f aca="false">IF((D5="p"),F5," ")</f>
        <v> </v>
      </c>
      <c r="M5" s="180" t="str">
        <f aca="false">IF((D5="g"),F5," ")</f>
        <v> </v>
      </c>
      <c r="N5" s="180" t="str">
        <f aca="false">IF((D5="a"),F5," ")</f>
        <v> </v>
      </c>
      <c r="O5" s="180" t="str">
        <f aca="false">IF((D5="l"),F5," ")</f>
        <v> </v>
      </c>
      <c r="P5" s="180" t="str">
        <f aca="false">IF((D5="i"),F5," ")</f>
        <v> </v>
      </c>
      <c r="Q5" s="180" t="str">
        <f aca="false">IF((D5="b"),F5," ")</f>
        <v> </v>
      </c>
      <c r="R5" s="180" t="str">
        <f aca="false">IF((D5="o"),F5," ")</f>
        <v> </v>
      </c>
      <c r="S5" s="180" t="str">
        <f aca="false">IF((D5="f"),F5," ")</f>
        <v> </v>
      </c>
      <c r="T5" s="371"/>
      <c r="U5" s="371"/>
      <c r="V5" s="371"/>
      <c r="W5" s="371"/>
      <c r="X5" s="371"/>
      <c r="Y5" s="371"/>
      <c r="Z5" s="371"/>
      <c r="AA5" s="371"/>
      <c r="AB5" s="371"/>
      <c r="AC5" s="371"/>
      <c r="AD5" s="371"/>
      <c r="AE5" s="371"/>
      <c r="AF5" s="371"/>
      <c r="AG5" s="371"/>
      <c r="AH5" s="371"/>
      <c r="AI5" s="371"/>
      <c r="AJ5" s="371"/>
      <c r="AK5" s="371"/>
      <c r="AL5" s="371"/>
      <c r="AM5" s="371"/>
      <c r="AN5" s="371"/>
      <c r="AO5" s="371"/>
      <c r="AP5" s="371"/>
      <c r="AQ5" s="371"/>
      <c r="AR5" s="371"/>
      <c r="AS5" s="371"/>
      <c r="AT5" s="371"/>
      <c r="AU5" s="371"/>
      <c r="AV5" s="371"/>
      <c r="AW5" s="371"/>
      <c r="AX5" s="371"/>
      <c r="AY5" s="371"/>
      <c r="AZ5" s="371"/>
      <c r="BA5" s="371"/>
      <c r="BB5" s="371"/>
      <c r="BC5" s="371"/>
      <c r="BD5" s="371"/>
      <c r="BE5" s="371"/>
      <c r="BF5" s="371"/>
      <c r="BG5" s="371"/>
      <c r="BH5" s="371"/>
      <c r="BI5" s="371"/>
      <c r="BJ5" s="371"/>
      <c r="BK5" s="371"/>
      <c r="BL5" s="371"/>
      <c r="BM5" s="371"/>
      <c r="BN5" s="371"/>
      <c r="BO5" s="371"/>
      <c r="BP5" s="371"/>
      <c r="BQ5" s="371"/>
      <c r="BR5" s="371"/>
      <c r="BS5" s="371"/>
      <c r="BT5" s="371"/>
      <c r="BU5" s="371"/>
      <c r="BV5" s="371"/>
      <c r="BW5" s="371"/>
      <c r="BX5" s="371"/>
      <c r="BY5" s="371"/>
      <c r="BZ5" s="371"/>
      <c r="CA5" s="371"/>
      <c r="CB5" s="371"/>
      <c r="CC5" s="371"/>
      <c r="CD5" s="371"/>
      <c r="CE5" s="371"/>
      <c r="CF5" s="371"/>
      <c r="CG5" s="371"/>
      <c r="CH5" s="371"/>
      <c r="CI5" s="371"/>
      <c r="CJ5" s="371"/>
      <c r="CK5" s="371"/>
      <c r="CL5" s="371"/>
      <c r="CM5" s="371"/>
      <c r="CN5" s="371"/>
      <c r="CO5" s="371"/>
      <c r="CP5" s="371"/>
      <c r="CQ5" s="371"/>
      <c r="CR5" s="371"/>
      <c r="CS5" s="371"/>
      <c r="CT5" s="371"/>
      <c r="CU5" s="371"/>
      <c r="CV5" s="371"/>
      <c r="CW5" s="371"/>
      <c r="CX5" s="371"/>
      <c r="CY5" s="371"/>
      <c r="CZ5" s="371"/>
      <c r="DA5" s="371"/>
      <c r="DB5" s="371"/>
      <c r="DC5" s="371"/>
      <c r="DD5" s="371"/>
      <c r="DE5" s="371"/>
      <c r="DF5" s="371"/>
      <c r="DG5" s="371"/>
      <c r="DH5" s="371"/>
      <c r="DI5" s="371"/>
      <c r="DJ5" s="371"/>
      <c r="DK5" s="371"/>
      <c r="DL5" s="371"/>
      <c r="DM5" s="371"/>
      <c r="DN5" s="371"/>
      <c r="DO5" s="371"/>
      <c r="DP5" s="371"/>
      <c r="DQ5" s="371"/>
      <c r="DR5" s="371"/>
      <c r="DS5" s="371"/>
      <c r="DT5" s="371"/>
      <c r="DU5" s="371"/>
      <c r="DV5" s="371"/>
      <c r="DW5" s="371"/>
      <c r="DX5" s="371"/>
      <c r="DY5" s="371"/>
      <c r="DZ5" s="371"/>
      <c r="EA5" s="371"/>
      <c r="EB5" s="371"/>
      <c r="EC5" s="371"/>
      <c r="ED5" s="371"/>
      <c r="EE5" s="371"/>
      <c r="EF5" s="371"/>
      <c r="EG5" s="371"/>
      <c r="EH5" s="371"/>
      <c r="EI5" s="371"/>
      <c r="EJ5" s="371"/>
      <c r="EK5" s="371"/>
      <c r="EL5" s="371"/>
      <c r="EM5" s="371"/>
      <c r="EN5" s="371"/>
      <c r="EO5" s="371"/>
      <c r="EP5" s="371"/>
      <c r="EQ5" s="371"/>
      <c r="ER5" s="371"/>
      <c r="ES5" s="371"/>
      <c r="ET5" s="371"/>
      <c r="EU5" s="371"/>
      <c r="EV5" s="371"/>
      <c r="EW5" s="371"/>
      <c r="EX5" s="371"/>
      <c r="EY5" s="371"/>
      <c r="EZ5" s="371"/>
      <c r="FA5" s="371"/>
      <c r="FB5" s="371"/>
      <c r="FC5" s="371"/>
      <c r="FD5" s="371"/>
      <c r="FE5" s="371"/>
      <c r="FF5" s="371"/>
      <c r="FG5" s="371"/>
      <c r="FH5" s="371"/>
      <c r="FI5" s="371"/>
      <c r="FJ5" s="371"/>
      <c r="FK5" s="371"/>
      <c r="FL5" s="371"/>
      <c r="FM5" s="371"/>
      <c r="FN5" s="371"/>
      <c r="FO5" s="371"/>
      <c r="FP5" s="371"/>
      <c r="FQ5" s="371"/>
      <c r="FR5" s="371"/>
      <c r="FS5" s="371"/>
      <c r="FT5" s="371"/>
      <c r="FU5" s="371"/>
      <c r="FV5" s="371"/>
      <c r="FW5" s="371"/>
      <c r="FX5" s="371"/>
      <c r="FY5" s="371"/>
      <c r="FZ5" s="371"/>
      <c r="GA5" s="371"/>
      <c r="GB5" s="371"/>
      <c r="GC5" s="371"/>
      <c r="GD5" s="371"/>
      <c r="GE5" s="371"/>
      <c r="GF5" s="371"/>
      <c r="GG5" s="371"/>
      <c r="GH5" s="371"/>
      <c r="GI5" s="371"/>
      <c r="GJ5" s="371"/>
      <c r="GK5" s="371"/>
      <c r="GL5" s="371"/>
      <c r="GM5" s="371"/>
      <c r="GN5" s="371"/>
      <c r="GO5" s="371"/>
      <c r="GP5" s="371"/>
      <c r="GQ5" s="371"/>
      <c r="GR5" s="371"/>
      <c r="GS5" s="371"/>
      <c r="GT5" s="371"/>
      <c r="GU5" s="371"/>
      <c r="GV5" s="371"/>
      <c r="GW5" s="371"/>
      <c r="GX5" s="371"/>
      <c r="GY5" s="371"/>
      <c r="GZ5" s="371"/>
      <c r="HA5" s="371"/>
      <c r="HB5" s="371"/>
      <c r="HC5" s="371"/>
      <c r="HD5" s="371"/>
      <c r="HE5" s="371"/>
      <c r="HF5" s="371"/>
      <c r="HG5" s="371"/>
      <c r="HH5" s="371"/>
      <c r="HI5" s="371"/>
      <c r="HJ5" s="371"/>
      <c r="HK5" s="371"/>
      <c r="HL5" s="371"/>
      <c r="HM5" s="371"/>
      <c r="HN5" s="371"/>
      <c r="HO5" s="371"/>
      <c r="HP5" s="371"/>
      <c r="HQ5" s="371"/>
      <c r="HR5" s="371"/>
      <c r="HS5" s="371"/>
      <c r="HT5" s="371"/>
      <c r="HU5" s="371"/>
      <c r="HV5" s="371"/>
      <c r="HW5" s="371"/>
      <c r="HX5" s="371"/>
      <c r="HY5" s="371"/>
      <c r="HZ5" s="371"/>
      <c r="IA5" s="371"/>
      <c r="IB5" s="371"/>
      <c r="IC5" s="371"/>
      <c r="ID5" s="371"/>
      <c r="IE5" s="371"/>
      <c r="IF5" s="371"/>
      <c r="IG5" s="371"/>
      <c r="IH5" s="371"/>
      <c r="II5" s="371"/>
      <c r="IJ5" s="371"/>
      <c r="IK5" s="371"/>
      <c r="IL5" s="371"/>
      <c r="IM5" s="371"/>
      <c r="IN5" s="371"/>
      <c r="IO5" s="371"/>
      <c r="IP5" s="371"/>
      <c r="IQ5" s="371"/>
      <c r="IR5" s="371"/>
      <c r="IS5" s="371"/>
      <c r="IT5" s="371"/>
      <c r="IU5" s="371"/>
      <c r="IV5" s="371"/>
      <c r="IW5" s="371"/>
    </row>
    <row r="6" customFormat="false" ht="12.75" hidden="false" customHeight="false" outlineLevel="0" collapsed="false">
      <c r="G6" s="180" t="str">
        <f aca="false">IF((D6="d"),F6," ")</f>
        <v> </v>
      </c>
      <c r="H6" s="180" t="str">
        <f aca="false">IF((D6="h"),F6," ")</f>
        <v> </v>
      </c>
      <c r="I6" s="180" t="str">
        <f aca="false">IF((D6="r"),F6," ")</f>
        <v> </v>
      </c>
      <c r="J6" s="180" t="str">
        <f aca="false">IF((D6="t"),F6," ")</f>
        <v> </v>
      </c>
      <c r="K6" s="180" t="str">
        <f aca="false">IF((D6="e"),F6," ")</f>
        <v> </v>
      </c>
      <c r="L6" s="180" t="str">
        <f aca="false">IF((D6="p"),F6," ")</f>
        <v> </v>
      </c>
      <c r="M6" s="180" t="str">
        <f aca="false">IF((D6="g"),F6," ")</f>
        <v> </v>
      </c>
      <c r="N6" s="180" t="str">
        <f aca="false">IF((D6="a"),F6," ")</f>
        <v> </v>
      </c>
      <c r="O6" s="180" t="str">
        <f aca="false">IF((D6="l"),F6," ")</f>
        <v> </v>
      </c>
      <c r="P6" s="180" t="str">
        <f aca="false">IF((D6="i"),F6," ")</f>
        <v> </v>
      </c>
      <c r="Q6" s="180" t="str">
        <f aca="false">IF((D6="b"),F6," ")</f>
        <v> </v>
      </c>
      <c r="R6" s="180" t="str">
        <f aca="false">IF((D6="o"),F6," ")</f>
        <v> </v>
      </c>
      <c r="S6" s="180" t="str">
        <f aca="false">IF((D6="f"),F6," ")</f>
        <v> </v>
      </c>
      <c r="U6" s="371"/>
    </row>
    <row r="7" customFormat="false" ht="12.75" hidden="false" customHeight="false" outlineLevel="0" collapsed="false">
      <c r="G7" s="180" t="str">
        <f aca="false">IF((D7="d"),F7," ")</f>
        <v> </v>
      </c>
      <c r="H7" s="180" t="str">
        <f aca="false">IF((D7="h"),F7," ")</f>
        <v> </v>
      </c>
      <c r="I7" s="180" t="str">
        <f aca="false">IF((D7="r"),F7," ")</f>
        <v> </v>
      </c>
      <c r="J7" s="180" t="str">
        <f aca="false">IF((D7="t"),F7," ")</f>
        <v> </v>
      </c>
      <c r="K7" s="180" t="str">
        <f aca="false">IF((D7="e"),F7," ")</f>
        <v> </v>
      </c>
      <c r="L7" s="180" t="str">
        <f aca="false">IF((D7="p"),F7," ")</f>
        <v> </v>
      </c>
      <c r="M7" s="180" t="str">
        <f aca="false">IF((D7="g"),F7," ")</f>
        <v> </v>
      </c>
      <c r="N7" s="180" t="str">
        <f aca="false">IF((D7="a"),F7," ")</f>
        <v> </v>
      </c>
      <c r="O7" s="180" t="str">
        <f aca="false">IF((D7="l"),F7," ")</f>
        <v> </v>
      </c>
      <c r="P7" s="180" t="str">
        <f aca="false">IF((D7="i"),F7," ")</f>
        <v> </v>
      </c>
      <c r="Q7" s="180" t="str">
        <f aca="false">IF((D7="b"),F7," ")</f>
        <v> </v>
      </c>
      <c r="R7" s="180" t="str">
        <f aca="false">IF((D7="o"),F7," ")</f>
        <v> </v>
      </c>
      <c r="S7" s="180" t="str">
        <f aca="false">IF((D7="f"),F7," ")</f>
        <v> </v>
      </c>
      <c r="U7" s="371"/>
    </row>
    <row r="8" customFormat="false" ht="12.75" hidden="false" customHeight="false" outlineLevel="0" collapsed="false">
      <c r="G8" s="180" t="str">
        <f aca="false">IF((D8="d"),F8," ")</f>
        <v> </v>
      </c>
      <c r="H8" s="180" t="str">
        <f aca="false">IF((D8="h"),F8," ")</f>
        <v> </v>
      </c>
      <c r="I8" s="180" t="str">
        <f aca="false">IF((D8="r"),F8," ")</f>
        <v> </v>
      </c>
      <c r="J8" s="180" t="str">
        <f aca="false">IF((D8="t"),F8," ")</f>
        <v> </v>
      </c>
      <c r="K8" s="180" t="str">
        <f aca="false">IF((D8="e"),F8," ")</f>
        <v> </v>
      </c>
      <c r="L8" s="180" t="str">
        <f aca="false">IF((D8="p"),F8," ")</f>
        <v> </v>
      </c>
      <c r="M8" s="180" t="str">
        <f aca="false">IF((D8="g"),F8," ")</f>
        <v> </v>
      </c>
      <c r="N8" s="180" t="str">
        <f aca="false">IF((D8="a"),F8," ")</f>
        <v> </v>
      </c>
      <c r="O8" s="180" t="str">
        <f aca="false">IF((D8="l"),F8," ")</f>
        <v> </v>
      </c>
      <c r="P8" s="180" t="str">
        <f aca="false">IF((D8="i"),F8," ")</f>
        <v> </v>
      </c>
      <c r="Q8" s="180" t="str">
        <f aca="false">IF((D8="b"),F8," ")</f>
        <v> </v>
      </c>
      <c r="R8" s="180" t="str">
        <f aca="false">IF((D8="o"),F8," ")</f>
        <v> </v>
      </c>
      <c r="S8" s="180" t="str">
        <f aca="false">IF((D8="f"),F8," ")</f>
        <v> </v>
      </c>
      <c r="U8" s="371"/>
    </row>
    <row r="9" customFormat="false" ht="12.75" hidden="false" customHeight="false" outlineLevel="0" collapsed="false">
      <c r="G9" s="180" t="str">
        <f aca="false">IF((D9="d"),F9," ")</f>
        <v> </v>
      </c>
      <c r="H9" s="180" t="str">
        <f aca="false">IF((D9="h"),F9," ")</f>
        <v> </v>
      </c>
      <c r="I9" s="180" t="str">
        <f aca="false">IF((D9="r"),F9," ")</f>
        <v> </v>
      </c>
      <c r="J9" s="180" t="str">
        <f aca="false">IF((D9="t"),F9," ")</f>
        <v> </v>
      </c>
      <c r="K9" s="180" t="str">
        <f aca="false">IF((D9="e"),F9," ")</f>
        <v> </v>
      </c>
      <c r="L9" s="180" t="str">
        <f aca="false">IF((D9="p"),F9," ")</f>
        <v> </v>
      </c>
      <c r="M9" s="180" t="str">
        <f aca="false">IF((D9="g"),F9," ")</f>
        <v> </v>
      </c>
      <c r="N9" s="180" t="str">
        <f aca="false">IF((D9="a"),F9," ")</f>
        <v> </v>
      </c>
      <c r="O9" s="180" t="str">
        <f aca="false">IF((D9="l"),F9," ")</f>
        <v> </v>
      </c>
      <c r="P9" s="180" t="str">
        <f aca="false">IF((D9="i"),F9," ")</f>
        <v> </v>
      </c>
      <c r="Q9" s="180" t="str">
        <f aca="false">IF((D9="b"),F9," ")</f>
        <v> </v>
      </c>
      <c r="R9" s="180" t="str">
        <f aca="false">IF((D9="o"),F9," ")</f>
        <v> </v>
      </c>
      <c r="S9" s="180" t="str">
        <f aca="false">IF((D9="f"),F9," ")</f>
        <v> </v>
      </c>
      <c r="U9" s="371"/>
    </row>
    <row r="10" customFormat="false" ht="12.75" hidden="false" customHeight="false" outlineLevel="0" collapsed="false">
      <c r="G10" s="180" t="str">
        <f aca="false">IF((D10="d"),F10," ")</f>
        <v> </v>
      </c>
      <c r="H10" s="180" t="str">
        <f aca="false">IF((D10="h"),F10," ")</f>
        <v> </v>
      </c>
      <c r="I10" s="180" t="str">
        <f aca="false">IF((D10="r"),F10," ")</f>
        <v> </v>
      </c>
      <c r="J10" s="180" t="str">
        <f aca="false">IF((D10="t"),F10," ")</f>
        <v> </v>
      </c>
      <c r="K10" s="180" t="str">
        <f aca="false">IF((D10="e"),F10," ")</f>
        <v> </v>
      </c>
      <c r="L10" s="180" t="str">
        <f aca="false">IF((D10="p"),F10," ")</f>
        <v> </v>
      </c>
      <c r="M10" s="180" t="str">
        <f aca="false">IF((D10="g"),F10," ")</f>
        <v> </v>
      </c>
      <c r="N10" s="180" t="str">
        <f aca="false">IF((D10="a"),F10," ")</f>
        <v> </v>
      </c>
      <c r="O10" s="180" t="str">
        <f aca="false">IF((D10="l"),F10," ")</f>
        <v> </v>
      </c>
      <c r="P10" s="180" t="str">
        <f aca="false">IF((D10="i"),F10," ")</f>
        <v> </v>
      </c>
      <c r="Q10" s="180" t="str">
        <f aca="false">IF((D10="b"),F10," ")</f>
        <v> </v>
      </c>
      <c r="R10" s="180" t="str">
        <f aca="false">IF((D10="o"),F10," ")</f>
        <v> </v>
      </c>
      <c r="S10" s="180" t="str">
        <f aca="false">IF((D10="f"),F10," ")</f>
        <v> </v>
      </c>
      <c r="U10" s="371"/>
    </row>
    <row r="11" customFormat="false" ht="12.75" hidden="false" customHeight="false" outlineLevel="0" collapsed="false">
      <c r="G11" s="180" t="str">
        <f aca="false">IF((D11="d"),F11," ")</f>
        <v> </v>
      </c>
      <c r="H11" s="180" t="str">
        <f aca="false">IF((D11="h"),F11," ")</f>
        <v> </v>
      </c>
      <c r="I11" s="180" t="str">
        <f aca="false">IF((D11="r"),F11," ")</f>
        <v> </v>
      </c>
      <c r="J11" s="180" t="str">
        <f aca="false">IF((D11="t"),F11," ")</f>
        <v> </v>
      </c>
      <c r="K11" s="180" t="str">
        <f aca="false">IF((D11="e"),F11," ")</f>
        <v> </v>
      </c>
      <c r="L11" s="180" t="str">
        <f aca="false">IF((D11="p"),F11," ")</f>
        <v> </v>
      </c>
      <c r="M11" s="180" t="str">
        <f aca="false">IF((D11="g"),F11," ")</f>
        <v> </v>
      </c>
      <c r="N11" s="180" t="str">
        <f aca="false">IF((D11="a"),F11," ")</f>
        <v> </v>
      </c>
      <c r="O11" s="180" t="str">
        <f aca="false">IF((D11="l"),F11," ")</f>
        <v> </v>
      </c>
      <c r="P11" s="180" t="str">
        <f aca="false">IF((D11="i"),F11," ")</f>
        <v> </v>
      </c>
      <c r="Q11" s="180" t="str">
        <f aca="false">IF((D11="b"),F11," ")</f>
        <v> </v>
      </c>
      <c r="R11" s="180" t="str">
        <f aca="false">IF((D11="o"),F11," ")</f>
        <v> </v>
      </c>
      <c r="S11" s="180" t="str">
        <f aca="false">IF((D11="f"),F11," ")</f>
        <v> </v>
      </c>
      <c r="U11" s="371"/>
    </row>
    <row r="12" customFormat="false" ht="12.75" hidden="false" customHeight="false" outlineLevel="0" collapsed="false">
      <c r="G12" s="180" t="str">
        <f aca="false">IF((D12="d"),F12," ")</f>
        <v> </v>
      </c>
      <c r="H12" s="180" t="str">
        <f aca="false">IF((D12="h"),F12," ")</f>
        <v> </v>
      </c>
      <c r="I12" s="180" t="str">
        <f aca="false">IF((D12="r"),F12," ")</f>
        <v> </v>
      </c>
      <c r="J12" s="180" t="str">
        <f aca="false">IF((D12="t"),F12," ")</f>
        <v> </v>
      </c>
      <c r="K12" s="180" t="str">
        <f aca="false">IF((D12="e"),F12," ")</f>
        <v> </v>
      </c>
      <c r="L12" s="180" t="str">
        <f aca="false">IF((D12="p"),F12," ")</f>
        <v> </v>
      </c>
      <c r="M12" s="180" t="str">
        <f aca="false">IF((D12="g"),F12," ")</f>
        <v> </v>
      </c>
      <c r="N12" s="180" t="str">
        <f aca="false">IF((D12="a"),F12," ")</f>
        <v> </v>
      </c>
      <c r="O12" s="180" t="str">
        <f aca="false">IF((D12="l"),F12," ")</f>
        <v> </v>
      </c>
      <c r="P12" s="180" t="str">
        <f aca="false">IF((D12="i"),F12," ")</f>
        <v> </v>
      </c>
      <c r="Q12" s="180" t="str">
        <f aca="false">IF((D12="b"),F12," ")</f>
        <v> </v>
      </c>
      <c r="R12" s="180" t="str">
        <f aca="false">IF((D12="o"),F12," ")</f>
        <v> </v>
      </c>
      <c r="S12" s="180" t="str">
        <f aca="false">IF((D12="f"),F12," ")</f>
        <v> </v>
      </c>
      <c r="U12" s="371"/>
    </row>
    <row r="13" customFormat="false" ht="12.75" hidden="false" customHeight="false" outlineLevel="0" collapsed="false">
      <c r="G13" s="180" t="str">
        <f aca="false">IF((D13="d"),F13," ")</f>
        <v> </v>
      </c>
      <c r="H13" s="180" t="str">
        <f aca="false">IF((D13="h"),F13," ")</f>
        <v> </v>
      </c>
      <c r="I13" s="180" t="str">
        <f aca="false">IF((D13="r"),F13," ")</f>
        <v> </v>
      </c>
      <c r="J13" s="180" t="str">
        <f aca="false">IF((D13="t"),F13," ")</f>
        <v> </v>
      </c>
      <c r="K13" s="180" t="str">
        <f aca="false">IF((D13="e"),F13," ")</f>
        <v> </v>
      </c>
      <c r="L13" s="180" t="str">
        <f aca="false">IF((D13="p"),F13," ")</f>
        <v> </v>
      </c>
      <c r="M13" s="180" t="str">
        <f aca="false">IF((D13="g"),F13," ")</f>
        <v> </v>
      </c>
      <c r="N13" s="180" t="str">
        <f aca="false">IF((D13="a"),F13," ")</f>
        <v> </v>
      </c>
      <c r="O13" s="180" t="str">
        <f aca="false">IF((D13="l"),F13," ")</f>
        <v> </v>
      </c>
      <c r="P13" s="180" t="str">
        <f aca="false">IF((D13="i"),F13," ")</f>
        <v> </v>
      </c>
      <c r="Q13" s="180" t="str">
        <f aca="false">IF((D13="b"),F13," ")</f>
        <v> </v>
      </c>
      <c r="R13" s="180" t="str">
        <f aca="false">IF((D13="o"),F13," ")</f>
        <v> </v>
      </c>
      <c r="S13" s="180" t="str">
        <f aca="false">IF((D13="f"),F13," ")</f>
        <v> </v>
      </c>
      <c r="U13" s="371"/>
    </row>
    <row r="14" customFormat="false" ht="12.75" hidden="false" customHeight="false" outlineLevel="0" collapsed="false">
      <c r="G14" s="180" t="str">
        <f aca="false">IF((D14="d"),F14," ")</f>
        <v> </v>
      </c>
      <c r="H14" s="180" t="str">
        <f aca="false">IF((D14="h"),F14," ")</f>
        <v> </v>
      </c>
      <c r="I14" s="180" t="str">
        <f aca="false">IF((D14="r"),F14," ")</f>
        <v> </v>
      </c>
      <c r="J14" s="180" t="str">
        <f aca="false">IF((D14="t"),F14," ")</f>
        <v> </v>
      </c>
      <c r="K14" s="180" t="str">
        <f aca="false">IF((D14="e"),F14," ")</f>
        <v> </v>
      </c>
      <c r="L14" s="180" t="str">
        <f aca="false">IF((D14="p"),F14," ")</f>
        <v> </v>
      </c>
      <c r="M14" s="180" t="str">
        <f aca="false">IF((D14="g"),F14," ")</f>
        <v> </v>
      </c>
      <c r="N14" s="180" t="str">
        <f aca="false">IF((D14="a"),F14," ")</f>
        <v> </v>
      </c>
      <c r="O14" s="180" t="str">
        <f aca="false">IF((D14="l"),F14," ")</f>
        <v> </v>
      </c>
      <c r="P14" s="180" t="str">
        <f aca="false">IF((D14="i"),F14," ")</f>
        <v> </v>
      </c>
      <c r="Q14" s="180" t="str">
        <f aca="false">IF((D14="b"),F14," ")</f>
        <v> </v>
      </c>
      <c r="R14" s="180" t="str">
        <f aca="false">IF((D14="o"),F14," ")</f>
        <v> </v>
      </c>
      <c r="S14" s="180" t="str">
        <f aca="false">IF((D14="f"),F14," ")</f>
        <v> </v>
      </c>
      <c r="U14" s="371"/>
    </row>
    <row r="15" customFormat="false" ht="12.75" hidden="false" customHeight="false" outlineLevel="0" collapsed="false">
      <c r="G15" s="180" t="str">
        <f aca="false">IF((D15="d"),F15," ")</f>
        <v> </v>
      </c>
      <c r="H15" s="180" t="str">
        <f aca="false">IF((D15="h"),F15," ")</f>
        <v> </v>
      </c>
      <c r="I15" s="180" t="str">
        <f aca="false">IF((D15="r"),F15," ")</f>
        <v> </v>
      </c>
      <c r="J15" s="180" t="str">
        <f aca="false">IF((D15="t"),F15," ")</f>
        <v> </v>
      </c>
      <c r="K15" s="180" t="str">
        <f aca="false">IF((D15="e"),F15," ")</f>
        <v> </v>
      </c>
      <c r="L15" s="180" t="str">
        <f aca="false">IF((D15="p"),F15," ")</f>
        <v> </v>
      </c>
      <c r="M15" s="180" t="str">
        <f aca="false">IF((D15="g"),F15," ")</f>
        <v> </v>
      </c>
      <c r="N15" s="180" t="str">
        <f aca="false">IF((D15="a"),F15," ")</f>
        <v> </v>
      </c>
      <c r="O15" s="180" t="str">
        <f aca="false">IF((D15="l"),F15," ")</f>
        <v> </v>
      </c>
      <c r="P15" s="180" t="str">
        <f aca="false">IF((D15="i"),F15," ")</f>
        <v> </v>
      </c>
      <c r="Q15" s="180" t="str">
        <f aca="false">IF((D15="b"),F15," ")</f>
        <v> </v>
      </c>
      <c r="R15" s="180" t="str">
        <f aca="false">IF((D15="o"),F15," ")</f>
        <v> </v>
      </c>
      <c r="S15" s="180" t="str">
        <f aca="false">IF((D15="f"),F15," ")</f>
        <v> </v>
      </c>
      <c r="U15" s="371"/>
    </row>
    <row r="16" customFormat="false" ht="12.75" hidden="false" customHeight="false" outlineLevel="0" collapsed="false">
      <c r="G16" s="180" t="str">
        <f aca="false">IF((D16="d"),F16," ")</f>
        <v> </v>
      </c>
      <c r="H16" s="180" t="str">
        <f aca="false">IF((D16="h"),F16," ")</f>
        <v> </v>
      </c>
      <c r="I16" s="180" t="str">
        <f aca="false">IF((D16="r"),F16," ")</f>
        <v> </v>
      </c>
      <c r="J16" s="180" t="str">
        <f aca="false">IF((D16="t"),F16," ")</f>
        <v> </v>
      </c>
      <c r="K16" s="180" t="str">
        <f aca="false">IF((D16="e"),F16," ")</f>
        <v> </v>
      </c>
      <c r="L16" s="180" t="str">
        <f aca="false">IF((D16="p"),F16," ")</f>
        <v> </v>
      </c>
      <c r="M16" s="180" t="str">
        <f aca="false">IF((D16="g"),F16," ")</f>
        <v> </v>
      </c>
      <c r="N16" s="180" t="str">
        <f aca="false">IF((D16="a"),F16," ")</f>
        <v> </v>
      </c>
      <c r="O16" s="180" t="str">
        <f aca="false">IF((D16="l"),F16," ")</f>
        <v> </v>
      </c>
      <c r="P16" s="180" t="str">
        <f aca="false">IF((D16="i"),F16," ")</f>
        <v> </v>
      </c>
      <c r="Q16" s="180" t="str">
        <f aca="false">IF((D16="b"),F16," ")</f>
        <v> </v>
      </c>
      <c r="R16" s="180" t="str">
        <f aca="false">IF((D16="o"),F16," ")</f>
        <v> </v>
      </c>
      <c r="S16" s="180" t="str">
        <f aca="false">IF((D16="f"),F16," ")</f>
        <v> </v>
      </c>
      <c r="U16" s="371"/>
    </row>
    <row r="17" customFormat="false" ht="12.75" hidden="false" customHeight="false" outlineLevel="0" collapsed="false">
      <c r="G17" s="180" t="str">
        <f aca="false">IF((D17="d"),F17," ")</f>
        <v> </v>
      </c>
      <c r="H17" s="180" t="str">
        <f aca="false">IF((D17="h"),F17," ")</f>
        <v> </v>
      </c>
      <c r="I17" s="180" t="str">
        <f aca="false">IF((D17="r"),F17," ")</f>
        <v> </v>
      </c>
      <c r="J17" s="180" t="str">
        <f aca="false">IF((D17="t"),F17," ")</f>
        <v> </v>
      </c>
      <c r="K17" s="180" t="str">
        <f aca="false">IF((D17="e"),F17," ")</f>
        <v> </v>
      </c>
      <c r="L17" s="180" t="str">
        <f aca="false">IF((D17="p"),F17," ")</f>
        <v> </v>
      </c>
      <c r="M17" s="180" t="str">
        <f aca="false">IF((D17="g"),F17," ")</f>
        <v> </v>
      </c>
      <c r="N17" s="180" t="str">
        <f aca="false">IF((D17="a"),F17," ")</f>
        <v> </v>
      </c>
      <c r="O17" s="180" t="str">
        <f aca="false">IF((D17="l"),F17," ")</f>
        <v> </v>
      </c>
      <c r="P17" s="180" t="str">
        <f aca="false">IF((D17="i"),F17," ")</f>
        <v> </v>
      </c>
      <c r="Q17" s="180" t="str">
        <f aca="false">IF((D17="b"),F17," ")</f>
        <v> </v>
      </c>
      <c r="R17" s="180" t="str">
        <f aca="false">IF((D17="o"),F17," ")</f>
        <v> </v>
      </c>
      <c r="S17" s="180" t="str">
        <f aca="false">IF((D17="f"),F17," ")</f>
        <v> </v>
      </c>
      <c r="U17" s="371"/>
    </row>
    <row r="18" customFormat="false" ht="12.75" hidden="false" customHeight="false" outlineLevel="0" collapsed="false">
      <c r="G18" s="180" t="str">
        <f aca="false">IF((D18="d"),F18," ")</f>
        <v> </v>
      </c>
      <c r="H18" s="180" t="str">
        <f aca="false">IF((D18="h"),F18," ")</f>
        <v> </v>
      </c>
      <c r="I18" s="180" t="str">
        <f aca="false">IF((D18="r"),F18," ")</f>
        <v> </v>
      </c>
      <c r="J18" s="180" t="str">
        <f aca="false">IF((D18="t"),F18," ")</f>
        <v> </v>
      </c>
      <c r="K18" s="180" t="str">
        <f aca="false">IF((D18="e"),F18," ")</f>
        <v> </v>
      </c>
      <c r="L18" s="180" t="str">
        <f aca="false">IF((D18="p"),F18," ")</f>
        <v> </v>
      </c>
      <c r="M18" s="180" t="str">
        <f aca="false">IF((D18="g"),F18," ")</f>
        <v> </v>
      </c>
      <c r="N18" s="180" t="str">
        <f aca="false">IF((D18="a"),F18," ")</f>
        <v> </v>
      </c>
      <c r="O18" s="180" t="str">
        <f aca="false">IF((D18="l"),F18," ")</f>
        <v> </v>
      </c>
      <c r="P18" s="180" t="str">
        <f aca="false">IF((D18="i"),F18," ")</f>
        <v> </v>
      </c>
      <c r="Q18" s="180" t="str">
        <f aca="false">IF((D18="b"),F18," ")</f>
        <v> </v>
      </c>
      <c r="R18" s="180" t="str">
        <f aca="false">IF((D18="o"),F18," ")</f>
        <v> </v>
      </c>
      <c r="S18" s="180" t="str">
        <f aca="false">IF((D18="f"),F18," ")</f>
        <v> </v>
      </c>
      <c r="U18" s="371"/>
    </row>
    <row r="19" customFormat="false" ht="12.75" hidden="false" customHeight="false" outlineLevel="0" collapsed="false">
      <c r="G19" s="180" t="str">
        <f aca="false">IF((D19="d"),F19," ")</f>
        <v> </v>
      </c>
      <c r="H19" s="180" t="str">
        <f aca="false">IF((D19="h"),F19," ")</f>
        <v> </v>
      </c>
      <c r="I19" s="180" t="str">
        <f aca="false">IF((D19="r"),F19," ")</f>
        <v> </v>
      </c>
      <c r="J19" s="180" t="str">
        <f aca="false">IF((D19="t"),F19," ")</f>
        <v> </v>
      </c>
      <c r="K19" s="180" t="str">
        <f aca="false">IF((D19="e"),F19," ")</f>
        <v> </v>
      </c>
      <c r="L19" s="180" t="str">
        <f aca="false">IF((D19="p"),F19," ")</f>
        <v> </v>
      </c>
      <c r="M19" s="180" t="str">
        <f aca="false">IF((D19="g"),F19," ")</f>
        <v> </v>
      </c>
      <c r="N19" s="180" t="str">
        <f aca="false">IF((D19="a"),F19," ")</f>
        <v> </v>
      </c>
      <c r="O19" s="180" t="str">
        <f aca="false">IF((D19="l"),F19," ")</f>
        <v> </v>
      </c>
      <c r="P19" s="180" t="str">
        <f aca="false">IF((D19="i"),F19," ")</f>
        <v> </v>
      </c>
      <c r="Q19" s="180" t="str">
        <f aca="false">IF((D19="b"),F19," ")</f>
        <v> </v>
      </c>
      <c r="R19" s="180" t="str">
        <f aca="false">IF((D19="o"),F19," ")</f>
        <v> </v>
      </c>
      <c r="S19" s="180" t="str">
        <f aca="false">IF((D19="f"),F19," ")</f>
        <v> </v>
      </c>
      <c r="U19" s="371"/>
    </row>
    <row r="20" customFormat="false" ht="12.75" hidden="false" customHeight="false" outlineLevel="0" collapsed="false">
      <c r="G20" s="180" t="str">
        <f aca="false">IF((D20="d"),F20," ")</f>
        <v> </v>
      </c>
      <c r="H20" s="180" t="str">
        <f aca="false">IF((D20="h"),F20," ")</f>
        <v> </v>
      </c>
      <c r="I20" s="180" t="str">
        <f aca="false">IF((D20="r"),F20," ")</f>
        <v> </v>
      </c>
      <c r="J20" s="180" t="str">
        <f aca="false">IF((D20="t"),F20," ")</f>
        <v> </v>
      </c>
      <c r="K20" s="180" t="str">
        <f aca="false">IF((D20="e"),F20," ")</f>
        <v> </v>
      </c>
      <c r="L20" s="180" t="str">
        <f aca="false">IF((D20="p"),F20," ")</f>
        <v> </v>
      </c>
      <c r="M20" s="180" t="str">
        <f aca="false">IF((D20="g"),F20," ")</f>
        <v> </v>
      </c>
      <c r="N20" s="180" t="str">
        <f aca="false">IF((D20="a"),F20," ")</f>
        <v> </v>
      </c>
      <c r="O20" s="180" t="str">
        <f aca="false">IF((D20="l"),F20," ")</f>
        <v> </v>
      </c>
      <c r="P20" s="180" t="str">
        <f aca="false">IF((D20="i"),F20," ")</f>
        <v> </v>
      </c>
      <c r="Q20" s="180" t="str">
        <f aca="false">IF((D20="b"),F20," ")</f>
        <v> </v>
      </c>
      <c r="R20" s="180" t="str">
        <f aca="false">IF((D20="o"),F20," ")</f>
        <v> </v>
      </c>
      <c r="S20" s="180" t="str">
        <f aca="false">IF((D20="f"),F20," ")</f>
        <v> </v>
      </c>
      <c r="U20" s="371"/>
    </row>
    <row r="21" customFormat="false" ht="12.75" hidden="false" customHeight="false" outlineLevel="0" collapsed="false">
      <c r="G21" s="180" t="str">
        <f aca="false">IF((D21="d"),F21," ")</f>
        <v> </v>
      </c>
      <c r="H21" s="180" t="str">
        <f aca="false">IF((D21="h"),F21," ")</f>
        <v> </v>
      </c>
      <c r="I21" s="180" t="str">
        <f aca="false">IF((D21="r"),F21," ")</f>
        <v> </v>
      </c>
      <c r="J21" s="180" t="str">
        <f aca="false">IF((D21="t"),F21," ")</f>
        <v> </v>
      </c>
      <c r="K21" s="180" t="str">
        <f aca="false">IF((D21="e"),F21," ")</f>
        <v> </v>
      </c>
      <c r="L21" s="180" t="str">
        <f aca="false">IF((D21="p"),F21," ")</f>
        <v> </v>
      </c>
      <c r="M21" s="180" t="str">
        <f aca="false">IF((D21="g"),F21," ")</f>
        <v> </v>
      </c>
      <c r="N21" s="180" t="str">
        <f aca="false">IF((D21="a"),F21," ")</f>
        <v> </v>
      </c>
      <c r="O21" s="180" t="str">
        <f aca="false">IF((D21="l"),F21," ")</f>
        <v> </v>
      </c>
      <c r="P21" s="180" t="str">
        <f aca="false">IF((D21="i"),F21," ")</f>
        <v> </v>
      </c>
      <c r="Q21" s="180" t="str">
        <f aca="false">IF((D21="b"),F21," ")</f>
        <v> </v>
      </c>
      <c r="R21" s="180" t="str">
        <f aca="false">IF((D21="o"),F21," ")</f>
        <v> </v>
      </c>
      <c r="S21" s="180" t="str">
        <f aca="false">IF((D21="f"),F21," ")</f>
        <v> </v>
      </c>
      <c r="U21" s="371"/>
    </row>
    <row r="22" customFormat="false" ht="12.75" hidden="false" customHeight="false" outlineLevel="0" collapsed="false">
      <c r="G22" s="180" t="str">
        <f aca="false">IF((D22="d"),F22," ")</f>
        <v> </v>
      </c>
      <c r="H22" s="180" t="str">
        <f aca="false">IF((D22="h"),F22," ")</f>
        <v> </v>
      </c>
      <c r="I22" s="180" t="str">
        <f aca="false">IF((D22="r"),F22," ")</f>
        <v> </v>
      </c>
      <c r="J22" s="180" t="str">
        <f aca="false">IF((D22="t"),F22," ")</f>
        <v> </v>
      </c>
      <c r="K22" s="180" t="str">
        <f aca="false">IF((D22="e"),F22," ")</f>
        <v> </v>
      </c>
      <c r="L22" s="180" t="str">
        <f aca="false">IF((D22="p"),F22," ")</f>
        <v> </v>
      </c>
      <c r="M22" s="180" t="str">
        <f aca="false">IF((D22="g"),F22," ")</f>
        <v> </v>
      </c>
      <c r="N22" s="180" t="str">
        <f aca="false">IF((D22="a"),F22," ")</f>
        <v> </v>
      </c>
      <c r="O22" s="180" t="str">
        <f aca="false">IF((D22="l"),F22," ")</f>
        <v> </v>
      </c>
      <c r="P22" s="180" t="str">
        <f aca="false">IF((D22="i"),F22," ")</f>
        <v> </v>
      </c>
      <c r="Q22" s="180" t="str">
        <f aca="false">IF((D22="b"),F22," ")</f>
        <v> </v>
      </c>
      <c r="R22" s="180" t="str">
        <f aca="false">IF((D22="o"),F22," ")</f>
        <v> </v>
      </c>
      <c r="S22" s="180" t="str">
        <f aca="false">IF((D22="f"),F22," ")</f>
        <v> </v>
      </c>
      <c r="U22" s="371"/>
    </row>
    <row r="23" customFormat="false" ht="12.75" hidden="false" customHeight="false" outlineLevel="0" collapsed="false">
      <c r="G23" s="180" t="str">
        <f aca="false">IF((D23="d"),F23," ")</f>
        <v> </v>
      </c>
      <c r="H23" s="180" t="str">
        <f aca="false">IF((D23="h"),F23," ")</f>
        <v> </v>
      </c>
      <c r="I23" s="180" t="str">
        <f aca="false">IF((D23="r"),F23," ")</f>
        <v> </v>
      </c>
      <c r="J23" s="180" t="str">
        <f aca="false">IF((D23="t"),F23," ")</f>
        <v> </v>
      </c>
      <c r="K23" s="180" t="str">
        <f aca="false">IF((D23="e"),F23," ")</f>
        <v> </v>
      </c>
      <c r="L23" s="180" t="str">
        <f aca="false">IF((D23="p"),F23," ")</f>
        <v> </v>
      </c>
      <c r="M23" s="180" t="str">
        <f aca="false">IF((D23="g"),F23," ")</f>
        <v> </v>
      </c>
      <c r="N23" s="180" t="str">
        <f aca="false">IF((D23="a"),F23," ")</f>
        <v> </v>
      </c>
      <c r="O23" s="180" t="str">
        <f aca="false">IF((D23="l"),F23," ")</f>
        <v> </v>
      </c>
      <c r="P23" s="180" t="str">
        <f aca="false">IF((D23="i"),F23," ")</f>
        <v> </v>
      </c>
      <c r="Q23" s="180" t="str">
        <f aca="false">IF((D23="b"),F23," ")</f>
        <v> </v>
      </c>
      <c r="R23" s="180" t="str">
        <f aca="false">IF((D23="o"),F23," ")</f>
        <v> </v>
      </c>
      <c r="S23" s="180" t="str">
        <f aca="false">IF((D23="f"),F23," ")</f>
        <v> </v>
      </c>
      <c r="U23" s="371"/>
    </row>
    <row r="24" customFormat="false" ht="12.75" hidden="false" customHeight="false" outlineLevel="0" collapsed="false">
      <c r="G24" s="180" t="str">
        <f aca="false">IF((D24="d"),F24," ")</f>
        <v> </v>
      </c>
      <c r="H24" s="180" t="str">
        <f aca="false">IF((D24="h"),F24," ")</f>
        <v> </v>
      </c>
      <c r="I24" s="180" t="str">
        <f aca="false">IF((D24="r"),F24," ")</f>
        <v> </v>
      </c>
      <c r="J24" s="180" t="str">
        <f aca="false">IF((D24="t"),F24," ")</f>
        <v> </v>
      </c>
      <c r="K24" s="180" t="str">
        <f aca="false">IF((D24="e"),F24," ")</f>
        <v> </v>
      </c>
      <c r="L24" s="180" t="str">
        <f aca="false">IF((D24="p"),F24," ")</f>
        <v> </v>
      </c>
      <c r="M24" s="180" t="str">
        <f aca="false">IF((D24="g"),F24," ")</f>
        <v> </v>
      </c>
      <c r="N24" s="180" t="str">
        <f aca="false">IF((D24="a"),F24," ")</f>
        <v> </v>
      </c>
      <c r="O24" s="180" t="str">
        <f aca="false">IF((D24="l"),F24," ")</f>
        <v> </v>
      </c>
      <c r="P24" s="180" t="str">
        <f aca="false">IF((D24="i"),F24," ")</f>
        <v> </v>
      </c>
      <c r="Q24" s="180" t="str">
        <f aca="false">IF((D24="b"),F24," ")</f>
        <v> </v>
      </c>
      <c r="R24" s="180" t="str">
        <f aca="false">IF((D24="o"),F24," ")</f>
        <v> </v>
      </c>
      <c r="S24" s="180" t="str">
        <f aca="false">IF((D24="f"),F24," ")</f>
        <v> </v>
      </c>
      <c r="U24" s="371"/>
    </row>
    <row r="25" customFormat="false" ht="12.75" hidden="false" customHeight="false" outlineLevel="0" collapsed="false">
      <c r="G25" s="180" t="str">
        <f aca="false">IF((D25="d"),F25," ")</f>
        <v> </v>
      </c>
      <c r="H25" s="180" t="str">
        <f aca="false">IF((D25="h"),F25," ")</f>
        <v> </v>
      </c>
      <c r="I25" s="180" t="str">
        <f aca="false">IF((D25="r"),F25," ")</f>
        <v> </v>
      </c>
      <c r="J25" s="180" t="str">
        <f aca="false">IF((D25="t"),F25," ")</f>
        <v> </v>
      </c>
      <c r="K25" s="180" t="str">
        <f aca="false">IF((D25="e"),F25," ")</f>
        <v> </v>
      </c>
      <c r="L25" s="180" t="str">
        <f aca="false">IF((D25="p"),F25," ")</f>
        <v> </v>
      </c>
      <c r="M25" s="180" t="str">
        <f aca="false">IF((D25="g"),F25," ")</f>
        <v> </v>
      </c>
      <c r="N25" s="180" t="str">
        <f aca="false">IF((D25="a"),F25," ")</f>
        <v> </v>
      </c>
      <c r="O25" s="180" t="str">
        <f aca="false">IF((D25="l"),F25," ")</f>
        <v> </v>
      </c>
      <c r="P25" s="180" t="str">
        <f aca="false">IF((D25="i"),F25," ")</f>
        <v> </v>
      </c>
      <c r="Q25" s="180" t="str">
        <f aca="false">IF((D25="b"),F25," ")</f>
        <v> </v>
      </c>
      <c r="R25" s="180" t="str">
        <f aca="false">IF((D25="o"),F25," ")</f>
        <v> </v>
      </c>
      <c r="S25" s="180" t="str">
        <f aca="false">IF((D25="f"),F25," ")</f>
        <v> </v>
      </c>
      <c r="U25" s="371"/>
    </row>
    <row r="26" customFormat="false" ht="12.75" hidden="false" customHeight="false" outlineLevel="0" collapsed="false">
      <c r="G26" s="180" t="str">
        <f aca="false">IF((D26="d"),F26," ")</f>
        <v> </v>
      </c>
      <c r="H26" s="180" t="str">
        <f aca="false">IF((D26="h"),F26," ")</f>
        <v> </v>
      </c>
      <c r="I26" s="180" t="str">
        <f aca="false">IF((D26="r"),F26," ")</f>
        <v> </v>
      </c>
      <c r="J26" s="180" t="str">
        <f aca="false">IF((D26="t"),F26," ")</f>
        <v> </v>
      </c>
      <c r="K26" s="180" t="str">
        <f aca="false">IF((D26="e"),F26," ")</f>
        <v> </v>
      </c>
      <c r="L26" s="180" t="str">
        <f aca="false">IF((D26="p"),F26," ")</f>
        <v> </v>
      </c>
      <c r="M26" s="180" t="str">
        <f aca="false">IF((D26="g"),F26," ")</f>
        <v> </v>
      </c>
      <c r="N26" s="180" t="str">
        <f aca="false">IF((D26="a"),F26," ")</f>
        <v> </v>
      </c>
      <c r="O26" s="180" t="str">
        <f aca="false">IF((D26="l"),F26," ")</f>
        <v> </v>
      </c>
      <c r="P26" s="180" t="str">
        <f aca="false">IF((D26="i"),F26," ")</f>
        <v> </v>
      </c>
      <c r="Q26" s="180" t="str">
        <f aca="false">IF((D26="b"),F26," ")</f>
        <v> </v>
      </c>
      <c r="R26" s="180" t="str">
        <f aca="false">IF((D26="o"),F26," ")</f>
        <v> </v>
      </c>
      <c r="S26" s="180" t="str">
        <f aca="false">IF((D26="f"),F26," ")</f>
        <v> </v>
      </c>
      <c r="U26" s="371"/>
    </row>
    <row r="27" customFormat="false" ht="12.75" hidden="false" customHeight="false" outlineLevel="0" collapsed="false">
      <c r="G27" s="180" t="str">
        <f aca="false">IF((D27="d"),F27," ")</f>
        <v> </v>
      </c>
      <c r="H27" s="180" t="str">
        <f aca="false">IF((D27="h"),F27," ")</f>
        <v> </v>
      </c>
      <c r="I27" s="180" t="str">
        <f aca="false">IF((D27="r"),F27," ")</f>
        <v> </v>
      </c>
      <c r="J27" s="180" t="str">
        <f aca="false">IF((D27="t"),F27," ")</f>
        <v> </v>
      </c>
      <c r="K27" s="180" t="str">
        <f aca="false">IF((D27="e"),F27," ")</f>
        <v> </v>
      </c>
      <c r="L27" s="180" t="str">
        <f aca="false">IF((D27="p"),F27," ")</f>
        <v> </v>
      </c>
      <c r="M27" s="180" t="str">
        <f aca="false">IF((D27="g"),F27," ")</f>
        <v> </v>
      </c>
      <c r="N27" s="180" t="str">
        <f aca="false">IF((D27="a"),F27," ")</f>
        <v> </v>
      </c>
      <c r="O27" s="180" t="str">
        <f aca="false">IF((D27="l"),F27," ")</f>
        <v> </v>
      </c>
      <c r="P27" s="180" t="str">
        <f aca="false">IF((D27="i"),F27," ")</f>
        <v> </v>
      </c>
      <c r="Q27" s="180" t="str">
        <f aca="false">IF((D27="b"),F27," ")</f>
        <v> </v>
      </c>
      <c r="R27" s="180" t="str">
        <f aca="false">IF((D27="o"),F27," ")</f>
        <v> </v>
      </c>
      <c r="S27" s="180" t="str">
        <f aca="false">IF((D27="f"),F27," ")</f>
        <v> </v>
      </c>
      <c r="U27" s="371"/>
    </row>
    <row r="28" customFormat="false" ht="12.75" hidden="false" customHeight="false" outlineLevel="0" collapsed="false">
      <c r="G28" s="180" t="str">
        <f aca="false">IF((D28="d"),F28," ")</f>
        <v> </v>
      </c>
      <c r="H28" s="180" t="str">
        <f aca="false">IF((D28="h"),F28," ")</f>
        <v> </v>
      </c>
      <c r="I28" s="180" t="str">
        <f aca="false">IF((D28="r"),F28," ")</f>
        <v> </v>
      </c>
      <c r="J28" s="180" t="str">
        <f aca="false">IF((D28="t"),F28," ")</f>
        <v> </v>
      </c>
      <c r="K28" s="180" t="str">
        <f aca="false">IF((D28="e"),F28," ")</f>
        <v> </v>
      </c>
      <c r="L28" s="180" t="str">
        <f aca="false">IF((D28="p"),F28," ")</f>
        <v> </v>
      </c>
      <c r="M28" s="180" t="str">
        <f aca="false">IF((D28="g"),F28," ")</f>
        <v> </v>
      </c>
      <c r="N28" s="180" t="str">
        <f aca="false">IF((D28="a"),F28," ")</f>
        <v> </v>
      </c>
      <c r="O28" s="180" t="str">
        <f aca="false">IF((D28="l"),F28," ")</f>
        <v> </v>
      </c>
      <c r="P28" s="180" t="str">
        <f aca="false">IF((D28="i"),F28," ")</f>
        <v> </v>
      </c>
      <c r="Q28" s="180" t="str">
        <f aca="false">IF((D28="b"),F28," ")</f>
        <v> </v>
      </c>
      <c r="R28" s="180" t="str">
        <f aca="false">IF((D28="o"),F28," ")</f>
        <v> </v>
      </c>
      <c r="S28" s="180" t="str">
        <f aca="false">IF((D28="f"),F28," ")</f>
        <v> </v>
      </c>
      <c r="U28" s="371"/>
    </row>
    <row r="29" customFormat="false" ht="12.75" hidden="false" customHeight="false" outlineLevel="0" collapsed="false">
      <c r="G29" s="180" t="str">
        <f aca="false">IF((D29="d"),F29," ")</f>
        <v> </v>
      </c>
      <c r="H29" s="180" t="str">
        <f aca="false">IF((D29="h"),F29," ")</f>
        <v> </v>
      </c>
      <c r="I29" s="180" t="str">
        <f aca="false">IF((D29="r"),F29," ")</f>
        <v> </v>
      </c>
      <c r="J29" s="180" t="str">
        <f aca="false">IF((D29="t"),F29," ")</f>
        <v> </v>
      </c>
      <c r="K29" s="180" t="str">
        <f aca="false">IF((D29="e"),F29," ")</f>
        <v> </v>
      </c>
      <c r="L29" s="180" t="str">
        <f aca="false">IF((D29="p"),F29," ")</f>
        <v> </v>
      </c>
      <c r="M29" s="180" t="str">
        <f aca="false">IF((D29="g"),F29," ")</f>
        <v> </v>
      </c>
      <c r="N29" s="180" t="str">
        <f aca="false">IF((D29="a"),F29," ")</f>
        <v> </v>
      </c>
      <c r="O29" s="180" t="str">
        <f aca="false">IF((D29="l"),F29," ")</f>
        <v> </v>
      </c>
      <c r="P29" s="180" t="str">
        <f aca="false">IF((D29="i"),F29," ")</f>
        <v> </v>
      </c>
      <c r="Q29" s="180" t="str">
        <f aca="false">IF((D29="b"),F29," ")</f>
        <v> </v>
      </c>
      <c r="R29" s="180" t="str">
        <f aca="false">IF((D29="o"),F29," ")</f>
        <v> </v>
      </c>
      <c r="S29" s="180" t="str">
        <f aca="false">IF((D29="f"),F29," ")</f>
        <v> </v>
      </c>
      <c r="U29" s="371"/>
    </row>
    <row r="30" customFormat="false" ht="12.75" hidden="false" customHeight="false" outlineLevel="0" collapsed="false">
      <c r="G30" s="180" t="str">
        <f aca="false">IF((D30="d"),F30," ")</f>
        <v> </v>
      </c>
      <c r="H30" s="180" t="str">
        <f aca="false">IF((D30="h"),F30," ")</f>
        <v> </v>
      </c>
      <c r="I30" s="180" t="str">
        <f aca="false">IF((D30="r"),F30," ")</f>
        <v> </v>
      </c>
      <c r="J30" s="180" t="str">
        <f aca="false">IF((D30="t"),F30," ")</f>
        <v> </v>
      </c>
      <c r="K30" s="180" t="str">
        <f aca="false">IF((D30="e"),F30," ")</f>
        <v> </v>
      </c>
      <c r="L30" s="180" t="str">
        <f aca="false">IF((D30="p"),F30," ")</f>
        <v> </v>
      </c>
      <c r="M30" s="180" t="str">
        <f aca="false">IF((D30="g"),F30," ")</f>
        <v> </v>
      </c>
      <c r="N30" s="180" t="str">
        <f aca="false">IF((D30="a"),F30," ")</f>
        <v> </v>
      </c>
      <c r="O30" s="180" t="str">
        <f aca="false">IF((D30="l"),F30," ")</f>
        <v> </v>
      </c>
      <c r="P30" s="180" t="str">
        <f aca="false">IF((D30="i"),F30," ")</f>
        <v> </v>
      </c>
      <c r="Q30" s="180" t="str">
        <f aca="false">IF((D30="b"),F30," ")</f>
        <v> </v>
      </c>
      <c r="R30" s="180" t="str">
        <f aca="false">IF((D30="o"),F30," ")</f>
        <v> </v>
      </c>
      <c r="S30" s="180" t="str">
        <f aca="false">IF((D30="f"),F30," ")</f>
        <v> </v>
      </c>
      <c r="U30" s="371"/>
    </row>
    <row r="31" customFormat="false" ht="12.75" hidden="false" customHeight="false" outlineLevel="0" collapsed="false">
      <c r="G31" s="180" t="str">
        <f aca="false">IF((D31="d"),F31," ")</f>
        <v> </v>
      </c>
      <c r="H31" s="180" t="str">
        <f aca="false">IF((D31="h"),F31," ")</f>
        <v> </v>
      </c>
      <c r="I31" s="180" t="str">
        <f aca="false">IF((D31="r"),F31," ")</f>
        <v> </v>
      </c>
      <c r="J31" s="180" t="str">
        <f aca="false">IF((D31="t"),F31," ")</f>
        <v> </v>
      </c>
      <c r="K31" s="180" t="str">
        <f aca="false">IF((D31="e"),F31," ")</f>
        <v> </v>
      </c>
      <c r="L31" s="180" t="str">
        <f aca="false">IF((D31="p"),F31," ")</f>
        <v> </v>
      </c>
      <c r="M31" s="180" t="str">
        <f aca="false">IF((D31="g"),F31," ")</f>
        <v> </v>
      </c>
      <c r="N31" s="180" t="str">
        <f aca="false">IF((D31="a"),F31," ")</f>
        <v> </v>
      </c>
      <c r="O31" s="180" t="str">
        <f aca="false">IF((D31="l"),F31," ")</f>
        <v> </v>
      </c>
      <c r="P31" s="180" t="str">
        <f aca="false">IF((D31="i"),F31," ")</f>
        <v> </v>
      </c>
      <c r="Q31" s="180" t="str">
        <f aca="false">IF((D31="b"),F31," ")</f>
        <v> </v>
      </c>
      <c r="R31" s="180" t="str">
        <f aca="false">IF((D31="o"),F31," ")</f>
        <v> </v>
      </c>
      <c r="S31" s="180" t="str">
        <f aca="false">IF((D31="f"),F31," ")</f>
        <v> </v>
      </c>
      <c r="U31" s="371"/>
    </row>
    <row r="32" customFormat="false" ht="12.75" hidden="false" customHeight="false" outlineLevel="0" collapsed="false">
      <c r="G32" s="180" t="str">
        <f aca="false">IF((D32="d"),F32," ")</f>
        <v> </v>
      </c>
      <c r="H32" s="180" t="str">
        <f aca="false">IF((D32="h"),F32," ")</f>
        <v> </v>
      </c>
      <c r="I32" s="180" t="str">
        <f aca="false">IF((D32="r"),F32," ")</f>
        <v> </v>
      </c>
      <c r="J32" s="180" t="str">
        <f aca="false">IF((D32="t"),F32," ")</f>
        <v> </v>
      </c>
      <c r="K32" s="180" t="str">
        <f aca="false">IF((D32="e"),F32," ")</f>
        <v> </v>
      </c>
      <c r="L32" s="180" t="str">
        <f aca="false">IF((D32="p"),F32," ")</f>
        <v> </v>
      </c>
      <c r="M32" s="180" t="str">
        <f aca="false">IF((D32="g"),F32," ")</f>
        <v> </v>
      </c>
      <c r="N32" s="180" t="str">
        <f aca="false">IF((D32="a"),F32," ")</f>
        <v> </v>
      </c>
      <c r="O32" s="180" t="str">
        <f aca="false">IF((D32="l"),F32," ")</f>
        <v> </v>
      </c>
      <c r="P32" s="180" t="str">
        <f aca="false">IF((D32="i"),F32," ")</f>
        <v> </v>
      </c>
      <c r="Q32" s="180" t="str">
        <f aca="false">IF((D32="b"),F32," ")</f>
        <v> </v>
      </c>
      <c r="R32" s="180" t="str">
        <f aca="false">IF((D32="o"),F32," ")</f>
        <v> </v>
      </c>
      <c r="S32" s="180" t="str">
        <f aca="false">IF((D32="f"),F32," ")</f>
        <v> </v>
      </c>
      <c r="U32" s="371"/>
    </row>
    <row r="33" customFormat="false" ht="12.75" hidden="false" customHeight="false" outlineLevel="0" collapsed="false">
      <c r="G33" s="180" t="str">
        <f aca="false">IF((D33="d"),F33," ")</f>
        <v> </v>
      </c>
      <c r="H33" s="180" t="str">
        <f aca="false">IF((D33="h"),F33," ")</f>
        <v> </v>
      </c>
      <c r="I33" s="180" t="str">
        <f aca="false">IF((D33="r"),F33," ")</f>
        <v> </v>
      </c>
      <c r="J33" s="180" t="str">
        <f aca="false">IF((D33="t"),F33," ")</f>
        <v> </v>
      </c>
      <c r="K33" s="180" t="str">
        <f aca="false">IF((D33="e"),F33," ")</f>
        <v> </v>
      </c>
      <c r="L33" s="180" t="str">
        <f aca="false">IF((D33="p"),F33," ")</f>
        <v> </v>
      </c>
      <c r="M33" s="180" t="str">
        <f aca="false">IF((D33="g"),F33," ")</f>
        <v> </v>
      </c>
      <c r="N33" s="180" t="str">
        <f aca="false">IF((D33="a"),F33," ")</f>
        <v> </v>
      </c>
      <c r="O33" s="180" t="str">
        <f aca="false">IF((D33="l"),F33," ")</f>
        <v> </v>
      </c>
      <c r="P33" s="180" t="str">
        <f aca="false">IF((D33="i"),F33," ")</f>
        <v> </v>
      </c>
      <c r="Q33" s="180" t="str">
        <f aca="false">IF((D33="b"),F33," ")</f>
        <v> </v>
      </c>
      <c r="R33" s="180" t="str">
        <f aca="false">IF((D33="o"),F33," ")</f>
        <v> </v>
      </c>
      <c r="S33" s="180" t="str">
        <f aca="false">IF((D33="f"),F33," ")</f>
        <v> </v>
      </c>
      <c r="U33" s="371"/>
    </row>
    <row r="34" customFormat="false" ht="12.75" hidden="false" customHeight="false" outlineLevel="0" collapsed="false">
      <c r="G34" s="180" t="str">
        <f aca="false">IF((D34="d"),F34," ")</f>
        <v> </v>
      </c>
      <c r="H34" s="180" t="str">
        <f aca="false">IF((D34="h"),F34," ")</f>
        <v> </v>
      </c>
      <c r="I34" s="180" t="str">
        <f aca="false">IF((D34="r"),F34," ")</f>
        <v> </v>
      </c>
      <c r="J34" s="180" t="str">
        <f aca="false">IF((D34="t"),F34," ")</f>
        <v> </v>
      </c>
      <c r="K34" s="180" t="str">
        <f aca="false">IF((D34="e"),F34," ")</f>
        <v> </v>
      </c>
      <c r="L34" s="180" t="str">
        <f aca="false">IF((D34="p"),F34," ")</f>
        <v> </v>
      </c>
      <c r="M34" s="180" t="str">
        <f aca="false">IF((D34="g"),F34," ")</f>
        <v> </v>
      </c>
      <c r="N34" s="180" t="str">
        <f aca="false">IF((D34="a"),F34," ")</f>
        <v> </v>
      </c>
      <c r="O34" s="180" t="str">
        <f aca="false">IF((D34="l"),F34," ")</f>
        <v> </v>
      </c>
      <c r="P34" s="180" t="str">
        <f aca="false">IF((D34="i"),F34," ")</f>
        <v> </v>
      </c>
      <c r="Q34" s="180" t="str">
        <f aca="false">IF((D34="b"),F34," ")</f>
        <v> </v>
      </c>
      <c r="R34" s="180" t="str">
        <f aca="false">IF((D34="o"),F34," ")</f>
        <v> </v>
      </c>
      <c r="S34" s="180" t="str">
        <f aca="false">IF((D34="f"),F34," ")</f>
        <v> </v>
      </c>
      <c r="U34" s="371"/>
    </row>
    <row r="35" customFormat="false" ht="12.75" hidden="false" customHeight="false" outlineLevel="0" collapsed="false">
      <c r="G35" s="180" t="str">
        <f aca="false">IF((D35="d"),F35," ")</f>
        <v> </v>
      </c>
      <c r="H35" s="180" t="str">
        <f aca="false">IF((D35="h"),F35," ")</f>
        <v> </v>
      </c>
      <c r="I35" s="180" t="str">
        <f aca="false">IF((D35="r"),F35," ")</f>
        <v> </v>
      </c>
      <c r="J35" s="180" t="str">
        <f aca="false">IF((D35="t"),F35," ")</f>
        <v> </v>
      </c>
      <c r="K35" s="180" t="str">
        <f aca="false">IF((D35="e"),F35," ")</f>
        <v> </v>
      </c>
      <c r="L35" s="180" t="str">
        <f aca="false">IF((D35="p"),F35," ")</f>
        <v> </v>
      </c>
      <c r="M35" s="180" t="str">
        <f aca="false">IF((D35="g"),F35," ")</f>
        <v> </v>
      </c>
      <c r="N35" s="180" t="str">
        <f aca="false">IF((D35="a"),F35," ")</f>
        <v> </v>
      </c>
      <c r="O35" s="180" t="str">
        <f aca="false">IF((D35="l"),F35," ")</f>
        <v> </v>
      </c>
      <c r="P35" s="180" t="str">
        <f aca="false">IF((D35="i"),F35," ")</f>
        <v> </v>
      </c>
      <c r="Q35" s="180" t="str">
        <f aca="false">IF((D35="b"),F35," ")</f>
        <v> </v>
      </c>
      <c r="R35" s="180" t="str">
        <f aca="false">IF((D35="o"),F35," ")</f>
        <v> </v>
      </c>
      <c r="S35" s="180" t="str">
        <f aca="false">IF((D35="f"),F35," ")</f>
        <v> </v>
      </c>
      <c r="U35" s="371"/>
    </row>
    <row r="36" customFormat="false" ht="12.75" hidden="false" customHeight="false" outlineLevel="0" collapsed="false">
      <c r="G36" s="180" t="str">
        <f aca="false">IF((D36="d"),F36," ")</f>
        <v> </v>
      </c>
      <c r="H36" s="180" t="str">
        <f aca="false">IF((D36="h"),F36," ")</f>
        <v> </v>
      </c>
      <c r="I36" s="180" t="str">
        <f aca="false">IF((D36="r"),F36," ")</f>
        <v> </v>
      </c>
      <c r="J36" s="180" t="str">
        <f aca="false">IF((D36="t"),F36," ")</f>
        <v> </v>
      </c>
      <c r="K36" s="180" t="str">
        <f aca="false">IF((D36="e"),F36," ")</f>
        <v> </v>
      </c>
      <c r="L36" s="180" t="str">
        <f aca="false">IF((D36="p"),F36," ")</f>
        <v> </v>
      </c>
      <c r="M36" s="180" t="str">
        <f aca="false">IF((D36="g"),F36," ")</f>
        <v> </v>
      </c>
      <c r="N36" s="180" t="str">
        <f aca="false">IF((D36="a"),F36," ")</f>
        <v> </v>
      </c>
      <c r="O36" s="180" t="str">
        <f aca="false">IF((D36="l"),F36," ")</f>
        <v> </v>
      </c>
      <c r="P36" s="180" t="str">
        <f aca="false">IF((D36="i"),F36," ")</f>
        <v> </v>
      </c>
      <c r="Q36" s="180" t="str">
        <f aca="false">IF((D36="b"),F36," ")</f>
        <v> </v>
      </c>
      <c r="R36" s="180" t="str">
        <f aca="false">IF((D36="o"),F36," ")</f>
        <v> </v>
      </c>
      <c r="S36" s="180" t="str">
        <f aca="false">IF((D36="f"),F36," ")</f>
        <v> </v>
      </c>
      <c r="U36" s="371"/>
    </row>
    <row r="37" customFormat="false" ht="12.75" hidden="false" customHeight="false" outlineLevel="0" collapsed="false">
      <c r="D37" s="371" t="str">
        <f aca="false">IF((F37&lt;&gt;0),"Enter Letter"," ")</f>
        <v> </v>
      </c>
      <c r="G37" s="180" t="str">
        <f aca="false">IF((D37="d"),F37," ")</f>
        <v> </v>
      </c>
      <c r="H37" s="180" t="str">
        <f aca="false">IF((D37="h"),F37," ")</f>
        <v> </v>
      </c>
      <c r="I37" s="180" t="str">
        <f aca="false">IF((D37="r"),F37," ")</f>
        <v> </v>
      </c>
      <c r="J37" s="180" t="str">
        <f aca="false">IF((D37="t"),F37," ")</f>
        <v> </v>
      </c>
      <c r="K37" s="180" t="str">
        <f aca="false">IF((D37="e"),F37," ")</f>
        <v> </v>
      </c>
      <c r="L37" s="180" t="str">
        <f aca="false">IF((D37="p"),F37," ")</f>
        <v> </v>
      </c>
      <c r="M37" s="180" t="str">
        <f aca="false">IF((D37="g"),F37," ")</f>
        <v> </v>
      </c>
      <c r="N37" s="180" t="str">
        <f aca="false">IF((D37="a"),F37," ")</f>
        <v> </v>
      </c>
      <c r="O37" s="180" t="str">
        <f aca="false">IF((D37="l"),F37," ")</f>
        <v> </v>
      </c>
      <c r="P37" s="180" t="str">
        <f aca="false">IF((D37="i"),F37," ")</f>
        <v> </v>
      </c>
      <c r="Q37" s="180" t="str">
        <f aca="false">IF((D37="b"),F37," ")</f>
        <v> </v>
      </c>
      <c r="R37" s="180" t="str">
        <f aca="false">IF((D37="o"),F37," ")</f>
        <v> </v>
      </c>
      <c r="S37" s="180" t="str">
        <f aca="false">IF((D37="f"),F37," ")</f>
        <v> </v>
      </c>
      <c r="U37" s="371"/>
    </row>
    <row r="38" customFormat="false" ht="12.75" hidden="false" customHeight="false" outlineLevel="0" collapsed="false">
      <c r="D38" s="371" t="str">
        <f aca="false">IF((F38&lt;&gt;0),"Enter Letter"," ")</f>
        <v> </v>
      </c>
      <c r="G38" s="180" t="str">
        <f aca="false">IF((D38="d"),F38," ")</f>
        <v> </v>
      </c>
      <c r="H38" s="180" t="str">
        <f aca="false">IF((D38="h"),F38," ")</f>
        <v> </v>
      </c>
      <c r="I38" s="180" t="str">
        <f aca="false">IF((D38="r"),F38," ")</f>
        <v> </v>
      </c>
      <c r="J38" s="180" t="str">
        <f aca="false">IF((D38="t"),F38," ")</f>
        <v> </v>
      </c>
      <c r="K38" s="180" t="str">
        <f aca="false">IF((D38="e"),F38," ")</f>
        <v> </v>
      </c>
      <c r="L38" s="180" t="str">
        <f aca="false">IF((D38="p"),F38," ")</f>
        <v> </v>
      </c>
      <c r="M38" s="180" t="str">
        <f aca="false">IF((D38="g"),F38," ")</f>
        <v> </v>
      </c>
      <c r="N38" s="180" t="str">
        <f aca="false">IF((D38="a"),F38," ")</f>
        <v> </v>
      </c>
      <c r="O38" s="180" t="str">
        <f aca="false">IF((D38="l"),F38," ")</f>
        <v> </v>
      </c>
      <c r="P38" s="180" t="str">
        <f aca="false">IF((D38="i"),F38," ")</f>
        <v> </v>
      </c>
      <c r="Q38" s="180" t="str">
        <f aca="false">IF((D38="b"),F38," ")</f>
        <v> </v>
      </c>
      <c r="R38" s="180" t="str">
        <f aca="false">IF((D38="o"),F38," ")</f>
        <v> </v>
      </c>
      <c r="S38" s="180" t="str">
        <f aca="false">IF((D38="f"),F38," ")</f>
        <v> </v>
      </c>
      <c r="U38" s="371"/>
    </row>
    <row r="39" customFormat="false" ht="12.75" hidden="false" customHeight="false" outlineLevel="0" collapsed="false">
      <c r="D39" s="371" t="str">
        <f aca="false">IF((F39&lt;&gt;0),"Enter Letter"," ")</f>
        <v> </v>
      </c>
      <c r="G39" s="180" t="str">
        <f aca="false">IF((D39="d"),F39," ")</f>
        <v> </v>
      </c>
      <c r="H39" s="180" t="str">
        <f aca="false">IF((D39="h"),F39," ")</f>
        <v> </v>
      </c>
      <c r="I39" s="180" t="str">
        <f aca="false">IF((D39="r"),F39," ")</f>
        <v> </v>
      </c>
      <c r="J39" s="180" t="str">
        <f aca="false">IF((D39="t"),F39," ")</f>
        <v> </v>
      </c>
      <c r="K39" s="180" t="str">
        <f aca="false">IF((D39="e"),F39," ")</f>
        <v> </v>
      </c>
      <c r="L39" s="180" t="str">
        <f aca="false">IF((D39="p"),F39," ")</f>
        <v> </v>
      </c>
      <c r="M39" s="180" t="str">
        <f aca="false">IF((D39="g"),F39," ")</f>
        <v> </v>
      </c>
      <c r="N39" s="180" t="str">
        <f aca="false">IF((D39="a"),F39," ")</f>
        <v> </v>
      </c>
      <c r="O39" s="180" t="str">
        <f aca="false">IF((D39="l"),F39," ")</f>
        <v> </v>
      </c>
      <c r="P39" s="180" t="str">
        <f aca="false">IF((D39="i"),F39," ")</f>
        <v> </v>
      </c>
      <c r="Q39" s="180" t="str">
        <f aca="false">IF((D39="b"),F39," ")</f>
        <v> </v>
      </c>
      <c r="R39" s="180" t="str">
        <f aca="false">IF((D39="o"),F39," ")</f>
        <v> </v>
      </c>
      <c r="S39" s="180" t="str">
        <f aca="false">IF((D39="f"),F39," ")</f>
        <v> </v>
      </c>
      <c r="U39" s="371"/>
    </row>
    <row r="40" customFormat="false" ht="12.75" hidden="false" customHeight="false" outlineLevel="0" collapsed="false">
      <c r="D40" s="371" t="str">
        <f aca="false">IF((F40&lt;&gt;0),"Enter Letter"," ")</f>
        <v> </v>
      </c>
      <c r="G40" s="180" t="str">
        <f aca="false">IF((D40="d"),F40," ")</f>
        <v> </v>
      </c>
      <c r="H40" s="180" t="str">
        <f aca="false">IF((D40="h"),F40," ")</f>
        <v> </v>
      </c>
      <c r="I40" s="180" t="str">
        <f aca="false">IF((D40="r"),F40," ")</f>
        <v> </v>
      </c>
      <c r="J40" s="180" t="str">
        <f aca="false">IF((D40="t"),F40," ")</f>
        <v> </v>
      </c>
      <c r="K40" s="180" t="str">
        <f aca="false">IF((D40="e"),F40," ")</f>
        <v> </v>
      </c>
      <c r="L40" s="180" t="str">
        <f aca="false">IF((D40="p"),F40," ")</f>
        <v> </v>
      </c>
      <c r="M40" s="180" t="str">
        <f aca="false">IF((D40="g"),F40," ")</f>
        <v> </v>
      </c>
      <c r="N40" s="180" t="str">
        <f aca="false">IF((D40="a"),F40," ")</f>
        <v> </v>
      </c>
      <c r="O40" s="180" t="str">
        <f aca="false">IF((D40="l"),F40," ")</f>
        <v> </v>
      </c>
      <c r="P40" s="180" t="str">
        <f aca="false">IF((D40="i"),F40," ")</f>
        <v> </v>
      </c>
      <c r="Q40" s="180" t="str">
        <f aca="false">IF((D40="b"),F40," ")</f>
        <v> </v>
      </c>
      <c r="R40" s="180" t="str">
        <f aca="false">IF((D40="o"),F40," ")</f>
        <v> </v>
      </c>
      <c r="S40" s="180" t="str">
        <f aca="false">IF((D40="f"),F40," ")</f>
        <v> </v>
      </c>
      <c r="U40" s="371"/>
    </row>
    <row r="41" customFormat="false" ht="12.75" hidden="false" customHeight="false" outlineLevel="0" collapsed="false">
      <c r="D41" s="371" t="str">
        <f aca="false">IF((F41&lt;&gt;0),"Enter Letter"," ")</f>
        <v> </v>
      </c>
      <c r="G41" s="180" t="str">
        <f aca="false">IF((D41="d"),F41," ")</f>
        <v> </v>
      </c>
      <c r="H41" s="180" t="str">
        <f aca="false">IF((D41="h"),F41," ")</f>
        <v> </v>
      </c>
      <c r="I41" s="180" t="str">
        <f aca="false">IF((D41="r"),F41," ")</f>
        <v> </v>
      </c>
      <c r="J41" s="180" t="str">
        <f aca="false">IF((D41="t"),F41," ")</f>
        <v> </v>
      </c>
      <c r="K41" s="180" t="str">
        <f aca="false">IF((D41="e"),F41," ")</f>
        <v> </v>
      </c>
      <c r="L41" s="180" t="str">
        <f aca="false">IF((D41="p"),F41," ")</f>
        <v> </v>
      </c>
      <c r="M41" s="180" t="str">
        <f aca="false">IF((D41="g"),F41," ")</f>
        <v> </v>
      </c>
      <c r="N41" s="180" t="str">
        <f aca="false">IF((D41="a"),F41," ")</f>
        <v> </v>
      </c>
      <c r="O41" s="180" t="str">
        <f aca="false">IF((D41="l"),F41," ")</f>
        <v> </v>
      </c>
      <c r="P41" s="180" t="str">
        <f aca="false">IF((D41="i"),F41," ")</f>
        <v> </v>
      </c>
      <c r="Q41" s="180" t="str">
        <f aca="false">IF((D41="b"),F41," ")</f>
        <v> </v>
      </c>
      <c r="R41" s="180" t="str">
        <f aca="false">IF((D41="o"),F41," ")</f>
        <v> </v>
      </c>
      <c r="S41" s="180" t="str">
        <f aca="false">IF((D41="f"),F41," ")</f>
        <v> </v>
      </c>
      <c r="U41" s="371"/>
    </row>
    <row r="42" customFormat="false" ht="12.75" hidden="false" customHeight="false" outlineLevel="0" collapsed="false">
      <c r="D42" s="371" t="str">
        <f aca="false">IF((F42&lt;&gt;0),"Enter Letter"," ")</f>
        <v> </v>
      </c>
      <c r="G42" s="180" t="str">
        <f aca="false">IF((D42="d"),F42," ")</f>
        <v> </v>
      </c>
      <c r="H42" s="180" t="str">
        <f aca="false">IF((D42="h"),F42," ")</f>
        <v> </v>
      </c>
      <c r="I42" s="180" t="str">
        <f aca="false">IF((D42="r"),F42," ")</f>
        <v> </v>
      </c>
      <c r="J42" s="180" t="str">
        <f aca="false">IF((D42="t"),F42," ")</f>
        <v> </v>
      </c>
      <c r="K42" s="180" t="str">
        <f aca="false">IF((D42="e"),F42," ")</f>
        <v> </v>
      </c>
      <c r="L42" s="180" t="str">
        <f aca="false">IF((D42="p"),F42," ")</f>
        <v> </v>
      </c>
      <c r="M42" s="180" t="str">
        <f aca="false">IF((D42="g"),F42," ")</f>
        <v> </v>
      </c>
      <c r="N42" s="180" t="str">
        <f aca="false">IF((D42="a"),F42," ")</f>
        <v> </v>
      </c>
      <c r="O42" s="180" t="str">
        <f aca="false">IF((D42="l"),F42," ")</f>
        <v> </v>
      </c>
      <c r="P42" s="180" t="str">
        <f aca="false">IF((D42="i"),F42," ")</f>
        <v> </v>
      </c>
      <c r="Q42" s="180" t="str">
        <f aca="false">IF((D42="b"),F42," ")</f>
        <v> </v>
      </c>
      <c r="R42" s="180" t="str">
        <f aca="false">IF((D42="o"),F42," ")</f>
        <v> </v>
      </c>
      <c r="S42" s="180" t="str">
        <f aca="false">IF((D42="f"),F42," ")</f>
        <v> </v>
      </c>
      <c r="U42" s="371"/>
    </row>
    <row r="43" customFormat="false" ht="12.75" hidden="false" customHeight="false" outlineLevel="0" collapsed="false">
      <c r="D43" s="371" t="str">
        <f aca="false">IF((F43&lt;&gt;0),"Enter Letter"," ")</f>
        <v> </v>
      </c>
      <c r="G43" s="180" t="str">
        <f aca="false">IF((D43="d"),F43," ")</f>
        <v> </v>
      </c>
      <c r="H43" s="180" t="str">
        <f aca="false">IF((D43="h"),F43," ")</f>
        <v> </v>
      </c>
      <c r="I43" s="180" t="str">
        <f aca="false">IF((D43="r"),F43," ")</f>
        <v> </v>
      </c>
      <c r="J43" s="180" t="str">
        <f aca="false">IF((D43="t"),F43," ")</f>
        <v> </v>
      </c>
      <c r="K43" s="180" t="str">
        <f aca="false">IF((D43="e"),F43," ")</f>
        <v> </v>
      </c>
      <c r="L43" s="180" t="str">
        <f aca="false">IF((D43="p"),F43," ")</f>
        <v> </v>
      </c>
      <c r="M43" s="180" t="str">
        <f aca="false">IF((D43="g"),F43," ")</f>
        <v> </v>
      </c>
      <c r="N43" s="180" t="str">
        <f aca="false">IF((D43="a"),F43," ")</f>
        <v> </v>
      </c>
      <c r="O43" s="180" t="str">
        <f aca="false">IF((D43="l"),F43," ")</f>
        <v> </v>
      </c>
      <c r="P43" s="180" t="str">
        <f aca="false">IF((D43="i"),F43," ")</f>
        <v> </v>
      </c>
      <c r="Q43" s="180" t="str">
        <f aca="false">IF((D43="b"),F43," ")</f>
        <v> </v>
      </c>
      <c r="R43" s="180" t="str">
        <f aca="false">IF((D43="o"),F43," ")</f>
        <v> </v>
      </c>
      <c r="S43" s="180" t="str">
        <f aca="false">IF((D43="f"),F43," ")</f>
        <v> </v>
      </c>
      <c r="U43" s="371"/>
    </row>
    <row r="44" customFormat="false" ht="12.75" hidden="false" customHeight="false" outlineLevel="0" collapsed="false">
      <c r="D44" s="371" t="str">
        <f aca="false">IF((F44&lt;&gt;0),"Enter Letter"," ")</f>
        <v> </v>
      </c>
      <c r="G44" s="180" t="str">
        <f aca="false">IF((D44="d"),F44," ")</f>
        <v> </v>
      </c>
      <c r="H44" s="180" t="str">
        <f aca="false">IF((D44="h"),F44," ")</f>
        <v> </v>
      </c>
      <c r="I44" s="180" t="str">
        <f aca="false">IF((D44="r"),F44," ")</f>
        <v> </v>
      </c>
      <c r="J44" s="180" t="str">
        <f aca="false">IF((D44="t"),F44," ")</f>
        <v> </v>
      </c>
      <c r="K44" s="180" t="str">
        <f aca="false">IF((D44="e"),F44," ")</f>
        <v> </v>
      </c>
      <c r="L44" s="180" t="str">
        <f aca="false">IF((D44="p"),F44," ")</f>
        <v> </v>
      </c>
      <c r="M44" s="180" t="str">
        <f aca="false">IF((D44="g"),F44," ")</f>
        <v> </v>
      </c>
      <c r="N44" s="180" t="str">
        <f aca="false">IF((D44="a"),F44," ")</f>
        <v> </v>
      </c>
      <c r="O44" s="180" t="str">
        <f aca="false">IF((D44="l"),F44," ")</f>
        <v> </v>
      </c>
      <c r="P44" s="180" t="str">
        <f aca="false">IF((D44="i"),F44," ")</f>
        <v> </v>
      </c>
      <c r="Q44" s="180" t="str">
        <f aca="false">IF((D44="b"),F44," ")</f>
        <v> </v>
      </c>
      <c r="R44" s="180" t="str">
        <f aca="false">IF((D44="o"),F44," ")</f>
        <v> </v>
      </c>
      <c r="S44" s="180" t="str">
        <f aca="false">IF((D44="f"),F44," ")</f>
        <v> </v>
      </c>
      <c r="U44" s="371"/>
    </row>
    <row r="45" customFormat="false" ht="12.75" hidden="false" customHeight="false" outlineLevel="0" collapsed="false">
      <c r="D45" s="371" t="str">
        <f aca="false">IF((F45&lt;&gt;0),"Enter Letter"," ")</f>
        <v> </v>
      </c>
      <c r="G45" s="180" t="str">
        <f aca="false">IF((D45="d"),F45," ")</f>
        <v> </v>
      </c>
      <c r="H45" s="180" t="str">
        <f aca="false">IF((D45="h"),F45," ")</f>
        <v> </v>
      </c>
      <c r="I45" s="180" t="str">
        <f aca="false">IF((D45="r"),F45," ")</f>
        <v> </v>
      </c>
      <c r="J45" s="180" t="str">
        <f aca="false">IF((D45="t"),F45," ")</f>
        <v> </v>
      </c>
      <c r="K45" s="180" t="str">
        <f aca="false">IF((D45="e"),F45," ")</f>
        <v> </v>
      </c>
      <c r="L45" s="180" t="str">
        <f aca="false">IF((D45="p"),F45," ")</f>
        <v> </v>
      </c>
      <c r="M45" s="180" t="str">
        <f aca="false">IF((D45="g"),F45," ")</f>
        <v> </v>
      </c>
      <c r="N45" s="180" t="str">
        <f aca="false">IF((D45="a"),F45," ")</f>
        <v> </v>
      </c>
      <c r="O45" s="180" t="str">
        <f aca="false">IF((D45="l"),F45," ")</f>
        <v> </v>
      </c>
      <c r="P45" s="180" t="str">
        <f aca="false">IF((D45="i"),F45," ")</f>
        <v> </v>
      </c>
      <c r="Q45" s="180" t="str">
        <f aca="false">IF((D45="b"),F45," ")</f>
        <v> </v>
      </c>
      <c r="R45" s="180" t="str">
        <f aca="false">IF((D45="o"),F45," ")</f>
        <v> </v>
      </c>
      <c r="S45" s="180" t="str">
        <f aca="false">IF((D45="f"),F45," ")</f>
        <v> </v>
      </c>
      <c r="U45" s="371"/>
    </row>
    <row r="46" customFormat="false" ht="12.75" hidden="false" customHeight="false" outlineLevel="0" collapsed="false">
      <c r="D46" s="371" t="str">
        <f aca="false">IF((F46&lt;&gt;0),"Enter Letter"," ")</f>
        <v> </v>
      </c>
      <c r="G46" s="180" t="str">
        <f aca="false">IF((D46="d"),F46," ")</f>
        <v> </v>
      </c>
      <c r="H46" s="180" t="str">
        <f aca="false">IF((D46="h"),F46," ")</f>
        <v> </v>
      </c>
      <c r="I46" s="180" t="str">
        <f aca="false">IF((D46="r"),F46," ")</f>
        <v> </v>
      </c>
      <c r="J46" s="180" t="str">
        <f aca="false">IF((D46="t"),F46," ")</f>
        <v> </v>
      </c>
      <c r="K46" s="180" t="str">
        <f aca="false">IF((D46="e"),F46," ")</f>
        <v> </v>
      </c>
      <c r="L46" s="180" t="str">
        <f aca="false">IF((D46="p"),F46," ")</f>
        <v> </v>
      </c>
      <c r="M46" s="180" t="str">
        <f aca="false">IF((D46="g"),F46," ")</f>
        <v> </v>
      </c>
      <c r="N46" s="180" t="str">
        <f aca="false">IF((D46="a"),F46," ")</f>
        <v> </v>
      </c>
      <c r="O46" s="180" t="str">
        <f aca="false">IF((D46="l"),F46," ")</f>
        <v> </v>
      </c>
      <c r="P46" s="180" t="str">
        <f aca="false">IF((D46="i"),F46," ")</f>
        <v> </v>
      </c>
      <c r="Q46" s="180" t="str">
        <f aca="false">IF((D46="b"),F46," ")</f>
        <v> </v>
      </c>
      <c r="R46" s="180" t="str">
        <f aca="false">IF((D46="o"),F46," ")</f>
        <v> </v>
      </c>
      <c r="S46" s="180" t="str">
        <f aca="false">IF((D46="f"),F46," ")</f>
        <v> </v>
      </c>
      <c r="U46" s="371"/>
    </row>
    <row r="47" customFormat="false" ht="12.75" hidden="false" customHeight="false" outlineLevel="0" collapsed="false">
      <c r="D47" s="371" t="str">
        <f aca="false">IF((F47&lt;&gt;0),"Enter Letter"," ")</f>
        <v> </v>
      </c>
      <c r="G47" s="180" t="str">
        <f aca="false">IF((D47="d"),F47," ")</f>
        <v> </v>
      </c>
      <c r="H47" s="180" t="str">
        <f aca="false">IF((D47="h"),F47," ")</f>
        <v> </v>
      </c>
      <c r="I47" s="180" t="str">
        <f aca="false">IF((D47="r"),F47," ")</f>
        <v> </v>
      </c>
      <c r="J47" s="180" t="str">
        <f aca="false">IF((D47="t"),F47," ")</f>
        <v> </v>
      </c>
      <c r="K47" s="180" t="str">
        <f aca="false">IF((D47="e"),F47," ")</f>
        <v> </v>
      </c>
      <c r="L47" s="180" t="str">
        <f aca="false">IF((D47="p"),F47," ")</f>
        <v> </v>
      </c>
      <c r="M47" s="180" t="str">
        <f aca="false">IF((D47="g"),F47," ")</f>
        <v> </v>
      </c>
      <c r="N47" s="180" t="str">
        <f aca="false">IF((D47="a"),F47," ")</f>
        <v> </v>
      </c>
      <c r="O47" s="180" t="str">
        <f aca="false">IF((D47="l"),F47," ")</f>
        <v> </v>
      </c>
      <c r="P47" s="180" t="str">
        <f aca="false">IF((D47="i"),F47," ")</f>
        <v> </v>
      </c>
      <c r="Q47" s="180" t="str">
        <f aca="false">IF((D47="b"),F47," ")</f>
        <v> </v>
      </c>
      <c r="R47" s="180" t="str">
        <f aca="false">IF((D47="o"),F47," ")</f>
        <v> </v>
      </c>
      <c r="S47" s="180" t="str">
        <f aca="false">IF((D47="f"),F47," ")</f>
        <v> </v>
      </c>
      <c r="U47" s="371"/>
    </row>
    <row r="48" customFormat="false" ht="12.75" hidden="false" customHeight="false" outlineLevel="0" collapsed="false">
      <c r="D48" s="371" t="str">
        <f aca="false">IF((F48&lt;&gt;0),"Enter Letter"," ")</f>
        <v> </v>
      </c>
      <c r="G48" s="180" t="str">
        <f aca="false">IF((D48="d"),F48," ")</f>
        <v> </v>
      </c>
      <c r="H48" s="180" t="str">
        <f aca="false">IF((D48="h"),F48," ")</f>
        <v> </v>
      </c>
      <c r="I48" s="180" t="str">
        <f aca="false">IF((D48="r"),F48," ")</f>
        <v> </v>
      </c>
      <c r="J48" s="180" t="str">
        <f aca="false">IF((D48="t"),F48," ")</f>
        <v> </v>
      </c>
      <c r="K48" s="180" t="str">
        <f aca="false">IF((D48="e"),F48," ")</f>
        <v> </v>
      </c>
      <c r="L48" s="180" t="str">
        <f aca="false">IF((D48="p"),F48," ")</f>
        <v> </v>
      </c>
      <c r="M48" s="180" t="str">
        <f aca="false">IF((D48="g"),F48," ")</f>
        <v> </v>
      </c>
      <c r="N48" s="180" t="str">
        <f aca="false">IF((D48="a"),F48," ")</f>
        <v> </v>
      </c>
      <c r="O48" s="180" t="str">
        <f aca="false">IF((D48="l"),F48," ")</f>
        <v> </v>
      </c>
      <c r="P48" s="180" t="str">
        <f aca="false">IF((D48="i"),F48," ")</f>
        <v> </v>
      </c>
      <c r="Q48" s="180" t="str">
        <f aca="false">IF((D48="b"),F48," ")</f>
        <v> </v>
      </c>
      <c r="R48" s="180" t="str">
        <f aca="false">IF((D48="o"),F48," ")</f>
        <v> </v>
      </c>
      <c r="S48" s="180" t="str">
        <f aca="false">IF((D48="f"),F48," ")</f>
        <v> </v>
      </c>
      <c r="U48" s="371"/>
    </row>
    <row r="49" customFormat="false" ht="12.75" hidden="false" customHeight="false" outlineLevel="0" collapsed="false">
      <c r="D49" s="371" t="str">
        <f aca="false">IF((F49&lt;&gt;0),"Enter Letter"," ")</f>
        <v> </v>
      </c>
      <c r="G49" s="180" t="str">
        <f aca="false">IF((D49="d"),F49," ")</f>
        <v> </v>
      </c>
      <c r="H49" s="180" t="str">
        <f aca="false">IF((D49="h"),F49," ")</f>
        <v> </v>
      </c>
      <c r="I49" s="180" t="str">
        <f aca="false">IF((D49="r"),F49," ")</f>
        <v> </v>
      </c>
      <c r="J49" s="180" t="str">
        <f aca="false">IF((D49="t"),F49," ")</f>
        <v> </v>
      </c>
      <c r="K49" s="180" t="str">
        <f aca="false">IF((D49="e"),F49," ")</f>
        <v> </v>
      </c>
      <c r="L49" s="180" t="str">
        <f aca="false">IF((D49="p"),F49," ")</f>
        <v> </v>
      </c>
      <c r="M49" s="180" t="str">
        <f aca="false">IF((D49="g"),F49," ")</f>
        <v> </v>
      </c>
      <c r="N49" s="180" t="str">
        <f aca="false">IF((D49="a"),F49," ")</f>
        <v> </v>
      </c>
      <c r="O49" s="180" t="str">
        <f aca="false">IF((D49="l"),F49," ")</f>
        <v> </v>
      </c>
      <c r="P49" s="180" t="str">
        <f aca="false">IF((D49="i"),F49," ")</f>
        <v> </v>
      </c>
      <c r="Q49" s="180" t="str">
        <f aca="false">IF((D49="b"),F49," ")</f>
        <v> </v>
      </c>
      <c r="R49" s="180" t="str">
        <f aca="false">IF((D49="o"),F49," ")</f>
        <v> </v>
      </c>
      <c r="S49" s="180" t="str">
        <f aca="false">IF((D49="f"),F49," ")</f>
        <v> </v>
      </c>
      <c r="U49" s="371"/>
    </row>
    <row r="50" customFormat="false" ht="12.75" hidden="false" customHeight="false" outlineLevel="0" collapsed="false">
      <c r="D50" s="371" t="str">
        <f aca="false">IF((F50&lt;&gt;0),"Enter Letter"," ")</f>
        <v> </v>
      </c>
      <c r="G50" s="180" t="str">
        <f aca="false">IF((D50="d"),F50," ")</f>
        <v> </v>
      </c>
      <c r="H50" s="180" t="str">
        <f aca="false">IF((D50="h"),F50," ")</f>
        <v> </v>
      </c>
      <c r="I50" s="180" t="str">
        <f aca="false">IF((D50="r"),F50," ")</f>
        <v> </v>
      </c>
      <c r="J50" s="180" t="str">
        <f aca="false">IF((D50="t"),F50," ")</f>
        <v> </v>
      </c>
      <c r="K50" s="180" t="str">
        <f aca="false">IF((D50="e"),F50," ")</f>
        <v> </v>
      </c>
      <c r="L50" s="180" t="str">
        <f aca="false">IF((D50="p"),F50," ")</f>
        <v> </v>
      </c>
      <c r="M50" s="180" t="str">
        <f aca="false">IF((D50="g"),F50," ")</f>
        <v> </v>
      </c>
      <c r="N50" s="180" t="str">
        <f aca="false">IF((D50="a"),F50," ")</f>
        <v> </v>
      </c>
      <c r="O50" s="180" t="str">
        <f aca="false">IF((D50="l"),F50," ")</f>
        <v> </v>
      </c>
      <c r="P50" s="180" t="str">
        <f aca="false">IF((D50="i"),F50," ")</f>
        <v> </v>
      </c>
      <c r="Q50" s="180" t="str">
        <f aca="false">IF((D50="b"),F50," ")</f>
        <v> </v>
      </c>
      <c r="R50" s="180" t="str">
        <f aca="false">IF((D50="o"),F50," ")</f>
        <v> </v>
      </c>
      <c r="S50" s="180" t="str">
        <f aca="false">IF((D50="f"),F50," ")</f>
        <v> </v>
      </c>
      <c r="U50" s="371"/>
    </row>
    <row r="51" customFormat="false" ht="12.75" hidden="false" customHeight="false" outlineLevel="0" collapsed="false">
      <c r="D51" s="371" t="str">
        <f aca="false">IF((F51&lt;&gt;0),"Enter Letter"," ")</f>
        <v> </v>
      </c>
      <c r="G51" s="180" t="str">
        <f aca="false">IF((D51="d"),F51," ")</f>
        <v> </v>
      </c>
      <c r="H51" s="180" t="str">
        <f aca="false">IF((D51="h"),F51," ")</f>
        <v> </v>
      </c>
      <c r="I51" s="180" t="str">
        <f aca="false">IF((D51="r"),F51," ")</f>
        <v> </v>
      </c>
      <c r="J51" s="180" t="str">
        <f aca="false">IF((D51="t"),F51," ")</f>
        <v> </v>
      </c>
      <c r="K51" s="180" t="str">
        <f aca="false">IF((D51="e"),F51," ")</f>
        <v> </v>
      </c>
      <c r="L51" s="180" t="str">
        <f aca="false">IF((D51="p"),F51," ")</f>
        <v> </v>
      </c>
      <c r="M51" s="180" t="str">
        <f aca="false">IF((D51="g"),F51," ")</f>
        <v> </v>
      </c>
      <c r="N51" s="180" t="str">
        <f aca="false">IF((D51="a"),F51," ")</f>
        <v> </v>
      </c>
      <c r="O51" s="180" t="str">
        <f aca="false">IF((D51="l"),F51," ")</f>
        <v> </v>
      </c>
      <c r="P51" s="180" t="str">
        <f aca="false">IF((D51="i"),F51," ")</f>
        <v> </v>
      </c>
      <c r="Q51" s="180" t="str">
        <f aca="false">IF((D51="b"),F51," ")</f>
        <v> </v>
      </c>
      <c r="R51" s="180" t="str">
        <f aca="false">IF((D51="o"),F51," ")</f>
        <v> </v>
      </c>
      <c r="S51" s="180" t="str">
        <f aca="false">IF((D51="f"),F51," ")</f>
        <v> </v>
      </c>
      <c r="U51" s="371"/>
    </row>
    <row r="52" customFormat="false" ht="12.75" hidden="false" customHeight="false" outlineLevel="0" collapsed="false">
      <c r="D52" s="371" t="str">
        <f aca="false">IF((F52&lt;&gt;0),"Enter Letter"," ")</f>
        <v> </v>
      </c>
      <c r="G52" s="180" t="str">
        <f aca="false">IF((D52="d"),F52," ")</f>
        <v> </v>
      </c>
      <c r="H52" s="180" t="str">
        <f aca="false">IF((D52="h"),F52," ")</f>
        <v> </v>
      </c>
      <c r="I52" s="180" t="str">
        <f aca="false">IF((D52="r"),F52," ")</f>
        <v> </v>
      </c>
      <c r="J52" s="180" t="str">
        <f aca="false">IF((D52="t"),F52," ")</f>
        <v> </v>
      </c>
      <c r="K52" s="180" t="str">
        <f aca="false">IF((D52="e"),F52," ")</f>
        <v> </v>
      </c>
      <c r="L52" s="180" t="str">
        <f aca="false">IF((D52="p"),F52," ")</f>
        <v> </v>
      </c>
      <c r="M52" s="180" t="str">
        <f aca="false">IF((D52="g"),F52," ")</f>
        <v> </v>
      </c>
      <c r="N52" s="180" t="str">
        <f aca="false">IF((D52="a"),F52," ")</f>
        <v> </v>
      </c>
      <c r="O52" s="180" t="str">
        <f aca="false">IF((D52="l"),F52," ")</f>
        <v> </v>
      </c>
      <c r="P52" s="180" t="str">
        <f aca="false">IF((D52="i"),F52," ")</f>
        <v> </v>
      </c>
      <c r="Q52" s="180" t="str">
        <f aca="false">IF((D52="b"),F52," ")</f>
        <v> </v>
      </c>
      <c r="R52" s="180" t="str">
        <f aca="false">IF((D52="o"),F52," ")</f>
        <v> </v>
      </c>
      <c r="S52" s="180" t="str">
        <f aca="false">IF((D52="f"),F52," ")</f>
        <v> </v>
      </c>
      <c r="U52" s="371"/>
    </row>
    <row r="53" customFormat="false" ht="12.75" hidden="false" customHeight="false" outlineLevel="0" collapsed="false">
      <c r="D53" s="371" t="str">
        <f aca="false">IF((F53&lt;&gt;0),"Enter Letter"," ")</f>
        <v> </v>
      </c>
      <c r="G53" s="180" t="str">
        <f aca="false">IF((D53="d"),F53," ")</f>
        <v> </v>
      </c>
      <c r="H53" s="180" t="str">
        <f aca="false">IF((D53="h"),F53," ")</f>
        <v> </v>
      </c>
      <c r="I53" s="180" t="str">
        <f aca="false">IF((D53="r"),F53," ")</f>
        <v> </v>
      </c>
      <c r="J53" s="180" t="str">
        <f aca="false">IF((D53="t"),F53," ")</f>
        <v> </v>
      </c>
      <c r="K53" s="180" t="str">
        <f aca="false">IF((D53="e"),F53," ")</f>
        <v> </v>
      </c>
      <c r="L53" s="180" t="str">
        <f aca="false">IF((D53="p"),F53," ")</f>
        <v> </v>
      </c>
      <c r="M53" s="180" t="str">
        <f aca="false">IF((D53="g"),F53," ")</f>
        <v> </v>
      </c>
      <c r="N53" s="180" t="str">
        <f aca="false">IF((D53="a"),F53," ")</f>
        <v> </v>
      </c>
      <c r="O53" s="180" t="str">
        <f aca="false">IF((D53="l"),F53," ")</f>
        <v> </v>
      </c>
      <c r="P53" s="180" t="str">
        <f aca="false">IF((D53="i"),F53," ")</f>
        <v> </v>
      </c>
      <c r="Q53" s="180" t="str">
        <f aca="false">IF((D53="b"),F53," ")</f>
        <v> </v>
      </c>
      <c r="R53" s="180" t="str">
        <f aca="false">IF((D53="o"),F53," ")</f>
        <v> </v>
      </c>
      <c r="S53" s="180" t="str">
        <f aca="false">IF((D53="f"),F53," ")</f>
        <v> </v>
      </c>
      <c r="U53" s="371"/>
    </row>
    <row r="54" customFormat="false" ht="12.75" hidden="false" customHeight="false" outlineLevel="0" collapsed="false">
      <c r="D54" s="371" t="str">
        <f aca="false">IF((F54&lt;&gt;0),"Enter Letter"," ")</f>
        <v> </v>
      </c>
      <c r="G54" s="180" t="str">
        <f aca="false">IF((D54="d"),F54," ")</f>
        <v> </v>
      </c>
      <c r="H54" s="180" t="str">
        <f aca="false">IF((D54="h"),F54," ")</f>
        <v> </v>
      </c>
      <c r="I54" s="180" t="str">
        <f aca="false">IF((D54="r"),F54," ")</f>
        <v> </v>
      </c>
      <c r="J54" s="180" t="str">
        <f aca="false">IF((D54="t"),F54," ")</f>
        <v> </v>
      </c>
      <c r="K54" s="180" t="str">
        <f aca="false">IF((D54="e"),F54," ")</f>
        <v> </v>
      </c>
      <c r="L54" s="180" t="str">
        <f aca="false">IF((D54="p"),F54," ")</f>
        <v> </v>
      </c>
      <c r="M54" s="180" t="str">
        <f aca="false">IF((D54="g"),F54," ")</f>
        <v> </v>
      </c>
      <c r="N54" s="180" t="str">
        <f aca="false">IF((D54="a"),F54," ")</f>
        <v> </v>
      </c>
      <c r="O54" s="180" t="str">
        <f aca="false">IF((D54="l"),F54," ")</f>
        <v> </v>
      </c>
      <c r="P54" s="180" t="str">
        <f aca="false">IF((D54="i"),F54," ")</f>
        <v> </v>
      </c>
      <c r="Q54" s="180" t="str">
        <f aca="false">IF((D54="b"),F54," ")</f>
        <v> </v>
      </c>
      <c r="R54" s="180" t="str">
        <f aca="false">IF((D54="o"),F54," ")</f>
        <v> </v>
      </c>
      <c r="S54" s="180" t="str">
        <f aca="false">IF((D54="f"),F54," ")</f>
        <v> </v>
      </c>
      <c r="U54" s="371"/>
    </row>
    <row r="55" customFormat="false" ht="12.75" hidden="false" customHeight="false" outlineLevel="0" collapsed="false">
      <c r="D55" s="371" t="str">
        <f aca="false">IF((F55&lt;&gt;0),"Enter Letter"," ")</f>
        <v> </v>
      </c>
      <c r="G55" s="180" t="str">
        <f aca="false">IF((D55="d"),F55," ")</f>
        <v> </v>
      </c>
      <c r="H55" s="180" t="str">
        <f aca="false">IF((D55="h"),F55," ")</f>
        <v> </v>
      </c>
      <c r="I55" s="180" t="str">
        <f aca="false">IF((D55="r"),F55," ")</f>
        <v> </v>
      </c>
      <c r="J55" s="180" t="str">
        <f aca="false">IF((D55="t"),F55," ")</f>
        <v> </v>
      </c>
      <c r="K55" s="180" t="str">
        <f aca="false">IF((D55="e"),F55," ")</f>
        <v> </v>
      </c>
      <c r="L55" s="180" t="str">
        <f aca="false">IF((D55="p"),F55," ")</f>
        <v> </v>
      </c>
      <c r="M55" s="180" t="str">
        <f aca="false">IF((D55="g"),F55," ")</f>
        <v> </v>
      </c>
      <c r="N55" s="180" t="str">
        <f aca="false">IF((D55="a"),F55," ")</f>
        <v> </v>
      </c>
      <c r="O55" s="180" t="str">
        <f aca="false">IF((D55="l"),F55," ")</f>
        <v> </v>
      </c>
      <c r="P55" s="180" t="str">
        <f aca="false">IF((D55="i"),F55," ")</f>
        <v> </v>
      </c>
      <c r="Q55" s="180" t="str">
        <f aca="false">IF((D55="b"),F55," ")</f>
        <v> </v>
      </c>
      <c r="R55" s="180" t="str">
        <f aca="false">IF((D55="o"),F55," ")</f>
        <v> </v>
      </c>
      <c r="S55" s="180" t="str">
        <f aca="false">IF((D55="f"),F55," ")</f>
        <v> </v>
      </c>
      <c r="U55" s="371"/>
    </row>
    <row r="56" customFormat="false" ht="12.75" hidden="false" customHeight="false" outlineLevel="0" collapsed="false">
      <c r="D56" s="371" t="str">
        <f aca="false">IF((F56&lt;&gt;0),"Enter Letter"," ")</f>
        <v> </v>
      </c>
      <c r="G56" s="180" t="str">
        <f aca="false">IF((D56="d"),F56," ")</f>
        <v> </v>
      </c>
      <c r="H56" s="180" t="str">
        <f aca="false">IF((D56="h"),F56," ")</f>
        <v> </v>
      </c>
      <c r="I56" s="180" t="str">
        <f aca="false">IF((D56="r"),F56," ")</f>
        <v> </v>
      </c>
      <c r="J56" s="180" t="str">
        <f aca="false">IF((D56="t"),F56," ")</f>
        <v> </v>
      </c>
      <c r="K56" s="180" t="str">
        <f aca="false">IF((D56="e"),F56," ")</f>
        <v> </v>
      </c>
      <c r="L56" s="180" t="str">
        <f aca="false">IF((D56="p"),F56," ")</f>
        <v> </v>
      </c>
      <c r="M56" s="180" t="str">
        <f aca="false">IF((D56="g"),F56," ")</f>
        <v> </v>
      </c>
      <c r="N56" s="180" t="str">
        <f aca="false">IF((D56="a"),F56," ")</f>
        <v> </v>
      </c>
      <c r="O56" s="180" t="str">
        <f aca="false">IF((D56="l"),F56," ")</f>
        <v> </v>
      </c>
      <c r="P56" s="180" t="str">
        <f aca="false">IF((D56="i"),F56," ")</f>
        <v> </v>
      </c>
      <c r="Q56" s="180" t="str">
        <f aca="false">IF((D56="b"),F56," ")</f>
        <v> </v>
      </c>
      <c r="R56" s="180" t="str">
        <f aca="false">IF((D56="o"),F56," ")</f>
        <v> </v>
      </c>
      <c r="S56" s="180" t="str">
        <f aca="false">IF((D56="f"),F56," ")</f>
        <v> </v>
      </c>
      <c r="U56" s="371"/>
    </row>
    <row r="57" customFormat="false" ht="12.75" hidden="false" customHeight="false" outlineLevel="0" collapsed="false">
      <c r="D57" s="371" t="str">
        <f aca="false">IF((F57&lt;&gt;0),"Enter Letter"," ")</f>
        <v> </v>
      </c>
      <c r="G57" s="180" t="str">
        <f aca="false">IF((D57="d"),F57," ")</f>
        <v> </v>
      </c>
      <c r="H57" s="180" t="str">
        <f aca="false">IF((D57="h"),F57," ")</f>
        <v> </v>
      </c>
      <c r="I57" s="180" t="str">
        <f aca="false">IF((D57="r"),F57," ")</f>
        <v> </v>
      </c>
      <c r="J57" s="180" t="str">
        <f aca="false">IF((D57="t"),F57," ")</f>
        <v> </v>
      </c>
      <c r="K57" s="180" t="str">
        <f aca="false">IF((D57="e"),F57," ")</f>
        <v> </v>
      </c>
      <c r="L57" s="180" t="str">
        <f aca="false">IF((D57="p"),F57," ")</f>
        <v> </v>
      </c>
      <c r="M57" s="180" t="str">
        <f aca="false">IF((D57="g"),F57," ")</f>
        <v> </v>
      </c>
      <c r="N57" s="180" t="str">
        <f aca="false">IF((D57="a"),F57," ")</f>
        <v> </v>
      </c>
      <c r="O57" s="180" t="str">
        <f aca="false">IF((D57="l"),F57," ")</f>
        <v> </v>
      </c>
      <c r="P57" s="180" t="str">
        <f aca="false">IF((D57="i"),F57," ")</f>
        <v> </v>
      </c>
      <c r="Q57" s="180" t="str">
        <f aca="false">IF((D57="b"),F57," ")</f>
        <v> </v>
      </c>
      <c r="R57" s="180" t="str">
        <f aca="false">IF((D57="o"),F57," ")</f>
        <v> </v>
      </c>
      <c r="S57" s="180" t="str">
        <f aca="false">IF((D57="f"),F57," ")</f>
        <v> </v>
      </c>
      <c r="U57" s="371"/>
    </row>
    <row r="58" customFormat="false" ht="12.75" hidden="false" customHeight="false" outlineLevel="0" collapsed="false">
      <c r="D58" s="371" t="str">
        <f aca="false">IF((F58&lt;&gt;0),"Enter Letter"," ")</f>
        <v> </v>
      </c>
      <c r="G58" s="180" t="str">
        <f aca="false">IF((D58="d"),F58," ")</f>
        <v> </v>
      </c>
      <c r="H58" s="180" t="str">
        <f aca="false">IF((D58="h"),F58," ")</f>
        <v> </v>
      </c>
      <c r="I58" s="180" t="str">
        <f aca="false">IF((D58="r"),F58," ")</f>
        <v> </v>
      </c>
      <c r="J58" s="180" t="str">
        <f aca="false">IF((D58="t"),F58," ")</f>
        <v> </v>
      </c>
      <c r="K58" s="180" t="str">
        <f aca="false">IF((D58="e"),F58," ")</f>
        <v> </v>
      </c>
      <c r="L58" s="180" t="str">
        <f aca="false">IF((D58="p"),F58," ")</f>
        <v> </v>
      </c>
      <c r="M58" s="180" t="str">
        <f aca="false">IF((D58="g"),F58," ")</f>
        <v> </v>
      </c>
      <c r="N58" s="180" t="str">
        <f aca="false">IF((D58="a"),F58," ")</f>
        <v> </v>
      </c>
      <c r="O58" s="180" t="str">
        <f aca="false">IF((D58="l"),F58," ")</f>
        <v> </v>
      </c>
      <c r="P58" s="180" t="str">
        <f aca="false">IF((D58="i"),F58," ")</f>
        <v> </v>
      </c>
      <c r="Q58" s="180" t="str">
        <f aca="false">IF((D58="b"),F58," ")</f>
        <v> </v>
      </c>
      <c r="R58" s="180" t="str">
        <f aca="false">IF((D58="o"),F58," ")</f>
        <v> </v>
      </c>
      <c r="S58" s="180" t="str">
        <f aca="false">IF((D58="f"),F58," ")</f>
        <v> </v>
      </c>
      <c r="U58" s="371"/>
    </row>
    <row r="59" customFormat="false" ht="12.75" hidden="false" customHeight="false" outlineLevel="0" collapsed="false">
      <c r="D59" s="371" t="str">
        <f aca="false">IF((F59&lt;&gt;0),"Enter Letter"," ")</f>
        <v> </v>
      </c>
      <c r="G59" s="180" t="str">
        <f aca="false">IF((D59="d"),F59," ")</f>
        <v> </v>
      </c>
      <c r="H59" s="180" t="str">
        <f aca="false">IF((D59="h"),F59," ")</f>
        <v> </v>
      </c>
      <c r="I59" s="180" t="str">
        <f aca="false">IF((D59="r"),F59," ")</f>
        <v> </v>
      </c>
      <c r="J59" s="180" t="str">
        <f aca="false">IF((D59="t"),F59," ")</f>
        <v> </v>
      </c>
      <c r="K59" s="180" t="str">
        <f aca="false">IF((D59="e"),F59," ")</f>
        <v> </v>
      </c>
      <c r="L59" s="180" t="str">
        <f aca="false">IF((D59="p"),F59," ")</f>
        <v> </v>
      </c>
      <c r="M59" s="180" t="str">
        <f aca="false">IF((D59="g"),F59," ")</f>
        <v> </v>
      </c>
      <c r="N59" s="180" t="str">
        <f aca="false">IF((D59="a"),F59," ")</f>
        <v> </v>
      </c>
      <c r="O59" s="180" t="str">
        <f aca="false">IF((D59="l"),F59," ")</f>
        <v> </v>
      </c>
      <c r="P59" s="180" t="str">
        <f aca="false">IF((D59="i"),F59," ")</f>
        <v> </v>
      </c>
      <c r="Q59" s="180" t="str">
        <f aca="false">IF((D59="b"),F59," ")</f>
        <v> </v>
      </c>
      <c r="R59" s="180" t="str">
        <f aca="false">IF((D59="o"),F59," ")</f>
        <v> </v>
      </c>
      <c r="S59" s="180" t="str">
        <f aca="false">IF((D59="f"),F59," ")</f>
        <v> </v>
      </c>
      <c r="U59" s="371"/>
    </row>
    <row r="60" customFormat="false" ht="12.75" hidden="false" customHeight="false" outlineLevel="0" collapsed="false">
      <c r="D60" s="371" t="str">
        <f aca="false">IF((F60&lt;&gt;0),"Enter Letter"," ")</f>
        <v> </v>
      </c>
      <c r="G60" s="180" t="str">
        <f aca="false">IF((D60="d"),F60," ")</f>
        <v> </v>
      </c>
      <c r="H60" s="180" t="str">
        <f aca="false">IF((D60="h"),F60," ")</f>
        <v> </v>
      </c>
      <c r="I60" s="180" t="str">
        <f aca="false">IF((D60="r"),F60," ")</f>
        <v> </v>
      </c>
      <c r="J60" s="180" t="str">
        <f aca="false">IF((D60="t"),F60," ")</f>
        <v> </v>
      </c>
      <c r="K60" s="180" t="str">
        <f aca="false">IF((D60="e"),F60," ")</f>
        <v> </v>
      </c>
      <c r="L60" s="180" t="str">
        <f aca="false">IF((D60="p"),F60," ")</f>
        <v> </v>
      </c>
      <c r="M60" s="180" t="str">
        <f aca="false">IF((D60="g"),F60," ")</f>
        <v> </v>
      </c>
      <c r="N60" s="180" t="str">
        <f aca="false">IF((D60="a"),F60," ")</f>
        <v> </v>
      </c>
      <c r="O60" s="180" t="str">
        <f aca="false">IF((D60="l"),F60," ")</f>
        <v> </v>
      </c>
      <c r="P60" s="180" t="str">
        <f aca="false">IF((D60="i"),F60," ")</f>
        <v> </v>
      </c>
      <c r="Q60" s="180" t="str">
        <f aca="false">IF((D60="b"),F60," ")</f>
        <v> </v>
      </c>
      <c r="R60" s="180" t="str">
        <f aca="false">IF((D60="o"),F60," ")</f>
        <v> </v>
      </c>
      <c r="S60" s="180" t="str">
        <f aca="false">IF((D60="f"),F60," ")</f>
        <v> </v>
      </c>
      <c r="U60" s="371"/>
    </row>
    <row r="61" customFormat="false" ht="12.75" hidden="false" customHeight="false" outlineLevel="0" collapsed="false">
      <c r="D61" s="371" t="str">
        <f aca="false">IF((F61&lt;&gt;0),"Enter Letter"," ")</f>
        <v> </v>
      </c>
      <c r="G61" s="180" t="str">
        <f aca="false">IF((D61="d"),F61," ")</f>
        <v> </v>
      </c>
      <c r="H61" s="180" t="str">
        <f aca="false">IF((D61="h"),F61," ")</f>
        <v> </v>
      </c>
      <c r="I61" s="180" t="str">
        <f aca="false">IF((D61="r"),F61," ")</f>
        <v> </v>
      </c>
      <c r="J61" s="180" t="str">
        <f aca="false">IF((D61="t"),F61," ")</f>
        <v> </v>
      </c>
      <c r="K61" s="180" t="str">
        <f aca="false">IF((D61="e"),F61," ")</f>
        <v> </v>
      </c>
      <c r="L61" s="180" t="str">
        <f aca="false">IF((D61="p"),F61," ")</f>
        <v> </v>
      </c>
      <c r="M61" s="180" t="str">
        <f aca="false">IF((D61="g"),F61," ")</f>
        <v> </v>
      </c>
      <c r="N61" s="180" t="str">
        <f aca="false">IF((D61="a"),F61," ")</f>
        <v> </v>
      </c>
      <c r="O61" s="180" t="str">
        <f aca="false">IF((D61="l"),F61," ")</f>
        <v> </v>
      </c>
      <c r="P61" s="180" t="str">
        <f aca="false">IF((D61="i"),F61," ")</f>
        <v> </v>
      </c>
      <c r="Q61" s="180" t="str">
        <f aca="false">IF((D61="b"),F61," ")</f>
        <v> </v>
      </c>
      <c r="R61" s="180" t="str">
        <f aca="false">IF((D61="o"),F61," ")</f>
        <v> </v>
      </c>
      <c r="S61" s="180" t="str">
        <f aca="false">IF((D61="f"),F61," ")</f>
        <v> </v>
      </c>
      <c r="U61" s="371"/>
    </row>
    <row r="62" customFormat="false" ht="12.75" hidden="false" customHeight="false" outlineLevel="0" collapsed="false">
      <c r="D62" s="371" t="str">
        <f aca="false">IF((F62&lt;&gt;0),"Enter Letter"," ")</f>
        <v> </v>
      </c>
      <c r="G62" s="180" t="str">
        <f aca="false">IF((D62="d"),F62," ")</f>
        <v> </v>
      </c>
      <c r="H62" s="180" t="str">
        <f aca="false">IF((D62="h"),F62," ")</f>
        <v> </v>
      </c>
      <c r="I62" s="180" t="str">
        <f aca="false">IF((D62="r"),F62," ")</f>
        <v> </v>
      </c>
      <c r="J62" s="180" t="str">
        <f aca="false">IF((D62="t"),F62," ")</f>
        <v> </v>
      </c>
      <c r="K62" s="180" t="str">
        <f aca="false">IF((D62="e"),F62," ")</f>
        <v> </v>
      </c>
      <c r="L62" s="180" t="str">
        <f aca="false">IF((D62="p"),F62," ")</f>
        <v> </v>
      </c>
      <c r="M62" s="180" t="str">
        <f aca="false">IF((D62="g"),F62," ")</f>
        <v> </v>
      </c>
      <c r="N62" s="180" t="str">
        <f aca="false">IF((D62="a"),F62," ")</f>
        <v> </v>
      </c>
      <c r="O62" s="180" t="str">
        <f aca="false">IF((D62="l"),F62," ")</f>
        <v> </v>
      </c>
      <c r="P62" s="180" t="str">
        <f aca="false">IF((D62="i"),F62," ")</f>
        <v> </v>
      </c>
      <c r="Q62" s="180" t="str">
        <f aca="false">IF((D62="b"),F62," ")</f>
        <v> </v>
      </c>
      <c r="R62" s="180" t="str">
        <f aca="false">IF((D62="o"),F62," ")</f>
        <v> </v>
      </c>
      <c r="S62" s="180" t="str">
        <f aca="false">IF((D62="f"),F62," ")</f>
        <v> </v>
      </c>
      <c r="U62" s="371"/>
    </row>
    <row r="63" customFormat="false" ht="12.75" hidden="false" customHeight="false" outlineLevel="0" collapsed="false">
      <c r="D63" s="371" t="str">
        <f aca="false">IF((F63&lt;&gt;0),"Enter Letter"," ")</f>
        <v> </v>
      </c>
      <c r="G63" s="180" t="str">
        <f aca="false">IF((D63="d"),F63," ")</f>
        <v> </v>
      </c>
      <c r="H63" s="180" t="str">
        <f aca="false">IF((D63="h"),F63," ")</f>
        <v> </v>
      </c>
      <c r="I63" s="180" t="str">
        <f aca="false">IF((D63="r"),F63," ")</f>
        <v> </v>
      </c>
      <c r="J63" s="180" t="str">
        <f aca="false">IF((D63="t"),F63," ")</f>
        <v> </v>
      </c>
      <c r="K63" s="180" t="str">
        <f aca="false">IF((D63="e"),F63," ")</f>
        <v> </v>
      </c>
      <c r="L63" s="180" t="str">
        <f aca="false">IF((D63="p"),F63," ")</f>
        <v> </v>
      </c>
      <c r="M63" s="180" t="str">
        <f aca="false">IF((D63="g"),F63," ")</f>
        <v> </v>
      </c>
      <c r="N63" s="180" t="str">
        <f aca="false">IF((D63="a"),F63," ")</f>
        <v> </v>
      </c>
      <c r="O63" s="180" t="str">
        <f aca="false">IF((D63="l"),F63," ")</f>
        <v> </v>
      </c>
      <c r="P63" s="180" t="str">
        <f aca="false">IF((D63="i"),F63," ")</f>
        <v> </v>
      </c>
      <c r="Q63" s="180" t="str">
        <f aca="false">IF((D63="b"),F63," ")</f>
        <v> </v>
      </c>
      <c r="R63" s="180" t="str">
        <f aca="false">IF((D63="o"),F63," ")</f>
        <v> </v>
      </c>
      <c r="S63" s="180" t="str">
        <f aca="false">IF((D63="f"),F63," ")</f>
        <v> </v>
      </c>
      <c r="U63" s="371"/>
    </row>
    <row r="64" customFormat="false" ht="12.75" hidden="false" customHeight="false" outlineLevel="0" collapsed="false">
      <c r="D64" s="371" t="str">
        <f aca="false">IF((F64&lt;&gt;0),"Enter Letter"," ")</f>
        <v> </v>
      </c>
      <c r="G64" s="180" t="str">
        <f aca="false">IF((D64="d"),F64," ")</f>
        <v> </v>
      </c>
      <c r="H64" s="180" t="str">
        <f aca="false">IF((D64="h"),F64," ")</f>
        <v> </v>
      </c>
      <c r="I64" s="180" t="str">
        <f aca="false">IF((D64="r"),F64," ")</f>
        <v> </v>
      </c>
      <c r="J64" s="180" t="str">
        <f aca="false">IF((D64="t"),F64," ")</f>
        <v> </v>
      </c>
      <c r="K64" s="180" t="str">
        <f aca="false">IF((D64="e"),F64," ")</f>
        <v> </v>
      </c>
      <c r="L64" s="180" t="str">
        <f aca="false">IF((D64="p"),F64," ")</f>
        <v> </v>
      </c>
      <c r="M64" s="180" t="str">
        <f aca="false">IF((D64="g"),F64," ")</f>
        <v> </v>
      </c>
      <c r="N64" s="180" t="str">
        <f aca="false">IF((D64="a"),F64," ")</f>
        <v> </v>
      </c>
      <c r="O64" s="180" t="str">
        <f aca="false">IF((D64="l"),F64," ")</f>
        <v> </v>
      </c>
      <c r="P64" s="180" t="str">
        <f aca="false">IF((D64="i"),F64," ")</f>
        <v> </v>
      </c>
      <c r="Q64" s="180" t="str">
        <f aca="false">IF((D64="b"),F64," ")</f>
        <v> </v>
      </c>
      <c r="R64" s="180" t="str">
        <f aca="false">IF((D64="o"),F64," ")</f>
        <v> </v>
      </c>
      <c r="S64" s="180" t="str">
        <f aca="false">IF((D64="f"),F64," ")</f>
        <v> </v>
      </c>
      <c r="U64" s="371"/>
    </row>
    <row r="65" customFormat="false" ht="12.75" hidden="false" customHeight="false" outlineLevel="0" collapsed="false">
      <c r="D65" s="371" t="str">
        <f aca="false">IF((F65&lt;&gt;0),"Enter Letter"," ")</f>
        <v> </v>
      </c>
      <c r="G65" s="180" t="str">
        <f aca="false">IF((D65="d"),F65," ")</f>
        <v> </v>
      </c>
      <c r="H65" s="180" t="str">
        <f aca="false">IF((D65="h"),F65," ")</f>
        <v> </v>
      </c>
      <c r="I65" s="180" t="str">
        <f aca="false">IF((D65="r"),F65," ")</f>
        <v> </v>
      </c>
      <c r="J65" s="180" t="str">
        <f aca="false">IF((D65="t"),F65," ")</f>
        <v> </v>
      </c>
      <c r="K65" s="180" t="str">
        <f aca="false">IF((D65="e"),F65," ")</f>
        <v> </v>
      </c>
      <c r="L65" s="180" t="str">
        <f aca="false">IF((D65="p"),F65," ")</f>
        <v> </v>
      </c>
      <c r="M65" s="180" t="str">
        <f aca="false">IF((D65="g"),F65," ")</f>
        <v> </v>
      </c>
      <c r="N65" s="180" t="str">
        <f aca="false">IF((D65="a"),F65," ")</f>
        <v> </v>
      </c>
      <c r="O65" s="180" t="str">
        <f aca="false">IF((D65="l"),F65," ")</f>
        <v> </v>
      </c>
      <c r="P65" s="180" t="str">
        <f aca="false">IF((D65="i"),F65," ")</f>
        <v> </v>
      </c>
      <c r="Q65" s="180" t="str">
        <f aca="false">IF((D65="b"),F65," ")</f>
        <v> </v>
      </c>
      <c r="R65" s="180" t="str">
        <f aca="false">IF((D65="o"),F65," ")</f>
        <v> </v>
      </c>
      <c r="S65" s="180" t="str">
        <f aca="false">IF((D65="f"),F65," ")</f>
        <v> </v>
      </c>
      <c r="U65" s="371"/>
    </row>
    <row r="66" customFormat="false" ht="12.75" hidden="false" customHeight="false" outlineLevel="0" collapsed="false">
      <c r="D66" s="371" t="str">
        <f aca="false">IF((F66&lt;&gt;0),"Enter Letter"," ")</f>
        <v> </v>
      </c>
      <c r="G66" s="180" t="str">
        <f aca="false">IF((D66="d"),F66," ")</f>
        <v> </v>
      </c>
      <c r="H66" s="180" t="str">
        <f aca="false">IF((D66="h"),F66," ")</f>
        <v> </v>
      </c>
      <c r="I66" s="180" t="str">
        <f aca="false">IF((D66="r"),F66," ")</f>
        <v> </v>
      </c>
      <c r="J66" s="180" t="str">
        <f aca="false">IF((D66="t"),F66," ")</f>
        <v> </v>
      </c>
      <c r="K66" s="180" t="str">
        <f aca="false">IF((D66="e"),F66," ")</f>
        <v> </v>
      </c>
      <c r="L66" s="180" t="str">
        <f aca="false">IF((D66="p"),F66," ")</f>
        <v> </v>
      </c>
      <c r="M66" s="180" t="str">
        <f aca="false">IF((D66="g"),F66," ")</f>
        <v> </v>
      </c>
      <c r="N66" s="180" t="str">
        <f aca="false">IF((D66="a"),F66," ")</f>
        <v> </v>
      </c>
      <c r="O66" s="180" t="str">
        <f aca="false">IF((D66="l"),F66," ")</f>
        <v> </v>
      </c>
      <c r="P66" s="180" t="str">
        <f aca="false">IF((D66="i"),F66," ")</f>
        <v> </v>
      </c>
      <c r="Q66" s="180" t="str">
        <f aca="false">IF((D66="b"),F66," ")</f>
        <v> </v>
      </c>
      <c r="R66" s="180" t="str">
        <f aca="false">IF((D66="o"),F66," ")</f>
        <v> </v>
      </c>
      <c r="S66" s="180" t="str">
        <f aca="false">IF((D66="f"),F66," ")</f>
        <v> </v>
      </c>
      <c r="U66" s="371"/>
    </row>
    <row r="67" customFormat="false" ht="12.75" hidden="false" customHeight="false" outlineLevel="0" collapsed="false">
      <c r="D67" s="371" t="str">
        <f aca="false">IF((F67&lt;&gt;0),"Enter Letter"," ")</f>
        <v> </v>
      </c>
      <c r="G67" s="180" t="str">
        <f aca="false">IF((D67="d"),F67," ")</f>
        <v> </v>
      </c>
      <c r="H67" s="180" t="str">
        <f aca="false">IF((D67="h"),F67," ")</f>
        <v> </v>
      </c>
      <c r="I67" s="180" t="str">
        <f aca="false">IF((D67="r"),F67," ")</f>
        <v> </v>
      </c>
      <c r="J67" s="180" t="str">
        <f aca="false">IF((D67="t"),F67," ")</f>
        <v> </v>
      </c>
      <c r="K67" s="180" t="str">
        <f aca="false">IF((D67="e"),F67," ")</f>
        <v> </v>
      </c>
      <c r="L67" s="180" t="str">
        <f aca="false">IF((D67="p"),F67," ")</f>
        <v> </v>
      </c>
      <c r="M67" s="180" t="str">
        <f aca="false">IF((D67="g"),F67," ")</f>
        <v> </v>
      </c>
      <c r="N67" s="180" t="str">
        <f aca="false">IF((D67="a"),F67," ")</f>
        <v> </v>
      </c>
      <c r="O67" s="180" t="str">
        <f aca="false">IF((D67="l"),F67," ")</f>
        <v> </v>
      </c>
      <c r="P67" s="180" t="str">
        <f aca="false">IF((D67="i"),F67," ")</f>
        <v> </v>
      </c>
      <c r="Q67" s="180" t="str">
        <f aca="false">IF((D67="b"),F67," ")</f>
        <v> </v>
      </c>
      <c r="R67" s="180" t="str">
        <f aca="false">IF((D67="o"),F67," ")</f>
        <v> </v>
      </c>
      <c r="S67" s="180" t="str">
        <f aca="false">IF((D67="f"),F67," ")</f>
        <v> </v>
      </c>
      <c r="U67" s="371"/>
    </row>
    <row r="68" customFormat="false" ht="12.75" hidden="false" customHeight="false" outlineLevel="0" collapsed="false">
      <c r="D68" s="371" t="str">
        <f aca="false">IF((F68&lt;&gt;0),"Enter Letter"," ")</f>
        <v> </v>
      </c>
      <c r="G68" s="180" t="str">
        <f aca="false">IF((D68="d"),F68," ")</f>
        <v> </v>
      </c>
      <c r="H68" s="180" t="str">
        <f aca="false">IF((D68="h"),F68," ")</f>
        <v> </v>
      </c>
      <c r="I68" s="180" t="str">
        <f aca="false">IF((D68="r"),F68," ")</f>
        <v> </v>
      </c>
      <c r="J68" s="180" t="str">
        <f aca="false">IF((D68="t"),F68," ")</f>
        <v> </v>
      </c>
      <c r="K68" s="180" t="str">
        <f aca="false">IF((D68="e"),F68," ")</f>
        <v> </v>
      </c>
      <c r="L68" s="180" t="str">
        <f aca="false">IF((D68="p"),F68," ")</f>
        <v> </v>
      </c>
      <c r="M68" s="180" t="str">
        <f aca="false">IF((D68="g"),F68," ")</f>
        <v> </v>
      </c>
      <c r="N68" s="180" t="str">
        <f aca="false">IF((D68="a"),F68," ")</f>
        <v> </v>
      </c>
      <c r="O68" s="180" t="str">
        <f aca="false">IF((D68="l"),F68," ")</f>
        <v> </v>
      </c>
      <c r="P68" s="180" t="str">
        <f aca="false">IF((D68="i"),F68," ")</f>
        <v> </v>
      </c>
      <c r="Q68" s="180" t="str">
        <f aca="false">IF((D68="b"),F68," ")</f>
        <v> </v>
      </c>
      <c r="R68" s="180" t="str">
        <f aca="false">IF((D68="o"),F68," ")</f>
        <v> </v>
      </c>
      <c r="S68" s="180" t="str">
        <f aca="false">IF((D68="f"),F68," ")</f>
        <v> </v>
      </c>
      <c r="U68" s="371"/>
    </row>
    <row r="69" customFormat="false" ht="12.75" hidden="false" customHeight="false" outlineLevel="0" collapsed="false">
      <c r="D69" s="371" t="str">
        <f aca="false">IF((F69&lt;&gt;0),"Enter Letter"," ")</f>
        <v> </v>
      </c>
      <c r="G69" s="180" t="str">
        <f aca="false">IF((D69="d"),F69," ")</f>
        <v> </v>
      </c>
      <c r="H69" s="180" t="str">
        <f aca="false">IF((D69="h"),F69," ")</f>
        <v> </v>
      </c>
      <c r="I69" s="180" t="str">
        <f aca="false">IF((D69="r"),F69," ")</f>
        <v> </v>
      </c>
      <c r="J69" s="180" t="str">
        <f aca="false">IF((D69="t"),F69," ")</f>
        <v> </v>
      </c>
      <c r="K69" s="180" t="str">
        <f aca="false">IF((D69="e"),F69," ")</f>
        <v> </v>
      </c>
      <c r="L69" s="180" t="str">
        <f aca="false">IF((D69="p"),F69," ")</f>
        <v> </v>
      </c>
      <c r="M69" s="180" t="str">
        <f aca="false">IF((D69="g"),F69," ")</f>
        <v> </v>
      </c>
      <c r="N69" s="180" t="str">
        <f aca="false">IF((D69="a"),F69," ")</f>
        <v> </v>
      </c>
      <c r="O69" s="180" t="str">
        <f aca="false">IF((D69="l"),F69," ")</f>
        <v> </v>
      </c>
      <c r="P69" s="180" t="str">
        <f aca="false">IF((D69="i"),F69," ")</f>
        <v> </v>
      </c>
      <c r="Q69" s="180" t="str">
        <f aca="false">IF((D69="b"),F69," ")</f>
        <v> </v>
      </c>
      <c r="R69" s="180" t="str">
        <f aca="false">IF((D69="o"),F69," ")</f>
        <v> </v>
      </c>
      <c r="S69" s="180" t="str">
        <f aca="false">IF((D69="f"),F69," ")</f>
        <v> </v>
      </c>
      <c r="U69" s="371"/>
    </row>
    <row r="70" customFormat="false" ht="12.75" hidden="false" customHeight="false" outlineLevel="0" collapsed="false">
      <c r="D70" s="371" t="str">
        <f aca="false">IF((F70&lt;&gt;0),"Enter Letter"," ")</f>
        <v> </v>
      </c>
      <c r="G70" s="180" t="str">
        <f aca="false">IF((D70="d"),F70," ")</f>
        <v> </v>
      </c>
      <c r="H70" s="180" t="str">
        <f aca="false">IF((D70="h"),F70," ")</f>
        <v> </v>
      </c>
      <c r="I70" s="180" t="str">
        <f aca="false">IF((D70="r"),F70," ")</f>
        <v> </v>
      </c>
      <c r="J70" s="180" t="str">
        <f aca="false">IF((D70="t"),F70," ")</f>
        <v> </v>
      </c>
      <c r="K70" s="180" t="str">
        <f aca="false">IF((D70="e"),F70," ")</f>
        <v> </v>
      </c>
      <c r="L70" s="180" t="str">
        <f aca="false">IF((D70="p"),F70," ")</f>
        <v> </v>
      </c>
      <c r="M70" s="180" t="str">
        <f aca="false">IF((D70="g"),F70," ")</f>
        <v> </v>
      </c>
      <c r="N70" s="180" t="str">
        <f aca="false">IF((D70="a"),F70," ")</f>
        <v> </v>
      </c>
      <c r="O70" s="180" t="str">
        <f aca="false">IF((D70="l"),F70," ")</f>
        <v> </v>
      </c>
      <c r="P70" s="180" t="str">
        <f aca="false">IF((D70="i"),F70," ")</f>
        <v> </v>
      </c>
      <c r="Q70" s="180" t="str">
        <f aca="false">IF((D70="b"),F70," ")</f>
        <v> </v>
      </c>
      <c r="R70" s="180" t="str">
        <f aca="false">IF((D70="o"),F70," ")</f>
        <v> </v>
      </c>
      <c r="S70" s="180" t="str">
        <f aca="false">IF((D70="f"),F70," ")</f>
        <v> </v>
      </c>
      <c r="U70" s="371"/>
    </row>
    <row r="71" customFormat="false" ht="12.75" hidden="false" customHeight="false" outlineLevel="0" collapsed="false">
      <c r="D71" s="371" t="str">
        <f aca="false">IF((F71&lt;&gt;0),"Enter Letter"," ")</f>
        <v> </v>
      </c>
      <c r="G71" s="180" t="str">
        <f aca="false">IF((D71="d"),F71," ")</f>
        <v> </v>
      </c>
      <c r="H71" s="180" t="str">
        <f aca="false">IF((D71="h"),F71," ")</f>
        <v> </v>
      </c>
      <c r="I71" s="180" t="str">
        <f aca="false">IF((D71="r"),F71," ")</f>
        <v> </v>
      </c>
      <c r="J71" s="180" t="str">
        <f aca="false">IF((D71="t"),F71," ")</f>
        <v> </v>
      </c>
      <c r="K71" s="180" t="str">
        <f aca="false">IF((D71="e"),F71," ")</f>
        <v> </v>
      </c>
      <c r="L71" s="180" t="str">
        <f aca="false">IF((D71="p"),F71," ")</f>
        <v> </v>
      </c>
      <c r="M71" s="180" t="str">
        <f aca="false">IF((D71="g"),F71," ")</f>
        <v> </v>
      </c>
      <c r="N71" s="180" t="str">
        <f aca="false">IF((D71="a"),F71," ")</f>
        <v> </v>
      </c>
      <c r="O71" s="180" t="str">
        <f aca="false">IF((D71="l"),F71," ")</f>
        <v> </v>
      </c>
      <c r="P71" s="180" t="str">
        <f aca="false">IF((D71="i"),F71," ")</f>
        <v> </v>
      </c>
      <c r="Q71" s="180" t="str">
        <f aca="false">IF((D71="b"),F71," ")</f>
        <v> </v>
      </c>
      <c r="R71" s="180" t="str">
        <f aca="false">IF((D71="o"),F71," ")</f>
        <v> </v>
      </c>
      <c r="S71" s="180" t="str">
        <f aca="false">IF((D71="f"),F71," ")</f>
        <v> </v>
      </c>
      <c r="U71" s="371"/>
    </row>
    <row r="72" customFormat="false" ht="12.75" hidden="false" customHeight="false" outlineLevel="0" collapsed="false">
      <c r="D72" s="371" t="str">
        <f aca="false">IF((F72&lt;&gt;0),"Enter Letter"," ")</f>
        <v> </v>
      </c>
      <c r="G72" s="180" t="str">
        <f aca="false">IF((D72="d"),F72," ")</f>
        <v> </v>
      </c>
      <c r="H72" s="180" t="str">
        <f aca="false">IF((D72="h"),F72," ")</f>
        <v> </v>
      </c>
      <c r="I72" s="180" t="str">
        <f aca="false">IF((D72="r"),F72," ")</f>
        <v> </v>
      </c>
      <c r="J72" s="180" t="str">
        <f aca="false">IF((D72="t"),F72," ")</f>
        <v> </v>
      </c>
      <c r="K72" s="180" t="str">
        <f aca="false">IF((D72="e"),F72," ")</f>
        <v> </v>
      </c>
      <c r="L72" s="180" t="str">
        <f aca="false">IF((D72="p"),F72," ")</f>
        <v> </v>
      </c>
      <c r="M72" s="180" t="str">
        <f aca="false">IF((D72="g"),F72," ")</f>
        <v> </v>
      </c>
      <c r="N72" s="180" t="str">
        <f aca="false">IF((D72="a"),F72," ")</f>
        <v> </v>
      </c>
      <c r="O72" s="180" t="str">
        <f aca="false">IF((D72="l"),F72," ")</f>
        <v> </v>
      </c>
      <c r="P72" s="180" t="str">
        <f aca="false">IF((D72="i"),F72," ")</f>
        <v> </v>
      </c>
      <c r="Q72" s="180" t="str">
        <f aca="false">IF((D72="b"),F72," ")</f>
        <v> </v>
      </c>
      <c r="R72" s="180" t="str">
        <f aca="false">IF((D72="o"),F72," ")</f>
        <v> </v>
      </c>
      <c r="S72" s="180" t="str">
        <f aca="false">IF((D72="f"),F72," ")</f>
        <v> </v>
      </c>
      <c r="U72" s="371"/>
    </row>
    <row r="73" customFormat="false" ht="12.75" hidden="false" customHeight="false" outlineLevel="0" collapsed="false">
      <c r="D73" s="371" t="str">
        <f aca="false">IF((F73&lt;&gt;0),"Enter Letter"," ")</f>
        <v> </v>
      </c>
      <c r="G73" s="180" t="str">
        <f aca="false">IF((D73="d"),F73," ")</f>
        <v> </v>
      </c>
      <c r="H73" s="180" t="str">
        <f aca="false">IF((D73="h"),F73," ")</f>
        <v> </v>
      </c>
      <c r="I73" s="180" t="str">
        <f aca="false">IF((D73="r"),F73," ")</f>
        <v> </v>
      </c>
      <c r="J73" s="180" t="str">
        <f aca="false">IF((D73="t"),F73," ")</f>
        <v> </v>
      </c>
      <c r="K73" s="180" t="str">
        <f aca="false">IF((D73="e"),F73," ")</f>
        <v> </v>
      </c>
      <c r="L73" s="180" t="str">
        <f aca="false">IF((D73="p"),F73," ")</f>
        <v> </v>
      </c>
      <c r="M73" s="180" t="str">
        <f aca="false">IF((D73="g"),F73," ")</f>
        <v> </v>
      </c>
      <c r="N73" s="180" t="str">
        <f aca="false">IF((D73="a"),F73," ")</f>
        <v> </v>
      </c>
      <c r="O73" s="180" t="str">
        <f aca="false">IF((D73="l"),F73," ")</f>
        <v> </v>
      </c>
      <c r="P73" s="180" t="str">
        <f aca="false">IF((D73="i"),F73," ")</f>
        <v> </v>
      </c>
      <c r="Q73" s="180" t="str">
        <f aca="false">IF((D73="b"),F73," ")</f>
        <v> </v>
      </c>
      <c r="R73" s="180" t="str">
        <f aca="false">IF((D73="o"),F73," ")</f>
        <v> </v>
      </c>
      <c r="S73" s="180" t="str">
        <f aca="false">IF((D73="f"),F73," ")</f>
        <v> </v>
      </c>
      <c r="U73" s="371"/>
    </row>
    <row r="74" customFormat="false" ht="12.75" hidden="false" customHeight="false" outlineLevel="0" collapsed="false">
      <c r="D74" s="371" t="str">
        <f aca="false">IF((F74&lt;&gt;0),"Enter Letter"," ")</f>
        <v> </v>
      </c>
      <c r="G74" s="180" t="str">
        <f aca="false">IF((D74="d"),F74," ")</f>
        <v> </v>
      </c>
      <c r="H74" s="180" t="str">
        <f aca="false">IF((D74="h"),F74," ")</f>
        <v> </v>
      </c>
      <c r="I74" s="180" t="str">
        <f aca="false">IF((D74="r"),F74," ")</f>
        <v> </v>
      </c>
      <c r="J74" s="180" t="str">
        <f aca="false">IF((D74="t"),F74," ")</f>
        <v> </v>
      </c>
      <c r="K74" s="180" t="str">
        <f aca="false">IF((D74="e"),F74," ")</f>
        <v> </v>
      </c>
      <c r="L74" s="180" t="str">
        <f aca="false">IF((D74="p"),F74," ")</f>
        <v> </v>
      </c>
      <c r="M74" s="180" t="str">
        <f aca="false">IF((D74="g"),F74," ")</f>
        <v> </v>
      </c>
      <c r="N74" s="180" t="str">
        <f aca="false">IF((D74="a"),F74," ")</f>
        <v> </v>
      </c>
      <c r="O74" s="180" t="str">
        <f aca="false">IF((D74="l"),F74," ")</f>
        <v> </v>
      </c>
      <c r="P74" s="180" t="str">
        <f aca="false">IF((D74="i"),F74," ")</f>
        <v> </v>
      </c>
      <c r="Q74" s="180" t="str">
        <f aca="false">IF((D74="b"),F74," ")</f>
        <v> </v>
      </c>
      <c r="R74" s="180" t="str">
        <f aca="false">IF((D74="o"),F74," ")</f>
        <v> </v>
      </c>
      <c r="S74" s="180" t="str">
        <f aca="false">IF((D74="f"),F74," ")</f>
        <v> </v>
      </c>
      <c r="U74" s="371"/>
    </row>
    <row r="75" customFormat="false" ht="12.75" hidden="false" customHeight="false" outlineLevel="0" collapsed="false">
      <c r="D75" s="371" t="str">
        <f aca="false">IF((F75&lt;&gt;0),"Enter Letter"," ")</f>
        <v> </v>
      </c>
      <c r="G75" s="180" t="str">
        <f aca="false">IF((D75="d"),F75," ")</f>
        <v> </v>
      </c>
      <c r="H75" s="180" t="str">
        <f aca="false">IF((D75="h"),F75," ")</f>
        <v> </v>
      </c>
      <c r="I75" s="180" t="str">
        <f aca="false">IF((D75="r"),F75," ")</f>
        <v> </v>
      </c>
      <c r="J75" s="180" t="str">
        <f aca="false">IF((D75="t"),F75," ")</f>
        <v> </v>
      </c>
      <c r="K75" s="180" t="str">
        <f aca="false">IF((D75="e"),F75," ")</f>
        <v> </v>
      </c>
      <c r="L75" s="180" t="str">
        <f aca="false">IF((D75="p"),F75," ")</f>
        <v> </v>
      </c>
      <c r="M75" s="180" t="str">
        <f aca="false">IF((D75="g"),F75," ")</f>
        <v> </v>
      </c>
      <c r="N75" s="180" t="str">
        <f aca="false">IF((D75="a"),F75," ")</f>
        <v> </v>
      </c>
      <c r="O75" s="180" t="str">
        <f aca="false">IF((D75="l"),F75," ")</f>
        <v> </v>
      </c>
      <c r="P75" s="180" t="str">
        <f aca="false">IF((D75="i"),F75," ")</f>
        <v> </v>
      </c>
      <c r="Q75" s="180" t="str">
        <f aca="false">IF((D75="b"),F75," ")</f>
        <v> </v>
      </c>
      <c r="R75" s="180" t="str">
        <f aca="false">IF((D75="o"),F75," ")</f>
        <v> </v>
      </c>
      <c r="S75" s="180" t="str">
        <f aca="false">IF((D75="f"),F75," ")</f>
        <v> </v>
      </c>
      <c r="U75" s="371"/>
    </row>
    <row r="76" customFormat="false" ht="12.75" hidden="false" customHeight="false" outlineLevel="0" collapsed="false">
      <c r="D76" s="371" t="str">
        <f aca="false">IF((F76&lt;&gt;0),"Enter Letter"," ")</f>
        <v> </v>
      </c>
      <c r="G76" s="180" t="str">
        <f aca="false">IF((D76="d"),F76," ")</f>
        <v> </v>
      </c>
      <c r="H76" s="180" t="str">
        <f aca="false">IF((D76="h"),F76," ")</f>
        <v> </v>
      </c>
      <c r="I76" s="180" t="str">
        <f aca="false">IF((D76="r"),F76," ")</f>
        <v> </v>
      </c>
      <c r="J76" s="180" t="str">
        <f aca="false">IF((D76="t"),F76," ")</f>
        <v> </v>
      </c>
      <c r="K76" s="180" t="str">
        <f aca="false">IF((D76="e"),F76," ")</f>
        <v> </v>
      </c>
      <c r="L76" s="180" t="str">
        <f aca="false">IF((D76="p"),F76," ")</f>
        <v> </v>
      </c>
      <c r="M76" s="180" t="str">
        <f aca="false">IF((D76="g"),F76," ")</f>
        <v> </v>
      </c>
      <c r="N76" s="180" t="str">
        <f aca="false">IF((D76="a"),F76," ")</f>
        <v> </v>
      </c>
      <c r="O76" s="180" t="str">
        <f aca="false">IF((D76="l"),F76," ")</f>
        <v> </v>
      </c>
      <c r="P76" s="180" t="str">
        <f aca="false">IF((D76="i"),F76," ")</f>
        <v> </v>
      </c>
      <c r="Q76" s="180" t="str">
        <f aca="false">IF((D76="b"),F76," ")</f>
        <v> </v>
      </c>
      <c r="R76" s="180" t="str">
        <f aca="false">IF((D76="o"),F76," ")</f>
        <v> </v>
      </c>
      <c r="S76" s="180" t="str">
        <f aca="false">IF((D76="f"),F76," ")</f>
        <v> </v>
      </c>
      <c r="U76" s="371"/>
    </row>
    <row r="77" customFormat="false" ht="12.75" hidden="false" customHeight="false" outlineLevel="0" collapsed="false">
      <c r="D77" s="371" t="str">
        <f aca="false">IF((F77&lt;&gt;0),"Enter Letter"," ")</f>
        <v> </v>
      </c>
      <c r="G77" s="180" t="str">
        <f aca="false">IF((D77="d"),F77," ")</f>
        <v> </v>
      </c>
      <c r="H77" s="180" t="str">
        <f aca="false">IF((D77="h"),F77," ")</f>
        <v> </v>
      </c>
      <c r="I77" s="180" t="str">
        <f aca="false">IF((D77="r"),F77," ")</f>
        <v> </v>
      </c>
      <c r="J77" s="180" t="str">
        <f aca="false">IF((D77="t"),F77," ")</f>
        <v> </v>
      </c>
      <c r="K77" s="180" t="str">
        <f aca="false">IF((D77="e"),F77," ")</f>
        <v> </v>
      </c>
      <c r="L77" s="180" t="str">
        <f aca="false">IF((D77="p"),F77," ")</f>
        <v> </v>
      </c>
      <c r="M77" s="180" t="str">
        <f aca="false">IF((D77="g"),F77," ")</f>
        <v> </v>
      </c>
      <c r="N77" s="180" t="str">
        <f aca="false">IF((D77="a"),F77," ")</f>
        <v> </v>
      </c>
      <c r="O77" s="180" t="str">
        <f aca="false">IF((D77="l"),F77," ")</f>
        <v> </v>
      </c>
      <c r="P77" s="180" t="str">
        <f aca="false">IF((D77="i"),F77," ")</f>
        <v> </v>
      </c>
      <c r="Q77" s="180" t="str">
        <f aca="false">IF((D77="b"),F77," ")</f>
        <v> </v>
      </c>
      <c r="R77" s="180" t="str">
        <f aca="false">IF((D77="o"),F77," ")</f>
        <v> </v>
      </c>
      <c r="S77" s="180" t="str">
        <f aca="false">IF((D77="f"),F77," ")</f>
        <v> </v>
      </c>
      <c r="U77" s="371"/>
    </row>
    <row r="78" customFormat="false" ht="12.75" hidden="false" customHeight="false" outlineLevel="0" collapsed="false">
      <c r="D78" s="371" t="str">
        <f aca="false">IF((F78&lt;&gt;0),"Enter Letter"," ")</f>
        <v> </v>
      </c>
      <c r="G78" s="180" t="str">
        <f aca="false">IF((D78="d"),F78," ")</f>
        <v> </v>
      </c>
      <c r="H78" s="180" t="str">
        <f aca="false">IF((D78="h"),F78," ")</f>
        <v> </v>
      </c>
      <c r="I78" s="180" t="str">
        <f aca="false">IF((D78="r"),F78," ")</f>
        <v> </v>
      </c>
      <c r="J78" s="180" t="str">
        <f aca="false">IF((D78="t"),F78," ")</f>
        <v> </v>
      </c>
      <c r="K78" s="180" t="str">
        <f aca="false">IF((D78="e"),F78," ")</f>
        <v> </v>
      </c>
      <c r="L78" s="180" t="str">
        <f aca="false">IF((D78="p"),F78," ")</f>
        <v> </v>
      </c>
      <c r="M78" s="180" t="str">
        <f aca="false">IF((D78="g"),F78," ")</f>
        <v> </v>
      </c>
      <c r="N78" s="180" t="str">
        <f aca="false">IF((D78="a"),F78," ")</f>
        <v> </v>
      </c>
      <c r="O78" s="180" t="str">
        <f aca="false">IF((D78="l"),F78," ")</f>
        <v> </v>
      </c>
      <c r="P78" s="180" t="str">
        <f aca="false">IF((D78="i"),F78," ")</f>
        <v> </v>
      </c>
      <c r="Q78" s="180" t="str">
        <f aca="false">IF((D78="b"),F78," ")</f>
        <v> </v>
      </c>
      <c r="R78" s="180" t="str">
        <f aca="false">IF((D78="o"),F78," ")</f>
        <v> </v>
      </c>
      <c r="S78" s="180" t="str">
        <f aca="false">IF((D78="f"),F78," ")</f>
        <v> </v>
      </c>
      <c r="U78" s="371"/>
    </row>
    <row r="79" customFormat="false" ht="12.75" hidden="false" customHeight="false" outlineLevel="0" collapsed="false">
      <c r="D79" s="371" t="str">
        <f aca="false">IF((F79&lt;&gt;0),"Enter Letter"," ")</f>
        <v> </v>
      </c>
      <c r="G79" s="180" t="str">
        <f aca="false">IF((D79="d"),F79," ")</f>
        <v> </v>
      </c>
      <c r="H79" s="180" t="str">
        <f aca="false">IF((D79="h"),F79," ")</f>
        <v> </v>
      </c>
      <c r="I79" s="180" t="str">
        <f aca="false">IF((D79="r"),F79," ")</f>
        <v> </v>
      </c>
      <c r="J79" s="180" t="str">
        <f aca="false">IF((D79="t"),F79," ")</f>
        <v> </v>
      </c>
      <c r="K79" s="180" t="str">
        <f aca="false">IF((D79="e"),F79," ")</f>
        <v> </v>
      </c>
      <c r="L79" s="180" t="str">
        <f aca="false">IF((D79="p"),F79," ")</f>
        <v> </v>
      </c>
      <c r="M79" s="180" t="str">
        <f aca="false">IF((D79="g"),F79," ")</f>
        <v> </v>
      </c>
      <c r="N79" s="180" t="str">
        <f aca="false">IF((D79="a"),F79," ")</f>
        <v> </v>
      </c>
      <c r="O79" s="180" t="str">
        <f aca="false">IF((D79="l"),F79," ")</f>
        <v> </v>
      </c>
      <c r="P79" s="180" t="str">
        <f aca="false">IF((D79="i"),F79," ")</f>
        <v> </v>
      </c>
      <c r="Q79" s="180" t="str">
        <f aca="false">IF((D79="b"),F79," ")</f>
        <v> </v>
      </c>
      <c r="R79" s="180" t="str">
        <f aca="false">IF((D79="o"),F79," ")</f>
        <v> </v>
      </c>
      <c r="S79" s="180" t="str">
        <f aca="false">IF((D79="f"),F79," ")</f>
        <v> </v>
      </c>
      <c r="U79" s="371"/>
    </row>
    <row r="80" customFormat="false" ht="12.75" hidden="false" customHeight="false" outlineLevel="0" collapsed="false">
      <c r="D80" s="371" t="str">
        <f aca="false">IF((F80&lt;&gt;0),"Enter Letter"," ")</f>
        <v> </v>
      </c>
      <c r="G80" s="180" t="str">
        <f aca="false">IF((D80="d"),F80," ")</f>
        <v> </v>
      </c>
      <c r="H80" s="180" t="str">
        <f aca="false">IF((D80="h"),F80," ")</f>
        <v> </v>
      </c>
      <c r="I80" s="180" t="str">
        <f aca="false">IF((D80="r"),F80," ")</f>
        <v> </v>
      </c>
      <c r="J80" s="180" t="str">
        <f aca="false">IF((D80="t"),F80," ")</f>
        <v> </v>
      </c>
      <c r="K80" s="180" t="str">
        <f aca="false">IF((D80="e"),F80," ")</f>
        <v> </v>
      </c>
      <c r="L80" s="180" t="str">
        <f aca="false">IF((D80="p"),F80," ")</f>
        <v> </v>
      </c>
      <c r="M80" s="180" t="str">
        <f aca="false">IF((D80="g"),F80," ")</f>
        <v> </v>
      </c>
      <c r="N80" s="180" t="str">
        <f aca="false">IF((D80="a"),F80," ")</f>
        <v> </v>
      </c>
      <c r="O80" s="180" t="str">
        <f aca="false">IF((D80="l"),F80," ")</f>
        <v> </v>
      </c>
      <c r="P80" s="180" t="str">
        <f aca="false">IF((D80="i"),F80," ")</f>
        <v> </v>
      </c>
      <c r="Q80" s="180" t="str">
        <f aca="false">IF((D80="b"),F80," ")</f>
        <v> </v>
      </c>
      <c r="R80" s="180" t="str">
        <f aca="false">IF((D80="o"),F80," ")</f>
        <v> </v>
      </c>
      <c r="S80" s="180" t="str">
        <f aca="false">IF((D80="f"),F80," ")</f>
        <v> </v>
      </c>
      <c r="U80" s="371"/>
    </row>
    <row r="81" customFormat="false" ht="12.75" hidden="false" customHeight="false" outlineLevel="0" collapsed="false">
      <c r="D81" s="371" t="str">
        <f aca="false">IF((F81&lt;&gt;0),"Enter Letter"," ")</f>
        <v> </v>
      </c>
      <c r="G81" s="180" t="str">
        <f aca="false">IF((D81="d"),F81," ")</f>
        <v> </v>
      </c>
      <c r="H81" s="180" t="str">
        <f aca="false">IF((D81="h"),F81," ")</f>
        <v> </v>
      </c>
      <c r="I81" s="180" t="str">
        <f aca="false">IF((D81="r"),F81," ")</f>
        <v> </v>
      </c>
      <c r="J81" s="180" t="str">
        <f aca="false">IF((D81="t"),F81," ")</f>
        <v> </v>
      </c>
      <c r="K81" s="180" t="str">
        <f aca="false">IF((D81="e"),F81," ")</f>
        <v> </v>
      </c>
      <c r="L81" s="180" t="str">
        <f aca="false">IF((D81="p"),F81," ")</f>
        <v> </v>
      </c>
      <c r="M81" s="180" t="str">
        <f aca="false">IF((D81="g"),F81," ")</f>
        <v> </v>
      </c>
      <c r="N81" s="180" t="str">
        <f aca="false">IF((D81="a"),F81," ")</f>
        <v> </v>
      </c>
      <c r="O81" s="180" t="str">
        <f aca="false">IF((D81="l"),F81," ")</f>
        <v> </v>
      </c>
      <c r="P81" s="180" t="str">
        <f aca="false">IF((D81="i"),F81," ")</f>
        <v> </v>
      </c>
      <c r="Q81" s="180" t="str">
        <f aca="false">IF((D81="b"),F81," ")</f>
        <v> </v>
      </c>
      <c r="R81" s="180" t="str">
        <f aca="false">IF((D81="o"),F81," ")</f>
        <v> </v>
      </c>
      <c r="S81" s="180" t="str">
        <f aca="false">IF((D81="f"),F81," ")</f>
        <v> </v>
      </c>
      <c r="U81" s="371"/>
    </row>
    <row r="82" customFormat="false" ht="12.75" hidden="false" customHeight="false" outlineLevel="0" collapsed="false">
      <c r="D82" s="371" t="str">
        <f aca="false">IF((F82&lt;&gt;0),"Enter Letter"," ")</f>
        <v> </v>
      </c>
      <c r="G82" s="180" t="str">
        <f aca="false">IF((D82="d"),F82," ")</f>
        <v> </v>
      </c>
      <c r="H82" s="180" t="str">
        <f aca="false">IF((D82="h"),F82," ")</f>
        <v> </v>
      </c>
      <c r="I82" s="180" t="str">
        <f aca="false">IF((D82="r"),F82," ")</f>
        <v> </v>
      </c>
      <c r="J82" s="180" t="str">
        <f aca="false">IF((D82="t"),F82," ")</f>
        <v> </v>
      </c>
      <c r="K82" s="180" t="str">
        <f aca="false">IF((D82="e"),F82," ")</f>
        <v> </v>
      </c>
      <c r="L82" s="180" t="str">
        <f aca="false">IF((D82="p"),F82," ")</f>
        <v> </v>
      </c>
      <c r="M82" s="180" t="str">
        <f aca="false">IF((D82="g"),F82," ")</f>
        <v> </v>
      </c>
      <c r="N82" s="180" t="str">
        <f aca="false">IF((D82="a"),F82," ")</f>
        <v> </v>
      </c>
      <c r="O82" s="180" t="str">
        <f aca="false">IF((D82="l"),F82," ")</f>
        <v> </v>
      </c>
      <c r="P82" s="180" t="str">
        <f aca="false">IF((D82="i"),F82," ")</f>
        <v> </v>
      </c>
      <c r="Q82" s="180" t="str">
        <f aca="false">IF((D82="b"),F82," ")</f>
        <v> </v>
      </c>
      <c r="R82" s="180" t="str">
        <f aca="false">IF((D82="o"),F82," ")</f>
        <v> </v>
      </c>
      <c r="S82" s="180" t="str">
        <f aca="false">IF((D82="f"),F82," ")</f>
        <v> </v>
      </c>
      <c r="U82" s="371"/>
    </row>
    <row r="83" customFormat="false" ht="12.75" hidden="false" customHeight="false" outlineLevel="0" collapsed="false">
      <c r="D83" s="371" t="str">
        <f aca="false">IF((F83&lt;&gt;0),"Enter Letter"," ")</f>
        <v> </v>
      </c>
      <c r="G83" s="180" t="str">
        <f aca="false">IF((D83="d"),F83," ")</f>
        <v> </v>
      </c>
      <c r="H83" s="180" t="str">
        <f aca="false">IF((D83="h"),F83," ")</f>
        <v> </v>
      </c>
      <c r="I83" s="180" t="str">
        <f aca="false">IF((D83="r"),F83," ")</f>
        <v> </v>
      </c>
      <c r="J83" s="180" t="str">
        <f aca="false">IF((D83="t"),F83," ")</f>
        <v> </v>
      </c>
      <c r="K83" s="180" t="str">
        <f aca="false">IF((D83="e"),F83," ")</f>
        <v> </v>
      </c>
      <c r="L83" s="180" t="str">
        <f aca="false">IF((D83="p"),F83," ")</f>
        <v> </v>
      </c>
      <c r="M83" s="180" t="str">
        <f aca="false">IF((D83="g"),F83," ")</f>
        <v> </v>
      </c>
      <c r="N83" s="180" t="str">
        <f aca="false">IF((D83="a"),F83," ")</f>
        <v> </v>
      </c>
      <c r="O83" s="180" t="str">
        <f aca="false">IF((D83="l"),F83," ")</f>
        <v> </v>
      </c>
      <c r="P83" s="180" t="str">
        <f aca="false">IF((D83="i"),F83," ")</f>
        <v> </v>
      </c>
      <c r="Q83" s="180" t="str">
        <f aca="false">IF((D83="b"),F83," ")</f>
        <v> </v>
      </c>
      <c r="R83" s="180" t="str">
        <f aca="false">IF((D83="o"),F83," ")</f>
        <v> </v>
      </c>
      <c r="S83" s="180" t="str">
        <f aca="false">IF((D83="f"),F83," ")</f>
        <v> </v>
      </c>
      <c r="U83" s="371"/>
    </row>
    <row r="84" customFormat="false" ht="12.75" hidden="false" customHeight="false" outlineLevel="0" collapsed="false">
      <c r="D84" s="371" t="str">
        <f aca="false">IF((F84&lt;&gt;0),"Enter Letter"," ")</f>
        <v> </v>
      </c>
      <c r="G84" s="180" t="str">
        <f aca="false">IF((D84="d"),F84," ")</f>
        <v> </v>
      </c>
      <c r="H84" s="180" t="str">
        <f aca="false">IF((D84="h"),F84," ")</f>
        <v> </v>
      </c>
      <c r="I84" s="180" t="str">
        <f aca="false">IF((D84="r"),F84," ")</f>
        <v> </v>
      </c>
      <c r="J84" s="180" t="str">
        <f aca="false">IF((D84="t"),F84," ")</f>
        <v> </v>
      </c>
      <c r="K84" s="180" t="str">
        <f aca="false">IF((D84="e"),F84," ")</f>
        <v> </v>
      </c>
      <c r="L84" s="180" t="str">
        <f aca="false">IF((D84="p"),F84," ")</f>
        <v> </v>
      </c>
      <c r="M84" s="180" t="str">
        <f aca="false">IF((D84="g"),F84," ")</f>
        <v> </v>
      </c>
      <c r="N84" s="180" t="str">
        <f aca="false">IF((D84="a"),F84," ")</f>
        <v> </v>
      </c>
      <c r="O84" s="180" t="str">
        <f aca="false">IF((D84="l"),F84," ")</f>
        <v> </v>
      </c>
      <c r="P84" s="180" t="str">
        <f aca="false">IF((D84="i"),F84," ")</f>
        <v> </v>
      </c>
      <c r="Q84" s="180" t="str">
        <f aca="false">IF((D84="b"),F84," ")</f>
        <v> </v>
      </c>
      <c r="R84" s="180" t="str">
        <f aca="false">IF((D84="o"),F84," ")</f>
        <v> </v>
      </c>
      <c r="S84" s="180" t="str">
        <f aca="false">IF((D84="f"),F84," ")</f>
        <v> </v>
      </c>
      <c r="U84" s="371"/>
    </row>
    <row r="85" customFormat="false" ht="12.75" hidden="false" customHeight="false" outlineLevel="0" collapsed="false">
      <c r="D85" s="371" t="str">
        <f aca="false">IF((F85&lt;&gt;0),"Enter Letter"," ")</f>
        <v> </v>
      </c>
      <c r="G85" s="180" t="str">
        <f aca="false">IF((D85="d"),F85," ")</f>
        <v> </v>
      </c>
      <c r="H85" s="180" t="str">
        <f aca="false">IF((D85="h"),F85," ")</f>
        <v> </v>
      </c>
      <c r="I85" s="180" t="str">
        <f aca="false">IF((D85="r"),F85," ")</f>
        <v> </v>
      </c>
      <c r="J85" s="180" t="str">
        <f aca="false">IF((D85="t"),F85," ")</f>
        <v> </v>
      </c>
      <c r="K85" s="180" t="str">
        <f aca="false">IF((D85="e"),F85," ")</f>
        <v> </v>
      </c>
      <c r="L85" s="180" t="str">
        <f aca="false">IF((D85="p"),F85," ")</f>
        <v> </v>
      </c>
      <c r="M85" s="180" t="str">
        <f aca="false">IF((D85="g"),F85," ")</f>
        <v> </v>
      </c>
      <c r="N85" s="180" t="str">
        <f aca="false">IF((D85="a"),F85," ")</f>
        <v> </v>
      </c>
      <c r="O85" s="180" t="str">
        <f aca="false">IF((D85="l"),F85," ")</f>
        <v> </v>
      </c>
      <c r="P85" s="180" t="str">
        <f aca="false">IF((D85="i"),F85," ")</f>
        <v> </v>
      </c>
      <c r="Q85" s="180" t="str">
        <f aca="false">IF((D85="b"),F85," ")</f>
        <v> </v>
      </c>
      <c r="R85" s="180" t="str">
        <f aca="false">IF((D85="o"),F85," ")</f>
        <v> </v>
      </c>
      <c r="S85" s="180" t="str">
        <f aca="false">IF((D85="f"),F85," ")</f>
        <v> </v>
      </c>
      <c r="U85" s="371"/>
    </row>
    <row r="86" customFormat="false" ht="12.75" hidden="false" customHeight="false" outlineLevel="0" collapsed="false">
      <c r="D86" s="371" t="str">
        <f aca="false">IF((F86&lt;&gt;0),"Enter Letter"," ")</f>
        <v> </v>
      </c>
      <c r="G86" s="180" t="str">
        <f aca="false">IF((D86="d"),F86," ")</f>
        <v> </v>
      </c>
      <c r="H86" s="180" t="str">
        <f aca="false">IF((D86="h"),F86," ")</f>
        <v> </v>
      </c>
      <c r="I86" s="180" t="str">
        <f aca="false">IF((D86="r"),F86," ")</f>
        <v> </v>
      </c>
      <c r="J86" s="180" t="str">
        <f aca="false">IF((D86="t"),F86," ")</f>
        <v> </v>
      </c>
      <c r="K86" s="180" t="str">
        <f aca="false">IF((D86="e"),F86," ")</f>
        <v> </v>
      </c>
      <c r="L86" s="180" t="str">
        <f aca="false">IF((D86="p"),F86," ")</f>
        <v> </v>
      </c>
      <c r="M86" s="180" t="str">
        <f aca="false">IF((D86="g"),F86," ")</f>
        <v> </v>
      </c>
      <c r="N86" s="180" t="str">
        <f aca="false">IF((D86="a"),F86," ")</f>
        <v> </v>
      </c>
      <c r="O86" s="180" t="str">
        <f aca="false">IF((D86="l"),F86," ")</f>
        <v> </v>
      </c>
      <c r="P86" s="180" t="str">
        <f aca="false">IF((D86="i"),F86," ")</f>
        <v> </v>
      </c>
      <c r="Q86" s="180" t="str">
        <f aca="false">IF((D86="b"),F86," ")</f>
        <v> </v>
      </c>
      <c r="R86" s="180" t="str">
        <f aca="false">IF((D86="o"),F86," ")</f>
        <v> </v>
      </c>
      <c r="S86" s="180" t="str">
        <f aca="false">IF((D86="f"),F86," ")</f>
        <v> </v>
      </c>
      <c r="U86" s="371"/>
    </row>
    <row r="87" customFormat="false" ht="12.75" hidden="false" customHeight="false" outlineLevel="0" collapsed="false">
      <c r="D87" s="371" t="str">
        <f aca="false">IF((F87&lt;&gt;0),"Enter Letter"," ")</f>
        <v> </v>
      </c>
      <c r="G87" s="180" t="str">
        <f aca="false">IF((D87="d"),F87," ")</f>
        <v> </v>
      </c>
      <c r="H87" s="180" t="str">
        <f aca="false">IF((D87="h"),F87," ")</f>
        <v> </v>
      </c>
      <c r="I87" s="180" t="str">
        <f aca="false">IF((D87="r"),F87," ")</f>
        <v> </v>
      </c>
      <c r="J87" s="180" t="str">
        <f aca="false">IF((D87="t"),F87," ")</f>
        <v> </v>
      </c>
      <c r="K87" s="180" t="str">
        <f aca="false">IF((D87="e"),F87," ")</f>
        <v> </v>
      </c>
      <c r="L87" s="180" t="str">
        <f aca="false">IF((D87="p"),F87," ")</f>
        <v> </v>
      </c>
      <c r="M87" s="180" t="str">
        <f aca="false">IF((D87="g"),F87," ")</f>
        <v> </v>
      </c>
      <c r="N87" s="180" t="str">
        <f aca="false">IF((D87="a"),F87," ")</f>
        <v> </v>
      </c>
      <c r="O87" s="180" t="str">
        <f aca="false">IF((D87="l"),F87," ")</f>
        <v> </v>
      </c>
      <c r="P87" s="180" t="str">
        <f aca="false">IF((D87="i"),F87," ")</f>
        <v> </v>
      </c>
      <c r="Q87" s="180" t="str">
        <f aca="false">IF((D87="b"),F87," ")</f>
        <v> </v>
      </c>
      <c r="R87" s="180" t="str">
        <f aca="false">IF((D87="o"),F87," ")</f>
        <v> </v>
      </c>
      <c r="S87" s="180" t="str">
        <f aca="false">IF((D87="f"),F87," ")</f>
        <v> </v>
      </c>
      <c r="U87" s="371"/>
    </row>
    <row r="88" customFormat="false" ht="12.75" hidden="false" customHeight="false" outlineLevel="0" collapsed="false">
      <c r="D88" s="371" t="str">
        <f aca="false">IF((F88&lt;&gt;0),"Enter Letter"," ")</f>
        <v> </v>
      </c>
      <c r="G88" s="180" t="str">
        <f aca="false">IF((D88="d"),F88," ")</f>
        <v> </v>
      </c>
      <c r="H88" s="180" t="str">
        <f aca="false">IF((D88="h"),F88," ")</f>
        <v> </v>
      </c>
      <c r="I88" s="180" t="str">
        <f aca="false">IF((D88="r"),F88," ")</f>
        <v> </v>
      </c>
      <c r="J88" s="180" t="str">
        <f aca="false">IF((D88="t"),F88," ")</f>
        <v> </v>
      </c>
      <c r="K88" s="180" t="str">
        <f aca="false">IF((D88="e"),F88," ")</f>
        <v> </v>
      </c>
      <c r="L88" s="180" t="str">
        <f aca="false">IF((D88="p"),F88," ")</f>
        <v> </v>
      </c>
      <c r="M88" s="180" t="str">
        <f aca="false">IF((D88="g"),F88," ")</f>
        <v> </v>
      </c>
      <c r="N88" s="180" t="str">
        <f aca="false">IF((D88="a"),F88," ")</f>
        <v> </v>
      </c>
      <c r="O88" s="180" t="str">
        <f aca="false">IF((D88="l"),F88," ")</f>
        <v> </v>
      </c>
      <c r="P88" s="180" t="str">
        <f aca="false">IF((D88="i"),F88," ")</f>
        <v> </v>
      </c>
      <c r="Q88" s="180" t="str">
        <f aca="false">IF((D88="b"),F88," ")</f>
        <v> </v>
      </c>
      <c r="R88" s="180" t="str">
        <f aca="false">IF((D88="o"),F88," ")</f>
        <v> </v>
      </c>
      <c r="S88" s="180" t="str">
        <f aca="false">IF((D88="f"),F88," ")</f>
        <v> </v>
      </c>
      <c r="U88" s="371"/>
    </row>
    <row r="89" customFormat="false" ht="12.75" hidden="false" customHeight="false" outlineLevel="0" collapsed="false">
      <c r="D89" s="371" t="str">
        <f aca="false">IF((F89&lt;&gt;0),"Enter Letter"," ")</f>
        <v> </v>
      </c>
      <c r="G89" s="180" t="str">
        <f aca="false">IF((D89="d"),F89," ")</f>
        <v> </v>
      </c>
      <c r="H89" s="180" t="str">
        <f aca="false">IF((D89="h"),F89," ")</f>
        <v> </v>
      </c>
      <c r="I89" s="180" t="str">
        <f aca="false">IF((D89="r"),F89," ")</f>
        <v> </v>
      </c>
      <c r="J89" s="180" t="str">
        <f aca="false">IF((D89="t"),F89," ")</f>
        <v> </v>
      </c>
      <c r="K89" s="180" t="str">
        <f aca="false">IF((D89="e"),F89," ")</f>
        <v> </v>
      </c>
      <c r="L89" s="180" t="str">
        <f aca="false">IF((D89="p"),F89," ")</f>
        <v> </v>
      </c>
      <c r="M89" s="180" t="str">
        <f aca="false">IF((D89="g"),F89," ")</f>
        <v> </v>
      </c>
      <c r="N89" s="180" t="str">
        <f aca="false">IF((D89="a"),F89," ")</f>
        <v> </v>
      </c>
      <c r="O89" s="180" t="str">
        <f aca="false">IF((D89="l"),F89," ")</f>
        <v> </v>
      </c>
      <c r="P89" s="180" t="str">
        <f aca="false">IF((D89="i"),F89," ")</f>
        <v> </v>
      </c>
      <c r="Q89" s="180" t="str">
        <f aca="false">IF((D89="b"),F89," ")</f>
        <v> </v>
      </c>
      <c r="R89" s="180" t="str">
        <f aca="false">IF((D89="o"),F89," ")</f>
        <v> </v>
      </c>
      <c r="S89" s="180" t="str">
        <f aca="false">IF((D89="f"),F89," ")</f>
        <v> </v>
      </c>
      <c r="U89" s="371"/>
    </row>
    <row r="90" customFormat="false" ht="12.75" hidden="false" customHeight="false" outlineLevel="0" collapsed="false">
      <c r="D90" s="371" t="str">
        <f aca="false">IF((F90&lt;&gt;0),"Enter Letter"," ")</f>
        <v> </v>
      </c>
      <c r="G90" s="180" t="str">
        <f aca="false">IF((D90="d"),F90," ")</f>
        <v> </v>
      </c>
      <c r="H90" s="180" t="str">
        <f aca="false">IF((D90="h"),F90," ")</f>
        <v> </v>
      </c>
      <c r="I90" s="180" t="str">
        <f aca="false">IF((D90="r"),F90," ")</f>
        <v> </v>
      </c>
      <c r="J90" s="180" t="str">
        <f aca="false">IF((D90="t"),F90," ")</f>
        <v> </v>
      </c>
      <c r="K90" s="180" t="str">
        <f aca="false">IF((D90="e"),F90," ")</f>
        <v> </v>
      </c>
      <c r="L90" s="180" t="str">
        <f aca="false">IF((D90="p"),F90," ")</f>
        <v> </v>
      </c>
      <c r="M90" s="180" t="str">
        <f aca="false">IF((D90="g"),F90," ")</f>
        <v> </v>
      </c>
      <c r="N90" s="180" t="str">
        <f aca="false">IF((D90="a"),F90," ")</f>
        <v> </v>
      </c>
      <c r="O90" s="180" t="str">
        <f aca="false">IF((D90="l"),F90," ")</f>
        <v> </v>
      </c>
      <c r="P90" s="180" t="str">
        <f aca="false">IF((D90="i"),F90," ")</f>
        <v> </v>
      </c>
      <c r="Q90" s="180" t="str">
        <f aca="false">IF((D90="b"),F90," ")</f>
        <v> </v>
      </c>
      <c r="R90" s="180" t="str">
        <f aca="false">IF((D90="o"),F90," ")</f>
        <v> </v>
      </c>
      <c r="S90" s="180" t="str">
        <f aca="false">IF((D90="f"),F90," ")</f>
        <v> </v>
      </c>
      <c r="U90" s="371"/>
    </row>
    <row r="91" customFormat="false" ht="12.75" hidden="false" customHeight="false" outlineLevel="0" collapsed="false">
      <c r="D91" s="371" t="str">
        <f aca="false">IF((F91&lt;&gt;0),"Enter Letter"," ")</f>
        <v> </v>
      </c>
      <c r="G91" s="180" t="str">
        <f aca="false">IF((D91="d"),F91," ")</f>
        <v> </v>
      </c>
      <c r="H91" s="180" t="str">
        <f aca="false">IF((D91="h"),F91," ")</f>
        <v> </v>
      </c>
      <c r="I91" s="180" t="str">
        <f aca="false">IF((D91="r"),F91," ")</f>
        <v> </v>
      </c>
      <c r="J91" s="180" t="str">
        <f aca="false">IF((D91="t"),F91," ")</f>
        <v> </v>
      </c>
      <c r="K91" s="180" t="str">
        <f aca="false">IF((D91="e"),F91," ")</f>
        <v> </v>
      </c>
      <c r="L91" s="180" t="str">
        <f aca="false">IF((D91="p"),F91," ")</f>
        <v> </v>
      </c>
      <c r="M91" s="180" t="str">
        <f aca="false">IF((D91="g"),F91," ")</f>
        <v> </v>
      </c>
      <c r="N91" s="180" t="str">
        <f aca="false">IF((D91="a"),F91," ")</f>
        <v> </v>
      </c>
      <c r="O91" s="180" t="str">
        <f aca="false">IF((D91="l"),F91," ")</f>
        <v> </v>
      </c>
      <c r="P91" s="180" t="str">
        <f aca="false">IF((D91="i"),F91," ")</f>
        <v> </v>
      </c>
      <c r="Q91" s="180" t="str">
        <f aca="false">IF((D91="b"),F91," ")</f>
        <v> </v>
      </c>
      <c r="R91" s="180" t="str">
        <f aca="false">IF((D91="o"),F91," ")</f>
        <v> </v>
      </c>
      <c r="S91" s="180" t="str">
        <f aca="false">IF((D91="f"),F91," ")</f>
        <v> </v>
      </c>
      <c r="U91" s="371"/>
    </row>
    <row r="92" customFormat="false" ht="12.75" hidden="false" customHeight="false" outlineLevel="0" collapsed="false">
      <c r="D92" s="371" t="str">
        <f aca="false">IF((F92&lt;&gt;0),"Enter Letter"," ")</f>
        <v> </v>
      </c>
      <c r="G92" s="180" t="str">
        <f aca="false">IF((D92="d"),F92," ")</f>
        <v> </v>
      </c>
      <c r="H92" s="180" t="str">
        <f aca="false">IF((D92="h"),F92," ")</f>
        <v> </v>
      </c>
      <c r="I92" s="180" t="str">
        <f aca="false">IF((D92="r"),F92," ")</f>
        <v> </v>
      </c>
      <c r="J92" s="180" t="str">
        <f aca="false">IF((D92="t"),F92," ")</f>
        <v> </v>
      </c>
      <c r="K92" s="180" t="str">
        <f aca="false">IF((D92="e"),F92," ")</f>
        <v> </v>
      </c>
      <c r="L92" s="180" t="str">
        <f aca="false">IF((D92="p"),F92," ")</f>
        <v> </v>
      </c>
      <c r="M92" s="180" t="str">
        <f aca="false">IF((D92="g"),F92," ")</f>
        <v> </v>
      </c>
      <c r="N92" s="180" t="str">
        <f aca="false">IF((D92="a"),F92," ")</f>
        <v> </v>
      </c>
      <c r="O92" s="180" t="str">
        <f aca="false">IF((D92="l"),F92," ")</f>
        <v> </v>
      </c>
      <c r="P92" s="180" t="str">
        <f aca="false">IF((D92="i"),F92," ")</f>
        <v> </v>
      </c>
      <c r="Q92" s="180" t="str">
        <f aca="false">IF((D92="b"),F92," ")</f>
        <v> </v>
      </c>
      <c r="R92" s="180" t="str">
        <f aca="false">IF((D92="o"),F92," ")</f>
        <v> </v>
      </c>
      <c r="S92" s="180" t="str">
        <f aca="false">IF((D92="f"),F92," ")</f>
        <v> </v>
      </c>
      <c r="U92" s="371"/>
    </row>
    <row r="93" customFormat="false" ht="12.75" hidden="false" customHeight="false" outlineLevel="0" collapsed="false">
      <c r="D93" s="371" t="str">
        <f aca="false">IF((F93&lt;&gt;0),"Enter Letter"," ")</f>
        <v> </v>
      </c>
      <c r="G93" s="180" t="str">
        <f aca="false">IF((D93="d"),F93," ")</f>
        <v> </v>
      </c>
      <c r="H93" s="180" t="str">
        <f aca="false">IF((D93="h"),F93," ")</f>
        <v> </v>
      </c>
      <c r="I93" s="180" t="str">
        <f aca="false">IF((D93="r"),F93," ")</f>
        <v> </v>
      </c>
      <c r="J93" s="180" t="str">
        <f aca="false">IF((D93="t"),F93," ")</f>
        <v> </v>
      </c>
      <c r="K93" s="180" t="str">
        <f aca="false">IF((D93="e"),F93," ")</f>
        <v> </v>
      </c>
      <c r="L93" s="180" t="str">
        <f aca="false">IF((D93="p"),F93," ")</f>
        <v> </v>
      </c>
      <c r="M93" s="180" t="str">
        <f aca="false">IF((D93="g"),F93," ")</f>
        <v> </v>
      </c>
      <c r="N93" s="180" t="str">
        <f aca="false">IF((D93="a"),F93," ")</f>
        <v> </v>
      </c>
      <c r="O93" s="180" t="str">
        <f aca="false">IF((D93="l"),F93," ")</f>
        <v> </v>
      </c>
      <c r="P93" s="180" t="str">
        <f aca="false">IF((D93="i"),F93," ")</f>
        <v> </v>
      </c>
      <c r="Q93" s="180" t="str">
        <f aca="false">IF((D93="b"),F93," ")</f>
        <v> </v>
      </c>
      <c r="R93" s="180" t="str">
        <f aca="false">IF((D93="o"),F93," ")</f>
        <v> </v>
      </c>
      <c r="S93" s="180" t="str">
        <f aca="false">IF((D93="f"),F93," ")</f>
        <v> </v>
      </c>
      <c r="U93" s="371"/>
    </row>
    <row r="94" customFormat="false" ht="12.75" hidden="false" customHeight="false" outlineLevel="0" collapsed="false">
      <c r="D94" s="371" t="str">
        <f aca="false">IF((F94&lt;&gt;0),"Enter Letter"," ")</f>
        <v> </v>
      </c>
      <c r="G94" s="180" t="str">
        <f aca="false">IF((D94="d"),F94," ")</f>
        <v> </v>
      </c>
      <c r="H94" s="180" t="str">
        <f aca="false">IF((D94="h"),F94," ")</f>
        <v> </v>
      </c>
      <c r="I94" s="180" t="str">
        <f aca="false">IF((D94="r"),F94," ")</f>
        <v> </v>
      </c>
      <c r="J94" s="180" t="str">
        <f aca="false">IF((D94="t"),F94," ")</f>
        <v> </v>
      </c>
      <c r="K94" s="180" t="str">
        <f aca="false">IF((D94="e"),F94," ")</f>
        <v> </v>
      </c>
      <c r="L94" s="180" t="str">
        <f aca="false">IF((D94="p"),F94," ")</f>
        <v> </v>
      </c>
      <c r="M94" s="180" t="str">
        <f aca="false">IF((D94="g"),F94," ")</f>
        <v> </v>
      </c>
      <c r="N94" s="180" t="str">
        <f aca="false">IF((D94="a"),F94," ")</f>
        <v> </v>
      </c>
      <c r="O94" s="180" t="str">
        <f aca="false">IF((D94="l"),F94," ")</f>
        <v> </v>
      </c>
      <c r="P94" s="180" t="str">
        <f aca="false">IF((D94="i"),F94," ")</f>
        <v> </v>
      </c>
      <c r="Q94" s="180" t="str">
        <f aca="false">IF((D94="b"),F94," ")</f>
        <v> </v>
      </c>
      <c r="R94" s="180" t="str">
        <f aca="false">IF((D94="o"),F94," ")</f>
        <v> </v>
      </c>
      <c r="S94" s="180" t="str">
        <f aca="false">IF((D94="f"),F94," ")</f>
        <v> </v>
      </c>
      <c r="U94" s="371"/>
    </row>
    <row r="95" customFormat="false" ht="12.75" hidden="false" customHeight="false" outlineLevel="0" collapsed="false">
      <c r="D95" s="371" t="str">
        <f aca="false">IF((F95&lt;&gt;0),"Enter Letter"," ")</f>
        <v> </v>
      </c>
      <c r="G95" s="180" t="str">
        <f aca="false">IF((D95="d"),F95," ")</f>
        <v> </v>
      </c>
      <c r="H95" s="180" t="str">
        <f aca="false">IF((D95="h"),F95," ")</f>
        <v> </v>
      </c>
      <c r="I95" s="180" t="str">
        <f aca="false">IF((D95="r"),F95," ")</f>
        <v> </v>
      </c>
      <c r="J95" s="180" t="str">
        <f aca="false">IF((D95="t"),F95," ")</f>
        <v> </v>
      </c>
      <c r="K95" s="180" t="str">
        <f aca="false">IF((D95="e"),F95," ")</f>
        <v> </v>
      </c>
      <c r="L95" s="180" t="str">
        <f aca="false">IF((D95="p"),F95," ")</f>
        <v> </v>
      </c>
      <c r="M95" s="180" t="str">
        <f aca="false">IF((D95="g"),F95," ")</f>
        <v> </v>
      </c>
      <c r="N95" s="180" t="str">
        <f aca="false">IF((D95="a"),F95," ")</f>
        <v> </v>
      </c>
      <c r="O95" s="180" t="str">
        <f aca="false">IF((D95="l"),F95," ")</f>
        <v> </v>
      </c>
      <c r="P95" s="180" t="str">
        <f aca="false">IF((D95="i"),F95," ")</f>
        <v> </v>
      </c>
      <c r="Q95" s="180" t="str">
        <f aca="false">IF((D95="b"),F95," ")</f>
        <v> </v>
      </c>
      <c r="R95" s="180" t="str">
        <f aca="false">IF((D95="o"),F95," ")</f>
        <v> </v>
      </c>
      <c r="S95" s="180" t="str">
        <f aca="false">IF((D95="f"),F95," ")</f>
        <v> </v>
      </c>
      <c r="U95" s="371"/>
    </row>
    <row r="96" customFormat="false" ht="12.75" hidden="false" customHeight="false" outlineLevel="0" collapsed="false">
      <c r="D96" s="371" t="str">
        <f aca="false">IF((F96&lt;&gt;0),"Enter Letter"," ")</f>
        <v> </v>
      </c>
      <c r="G96" s="180" t="str">
        <f aca="false">IF((D96="d"),F96," ")</f>
        <v> </v>
      </c>
      <c r="H96" s="180" t="str">
        <f aca="false">IF((D96="h"),F96," ")</f>
        <v> </v>
      </c>
      <c r="I96" s="180" t="str">
        <f aca="false">IF((D96="r"),F96," ")</f>
        <v> </v>
      </c>
      <c r="J96" s="180" t="str">
        <f aca="false">IF((D96="t"),F96," ")</f>
        <v> </v>
      </c>
      <c r="K96" s="180" t="str">
        <f aca="false">IF((D96="e"),F96," ")</f>
        <v> </v>
      </c>
      <c r="L96" s="180" t="str">
        <f aca="false">IF((D96="p"),F96," ")</f>
        <v> </v>
      </c>
      <c r="M96" s="180" t="str">
        <f aca="false">IF((D96="g"),F96," ")</f>
        <v> </v>
      </c>
      <c r="N96" s="180" t="str">
        <f aca="false">IF((D96="a"),F96," ")</f>
        <v> </v>
      </c>
      <c r="O96" s="180" t="str">
        <f aca="false">IF((D96="l"),F96," ")</f>
        <v> </v>
      </c>
      <c r="P96" s="180" t="str">
        <f aca="false">IF((D96="i"),F96," ")</f>
        <v> </v>
      </c>
      <c r="Q96" s="180" t="str">
        <f aca="false">IF((D96="b"),F96," ")</f>
        <v> </v>
      </c>
      <c r="R96" s="180" t="str">
        <f aca="false">IF((D96="o"),F96," ")</f>
        <v> </v>
      </c>
      <c r="S96" s="180" t="str">
        <f aca="false">IF((D96="f"),F96," ")</f>
        <v> </v>
      </c>
      <c r="U96" s="371"/>
    </row>
    <row r="97" customFormat="false" ht="12.75" hidden="false" customHeight="false" outlineLevel="0" collapsed="false">
      <c r="D97" s="371" t="str">
        <f aca="false">IF((F97&lt;&gt;0),"Enter Letter"," ")</f>
        <v> </v>
      </c>
      <c r="G97" s="180" t="str">
        <f aca="false">IF((D97="d"),F97," ")</f>
        <v> </v>
      </c>
      <c r="H97" s="180" t="str">
        <f aca="false">IF((D97="h"),F97," ")</f>
        <v> </v>
      </c>
      <c r="I97" s="180" t="str">
        <f aca="false">IF((D97="r"),F97," ")</f>
        <v> </v>
      </c>
      <c r="J97" s="180" t="str">
        <f aca="false">IF((D97="t"),F97," ")</f>
        <v> </v>
      </c>
      <c r="K97" s="180" t="str">
        <f aca="false">IF((D97="e"),F97," ")</f>
        <v> </v>
      </c>
      <c r="L97" s="180" t="str">
        <f aca="false">IF((D97="p"),F97," ")</f>
        <v> </v>
      </c>
      <c r="M97" s="180" t="str">
        <f aca="false">IF((D97="g"),F97," ")</f>
        <v> </v>
      </c>
      <c r="N97" s="180" t="str">
        <f aca="false">IF((D97="a"),F97," ")</f>
        <v> </v>
      </c>
      <c r="O97" s="180" t="str">
        <f aca="false">IF((D97="l"),F97," ")</f>
        <v> </v>
      </c>
      <c r="P97" s="180" t="str">
        <f aca="false">IF((D97="i"),F97," ")</f>
        <v> </v>
      </c>
      <c r="Q97" s="180" t="str">
        <f aca="false">IF((D97="b"),F97," ")</f>
        <v> </v>
      </c>
      <c r="R97" s="180" t="str">
        <f aca="false">IF((D97="o"),F97," ")</f>
        <v> </v>
      </c>
      <c r="S97" s="180" t="str">
        <f aca="false">IF((D97="f"),F97," ")</f>
        <v> </v>
      </c>
      <c r="U97" s="371"/>
    </row>
    <row r="98" customFormat="false" ht="12.75" hidden="false" customHeight="false" outlineLevel="0" collapsed="false">
      <c r="D98" s="371" t="str">
        <f aca="false">IF((F98&lt;&gt;0),"Enter Letter"," ")</f>
        <v> </v>
      </c>
      <c r="G98" s="180" t="str">
        <f aca="false">IF((D98="d"),F98," ")</f>
        <v> </v>
      </c>
      <c r="H98" s="180" t="str">
        <f aca="false">IF((D98="h"),F98," ")</f>
        <v> </v>
      </c>
      <c r="I98" s="180" t="str">
        <f aca="false">IF((D98="r"),F98," ")</f>
        <v> </v>
      </c>
      <c r="J98" s="180" t="str">
        <f aca="false">IF((D98="t"),F98," ")</f>
        <v> </v>
      </c>
      <c r="K98" s="180" t="str">
        <f aca="false">IF((D98="e"),F98," ")</f>
        <v> </v>
      </c>
      <c r="L98" s="180" t="str">
        <f aca="false">IF((D98="p"),F98," ")</f>
        <v> </v>
      </c>
      <c r="M98" s="180" t="str">
        <f aca="false">IF((D98="g"),F98," ")</f>
        <v> </v>
      </c>
      <c r="N98" s="180" t="str">
        <f aca="false">IF((D98="a"),F98," ")</f>
        <v> </v>
      </c>
      <c r="O98" s="180" t="str">
        <f aca="false">IF((D98="l"),F98," ")</f>
        <v> </v>
      </c>
      <c r="P98" s="180" t="str">
        <f aca="false">IF((D98="i"),F98," ")</f>
        <v> </v>
      </c>
      <c r="Q98" s="180" t="str">
        <f aca="false">IF((D98="b"),F98," ")</f>
        <v> </v>
      </c>
      <c r="R98" s="180" t="str">
        <f aca="false">IF((D98="o"),F98," ")</f>
        <v> </v>
      </c>
      <c r="S98" s="180" t="str">
        <f aca="false">IF((D98="f"),F98," ")</f>
        <v> </v>
      </c>
      <c r="U98" s="371"/>
    </row>
    <row r="99" customFormat="false" ht="12.75" hidden="false" customHeight="false" outlineLevel="0" collapsed="false">
      <c r="D99" s="371" t="str">
        <f aca="false">IF((F99&lt;&gt;0),"Enter Letter"," ")</f>
        <v> </v>
      </c>
      <c r="G99" s="180" t="str">
        <f aca="false">IF((D99="d"),F99," ")</f>
        <v> </v>
      </c>
      <c r="H99" s="180" t="str">
        <f aca="false">IF((D99="h"),F99," ")</f>
        <v> </v>
      </c>
      <c r="I99" s="180" t="str">
        <f aca="false">IF((D99="r"),F99," ")</f>
        <v> </v>
      </c>
      <c r="J99" s="180" t="str">
        <f aca="false">IF((D99="t"),F99," ")</f>
        <v> </v>
      </c>
      <c r="K99" s="180" t="str">
        <f aca="false">IF((D99="e"),F99," ")</f>
        <v> </v>
      </c>
      <c r="L99" s="180" t="str">
        <f aca="false">IF((D99="p"),F99," ")</f>
        <v> </v>
      </c>
      <c r="M99" s="180" t="str">
        <f aca="false">IF((D99="g"),F99," ")</f>
        <v> </v>
      </c>
      <c r="N99" s="180" t="str">
        <f aca="false">IF((D99="a"),F99," ")</f>
        <v> </v>
      </c>
      <c r="O99" s="180" t="str">
        <f aca="false">IF((D99="l"),F99," ")</f>
        <v> </v>
      </c>
      <c r="P99" s="180" t="str">
        <f aca="false">IF((D99="i"),F99," ")</f>
        <v> </v>
      </c>
      <c r="Q99" s="180" t="str">
        <f aca="false">IF((D99="b"),F99," ")</f>
        <v> </v>
      </c>
      <c r="R99" s="180" t="str">
        <f aca="false">IF((D99="o"),F99," ")</f>
        <v> </v>
      </c>
      <c r="S99" s="180" t="str">
        <f aca="false">IF((D99="f"),F99," ")</f>
        <v> </v>
      </c>
      <c r="U99" s="371"/>
    </row>
    <row r="100" customFormat="false" ht="12.75" hidden="false" customHeight="false" outlineLevel="0" collapsed="false">
      <c r="D100" s="371" t="str">
        <f aca="false">IF((F100&lt;&gt;0),"Enter Letter"," ")</f>
        <v> </v>
      </c>
      <c r="G100" s="180" t="str">
        <f aca="false">IF((D100="d"),F100," ")</f>
        <v> </v>
      </c>
      <c r="H100" s="180" t="str">
        <f aca="false">IF((D100="h"),F100," ")</f>
        <v> </v>
      </c>
      <c r="I100" s="180" t="str">
        <f aca="false">IF((D100="r"),F100," ")</f>
        <v> </v>
      </c>
      <c r="J100" s="180" t="str">
        <f aca="false">IF((D100="t"),F100," ")</f>
        <v> </v>
      </c>
      <c r="K100" s="180" t="str">
        <f aca="false">IF((D100="e"),F100," ")</f>
        <v> </v>
      </c>
      <c r="L100" s="180" t="str">
        <f aca="false">IF((D100="p"),F100," ")</f>
        <v> </v>
      </c>
      <c r="M100" s="180" t="str">
        <f aca="false">IF((D100="g"),F100," ")</f>
        <v> </v>
      </c>
      <c r="N100" s="180" t="str">
        <f aca="false">IF((D100="a"),F100," ")</f>
        <v> </v>
      </c>
      <c r="O100" s="180" t="str">
        <f aca="false">IF((D100="l"),F100," ")</f>
        <v> </v>
      </c>
      <c r="P100" s="180" t="str">
        <f aca="false">IF((D100="i"),F100," ")</f>
        <v> </v>
      </c>
      <c r="Q100" s="180" t="str">
        <f aca="false">IF((D100="b"),F100," ")</f>
        <v> </v>
      </c>
      <c r="R100" s="180" t="str">
        <f aca="false">IF((D100="o"),F100," ")</f>
        <v> </v>
      </c>
      <c r="S100" s="180" t="str">
        <f aca="false">IF((D100="f"),F100," ")</f>
        <v> </v>
      </c>
      <c r="U100" s="371"/>
    </row>
    <row r="101" customFormat="false" ht="12.75" hidden="false" customHeight="false" outlineLevel="0" collapsed="false">
      <c r="D101" s="371" t="str">
        <f aca="false">IF((F101&lt;&gt;0),"Enter Letter"," ")</f>
        <v> </v>
      </c>
      <c r="G101" s="180" t="str">
        <f aca="false">IF((D101="d"),F101," ")</f>
        <v> </v>
      </c>
      <c r="H101" s="180" t="str">
        <f aca="false">IF((D101="h"),F101," ")</f>
        <v> </v>
      </c>
      <c r="I101" s="180" t="str">
        <f aca="false">IF((D101="r"),F101," ")</f>
        <v> </v>
      </c>
      <c r="J101" s="180" t="str">
        <f aca="false">IF((D101="t"),F101," ")</f>
        <v> </v>
      </c>
      <c r="K101" s="180" t="str">
        <f aca="false">IF((D101="e"),F101," ")</f>
        <v> </v>
      </c>
      <c r="L101" s="180" t="str">
        <f aca="false">IF((D101="p"),F101," ")</f>
        <v> </v>
      </c>
      <c r="M101" s="180" t="str">
        <f aca="false">IF((D101="g"),F101," ")</f>
        <v> </v>
      </c>
      <c r="N101" s="180" t="str">
        <f aca="false">IF((D101="a"),F101," ")</f>
        <v> </v>
      </c>
      <c r="O101" s="180" t="str">
        <f aca="false">IF((D101="l"),F101," ")</f>
        <v> </v>
      </c>
      <c r="P101" s="180" t="str">
        <f aca="false">IF((D101="i"),F101," ")</f>
        <v> </v>
      </c>
      <c r="Q101" s="180" t="str">
        <f aca="false">IF((D101="b"),F101," ")</f>
        <v> </v>
      </c>
      <c r="R101" s="180" t="str">
        <f aca="false">IF((D101="o"),F101," ")</f>
        <v> </v>
      </c>
      <c r="S101" s="180" t="str">
        <f aca="false">IF((D101="f"),F101," ")</f>
        <v> </v>
      </c>
      <c r="U101" s="371"/>
    </row>
    <row r="102" customFormat="false" ht="12.75" hidden="false" customHeight="false" outlineLevel="0" collapsed="false">
      <c r="D102" s="371" t="str">
        <f aca="false">IF((F102&lt;&gt;0),"Enter Letter"," ")</f>
        <v> </v>
      </c>
      <c r="G102" s="180" t="str">
        <f aca="false">IF((D102="d"),F102," ")</f>
        <v> </v>
      </c>
      <c r="H102" s="180" t="str">
        <f aca="false">IF((D102="h"),F102," ")</f>
        <v> </v>
      </c>
      <c r="I102" s="180" t="str">
        <f aca="false">IF((D102="r"),F102," ")</f>
        <v> </v>
      </c>
      <c r="J102" s="180" t="str">
        <f aca="false">IF((D102="t"),F102," ")</f>
        <v> </v>
      </c>
      <c r="K102" s="180" t="str">
        <f aca="false">IF((D102="e"),F102," ")</f>
        <v> </v>
      </c>
      <c r="L102" s="180" t="str">
        <f aca="false">IF((D102="p"),F102," ")</f>
        <v> </v>
      </c>
      <c r="M102" s="180" t="str">
        <f aca="false">IF((D102="g"),F102," ")</f>
        <v> </v>
      </c>
      <c r="N102" s="180" t="str">
        <f aca="false">IF((D102="a"),F102," ")</f>
        <v> </v>
      </c>
      <c r="O102" s="180" t="str">
        <f aca="false">IF((D102="l"),F102," ")</f>
        <v> </v>
      </c>
      <c r="P102" s="180" t="str">
        <f aca="false">IF((D102="i"),F102," ")</f>
        <v> </v>
      </c>
      <c r="Q102" s="180" t="str">
        <f aca="false">IF((D102="b"),F102," ")</f>
        <v> </v>
      </c>
      <c r="R102" s="180" t="str">
        <f aca="false">IF((D102="o"),F102," ")</f>
        <v> </v>
      </c>
      <c r="S102" s="180" t="str">
        <f aca="false">IF((D102="f"),F102," ")</f>
        <v> </v>
      </c>
      <c r="U102" s="371"/>
    </row>
    <row r="103" customFormat="false" ht="12.75" hidden="false" customHeight="false" outlineLevel="0" collapsed="false">
      <c r="D103" s="371" t="str">
        <f aca="false">IF((F103&lt;&gt;0),"Enter Letter"," ")</f>
        <v> </v>
      </c>
      <c r="G103" s="180" t="str">
        <f aca="false">IF((D103="d"),F103," ")</f>
        <v> </v>
      </c>
      <c r="H103" s="180" t="str">
        <f aca="false">IF((D103="h"),F103," ")</f>
        <v> </v>
      </c>
      <c r="I103" s="180" t="str">
        <f aca="false">IF((D103="r"),F103," ")</f>
        <v> </v>
      </c>
      <c r="J103" s="180" t="str">
        <f aca="false">IF((D103="t"),F103," ")</f>
        <v> </v>
      </c>
      <c r="K103" s="180" t="str">
        <f aca="false">IF((D103="e"),F103," ")</f>
        <v> </v>
      </c>
      <c r="L103" s="180" t="str">
        <f aca="false">IF((D103="p"),F103," ")</f>
        <v> </v>
      </c>
      <c r="M103" s="180" t="str">
        <f aca="false">IF((D103="g"),F103," ")</f>
        <v> </v>
      </c>
      <c r="N103" s="180" t="str">
        <f aca="false">IF((D103="a"),F103," ")</f>
        <v> </v>
      </c>
      <c r="O103" s="180" t="str">
        <f aca="false">IF((D103="l"),F103," ")</f>
        <v> </v>
      </c>
      <c r="P103" s="180" t="str">
        <f aca="false">IF((D103="i"),F103," ")</f>
        <v> </v>
      </c>
      <c r="Q103" s="180" t="str">
        <f aca="false">IF((D103="b"),F103," ")</f>
        <v> </v>
      </c>
      <c r="R103" s="180" t="str">
        <f aca="false">IF((D103="o"),F103," ")</f>
        <v> </v>
      </c>
      <c r="S103" s="180" t="str">
        <f aca="false">IF((D103="f"),F103," ")</f>
        <v> </v>
      </c>
      <c r="U103" s="371"/>
    </row>
    <row r="104" customFormat="false" ht="12.75" hidden="false" customHeight="false" outlineLevel="0" collapsed="false">
      <c r="D104" s="371" t="str">
        <f aca="false">IF((F104&lt;&gt;0),"Enter Letter"," ")</f>
        <v> </v>
      </c>
      <c r="G104" s="180" t="str">
        <f aca="false">IF((D104="d"),F104," ")</f>
        <v> </v>
      </c>
      <c r="H104" s="180" t="str">
        <f aca="false">IF((D104="h"),F104," ")</f>
        <v> </v>
      </c>
      <c r="I104" s="180" t="str">
        <f aca="false">IF((D104="r"),F104," ")</f>
        <v> </v>
      </c>
      <c r="J104" s="180" t="str">
        <f aca="false">IF((D104="t"),F104," ")</f>
        <v> </v>
      </c>
      <c r="K104" s="180" t="str">
        <f aca="false">IF((D104="e"),F104," ")</f>
        <v> </v>
      </c>
      <c r="L104" s="180" t="str">
        <f aca="false">IF((D104="p"),F104," ")</f>
        <v> </v>
      </c>
      <c r="M104" s="180" t="str">
        <f aca="false">IF((D104="g"),F104," ")</f>
        <v> </v>
      </c>
      <c r="N104" s="180" t="str">
        <f aca="false">IF((D104="a"),F104," ")</f>
        <v> </v>
      </c>
      <c r="O104" s="180" t="str">
        <f aca="false">IF((D104="l"),F104," ")</f>
        <v> </v>
      </c>
      <c r="P104" s="180" t="str">
        <f aca="false">IF((D104="i"),F104," ")</f>
        <v> </v>
      </c>
      <c r="Q104" s="180" t="str">
        <f aca="false">IF((D104="b"),F104," ")</f>
        <v> </v>
      </c>
      <c r="R104" s="180" t="str">
        <f aca="false">IF((D104="o"),F104," ")</f>
        <v> </v>
      </c>
      <c r="S104" s="180" t="str">
        <f aca="false">IF((D104="f"),F104," ")</f>
        <v> </v>
      </c>
      <c r="U104" s="371"/>
    </row>
    <row r="105" customFormat="false" ht="12.75" hidden="false" customHeight="false" outlineLevel="0" collapsed="false">
      <c r="D105" s="371" t="str">
        <f aca="false">IF((F105&lt;&gt;0),"Enter Letter"," ")</f>
        <v> </v>
      </c>
      <c r="G105" s="180" t="str">
        <f aca="false">IF((D105="d"),F105," ")</f>
        <v> </v>
      </c>
      <c r="H105" s="180" t="str">
        <f aca="false">IF((D105="h"),F105," ")</f>
        <v> </v>
      </c>
      <c r="I105" s="180" t="str">
        <f aca="false">IF((D105="r"),F105," ")</f>
        <v> </v>
      </c>
      <c r="J105" s="180" t="str">
        <f aca="false">IF((D105="t"),F105," ")</f>
        <v> </v>
      </c>
      <c r="K105" s="180" t="str">
        <f aca="false">IF((D105="e"),F105," ")</f>
        <v> </v>
      </c>
      <c r="L105" s="180" t="str">
        <f aca="false">IF((D105="p"),F105," ")</f>
        <v> </v>
      </c>
      <c r="M105" s="180" t="str">
        <f aca="false">IF((D105="g"),F105," ")</f>
        <v> </v>
      </c>
      <c r="N105" s="180" t="str">
        <f aca="false">IF((D105="a"),F105," ")</f>
        <v> </v>
      </c>
      <c r="O105" s="180" t="str">
        <f aca="false">IF((D105="l"),F105," ")</f>
        <v> </v>
      </c>
      <c r="P105" s="180" t="str">
        <f aca="false">IF((D105="i"),F105," ")</f>
        <v> </v>
      </c>
      <c r="Q105" s="180" t="str">
        <f aca="false">IF((D105="b"),F105," ")</f>
        <v> </v>
      </c>
      <c r="R105" s="180" t="str">
        <f aca="false">IF((D105="o"),F105," ")</f>
        <v> </v>
      </c>
      <c r="S105" s="180" t="str">
        <f aca="false">IF((D105="f"),F105," ")</f>
        <v> </v>
      </c>
      <c r="U105" s="371"/>
    </row>
    <row r="106" customFormat="false" ht="12.75" hidden="false" customHeight="false" outlineLevel="0" collapsed="false">
      <c r="D106" s="371" t="str">
        <f aca="false">IF((F106&lt;&gt;0),"Enter Letter"," ")</f>
        <v> </v>
      </c>
      <c r="G106" s="180" t="str">
        <f aca="false">IF((D106="d"),F106," ")</f>
        <v> </v>
      </c>
      <c r="H106" s="180" t="str">
        <f aca="false">IF((D106="h"),F106," ")</f>
        <v> </v>
      </c>
      <c r="I106" s="180" t="str">
        <f aca="false">IF((D106="r"),F106," ")</f>
        <v> </v>
      </c>
      <c r="J106" s="180" t="str">
        <f aca="false">IF((D106="t"),F106," ")</f>
        <v> </v>
      </c>
      <c r="K106" s="180" t="str">
        <f aca="false">IF((D106="e"),F106," ")</f>
        <v> </v>
      </c>
      <c r="L106" s="180" t="str">
        <f aca="false">IF((D106="p"),F106," ")</f>
        <v> </v>
      </c>
      <c r="M106" s="180" t="str">
        <f aca="false">IF((D106="g"),F106," ")</f>
        <v> </v>
      </c>
      <c r="N106" s="180" t="str">
        <f aca="false">IF((D106="a"),F106," ")</f>
        <v> </v>
      </c>
      <c r="O106" s="180" t="str">
        <f aca="false">IF((D106="l"),F106," ")</f>
        <v> </v>
      </c>
      <c r="P106" s="180" t="str">
        <f aca="false">IF((D106="i"),F106," ")</f>
        <v> </v>
      </c>
      <c r="Q106" s="180" t="str">
        <f aca="false">IF((D106="b"),F106," ")</f>
        <v> </v>
      </c>
      <c r="R106" s="180" t="str">
        <f aca="false">IF((D106="o"),F106," ")</f>
        <v> </v>
      </c>
      <c r="S106" s="180" t="str">
        <f aca="false">IF((D106="f"),F106," ")</f>
        <v> </v>
      </c>
      <c r="U106" s="371"/>
    </row>
    <row r="107" customFormat="false" ht="12.75" hidden="false" customHeight="false" outlineLevel="0" collapsed="false">
      <c r="D107" s="371" t="str">
        <f aca="false">IF((F107&lt;&gt;0),"Enter Letter"," ")</f>
        <v> </v>
      </c>
      <c r="G107" s="180" t="str">
        <f aca="false">IF((D107="d"),F107," ")</f>
        <v> </v>
      </c>
      <c r="H107" s="180" t="str">
        <f aca="false">IF((D107="h"),F107," ")</f>
        <v> </v>
      </c>
      <c r="I107" s="180" t="str">
        <f aca="false">IF((D107="r"),F107," ")</f>
        <v> </v>
      </c>
      <c r="J107" s="180" t="str">
        <f aca="false">IF((D107="t"),F107," ")</f>
        <v> </v>
      </c>
      <c r="K107" s="180" t="str">
        <f aca="false">IF((D107="e"),F107," ")</f>
        <v> </v>
      </c>
      <c r="L107" s="180" t="str">
        <f aca="false">IF((D107="p"),F107," ")</f>
        <v> </v>
      </c>
      <c r="M107" s="180" t="str">
        <f aca="false">IF((D107="g"),F107," ")</f>
        <v> </v>
      </c>
      <c r="N107" s="180" t="str">
        <f aca="false">IF((D107="a"),F107," ")</f>
        <v> </v>
      </c>
      <c r="O107" s="180" t="str">
        <f aca="false">IF((D107="l"),F107," ")</f>
        <v> </v>
      </c>
      <c r="P107" s="180" t="str">
        <f aca="false">IF((D107="i"),F107," ")</f>
        <v> </v>
      </c>
      <c r="Q107" s="180" t="str">
        <f aca="false">IF((D107="b"),F107," ")</f>
        <v> </v>
      </c>
      <c r="R107" s="180" t="str">
        <f aca="false">IF((D107="o"),F107," ")</f>
        <v> </v>
      </c>
      <c r="S107" s="180" t="str">
        <f aca="false">IF((D107="f"),F107," ")</f>
        <v> </v>
      </c>
      <c r="U107" s="371"/>
    </row>
    <row r="108" customFormat="false" ht="12.75" hidden="false" customHeight="false" outlineLevel="0" collapsed="false">
      <c r="D108" s="371" t="str">
        <f aca="false">IF((F108&lt;&gt;0),"Enter Letter"," ")</f>
        <v> </v>
      </c>
      <c r="G108" s="180" t="str">
        <f aca="false">IF((D108="d"),F108," ")</f>
        <v> </v>
      </c>
      <c r="H108" s="180" t="str">
        <f aca="false">IF((D108="h"),F108," ")</f>
        <v> </v>
      </c>
      <c r="I108" s="180" t="str">
        <f aca="false">IF((D108="r"),F108," ")</f>
        <v> </v>
      </c>
      <c r="J108" s="180" t="str">
        <f aca="false">IF((D108="t"),F108," ")</f>
        <v> </v>
      </c>
      <c r="K108" s="180" t="str">
        <f aca="false">IF((D108="e"),F108," ")</f>
        <v> </v>
      </c>
      <c r="L108" s="180" t="str">
        <f aca="false">IF((D108="p"),F108," ")</f>
        <v> </v>
      </c>
      <c r="M108" s="180" t="str">
        <f aca="false">IF((D108="g"),F108," ")</f>
        <v> </v>
      </c>
      <c r="N108" s="180" t="str">
        <f aca="false">IF((D108="a"),F108," ")</f>
        <v> </v>
      </c>
      <c r="O108" s="180" t="str">
        <f aca="false">IF((D108="l"),F108," ")</f>
        <v> </v>
      </c>
      <c r="P108" s="180" t="str">
        <f aca="false">IF((D108="i"),F108," ")</f>
        <v> </v>
      </c>
      <c r="Q108" s="180" t="str">
        <f aca="false">IF((D108="b"),F108," ")</f>
        <v> </v>
      </c>
      <c r="R108" s="180" t="str">
        <f aca="false">IF((D108="o"),F108," ")</f>
        <v> </v>
      </c>
      <c r="S108" s="180" t="str">
        <f aca="false">IF((D108="f"),F108," ")</f>
        <v> </v>
      </c>
      <c r="U108" s="371"/>
    </row>
    <row r="109" customFormat="false" ht="12.75" hidden="false" customHeight="false" outlineLevel="0" collapsed="false">
      <c r="D109" s="371" t="str">
        <f aca="false">IF((F109&lt;&gt;0),"Enter Letter"," ")</f>
        <v> </v>
      </c>
      <c r="G109" s="180" t="str">
        <f aca="false">IF((D109="d"),F109," ")</f>
        <v> </v>
      </c>
      <c r="H109" s="180" t="str">
        <f aca="false">IF((D109="h"),F109," ")</f>
        <v> </v>
      </c>
      <c r="I109" s="180" t="str">
        <f aca="false">IF((D109="r"),F109," ")</f>
        <v> </v>
      </c>
      <c r="J109" s="180" t="str">
        <f aca="false">IF((D109="t"),F109," ")</f>
        <v> </v>
      </c>
      <c r="K109" s="180" t="str">
        <f aca="false">IF((D109="e"),F109," ")</f>
        <v> </v>
      </c>
      <c r="L109" s="180" t="str">
        <f aca="false">IF((D109="p"),F109," ")</f>
        <v> </v>
      </c>
      <c r="M109" s="180" t="str">
        <f aca="false">IF((D109="g"),F109," ")</f>
        <v> </v>
      </c>
      <c r="N109" s="180" t="str">
        <f aca="false">IF((D109="a"),F109," ")</f>
        <v> </v>
      </c>
      <c r="O109" s="180" t="str">
        <f aca="false">IF((D109="l"),F109," ")</f>
        <v> </v>
      </c>
      <c r="P109" s="180" t="str">
        <f aca="false">IF((D109="i"),F109," ")</f>
        <v> </v>
      </c>
      <c r="Q109" s="180" t="str">
        <f aca="false">IF((D109="b"),F109," ")</f>
        <v> </v>
      </c>
      <c r="R109" s="180" t="str">
        <f aca="false">IF((D109="o"),F109," ")</f>
        <v> </v>
      </c>
      <c r="S109" s="180" t="str">
        <f aca="false">IF((D109="f"),F109," ")</f>
        <v> </v>
      </c>
      <c r="U109" s="371"/>
    </row>
    <row r="110" customFormat="false" ht="12.75" hidden="false" customHeight="false" outlineLevel="0" collapsed="false">
      <c r="D110" s="371" t="str">
        <f aca="false">IF((F110&lt;&gt;0),"Enter Letter"," ")</f>
        <v> </v>
      </c>
      <c r="G110" s="180" t="str">
        <f aca="false">IF((D110="d"),F110," ")</f>
        <v> </v>
      </c>
      <c r="H110" s="180" t="str">
        <f aca="false">IF((D110="h"),F110," ")</f>
        <v> </v>
      </c>
      <c r="I110" s="180" t="str">
        <f aca="false">IF((D110="r"),F110," ")</f>
        <v> </v>
      </c>
      <c r="J110" s="180" t="str">
        <f aca="false">IF((D110="t"),F110," ")</f>
        <v> </v>
      </c>
      <c r="K110" s="180" t="str">
        <f aca="false">IF((D110="e"),F110," ")</f>
        <v> </v>
      </c>
      <c r="L110" s="180" t="str">
        <f aca="false">IF((D110="p"),F110," ")</f>
        <v> </v>
      </c>
      <c r="M110" s="180" t="str">
        <f aca="false">IF((D110="g"),F110," ")</f>
        <v> </v>
      </c>
      <c r="N110" s="180" t="str">
        <f aca="false">IF((D110="a"),F110," ")</f>
        <v> </v>
      </c>
      <c r="O110" s="180" t="str">
        <f aca="false">IF((D110="l"),F110," ")</f>
        <v> </v>
      </c>
      <c r="P110" s="180" t="str">
        <f aca="false">IF((D110="i"),F110," ")</f>
        <v> </v>
      </c>
      <c r="Q110" s="180" t="str">
        <f aca="false">IF((D110="b"),F110," ")</f>
        <v> </v>
      </c>
      <c r="R110" s="180" t="str">
        <f aca="false">IF((D110="o"),F110," ")</f>
        <v> </v>
      </c>
      <c r="S110" s="180" t="str">
        <f aca="false">IF((D110="f"),F110," ")</f>
        <v> </v>
      </c>
      <c r="U110" s="371"/>
    </row>
    <row r="111" customFormat="false" ht="12.75" hidden="false" customHeight="false" outlineLevel="0" collapsed="false">
      <c r="D111" s="371" t="str">
        <f aca="false">IF((F111&lt;&gt;0),"Enter Letter"," ")</f>
        <v> </v>
      </c>
      <c r="G111" s="180" t="str">
        <f aca="false">IF((D111="d"),F111," ")</f>
        <v> </v>
      </c>
      <c r="H111" s="180" t="str">
        <f aca="false">IF((D111="h"),F111," ")</f>
        <v> </v>
      </c>
      <c r="I111" s="180" t="str">
        <f aca="false">IF((D111="r"),F111," ")</f>
        <v> </v>
      </c>
      <c r="J111" s="180" t="str">
        <f aca="false">IF((D111="t"),F111," ")</f>
        <v> </v>
      </c>
      <c r="K111" s="180" t="str">
        <f aca="false">IF((D111="e"),F111," ")</f>
        <v> </v>
      </c>
      <c r="L111" s="180" t="str">
        <f aca="false">IF((D111="p"),F111," ")</f>
        <v> </v>
      </c>
      <c r="M111" s="180" t="str">
        <f aca="false">IF((D111="g"),F111," ")</f>
        <v> </v>
      </c>
      <c r="N111" s="180" t="str">
        <f aca="false">IF((D111="a"),F111," ")</f>
        <v> </v>
      </c>
      <c r="O111" s="180" t="str">
        <f aca="false">IF((D111="l"),F111," ")</f>
        <v> </v>
      </c>
      <c r="P111" s="180" t="str">
        <f aca="false">IF((D111="i"),F111," ")</f>
        <v> </v>
      </c>
      <c r="Q111" s="180" t="str">
        <f aca="false">IF((D111="b"),F111," ")</f>
        <v> </v>
      </c>
      <c r="R111" s="180" t="str">
        <f aca="false">IF((D111="o"),F111," ")</f>
        <v> </v>
      </c>
      <c r="S111" s="180" t="str">
        <f aca="false">IF((D111="f"),F111," ")</f>
        <v> </v>
      </c>
      <c r="U111" s="371"/>
    </row>
    <row r="112" customFormat="false" ht="12.75" hidden="false" customHeight="false" outlineLevel="0" collapsed="false">
      <c r="D112" s="371" t="str">
        <f aca="false">IF((F112&lt;&gt;0),"Enter Letter"," ")</f>
        <v> </v>
      </c>
      <c r="G112" s="180" t="str">
        <f aca="false">IF((D112="d"),F112," ")</f>
        <v> </v>
      </c>
      <c r="H112" s="180" t="str">
        <f aca="false">IF((D112="h"),F112," ")</f>
        <v> </v>
      </c>
      <c r="I112" s="180" t="str">
        <f aca="false">IF((D112="r"),F112," ")</f>
        <v> </v>
      </c>
      <c r="J112" s="180" t="str">
        <f aca="false">IF((D112="t"),F112," ")</f>
        <v> </v>
      </c>
      <c r="K112" s="180" t="str">
        <f aca="false">IF((D112="e"),F112," ")</f>
        <v> </v>
      </c>
      <c r="L112" s="180" t="str">
        <f aca="false">IF((D112="p"),F112," ")</f>
        <v> </v>
      </c>
      <c r="M112" s="180" t="str">
        <f aca="false">IF((D112="g"),F112," ")</f>
        <v> </v>
      </c>
      <c r="N112" s="180" t="str">
        <f aca="false">IF((D112="a"),F112," ")</f>
        <v> </v>
      </c>
      <c r="O112" s="180" t="str">
        <f aca="false">IF((D112="l"),F112," ")</f>
        <v> </v>
      </c>
      <c r="P112" s="180" t="str">
        <f aca="false">IF((D112="i"),F112," ")</f>
        <v> </v>
      </c>
      <c r="Q112" s="180" t="str">
        <f aca="false">IF((D112="b"),F112," ")</f>
        <v> </v>
      </c>
      <c r="R112" s="180" t="str">
        <f aca="false">IF((D112="o"),F112," ")</f>
        <v> </v>
      </c>
      <c r="S112" s="180" t="str">
        <f aca="false">IF((D112="f"),F112," ")</f>
        <v> </v>
      </c>
      <c r="U112" s="371"/>
    </row>
    <row r="113" customFormat="false" ht="12.75" hidden="false" customHeight="false" outlineLevel="0" collapsed="false">
      <c r="D113" s="371" t="str">
        <f aca="false">IF((F113&lt;&gt;0),"Enter Letter"," ")</f>
        <v> </v>
      </c>
      <c r="G113" s="180" t="str">
        <f aca="false">IF((D113="d"),F113," ")</f>
        <v> </v>
      </c>
      <c r="H113" s="180" t="str">
        <f aca="false">IF((D113="h"),F113," ")</f>
        <v> </v>
      </c>
      <c r="I113" s="180" t="str">
        <f aca="false">IF((D113="r"),F113," ")</f>
        <v> </v>
      </c>
      <c r="J113" s="180" t="str">
        <f aca="false">IF((D113="t"),F113," ")</f>
        <v> </v>
      </c>
      <c r="K113" s="180" t="str">
        <f aca="false">IF((D113="e"),F113," ")</f>
        <v> </v>
      </c>
      <c r="L113" s="180" t="str">
        <f aca="false">IF((D113="p"),F113," ")</f>
        <v> </v>
      </c>
      <c r="M113" s="180" t="str">
        <f aca="false">IF((D113="g"),F113," ")</f>
        <v> </v>
      </c>
      <c r="N113" s="180" t="str">
        <f aca="false">IF((D113="a"),F113," ")</f>
        <v> </v>
      </c>
      <c r="O113" s="180" t="str">
        <f aca="false">IF((D113="l"),F113," ")</f>
        <v> </v>
      </c>
      <c r="P113" s="180" t="str">
        <f aca="false">IF((D113="i"),F113," ")</f>
        <v> </v>
      </c>
      <c r="Q113" s="180" t="str">
        <f aca="false">IF((D113="b"),F113," ")</f>
        <v> </v>
      </c>
      <c r="R113" s="180" t="str">
        <f aca="false">IF((D113="o"),F113," ")</f>
        <v> </v>
      </c>
      <c r="S113" s="180" t="str">
        <f aca="false">IF((D113="f"),F113," ")</f>
        <v> </v>
      </c>
      <c r="U113" s="371"/>
    </row>
    <row r="114" customFormat="false" ht="12.75" hidden="false" customHeight="false" outlineLevel="0" collapsed="false">
      <c r="D114" s="371" t="str">
        <f aca="false">IF((F114&lt;&gt;0),"Enter Letter"," ")</f>
        <v> </v>
      </c>
      <c r="G114" s="180" t="str">
        <f aca="false">IF((D114="d"),F114," ")</f>
        <v> </v>
      </c>
      <c r="H114" s="180" t="str">
        <f aca="false">IF((D114="h"),F114," ")</f>
        <v> </v>
      </c>
      <c r="I114" s="180" t="str">
        <f aca="false">IF((D114="r"),F114," ")</f>
        <v> </v>
      </c>
      <c r="J114" s="180" t="str">
        <f aca="false">IF((D114="t"),F114," ")</f>
        <v> </v>
      </c>
      <c r="K114" s="180" t="str">
        <f aca="false">IF((D114="e"),F114," ")</f>
        <v> </v>
      </c>
      <c r="L114" s="180" t="str">
        <f aca="false">IF((D114="p"),F114," ")</f>
        <v> </v>
      </c>
      <c r="M114" s="180" t="str">
        <f aca="false">IF((D114="g"),F114," ")</f>
        <v> </v>
      </c>
      <c r="N114" s="180" t="str">
        <f aca="false">IF((D114="a"),F114," ")</f>
        <v> </v>
      </c>
      <c r="O114" s="180" t="str">
        <f aca="false">IF((D114="l"),F114," ")</f>
        <v> </v>
      </c>
      <c r="P114" s="180" t="str">
        <f aca="false">IF((D114="i"),F114," ")</f>
        <v> </v>
      </c>
      <c r="Q114" s="180" t="str">
        <f aca="false">IF((D114="b"),F114," ")</f>
        <v> </v>
      </c>
      <c r="R114" s="180" t="str">
        <f aca="false">IF((D114="o"),F114," ")</f>
        <v> </v>
      </c>
      <c r="S114" s="180" t="str">
        <f aca="false">IF((D114="f"),F114," ")</f>
        <v> </v>
      </c>
      <c r="U114" s="371"/>
    </row>
    <row r="115" customFormat="false" ht="12.75" hidden="false" customHeight="false" outlineLevel="0" collapsed="false">
      <c r="D115" s="371" t="str">
        <f aca="false">IF((F115&lt;&gt;0),"Enter Letter"," ")</f>
        <v> </v>
      </c>
      <c r="G115" s="180" t="str">
        <f aca="false">IF((D115="d"),F115," ")</f>
        <v> </v>
      </c>
      <c r="H115" s="180" t="str">
        <f aca="false">IF((D115="h"),F115," ")</f>
        <v> </v>
      </c>
      <c r="I115" s="180" t="str">
        <f aca="false">IF((D115="r"),F115," ")</f>
        <v> </v>
      </c>
      <c r="J115" s="180" t="str">
        <f aca="false">IF((D115="t"),F115," ")</f>
        <v> </v>
      </c>
      <c r="K115" s="180" t="str">
        <f aca="false">IF((D115="e"),F115," ")</f>
        <v> </v>
      </c>
      <c r="L115" s="180" t="str">
        <f aca="false">IF((D115="p"),F115," ")</f>
        <v> </v>
      </c>
      <c r="M115" s="180" t="str">
        <f aca="false">IF((D115="g"),F115," ")</f>
        <v> </v>
      </c>
      <c r="N115" s="180" t="str">
        <f aca="false">IF((D115="a"),F115," ")</f>
        <v> </v>
      </c>
      <c r="O115" s="180" t="str">
        <f aca="false">IF((D115="l"),F115," ")</f>
        <v> </v>
      </c>
      <c r="P115" s="180" t="str">
        <f aca="false">IF((D115="i"),F115," ")</f>
        <v> </v>
      </c>
      <c r="Q115" s="180" t="str">
        <f aca="false">IF((D115="b"),F115," ")</f>
        <v> </v>
      </c>
      <c r="R115" s="180" t="str">
        <f aca="false">IF((D115="o"),F115," ")</f>
        <v> </v>
      </c>
      <c r="S115" s="180" t="str">
        <f aca="false">IF((D115="f"),F115," ")</f>
        <v> </v>
      </c>
      <c r="U115" s="371"/>
    </row>
    <row r="116" customFormat="false" ht="12.75" hidden="false" customHeight="false" outlineLevel="0" collapsed="false">
      <c r="D116" s="371" t="str">
        <f aca="false">IF((F116&lt;&gt;0),"Enter Letter"," ")</f>
        <v> </v>
      </c>
      <c r="G116" s="180" t="str">
        <f aca="false">IF((D116="d"),F116," ")</f>
        <v> </v>
      </c>
      <c r="H116" s="180" t="str">
        <f aca="false">IF((D116="h"),F116," ")</f>
        <v> </v>
      </c>
      <c r="I116" s="180" t="str">
        <f aca="false">IF((D116="r"),F116," ")</f>
        <v> </v>
      </c>
      <c r="J116" s="180" t="str">
        <f aca="false">IF((D116="t"),F116," ")</f>
        <v> </v>
      </c>
      <c r="K116" s="180" t="str">
        <f aca="false">IF((D116="e"),F116," ")</f>
        <v> </v>
      </c>
      <c r="L116" s="180" t="str">
        <f aca="false">IF((D116="p"),F116," ")</f>
        <v> </v>
      </c>
      <c r="M116" s="180" t="str">
        <f aca="false">IF((D116="g"),F116," ")</f>
        <v> </v>
      </c>
      <c r="N116" s="180" t="str">
        <f aca="false">IF((D116="a"),F116," ")</f>
        <v> </v>
      </c>
      <c r="O116" s="180" t="str">
        <f aca="false">IF((D116="l"),F116," ")</f>
        <v> </v>
      </c>
      <c r="P116" s="180" t="str">
        <f aca="false">IF((D116="i"),F116," ")</f>
        <v> </v>
      </c>
      <c r="Q116" s="180" t="str">
        <f aca="false">IF((D116="b"),F116," ")</f>
        <v> </v>
      </c>
      <c r="R116" s="180" t="str">
        <f aca="false">IF((D116="o"),F116," ")</f>
        <v> </v>
      </c>
      <c r="S116" s="180" t="str">
        <f aca="false">IF((D116="f"),F116," ")</f>
        <v> </v>
      </c>
      <c r="U116" s="371"/>
    </row>
    <row r="117" customFormat="false" ht="12.75" hidden="false" customHeight="false" outlineLevel="0" collapsed="false">
      <c r="D117" s="371" t="str">
        <f aca="false">IF((F117&lt;&gt;0),"Enter Letter"," ")</f>
        <v> </v>
      </c>
      <c r="G117" s="180" t="str">
        <f aca="false">IF((D117="d"),F117," ")</f>
        <v> </v>
      </c>
      <c r="H117" s="180" t="str">
        <f aca="false">IF((D117="h"),F117," ")</f>
        <v> </v>
      </c>
      <c r="I117" s="180" t="str">
        <f aca="false">IF((D117="r"),F117," ")</f>
        <v> </v>
      </c>
      <c r="J117" s="180" t="str">
        <f aca="false">IF((D117="t"),F117," ")</f>
        <v> </v>
      </c>
      <c r="K117" s="180" t="str">
        <f aca="false">IF((D117="e"),F117," ")</f>
        <v> </v>
      </c>
      <c r="L117" s="180" t="str">
        <f aca="false">IF((D117="p"),F117," ")</f>
        <v> </v>
      </c>
      <c r="M117" s="180" t="str">
        <f aca="false">IF((D117="g"),F117," ")</f>
        <v> </v>
      </c>
      <c r="N117" s="180" t="str">
        <f aca="false">IF((D117="a"),F117," ")</f>
        <v> </v>
      </c>
      <c r="O117" s="180" t="str">
        <f aca="false">IF((D117="l"),F117," ")</f>
        <v> </v>
      </c>
      <c r="P117" s="180" t="str">
        <f aca="false">IF((D117="i"),F117," ")</f>
        <v> </v>
      </c>
      <c r="Q117" s="180" t="str">
        <f aca="false">IF((D117="b"),F117," ")</f>
        <v> </v>
      </c>
      <c r="R117" s="180" t="str">
        <f aca="false">IF((D117="o"),F117," ")</f>
        <v> </v>
      </c>
      <c r="S117" s="180" t="str">
        <f aca="false">IF((D117="f"),F117," ")</f>
        <v> </v>
      </c>
      <c r="U117" s="371"/>
    </row>
    <row r="118" customFormat="false" ht="12.75" hidden="false" customHeight="false" outlineLevel="0" collapsed="false">
      <c r="D118" s="371" t="str">
        <f aca="false">IF((F118&lt;&gt;0),"Enter Letter"," ")</f>
        <v> </v>
      </c>
      <c r="G118" s="180" t="str">
        <f aca="false">IF((D118="d"),F118," ")</f>
        <v> </v>
      </c>
      <c r="H118" s="180" t="str">
        <f aca="false">IF((D118="h"),F118," ")</f>
        <v> </v>
      </c>
      <c r="I118" s="180" t="str">
        <f aca="false">IF((D118="r"),F118," ")</f>
        <v> </v>
      </c>
      <c r="J118" s="180" t="str">
        <f aca="false">IF((D118="t"),F118," ")</f>
        <v> </v>
      </c>
      <c r="K118" s="180" t="str">
        <f aca="false">IF((D118="e"),F118," ")</f>
        <v> </v>
      </c>
      <c r="L118" s="180" t="str">
        <f aca="false">IF((D118="p"),F118," ")</f>
        <v> </v>
      </c>
      <c r="M118" s="180" t="str">
        <f aca="false">IF((D118="g"),F118," ")</f>
        <v> </v>
      </c>
      <c r="N118" s="180" t="str">
        <f aca="false">IF((D118="a"),F118," ")</f>
        <v> </v>
      </c>
      <c r="O118" s="180" t="str">
        <f aca="false">IF((D118="l"),F118," ")</f>
        <v> </v>
      </c>
      <c r="P118" s="180" t="str">
        <f aca="false">IF((D118="i"),F118," ")</f>
        <v> </v>
      </c>
      <c r="Q118" s="180" t="str">
        <f aca="false">IF((D118="b"),F118," ")</f>
        <v> </v>
      </c>
      <c r="R118" s="180" t="str">
        <f aca="false">IF((D118="o"),F118," ")</f>
        <v> </v>
      </c>
      <c r="S118" s="180" t="str">
        <f aca="false">IF((D118="f"),F118," ")</f>
        <v> </v>
      </c>
      <c r="U118" s="371"/>
    </row>
    <row r="119" customFormat="false" ht="12.75" hidden="false" customHeight="false" outlineLevel="0" collapsed="false">
      <c r="D119" s="371" t="str">
        <f aca="false">IF((F119&lt;&gt;0),"Enter Letter"," ")</f>
        <v> </v>
      </c>
      <c r="G119" s="180" t="str">
        <f aca="false">IF((D119="d"),F119," ")</f>
        <v> </v>
      </c>
      <c r="H119" s="180" t="str">
        <f aca="false">IF((D119="h"),F119," ")</f>
        <v> </v>
      </c>
      <c r="I119" s="180" t="str">
        <f aca="false">IF((D119="r"),F119," ")</f>
        <v> </v>
      </c>
      <c r="J119" s="180" t="str">
        <f aca="false">IF((D119="t"),F119," ")</f>
        <v> </v>
      </c>
      <c r="K119" s="180" t="str">
        <f aca="false">IF((D119="e"),F119," ")</f>
        <v> </v>
      </c>
      <c r="L119" s="180" t="str">
        <f aca="false">IF((D119="p"),F119," ")</f>
        <v> </v>
      </c>
      <c r="M119" s="180" t="str">
        <f aca="false">IF((D119="g"),F119," ")</f>
        <v> </v>
      </c>
      <c r="N119" s="180" t="str">
        <f aca="false">IF((D119="a"),F119," ")</f>
        <v> </v>
      </c>
      <c r="O119" s="180" t="str">
        <f aca="false">IF((D119="l"),F119," ")</f>
        <v> </v>
      </c>
      <c r="P119" s="180" t="str">
        <f aca="false">IF((D119="i"),F119," ")</f>
        <v> </v>
      </c>
      <c r="Q119" s="180" t="str">
        <f aca="false">IF((D119="b"),F119," ")</f>
        <v> </v>
      </c>
      <c r="R119" s="180" t="str">
        <f aca="false">IF((D119="o"),F119," ")</f>
        <v> </v>
      </c>
      <c r="S119" s="180" t="str">
        <f aca="false">IF((D119="f"),F119," ")</f>
        <v> </v>
      </c>
      <c r="U119" s="371"/>
    </row>
    <row r="120" customFormat="false" ht="12.75" hidden="false" customHeight="false" outlineLevel="0" collapsed="false">
      <c r="D120" s="371" t="str">
        <f aca="false">IF((F120&lt;&gt;0),"Enter Letter"," ")</f>
        <v> </v>
      </c>
      <c r="G120" s="180" t="str">
        <f aca="false">IF((D120="d"),F120," ")</f>
        <v> </v>
      </c>
      <c r="H120" s="180" t="str">
        <f aca="false">IF((D120="h"),F120," ")</f>
        <v> </v>
      </c>
      <c r="I120" s="180" t="str">
        <f aca="false">IF((D120="r"),F120," ")</f>
        <v> </v>
      </c>
      <c r="J120" s="180" t="str">
        <f aca="false">IF((D120="t"),F120," ")</f>
        <v> </v>
      </c>
      <c r="K120" s="180" t="str">
        <f aca="false">IF((D120="e"),F120," ")</f>
        <v> </v>
      </c>
      <c r="L120" s="180" t="str">
        <f aca="false">IF((D120="p"),F120," ")</f>
        <v> </v>
      </c>
      <c r="M120" s="180" t="str">
        <f aca="false">IF((D120="g"),F120," ")</f>
        <v> </v>
      </c>
      <c r="N120" s="180" t="str">
        <f aca="false">IF((D120="a"),F120," ")</f>
        <v> </v>
      </c>
      <c r="O120" s="180" t="str">
        <f aca="false">IF((D120="l"),F120," ")</f>
        <v> </v>
      </c>
      <c r="P120" s="180" t="str">
        <f aca="false">IF((D120="i"),F120," ")</f>
        <v> </v>
      </c>
      <c r="Q120" s="180" t="str">
        <f aca="false">IF((D120="b"),F120," ")</f>
        <v> </v>
      </c>
      <c r="R120" s="180" t="str">
        <f aca="false">IF((D120="o"),F120," ")</f>
        <v> </v>
      </c>
      <c r="S120" s="180" t="str">
        <f aca="false">IF((D120="f"),F120," ")</f>
        <v> </v>
      </c>
      <c r="U120" s="371"/>
    </row>
    <row r="121" customFormat="false" ht="12.75" hidden="false" customHeight="false" outlineLevel="0" collapsed="false">
      <c r="D121" s="371" t="str">
        <f aca="false">IF((F121&lt;&gt;0),"Enter Letter"," ")</f>
        <v> </v>
      </c>
      <c r="G121" s="180" t="str">
        <f aca="false">IF((D121="d"),F121," ")</f>
        <v> </v>
      </c>
      <c r="H121" s="180" t="str">
        <f aca="false">IF((D121="h"),F121," ")</f>
        <v> </v>
      </c>
      <c r="I121" s="180" t="str">
        <f aca="false">IF((D121="r"),F121," ")</f>
        <v> </v>
      </c>
      <c r="J121" s="180" t="str">
        <f aca="false">IF((D121="t"),F121," ")</f>
        <v> </v>
      </c>
      <c r="K121" s="180" t="str">
        <f aca="false">IF((D121="e"),F121," ")</f>
        <v> </v>
      </c>
      <c r="L121" s="180" t="str">
        <f aca="false">IF((D121="p"),F121," ")</f>
        <v> </v>
      </c>
      <c r="M121" s="180" t="str">
        <f aca="false">IF((D121="g"),F121," ")</f>
        <v> </v>
      </c>
      <c r="N121" s="180" t="str">
        <f aca="false">IF((D121="a"),F121," ")</f>
        <v> </v>
      </c>
      <c r="O121" s="180" t="str">
        <f aca="false">IF((D121="l"),F121," ")</f>
        <v> </v>
      </c>
      <c r="P121" s="180" t="str">
        <f aca="false">IF((D121="i"),F121," ")</f>
        <v> </v>
      </c>
      <c r="Q121" s="180" t="str">
        <f aca="false">IF((D121="b"),F121," ")</f>
        <v> </v>
      </c>
      <c r="R121" s="180" t="str">
        <f aca="false">IF((D121="o"),F121," ")</f>
        <v> </v>
      </c>
      <c r="S121" s="180" t="str">
        <f aca="false">IF((D121="f"),F121," ")</f>
        <v> </v>
      </c>
      <c r="U121" s="371"/>
    </row>
    <row r="122" customFormat="false" ht="12.75" hidden="false" customHeight="false" outlineLevel="0" collapsed="false">
      <c r="D122" s="371" t="str">
        <f aca="false">IF((F122&lt;&gt;0),"Enter Letter"," ")</f>
        <v> </v>
      </c>
      <c r="G122" s="180" t="str">
        <f aca="false">IF((D122="d"),F122," ")</f>
        <v> </v>
      </c>
      <c r="H122" s="180" t="str">
        <f aca="false">IF((D122="h"),F122," ")</f>
        <v> </v>
      </c>
      <c r="I122" s="180" t="str">
        <f aca="false">IF((D122="r"),F122," ")</f>
        <v> </v>
      </c>
      <c r="J122" s="180" t="str">
        <f aca="false">IF((D122="t"),F122," ")</f>
        <v> </v>
      </c>
      <c r="K122" s="180" t="str">
        <f aca="false">IF((D122="e"),F122," ")</f>
        <v> </v>
      </c>
      <c r="L122" s="180" t="str">
        <f aca="false">IF((D122="p"),F122," ")</f>
        <v> </v>
      </c>
      <c r="M122" s="180" t="str">
        <f aca="false">IF((D122="g"),F122," ")</f>
        <v> </v>
      </c>
      <c r="N122" s="180" t="str">
        <f aca="false">IF((D122="a"),F122," ")</f>
        <v> </v>
      </c>
      <c r="O122" s="180" t="str">
        <f aca="false">IF((D122="l"),F122," ")</f>
        <v> </v>
      </c>
      <c r="P122" s="180" t="str">
        <f aca="false">IF((D122="i"),F122," ")</f>
        <v> </v>
      </c>
      <c r="Q122" s="180" t="str">
        <f aca="false">IF((D122="b"),F122," ")</f>
        <v> </v>
      </c>
      <c r="R122" s="180" t="str">
        <f aca="false">IF((D122="o"),F122," ")</f>
        <v> </v>
      </c>
      <c r="S122" s="180" t="str">
        <f aca="false">IF((D122="f"),F122," ")</f>
        <v> </v>
      </c>
      <c r="U122" s="371"/>
    </row>
    <row r="123" customFormat="false" ht="12.75" hidden="false" customHeight="false" outlineLevel="0" collapsed="false">
      <c r="D123" s="371" t="str">
        <f aca="false">IF((F123&lt;&gt;0),"Enter Letter"," ")</f>
        <v> </v>
      </c>
      <c r="G123" s="180" t="str">
        <f aca="false">IF((D123="d"),F123," ")</f>
        <v> </v>
      </c>
      <c r="H123" s="180" t="str">
        <f aca="false">IF((D123="h"),F123," ")</f>
        <v> </v>
      </c>
      <c r="I123" s="180" t="str">
        <f aca="false">IF((D123="r"),F123," ")</f>
        <v> </v>
      </c>
      <c r="J123" s="180" t="str">
        <f aca="false">IF((D123="t"),F123," ")</f>
        <v> </v>
      </c>
      <c r="K123" s="180" t="str">
        <f aca="false">IF((D123="e"),F123," ")</f>
        <v> </v>
      </c>
      <c r="L123" s="180" t="str">
        <f aca="false">IF((D123="p"),F123," ")</f>
        <v> </v>
      </c>
      <c r="M123" s="180" t="str">
        <f aca="false">IF((D123="g"),F123," ")</f>
        <v> </v>
      </c>
      <c r="N123" s="180" t="str">
        <f aca="false">IF((D123="a"),F123," ")</f>
        <v> </v>
      </c>
      <c r="O123" s="180" t="str">
        <f aca="false">IF((D123="l"),F123," ")</f>
        <v> </v>
      </c>
      <c r="P123" s="180" t="str">
        <f aca="false">IF((D123="i"),F123," ")</f>
        <v> </v>
      </c>
      <c r="Q123" s="180" t="str">
        <f aca="false">IF((D123="b"),F123," ")</f>
        <v> </v>
      </c>
      <c r="R123" s="180" t="str">
        <f aca="false">IF((D123="o"),F123," ")</f>
        <v> </v>
      </c>
      <c r="S123" s="180" t="str">
        <f aca="false">IF((D123="f"),F123," ")</f>
        <v> </v>
      </c>
      <c r="U123" s="371"/>
    </row>
    <row r="124" customFormat="false" ht="12.75" hidden="false" customHeight="false" outlineLevel="0" collapsed="false">
      <c r="D124" s="371" t="str">
        <f aca="false">IF((F124&lt;&gt;0),"Enter Letter"," ")</f>
        <v> </v>
      </c>
      <c r="G124" s="180" t="str">
        <f aca="false">IF((D124="d"),F124," ")</f>
        <v> </v>
      </c>
      <c r="H124" s="180" t="str">
        <f aca="false">IF((D124="h"),F124," ")</f>
        <v> </v>
      </c>
      <c r="I124" s="180" t="str">
        <f aca="false">IF((D124="r"),F124," ")</f>
        <v> </v>
      </c>
      <c r="J124" s="180" t="str">
        <f aca="false">IF((D124="t"),F124," ")</f>
        <v> </v>
      </c>
      <c r="K124" s="180" t="str">
        <f aca="false">IF((D124="e"),F124," ")</f>
        <v> </v>
      </c>
      <c r="L124" s="180" t="str">
        <f aca="false">IF((D124="p"),F124," ")</f>
        <v> </v>
      </c>
      <c r="M124" s="180" t="str">
        <f aca="false">IF((D124="g"),F124," ")</f>
        <v> </v>
      </c>
      <c r="N124" s="180" t="str">
        <f aca="false">IF((D124="a"),F124," ")</f>
        <v> </v>
      </c>
      <c r="O124" s="180" t="str">
        <f aca="false">IF((D124="l"),F124," ")</f>
        <v> </v>
      </c>
      <c r="P124" s="180" t="str">
        <f aca="false">IF((D124="i"),F124," ")</f>
        <v> </v>
      </c>
      <c r="Q124" s="180" t="str">
        <f aca="false">IF((D124="b"),F124," ")</f>
        <v> </v>
      </c>
      <c r="R124" s="180" t="str">
        <f aca="false">IF((D124="o"),F124," ")</f>
        <v> </v>
      </c>
      <c r="S124" s="180" t="str">
        <f aca="false">IF((D124="f"),F124," ")</f>
        <v> </v>
      </c>
      <c r="U124" s="371"/>
    </row>
    <row r="125" customFormat="false" ht="12.75" hidden="false" customHeight="false" outlineLevel="0" collapsed="false">
      <c r="D125" s="371" t="str">
        <f aca="false">IF((F125&lt;&gt;0),"Enter Letter"," ")</f>
        <v> </v>
      </c>
      <c r="G125" s="180" t="str">
        <f aca="false">IF((D125="d"),F125," ")</f>
        <v> </v>
      </c>
      <c r="H125" s="180" t="str">
        <f aca="false">IF((D125="h"),F125," ")</f>
        <v> </v>
      </c>
      <c r="I125" s="180" t="str">
        <f aca="false">IF((D125="r"),F125," ")</f>
        <v> </v>
      </c>
      <c r="J125" s="180" t="str">
        <f aca="false">IF((D125="t"),F125," ")</f>
        <v> </v>
      </c>
      <c r="K125" s="180" t="str">
        <f aca="false">IF((D125="e"),F125," ")</f>
        <v> </v>
      </c>
      <c r="L125" s="180" t="str">
        <f aca="false">IF((D125="p"),F125," ")</f>
        <v> </v>
      </c>
      <c r="M125" s="180" t="str">
        <f aca="false">IF((D125="g"),F125," ")</f>
        <v> </v>
      </c>
      <c r="N125" s="180" t="str">
        <f aca="false">IF((D125="a"),F125," ")</f>
        <v> </v>
      </c>
      <c r="O125" s="180" t="str">
        <f aca="false">IF((D125="l"),F125," ")</f>
        <v> </v>
      </c>
      <c r="P125" s="180" t="str">
        <f aca="false">IF((D125="i"),F125," ")</f>
        <v> </v>
      </c>
      <c r="Q125" s="180" t="str">
        <f aca="false">IF((D125="b"),F125," ")</f>
        <v> </v>
      </c>
      <c r="R125" s="180" t="str">
        <f aca="false">IF((D125="o"),F125," ")</f>
        <v> </v>
      </c>
      <c r="S125" s="180" t="str">
        <f aca="false">IF((D125="f"),F125," ")</f>
        <v> </v>
      </c>
      <c r="U125" s="371"/>
    </row>
    <row r="126" customFormat="false" ht="12.75" hidden="false" customHeight="false" outlineLevel="0" collapsed="false">
      <c r="D126" s="371" t="str">
        <f aca="false">IF((F126&lt;&gt;0),"Enter Letter"," ")</f>
        <v> </v>
      </c>
      <c r="G126" s="180" t="str">
        <f aca="false">IF((D126="d"),F126," ")</f>
        <v> </v>
      </c>
      <c r="H126" s="180" t="str">
        <f aca="false">IF((D126="h"),F126," ")</f>
        <v> </v>
      </c>
      <c r="I126" s="180" t="str">
        <f aca="false">IF((D126="r"),F126," ")</f>
        <v> </v>
      </c>
      <c r="J126" s="180" t="str">
        <f aca="false">IF((D126="t"),F126," ")</f>
        <v> </v>
      </c>
      <c r="K126" s="180" t="str">
        <f aca="false">IF((D126="e"),F126," ")</f>
        <v> </v>
      </c>
      <c r="L126" s="180" t="str">
        <f aca="false">IF((D126="p"),F126," ")</f>
        <v> </v>
      </c>
      <c r="M126" s="180" t="str">
        <f aca="false">IF((D126="g"),F126," ")</f>
        <v> </v>
      </c>
      <c r="N126" s="180" t="str">
        <f aca="false">IF((D126="a"),F126," ")</f>
        <v> </v>
      </c>
      <c r="O126" s="180" t="str">
        <f aca="false">IF((D126="l"),F126," ")</f>
        <v> </v>
      </c>
      <c r="P126" s="180" t="str">
        <f aca="false">IF((D126="i"),F126," ")</f>
        <v> </v>
      </c>
      <c r="Q126" s="180" t="str">
        <f aca="false">IF((D126="b"),F126," ")</f>
        <v> </v>
      </c>
      <c r="R126" s="180" t="str">
        <f aca="false">IF((D126="o"),F126," ")</f>
        <v> </v>
      </c>
      <c r="S126" s="180" t="str">
        <f aca="false">IF((D126="f"),F126," ")</f>
        <v> </v>
      </c>
      <c r="U126" s="371"/>
    </row>
    <row r="127" customFormat="false" ht="12.75" hidden="false" customHeight="false" outlineLevel="0" collapsed="false">
      <c r="D127" s="371" t="str">
        <f aca="false">IF((F127&lt;&gt;0),"Enter Letter"," ")</f>
        <v> </v>
      </c>
      <c r="G127" s="180" t="str">
        <f aca="false">IF((D127="d"),F127," ")</f>
        <v> </v>
      </c>
      <c r="H127" s="180" t="str">
        <f aca="false">IF((D127="h"),F127," ")</f>
        <v> </v>
      </c>
      <c r="I127" s="180" t="str">
        <f aca="false">IF((D127="r"),F127," ")</f>
        <v> </v>
      </c>
      <c r="J127" s="180" t="str">
        <f aca="false">IF((D127="t"),F127," ")</f>
        <v> </v>
      </c>
      <c r="K127" s="180" t="str">
        <f aca="false">IF((D127="e"),F127," ")</f>
        <v> </v>
      </c>
      <c r="L127" s="180" t="str">
        <f aca="false">IF((D127="p"),F127," ")</f>
        <v> </v>
      </c>
      <c r="M127" s="180" t="str">
        <f aca="false">IF((D127="g"),F127," ")</f>
        <v> </v>
      </c>
      <c r="N127" s="180" t="str">
        <f aca="false">IF((D127="a"),F127," ")</f>
        <v> </v>
      </c>
      <c r="O127" s="180" t="str">
        <f aca="false">IF((D127="l"),F127," ")</f>
        <v> </v>
      </c>
      <c r="P127" s="180" t="str">
        <f aca="false">IF((D127="i"),F127," ")</f>
        <v> </v>
      </c>
      <c r="Q127" s="180" t="str">
        <f aca="false">IF((D127="b"),F127," ")</f>
        <v> </v>
      </c>
      <c r="R127" s="180" t="str">
        <f aca="false">IF((D127="o"),F127," ")</f>
        <v> </v>
      </c>
      <c r="S127" s="180" t="str">
        <f aca="false">IF((D127="f"),F127," ")</f>
        <v> </v>
      </c>
      <c r="U127" s="371"/>
    </row>
    <row r="128" customFormat="false" ht="12.75" hidden="false" customHeight="false" outlineLevel="0" collapsed="false">
      <c r="D128" s="371" t="str">
        <f aca="false">IF((F128&lt;&gt;0),"Enter Letter"," ")</f>
        <v> </v>
      </c>
      <c r="G128" s="180" t="str">
        <f aca="false">IF((D128="d"),F128," ")</f>
        <v> </v>
      </c>
      <c r="H128" s="180" t="str">
        <f aca="false">IF((D128="h"),F128," ")</f>
        <v> </v>
      </c>
      <c r="I128" s="180" t="str">
        <f aca="false">IF((D128="r"),F128," ")</f>
        <v> </v>
      </c>
      <c r="J128" s="180" t="str">
        <f aca="false">IF((D128="t"),F128," ")</f>
        <v> </v>
      </c>
      <c r="K128" s="180" t="str">
        <f aca="false">IF((D128="e"),F128," ")</f>
        <v> </v>
      </c>
      <c r="L128" s="180" t="str">
        <f aca="false">IF((D128="p"),F128," ")</f>
        <v> </v>
      </c>
      <c r="M128" s="180" t="str">
        <f aca="false">IF((D128="g"),F128," ")</f>
        <v> </v>
      </c>
      <c r="N128" s="180" t="str">
        <f aca="false">IF((D128="a"),F128," ")</f>
        <v> </v>
      </c>
      <c r="O128" s="180" t="str">
        <f aca="false">IF((D128="l"),F128," ")</f>
        <v> </v>
      </c>
      <c r="P128" s="180" t="str">
        <f aca="false">IF((D128="i"),F128," ")</f>
        <v> </v>
      </c>
      <c r="Q128" s="180" t="str">
        <f aca="false">IF((D128="b"),F128," ")</f>
        <v> </v>
      </c>
      <c r="R128" s="180" t="str">
        <f aca="false">IF((D128="o"),F128," ")</f>
        <v> </v>
      </c>
      <c r="S128" s="180" t="str">
        <f aca="false">IF((D128="f"),F128," ")</f>
        <v> </v>
      </c>
      <c r="U128" s="371"/>
    </row>
    <row r="129" customFormat="false" ht="12.75" hidden="false" customHeight="false" outlineLevel="0" collapsed="false">
      <c r="D129" s="371" t="str">
        <f aca="false">IF((F129&lt;&gt;0),"Enter Letter"," ")</f>
        <v> </v>
      </c>
      <c r="G129" s="180" t="str">
        <f aca="false">IF((D129="d"),F129," ")</f>
        <v> </v>
      </c>
      <c r="H129" s="180" t="str">
        <f aca="false">IF((D129="h"),F129," ")</f>
        <v> </v>
      </c>
      <c r="I129" s="180" t="str">
        <f aca="false">IF((D129="r"),F129," ")</f>
        <v> </v>
      </c>
      <c r="J129" s="180" t="str">
        <f aca="false">IF((D129="t"),F129," ")</f>
        <v> </v>
      </c>
      <c r="K129" s="180" t="str">
        <f aca="false">IF((D129="e"),F129," ")</f>
        <v> </v>
      </c>
      <c r="L129" s="180" t="str">
        <f aca="false">IF((D129="p"),F129," ")</f>
        <v> </v>
      </c>
      <c r="M129" s="180" t="str">
        <f aca="false">IF((D129="g"),F129," ")</f>
        <v> </v>
      </c>
      <c r="N129" s="180" t="str">
        <f aca="false">IF((D129="a"),F129," ")</f>
        <v> </v>
      </c>
      <c r="O129" s="180" t="str">
        <f aca="false">IF((D129="l"),F129," ")</f>
        <v> </v>
      </c>
      <c r="P129" s="180" t="str">
        <f aca="false">IF((D129="i"),F129," ")</f>
        <v> </v>
      </c>
      <c r="Q129" s="180" t="str">
        <f aca="false">IF((D129="b"),F129," ")</f>
        <v> </v>
      </c>
      <c r="R129" s="180" t="str">
        <f aca="false">IF((D129="o"),F129," ")</f>
        <v> </v>
      </c>
      <c r="S129" s="180" t="str">
        <f aca="false">IF((D129="f"),F129," ")</f>
        <v> </v>
      </c>
      <c r="U129" s="371"/>
    </row>
    <row r="130" customFormat="false" ht="12.75" hidden="false" customHeight="false" outlineLevel="0" collapsed="false">
      <c r="D130" s="371" t="str">
        <f aca="false">IF((F130&lt;&gt;0),"Enter Letter"," ")</f>
        <v> </v>
      </c>
      <c r="G130" s="180" t="str">
        <f aca="false">IF((D130="d"),F130," ")</f>
        <v> </v>
      </c>
      <c r="H130" s="180" t="str">
        <f aca="false">IF((D130="h"),F130," ")</f>
        <v> </v>
      </c>
      <c r="I130" s="180" t="str">
        <f aca="false">IF((D130="r"),F130," ")</f>
        <v> </v>
      </c>
      <c r="J130" s="180" t="str">
        <f aca="false">IF((D130="t"),F130," ")</f>
        <v> </v>
      </c>
      <c r="K130" s="180" t="str">
        <f aca="false">IF((D130="e"),F130," ")</f>
        <v> </v>
      </c>
      <c r="L130" s="180" t="str">
        <f aca="false">IF((D130="p"),F130," ")</f>
        <v> </v>
      </c>
      <c r="M130" s="180" t="str">
        <f aca="false">IF((D130="g"),F130," ")</f>
        <v> </v>
      </c>
      <c r="N130" s="180" t="str">
        <f aca="false">IF((D130="a"),F130," ")</f>
        <v> </v>
      </c>
      <c r="O130" s="180" t="str">
        <f aca="false">IF((D130="l"),F130," ")</f>
        <v> </v>
      </c>
      <c r="P130" s="180" t="str">
        <f aca="false">IF((D130="i"),F130," ")</f>
        <v> </v>
      </c>
      <c r="Q130" s="180" t="str">
        <f aca="false">IF((D130="b"),F130," ")</f>
        <v> </v>
      </c>
      <c r="R130" s="180" t="str">
        <f aca="false">IF((D130="o"),F130," ")</f>
        <v> </v>
      </c>
      <c r="S130" s="180" t="str">
        <f aca="false">IF((D130="f"),F130," ")</f>
        <v> </v>
      </c>
      <c r="U130" s="371"/>
    </row>
    <row r="131" customFormat="false" ht="12.75" hidden="false" customHeight="false" outlineLevel="0" collapsed="false">
      <c r="D131" s="371" t="str">
        <f aca="false">IF((F131&lt;&gt;0),"Enter Letter"," ")</f>
        <v> </v>
      </c>
      <c r="G131" s="180" t="str">
        <f aca="false">IF((D131="d"),F131," ")</f>
        <v> </v>
      </c>
      <c r="H131" s="180" t="str">
        <f aca="false">IF((D131="h"),F131," ")</f>
        <v> </v>
      </c>
      <c r="I131" s="180" t="str">
        <f aca="false">IF((D131="r"),F131," ")</f>
        <v> </v>
      </c>
      <c r="J131" s="180" t="str">
        <f aca="false">IF((D131="t"),F131," ")</f>
        <v> </v>
      </c>
      <c r="K131" s="180" t="str">
        <f aca="false">IF((D131="e"),F131," ")</f>
        <v> </v>
      </c>
      <c r="L131" s="180" t="str">
        <f aca="false">IF((D131="p"),F131," ")</f>
        <v> </v>
      </c>
      <c r="M131" s="180" t="str">
        <f aca="false">IF((D131="g"),F131," ")</f>
        <v> </v>
      </c>
      <c r="N131" s="180" t="str">
        <f aca="false">IF((D131="a"),F131," ")</f>
        <v> </v>
      </c>
      <c r="O131" s="180" t="str">
        <f aca="false">IF((D131="l"),F131," ")</f>
        <v> </v>
      </c>
      <c r="P131" s="180" t="str">
        <f aca="false">IF((D131="i"),F131," ")</f>
        <v> </v>
      </c>
      <c r="Q131" s="180" t="str">
        <f aca="false">IF((D131="b"),F131," ")</f>
        <v> </v>
      </c>
      <c r="R131" s="180" t="str">
        <f aca="false">IF((D131="o"),F131," ")</f>
        <v> </v>
      </c>
      <c r="S131" s="180" t="str">
        <f aca="false">IF((D131="f"),F131," ")</f>
        <v> </v>
      </c>
      <c r="U131" s="371"/>
    </row>
    <row r="132" customFormat="false" ht="12.75" hidden="false" customHeight="false" outlineLevel="0" collapsed="false">
      <c r="D132" s="371" t="str">
        <f aca="false">IF((F132&lt;&gt;0),"Enter Letter"," ")</f>
        <v> </v>
      </c>
      <c r="G132" s="180" t="str">
        <f aca="false">IF((D132="d"),F132," ")</f>
        <v> </v>
      </c>
      <c r="H132" s="180" t="str">
        <f aca="false">IF((D132="h"),F132," ")</f>
        <v> </v>
      </c>
      <c r="I132" s="180" t="str">
        <f aca="false">IF((D132="r"),F132," ")</f>
        <v> </v>
      </c>
      <c r="J132" s="180" t="str">
        <f aca="false">IF((D132="t"),F132," ")</f>
        <v> </v>
      </c>
      <c r="K132" s="180" t="str">
        <f aca="false">IF((D132="e"),F132," ")</f>
        <v> </v>
      </c>
      <c r="L132" s="180" t="str">
        <f aca="false">IF((D132="p"),F132," ")</f>
        <v> </v>
      </c>
      <c r="M132" s="180" t="str">
        <f aca="false">IF((D132="g"),F132," ")</f>
        <v> </v>
      </c>
      <c r="N132" s="180" t="str">
        <f aca="false">IF((D132="a"),F132," ")</f>
        <v> </v>
      </c>
      <c r="O132" s="180" t="str">
        <f aca="false">IF((D132="l"),F132," ")</f>
        <v> </v>
      </c>
      <c r="P132" s="180" t="str">
        <f aca="false">IF((D132="i"),F132," ")</f>
        <v> </v>
      </c>
      <c r="Q132" s="180" t="str">
        <f aca="false">IF((D132="b"),F132," ")</f>
        <v> </v>
      </c>
      <c r="R132" s="180" t="str">
        <f aca="false">IF((D132="o"),F132," ")</f>
        <v> </v>
      </c>
      <c r="S132" s="180" t="str">
        <f aca="false">IF((D132="f"),F132," ")</f>
        <v> </v>
      </c>
      <c r="U132" s="371"/>
    </row>
    <row r="133" customFormat="false" ht="12.75" hidden="false" customHeight="false" outlineLevel="0" collapsed="false">
      <c r="D133" s="371" t="str">
        <f aca="false">IF((F133&lt;&gt;0),"Enter Letter"," ")</f>
        <v> </v>
      </c>
      <c r="G133" s="180" t="str">
        <f aca="false">IF((D133="d"),F133," ")</f>
        <v> </v>
      </c>
      <c r="H133" s="180" t="str">
        <f aca="false">IF((D133="h"),F133," ")</f>
        <v> </v>
      </c>
      <c r="I133" s="180" t="str">
        <f aca="false">IF((D133="r"),F133," ")</f>
        <v> </v>
      </c>
      <c r="J133" s="180" t="str">
        <f aca="false">IF((D133="t"),F133," ")</f>
        <v> </v>
      </c>
      <c r="K133" s="180" t="str">
        <f aca="false">IF((D133="e"),F133," ")</f>
        <v> </v>
      </c>
      <c r="L133" s="180" t="str">
        <f aca="false">IF((D133="p"),F133," ")</f>
        <v> </v>
      </c>
      <c r="M133" s="180" t="str">
        <f aca="false">IF((D133="g"),F133," ")</f>
        <v> </v>
      </c>
      <c r="N133" s="180" t="str">
        <f aca="false">IF((D133="a"),F133," ")</f>
        <v> </v>
      </c>
      <c r="O133" s="180" t="str">
        <f aca="false">IF((D133="l"),F133," ")</f>
        <v> </v>
      </c>
      <c r="P133" s="180" t="str">
        <f aca="false">IF((D133="i"),F133," ")</f>
        <v> </v>
      </c>
      <c r="Q133" s="180" t="str">
        <f aca="false">IF((D133="b"),F133," ")</f>
        <v> </v>
      </c>
      <c r="R133" s="180" t="str">
        <f aca="false">IF((D133="o"),F133," ")</f>
        <v> </v>
      </c>
      <c r="S133" s="180" t="str">
        <f aca="false">IF((D133="f"),F133," ")</f>
        <v> </v>
      </c>
      <c r="U133" s="371"/>
    </row>
    <row r="134" customFormat="false" ht="12.75" hidden="false" customHeight="false" outlineLevel="0" collapsed="false">
      <c r="D134" s="371" t="str">
        <f aca="false">IF((F134&lt;&gt;0),"Enter Letter"," ")</f>
        <v> </v>
      </c>
      <c r="G134" s="180" t="str">
        <f aca="false">IF((D134="d"),F134," ")</f>
        <v> </v>
      </c>
      <c r="H134" s="180" t="str">
        <f aca="false">IF((D134="h"),F134," ")</f>
        <v> </v>
      </c>
      <c r="I134" s="180" t="str">
        <f aca="false">IF((D134="r"),F134," ")</f>
        <v> </v>
      </c>
      <c r="J134" s="180" t="str">
        <f aca="false">IF((D134="t"),F134," ")</f>
        <v> </v>
      </c>
      <c r="K134" s="180" t="str">
        <f aca="false">IF((D134="e"),F134," ")</f>
        <v> </v>
      </c>
      <c r="L134" s="180" t="str">
        <f aca="false">IF((D134="p"),F134," ")</f>
        <v> </v>
      </c>
      <c r="M134" s="180" t="str">
        <f aca="false">IF((D134="g"),F134," ")</f>
        <v> </v>
      </c>
      <c r="N134" s="180" t="str">
        <f aca="false">IF((D134="a"),F134," ")</f>
        <v> </v>
      </c>
      <c r="O134" s="180" t="str">
        <f aca="false">IF((D134="l"),F134," ")</f>
        <v> </v>
      </c>
      <c r="P134" s="180" t="str">
        <f aca="false">IF((D134="i"),F134," ")</f>
        <v> </v>
      </c>
      <c r="Q134" s="180" t="str">
        <f aca="false">IF((D134="b"),F134," ")</f>
        <v> </v>
      </c>
      <c r="R134" s="180" t="str">
        <f aca="false">IF((D134="o"),F134," ")</f>
        <v> </v>
      </c>
      <c r="S134" s="180" t="str">
        <f aca="false">IF((D134="f"),F134," ")</f>
        <v> </v>
      </c>
      <c r="U134" s="371"/>
    </row>
    <row r="135" customFormat="false" ht="12.75" hidden="false" customHeight="false" outlineLevel="0" collapsed="false">
      <c r="D135" s="371" t="str">
        <f aca="false">IF((F135&lt;&gt;0),"Enter Letter"," ")</f>
        <v> </v>
      </c>
      <c r="G135" s="180" t="str">
        <f aca="false">IF((D135="d"),F135," ")</f>
        <v> </v>
      </c>
      <c r="H135" s="180" t="str">
        <f aca="false">IF((D135="h"),F135," ")</f>
        <v> </v>
      </c>
      <c r="I135" s="180" t="str">
        <f aca="false">IF((D135="r"),F135," ")</f>
        <v> </v>
      </c>
      <c r="J135" s="180" t="str">
        <f aca="false">IF((D135="t"),F135," ")</f>
        <v> </v>
      </c>
      <c r="K135" s="180" t="str">
        <f aca="false">IF((D135="e"),F135," ")</f>
        <v> </v>
      </c>
      <c r="L135" s="180" t="str">
        <f aca="false">IF((D135="p"),F135," ")</f>
        <v> </v>
      </c>
      <c r="M135" s="180" t="str">
        <f aca="false">IF((D135="g"),F135," ")</f>
        <v> </v>
      </c>
      <c r="N135" s="180" t="str">
        <f aca="false">IF((D135="a"),F135," ")</f>
        <v> </v>
      </c>
      <c r="O135" s="180" t="str">
        <f aca="false">IF((D135="l"),F135," ")</f>
        <v> </v>
      </c>
      <c r="P135" s="180" t="str">
        <f aca="false">IF((D135="i"),F135," ")</f>
        <v> </v>
      </c>
      <c r="Q135" s="180" t="str">
        <f aca="false">IF((D135="b"),F135," ")</f>
        <v> </v>
      </c>
      <c r="R135" s="180" t="str">
        <f aca="false">IF((D135="o"),F135," ")</f>
        <v> </v>
      </c>
      <c r="S135" s="180" t="str">
        <f aca="false">IF((D135="f"),F135," ")</f>
        <v> </v>
      </c>
      <c r="U135" s="371"/>
    </row>
    <row r="136" customFormat="false" ht="12.75" hidden="false" customHeight="false" outlineLevel="0" collapsed="false">
      <c r="D136" s="371" t="str">
        <f aca="false">IF((F136&lt;&gt;0),"Enter Letter"," ")</f>
        <v> </v>
      </c>
      <c r="G136" s="180" t="str">
        <f aca="false">IF((D136="d"),F136," ")</f>
        <v> </v>
      </c>
      <c r="H136" s="180" t="str">
        <f aca="false">IF((D136="h"),F136," ")</f>
        <v> </v>
      </c>
      <c r="I136" s="180" t="str">
        <f aca="false">IF((D136="r"),F136," ")</f>
        <v> </v>
      </c>
      <c r="J136" s="180" t="str">
        <f aca="false">IF((D136="t"),F136," ")</f>
        <v> </v>
      </c>
      <c r="K136" s="180" t="str">
        <f aca="false">IF((D136="e"),F136," ")</f>
        <v> </v>
      </c>
      <c r="L136" s="180" t="str">
        <f aca="false">IF((D136="p"),F136," ")</f>
        <v> </v>
      </c>
      <c r="M136" s="180" t="str">
        <f aca="false">IF((D136="g"),F136," ")</f>
        <v> </v>
      </c>
      <c r="N136" s="180" t="str">
        <f aca="false">IF((D136="a"),F136," ")</f>
        <v> </v>
      </c>
      <c r="O136" s="180" t="str">
        <f aca="false">IF((D136="l"),F136," ")</f>
        <v> </v>
      </c>
      <c r="P136" s="180" t="str">
        <f aca="false">IF((D136="i"),F136," ")</f>
        <v> </v>
      </c>
      <c r="Q136" s="180" t="str">
        <f aca="false">IF((D136="b"),F136," ")</f>
        <v> </v>
      </c>
      <c r="R136" s="180" t="str">
        <f aca="false">IF((D136="o"),F136," ")</f>
        <v> </v>
      </c>
      <c r="S136" s="180" t="str">
        <f aca="false">IF((D136="f"),F136," ")</f>
        <v> </v>
      </c>
      <c r="U136" s="371"/>
    </row>
    <row r="137" customFormat="false" ht="12.75" hidden="false" customHeight="false" outlineLevel="0" collapsed="false">
      <c r="D137" s="371" t="str">
        <f aca="false">IF((F137&lt;&gt;0),"Enter Letter"," ")</f>
        <v> </v>
      </c>
      <c r="G137" s="180" t="str">
        <f aca="false">IF((D137="d"),F137," ")</f>
        <v> </v>
      </c>
      <c r="H137" s="180" t="str">
        <f aca="false">IF((D137="h"),F137," ")</f>
        <v> </v>
      </c>
      <c r="I137" s="180" t="str">
        <f aca="false">IF((D137="r"),F137," ")</f>
        <v> </v>
      </c>
      <c r="J137" s="180" t="str">
        <f aca="false">IF((D137="t"),F137," ")</f>
        <v> </v>
      </c>
      <c r="K137" s="180" t="str">
        <f aca="false">IF((D137="e"),F137," ")</f>
        <v> </v>
      </c>
      <c r="L137" s="180" t="str">
        <f aca="false">IF((D137="p"),F137," ")</f>
        <v> </v>
      </c>
      <c r="M137" s="180" t="str">
        <f aca="false">IF((D137="g"),F137," ")</f>
        <v> </v>
      </c>
      <c r="N137" s="180" t="str">
        <f aca="false">IF((D137="a"),F137," ")</f>
        <v> </v>
      </c>
      <c r="O137" s="180" t="str">
        <f aca="false">IF((D137="l"),F137," ")</f>
        <v> </v>
      </c>
      <c r="P137" s="180" t="str">
        <f aca="false">IF((D137="i"),F137," ")</f>
        <v> </v>
      </c>
      <c r="Q137" s="180" t="str">
        <f aca="false">IF((D137="b"),F137," ")</f>
        <v> </v>
      </c>
      <c r="R137" s="180" t="str">
        <f aca="false">IF((D137="o"),F137," ")</f>
        <v> </v>
      </c>
      <c r="S137" s="180" t="str">
        <f aca="false">IF((D137="f"),F137," ")</f>
        <v> </v>
      </c>
      <c r="U137" s="371"/>
    </row>
    <row r="138" customFormat="false" ht="12.75" hidden="false" customHeight="false" outlineLevel="0" collapsed="false">
      <c r="D138" s="371" t="str">
        <f aca="false">IF((F138&lt;&gt;0),"Enter Letter"," ")</f>
        <v> </v>
      </c>
      <c r="G138" s="180" t="str">
        <f aca="false">IF((D138="d"),F138," ")</f>
        <v> </v>
      </c>
      <c r="H138" s="180" t="str">
        <f aca="false">IF((D138="h"),F138," ")</f>
        <v> </v>
      </c>
      <c r="I138" s="180" t="str">
        <f aca="false">IF((D138="r"),F138," ")</f>
        <v> </v>
      </c>
      <c r="J138" s="180" t="str">
        <f aca="false">IF((D138="t"),F138," ")</f>
        <v> </v>
      </c>
      <c r="K138" s="180" t="str">
        <f aca="false">IF((D138="e"),F138," ")</f>
        <v> </v>
      </c>
      <c r="L138" s="180" t="str">
        <f aca="false">IF((D138="p"),F138," ")</f>
        <v> </v>
      </c>
      <c r="M138" s="180" t="str">
        <f aca="false">IF((D138="g"),F138," ")</f>
        <v> </v>
      </c>
      <c r="N138" s="180" t="str">
        <f aca="false">IF((D138="a"),F138," ")</f>
        <v> </v>
      </c>
      <c r="O138" s="180" t="str">
        <f aca="false">IF((D138="l"),F138," ")</f>
        <v> </v>
      </c>
      <c r="P138" s="180" t="str">
        <f aca="false">IF((D138="i"),F138," ")</f>
        <v> </v>
      </c>
      <c r="Q138" s="180" t="str">
        <f aca="false">IF((D138="b"),F138," ")</f>
        <v> </v>
      </c>
      <c r="R138" s="180" t="str">
        <f aca="false">IF((D138="o"),F138," ")</f>
        <v> </v>
      </c>
      <c r="S138" s="180" t="str">
        <f aca="false">IF((D138="f"),F138," ")</f>
        <v> </v>
      </c>
      <c r="U138" s="371"/>
    </row>
    <row r="139" customFormat="false" ht="12.75" hidden="false" customHeight="false" outlineLevel="0" collapsed="false">
      <c r="D139" s="371" t="str">
        <f aca="false">IF((F139&lt;&gt;0),"Enter Letter"," ")</f>
        <v> </v>
      </c>
      <c r="G139" s="180" t="str">
        <f aca="false">IF((D139="d"),F139," ")</f>
        <v> </v>
      </c>
      <c r="H139" s="180" t="str">
        <f aca="false">IF((D139="h"),F139," ")</f>
        <v> </v>
      </c>
      <c r="I139" s="180" t="str">
        <f aca="false">IF((D139="r"),F139," ")</f>
        <v> </v>
      </c>
      <c r="J139" s="180" t="str">
        <f aca="false">IF((D139="t"),F139," ")</f>
        <v> </v>
      </c>
      <c r="K139" s="180" t="str">
        <f aca="false">IF((D139="e"),F139," ")</f>
        <v> </v>
      </c>
      <c r="L139" s="180" t="str">
        <f aca="false">IF((D139="p"),F139," ")</f>
        <v> </v>
      </c>
      <c r="M139" s="180" t="str">
        <f aca="false">IF((D139="g"),F139," ")</f>
        <v> </v>
      </c>
      <c r="N139" s="180" t="str">
        <f aca="false">IF((D139="a"),F139," ")</f>
        <v> </v>
      </c>
      <c r="O139" s="180" t="str">
        <f aca="false">IF((D139="l"),F139," ")</f>
        <v> </v>
      </c>
      <c r="P139" s="180" t="str">
        <f aca="false">IF((D139="i"),F139," ")</f>
        <v> </v>
      </c>
      <c r="Q139" s="180" t="str">
        <f aca="false">IF((D139="b"),F139," ")</f>
        <v> </v>
      </c>
      <c r="R139" s="180" t="str">
        <f aca="false">IF((D139="o"),F139," ")</f>
        <v> </v>
      </c>
      <c r="S139" s="180" t="str">
        <f aca="false">IF((D139="f"),F139," ")</f>
        <v> </v>
      </c>
      <c r="U139" s="371"/>
    </row>
    <row r="140" customFormat="false" ht="12.75" hidden="false" customHeight="false" outlineLevel="0" collapsed="false">
      <c r="D140" s="371" t="str">
        <f aca="false">IF((F140&lt;&gt;0),"Enter Letter"," ")</f>
        <v> </v>
      </c>
      <c r="G140" s="180" t="str">
        <f aca="false">IF((D140="d"),F140," ")</f>
        <v> </v>
      </c>
      <c r="H140" s="180" t="str">
        <f aca="false">IF((D140="h"),F140," ")</f>
        <v> </v>
      </c>
      <c r="I140" s="180" t="str">
        <f aca="false">IF((D140="r"),F140," ")</f>
        <v> </v>
      </c>
      <c r="J140" s="180" t="str">
        <f aca="false">IF((D140="t"),F140," ")</f>
        <v> </v>
      </c>
      <c r="K140" s="180" t="str">
        <f aca="false">IF((D140="e"),F140," ")</f>
        <v> </v>
      </c>
      <c r="L140" s="180" t="str">
        <f aca="false">IF((D140="p"),F140," ")</f>
        <v> </v>
      </c>
      <c r="M140" s="180" t="str">
        <f aca="false">IF((D140="g"),F140," ")</f>
        <v> </v>
      </c>
      <c r="N140" s="180" t="str">
        <f aca="false">IF((D140="a"),F140," ")</f>
        <v> </v>
      </c>
      <c r="O140" s="180" t="str">
        <f aca="false">IF((D140="l"),F140," ")</f>
        <v> </v>
      </c>
      <c r="P140" s="180" t="str">
        <f aca="false">IF((D140="i"),F140," ")</f>
        <v> </v>
      </c>
      <c r="Q140" s="180" t="str">
        <f aca="false">IF((D140="b"),F140," ")</f>
        <v> </v>
      </c>
      <c r="R140" s="180" t="str">
        <f aca="false">IF((D140="o"),F140," ")</f>
        <v> </v>
      </c>
      <c r="S140" s="180" t="str">
        <f aca="false">IF((D140="f"),F140," ")</f>
        <v> </v>
      </c>
      <c r="U140" s="371"/>
    </row>
    <row r="141" customFormat="false" ht="12.75" hidden="false" customHeight="false" outlineLevel="0" collapsed="false">
      <c r="D141" s="371" t="str">
        <f aca="false">IF((F141&lt;&gt;0),"Enter Letter"," ")</f>
        <v> </v>
      </c>
      <c r="G141" s="180" t="str">
        <f aca="false">IF((D141="d"),F141," ")</f>
        <v> </v>
      </c>
      <c r="H141" s="180" t="str">
        <f aca="false">IF((D141="h"),F141," ")</f>
        <v> </v>
      </c>
      <c r="I141" s="180" t="str">
        <f aca="false">IF((D141="r"),F141," ")</f>
        <v> </v>
      </c>
      <c r="J141" s="180" t="str">
        <f aca="false">IF((D141="t"),F141," ")</f>
        <v> </v>
      </c>
      <c r="K141" s="180" t="str">
        <f aca="false">IF((D141="e"),F141," ")</f>
        <v> </v>
      </c>
      <c r="L141" s="180" t="str">
        <f aca="false">IF((D141="p"),F141," ")</f>
        <v> </v>
      </c>
      <c r="M141" s="180" t="str">
        <f aca="false">IF((D141="g"),F141," ")</f>
        <v> </v>
      </c>
      <c r="N141" s="180" t="str">
        <f aca="false">IF((D141="a"),F141," ")</f>
        <v> </v>
      </c>
      <c r="O141" s="180" t="str">
        <f aca="false">IF((D141="l"),F141," ")</f>
        <v> </v>
      </c>
      <c r="P141" s="180" t="str">
        <f aca="false">IF((D141="i"),F141," ")</f>
        <v> </v>
      </c>
      <c r="Q141" s="180" t="str">
        <f aca="false">IF((D141="b"),F141," ")</f>
        <v> </v>
      </c>
      <c r="R141" s="180" t="str">
        <f aca="false">IF((D141="o"),F141," ")</f>
        <v> </v>
      </c>
      <c r="S141" s="180" t="str">
        <f aca="false">IF((D141="f"),F141," ")</f>
        <v> </v>
      </c>
      <c r="U141" s="371"/>
    </row>
    <row r="142" customFormat="false" ht="12.75" hidden="false" customHeight="false" outlineLevel="0" collapsed="false">
      <c r="D142" s="371" t="str">
        <f aca="false">IF((F142&lt;&gt;0),"Enter Letter"," ")</f>
        <v> </v>
      </c>
      <c r="G142" s="180" t="str">
        <f aca="false">IF((D142="d"),F142," ")</f>
        <v> </v>
      </c>
      <c r="H142" s="180" t="str">
        <f aca="false">IF((D142="h"),F142," ")</f>
        <v> </v>
      </c>
      <c r="I142" s="180" t="str">
        <f aca="false">IF((D142="r"),F142," ")</f>
        <v> </v>
      </c>
      <c r="J142" s="180" t="str">
        <f aca="false">IF((D142="t"),F142," ")</f>
        <v> </v>
      </c>
      <c r="K142" s="180" t="str">
        <f aca="false">IF((D142="e"),F142," ")</f>
        <v> </v>
      </c>
      <c r="L142" s="180" t="str">
        <f aca="false">IF((D142="p"),F142," ")</f>
        <v> </v>
      </c>
      <c r="M142" s="180" t="str">
        <f aca="false">IF((D142="g"),F142," ")</f>
        <v> </v>
      </c>
      <c r="N142" s="180" t="str">
        <f aca="false">IF((D142="a"),F142," ")</f>
        <v> </v>
      </c>
      <c r="O142" s="180" t="str">
        <f aca="false">IF((D142="l"),F142," ")</f>
        <v> </v>
      </c>
      <c r="P142" s="180" t="str">
        <f aca="false">IF((D142="i"),F142," ")</f>
        <v> </v>
      </c>
      <c r="Q142" s="180" t="str">
        <f aca="false">IF((D142="b"),F142," ")</f>
        <v> </v>
      </c>
      <c r="R142" s="180" t="str">
        <f aca="false">IF((D142="o"),F142," ")</f>
        <v> </v>
      </c>
      <c r="S142" s="180" t="str">
        <f aca="false">IF((D142="f"),F142," ")</f>
        <v> </v>
      </c>
      <c r="U142" s="371"/>
    </row>
    <row r="143" customFormat="false" ht="12.75" hidden="false" customHeight="false" outlineLevel="0" collapsed="false">
      <c r="D143" s="371" t="str">
        <f aca="false">IF((F143&lt;&gt;0),"Enter Letter"," ")</f>
        <v> </v>
      </c>
      <c r="G143" s="180" t="str">
        <f aca="false">IF((D143="d"),F143," ")</f>
        <v> </v>
      </c>
      <c r="H143" s="180" t="str">
        <f aca="false">IF((D143="h"),F143," ")</f>
        <v> </v>
      </c>
      <c r="I143" s="180" t="str">
        <f aca="false">IF((D143="r"),F143," ")</f>
        <v> </v>
      </c>
      <c r="J143" s="180" t="str">
        <f aca="false">IF((D143="t"),F143," ")</f>
        <v> </v>
      </c>
      <c r="K143" s="180" t="str">
        <f aca="false">IF((D143="e"),F143," ")</f>
        <v> </v>
      </c>
      <c r="L143" s="180" t="str">
        <f aca="false">IF((D143="p"),F143," ")</f>
        <v> </v>
      </c>
      <c r="M143" s="180" t="str">
        <f aca="false">IF((D143="g"),F143," ")</f>
        <v> </v>
      </c>
      <c r="N143" s="180" t="str">
        <f aca="false">IF((D143="a"),F143," ")</f>
        <v> </v>
      </c>
      <c r="O143" s="180" t="str">
        <f aca="false">IF((D143="l"),F143," ")</f>
        <v> </v>
      </c>
      <c r="P143" s="180" t="str">
        <f aca="false">IF((D143="i"),F143," ")</f>
        <v> </v>
      </c>
      <c r="Q143" s="180" t="str">
        <f aca="false">IF((D143="b"),F143," ")</f>
        <v> </v>
      </c>
      <c r="R143" s="180" t="str">
        <f aca="false">IF((D143="o"),F143," ")</f>
        <v> </v>
      </c>
      <c r="S143" s="180" t="str">
        <f aca="false">IF((D143="f"),F143," ")</f>
        <v> </v>
      </c>
      <c r="U143" s="371"/>
    </row>
    <row r="144" customFormat="false" ht="12.75" hidden="false" customHeight="false" outlineLevel="0" collapsed="false">
      <c r="D144" s="371" t="str">
        <f aca="false">IF((F144&lt;&gt;0),"Enter Letter"," ")</f>
        <v> </v>
      </c>
      <c r="G144" s="180" t="str">
        <f aca="false">IF((D144="d"),F144," ")</f>
        <v> </v>
      </c>
      <c r="H144" s="180" t="str">
        <f aca="false">IF((D144="h"),F144," ")</f>
        <v> </v>
      </c>
      <c r="I144" s="180" t="str">
        <f aca="false">IF((D144="r"),F144," ")</f>
        <v> </v>
      </c>
      <c r="J144" s="180" t="str">
        <f aca="false">IF((D144="t"),F144," ")</f>
        <v> </v>
      </c>
      <c r="K144" s="180" t="str">
        <f aca="false">IF((D144="e"),F144," ")</f>
        <v> </v>
      </c>
      <c r="L144" s="180" t="str">
        <f aca="false">IF((D144="p"),F144," ")</f>
        <v> </v>
      </c>
      <c r="M144" s="180" t="str">
        <f aca="false">IF((D144="g"),F144," ")</f>
        <v> </v>
      </c>
      <c r="N144" s="180" t="str">
        <f aca="false">IF((D144="a"),F144," ")</f>
        <v> </v>
      </c>
      <c r="O144" s="180" t="str">
        <f aca="false">IF((D144="l"),F144," ")</f>
        <v> </v>
      </c>
      <c r="P144" s="180" t="str">
        <f aca="false">IF((D144="i"),F144," ")</f>
        <v> </v>
      </c>
      <c r="Q144" s="180" t="str">
        <f aca="false">IF((D144="b"),F144," ")</f>
        <v> </v>
      </c>
      <c r="R144" s="180" t="str">
        <f aca="false">IF((D144="o"),F144," ")</f>
        <v> </v>
      </c>
      <c r="S144" s="180" t="str">
        <f aca="false">IF((D144="f"),F144," ")</f>
        <v> </v>
      </c>
      <c r="U144" s="371"/>
    </row>
    <row r="145" customFormat="false" ht="12.75" hidden="false" customHeight="false" outlineLevel="0" collapsed="false">
      <c r="D145" s="371" t="str">
        <f aca="false">IF((F145&lt;&gt;0),"Enter Letter"," ")</f>
        <v> </v>
      </c>
      <c r="G145" s="180" t="str">
        <f aca="false">IF((D145="d"),F145," ")</f>
        <v> </v>
      </c>
      <c r="H145" s="180" t="str">
        <f aca="false">IF((D145="h"),F145," ")</f>
        <v> </v>
      </c>
      <c r="I145" s="180" t="str">
        <f aca="false">IF((D145="r"),F145," ")</f>
        <v> </v>
      </c>
      <c r="J145" s="180" t="str">
        <f aca="false">IF((D145="t"),F145," ")</f>
        <v> </v>
      </c>
      <c r="K145" s="180" t="str">
        <f aca="false">IF((D145="e"),F145," ")</f>
        <v> </v>
      </c>
      <c r="L145" s="180" t="str">
        <f aca="false">IF((D145="p"),F145," ")</f>
        <v> </v>
      </c>
      <c r="M145" s="180" t="str">
        <f aca="false">IF((D145="g"),F145," ")</f>
        <v> </v>
      </c>
      <c r="N145" s="180" t="str">
        <f aca="false">IF((D145="a"),F145," ")</f>
        <v> </v>
      </c>
      <c r="O145" s="180" t="str">
        <f aca="false">IF((D145="l"),F145," ")</f>
        <v> </v>
      </c>
      <c r="P145" s="180" t="str">
        <f aca="false">IF((D145="i"),F145," ")</f>
        <v> </v>
      </c>
      <c r="Q145" s="180" t="str">
        <f aca="false">IF((D145="b"),F145," ")</f>
        <v> </v>
      </c>
      <c r="R145" s="180" t="str">
        <f aca="false">IF((D145="o"),F145," ")</f>
        <v> </v>
      </c>
      <c r="S145" s="180" t="str">
        <f aca="false">IF((D145="f"),F145," ")</f>
        <v> </v>
      </c>
      <c r="U145" s="371"/>
    </row>
    <row r="146" customFormat="false" ht="12.75" hidden="false" customHeight="false" outlineLevel="0" collapsed="false">
      <c r="D146" s="371" t="str">
        <f aca="false">IF((F146&lt;&gt;0),"Enter Letter"," ")</f>
        <v> </v>
      </c>
      <c r="G146" s="180" t="str">
        <f aca="false">IF((D146="d"),F146," ")</f>
        <v> </v>
      </c>
      <c r="H146" s="180" t="str">
        <f aca="false">IF((D146="h"),F146," ")</f>
        <v> </v>
      </c>
      <c r="I146" s="180" t="str">
        <f aca="false">IF((D146="r"),F146," ")</f>
        <v> </v>
      </c>
      <c r="J146" s="180" t="str">
        <f aca="false">IF((D146="t"),F146," ")</f>
        <v> </v>
      </c>
      <c r="K146" s="180" t="str">
        <f aca="false">IF((D146="e"),F146," ")</f>
        <v> </v>
      </c>
      <c r="L146" s="180" t="str">
        <f aca="false">IF((D146="p"),F146," ")</f>
        <v> </v>
      </c>
      <c r="M146" s="180" t="str">
        <f aca="false">IF((D146="g"),F146," ")</f>
        <v> </v>
      </c>
      <c r="N146" s="180" t="str">
        <f aca="false">IF((D146="a"),F146," ")</f>
        <v> </v>
      </c>
      <c r="O146" s="180" t="str">
        <f aca="false">IF((D146="l"),F146," ")</f>
        <v> </v>
      </c>
      <c r="P146" s="180" t="str">
        <f aca="false">IF((D146="i"),F146," ")</f>
        <v> </v>
      </c>
      <c r="Q146" s="180" t="str">
        <f aca="false">IF((D146="b"),F146," ")</f>
        <v> </v>
      </c>
      <c r="R146" s="180" t="str">
        <f aca="false">IF((D146="o"),F146," ")</f>
        <v> </v>
      </c>
      <c r="S146" s="180" t="str">
        <f aca="false">IF((D146="f"),F146," ")</f>
        <v> </v>
      </c>
      <c r="U146" s="371"/>
    </row>
    <row r="147" customFormat="false" ht="12.75" hidden="false" customHeight="false" outlineLevel="0" collapsed="false">
      <c r="D147" s="371" t="str">
        <f aca="false">IF((F147&lt;&gt;0),"Enter Letter"," ")</f>
        <v> </v>
      </c>
      <c r="G147" s="180" t="str">
        <f aca="false">IF((D147="d"),F147," ")</f>
        <v> </v>
      </c>
      <c r="H147" s="180" t="str">
        <f aca="false">IF((D147="h"),F147," ")</f>
        <v> </v>
      </c>
      <c r="I147" s="180" t="str">
        <f aca="false">IF((D147="r"),F147," ")</f>
        <v> </v>
      </c>
      <c r="J147" s="180" t="str">
        <f aca="false">IF((D147="t"),F147," ")</f>
        <v> </v>
      </c>
      <c r="K147" s="180" t="str">
        <f aca="false">IF((D147="e"),F147," ")</f>
        <v> </v>
      </c>
      <c r="L147" s="180" t="str">
        <f aca="false">IF((D147="p"),F147," ")</f>
        <v> </v>
      </c>
      <c r="M147" s="180" t="str">
        <f aca="false">IF((D147="g"),F147," ")</f>
        <v> </v>
      </c>
      <c r="N147" s="180" t="str">
        <f aca="false">IF((D147="a"),F147," ")</f>
        <v> </v>
      </c>
      <c r="O147" s="180" t="str">
        <f aca="false">IF((D147="l"),F147," ")</f>
        <v> </v>
      </c>
      <c r="P147" s="180" t="str">
        <f aca="false">IF((D147="i"),F147," ")</f>
        <v> </v>
      </c>
      <c r="Q147" s="180" t="str">
        <f aca="false">IF((D147="b"),F147," ")</f>
        <v> </v>
      </c>
      <c r="R147" s="180" t="str">
        <f aca="false">IF((D147="o"),F147," ")</f>
        <v> </v>
      </c>
      <c r="S147" s="180" t="str">
        <f aca="false">IF((D147="f"),F147," ")</f>
        <v> </v>
      </c>
      <c r="U147" s="371"/>
    </row>
    <row r="148" customFormat="false" ht="12.75" hidden="false" customHeight="false" outlineLevel="0" collapsed="false">
      <c r="D148" s="371" t="str">
        <f aca="false">IF((F148&lt;&gt;0),"Enter Letter"," ")</f>
        <v> </v>
      </c>
      <c r="G148" s="180" t="str">
        <f aca="false">IF((D148="d"),F148," ")</f>
        <v> </v>
      </c>
      <c r="H148" s="180" t="str">
        <f aca="false">IF((D148="h"),F148," ")</f>
        <v> </v>
      </c>
      <c r="I148" s="180" t="str">
        <f aca="false">IF((D148="r"),F148," ")</f>
        <v> </v>
      </c>
      <c r="J148" s="180" t="str">
        <f aca="false">IF((D148="t"),F148," ")</f>
        <v> </v>
      </c>
      <c r="K148" s="180" t="str">
        <f aca="false">IF((D148="e"),F148," ")</f>
        <v> </v>
      </c>
      <c r="L148" s="180" t="str">
        <f aca="false">IF((D148="p"),F148," ")</f>
        <v> </v>
      </c>
      <c r="M148" s="180" t="str">
        <f aca="false">IF((D148="g"),F148," ")</f>
        <v> </v>
      </c>
      <c r="N148" s="180" t="str">
        <f aca="false">IF((D148="a"),F148," ")</f>
        <v> </v>
      </c>
      <c r="O148" s="180" t="str">
        <f aca="false">IF((D148="l"),F148," ")</f>
        <v> </v>
      </c>
      <c r="P148" s="180" t="str">
        <f aca="false">IF((D148="i"),F148," ")</f>
        <v> </v>
      </c>
      <c r="Q148" s="180" t="str">
        <f aca="false">IF((D148="b"),F148," ")</f>
        <v> </v>
      </c>
      <c r="R148" s="180" t="str">
        <f aca="false">IF((D148="o"),F148," ")</f>
        <v> </v>
      </c>
      <c r="S148" s="180" t="str">
        <f aca="false">IF((D148="f"),F148," ")</f>
        <v> </v>
      </c>
      <c r="U148" s="371"/>
    </row>
    <row r="149" customFormat="false" ht="12.75" hidden="false" customHeight="false" outlineLevel="0" collapsed="false">
      <c r="D149" s="371" t="str">
        <f aca="false">IF((F149&lt;&gt;0),"Enter Letter"," ")</f>
        <v> </v>
      </c>
      <c r="G149" s="180" t="str">
        <f aca="false">IF((D149="d"),F149," ")</f>
        <v> </v>
      </c>
      <c r="H149" s="180" t="str">
        <f aca="false">IF((D149="h"),F149," ")</f>
        <v> </v>
      </c>
      <c r="I149" s="180" t="str">
        <f aca="false">IF((D149="r"),F149," ")</f>
        <v> </v>
      </c>
      <c r="J149" s="180" t="str">
        <f aca="false">IF((D149="t"),F149," ")</f>
        <v> </v>
      </c>
      <c r="K149" s="180" t="str">
        <f aca="false">IF((D149="e"),F149," ")</f>
        <v> </v>
      </c>
      <c r="L149" s="180" t="str">
        <f aca="false">IF((D149="p"),F149," ")</f>
        <v> </v>
      </c>
      <c r="M149" s="180" t="str">
        <f aca="false">IF((D149="g"),F149," ")</f>
        <v> </v>
      </c>
      <c r="N149" s="180" t="str">
        <f aca="false">IF((D149="a"),F149," ")</f>
        <v> </v>
      </c>
      <c r="O149" s="180" t="str">
        <f aca="false">IF((D149="l"),F149," ")</f>
        <v> </v>
      </c>
      <c r="P149" s="180" t="str">
        <f aca="false">IF((D149="i"),F149," ")</f>
        <v> </v>
      </c>
      <c r="Q149" s="180" t="str">
        <f aca="false">IF((D149="b"),F149," ")</f>
        <v> </v>
      </c>
      <c r="R149" s="180" t="str">
        <f aca="false">IF((D149="o"),F149," ")</f>
        <v> </v>
      </c>
      <c r="S149" s="180" t="str">
        <f aca="false">IF((D149="f"),F149," ")</f>
        <v> </v>
      </c>
      <c r="U149" s="371"/>
    </row>
    <row r="150" customFormat="false" ht="12.75" hidden="false" customHeight="false" outlineLevel="0" collapsed="false">
      <c r="D150" s="371" t="str">
        <f aca="false">IF((F150&lt;&gt;0),"Enter Letter"," ")</f>
        <v> </v>
      </c>
      <c r="G150" s="180" t="str">
        <f aca="false">IF((D150="d"),F150," ")</f>
        <v> </v>
      </c>
      <c r="H150" s="180" t="str">
        <f aca="false">IF((D150="h"),F150," ")</f>
        <v> </v>
      </c>
      <c r="I150" s="180" t="str">
        <f aca="false">IF((D150="r"),F150," ")</f>
        <v> </v>
      </c>
      <c r="J150" s="180" t="str">
        <f aca="false">IF((D150="t"),F150," ")</f>
        <v> </v>
      </c>
      <c r="K150" s="180" t="str">
        <f aca="false">IF((D150="e"),F150," ")</f>
        <v> </v>
      </c>
      <c r="L150" s="180" t="str">
        <f aca="false">IF((D150="p"),F150," ")</f>
        <v> </v>
      </c>
      <c r="M150" s="180" t="str">
        <f aca="false">IF((D150="g"),F150," ")</f>
        <v> </v>
      </c>
      <c r="N150" s="180" t="str">
        <f aca="false">IF((D150="a"),F150," ")</f>
        <v> </v>
      </c>
      <c r="O150" s="180" t="str">
        <f aca="false">IF((D150="l"),F150," ")</f>
        <v> </v>
      </c>
      <c r="P150" s="180" t="str">
        <f aca="false">IF((D150="i"),F150," ")</f>
        <v> </v>
      </c>
      <c r="Q150" s="180" t="str">
        <f aca="false">IF((D150="b"),F150," ")</f>
        <v> </v>
      </c>
      <c r="R150" s="180" t="str">
        <f aca="false">IF((D150="o"),F150," ")</f>
        <v> </v>
      </c>
      <c r="S150" s="180" t="str">
        <f aca="false">IF((D150="f"),F150," ")</f>
        <v> </v>
      </c>
      <c r="U150" s="371"/>
    </row>
    <row r="151" customFormat="false" ht="12.75" hidden="false" customHeight="false" outlineLevel="0" collapsed="false">
      <c r="D151" s="371" t="str">
        <f aca="false">IF((F151&lt;&gt;0),"Enter Letter"," ")</f>
        <v> </v>
      </c>
      <c r="G151" s="180" t="str">
        <f aca="false">IF((D151="d"),F151," ")</f>
        <v> </v>
      </c>
      <c r="H151" s="180" t="str">
        <f aca="false">IF((D151="h"),F151," ")</f>
        <v> </v>
      </c>
      <c r="I151" s="180" t="str">
        <f aca="false">IF((D151="r"),F151," ")</f>
        <v> </v>
      </c>
      <c r="J151" s="180" t="str">
        <f aca="false">IF((D151="t"),F151," ")</f>
        <v> </v>
      </c>
      <c r="K151" s="180" t="str">
        <f aca="false">IF((D151="e"),F151," ")</f>
        <v> </v>
      </c>
      <c r="L151" s="180" t="str">
        <f aca="false">IF((D151="p"),F151," ")</f>
        <v> </v>
      </c>
      <c r="M151" s="180" t="str">
        <f aca="false">IF((D151="g"),F151," ")</f>
        <v> </v>
      </c>
      <c r="N151" s="180" t="str">
        <f aca="false">IF((D151="a"),F151," ")</f>
        <v> </v>
      </c>
      <c r="O151" s="180" t="str">
        <f aca="false">IF((D151="l"),F151," ")</f>
        <v> </v>
      </c>
      <c r="P151" s="180" t="str">
        <f aca="false">IF((D151="i"),F151," ")</f>
        <v> </v>
      </c>
      <c r="Q151" s="180" t="str">
        <f aca="false">IF((D151="b"),F151," ")</f>
        <v> </v>
      </c>
      <c r="R151" s="180" t="str">
        <f aca="false">IF((D151="o"),F151," ")</f>
        <v> </v>
      </c>
      <c r="S151" s="180" t="str">
        <f aca="false">IF((D151="f"),F151," ")</f>
        <v> </v>
      </c>
      <c r="U151" s="371"/>
    </row>
    <row r="152" customFormat="false" ht="12.75" hidden="false" customHeight="false" outlineLevel="0" collapsed="false">
      <c r="D152" s="371" t="str">
        <f aca="false">IF((F152&lt;&gt;0),"Enter Letter"," ")</f>
        <v> </v>
      </c>
      <c r="G152" s="180" t="str">
        <f aca="false">IF((D152="d"),F152," ")</f>
        <v> </v>
      </c>
      <c r="H152" s="180" t="str">
        <f aca="false">IF((D152="h"),F152," ")</f>
        <v> </v>
      </c>
      <c r="I152" s="180" t="str">
        <f aca="false">IF((D152="r"),F152," ")</f>
        <v> </v>
      </c>
      <c r="J152" s="180" t="str">
        <f aca="false">IF((D152="t"),F152," ")</f>
        <v> </v>
      </c>
      <c r="K152" s="180" t="str">
        <f aca="false">IF((D152="e"),F152," ")</f>
        <v> </v>
      </c>
      <c r="L152" s="180" t="str">
        <f aca="false">IF((D152="p"),F152," ")</f>
        <v> </v>
      </c>
      <c r="M152" s="180" t="str">
        <f aca="false">IF((D152="g"),F152," ")</f>
        <v> </v>
      </c>
      <c r="N152" s="180" t="str">
        <f aca="false">IF((D152="a"),F152," ")</f>
        <v> </v>
      </c>
      <c r="O152" s="180" t="str">
        <f aca="false">IF((D152="l"),F152," ")</f>
        <v> </v>
      </c>
      <c r="P152" s="180" t="str">
        <f aca="false">IF((D152="i"),F152," ")</f>
        <v> </v>
      </c>
      <c r="Q152" s="180" t="str">
        <f aca="false">IF((D152="b"),F152," ")</f>
        <v> </v>
      </c>
      <c r="R152" s="180" t="str">
        <f aca="false">IF((D152="o"),F152," ")</f>
        <v> </v>
      </c>
      <c r="S152" s="180" t="str">
        <f aca="false">IF((D152="f"),F152," ")</f>
        <v> </v>
      </c>
      <c r="U152" s="371"/>
    </row>
    <row r="153" customFormat="false" ht="12.75" hidden="false" customHeight="false" outlineLevel="0" collapsed="false">
      <c r="D153" s="371" t="str">
        <f aca="false">IF((F153&lt;&gt;0),"Enter Letter"," ")</f>
        <v> </v>
      </c>
      <c r="G153" s="180" t="str">
        <f aca="false">IF((D153="d"),F153," ")</f>
        <v> </v>
      </c>
      <c r="H153" s="180" t="str">
        <f aca="false">IF((D153="h"),F153," ")</f>
        <v> </v>
      </c>
      <c r="I153" s="180" t="str">
        <f aca="false">IF((D153="r"),F153," ")</f>
        <v> </v>
      </c>
      <c r="J153" s="180" t="str">
        <f aca="false">IF((D153="t"),F153," ")</f>
        <v> </v>
      </c>
      <c r="K153" s="180" t="str">
        <f aca="false">IF((D153="e"),F153," ")</f>
        <v> </v>
      </c>
      <c r="L153" s="180" t="str">
        <f aca="false">IF((D153="p"),F153," ")</f>
        <v> </v>
      </c>
      <c r="M153" s="180" t="str">
        <f aca="false">IF((D153="g"),F153," ")</f>
        <v> </v>
      </c>
      <c r="N153" s="180" t="str">
        <f aca="false">IF((D153="a"),F153," ")</f>
        <v> </v>
      </c>
      <c r="O153" s="180" t="str">
        <f aca="false">IF((D153="l"),F153," ")</f>
        <v> </v>
      </c>
      <c r="P153" s="180" t="str">
        <f aca="false">IF((D153="i"),F153," ")</f>
        <v> </v>
      </c>
      <c r="Q153" s="180" t="str">
        <f aca="false">IF((D153="b"),F153," ")</f>
        <v> </v>
      </c>
      <c r="R153" s="180" t="str">
        <f aca="false">IF((D153="o"),F153," ")</f>
        <v> </v>
      </c>
      <c r="S153" s="180" t="str">
        <f aca="false">IF((D153="f"),F153," ")</f>
        <v> </v>
      </c>
      <c r="U153" s="371"/>
    </row>
    <row r="154" customFormat="false" ht="12.75" hidden="false" customHeight="false" outlineLevel="0" collapsed="false">
      <c r="D154" s="371" t="str">
        <f aca="false">IF((F154&lt;&gt;0),"Enter Letter"," ")</f>
        <v> </v>
      </c>
      <c r="G154" s="180" t="str">
        <f aca="false">IF((D154="d"),F154," ")</f>
        <v> </v>
      </c>
      <c r="H154" s="180" t="str">
        <f aca="false">IF((D154="h"),F154," ")</f>
        <v> </v>
      </c>
      <c r="I154" s="180" t="str">
        <f aca="false">IF((D154="r"),F154," ")</f>
        <v> </v>
      </c>
      <c r="J154" s="180" t="str">
        <f aca="false">IF((D154="t"),F154," ")</f>
        <v> </v>
      </c>
      <c r="K154" s="180" t="str">
        <f aca="false">IF((D154="e"),F154," ")</f>
        <v> </v>
      </c>
      <c r="L154" s="180" t="str">
        <f aca="false">IF((D154="p"),F154," ")</f>
        <v> </v>
      </c>
      <c r="M154" s="180" t="str">
        <f aca="false">IF((D154="g"),F154," ")</f>
        <v> </v>
      </c>
      <c r="N154" s="180" t="str">
        <f aca="false">IF((D154="a"),F154," ")</f>
        <v> </v>
      </c>
      <c r="O154" s="180" t="str">
        <f aca="false">IF((D154="l"),F154," ")</f>
        <v> </v>
      </c>
      <c r="P154" s="180" t="str">
        <f aca="false">IF((D154="i"),F154," ")</f>
        <v> </v>
      </c>
      <c r="Q154" s="180" t="str">
        <f aca="false">IF((D154="b"),F154," ")</f>
        <v> </v>
      </c>
      <c r="R154" s="180" t="str">
        <f aca="false">IF((D154="o"),F154," ")</f>
        <v> </v>
      </c>
      <c r="S154" s="180" t="str">
        <f aca="false">IF((D154="f"),F154," ")</f>
        <v> </v>
      </c>
      <c r="U154" s="371"/>
    </row>
    <row r="155" customFormat="false" ht="12.75" hidden="false" customHeight="false" outlineLevel="0" collapsed="false">
      <c r="D155" s="371" t="str">
        <f aca="false">IF((F155&lt;&gt;0),"Enter Letter"," ")</f>
        <v> </v>
      </c>
      <c r="G155" s="180" t="str">
        <f aca="false">IF((D155="d"),F155," ")</f>
        <v> </v>
      </c>
      <c r="H155" s="180" t="str">
        <f aca="false">IF((D155="h"),F155," ")</f>
        <v> </v>
      </c>
      <c r="I155" s="180" t="str">
        <f aca="false">IF((D155="r"),F155," ")</f>
        <v> </v>
      </c>
      <c r="J155" s="180" t="str">
        <f aca="false">IF((D155="t"),F155," ")</f>
        <v> </v>
      </c>
      <c r="K155" s="180" t="str">
        <f aca="false">IF((D155="e"),F155," ")</f>
        <v> </v>
      </c>
      <c r="L155" s="180" t="str">
        <f aca="false">IF((D155="p"),F155," ")</f>
        <v> </v>
      </c>
      <c r="M155" s="180" t="str">
        <f aca="false">IF((D155="g"),F155," ")</f>
        <v> </v>
      </c>
      <c r="N155" s="180" t="str">
        <f aca="false">IF((D155="a"),F155," ")</f>
        <v> </v>
      </c>
      <c r="O155" s="180" t="str">
        <f aca="false">IF((D155="l"),F155," ")</f>
        <v> </v>
      </c>
      <c r="P155" s="180" t="str">
        <f aca="false">IF((D155="i"),F155," ")</f>
        <v> </v>
      </c>
      <c r="Q155" s="180" t="str">
        <f aca="false">IF((D155="b"),F155," ")</f>
        <v> </v>
      </c>
      <c r="R155" s="180" t="str">
        <f aca="false">IF((D155="o"),F155," ")</f>
        <v> </v>
      </c>
      <c r="S155" s="180" t="str">
        <f aca="false">IF((D155="f"),F155," ")</f>
        <v> </v>
      </c>
      <c r="U155" s="371"/>
    </row>
    <row r="156" customFormat="false" ht="12.75" hidden="false" customHeight="false" outlineLevel="0" collapsed="false">
      <c r="D156" s="371" t="str">
        <f aca="false">IF((F156&lt;&gt;0),"Enter Letter"," ")</f>
        <v> </v>
      </c>
      <c r="G156" s="180" t="str">
        <f aca="false">IF((D156="d"),F156," ")</f>
        <v> </v>
      </c>
      <c r="H156" s="180" t="str">
        <f aca="false">IF((D156="h"),F156," ")</f>
        <v> </v>
      </c>
      <c r="I156" s="180" t="str">
        <f aca="false">IF((D156="r"),F156," ")</f>
        <v> </v>
      </c>
      <c r="J156" s="180" t="str">
        <f aca="false">IF((D156="t"),F156," ")</f>
        <v> </v>
      </c>
      <c r="K156" s="180" t="str">
        <f aca="false">IF((D156="e"),F156," ")</f>
        <v> </v>
      </c>
      <c r="L156" s="180" t="str">
        <f aca="false">IF((D156="p"),F156," ")</f>
        <v> </v>
      </c>
      <c r="M156" s="180" t="str">
        <f aca="false">IF((D156="g"),F156," ")</f>
        <v> </v>
      </c>
      <c r="N156" s="180" t="str">
        <f aca="false">IF((D156="a"),F156," ")</f>
        <v> </v>
      </c>
      <c r="O156" s="180" t="str">
        <f aca="false">IF((D156="l"),F156," ")</f>
        <v> </v>
      </c>
      <c r="P156" s="180" t="str">
        <f aca="false">IF((D156="i"),F156," ")</f>
        <v> </v>
      </c>
      <c r="Q156" s="180" t="str">
        <f aca="false">IF((D156="b"),F156," ")</f>
        <v> </v>
      </c>
      <c r="R156" s="180" t="str">
        <f aca="false">IF((D156="o"),F156," ")</f>
        <v> </v>
      </c>
      <c r="S156" s="180" t="str">
        <f aca="false">IF((D156="f"),F156," ")</f>
        <v> </v>
      </c>
      <c r="U156" s="371"/>
    </row>
    <row r="157" customFormat="false" ht="12.75" hidden="false" customHeight="false" outlineLevel="0" collapsed="false">
      <c r="D157" s="371" t="str">
        <f aca="false">IF((F157&lt;&gt;0),"Enter Letter"," ")</f>
        <v> </v>
      </c>
      <c r="G157" s="180" t="str">
        <f aca="false">IF((D157="d"),F157," ")</f>
        <v> </v>
      </c>
      <c r="H157" s="180" t="str">
        <f aca="false">IF((D157="h"),F157," ")</f>
        <v> </v>
      </c>
      <c r="I157" s="180" t="str">
        <f aca="false">IF((D157="r"),F157," ")</f>
        <v> </v>
      </c>
      <c r="J157" s="180" t="str">
        <f aca="false">IF((D157="t"),F157," ")</f>
        <v> </v>
      </c>
      <c r="K157" s="180" t="str">
        <f aca="false">IF((D157="e"),F157," ")</f>
        <v> </v>
      </c>
      <c r="L157" s="180" t="str">
        <f aca="false">IF((D157="p"),F157," ")</f>
        <v> </v>
      </c>
      <c r="M157" s="180" t="str">
        <f aca="false">IF((D157="g"),F157," ")</f>
        <v> </v>
      </c>
      <c r="N157" s="180" t="str">
        <f aca="false">IF((D157="a"),F157," ")</f>
        <v> </v>
      </c>
      <c r="O157" s="180" t="str">
        <f aca="false">IF((D157="l"),F157," ")</f>
        <v> </v>
      </c>
      <c r="P157" s="180" t="str">
        <f aca="false">IF((D157="i"),F157," ")</f>
        <v> </v>
      </c>
      <c r="Q157" s="180" t="str">
        <f aca="false">IF((D157="b"),F157," ")</f>
        <v> </v>
      </c>
      <c r="R157" s="180" t="str">
        <f aca="false">IF((D157="o"),F157," ")</f>
        <v> </v>
      </c>
      <c r="S157" s="180" t="str">
        <f aca="false">IF((D157="f"),F157," ")</f>
        <v> </v>
      </c>
      <c r="U157" s="371"/>
    </row>
    <row r="158" customFormat="false" ht="12.75" hidden="false" customHeight="false" outlineLevel="0" collapsed="false">
      <c r="D158" s="371" t="str">
        <f aca="false">IF((F158&lt;&gt;0),"Enter Letter"," ")</f>
        <v> </v>
      </c>
      <c r="G158" s="180" t="str">
        <f aca="false">IF((D158="d"),F158," ")</f>
        <v> </v>
      </c>
      <c r="H158" s="180" t="str">
        <f aca="false">IF((D158="h"),F158," ")</f>
        <v> </v>
      </c>
      <c r="I158" s="180" t="str">
        <f aca="false">IF((D158="r"),F158," ")</f>
        <v> </v>
      </c>
      <c r="J158" s="180" t="str">
        <f aca="false">IF((D158="t"),F158," ")</f>
        <v> </v>
      </c>
      <c r="K158" s="180" t="str">
        <f aca="false">IF((D158="e"),F158," ")</f>
        <v> </v>
      </c>
      <c r="L158" s="180" t="str">
        <f aca="false">IF((D158="p"),F158," ")</f>
        <v> </v>
      </c>
      <c r="M158" s="180" t="str">
        <f aca="false">IF((D158="g"),F158," ")</f>
        <v> </v>
      </c>
      <c r="N158" s="180" t="str">
        <f aca="false">IF((D158="a"),F158," ")</f>
        <v> </v>
      </c>
      <c r="O158" s="180" t="str">
        <f aca="false">IF((D158="l"),F158," ")</f>
        <v> </v>
      </c>
      <c r="P158" s="180" t="str">
        <f aca="false">IF((D158="i"),F158," ")</f>
        <v> </v>
      </c>
      <c r="Q158" s="180" t="str">
        <f aca="false">IF((D158="b"),F158," ")</f>
        <v> </v>
      </c>
      <c r="R158" s="180" t="str">
        <f aca="false">IF((D158="o"),F158," ")</f>
        <v> </v>
      </c>
      <c r="S158" s="180" t="str">
        <f aca="false">IF((D158="f"),F158," ")</f>
        <v> </v>
      </c>
      <c r="U158" s="371"/>
    </row>
    <row r="159" customFormat="false" ht="12.75" hidden="false" customHeight="false" outlineLevel="0" collapsed="false">
      <c r="D159" s="371" t="str">
        <f aca="false">IF((F159&lt;&gt;0),"Enter Letter"," ")</f>
        <v> </v>
      </c>
      <c r="G159" s="180" t="str">
        <f aca="false">IF((D159="d"),F159," ")</f>
        <v> </v>
      </c>
      <c r="H159" s="180" t="str">
        <f aca="false">IF((D159="h"),F159," ")</f>
        <v> </v>
      </c>
      <c r="I159" s="180" t="str">
        <f aca="false">IF((D159="r"),F159," ")</f>
        <v> </v>
      </c>
      <c r="J159" s="180" t="str">
        <f aca="false">IF((D159="t"),F159," ")</f>
        <v> </v>
      </c>
      <c r="K159" s="180" t="str">
        <f aca="false">IF((D159="e"),F159," ")</f>
        <v> </v>
      </c>
      <c r="L159" s="180" t="str">
        <f aca="false">IF((D159="p"),F159," ")</f>
        <v> </v>
      </c>
      <c r="M159" s="180" t="str">
        <f aca="false">IF((D159="g"),F159," ")</f>
        <v> </v>
      </c>
      <c r="N159" s="180" t="str">
        <f aca="false">IF((D159="a"),F159," ")</f>
        <v> </v>
      </c>
      <c r="O159" s="180" t="str">
        <f aca="false">IF((D159="l"),F159," ")</f>
        <v> </v>
      </c>
      <c r="P159" s="180" t="str">
        <f aca="false">IF((D159="i"),F159," ")</f>
        <v> </v>
      </c>
      <c r="Q159" s="180" t="str">
        <f aca="false">IF((D159="b"),F159," ")</f>
        <v> </v>
      </c>
      <c r="R159" s="180" t="str">
        <f aca="false">IF((D159="o"),F159," ")</f>
        <v> </v>
      </c>
      <c r="S159" s="180" t="str">
        <f aca="false">IF((D159="f"),F159," ")</f>
        <v> </v>
      </c>
      <c r="U159" s="371"/>
    </row>
    <row r="160" customFormat="false" ht="12.75" hidden="false" customHeight="false" outlineLevel="0" collapsed="false">
      <c r="D160" s="371" t="str">
        <f aca="false">IF((F160&lt;&gt;0),"Enter Letter"," ")</f>
        <v> </v>
      </c>
      <c r="G160" s="180" t="str">
        <f aca="false">IF((D160="d"),F160," ")</f>
        <v> </v>
      </c>
      <c r="H160" s="180" t="str">
        <f aca="false">IF((D160="h"),F160," ")</f>
        <v> </v>
      </c>
      <c r="I160" s="180" t="str">
        <f aca="false">IF((D160="r"),F160," ")</f>
        <v> </v>
      </c>
      <c r="J160" s="180" t="str">
        <f aca="false">IF((D160="t"),F160," ")</f>
        <v> </v>
      </c>
      <c r="K160" s="180" t="str">
        <f aca="false">IF((D160="e"),F160," ")</f>
        <v> </v>
      </c>
      <c r="L160" s="180" t="str">
        <f aca="false">IF((D160="p"),F160," ")</f>
        <v> </v>
      </c>
      <c r="M160" s="180" t="str">
        <f aca="false">IF((D160="g"),F160," ")</f>
        <v> </v>
      </c>
      <c r="N160" s="180" t="str">
        <f aca="false">IF((D160="a"),F160," ")</f>
        <v> </v>
      </c>
      <c r="O160" s="180" t="str">
        <f aca="false">IF((D160="l"),F160," ")</f>
        <v> </v>
      </c>
      <c r="P160" s="180" t="str">
        <f aca="false">IF((D160="i"),F160," ")</f>
        <v> </v>
      </c>
      <c r="Q160" s="180" t="str">
        <f aca="false">IF((D160="b"),F160," ")</f>
        <v> </v>
      </c>
      <c r="R160" s="180" t="str">
        <f aca="false">IF((D160="o"),F160," ")</f>
        <v> </v>
      </c>
      <c r="S160" s="180" t="str">
        <f aca="false">IF((D160="f"),F160," ")</f>
        <v> </v>
      </c>
      <c r="U160" s="371"/>
    </row>
    <row r="161" customFormat="false" ht="12.75" hidden="false" customHeight="false" outlineLevel="0" collapsed="false">
      <c r="D161" s="371" t="str">
        <f aca="false">IF((F161&lt;&gt;0),"Enter Letter"," ")</f>
        <v> </v>
      </c>
      <c r="G161" s="180" t="str">
        <f aca="false">IF((D161="d"),F161," ")</f>
        <v> </v>
      </c>
      <c r="H161" s="180" t="str">
        <f aca="false">IF((D161="h"),F161," ")</f>
        <v> </v>
      </c>
      <c r="I161" s="180" t="str">
        <f aca="false">IF((D161="r"),F161," ")</f>
        <v> </v>
      </c>
      <c r="J161" s="180" t="str">
        <f aca="false">IF((D161="t"),F161," ")</f>
        <v> </v>
      </c>
      <c r="K161" s="180" t="str">
        <f aca="false">IF((D161="e"),F161," ")</f>
        <v> </v>
      </c>
      <c r="L161" s="180" t="str">
        <f aca="false">IF((D161="p"),F161," ")</f>
        <v> </v>
      </c>
      <c r="M161" s="180" t="str">
        <f aca="false">IF((D161="g"),F161," ")</f>
        <v> </v>
      </c>
      <c r="N161" s="180" t="str">
        <f aca="false">IF((D161="a"),F161," ")</f>
        <v> </v>
      </c>
      <c r="O161" s="180" t="str">
        <f aca="false">IF((D161="l"),F161," ")</f>
        <v> </v>
      </c>
      <c r="P161" s="180" t="str">
        <f aca="false">IF((D161="i"),F161," ")</f>
        <v> </v>
      </c>
      <c r="Q161" s="180" t="str">
        <f aca="false">IF((D161="b"),F161," ")</f>
        <v> </v>
      </c>
      <c r="R161" s="180" t="str">
        <f aca="false">IF((D161="o"),F161," ")</f>
        <v> </v>
      </c>
      <c r="S161" s="180" t="str">
        <f aca="false">IF((D161="f"),F161," ")</f>
        <v> </v>
      </c>
      <c r="U161" s="371"/>
    </row>
    <row r="162" customFormat="false" ht="12.75" hidden="false" customHeight="false" outlineLevel="0" collapsed="false">
      <c r="D162" s="371" t="str">
        <f aca="false">IF((F162&lt;&gt;0),"Enter Letter"," ")</f>
        <v> </v>
      </c>
      <c r="G162" s="180" t="str">
        <f aca="false">IF((D162="d"),F162," ")</f>
        <v> </v>
      </c>
      <c r="H162" s="180" t="str">
        <f aca="false">IF((D162="h"),F162," ")</f>
        <v> </v>
      </c>
      <c r="I162" s="180" t="str">
        <f aca="false">IF((D162="r"),F162," ")</f>
        <v> </v>
      </c>
      <c r="J162" s="180" t="str">
        <f aca="false">IF((D162="t"),F162," ")</f>
        <v> </v>
      </c>
      <c r="K162" s="180" t="str">
        <f aca="false">IF((D162="e"),F162," ")</f>
        <v> </v>
      </c>
      <c r="L162" s="180" t="str">
        <f aca="false">IF((D162="p"),F162," ")</f>
        <v> </v>
      </c>
      <c r="M162" s="180" t="str">
        <f aca="false">IF((D162="g"),F162," ")</f>
        <v> </v>
      </c>
      <c r="N162" s="180" t="str">
        <f aca="false">IF((D162="a"),F162," ")</f>
        <v> </v>
      </c>
      <c r="O162" s="180" t="str">
        <f aca="false">IF((D162="l"),F162," ")</f>
        <v> </v>
      </c>
      <c r="P162" s="180" t="str">
        <f aca="false">IF((D162="i"),F162," ")</f>
        <v> </v>
      </c>
      <c r="Q162" s="180" t="str">
        <f aca="false">IF((D162="b"),F162," ")</f>
        <v> </v>
      </c>
      <c r="R162" s="180" t="str">
        <f aca="false">IF((D162="o"),F162," ")</f>
        <v> </v>
      </c>
      <c r="S162" s="180" t="str">
        <f aca="false">IF((D162="f"),F162," ")</f>
        <v> </v>
      </c>
      <c r="U162" s="371"/>
    </row>
    <row r="163" customFormat="false" ht="12.75" hidden="false" customHeight="false" outlineLevel="0" collapsed="false">
      <c r="D163" s="371" t="str">
        <f aca="false">IF((F163&lt;&gt;0),"Enter Letter"," ")</f>
        <v> </v>
      </c>
      <c r="G163" s="180" t="str">
        <f aca="false">IF((D163="d"),F163," ")</f>
        <v> </v>
      </c>
      <c r="H163" s="180" t="str">
        <f aca="false">IF((D163="h"),F163," ")</f>
        <v> </v>
      </c>
      <c r="I163" s="180" t="str">
        <f aca="false">IF((D163="r"),F163," ")</f>
        <v> </v>
      </c>
      <c r="J163" s="180" t="str">
        <f aca="false">IF((D163="t"),F163," ")</f>
        <v> </v>
      </c>
      <c r="K163" s="180" t="str">
        <f aca="false">IF((D163="e"),F163," ")</f>
        <v> </v>
      </c>
      <c r="L163" s="180" t="str">
        <f aca="false">IF((D163="p"),F163," ")</f>
        <v> </v>
      </c>
      <c r="M163" s="180" t="str">
        <f aca="false">IF((D163="g"),F163," ")</f>
        <v> </v>
      </c>
      <c r="N163" s="180" t="str">
        <f aca="false">IF((D163="a"),F163," ")</f>
        <v> </v>
      </c>
      <c r="O163" s="180" t="str">
        <f aca="false">IF((D163="l"),F163," ")</f>
        <v> </v>
      </c>
      <c r="P163" s="180" t="str">
        <f aca="false">IF((D163="i"),F163," ")</f>
        <v> </v>
      </c>
      <c r="Q163" s="180" t="str">
        <f aca="false">IF((D163="b"),F163," ")</f>
        <v> </v>
      </c>
      <c r="R163" s="180" t="str">
        <f aca="false">IF((D163="o"),F163," ")</f>
        <v> </v>
      </c>
      <c r="S163" s="180" t="str">
        <f aca="false">IF((D163="f"),F163," ")</f>
        <v> </v>
      </c>
      <c r="U163" s="371"/>
    </row>
    <row r="164" customFormat="false" ht="12.75" hidden="false" customHeight="false" outlineLevel="0" collapsed="false">
      <c r="D164" s="371" t="str">
        <f aca="false">IF((F164&lt;&gt;0),"Enter Letter"," ")</f>
        <v> </v>
      </c>
      <c r="G164" s="180" t="str">
        <f aca="false">IF((D164="d"),F164," ")</f>
        <v> </v>
      </c>
      <c r="H164" s="180" t="str">
        <f aca="false">IF((D164="h"),F164," ")</f>
        <v> </v>
      </c>
      <c r="I164" s="180" t="str">
        <f aca="false">IF((D164="r"),F164," ")</f>
        <v> </v>
      </c>
      <c r="J164" s="180" t="str">
        <f aca="false">IF((D164="t"),F164," ")</f>
        <v> </v>
      </c>
      <c r="K164" s="180" t="str">
        <f aca="false">IF((D164="e"),F164," ")</f>
        <v> </v>
      </c>
      <c r="L164" s="180" t="str">
        <f aca="false">IF((D164="p"),F164," ")</f>
        <v> </v>
      </c>
      <c r="M164" s="180" t="str">
        <f aca="false">IF((D164="g"),F164," ")</f>
        <v> </v>
      </c>
      <c r="N164" s="180" t="str">
        <f aca="false">IF((D164="a"),F164," ")</f>
        <v> </v>
      </c>
      <c r="O164" s="180" t="str">
        <f aca="false">IF((D164="l"),F164," ")</f>
        <v> </v>
      </c>
      <c r="P164" s="180" t="str">
        <f aca="false">IF((D164="i"),F164," ")</f>
        <v> </v>
      </c>
      <c r="Q164" s="180" t="str">
        <f aca="false">IF((D164="b"),F164," ")</f>
        <v> </v>
      </c>
      <c r="R164" s="180" t="str">
        <f aca="false">IF((D164="o"),F164," ")</f>
        <v> </v>
      </c>
      <c r="S164" s="180" t="str">
        <f aca="false">IF((D164="f"),F164," ")</f>
        <v> </v>
      </c>
      <c r="U164" s="371"/>
    </row>
    <row r="165" customFormat="false" ht="12.75" hidden="false" customHeight="false" outlineLevel="0" collapsed="false">
      <c r="D165" s="371" t="str">
        <f aca="false">IF((F165&lt;&gt;0),"Enter Letter"," ")</f>
        <v> </v>
      </c>
      <c r="G165" s="180" t="str">
        <f aca="false">IF((D165="d"),F165," ")</f>
        <v> </v>
      </c>
      <c r="H165" s="180" t="str">
        <f aca="false">IF((D165="h"),F165," ")</f>
        <v> </v>
      </c>
      <c r="I165" s="180" t="str">
        <f aca="false">IF((D165="r"),F165," ")</f>
        <v> </v>
      </c>
      <c r="J165" s="180" t="str">
        <f aca="false">IF((D165="t"),F165," ")</f>
        <v> </v>
      </c>
      <c r="K165" s="180" t="str">
        <f aca="false">IF((D165="e"),F165," ")</f>
        <v> </v>
      </c>
      <c r="L165" s="180" t="str">
        <f aca="false">IF((D165="p"),F165," ")</f>
        <v> </v>
      </c>
      <c r="M165" s="180" t="str">
        <f aca="false">IF((D165="g"),F165," ")</f>
        <v> </v>
      </c>
      <c r="N165" s="180" t="str">
        <f aca="false">IF((D165="a"),F165," ")</f>
        <v> </v>
      </c>
      <c r="O165" s="180" t="str">
        <f aca="false">IF((D165="l"),F165," ")</f>
        <v> </v>
      </c>
      <c r="P165" s="180" t="str">
        <f aca="false">IF((D165="i"),F165," ")</f>
        <v> </v>
      </c>
      <c r="Q165" s="180" t="str">
        <f aca="false">IF((D165="b"),F165," ")</f>
        <v> </v>
      </c>
      <c r="R165" s="180" t="str">
        <f aca="false">IF((D165="o"),F165," ")</f>
        <v> </v>
      </c>
      <c r="S165" s="180" t="str">
        <f aca="false">IF((D165="f"),F165," ")</f>
        <v> </v>
      </c>
      <c r="U165" s="371"/>
    </row>
    <row r="166" customFormat="false" ht="12.75" hidden="false" customHeight="false" outlineLevel="0" collapsed="false">
      <c r="D166" s="371" t="str">
        <f aca="false">IF((F166&lt;&gt;0),"Enter Letter"," ")</f>
        <v> </v>
      </c>
      <c r="G166" s="180" t="str">
        <f aca="false">IF((D166="d"),F166," ")</f>
        <v> </v>
      </c>
      <c r="H166" s="180" t="str">
        <f aca="false">IF((D166="h"),F166," ")</f>
        <v> </v>
      </c>
      <c r="I166" s="180" t="str">
        <f aca="false">IF((D166="r"),F166," ")</f>
        <v> </v>
      </c>
      <c r="J166" s="180" t="str">
        <f aca="false">IF((D166="t"),F166," ")</f>
        <v> </v>
      </c>
      <c r="K166" s="180" t="str">
        <f aca="false">IF((D166="e"),F166," ")</f>
        <v> </v>
      </c>
      <c r="L166" s="180" t="str">
        <f aca="false">IF((D166="p"),F166," ")</f>
        <v> </v>
      </c>
      <c r="M166" s="180" t="str">
        <f aca="false">IF((D166="g"),F166," ")</f>
        <v> </v>
      </c>
      <c r="N166" s="180" t="str">
        <f aca="false">IF((D166="a"),F166," ")</f>
        <v> </v>
      </c>
      <c r="O166" s="180" t="str">
        <f aca="false">IF((D166="l"),F166," ")</f>
        <v> </v>
      </c>
      <c r="P166" s="180" t="str">
        <f aca="false">IF((D166="i"),F166," ")</f>
        <v> </v>
      </c>
      <c r="Q166" s="180" t="str">
        <f aca="false">IF((D166="b"),F166," ")</f>
        <v> </v>
      </c>
      <c r="R166" s="180" t="str">
        <f aca="false">IF((D166="o"),F166," ")</f>
        <v> </v>
      </c>
      <c r="S166" s="180" t="str">
        <f aca="false">IF((D166="f"),F166," ")</f>
        <v> </v>
      </c>
      <c r="U166" s="371"/>
    </row>
    <row r="167" customFormat="false" ht="12.75" hidden="false" customHeight="false" outlineLevel="0" collapsed="false">
      <c r="D167" s="371" t="str">
        <f aca="false">IF((F167&lt;&gt;0),"Enter Letter"," ")</f>
        <v> </v>
      </c>
      <c r="G167" s="180" t="str">
        <f aca="false">IF((D167="d"),F167," ")</f>
        <v> </v>
      </c>
      <c r="H167" s="180" t="str">
        <f aca="false">IF((D167="h"),F167," ")</f>
        <v> </v>
      </c>
      <c r="I167" s="180" t="str">
        <f aca="false">IF((D167="r"),F167," ")</f>
        <v> </v>
      </c>
      <c r="J167" s="180" t="str">
        <f aca="false">IF((D167="t"),F167," ")</f>
        <v> </v>
      </c>
      <c r="K167" s="180" t="str">
        <f aca="false">IF((D167="e"),F167," ")</f>
        <v> </v>
      </c>
      <c r="L167" s="180" t="str">
        <f aca="false">IF((D167="p"),F167," ")</f>
        <v> </v>
      </c>
      <c r="M167" s="180" t="str">
        <f aca="false">IF((D167="g"),F167," ")</f>
        <v> </v>
      </c>
      <c r="N167" s="180" t="str">
        <f aca="false">IF((D167="a"),F167," ")</f>
        <v> </v>
      </c>
      <c r="O167" s="180" t="str">
        <f aca="false">IF((D167="l"),F167," ")</f>
        <v> </v>
      </c>
      <c r="P167" s="180" t="str">
        <f aca="false">IF((D167="i"),F167," ")</f>
        <v> </v>
      </c>
      <c r="Q167" s="180" t="str">
        <f aca="false">IF((D167="b"),F167," ")</f>
        <v> </v>
      </c>
      <c r="R167" s="180" t="str">
        <f aca="false">IF((D167="o"),F167," ")</f>
        <v> </v>
      </c>
      <c r="S167" s="180" t="str">
        <f aca="false">IF((D167="f"),F167," ")</f>
        <v> </v>
      </c>
      <c r="U167" s="371"/>
    </row>
    <row r="168" customFormat="false" ht="12.75" hidden="false" customHeight="false" outlineLevel="0" collapsed="false">
      <c r="D168" s="371" t="str">
        <f aca="false">IF((F168&lt;&gt;0),"Enter Letter"," ")</f>
        <v> </v>
      </c>
      <c r="G168" s="180" t="str">
        <f aca="false">IF((D168="d"),F168," ")</f>
        <v> </v>
      </c>
      <c r="H168" s="180" t="str">
        <f aca="false">IF((D168="h"),F168," ")</f>
        <v> </v>
      </c>
      <c r="I168" s="180" t="str">
        <f aca="false">IF((D168="r"),F168," ")</f>
        <v> </v>
      </c>
      <c r="J168" s="180" t="str">
        <f aca="false">IF((D168="t"),F168," ")</f>
        <v> </v>
      </c>
      <c r="K168" s="180" t="str">
        <f aca="false">IF((D168="e"),F168," ")</f>
        <v> </v>
      </c>
      <c r="L168" s="180" t="str">
        <f aca="false">IF((D168="p"),F168," ")</f>
        <v> </v>
      </c>
      <c r="M168" s="180" t="str">
        <f aca="false">IF((D168="g"),F168," ")</f>
        <v> </v>
      </c>
      <c r="N168" s="180" t="str">
        <f aca="false">IF((D168="a"),F168," ")</f>
        <v> </v>
      </c>
      <c r="O168" s="180" t="str">
        <f aca="false">IF((D168="l"),F168," ")</f>
        <v> </v>
      </c>
      <c r="P168" s="180" t="str">
        <f aca="false">IF((D168="i"),F168," ")</f>
        <v> </v>
      </c>
      <c r="Q168" s="180" t="str">
        <f aca="false">IF((D168="b"),F168," ")</f>
        <v> </v>
      </c>
      <c r="R168" s="180" t="str">
        <f aca="false">IF((D168="o"),F168," ")</f>
        <v> </v>
      </c>
      <c r="S168" s="180" t="str">
        <f aca="false">IF((D168="f"),F168," ")</f>
        <v> </v>
      </c>
      <c r="U168" s="371"/>
    </row>
    <row r="169" customFormat="false" ht="12.75" hidden="false" customHeight="false" outlineLevel="0" collapsed="false">
      <c r="D169" s="371" t="str">
        <f aca="false">IF((F169&lt;&gt;0),"Enter Letter"," ")</f>
        <v> </v>
      </c>
      <c r="G169" s="180" t="str">
        <f aca="false">IF((D169="d"),F169," ")</f>
        <v> </v>
      </c>
      <c r="H169" s="180" t="str">
        <f aca="false">IF((D169="h"),F169," ")</f>
        <v> </v>
      </c>
      <c r="I169" s="180" t="str">
        <f aca="false">IF((D169="r"),F169," ")</f>
        <v> </v>
      </c>
      <c r="J169" s="180" t="str">
        <f aca="false">IF((D169="t"),F169," ")</f>
        <v> </v>
      </c>
      <c r="K169" s="180" t="str">
        <f aca="false">IF((D169="e"),F169," ")</f>
        <v> </v>
      </c>
      <c r="L169" s="180" t="str">
        <f aca="false">IF((D169="p"),F169," ")</f>
        <v> </v>
      </c>
      <c r="M169" s="180" t="str">
        <f aca="false">IF((D169="g"),F169," ")</f>
        <v> </v>
      </c>
      <c r="N169" s="180" t="str">
        <f aca="false">IF((D169="a"),F169," ")</f>
        <v> </v>
      </c>
      <c r="O169" s="180" t="str">
        <f aca="false">IF((D169="l"),F169," ")</f>
        <v> </v>
      </c>
      <c r="P169" s="180" t="str">
        <f aca="false">IF((D169="i"),F169," ")</f>
        <v> </v>
      </c>
      <c r="Q169" s="180" t="str">
        <f aca="false">IF((D169="b"),F169," ")</f>
        <v> </v>
      </c>
      <c r="R169" s="180" t="str">
        <f aca="false">IF((D169="o"),F169," ")</f>
        <v> </v>
      </c>
      <c r="S169" s="180" t="str">
        <f aca="false">IF((D169="f"),F169," ")</f>
        <v> </v>
      </c>
      <c r="U169" s="371"/>
    </row>
    <row r="170" customFormat="false" ht="12.75" hidden="false" customHeight="false" outlineLevel="0" collapsed="false">
      <c r="D170" s="371" t="str">
        <f aca="false">IF((F170&lt;&gt;0),"Enter Letter"," ")</f>
        <v> </v>
      </c>
      <c r="G170" s="180" t="str">
        <f aca="false">IF((D170="d"),F170," ")</f>
        <v> </v>
      </c>
      <c r="H170" s="180" t="str">
        <f aca="false">IF((D170="h"),F170," ")</f>
        <v> </v>
      </c>
      <c r="I170" s="180" t="str">
        <f aca="false">IF((D170="r"),F170," ")</f>
        <v> </v>
      </c>
      <c r="J170" s="180" t="str">
        <f aca="false">IF((D170="t"),F170," ")</f>
        <v> </v>
      </c>
      <c r="K170" s="180" t="str">
        <f aca="false">IF((D170="e"),F170," ")</f>
        <v> </v>
      </c>
      <c r="L170" s="180" t="str">
        <f aca="false">IF((D170="p"),F170," ")</f>
        <v> </v>
      </c>
      <c r="M170" s="180" t="str">
        <f aca="false">IF((D170="g"),F170," ")</f>
        <v> </v>
      </c>
      <c r="N170" s="180" t="str">
        <f aca="false">IF((D170="a"),F170," ")</f>
        <v> </v>
      </c>
      <c r="O170" s="180" t="str">
        <f aca="false">IF((D170="l"),F170," ")</f>
        <v> </v>
      </c>
      <c r="P170" s="180" t="str">
        <f aca="false">IF((D170="i"),F170," ")</f>
        <v> </v>
      </c>
      <c r="Q170" s="180" t="str">
        <f aca="false">IF((D170="b"),F170," ")</f>
        <v> </v>
      </c>
      <c r="R170" s="180" t="str">
        <f aca="false">IF((D170="o"),F170," ")</f>
        <v> </v>
      </c>
      <c r="S170" s="180" t="str">
        <f aca="false">IF((D170="f"),F170," ")</f>
        <v> </v>
      </c>
      <c r="U170" s="371"/>
    </row>
    <row r="171" customFormat="false" ht="12.75" hidden="false" customHeight="false" outlineLevel="0" collapsed="false">
      <c r="D171" s="371" t="str">
        <f aca="false">IF((F171&lt;&gt;0),"Enter Letter"," ")</f>
        <v> </v>
      </c>
      <c r="G171" s="180" t="str">
        <f aca="false">IF((D171="d"),F171," ")</f>
        <v> </v>
      </c>
      <c r="H171" s="180" t="str">
        <f aca="false">IF((D171="h"),F171," ")</f>
        <v> </v>
      </c>
      <c r="I171" s="180" t="str">
        <f aca="false">IF((D171="r"),F171," ")</f>
        <v> </v>
      </c>
      <c r="J171" s="180" t="str">
        <f aca="false">IF((D171="t"),F171," ")</f>
        <v> </v>
      </c>
      <c r="K171" s="180" t="str">
        <f aca="false">IF((D171="e"),F171," ")</f>
        <v> </v>
      </c>
      <c r="L171" s="180" t="str">
        <f aca="false">IF((D171="p"),F171," ")</f>
        <v> </v>
      </c>
      <c r="M171" s="180" t="str">
        <f aca="false">IF((D171="g"),F171," ")</f>
        <v> </v>
      </c>
      <c r="N171" s="180" t="str">
        <f aca="false">IF((D171="a"),F171," ")</f>
        <v> </v>
      </c>
      <c r="O171" s="180" t="str">
        <f aca="false">IF((D171="l"),F171," ")</f>
        <v> </v>
      </c>
      <c r="P171" s="180" t="str">
        <f aca="false">IF((D171="i"),F171," ")</f>
        <v> </v>
      </c>
      <c r="Q171" s="180" t="str">
        <f aca="false">IF((D171="b"),F171," ")</f>
        <v> </v>
      </c>
      <c r="R171" s="180" t="str">
        <f aca="false">IF((D171="o"),F171," ")</f>
        <v> </v>
      </c>
      <c r="S171" s="180" t="str">
        <f aca="false">IF((D171="f"),F171," ")</f>
        <v> </v>
      </c>
      <c r="U171" s="371"/>
    </row>
    <row r="172" customFormat="false" ht="12.75" hidden="false" customHeight="false" outlineLevel="0" collapsed="false">
      <c r="D172" s="371" t="str">
        <f aca="false">IF((F172&lt;&gt;0),"Enter Letter"," ")</f>
        <v> </v>
      </c>
      <c r="G172" s="180" t="str">
        <f aca="false">IF((D172="d"),F172," ")</f>
        <v> </v>
      </c>
      <c r="H172" s="180" t="str">
        <f aca="false">IF((D172="h"),F172," ")</f>
        <v> </v>
      </c>
      <c r="I172" s="180" t="str">
        <f aca="false">IF((D172="r"),F172," ")</f>
        <v> </v>
      </c>
      <c r="J172" s="180" t="str">
        <f aca="false">IF((D172="t"),F172," ")</f>
        <v> </v>
      </c>
      <c r="K172" s="180" t="str">
        <f aca="false">IF((D172="e"),F172," ")</f>
        <v> </v>
      </c>
      <c r="L172" s="180" t="str">
        <f aca="false">IF((D172="p"),F172," ")</f>
        <v> </v>
      </c>
      <c r="M172" s="180" t="str">
        <f aca="false">IF((D172="g"),F172," ")</f>
        <v> </v>
      </c>
      <c r="N172" s="180" t="str">
        <f aca="false">IF((D172="a"),F172," ")</f>
        <v> </v>
      </c>
      <c r="O172" s="180" t="str">
        <f aca="false">IF((D172="l"),F172," ")</f>
        <v> </v>
      </c>
      <c r="P172" s="180" t="str">
        <f aca="false">IF((D172="i"),F172," ")</f>
        <v> </v>
      </c>
      <c r="Q172" s="180" t="str">
        <f aca="false">IF((D172="b"),F172," ")</f>
        <v> </v>
      </c>
      <c r="R172" s="180" t="str">
        <f aca="false">IF((D172="o"),F172," ")</f>
        <v> </v>
      </c>
      <c r="S172" s="180" t="str">
        <f aca="false">IF((D172="f"),F172," ")</f>
        <v> </v>
      </c>
      <c r="U172" s="371"/>
    </row>
    <row r="173" customFormat="false" ht="12.75" hidden="false" customHeight="false" outlineLevel="0" collapsed="false">
      <c r="D173" s="371" t="str">
        <f aca="false">IF((F173&lt;&gt;0),"Enter Letter"," ")</f>
        <v> </v>
      </c>
      <c r="G173" s="180" t="str">
        <f aca="false">IF((D173="d"),F173," ")</f>
        <v> </v>
      </c>
      <c r="H173" s="180" t="str">
        <f aca="false">IF((D173="h"),F173," ")</f>
        <v> </v>
      </c>
      <c r="I173" s="180" t="str">
        <f aca="false">IF((D173="r"),F173," ")</f>
        <v> </v>
      </c>
      <c r="J173" s="180" t="str">
        <f aca="false">IF((D173="t"),F173," ")</f>
        <v> </v>
      </c>
      <c r="K173" s="180" t="str">
        <f aca="false">IF((D173="e"),F173," ")</f>
        <v> </v>
      </c>
      <c r="L173" s="180" t="str">
        <f aca="false">IF((D173="p"),F173," ")</f>
        <v> </v>
      </c>
      <c r="M173" s="180" t="str">
        <f aca="false">IF((D173="g"),F173," ")</f>
        <v> </v>
      </c>
      <c r="N173" s="180" t="str">
        <f aca="false">IF((D173="a"),F173," ")</f>
        <v> </v>
      </c>
      <c r="O173" s="180" t="str">
        <f aca="false">IF((D173="l"),F173," ")</f>
        <v> </v>
      </c>
      <c r="P173" s="180" t="str">
        <f aca="false">IF((D173="i"),F173," ")</f>
        <v> </v>
      </c>
      <c r="Q173" s="180" t="str">
        <f aca="false">IF((D173="b"),F173," ")</f>
        <v> </v>
      </c>
      <c r="R173" s="180" t="str">
        <f aca="false">IF((D173="o"),F173," ")</f>
        <v> </v>
      </c>
      <c r="S173" s="180" t="str">
        <f aca="false">IF((D173="f"),F173," ")</f>
        <v> </v>
      </c>
      <c r="U173" s="371"/>
    </row>
    <row r="174" customFormat="false" ht="12.75" hidden="false" customHeight="false" outlineLevel="0" collapsed="false">
      <c r="D174" s="371" t="str">
        <f aca="false">IF((F174&lt;&gt;0),"Enter Letter"," ")</f>
        <v> </v>
      </c>
      <c r="G174" s="180" t="str">
        <f aca="false">IF((D174="d"),F174," ")</f>
        <v> </v>
      </c>
      <c r="H174" s="180" t="str">
        <f aca="false">IF((D174="h"),F174," ")</f>
        <v> </v>
      </c>
      <c r="I174" s="180" t="str">
        <f aca="false">IF((D174="r"),F174," ")</f>
        <v> </v>
      </c>
      <c r="J174" s="180" t="str">
        <f aca="false">IF((D174="t"),F174," ")</f>
        <v> </v>
      </c>
      <c r="K174" s="180" t="str">
        <f aca="false">IF((D174="e"),F174," ")</f>
        <v> </v>
      </c>
      <c r="L174" s="180" t="str">
        <f aca="false">IF((D174="p"),F174," ")</f>
        <v> </v>
      </c>
      <c r="M174" s="180" t="str">
        <f aca="false">IF((D174="g"),F174," ")</f>
        <v> </v>
      </c>
      <c r="N174" s="180" t="str">
        <f aca="false">IF((D174="a"),F174," ")</f>
        <v> </v>
      </c>
      <c r="O174" s="180" t="str">
        <f aca="false">IF((D174="l"),F174," ")</f>
        <v> </v>
      </c>
      <c r="P174" s="180" t="str">
        <f aca="false">IF((D174="i"),F174," ")</f>
        <v> </v>
      </c>
      <c r="Q174" s="180" t="str">
        <f aca="false">IF((D174="b"),F174," ")</f>
        <v> </v>
      </c>
      <c r="R174" s="180" t="str">
        <f aca="false">IF((D174="o"),F174," ")</f>
        <v> </v>
      </c>
      <c r="S174" s="180" t="str">
        <f aca="false">IF((D174="f"),F174," ")</f>
        <v> </v>
      </c>
      <c r="U174" s="371"/>
    </row>
    <row r="175" customFormat="false" ht="12.75" hidden="false" customHeight="false" outlineLevel="0" collapsed="false">
      <c r="D175" s="371" t="str">
        <f aca="false">IF((F175&lt;&gt;0),"Enter Letter"," ")</f>
        <v> </v>
      </c>
      <c r="G175" s="180" t="str">
        <f aca="false">IF((D175="d"),F175," ")</f>
        <v> </v>
      </c>
      <c r="H175" s="180" t="str">
        <f aca="false">IF((D175="h"),F175," ")</f>
        <v> </v>
      </c>
      <c r="I175" s="180" t="str">
        <f aca="false">IF((D175="r"),F175," ")</f>
        <v> </v>
      </c>
      <c r="J175" s="180" t="str">
        <f aca="false">IF((D175="t"),F175," ")</f>
        <v> </v>
      </c>
      <c r="K175" s="180" t="str">
        <f aca="false">IF((D175="e"),F175," ")</f>
        <v> </v>
      </c>
      <c r="L175" s="180" t="str">
        <f aca="false">IF((D175="p"),F175," ")</f>
        <v> </v>
      </c>
      <c r="M175" s="180" t="str">
        <f aca="false">IF((D175="g"),F175," ")</f>
        <v> </v>
      </c>
      <c r="N175" s="180" t="str">
        <f aca="false">IF((D175="a"),F175," ")</f>
        <v> </v>
      </c>
      <c r="O175" s="180" t="str">
        <f aca="false">IF((D175="l"),F175," ")</f>
        <v> </v>
      </c>
      <c r="P175" s="180" t="str">
        <f aca="false">IF((D175="i"),F175," ")</f>
        <v> </v>
      </c>
      <c r="Q175" s="180" t="str">
        <f aca="false">IF((D175="b"),F175," ")</f>
        <v> </v>
      </c>
      <c r="R175" s="180" t="str">
        <f aca="false">IF((D175="o"),F175," ")</f>
        <v> </v>
      </c>
      <c r="S175" s="180" t="str">
        <f aca="false">IF((D175="f"),F175," ")</f>
        <v> </v>
      </c>
      <c r="U175" s="371"/>
    </row>
    <row r="176" customFormat="false" ht="12.75" hidden="false" customHeight="false" outlineLevel="0" collapsed="false">
      <c r="D176" s="371" t="str">
        <f aca="false">IF((F176&lt;&gt;0),"Enter Letter"," ")</f>
        <v> </v>
      </c>
      <c r="G176" s="180" t="str">
        <f aca="false">IF((D176="d"),F176," ")</f>
        <v> </v>
      </c>
      <c r="H176" s="180" t="str">
        <f aca="false">IF((D176="h"),F176," ")</f>
        <v> </v>
      </c>
      <c r="I176" s="180" t="str">
        <f aca="false">IF((D176="r"),F176," ")</f>
        <v> </v>
      </c>
      <c r="J176" s="180" t="str">
        <f aca="false">IF((D176="t"),F176," ")</f>
        <v> </v>
      </c>
      <c r="K176" s="180" t="str">
        <f aca="false">IF((D176="e"),F176," ")</f>
        <v> </v>
      </c>
      <c r="L176" s="180" t="str">
        <f aca="false">IF((D176="p"),F176," ")</f>
        <v> </v>
      </c>
      <c r="M176" s="180" t="str">
        <f aca="false">IF((D176="g"),F176," ")</f>
        <v> </v>
      </c>
      <c r="N176" s="180" t="str">
        <f aca="false">IF((D176="a"),F176," ")</f>
        <v> </v>
      </c>
      <c r="O176" s="180" t="str">
        <f aca="false">IF((D176="l"),F176," ")</f>
        <v> </v>
      </c>
      <c r="P176" s="180" t="str">
        <f aca="false">IF((D176="i"),F176," ")</f>
        <v> </v>
      </c>
      <c r="Q176" s="180" t="str">
        <f aca="false">IF((D176="b"),F176," ")</f>
        <v> </v>
      </c>
      <c r="R176" s="180" t="str">
        <f aca="false">IF((D176="o"),F176," ")</f>
        <v> </v>
      </c>
      <c r="S176" s="180" t="str">
        <f aca="false">IF((D176="f"),F176," ")</f>
        <v> </v>
      </c>
      <c r="U176" s="371"/>
    </row>
    <row r="177" customFormat="false" ht="12.75" hidden="false" customHeight="false" outlineLevel="0" collapsed="false">
      <c r="D177" s="371" t="str">
        <f aca="false">IF((F177&lt;&gt;0),"Enter Letter"," ")</f>
        <v> </v>
      </c>
      <c r="G177" s="180" t="str">
        <f aca="false">IF((D177="d"),F177," ")</f>
        <v> </v>
      </c>
      <c r="H177" s="180" t="str">
        <f aca="false">IF((D177="h"),F177," ")</f>
        <v> </v>
      </c>
      <c r="I177" s="180" t="str">
        <f aca="false">IF((D177="r"),F177," ")</f>
        <v> </v>
      </c>
      <c r="J177" s="180" t="str">
        <f aca="false">IF((D177="t"),F177," ")</f>
        <v> </v>
      </c>
      <c r="K177" s="180" t="str">
        <f aca="false">IF((D177="e"),F177," ")</f>
        <v> </v>
      </c>
      <c r="L177" s="180" t="str">
        <f aca="false">IF((D177="p"),F177," ")</f>
        <v> </v>
      </c>
      <c r="M177" s="180" t="str">
        <f aca="false">IF((D177="g"),F177," ")</f>
        <v> </v>
      </c>
      <c r="N177" s="180" t="str">
        <f aca="false">IF((D177="a"),F177," ")</f>
        <v> </v>
      </c>
      <c r="O177" s="180" t="str">
        <f aca="false">IF((D177="l"),F177," ")</f>
        <v> </v>
      </c>
      <c r="P177" s="180" t="str">
        <f aca="false">IF((D177="i"),F177," ")</f>
        <v> </v>
      </c>
      <c r="Q177" s="180" t="str">
        <f aca="false">IF((D177="b"),F177," ")</f>
        <v> </v>
      </c>
      <c r="R177" s="180" t="str">
        <f aca="false">IF((D177="o"),F177," ")</f>
        <v> </v>
      </c>
      <c r="S177" s="180" t="str">
        <f aca="false">IF((D177="f"),F177," ")</f>
        <v> </v>
      </c>
      <c r="U177" s="371"/>
    </row>
    <row r="178" customFormat="false" ht="12.75" hidden="false" customHeight="false" outlineLevel="0" collapsed="false">
      <c r="D178" s="371" t="str">
        <f aca="false">IF((F178&lt;&gt;0),"Enter Letter"," ")</f>
        <v> </v>
      </c>
      <c r="G178" s="180" t="str">
        <f aca="false">IF((D178="d"),F178," ")</f>
        <v> </v>
      </c>
      <c r="H178" s="180" t="str">
        <f aca="false">IF((D178="h"),F178," ")</f>
        <v> </v>
      </c>
      <c r="I178" s="180" t="str">
        <f aca="false">IF((D178="r"),F178," ")</f>
        <v> </v>
      </c>
      <c r="J178" s="180" t="str">
        <f aca="false">IF((D178="t"),F178," ")</f>
        <v> </v>
      </c>
      <c r="K178" s="180" t="str">
        <f aca="false">IF((D178="e"),F178," ")</f>
        <v> </v>
      </c>
      <c r="L178" s="180" t="str">
        <f aca="false">IF((D178="p"),F178," ")</f>
        <v> </v>
      </c>
      <c r="M178" s="180" t="str">
        <f aca="false">IF((D178="g"),F178," ")</f>
        <v> </v>
      </c>
      <c r="N178" s="180" t="str">
        <f aca="false">IF((D178="a"),F178," ")</f>
        <v> </v>
      </c>
      <c r="O178" s="180" t="str">
        <f aca="false">IF((D178="l"),F178," ")</f>
        <v> </v>
      </c>
      <c r="P178" s="180" t="str">
        <f aca="false">IF((D178="i"),F178," ")</f>
        <v> </v>
      </c>
      <c r="Q178" s="180" t="str">
        <f aca="false">IF((D178="b"),F178," ")</f>
        <v> </v>
      </c>
      <c r="R178" s="180" t="str">
        <f aca="false">IF((D178="o"),F178," ")</f>
        <v> </v>
      </c>
      <c r="S178" s="180" t="str">
        <f aca="false">IF((D178="f"),F178," ")</f>
        <v> </v>
      </c>
      <c r="U178" s="371"/>
    </row>
    <row r="179" customFormat="false" ht="12.75" hidden="false" customHeight="false" outlineLevel="0" collapsed="false">
      <c r="D179" s="371" t="str">
        <f aca="false">IF((F179&lt;&gt;0),"Enter Letter"," ")</f>
        <v> </v>
      </c>
      <c r="G179" s="180" t="str">
        <f aca="false">IF((D179="d"),F179," ")</f>
        <v> </v>
      </c>
      <c r="H179" s="180" t="str">
        <f aca="false">IF((D179="h"),F179," ")</f>
        <v> </v>
      </c>
      <c r="I179" s="180" t="str">
        <f aca="false">IF((D179="r"),F179," ")</f>
        <v> </v>
      </c>
      <c r="J179" s="180" t="str">
        <f aca="false">IF((D179="t"),F179," ")</f>
        <v> </v>
      </c>
      <c r="K179" s="180" t="str">
        <f aca="false">IF((D179="e"),F179," ")</f>
        <v> </v>
      </c>
      <c r="L179" s="180" t="str">
        <f aca="false">IF((D179="p"),F179," ")</f>
        <v> </v>
      </c>
      <c r="M179" s="180" t="str">
        <f aca="false">IF((D179="g"),F179," ")</f>
        <v> </v>
      </c>
      <c r="N179" s="180" t="str">
        <f aca="false">IF((D179="a"),F179," ")</f>
        <v> </v>
      </c>
      <c r="O179" s="180" t="str">
        <f aca="false">IF((D179="l"),F179," ")</f>
        <v> </v>
      </c>
      <c r="P179" s="180" t="str">
        <f aca="false">IF((D179="i"),F179," ")</f>
        <v> </v>
      </c>
      <c r="Q179" s="180" t="str">
        <f aca="false">IF((D179="b"),F179," ")</f>
        <v> </v>
      </c>
      <c r="R179" s="180" t="str">
        <f aca="false">IF((D179="o"),F179," ")</f>
        <v> </v>
      </c>
      <c r="S179" s="180" t="str">
        <f aca="false">IF((D179="f"),F179," ")</f>
        <v> </v>
      </c>
      <c r="U179" s="371"/>
    </row>
    <row r="180" customFormat="false" ht="12.75" hidden="false" customHeight="false" outlineLevel="0" collapsed="false">
      <c r="D180" s="371" t="str">
        <f aca="false">IF((F180&lt;&gt;0),"Enter Letter"," ")</f>
        <v> </v>
      </c>
      <c r="G180" s="180" t="str">
        <f aca="false">IF((D180="d"),F180," ")</f>
        <v> </v>
      </c>
      <c r="H180" s="180" t="str">
        <f aca="false">IF((D180="h"),F180," ")</f>
        <v> </v>
      </c>
      <c r="I180" s="180" t="str">
        <f aca="false">IF((D180="r"),F180," ")</f>
        <v> </v>
      </c>
      <c r="J180" s="180" t="str">
        <f aca="false">IF((D180="t"),F180," ")</f>
        <v> </v>
      </c>
      <c r="K180" s="180" t="str">
        <f aca="false">IF((D180="e"),F180," ")</f>
        <v> </v>
      </c>
      <c r="L180" s="180" t="str">
        <f aca="false">IF((D180="p"),F180," ")</f>
        <v> </v>
      </c>
      <c r="M180" s="180" t="str">
        <f aca="false">IF((D180="g"),F180," ")</f>
        <v> </v>
      </c>
      <c r="N180" s="180" t="str">
        <f aca="false">IF((D180="a"),F180," ")</f>
        <v> </v>
      </c>
      <c r="O180" s="180" t="str">
        <f aca="false">IF((D180="l"),F180," ")</f>
        <v> </v>
      </c>
      <c r="P180" s="180" t="str">
        <f aca="false">IF((D180="i"),F180," ")</f>
        <v> </v>
      </c>
      <c r="Q180" s="180" t="str">
        <f aca="false">IF((D180="b"),F180," ")</f>
        <v> </v>
      </c>
      <c r="R180" s="180" t="str">
        <f aca="false">IF((D180="o"),F180," ")</f>
        <v> </v>
      </c>
      <c r="S180" s="180" t="str">
        <f aca="false">IF((D180="f"),F180," ")</f>
        <v> </v>
      </c>
      <c r="U180" s="371"/>
    </row>
    <row r="181" customFormat="false" ht="12.75" hidden="false" customHeight="false" outlineLevel="0" collapsed="false">
      <c r="D181" s="371" t="str">
        <f aca="false">IF((F181&lt;&gt;0),"Enter Letter"," ")</f>
        <v> </v>
      </c>
      <c r="G181" s="180" t="str">
        <f aca="false">IF((D181="d"),F181," ")</f>
        <v> </v>
      </c>
      <c r="H181" s="180" t="str">
        <f aca="false">IF((D181="h"),F181," ")</f>
        <v> </v>
      </c>
      <c r="I181" s="180" t="str">
        <f aca="false">IF((D181="r"),F181," ")</f>
        <v> </v>
      </c>
      <c r="J181" s="180" t="str">
        <f aca="false">IF((D181="t"),F181," ")</f>
        <v> </v>
      </c>
      <c r="K181" s="180" t="str">
        <f aca="false">IF((D181="e"),F181," ")</f>
        <v> </v>
      </c>
      <c r="L181" s="180" t="str">
        <f aca="false">IF((D181="p"),F181," ")</f>
        <v> </v>
      </c>
      <c r="M181" s="180" t="str">
        <f aca="false">IF((D181="g"),F181," ")</f>
        <v> </v>
      </c>
      <c r="N181" s="180" t="str">
        <f aca="false">IF((D181="a"),F181," ")</f>
        <v> </v>
      </c>
      <c r="O181" s="180" t="str">
        <f aca="false">IF((D181="l"),F181," ")</f>
        <v> </v>
      </c>
      <c r="P181" s="180" t="str">
        <f aca="false">IF((D181="i"),F181," ")</f>
        <v> </v>
      </c>
      <c r="Q181" s="180" t="str">
        <f aca="false">IF((D181="b"),F181," ")</f>
        <v> </v>
      </c>
      <c r="R181" s="180" t="str">
        <f aca="false">IF((D181="o"),F181," ")</f>
        <v> </v>
      </c>
      <c r="S181" s="180" t="str">
        <f aca="false">IF((D181="f"),F181," ")</f>
        <v> </v>
      </c>
      <c r="U181" s="371"/>
    </row>
    <row r="182" customFormat="false" ht="12.75" hidden="false" customHeight="false" outlineLevel="0" collapsed="false">
      <c r="D182" s="371" t="str">
        <f aca="false">IF((F182&lt;&gt;0),"Enter Letter"," ")</f>
        <v> </v>
      </c>
      <c r="G182" s="180" t="str">
        <f aca="false">IF((D182="d"),F182," ")</f>
        <v> </v>
      </c>
      <c r="H182" s="180" t="str">
        <f aca="false">IF((D182="h"),F182," ")</f>
        <v> </v>
      </c>
      <c r="I182" s="180" t="str">
        <f aca="false">IF((D182="r"),F182," ")</f>
        <v> </v>
      </c>
      <c r="J182" s="180" t="str">
        <f aca="false">IF((D182="t"),F182," ")</f>
        <v> </v>
      </c>
      <c r="K182" s="180" t="str">
        <f aca="false">IF((D182="e"),F182," ")</f>
        <v> </v>
      </c>
      <c r="L182" s="180" t="str">
        <f aca="false">IF((D182="p"),F182," ")</f>
        <v> </v>
      </c>
      <c r="M182" s="180" t="str">
        <f aca="false">IF((D182="g"),F182," ")</f>
        <v> </v>
      </c>
      <c r="N182" s="180" t="str">
        <f aca="false">IF((D182="a"),F182," ")</f>
        <v> </v>
      </c>
      <c r="O182" s="180" t="str">
        <f aca="false">IF((D182="l"),F182," ")</f>
        <v> </v>
      </c>
      <c r="P182" s="180" t="str">
        <f aca="false">IF((D182="i"),F182," ")</f>
        <v> </v>
      </c>
      <c r="Q182" s="180" t="str">
        <f aca="false">IF((D182="b"),F182," ")</f>
        <v> </v>
      </c>
      <c r="R182" s="180" t="str">
        <f aca="false">IF((D182="o"),F182," ")</f>
        <v> </v>
      </c>
      <c r="S182" s="180" t="str">
        <f aca="false">IF((D182="f"),F182," ")</f>
        <v> </v>
      </c>
      <c r="U182" s="371"/>
    </row>
    <row r="183" customFormat="false" ht="12.75" hidden="false" customHeight="false" outlineLevel="0" collapsed="false">
      <c r="D183" s="371" t="str">
        <f aca="false">IF((F183&lt;&gt;0),"Enter Letter"," ")</f>
        <v> </v>
      </c>
      <c r="G183" s="180" t="str">
        <f aca="false">IF((D183="d"),F183," ")</f>
        <v> </v>
      </c>
      <c r="H183" s="180" t="str">
        <f aca="false">IF((D183="h"),F183," ")</f>
        <v> </v>
      </c>
      <c r="I183" s="180" t="str">
        <f aca="false">IF((D183="r"),F183," ")</f>
        <v> </v>
      </c>
      <c r="J183" s="180" t="str">
        <f aca="false">IF((D183="t"),F183," ")</f>
        <v> </v>
      </c>
      <c r="K183" s="180" t="str">
        <f aca="false">IF((D183="e"),F183," ")</f>
        <v> </v>
      </c>
      <c r="L183" s="180" t="str">
        <f aca="false">IF((D183="p"),F183," ")</f>
        <v> </v>
      </c>
      <c r="M183" s="180" t="str">
        <f aca="false">IF((D183="g"),F183," ")</f>
        <v> </v>
      </c>
      <c r="N183" s="180" t="str">
        <f aca="false">IF((D183="a"),F183," ")</f>
        <v> </v>
      </c>
      <c r="O183" s="180" t="str">
        <f aca="false">IF((D183="l"),F183," ")</f>
        <v> </v>
      </c>
      <c r="P183" s="180" t="str">
        <f aca="false">IF((D183="i"),F183," ")</f>
        <v> </v>
      </c>
      <c r="Q183" s="180" t="str">
        <f aca="false">IF((D183="b"),F183," ")</f>
        <v> </v>
      </c>
      <c r="R183" s="180" t="str">
        <f aca="false">IF((D183="o"),F183," ")</f>
        <v> </v>
      </c>
      <c r="S183" s="180" t="str">
        <f aca="false">IF((D183="f"),F183," ")</f>
        <v> </v>
      </c>
      <c r="U183" s="371"/>
    </row>
    <row r="184" customFormat="false" ht="12.75" hidden="false" customHeight="false" outlineLevel="0" collapsed="false">
      <c r="D184" s="371" t="str">
        <f aca="false">IF((F184&lt;&gt;0),"Enter Letter"," ")</f>
        <v> </v>
      </c>
      <c r="G184" s="180" t="str">
        <f aca="false">IF((D184="d"),F184," ")</f>
        <v> </v>
      </c>
      <c r="H184" s="180" t="str">
        <f aca="false">IF((D184="h"),F184," ")</f>
        <v> </v>
      </c>
      <c r="I184" s="180" t="str">
        <f aca="false">IF((D184="r"),F184," ")</f>
        <v> </v>
      </c>
      <c r="J184" s="180" t="str">
        <f aca="false">IF((D184="t"),F184," ")</f>
        <v> </v>
      </c>
      <c r="K184" s="180" t="str">
        <f aca="false">IF((D184="e"),F184," ")</f>
        <v> </v>
      </c>
      <c r="L184" s="180" t="str">
        <f aca="false">IF((D184="p"),F184," ")</f>
        <v> </v>
      </c>
      <c r="M184" s="180" t="str">
        <f aca="false">IF((D184="g"),F184," ")</f>
        <v> </v>
      </c>
      <c r="N184" s="180" t="str">
        <f aca="false">IF((D184="a"),F184," ")</f>
        <v> </v>
      </c>
      <c r="O184" s="180" t="str">
        <f aca="false">IF((D184="l"),F184," ")</f>
        <v> </v>
      </c>
      <c r="P184" s="180" t="str">
        <f aca="false">IF((D184="i"),F184," ")</f>
        <v> </v>
      </c>
      <c r="Q184" s="180" t="str">
        <f aca="false">IF((D184="b"),F184," ")</f>
        <v> </v>
      </c>
      <c r="R184" s="180" t="str">
        <f aca="false">IF((D184="o"),F184," ")</f>
        <v> </v>
      </c>
      <c r="S184" s="180" t="str">
        <f aca="false">IF((D184="f"),F184," ")</f>
        <v> </v>
      </c>
      <c r="U184" s="371"/>
    </row>
    <row r="185" customFormat="false" ht="12.75" hidden="false" customHeight="false" outlineLevel="0" collapsed="false">
      <c r="D185" s="371" t="str">
        <f aca="false">IF((F185&lt;&gt;0),"Enter Letter"," ")</f>
        <v> </v>
      </c>
      <c r="G185" s="180" t="str">
        <f aca="false">IF((D185="d"),F185," ")</f>
        <v> </v>
      </c>
      <c r="H185" s="180" t="str">
        <f aca="false">IF((D185="h"),F185," ")</f>
        <v> </v>
      </c>
      <c r="I185" s="180" t="str">
        <f aca="false">IF((D185="r"),F185," ")</f>
        <v> </v>
      </c>
      <c r="J185" s="180" t="str">
        <f aca="false">IF((D185="t"),F185," ")</f>
        <v> </v>
      </c>
      <c r="K185" s="180" t="str">
        <f aca="false">IF((D185="e"),F185," ")</f>
        <v> </v>
      </c>
      <c r="L185" s="180" t="str">
        <f aca="false">IF((D185="p"),F185," ")</f>
        <v> </v>
      </c>
      <c r="M185" s="180" t="str">
        <f aca="false">IF((D185="g"),F185," ")</f>
        <v> </v>
      </c>
      <c r="N185" s="180" t="str">
        <f aca="false">IF((D185="a"),F185," ")</f>
        <v> </v>
      </c>
      <c r="O185" s="180" t="str">
        <f aca="false">IF((D185="l"),F185," ")</f>
        <v> </v>
      </c>
      <c r="P185" s="180" t="str">
        <f aca="false">IF((D185="i"),F185," ")</f>
        <v> </v>
      </c>
      <c r="Q185" s="180" t="str">
        <f aca="false">IF((D185="b"),F185," ")</f>
        <v> </v>
      </c>
      <c r="R185" s="180" t="str">
        <f aca="false">IF((D185="o"),F185," ")</f>
        <v> </v>
      </c>
      <c r="S185" s="180" t="str">
        <f aca="false">IF((D185="f"),F185," ")</f>
        <v> </v>
      </c>
      <c r="U185" s="371"/>
    </row>
    <row r="186" customFormat="false" ht="12.75" hidden="false" customHeight="false" outlineLevel="0" collapsed="false">
      <c r="D186" s="371" t="str">
        <f aca="false">IF((F186&lt;&gt;0),"Enter Letter"," ")</f>
        <v> </v>
      </c>
      <c r="G186" s="180" t="str">
        <f aca="false">IF((D186="d"),F186," ")</f>
        <v> </v>
      </c>
      <c r="H186" s="180" t="str">
        <f aca="false">IF((D186="h"),F186," ")</f>
        <v> </v>
      </c>
      <c r="I186" s="180" t="str">
        <f aca="false">IF((D186="r"),F186," ")</f>
        <v> </v>
      </c>
      <c r="J186" s="180" t="str">
        <f aca="false">IF((D186="t"),F186," ")</f>
        <v> </v>
      </c>
      <c r="K186" s="180" t="str">
        <f aca="false">IF((D186="e"),F186," ")</f>
        <v> </v>
      </c>
      <c r="L186" s="180" t="str">
        <f aca="false">IF((D186="p"),F186," ")</f>
        <v> </v>
      </c>
      <c r="M186" s="180" t="str">
        <f aca="false">IF((D186="g"),F186," ")</f>
        <v> </v>
      </c>
      <c r="N186" s="180" t="str">
        <f aca="false">IF((D186="a"),F186," ")</f>
        <v> </v>
      </c>
      <c r="O186" s="180" t="str">
        <f aca="false">IF((D186="l"),F186," ")</f>
        <v> </v>
      </c>
      <c r="P186" s="180" t="str">
        <f aca="false">IF((D186="i"),F186," ")</f>
        <v> </v>
      </c>
      <c r="Q186" s="180" t="str">
        <f aca="false">IF((D186="b"),F186," ")</f>
        <v> </v>
      </c>
      <c r="R186" s="180" t="str">
        <f aca="false">IF((D186="o"),F186," ")</f>
        <v> </v>
      </c>
      <c r="S186" s="180" t="str">
        <f aca="false">IF((D186="f"),F186," ")</f>
        <v> </v>
      </c>
      <c r="U186" s="371"/>
    </row>
    <row r="187" customFormat="false" ht="12.75" hidden="false" customHeight="false" outlineLevel="0" collapsed="false">
      <c r="D187" s="371" t="str">
        <f aca="false">IF((F187&lt;&gt;0),"Enter Letter"," ")</f>
        <v> </v>
      </c>
      <c r="G187" s="180" t="str">
        <f aca="false">IF((D187="d"),F187," ")</f>
        <v> </v>
      </c>
      <c r="H187" s="180" t="str">
        <f aca="false">IF((D187="h"),F187," ")</f>
        <v> </v>
      </c>
      <c r="I187" s="180" t="str">
        <f aca="false">IF((D187="r"),F187," ")</f>
        <v> </v>
      </c>
      <c r="J187" s="180" t="str">
        <f aca="false">IF((D187="t"),F187," ")</f>
        <v> </v>
      </c>
      <c r="K187" s="180" t="str">
        <f aca="false">IF((D187="e"),F187," ")</f>
        <v> </v>
      </c>
      <c r="L187" s="180" t="str">
        <f aca="false">IF((D187="p"),F187," ")</f>
        <v> </v>
      </c>
      <c r="M187" s="180" t="str">
        <f aca="false">IF((D187="g"),F187," ")</f>
        <v> </v>
      </c>
      <c r="N187" s="180" t="str">
        <f aca="false">IF((D187="a"),F187," ")</f>
        <v> </v>
      </c>
      <c r="O187" s="180" t="str">
        <f aca="false">IF((D187="l"),F187," ")</f>
        <v> </v>
      </c>
      <c r="P187" s="180" t="str">
        <f aca="false">IF((D187="i"),F187," ")</f>
        <v> </v>
      </c>
      <c r="Q187" s="180" t="str">
        <f aca="false">IF((D187="b"),F187," ")</f>
        <v> </v>
      </c>
      <c r="R187" s="180" t="str">
        <f aca="false">IF((D187="o"),F187," ")</f>
        <v> </v>
      </c>
      <c r="S187" s="180" t="str">
        <f aca="false">IF((D187="f"),F187," ")</f>
        <v> </v>
      </c>
      <c r="U187" s="371"/>
    </row>
    <row r="188" customFormat="false" ht="12.75" hidden="false" customHeight="false" outlineLevel="0" collapsed="false">
      <c r="D188" s="371" t="str">
        <f aca="false">IF((F188&lt;&gt;0),"Enter Letter"," ")</f>
        <v> </v>
      </c>
      <c r="G188" s="180" t="str">
        <f aca="false">IF((D188="d"),F188," ")</f>
        <v> </v>
      </c>
      <c r="H188" s="180" t="str">
        <f aca="false">IF((D188="h"),F188," ")</f>
        <v> </v>
      </c>
      <c r="I188" s="180" t="str">
        <f aca="false">IF((D188="r"),F188," ")</f>
        <v> </v>
      </c>
      <c r="J188" s="180" t="str">
        <f aca="false">IF((D188="t"),F188," ")</f>
        <v> </v>
      </c>
      <c r="K188" s="180" t="str">
        <f aca="false">IF((D188="e"),F188," ")</f>
        <v> </v>
      </c>
      <c r="L188" s="180" t="str">
        <f aca="false">IF((D188="p"),F188," ")</f>
        <v> </v>
      </c>
      <c r="M188" s="180" t="str">
        <f aca="false">IF((D188="g"),F188," ")</f>
        <v> </v>
      </c>
      <c r="N188" s="180" t="str">
        <f aca="false">IF((D188="a"),F188," ")</f>
        <v> </v>
      </c>
      <c r="O188" s="180" t="str">
        <f aca="false">IF((D188="l"),F188," ")</f>
        <v> </v>
      </c>
      <c r="P188" s="180" t="str">
        <f aca="false">IF((D188="i"),F188," ")</f>
        <v> </v>
      </c>
      <c r="Q188" s="180" t="str">
        <f aca="false">IF((D188="b"),F188," ")</f>
        <v> </v>
      </c>
      <c r="R188" s="180" t="str">
        <f aca="false">IF((D188="o"),F188," ")</f>
        <v> </v>
      </c>
      <c r="S188" s="180" t="str">
        <f aca="false">IF((D188="f"),F188," ")</f>
        <v> </v>
      </c>
      <c r="U188" s="371"/>
    </row>
    <row r="189" customFormat="false" ht="12.75" hidden="false" customHeight="false" outlineLevel="0" collapsed="false">
      <c r="D189" s="371" t="str">
        <f aca="false">IF((F189&lt;&gt;0),"Enter Letter"," ")</f>
        <v> </v>
      </c>
      <c r="G189" s="180" t="str">
        <f aca="false">IF((D189="d"),F189," ")</f>
        <v> </v>
      </c>
      <c r="H189" s="180" t="str">
        <f aca="false">IF((D189="h"),F189," ")</f>
        <v> </v>
      </c>
      <c r="I189" s="180" t="str">
        <f aca="false">IF((D189="r"),F189," ")</f>
        <v> </v>
      </c>
      <c r="J189" s="180" t="str">
        <f aca="false">IF((D189="t"),F189," ")</f>
        <v> </v>
      </c>
      <c r="K189" s="180" t="str">
        <f aca="false">IF((D189="e"),F189," ")</f>
        <v> </v>
      </c>
      <c r="L189" s="180" t="str">
        <f aca="false">IF((D189="p"),F189," ")</f>
        <v> </v>
      </c>
      <c r="M189" s="180" t="str">
        <f aca="false">IF((D189="g"),F189," ")</f>
        <v> </v>
      </c>
      <c r="N189" s="180" t="str">
        <f aca="false">IF((D189="a"),F189," ")</f>
        <v> </v>
      </c>
      <c r="O189" s="180" t="str">
        <f aca="false">IF((D189="l"),F189," ")</f>
        <v> </v>
      </c>
      <c r="P189" s="180" t="str">
        <f aca="false">IF((D189="i"),F189," ")</f>
        <v> </v>
      </c>
      <c r="Q189" s="180" t="str">
        <f aca="false">IF((D189="b"),F189," ")</f>
        <v> </v>
      </c>
      <c r="R189" s="180" t="str">
        <f aca="false">IF((D189="o"),F189," ")</f>
        <v> </v>
      </c>
      <c r="S189" s="180" t="str">
        <f aca="false">IF((D189="f"),F189," ")</f>
        <v> </v>
      </c>
      <c r="U189" s="371"/>
    </row>
    <row r="190" customFormat="false" ht="12.75" hidden="false" customHeight="false" outlineLevel="0" collapsed="false">
      <c r="D190" s="371" t="str">
        <f aca="false">IF((F190&lt;&gt;0),"Enter Letter"," ")</f>
        <v> </v>
      </c>
      <c r="G190" s="180" t="str">
        <f aca="false">IF((D190="d"),F190," ")</f>
        <v> </v>
      </c>
      <c r="H190" s="180" t="str">
        <f aca="false">IF((D190="h"),F190," ")</f>
        <v> </v>
      </c>
      <c r="I190" s="180" t="str">
        <f aca="false">IF((D190="r"),F190," ")</f>
        <v> </v>
      </c>
      <c r="J190" s="180" t="str">
        <f aca="false">IF((D190="t"),F190," ")</f>
        <v> </v>
      </c>
      <c r="K190" s="180" t="str">
        <f aca="false">IF((D190="e"),F190," ")</f>
        <v> </v>
      </c>
      <c r="L190" s="180" t="str">
        <f aca="false">IF((D190="p"),F190," ")</f>
        <v> </v>
      </c>
      <c r="M190" s="180" t="str">
        <f aca="false">IF((D190="g"),F190," ")</f>
        <v> </v>
      </c>
      <c r="N190" s="180" t="str">
        <f aca="false">IF((D190="a"),F190," ")</f>
        <v> </v>
      </c>
      <c r="O190" s="180" t="str">
        <f aca="false">IF((D190="l"),F190," ")</f>
        <v> </v>
      </c>
      <c r="P190" s="180" t="str">
        <f aca="false">IF((D190="i"),F190," ")</f>
        <v> </v>
      </c>
      <c r="Q190" s="180" t="str">
        <f aca="false">IF((D190="b"),F190," ")</f>
        <v> </v>
      </c>
      <c r="R190" s="180" t="str">
        <f aca="false">IF((D190="o"),F190," ")</f>
        <v> </v>
      </c>
      <c r="S190" s="180" t="str">
        <f aca="false">IF((D190="f"),F190," ")</f>
        <v> </v>
      </c>
      <c r="U190" s="371"/>
    </row>
    <row r="191" customFormat="false" ht="12.75" hidden="false" customHeight="false" outlineLevel="0" collapsed="false">
      <c r="D191" s="371" t="str">
        <f aca="false">IF((F191&lt;&gt;0),"Enter Letter"," ")</f>
        <v> </v>
      </c>
      <c r="G191" s="180" t="str">
        <f aca="false">IF((D191="d"),F191," ")</f>
        <v> </v>
      </c>
      <c r="H191" s="180" t="str">
        <f aca="false">IF((D191="h"),F191," ")</f>
        <v> </v>
      </c>
      <c r="I191" s="180" t="str">
        <f aca="false">IF((D191="r"),F191," ")</f>
        <v> </v>
      </c>
      <c r="J191" s="180" t="str">
        <f aca="false">IF((D191="t"),F191," ")</f>
        <v> </v>
      </c>
      <c r="K191" s="180" t="str">
        <f aca="false">IF((D191="e"),F191," ")</f>
        <v> </v>
      </c>
      <c r="L191" s="180" t="str">
        <f aca="false">IF((D191="p"),F191," ")</f>
        <v> </v>
      </c>
      <c r="M191" s="180" t="str">
        <f aca="false">IF((D191="g"),F191," ")</f>
        <v> </v>
      </c>
      <c r="N191" s="180" t="str">
        <f aca="false">IF((D191="a"),F191," ")</f>
        <v> </v>
      </c>
      <c r="O191" s="180" t="str">
        <f aca="false">IF((D191="l"),F191," ")</f>
        <v> </v>
      </c>
      <c r="P191" s="180" t="str">
        <f aca="false">IF((D191="i"),F191," ")</f>
        <v> </v>
      </c>
      <c r="Q191" s="180" t="str">
        <f aca="false">IF((D191="b"),F191," ")</f>
        <v> </v>
      </c>
      <c r="R191" s="180" t="str">
        <f aca="false">IF((D191="o"),F191," ")</f>
        <v> </v>
      </c>
      <c r="S191" s="180" t="str">
        <f aca="false">IF((D191="f"),F191," ")</f>
        <v> </v>
      </c>
      <c r="U191" s="371"/>
    </row>
    <row r="192" customFormat="false" ht="12.75" hidden="false" customHeight="false" outlineLevel="0" collapsed="false">
      <c r="D192" s="371" t="str">
        <f aca="false">IF((F192&lt;&gt;0),"Enter Letter"," ")</f>
        <v> </v>
      </c>
      <c r="G192" s="180" t="str">
        <f aca="false">IF((D192="d"),F192," ")</f>
        <v> </v>
      </c>
      <c r="H192" s="180" t="str">
        <f aca="false">IF((D192="h"),F192," ")</f>
        <v> </v>
      </c>
      <c r="I192" s="180" t="str">
        <f aca="false">IF((D192="r"),F192," ")</f>
        <v> </v>
      </c>
      <c r="J192" s="180" t="str">
        <f aca="false">IF((D192="t"),F192," ")</f>
        <v> </v>
      </c>
      <c r="K192" s="180" t="str">
        <f aca="false">IF((D192="e"),F192," ")</f>
        <v> </v>
      </c>
      <c r="L192" s="180" t="str">
        <f aca="false">IF((D192="p"),F192," ")</f>
        <v> </v>
      </c>
      <c r="M192" s="180" t="str">
        <f aca="false">IF((D192="g"),F192," ")</f>
        <v> </v>
      </c>
      <c r="N192" s="180" t="str">
        <f aca="false">IF((D192="a"),F192," ")</f>
        <v> </v>
      </c>
      <c r="O192" s="180" t="str">
        <f aca="false">IF((D192="l"),F192," ")</f>
        <v> </v>
      </c>
      <c r="P192" s="180" t="str">
        <f aca="false">IF((D192="i"),F192," ")</f>
        <v> </v>
      </c>
      <c r="Q192" s="180" t="str">
        <f aca="false">IF((D192="b"),F192," ")</f>
        <v> </v>
      </c>
      <c r="R192" s="180" t="str">
        <f aca="false">IF((D192="o"),F192," ")</f>
        <v> </v>
      </c>
      <c r="S192" s="180" t="str">
        <f aca="false">IF((D192="f"),F192," ")</f>
        <v> </v>
      </c>
      <c r="U192" s="371"/>
    </row>
    <row r="193" customFormat="false" ht="12.75" hidden="false" customHeight="false" outlineLevel="0" collapsed="false">
      <c r="D193" s="371" t="str">
        <f aca="false">IF((F193&lt;&gt;0),"Enter Letter"," ")</f>
        <v> </v>
      </c>
      <c r="G193" s="180" t="str">
        <f aca="false">IF((D193="d"),F193," ")</f>
        <v> </v>
      </c>
      <c r="H193" s="180" t="str">
        <f aca="false">IF((D193="h"),F193," ")</f>
        <v> </v>
      </c>
      <c r="I193" s="180" t="str">
        <f aca="false">IF((D193="r"),F193," ")</f>
        <v> </v>
      </c>
      <c r="J193" s="180" t="str">
        <f aca="false">IF((D193="t"),F193," ")</f>
        <v> </v>
      </c>
      <c r="K193" s="180" t="str">
        <f aca="false">IF((D193="e"),F193," ")</f>
        <v> </v>
      </c>
      <c r="L193" s="180" t="str">
        <f aca="false">IF((D193="p"),F193," ")</f>
        <v> </v>
      </c>
      <c r="M193" s="180" t="str">
        <f aca="false">IF((D193="g"),F193," ")</f>
        <v> </v>
      </c>
      <c r="N193" s="180" t="str">
        <f aca="false">IF((D193="a"),F193," ")</f>
        <v> </v>
      </c>
      <c r="O193" s="180" t="str">
        <f aca="false">IF((D193="l"),F193," ")</f>
        <v> </v>
      </c>
      <c r="P193" s="180" t="str">
        <f aca="false">IF((D193="i"),F193," ")</f>
        <v> </v>
      </c>
      <c r="Q193" s="180" t="str">
        <f aca="false">IF((D193="b"),F193," ")</f>
        <v> </v>
      </c>
      <c r="R193" s="180" t="str">
        <f aca="false">IF((D193="o"),F193," ")</f>
        <v> </v>
      </c>
      <c r="S193" s="180" t="str">
        <f aca="false">IF((D193="f"),F193," ")</f>
        <v> </v>
      </c>
      <c r="U193" s="371"/>
    </row>
    <row r="194" customFormat="false" ht="12.75" hidden="false" customHeight="false" outlineLevel="0" collapsed="false">
      <c r="D194" s="371" t="str">
        <f aca="false">IF((F194&lt;&gt;0),"Enter Letter"," ")</f>
        <v> </v>
      </c>
      <c r="G194" s="180" t="str">
        <f aca="false">IF((D194="d"),F194," ")</f>
        <v> </v>
      </c>
      <c r="H194" s="180" t="str">
        <f aca="false">IF((D194="h"),F194," ")</f>
        <v> </v>
      </c>
      <c r="I194" s="180" t="str">
        <f aca="false">IF((D194="r"),F194," ")</f>
        <v> </v>
      </c>
      <c r="J194" s="180" t="str">
        <f aca="false">IF((D194="t"),F194," ")</f>
        <v> </v>
      </c>
      <c r="K194" s="180" t="str">
        <f aca="false">IF((D194="e"),F194," ")</f>
        <v> </v>
      </c>
      <c r="L194" s="180" t="str">
        <f aca="false">IF((D194="p"),F194," ")</f>
        <v> </v>
      </c>
      <c r="M194" s="180" t="str">
        <f aca="false">IF((D194="g"),F194," ")</f>
        <v> </v>
      </c>
      <c r="N194" s="180" t="str">
        <f aca="false">IF((D194="a"),F194," ")</f>
        <v> </v>
      </c>
      <c r="O194" s="180" t="str">
        <f aca="false">IF((D194="l"),F194," ")</f>
        <v> </v>
      </c>
      <c r="P194" s="180" t="str">
        <f aca="false">IF((D194="i"),F194," ")</f>
        <v> </v>
      </c>
      <c r="Q194" s="180" t="str">
        <f aca="false">IF((D194="b"),F194," ")</f>
        <v> </v>
      </c>
      <c r="R194" s="180" t="str">
        <f aca="false">IF((D194="o"),F194," ")</f>
        <v> </v>
      </c>
      <c r="S194" s="180" t="str">
        <f aca="false">IF((D194="f"),F194," ")</f>
        <v> </v>
      </c>
      <c r="U194" s="371"/>
    </row>
    <row r="195" customFormat="false" ht="12.75" hidden="false" customHeight="false" outlineLevel="0" collapsed="false">
      <c r="D195" s="371" t="str">
        <f aca="false">IF((F195&lt;&gt;0),"Enter Letter"," ")</f>
        <v> </v>
      </c>
      <c r="G195" s="180" t="str">
        <f aca="false">IF((D195="d"),F195," ")</f>
        <v> </v>
      </c>
      <c r="H195" s="180" t="str">
        <f aca="false">IF((D195="h"),F195," ")</f>
        <v> </v>
      </c>
      <c r="I195" s="180" t="str">
        <f aca="false">IF((D195="r"),F195," ")</f>
        <v> </v>
      </c>
      <c r="J195" s="180" t="str">
        <f aca="false">IF((D195="t"),F195," ")</f>
        <v> </v>
      </c>
      <c r="K195" s="180" t="str">
        <f aca="false">IF((D195="e"),F195," ")</f>
        <v> </v>
      </c>
      <c r="L195" s="180" t="str">
        <f aca="false">IF((D195="p"),F195," ")</f>
        <v> </v>
      </c>
      <c r="M195" s="180" t="str">
        <f aca="false">IF((D195="g"),F195," ")</f>
        <v> </v>
      </c>
      <c r="N195" s="180" t="str">
        <f aca="false">IF((D195="a"),F195," ")</f>
        <v> </v>
      </c>
      <c r="O195" s="180" t="str">
        <f aca="false">IF((D195="l"),F195," ")</f>
        <v> </v>
      </c>
      <c r="P195" s="180" t="str">
        <f aca="false">IF((D195="i"),F195," ")</f>
        <v> </v>
      </c>
      <c r="Q195" s="180" t="str">
        <f aca="false">IF((D195="b"),F195," ")</f>
        <v> </v>
      </c>
      <c r="R195" s="180" t="str">
        <f aca="false">IF((D195="o"),F195," ")</f>
        <v> </v>
      </c>
      <c r="S195" s="180" t="str">
        <f aca="false">IF((D195="f"),F195," ")</f>
        <v> </v>
      </c>
      <c r="U195" s="371"/>
    </row>
    <row r="196" customFormat="false" ht="12.75" hidden="false" customHeight="false" outlineLevel="0" collapsed="false">
      <c r="D196" s="371" t="str">
        <f aca="false">IF((F196&lt;&gt;0),"Enter Letter"," ")</f>
        <v> </v>
      </c>
      <c r="G196" s="180" t="str">
        <f aca="false">IF((D196="d"),F196," ")</f>
        <v> </v>
      </c>
      <c r="H196" s="180" t="str">
        <f aca="false">IF((D196="h"),F196," ")</f>
        <v> </v>
      </c>
      <c r="I196" s="180" t="str">
        <f aca="false">IF((D196="r"),F196," ")</f>
        <v> </v>
      </c>
      <c r="J196" s="180" t="str">
        <f aca="false">IF((D196="t"),F196," ")</f>
        <v> </v>
      </c>
      <c r="K196" s="180" t="str">
        <f aca="false">IF((D196="e"),F196," ")</f>
        <v> </v>
      </c>
      <c r="L196" s="180" t="str">
        <f aca="false">IF((D196="p"),F196," ")</f>
        <v> </v>
      </c>
      <c r="M196" s="180" t="str">
        <f aca="false">IF((D196="g"),F196," ")</f>
        <v> </v>
      </c>
      <c r="N196" s="180" t="str">
        <f aca="false">IF((D196="a"),F196," ")</f>
        <v> </v>
      </c>
      <c r="O196" s="180" t="str">
        <f aca="false">IF((D196="l"),F196," ")</f>
        <v> </v>
      </c>
      <c r="P196" s="180" t="str">
        <f aca="false">IF((D196="i"),F196," ")</f>
        <v> </v>
      </c>
      <c r="Q196" s="180" t="str">
        <f aca="false">IF((D196="b"),F196," ")</f>
        <v> </v>
      </c>
      <c r="R196" s="180" t="str">
        <f aca="false">IF((D196="o"),F196," ")</f>
        <v> </v>
      </c>
      <c r="S196" s="180" t="str">
        <f aca="false">IF((D196="f"),F196," ")</f>
        <v> </v>
      </c>
      <c r="U196" s="371"/>
    </row>
    <row r="197" customFormat="false" ht="12.75" hidden="false" customHeight="false" outlineLevel="0" collapsed="false">
      <c r="D197" s="371" t="str">
        <f aca="false">IF((F197&lt;&gt;0),"Enter Letter"," ")</f>
        <v> </v>
      </c>
      <c r="G197" s="180" t="str">
        <f aca="false">IF((D197="d"),F197," ")</f>
        <v> </v>
      </c>
      <c r="H197" s="180" t="str">
        <f aca="false">IF((D197="h"),F197," ")</f>
        <v> </v>
      </c>
      <c r="I197" s="180" t="str">
        <f aca="false">IF((D197="r"),F197," ")</f>
        <v> </v>
      </c>
      <c r="J197" s="180" t="str">
        <f aca="false">IF((D197="t"),F197," ")</f>
        <v> </v>
      </c>
      <c r="K197" s="180" t="str">
        <f aca="false">IF((D197="e"),F197," ")</f>
        <v> </v>
      </c>
      <c r="L197" s="180" t="str">
        <f aca="false">IF((D197="p"),F197," ")</f>
        <v> </v>
      </c>
      <c r="M197" s="180" t="str">
        <f aca="false">IF((D197="g"),F197," ")</f>
        <v> </v>
      </c>
      <c r="N197" s="180" t="str">
        <f aca="false">IF((D197="a"),F197," ")</f>
        <v> </v>
      </c>
      <c r="O197" s="180" t="str">
        <f aca="false">IF((D197="l"),F197," ")</f>
        <v> </v>
      </c>
      <c r="P197" s="180" t="str">
        <f aca="false">IF((D197="i"),F197," ")</f>
        <v> </v>
      </c>
      <c r="Q197" s="180" t="str">
        <f aca="false">IF((D197="b"),F197," ")</f>
        <v> </v>
      </c>
      <c r="R197" s="180" t="str">
        <f aca="false">IF((D197="o"),F197," ")</f>
        <v> </v>
      </c>
      <c r="S197" s="180" t="str">
        <f aca="false">IF((D197="f"),F197," ")</f>
        <v> </v>
      </c>
      <c r="U197" s="371"/>
    </row>
    <row r="198" customFormat="false" ht="12.75" hidden="false" customHeight="false" outlineLevel="0" collapsed="false">
      <c r="D198" s="371" t="str">
        <f aca="false">IF((F198&lt;&gt;0),"Enter Letter"," ")</f>
        <v> </v>
      </c>
      <c r="G198" s="180" t="str">
        <f aca="false">IF((D198="d"),F198," ")</f>
        <v> </v>
      </c>
      <c r="H198" s="180" t="str">
        <f aca="false">IF((D198="h"),F198," ")</f>
        <v> </v>
      </c>
      <c r="I198" s="180" t="str">
        <f aca="false">IF((D198="r"),F198," ")</f>
        <v> </v>
      </c>
      <c r="J198" s="180" t="str">
        <f aca="false">IF((D198="t"),F198," ")</f>
        <v> </v>
      </c>
      <c r="K198" s="180" t="str">
        <f aca="false">IF((D198="e"),F198," ")</f>
        <v> </v>
      </c>
      <c r="L198" s="180" t="str">
        <f aca="false">IF((D198="p"),F198," ")</f>
        <v> </v>
      </c>
      <c r="M198" s="180" t="str">
        <f aca="false">IF((D198="g"),F198," ")</f>
        <v> </v>
      </c>
      <c r="N198" s="180" t="str">
        <f aca="false">IF((D198="a"),F198," ")</f>
        <v> </v>
      </c>
      <c r="O198" s="180" t="str">
        <f aca="false">IF((D198="l"),F198," ")</f>
        <v> </v>
      </c>
      <c r="P198" s="180" t="str">
        <f aca="false">IF((D198="i"),F198," ")</f>
        <v> </v>
      </c>
      <c r="Q198" s="180" t="str">
        <f aca="false">IF((D198="b"),F198," ")</f>
        <v> </v>
      </c>
      <c r="R198" s="180" t="str">
        <f aca="false">IF((D198="o"),F198," ")</f>
        <v> </v>
      </c>
      <c r="S198" s="180" t="str">
        <f aca="false">IF((D198="f"),F198," ")</f>
        <v> </v>
      </c>
      <c r="U198" s="371"/>
    </row>
    <row r="199" customFormat="false" ht="12.75" hidden="false" customHeight="false" outlineLevel="0" collapsed="false">
      <c r="D199" s="371" t="str">
        <f aca="false">IF((F199&lt;&gt;0),"Enter Letter"," ")</f>
        <v> </v>
      </c>
      <c r="G199" s="180" t="str">
        <f aca="false">IF((D199="d"),F199," ")</f>
        <v> </v>
      </c>
      <c r="H199" s="180" t="str">
        <f aca="false">IF((D199="h"),F199," ")</f>
        <v> </v>
      </c>
      <c r="I199" s="180" t="str">
        <f aca="false">IF((D199="r"),F199," ")</f>
        <v> </v>
      </c>
      <c r="J199" s="180" t="str">
        <f aca="false">IF((D199="t"),F199," ")</f>
        <v> </v>
      </c>
      <c r="K199" s="180" t="str">
        <f aca="false">IF((D199="e"),F199," ")</f>
        <v> </v>
      </c>
      <c r="L199" s="180" t="str">
        <f aca="false">IF((D199="p"),F199," ")</f>
        <v> </v>
      </c>
      <c r="M199" s="180" t="str">
        <f aca="false">IF((D199="g"),F199," ")</f>
        <v> </v>
      </c>
      <c r="N199" s="180" t="str">
        <f aca="false">IF((D199="a"),F199," ")</f>
        <v> </v>
      </c>
      <c r="O199" s="180" t="str">
        <f aca="false">IF((D199="l"),F199," ")</f>
        <v> </v>
      </c>
      <c r="P199" s="180" t="str">
        <f aca="false">IF((D199="i"),F199," ")</f>
        <v> </v>
      </c>
      <c r="Q199" s="180" t="str">
        <f aca="false">IF((D199="b"),F199," ")</f>
        <v> </v>
      </c>
      <c r="R199" s="180" t="str">
        <f aca="false">IF((D199="o"),F199," ")</f>
        <v> </v>
      </c>
      <c r="S199" s="180" t="str">
        <f aca="false">IF((D199="f"),F199," ")</f>
        <v> </v>
      </c>
      <c r="U199" s="371"/>
    </row>
    <row r="200" customFormat="false" ht="12.75" hidden="false" customHeight="false" outlineLevel="0" collapsed="false">
      <c r="D200" s="371" t="str">
        <f aca="false">IF((F200&lt;&gt;0),"Enter Letter"," ")</f>
        <v> </v>
      </c>
      <c r="G200" s="180" t="str">
        <f aca="false">IF((D200="d"),F200," ")</f>
        <v> </v>
      </c>
      <c r="H200" s="180" t="str">
        <f aca="false">IF((D200="h"),F200," ")</f>
        <v> </v>
      </c>
      <c r="I200" s="180" t="str">
        <f aca="false">IF((D200="r"),F200," ")</f>
        <v> </v>
      </c>
      <c r="J200" s="180" t="str">
        <f aca="false">IF((D200="t"),F200," ")</f>
        <v> </v>
      </c>
      <c r="K200" s="180" t="str">
        <f aca="false">IF((D200="e"),F200," ")</f>
        <v> </v>
      </c>
      <c r="L200" s="180" t="str">
        <f aca="false">IF((D200="p"),F200," ")</f>
        <v> </v>
      </c>
      <c r="M200" s="180" t="str">
        <f aca="false">IF((D200="g"),F200," ")</f>
        <v> </v>
      </c>
      <c r="N200" s="180" t="str">
        <f aca="false">IF((D200="a"),F200," ")</f>
        <v> </v>
      </c>
      <c r="O200" s="180" t="str">
        <f aca="false">IF((D200="l"),F200," ")</f>
        <v> </v>
      </c>
      <c r="P200" s="180" t="str">
        <f aca="false">IF((D200="i"),F200," ")</f>
        <v> </v>
      </c>
      <c r="Q200" s="180" t="str">
        <f aca="false">IF((D200="b"),F200," ")</f>
        <v> </v>
      </c>
      <c r="R200" s="180" t="str">
        <f aca="false">IF((D200="o"),F200," ")</f>
        <v> </v>
      </c>
      <c r="S200" s="180" t="str">
        <f aca="false">IF((D200="f"),F200," ")</f>
        <v> </v>
      </c>
      <c r="U200" s="371"/>
    </row>
    <row r="201" customFormat="false" ht="12.75" hidden="false" customHeight="false" outlineLevel="0" collapsed="false">
      <c r="D201" s="371" t="str">
        <f aca="false">IF((F201&lt;&gt;0),"Enter Letter"," ")</f>
        <v> </v>
      </c>
      <c r="G201" s="180" t="str">
        <f aca="false">IF((D201="d"),F201," ")</f>
        <v> </v>
      </c>
      <c r="H201" s="180" t="str">
        <f aca="false">IF((D201="h"),F201," ")</f>
        <v> </v>
      </c>
      <c r="I201" s="180" t="str">
        <f aca="false">IF((D201="r"),F201," ")</f>
        <v> </v>
      </c>
      <c r="J201" s="180" t="str">
        <f aca="false">IF((D201="t"),F201," ")</f>
        <v> </v>
      </c>
      <c r="K201" s="180" t="str">
        <f aca="false">IF((D201="e"),F201," ")</f>
        <v> </v>
      </c>
      <c r="L201" s="180" t="str">
        <f aca="false">IF((D201="p"),F201," ")</f>
        <v> </v>
      </c>
      <c r="M201" s="180" t="str">
        <f aca="false">IF((D201="g"),F201," ")</f>
        <v> </v>
      </c>
      <c r="N201" s="180" t="str">
        <f aca="false">IF((D201="a"),F201," ")</f>
        <v> </v>
      </c>
      <c r="O201" s="180" t="str">
        <f aca="false">IF((D201="l"),F201," ")</f>
        <v> </v>
      </c>
      <c r="P201" s="180" t="str">
        <f aca="false">IF((D201="i"),F201," ")</f>
        <v> </v>
      </c>
      <c r="Q201" s="180" t="str">
        <f aca="false">IF((D201="b"),F201," ")</f>
        <v> </v>
      </c>
      <c r="R201" s="180" t="str">
        <f aca="false">IF((D201="o"),F201," ")</f>
        <v> </v>
      </c>
      <c r="S201" s="180" t="str">
        <f aca="false">IF((D201="f"),F201," ")</f>
        <v> </v>
      </c>
      <c r="U201" s="371"/>
    </row>
    <row r="202" customFormat="false" ht="12.75" hidden="false" customHeight="false" outlineLevel="0" collapsed="false">
      <c r="D202" s="371" t="str">
        <f aca="false">IF((F202&lt;&gt;0),"Enter Letter"," ")</f>
        <v> </v>
      </c>
      <c r="G202" s="180" t="str">
        <f aca="false">IF((D202="d"),F202," ")</f>
        <v> </v>
      </c>
      <c r="H202" s="180" t="str">
        <f aca="false">IF((D202="h"),F202," ")</f>
        <v> </v>
      </c>
      <c r="I202" s="180" t="str">
        <f aca="false">IF((D202="r"),F202," ")</f>
        <v> </v>
      </c>
      <c r="J202" s="180" t="str">
        <f aca="false">IF((D202="t"),F202," ")</f>
        <v> </v>
      </c>
      <c r="K202" s="180" t="str">
        <f aca="false">IF((D202="e"),F202," ")</f>
        <v> </v>
      </c>
      <c r="L202" s="180" t="str">
        <f aca="false">IF((D202="p"),F202," ")</f>
        <v> </v>
      </c>
      <c r="M202" s="180" t="str">
        <f aca="false">IF((D202="g"),F202," ")</f>
        <v> </v>
      </c>
      <c r="N202" s="180" t="str">
        <f aca="false">IF((D202="a"),F202," ")</f>
        <v> </v>
      </c>
      <c r="O202" s="180" t="str">
        <f aca="false">IF((D202="l"),F202," ")</f>
        <v> </v>
      </c>
      <c r="P202" s="180" t="str">
        <f aca="false">IF((D202="i"),F202," ")</f>
        <v> </v>
      </c>
      <c r="Q202" s="180" t="str">
        <f aca="false">IF((D202="b"),F202," ")</f>
        <v> </v>
      </c>
      <c r="R202" s="180" t="str">
        <f aca="false">IF((D202="o"),F202," ")</f>
        <v> </v>
      </c>
      <c r="S202" s="180" t="str">
        <f aca="false">IF((D202="f"),F202," ")</f>
        <v> </v>
      </c>
      <c r="U202" s="371"/>
    </row>
    <row r="203" customFormat="false" ht="12.75" hidden="false" customHeight="false" outlineLevel="0" collapsed="false">
      <c r="D203" s="371" t="str">
        <f aca="false">IF((F203&lt;&gt;0),"Enter Letter"," ")</f>
        <v> </v>
      </c>
      <c r="G203" s="180" t="str">
        <f aca="false">IF((D203="d"),F203," ")</f>
        <v> </v>
      </c>
      <c r="H203" s="180" t="str">
        <f aca="false">IF((D203="h"),F203," ")</f>
        <v> </v>
      </c>
      <c r="I203" s="180" t="str">
        <f aca="false">IF((D203="r"),F203," ")</f>
        <v> </v>
      </c>
      <c r="J203" s="180" t="str">
        <f aca="false">IF((D203="t"),F203," ")</f>
        <v> </v>
      </c>
      <c r="K203" s="180" t="str">
        <f aca="false">IF((D203="e"),F203," ")</f>
        <v> </v>
      </c>
      <c r="L203" s="180" t="str">
        <f aca="false">IF((D203="p"),F203," ")</f>
        <v> </v>
      </c>
      <c r="M203" s="180" t="str">
        <f aca="false">IF((D203="g"),F203," ")</f>
        <v> </v>
      </c>
      <c r="N203" s="180" t="str">
        <f aca="false">IF((D203="a"),F203," ")</f>
        <v> </v>
      </c>
      <c r="O203" s="180" t="str">
        <f aca="false">IF((D203="l"),F203," ")</f>
        <v> </v>
      </c>
      <c r="P203" s="180" t="str">
        <f aca="false">IF((D203="i"),F203," ")</f>
        <v> </v>
      </c>
      <c r="Q203" s="180" t="str">
        <f aca="false">IF((D203="b"),F203," ")</f>
        <v> </v>
      </c>
      <c r="R203" s="180" t="str">
        <f aca="false">IF((D203="o"),F203," ")</f>
        <v> </v>
      </c>
      <c r="S203" s="180" t="str">
        <f aca="false">IF((D203="f"),F203," ")</f>
        <v> </v>
      </c>
      <c r="U203" s="371"/>
    </row>
    <row r="204" customFormat="false" ht="12.75" hidden="false" customHeight="false" outlineLevel="0" collapsed="false">
      <c r="D204" s="371" t="str">
        <f aca="false">IF((F204&lt;&gt;0),"Enter Letter"," ")</f>
        <v> </v>
      </c>
      <c r="G204" s="180" t="str">
        <f aca="false">IF((D204="d"),F204," ")</f>
        <v> </v>
      </c>
      <c r="H204" s="180" t="str">
        <f aca="false">IF((D204="h"),F204," ")</f>
        <v> </v>
      </c>
      <c r="I204" s="180" t="str">
        <f aca="false">IF((D204="r"),F204," ")</f>
        <v> </v>
      </c>
      <c r="J204" s="180" t="str">
        <f aca="false">IF((D204="t"),F204," ")</f>
        <v> </v>
      </c>
      <c r="K204" s="180" t="str">
        <f aca="false">IF((D204="e"),F204," ")</f>
        <v> </v>
      </c>
      <c r="L204" s="180" t="str">
        <f aca="false">IF((D204="p"),F204," ")</f>
        <v> </v>
      </c>
      <c r="M204" s="180" t="str">
        <f aca="false">IF((D204="g"),F204," ")</f>
        <v> </v>
      </c>
      <c r="N204" s="180" t="str">
        <f aca="false">IF((D204="a"),F204," ")</f>
        <v> </v>
      </c>
      <c r="O204" s="180" t="str">
        <f aca="false">IF((D204="l"),F204," ")</f>
        <v> </v>
      </c>
      <c r="P204" s="180" t="str">
        <f aca="false">IF((D204="i"),F204," ")</f>
        <v> </v>
      </c>
      <c r="Q204" s="180" t="str">
        <f aca="false">IF((D204="b"),F204," ")</f>
        <v> </v>
      </c>
      <c r="R204" s="180" t="str">
        <f aca="false">IF((D204="o"),F204," ")</f>
        <v> </v>
      </c>
      <c r="S204" s="180" t="str">
        <f aca="false">IF((D204="f"),F204," ")</f>
        <v> </v>
      </c>
      <c r="U204" s="371"/>
    </row>
    <row r="205" customFormat="false" ht="12.75" hidden="false" customHeight="false" outlineLevel="0" collapsed="false">
      <c r="U205" s="371"/>
    </row>
    <row r="206" customFormat="false" ht="12.75" hidden="false" customHeight="false" outlineLevel="0" collapsed="false">
      <c r="U206" s="371"/>
    </row>
    <row r="207" customFormat="false" ht="12.75" hidden="false" customHeight="false" outlineLevel="0" collapsed="false">
      <c r="U207" s="371"/>
    </row>
    <row r="208" customFormat="false" ht="12.75" hidden="false" customHeight="false" outlineLevel="0" collapsed="false">
      <c r="U208" s="371"/>
    </row>
    <row r="209" customFormat="false" ht="12.75" hidden="false" customHeight="false" outlineLevel="0" collapsed="false">
      <c r="U209" s="371"/>
    </row>
    <row r="210" customFormat="false" ht="12.75" hidden="false" customHeight="false" outlineLevel="0" collapsed="false">
      <c r="U210" s="371"/>
    </row>
    <row r="211" customFormat="false" ht="12.75" hidden="false" customHeight="false" outlineLevel="0" collapsed="false">
      <c r="U211" s="371"/>
    </row>
    <row r="212" customFormat="false" ht="12.75" hidden="false" customHeight="false" outlineLevel="0" collapsed="false">
      <c r="U212" s="371"/>
    </row>
    <row r="213" customFormat="false" ht="12.75" hidden="false" customHeight="false" outlineLevel="0" collapsed="false">
      <c r="U213" s="371"/>
    </row>
    <row r="214" customFormat="false" ht="12.75" hidden="false" customHeight="false" outlineLevel="0" collapsed="false">
      <c r="U214" s="371"/>
    </row>
    <row r="215" customFormat="false" ht="12.75" hidden="false" customHeight="false" outlineLevel="0" collapsed="false">
      <c r="U215" s="371"/>
    </row>
    <row r="216" customFormat="false" ht="12.75" hidden="false" customHeight="false" outlineLevel="0" collapsed="false">
      <c r="U216" s="371"/>
    </row>
    <row r="217" customFormat="false" ht="12.75" hidden="false" customHeight="false" outlineLevel="0" collapsed="false">
      <c r="U217" s="371"/>
    </row>
    <row r="218" customFormat="false" ht="12.75" hidden="false" customHeight="false" outlineLevel="0" collapsed="false">
      <c r="U218" s="371"/>
    </row>
    <row r="219" customFormat="false" ht="12.75" hidden="false" customHeight="false" outlineLevel="0" collapsed="false">
      <c r="U219" s="371"/>
    </row>
    <row r="220" customFormat="false" ht="12.75" hidden="false" customHeight="false" outlineLevel="0" collapsed="false">
      <c r="U220" s="371"/>
    </row>
    <row r="221" customFormat="false" ht="12.75" hidden="false" customHeight="false" outlineLevel="0" collapsed="false">
      <c r="U221" s="371"/>
    </row>
    <row r="222" customFormat="false" ht="12.75" hidden="false" customHeight="false" outlineLevel="0" collapsed="false">
      <c r="U222" s="371"/>
    </row>
    <row r="223" customFormat="false" ht="12.75" hidden="false" customHeight="false" outlineLevel="0" collapsed="false">
      <c r="U223" s="371"/>
    </row>
    <row r="224" customFormat="false" ht="12.75" hidden="false" customHeight="false" outlineLevel="0" collapsed="false">
      <c r="U224" s="371"/>
    </row>
    <row r="225" customFormat="false" ht="12.75" hidden="false" customHeight="false" outlineLevel="0" collapsed="false">
      <c r="U225" s="371"/>
    </row>
    <row r="226" customFormat="false" ht="12.75" hidden="false" customHeight="false" outlineLevel="0" collapsed="false">
      <c r="U226" s="371"/>
    </row>
    <row r="227" customFormat="false" ht="12.75" hidden="false" customHeight="false" outlineLevel="0" collapsed="false">
      <c r="U227" s="371"/>
    </row>
    <row r="228" customFormat="false" ht="12.75" hidden="false" customHeight="false" outlineLevel="0" collapsed="false">
      <c r="U228" s="371"/>
    </row>
    <row r="229" customFormat="false" ht="12.75" hidden="false" customHeight="false" outlineLevel="0" collapsed="false">
      <c r="U229" s="371"/>
    </row>
    <row r="230" customFormat="false" ht="12.75" hidden="false" customHeight="false" outlineLevel="0" collapsed="false">
      <c r="U230" s="371"/>
    </row>
    <row r="231" customFormat="false" ht="12.75" hidden="false" customHeight="false" outlineLevel="0" collapsed="false">
      <c r="U231" s="371"/>
    </row>
    <row r="232" customFormat="false" ht="12.75" hidden="false" customHeight="false" outlineLevel="0" collapsed="false">
      <c r="U232" s="371"/>
    </row>
    <row r="233" customFormat="false" ht="12.75" hidden="false" customHeight="false" outlineLevel="0" collapsed="false">
      <c r="U233" s="371"/>
    </row>
    <row r="234" customFormat="false" ht="12.75" hidden="false" customHeight="false" outlineLevel="0" collapsed="false">
      <c r="U234" s="371"/>
    </row>
    <row r="235" customFormat="false" ht="12.75" hidden="false" customHeight="false" outlineLevel="0" collapsed="false">
      <c r="U235" s="371"/>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customHeight="false" zeroHeight="false" outlineLevelRow="0" outlineLevelCol="0"/>
  <cols>
    <col collapsed="false" customWidth="true" hidden="false" outlineLevel="0" max="1" min="1" style="344" width="9.66"/>
    <col collapsed="false" customWidth="true" hidden="false" outlineLevel="0" max="2" min="2" style="345" width="14.66"/>
    <col collapsed="false" customWidth="true" hidden="false" outlineLevel="0" max="3" min="3" style="180" width="13.66"/>
    <col collapsed="false" customWidth="true" hidden="false" outlineLevel="0" max="4" min="4" style="346" width="12.66"/>
    <col collapsed="false" customWidth="true" hidden="false" outlineLevel="0" max="5" min="5" style="347" width="12.66"/>
    <col collapsed="false" customWidth="true" hidden="false" outlineLevel="0" max="6" min="6" style="180" width="12.66"/>
    <col collapsed="false" customWidth="false" hidden="false" outlineLevel="0" max="257" min="7" style="180" width="9.15"/>
  </cols>
  <sheetData>
    <row r="1" customFormat="false" ht="12.75" hidden="false" customHeight="true" outlineLevel="0" collapsed="false">
      <c r="A1" s="348" t="s">
        <v>240</v>
      </c>
      <c r="B1" s="349" t="s">
        <v>241</v>
      </c>
      <c r="C1" s="350" t="s">
        <v>242</v>
      </c>
      <c r="D1" s="351" t="n">
        <f aca="false">SUM(D4:D47)</f>
        <v>0</v>
      </c>
      <c r="E1" s="350" t="n">
        <f aca="false">SUM(E4:E47)/2</f>
        <v>3000</v>
      </c>
      <c r="F1" s="350" t="n">
        <f aca="false">SUM(F4:F47)/2</f>
        <v>0</v>
      </c>
      <c r="G1" s="352"/>
      <c r="H1" s="352"/>
      <c r="I1" s="352"/>
      <c r="J1" s="352"/>
      <c r="K1" s="352"/>
      <c r="L1" s="352"/>
      <c r="M1" s="352"/>
      <c r="N1" s="352"/>
      <c r="O1" s="352"/>
      <c r="P1" s="352"/>
      <c r="Q1" s="352"/>
      <c r="R1" s="352"/>
      <c r="S1" s="352"/>
      <c r="T1" s="352"/>
      <c r="U1" s="352"/>
      <c r="V1" s="352"/>
      <c r="W1" s="352"/>
      <c r="X1" s="352"/>
      <c r="Y1" s="352"/>
      <c r="Z1" s="352"/>
      <c r="AA1" s="352"/>
      <c r="AB1" s="352"/>
      <c r="AC1" s="352"/>
      <c r="AD1" s="352"/>
      <c r="AE1" s="352"/>
      <c r="AF1" s="352"/>
      <c r="AG1" s="352"/>
      <c r="AH1" s="352"/>
      <c r="AI1" s="352"/>
      <c r="AJ1" s="352"/>
      <c r="AK1" s="352"/>
      <c r="AL1" s="352"/>
      <c r="AM1" s="352"/>
      <c r="AN1" s="352"/>
      <c r="AO1" s="352"/>
      <c r="AP1" s="352"/>
      <c r="AQ1" s="352"/>
      <c r="AR1" s="352"/>
      <c r="AS1" s="352"/>
      <c r="AT1" s="352"/>
      <c r="AU1" s="352"/>
      <c r="AV1" s="352"/>
      <c r="AW1" s="352"/>
      <c r="AX1" s="352"/>
      <c r="AY1" s="352"/>
      <c r="AZ1" s="352"/>
      <c r="BA1" s="352"/>
      <c r="BB1" s="352"/>
      <c r="BC1" s="352"/>
      <c r="BD1" s="352"/>
      <c r="BE1" s="352"/>
      <c r="BF1" s="352"/>
      <c r="BG1" s="352"/>
      <c r="BH1" s="352"/>
      <c r="BI1" s="352"/>
      <c r="BJ1" s="352"/>
      <c r="BK1" s="352"/>
      <c r="BL1" s="352"/>
      <c r="BM1" s="352"/>
      <c r="BN1" s="352"/>
      <c r="BO1" s="352"/>
      <c r="BP1" s="352"/>
      <c r="BQ1" s="352"/>
      <c r="BR1" s="352"/>
      <c r="BS1" s="352"/>
      <c r="BT1" s="352"/>
      <c r="BU1" s="352"/>
      <c r="BV1" s="352"/>
      <c r="BW1" s="352"/>
      <c r="BX1" s="352"/>
      <c r="BY1" s="352"/>
      <c r="BZ1" s="352"/>
      <c r="CA1" s="352"/>
      <c r="CB1" s="352"/>
      <c r="CC1" s="352"/>
      <c r="CD1" s="352"/>
      <c r="CE1" s="352"/>
      <c r="CF1" s="352"/>
      <c r="CG1" s="352"/>
      <c r="CH1" s="352"/>
      <c r="CI1" s="352"/>
      <c r="CJ1" s="352"/>
      <c r="CK1" s="352"/>
      <c r="CL1" s="352"/>
      <c r="CM1" s="352"/>
      <c r="CN1" s="352"/>
      <c r="CO1" s="352"/>
      <c r="CP1" s="352"/>
      <c r="CQ1" s="352"/>
      <c r="CR1" s="352"/>
      <c r="CS1" s="352"/>
      <c r="CT1" s="352"/>
      <c r="CU1" s="352"/>
      <c r="CV1" s="352"/>
      <c r="CW1" s="352"/>
      <c r="CX1" s="352"/>
      <c r="CY1" s="352"/>
      <c r="CZ1" s="352"/>
      <c r="DA1" s="352"/>
      <c r="DB1" s="352"/>
      <c r="DC1" s="352"/>
      <c r="DD1" s="352"/>
      <c r="DE1" s="352"/>
      <c r="DF1" s="352"/>
      <c r="DG1" s="352"/>
      <c r="DH1" s="352"/>
      <c r="DI1" s="352"/>
      <c r="DJ1" s="352"/>
      <c r="DK1" s="352"/>
      <c r="DL1" s="352"/>
      <c r="DM1" s="352"/>
      <c r="DN1" s="352"/>
      <c r="DO1" s="352"/>
      <c r="DP1" s="352"/>
      <c r="DQ1" s="352"/>
      <c r="DR1" s="352"/>
      <c r="DS1" s="352"/>
      <c r="DT1" s="352"/>
      <c r="DU1" s="352"/>
      <c r="DV1" s="352"/>
      <c r="DW1" s="352"/>
      <c r="DX1" s="352"/>
      <c r="DY1" s="352"/>
      <c r="DZ1" s="352"/>
      <c r="EA1" s="352"/>
      <c r="EB1" s="352"/>
      <c r="EC1" s="352"/>
      <c r="ED1" s="352"/>
      <c r="EE1" s="352"/>
      <c r="EF1" s="352"/>
      <c r="EG1" s="352"/>
      <c r="EH1" s="352"/>
      <c r="EI1" s="352"/>
      <c r="EJ1" s="352"/>
      <c r="EK1" s="352"/>
      <c r="EL1" s="352"/>
      <c r="EM1" s="352"/>
      <c r="EN1" s="352"/>
      <c r="EO1" s="352"/>
      <c r="EP1" s="352"/>
      <c r="EQ1" s="352"/>
      <c r="ER1" s="352"/>
      <c r="ES1" s="352"/>
      <c r="ET1" s="352"/>
      <c r="EU1" s="352"/>
      <c r="EV1" s="352"/>
      <c r="EW1" s="352"/>
      <c r="EX1" s="352"/>
      <c r="EY1" s="352"/>
      <c r="EZ1" s="352"/>
      <c r="FA1" s="352"/>
      <c r="FB1" s="352"/>
      <c r="FC1" s="352"/>
      <c r="FD1" s="352"/>
      <c r="FE1" s="352"/>
      <c r="FF1" s="352"/>
      <c r="FG1" s="352"/>
      <c r="FH1" s="352"/>
      <c r="FI1" s="352"/>
      <c r="FJ1" s="352"/>
      <c r="FK1" s="352"/>
      <c r="FL1" s="352"/>
      <c r="FM1" s="352"/>
      <c r="FN1" s="352"/>
      <c r="FO1" s="352"/>
      <c r="FP1" s="352"/>
      <c r="FQ1" s="352"/>
      <c r="FR1" s="352"/>
      <c r="FS1" s="352"/>
      <c r="FT1" s="352"/>
      <c r="FU1" s="352"/>
      <c r="FV1" s="352"/>
      <c r="FW1" s="352"/>
      <c r="FX1" s="352"/>
      <c r="FY1" s="352"/>
      <c r="FZ1" s="352"/>
      <c r="GA1" s="352"/>
      <c r="GB1" s="352"/>
      <c r="GC1" s="352"/>
      <c r="GD1" s="352"/>
      <c r="GE1" s="352"/>
      <c r="GF1" s="352"/>
      <c r="GG1" s="352"/>
      <c r="GH1" s="352"/>
      <c r="GI1" s="352"/>
      <c r="GJ1" s="352"/>
      <c r="GK1" s="352"/>
      <c r="GL1" s="352"/>
      <c r="GM1" s="352"/>
      <c r="GN1" s="352"/>
      <c r="GO1" s="352"/>
      <c r="GP1" s="352"/>
      <c r="GQ1" s="352"/>
      <c r="GR1" s="352"/>
      <c r="GS1" s="352"/>
      <c r="GT1" s="352"/>
      <c r="GU1" s="352"/>
      <c r="GV1" s="352"/>
      <c r="GW1" s="352"/>
      <c r="GX1" s="352"/>
      <c r="GY1" s="352"/>
      <c r="GZ1" s="352"/>
      <c r="HA1" s="352"/>
      <c r="HB1" s="352"/>
      <c r="HC1" s="352"/>
      <c r="HD1" s="352"/>
      <c r="HE1" s="352"/>
      <c r="HF1" s="352"/>
      <c r="HG1" s="352"/>
      <c r="HH1" s="352"/>
      <c r="HI1" s="352"/>
      <c r="HJ1" s="352"/>
      <c r="HK1" s="352"/>
      <c r="HL1" s="352"/>
      <c r="HM1" s="352"/>
      <c r="HN1" s="352"/>
      <c r="HO1" s="352"/>
      <c r="HP1" s="352"/>
      <c r="HQ1" s="352"/>
      <c r="HR1" s="352"/>
      <c r="HS1" s="352"/>
      <c r="HT1" s="352"/>
      <c r="HU1" s="352"/>
      <c r="HV1" s="352"/>
      <c r="HW1" s="352"/>
      <c r="HX1" s="352"/>
      <c r="HY1" s="352"/>
      <c r="HZ1" s="352"/>
      <c r="IA1" s="352"/>
      <c r="IB1" s="352"/>
      <c r="IC1" s="352"/>
      <c r="ID1" s="352"/>
      <c r="IE1" s="352"/>
      <c r="IF1" s="352"/>
      <c r="IG1" s="352"/>
      <c r="IH1" s="352"/>
      <c r="II1" s="352"/>
      <c r="IJ1" s="352"/>
      <c r="IK1" s="352"/>
      <c r="IL1" s="352"/>
      <c r="IM1" s="352"/>
      <c r="IN1" s="352"/>
      <c r="IO1" s="352"/>
      <c r="IP1" s="352"/>
      <c r="IQ1" s="352"/>
      <c r="IR1" s="352"/>
      <c r="IS1" s="352"/>
      <c r="IT1" s="352"/>
      <c r="IU1" s="352"/>
      <c r="IV1" s="352"/>
      <c r="IW1" s="352"/>
    </row>
    <row r="2" customFormat="false" ht="12.75" hidden="false" customHeight="true" outlineLevel="0" collapsed="false">
      <c r="A2" s="348"/>
      <c r="B2" s="349"/>
      <c r="C2" s="353" t="s">
        <v>243</v>
      </c>
      <c r="D2" s="354" t="s">
        <v>244</v>
      </c>
      <c r="E2" s="353" t="s">
        <v>245</v>
      </c>
      <c r="F2" s="353" t="s">
        <v>246</v>
      </c>
      <c r="G2" s="352"/>
      <c r="H2" s="352"/>
      <c r="I2" s="352"/>
      <c r="J2" s="352"/>
      <c r="K2" s="352"/>
      <c r="L2" s="352"/>
      <c r="M2" s="352"/>
      <c r="N2" s="352"/>
      <c r="O2" s="352"/>
      <c r="P2" s="352"/>
      <c r="Q2" s="352"/>
      <c r="R2" s="352"/>
      <c r="S2" s="352"/>
      <c r="T2" s="352"/>
      <c r="U2" s="352"/>
      <c r="V2" s="352"/>
      <c r="W2" s="352"/>
      <c r="X2" s="352"/>
      <c r="Y2" s="352"/>
      <c r="Z2" s="352"/>
      <c r="AA2" s="352"/>
      <c r="AB2" s="352"/>
      <c r="AC2" s="352"/>
      <c r="AD2" s="352"/>
      <c r="AE2" s="352"/>
      <c r="AF2" s="352"/>
      <c r="AG2" s="352"/>
      <c r="AH2" s="352"/>
      <c r="AI2" s="352"/>
      <c r="AJ2" s="352"/>
      <c r="AK2" s="352"/>
      <c r="AL2" s="352"/>
      <c r="AM2" s="352"/>
      <c r="AN2" s="352"/>
      <c r="AO2" s="352"/>
      <c r="AP2" s="352"/>
      <c r="AQ2" s="352"/>
      <c r="AR2" s="352"/>
      <c r="AS2" s="352"/>
      <c r="AT2" s="352"/>
      <c r="AU2" s="352"/>
      <c r="AV2" s="352"/>
      <c r="AW2" s="352"/>
      <c r="AX2" s="352"/>
      <c r="AY2" s="352"/>
      <c r="AZ2" s="352"/>
      <c r="BA2" s="352"/>
      <c r="BB2" s="352"/>
      <c r="BC2" s="352"/>
      <c r="BD2" s="352"/>
      <c r="BE2" s="352"/>
      <c r="BF2" s="352"/>
      <c r="BG2" s="352"/>
      <c r="BH2" s="352"/>
      <c r="BI2" s="352"/>
      <c r="BJ2" s="352"/>
      <c r="BK2" s="352"/>
      <c r="BL2" s="352"/>
      <c r="BM2" s="352"/>
      <c r="BN2" s="352"/>
      <c r="BO2" s="352"/>
      <c r="BP2" s="352"/>
      <c r="BQ2" s="352"/>
      <c r="BR2" s="352"/>
      <c r="BS2" s="352"/>
      <c r="BT2" s="352"/>
      <c r="BU2" s="352"/>
      <c r="BV2" s="352"/>
      <c r="BW2" s="352"/>
      <c r="BX2" s="352"/>
      <c r="BY2" s="352"/>
      <c r="BZ2" s="352"/>
      <c r="CA2" s="352"/>
      <c r="CB2" s="352"/>
      <c r="CC2" s="352"/>
      <c r="CD2" s="352"/>
      <c r="CE2" s="352"/>
      <c r="CF2" s="352"/>
      <c r="CG2" s="352"/>
      <c r="CH2" s="352"/>
      <c r="CI2" s="352"/>
      <c r="CJ2" s="352"/>
      <c r="CK2" s="352"/>
      <c r="CL2" s="352"/>
      <c r="CM2" s="352"/>
      <c r="CN2" s="352"/>
      <c r="CO2" s="352"/>
      <c r="CP2" s="352"/>
      <c r="CQ2" s="352"/>
      <c r="CR2" s="352"/>
      <c r="CS2" s="352"/>
      <c r="CT2" s="352"/>
      <c r="CU2" s="352"/>
      <c r="CV2" s="352"/>
      <c r="CW2" s="352"/>
      <c r="CX2" s="352"/>
      <c r="CY2" s="352"/>
      <c r="CZ2" s="352"/>
      <c r="DA2" s="352"/>
      <c r="DB2" s="352"/>
      <c r="DC2" s="352"/>
      <c r="DD2" s="352"/>
      <c r="DE2" s="352"/>
      <c r="DF2" s="352"/>
      <c r="DG2" s="352"/>
      <c r="DH2" s="352"/>
      <c r="DI2" s="352"/>
      <c r="DJ2" s="352"/>
      <c r="DK2" s="352"/>
      <c r="DL2" s="352"/>
      <c r="DM2" s="352"/>
      <c r="DN2" s="352"/>
      <c r="DO2" s="352"/>
      <c r="DP2" s="352"/>
      <c r="DQ2" s="352"/>
      <c r="DR2" s="352"/>
      <c r="DS2" s="352"/>
      <c r="DT2" s="352"/>
      <c r="DU2" s="352"/>
      <c r="DV2" s="352"/>
      <c r="DW2" s="352"/>
      <c r="DX2" s="352"/>
      <c r="DY2" s="352"/>
      <c r="DZ2" s="352"/>
      <c r="EA2" s="352"/>
      <c r="EB2" s="352"/>
      <c r="EC2" s="352"/>
      <c r="ED2" s="352"/>
      <c r="EE2" s="352"/>
      <c r="EF2" s="352"/>
      <c r="EG2" s="352"/>
      <c r="EH2" s="352"/>
      <c r="EI2" s="352"/>
      <c r="EJ2" s="352"/>
      <c r="EK2" s="352"/>
      <c r="EL2" s="352"/>
      <c r="EM2" s="352"/>
      <c r="EN2" s="352"/>
      <c r="EO2" s="352"/>
      <c r="EP2" s="352"/>
      <c r="EQ2" s="352"/>
      <c r="ER2" s="352"/>
      <c r="ES2" s="352"/>
      <c r="ET2" s="352"/>
      <c r="EU2" s="352"/>
      <c r="EV2" s="352"/>
      <c r="EW2" s="352"/>
      <c r="EX2" s="352"/>
      <c r="EY2" s="352"/>
      <c r="EZ2" s="352"/>
      <c r="FA2" s="352"/>
      <c r="FB2" s="352"/>
      <c r="FC2" s="352"/>
      <c r="FD2" s="352"/>
      <c r="FE2" s="352"/>
      <c r="FF2" s="352"/>
      <c r="FG2" s="352"/>
      <c r="FH2" s="352"/>
      <c r="FI2" s="352"/>
      <c r="FJ2" s="352"/>
      <c r="FK2" s="352"/>
      <c r="FL2" s="352"/>
      <c r="FM2" s="352"/>
      <c r="FN2" s="352"/>
      <c r="FO2" s="352"/>
      <c r="FP2" s="352"/>
      <c r="FQ2" s="352"/>
      <c r="FR2" s="352"/>
      <c r="FS2" s="352"/>
      <c r="FT2" s="352"/>
      <c r="FU2" s="352"/>
      <c r="FV2" s="352"/>
      <c r="FW2" s="352"/>
      <c r="FX2" s="352"/>
      <c r="FY2" s="352"/>
      <c r="FZ2" s="352"/>
      <c r="GA2" s="352"/>
      <c r="GB2" s="352"/>
      <c r="GC2" s="352"/>
      <c r="GD2" s="352"/>
      <c r="GE2" s="352"/>
      <c r="GF2" s="352"/>
      <c r="GG2" s="352"/>
      <c r="GH2" s="352"/>
      <c r="GI2" s="352"/>
      <c r="GJ2" s="352"/>
      <c r="GK2" s="352"/>
      <c r="GL2" s="352"/>
      <c r="GM2" s="352"/>
      <c r="GN2" s="352"/>
      <c r="GO2" s="352"/>
      <c r="GP2" s="352"/>
      <c r="GQ2" s="352"/>
      <c r="GR2" s="352"/>
      <c r="GS2" s="352"/>
      <c r="GT2" s="352"/>
      <c r="GU2" s="352"/>
      <c r="GV2" s="352"/>
      <c r="GW2" s="352"/>
      <c r="GX2" s="352"/>
      <c r="GY2" s="352"/>
      <c r="GZ2" s="352"/>
      <c r="HA2" s="352"/>
      <c r="HB2" s="352"/>
      <c r="HC2" s="352"/>
      <c r="HD2" s="352"/>
      <c r="HE2" s="352"/>
      <c r="HF2" s="352"/>
      <c r="HG2" s="352"/>
      <c r="HH2" s="352"/>
      <c r="HI2" s="352"/>
      <c r="HJ2" s="352"/>
      <c r="HK2" s="352"/>
      <c r="HL2" s="352"/>
      <c r="HM2" s="352"/>
      <c r="HN2" s="352"/>
      <c r="HO2" s="352"/>
      <c r="HP2" s="352"/>
      <c r="HQ2" s="352"/>
      <c r="HR2" s="352"/>
      <c r="HS2" s="352"/>
      <c r="HT2" s="352"/>
      <c r="HU2" s="352"/>
      <c r="HV2" s="352"/>
      <c r="HW2" s="352"/>
      <c r="HX2" s="352"/>
      <c r="HY2" s="352"/>
      <c r="HZ2" s="352"/>
      <c r="IA2" s="352"/>
      <c r="IB2" s="352"/>
      <c r="IC2" s="352"/>
      <c r="ID2" s="352"/>
      <c r="IE2" s="352"/>
      <c r="IF2" s="352"/>
      <c r="IG2" s="352"/>
      <c r="IH2" s="352"/>
      <c r="II2" s="352"/>
      <c r="IJ2" s="352"/>
      <c r="IK2" s="352"/>
      <c r="IL2" s="352"/>
      <c r="IM2" s="352"/>
      <c r="IN2" s="352"/>
      <c r="IO2" s="352"/>
      <c r="IP2" s="352"/>
      <c r="IQ2" s="352"/>
      <c r="IR2" s="352"/>
      <c r="IS2" s="352"/>
      <c r="IT2" s="352"/>
      <c r="IU2" s="352"/>
      <c r="IV2" s="352"/>
      <c r="IW2" s="352"/>
    </row>
    <row r="3" customFormat="false" ht="24" hidden="false" customHeight="true" outlineLevel="0" collapsed="false">
      <c r="A3" s="348"/>
      <c r="B3" s="349"/>
      <c r="C3" s="353"/>
      <c r="D3" s="354"/>
      <c r="E3" s="353"/>
      <c r="F3" s="353"/>
      <c r="G3" s="355"/>
      <c r="H3" s="355"/>
      <c r="I3" s="355"/>
      <c r="J3" s="355"/>
      <c r="K3" s="355"/>
      <c r="L3" s="355"/>
      <c r="M3" s="355"/>
      <c r="N3" s="355"/>
      <c r="O3" s="355"/>
      <c r="P3" s="355"/>
      <c r="Q3" s="355"/>
      <c r="R3" s="355"/>
      <c r="S3" s="355"/>
      <c r="T3" s="355"/>
      <c r="U3" s="355"/>
      <c r="V3" s="355"/>
      <c r="W3" s="355"/>
      <c r="X3" s="355"/>
      <c r="Y3" s="355"/>
      <c r="Z3" s="355"/>
      <c r="AA3" s="355"/>
      <c r="AB3" s="355"/>
      <c r="AC3" s="355"/>
      <c r="AD3" s="355"/>
      <c r="AE3" s="355"/>
      <c r="AF3" s="355"/>
      <c r="AG3" s="355"/>
      <c r="AH3" s="355"/>
      <c r="AI3" s="355"/>
      <c r="AJ3" s="355"/>
      <c r="AK3" s="355"/>
      <c r="AL3" s="355"/>
      <c r="AM3" s="355"/>
      <c r="AN3" s="355"/>
      <c r="AO3" s="355"/>
      <c r="AP3" s="355"/>
      <c r="AQ3" s="355"/>
      <c r="AR3" s="355"/>
      <c r="AS3" s="355"/>
      <c r="AT3" s="355"/>
      <c r="AU3" s="355"/>
      <c r="AV3" s="355"/>
      <c r="AW3" s="355"/>
      <c r="AX3" s="355"/>
      <c r="AY3" s="355"/>
      <c r="AZ3" s="355"/>
      <c r="BA3" s="355"/>
      <c r="BB3" s="355"/>
      <c r="BC3" s="355"/>
      <c r="BD3" s="355"/>
      <c r="BE3" s="355"/>
      <c r="BF3" s="355"/>
      <c r="BG3" s="355"/>
      <c r="BH3" s="355"/>
      <c r="BI3" s="355"/>
      <c r="BJ3" s="355"/>
      <c r="BK3" s="355"/>
      <c r="BL3" s="355"/>
      <c r="BM3" s="355"/>
      <c r="BN3" s="355"/>
      <c r="BO3" s="355"/>
      <c r="BP3" s="355"/>
      <c r="BQ3" s="355"/>
      <c r="BR3" s="355"/>
      <c r="BS3" s="355"/>
      <c r="BT3" s="355"/>
      <c r="BU3" s="355"/>
      <c r="BV3" s="355"/>
      <c r="BW3" s="355"/>
      <c r="BX3" s="355"/>
      <c r="BY3" s="355"/>
      <c r="BZ3" s="355"/>
      <c r="CA3" s="355"/>
      <c r="CB3" s="355"/>
      <c r="CC3" s="355"/>
      <c r="CD3" s="355"/>
      <c r="CE3" s="355"/>
      <c r="CF3" s="355"/>
      <c r="CG3" s="355"/>
      <c r="CH3" s="355"/>
      <c r="CI3" s="355"/>
      <c r="CJ3" s="355"/>
      <c r="CK3" s="355"/>
      <c r="CL3" s="355"/>
      <c r="CM3" s="355"/>
      <c r="CN3" s="355"/>
      <c r="CO3" s="355"/>
      <c r="CP3" s="355"/>
      <c r="CQ3" s="355"/>
      <c r="CR3" s="355"/>
      <c r="CS3" s="355"/>
      <c r="CT3" s="355"/>
      <c r="CU3" s="355"/>
      <c r="CV3" s="355"/>
      <c r="CW3" s="355"/>
      <c r="CX3" s="355"/>
      <c r="CY3" s="355"/>
      <c r="CZ3" s="355"/>
      <c r="DA3" s="355"/>
      <c r="DB3" s="355"/>
      <c r="DC3" s="355"/>
      <c r="DD3" s="355"/>
      <c r="DE3" s="355"/>
      <c r="DF3" s="355"/>
      <c r="DG3" s="355"/>
      <c r="DH3" s="355"/>
      <c r="DI3" s="355"/>
      <c r="DJ3" s="355"/>
      <c r="DK3" s="355"/>
      <c r="DL3" s="355"/>
      <c r="DM3" s="355"/>
      <c r="DN3" s="355"/>
      <c r="DO3" s="355"/>
      <c r="DP3" s="355"/>
      <c r="DQ3" s="355"/>
      <c r="DR3" s="355"/>
      <c r="DS3" s="355"/>
      <c r="DT3" s="355"/>
      <c r="DU3" s="355"/>
      <c r="DV3" s="355"/>
      <c r="DW3" s="355"/>
      <c r="DX3" s="355"/>
      <c r="DY3" s="355"/>
      <c r="DZ3" s="355"/>
      <c r="EA3" s="355"/>
      <c r="EB3" s="355"/>
      <c r="EC3" s="355"/>
      <c r="ED3" s="355"/>
      <c r="EE3" s="355"/>
      <c r="EF3" s="355"/>
      <c r="EG3" s="355"/>
      <c r="EH3" s="355"/>
      <c r="EI3" s="355"/>
      <c r="EJ3" s="355"/>
      <c r="EK3" s="355"/>
      <c r="EL3" s="355"/>
      <c r="EM3" s="355"/>
      <c r="EN3" s="355"/>
      <c r="EO3" s="355"/>
      <c r="EP3" s="355"/>
      <c r="EQ3" s="355"/>
      <c r="ER3" s="355"/>
      <c r="ES3" s="355"/>
      <c r="ET3" s="355"/>
      <c r="EU3" s="355"/>
      <c r="EV3" s="355"/>
      <c r="EW3" s="355"/>
      <c r="EX3" s="355"/>
      <c r="EY3" s="355"/>
      <c r="EZ3" s="355"/>
      <c r="FA3" s="355"/>
      <c r="FB3" s="355"/>
      <c r="FC3" s="355"/>
      <c r="FD3" s="355"/>
      <c r="FE3" s="355"/>
      <c r="FF3" s="355"/>
      <c r="FG3" s="355"/>
      <c r="FH3" s="355"/>
      <c r="FI3" s="355"/>
      <c r="FJ3" s="355"/>
      <c r="FK3" s="355"/>
      <c r="FL3" s="355"/>
      <c r="FM3" s="355"/>
      <c r="FN3" s="355"/>
      <c r="FO3" s="355"/>
      <c r="FP3" s="355"/>
      <c r="FQ3" s="355"/>
      <c r="FR3" s="355"/>
      <c r="FS3" s="355"/>
      <c r="FT3" s="355"/>
      <c r="FU3" s="355"/>
      <c r="FV3" s="355"/>
      <c r="FW3" s="355"/>
      <c r="FX3" s="355"/>
      <c r="FY3" s="355"/>
      <c r="FZ3" s="355"/>
      <c r="GA3" s="355"/>
      <c r="GB3" s="355"/>
      <c r="GC3" s="355"/>
      <c r="GD3" s="355"/>
      <c r="GE3" s="355"/>
      <c r="GF3" s="355"/>
      <c r="GG3" s="355"/>
      <c r="GH3" s="355"/>
      <c r="GI3" s="355"/>
      <c r="GJ3" s="355"/>
      <c r="GK3" s="355"/>
      <c r="GL3" s="355"/>
      <c r="GM3" s="355"/>
      <c r="GN3" s="355"/>
      <c r="GO3" s="355"/>
      <c r="GP3" s="355"/>
      <c r="GQ3" s="355"/>
      <c r="GR3" s="355"/>
      <c r="GS3" s="355"/>
      <c r="GT3" s="355"/>
      <c r="GU3" s="355"/>
      <c r="GV3" s="355"/>
      <c r="GW3" s="355"/>
      <c r="GX3" s="355"/>
      <c r="GY3" s="355"/>
      <c r="GZ3" s="355"/>
      <c r="HA3" s="355"/>
      <c r="HB3" s="355"/>
      <c r="HC3" s="355"/>
      <c r="HD3" s="355"/>
      <c r="HE3" s="355"/>
      <c r="HF3" s="355"/>
      <c r="HG3" s="355"/>
      <c r="HH3" s="355"/>
      <c r="HI3" s="355"/>
      <c r="HJ3" s="355"/>
      <c r="HK3" s="355"/>
      <c r="HL3" s="355"/>
      <c r="HM3" s="355"/>
      <c r="HN3" s="355"/>
      <c r="HO3" s="355"/>
      <c r="HP3" s="355"/>
      <c r="HQ3" s="355"/>
      <c r="HR3" s="355"/>
      <c r="HS3" s="355"/>
      <c r="HT3" s="355"/>
      <c r="HU3" s="355"/>
      <c r="HV3" s="355"/>
      <c r="HW3" s="355"/>
      <c r="HX3" s="355"/>
      <c r="HY3" s="355"/>
      <c r="HZ3" s="355"/>
      <c r="IA3" s="355"/>
      <c r="IB3" s="355"/>
      <c r="IC3" s="355"/>
      <c r="ID3" s="355"/>
      <c r="IE3" s="355"/>
      <c r="IF3" s="355"/>
      <c r="IG3" s="355"/>
      <c r="IH3" s="355"/>
      <c r="II3" s="355"/>
      <c r="IJ3" s="355"/>
      <c r="IK3" s="355"/>
      <c r="IL3" s="355"/>
      <c r="IM3" s="355"/>
      <c r="IN3" s="355"/>
      <c r="IO3" s="355"/>
      <c r="IP3" s="355"/>
      <c r="IQ3" s="355"/>
      <c r="IR3" s="355"/>
      <c r="IS3" s="355"/>
      <c r="IT3" s="355"/>
      <c r="IU3" s="355"/>
      <c r="IV3" s="355"/>
      <c r="IW3" s="355"/>
    </row>
    <row r="5" customFormat="false" ht="12.75" hidden="false" customHeight="false" outlineLevel="0" collapsed="false">
      <c r="A5" s="356" t="n">
        <v>46293</v>
      </c>
      <c r="B5" s="357" t="n">
        <v>46293</v>
      </c>
      <c r="C5" s="358"/>
      <c r="D5" s="359"/>
      <c r="E5" s="360"/>
      <c r="F5" s="361"/>
    </row>
    <row r="6" customFormat="false" ht="12.75" hidden="false" customHeight="false" outlineLevel="0" collapsed="false">
      <c r="A6" s="362" t="n">
        <v>46294</v>
      </c>
      <c r="B6" s="345" t="n">
        <v>46294</v>
      </c>
      <c r="F6" s="363"/>
    </row>
    <row r="7" customFormat="false" ht="12.75" hidden="false" customHeight="false" outlineLevel="0" collapsed="false">
      <c r="A7" s="362" t="n">
        <v>46295</v>
      </c>
      <c r="B7" s="345" t="n">
        <v>46295</v>
      </c>
      <c r="F7" s="363"/>
    </row>
    <row r="8" customFormat="false" ht="12.75" hidden="false" customHeight="false" outlineLevel="0" collapsed="false">
      <c r="A8" s="362" t="n">
        <v>46296</v>
      </c>
      <c r="B8" s="345" t="n">
        <v>46296</v>
      </c>
      <c r="F8" s="363"/>
    </row>
    <row r="9" customFormat="false" ht="12.75" hidden="false" customHeight="false" outlineLevel="0" collapsed="false">
      <c r="A9" s="362" t="n">
        <v>46297</v>
      </c>
      <c r="B9" s="345" t="n">
        <v>46297</v>
      </c>
      <c r="F9" s="363"/>
    </row>
    <row r="10" customFormat="false" ht="12.75" hidden="false" customHeight="false" outlineLevel="0" collapsed="false">
      <c r="A10" s="362" t="n">
        <v>46298</v>
      </c>
      <c r="B10" s="345" t="n">
        <v>46298</v>
      </c>
      <c r="F10" s="363"/>
    </row>
    <row r="11" customFormat="false" ht="12.75" hidden="false" customHeight="false" outlineLevel="0" collapsed="false">
      <c r="A11" s="362" t="n">
        <v>46299</v>
      </c>
      <c r="B11" s="345" t="n">
        <v>46299</v>
      </c>
      <c r="F11" s="363"/>
    </row>
    <row r="12" customFormat="false" ht="12.75" hidden="false" customHeight="false" outlineLevel="0" collapsed="false">
      <c r="A12" s="362" t="n">
        <v>46299</v>
      </c>
      <c r="B12" s="345" t="s">
        <v>247</v>
      </c>
      <c r="F12" s="363"/>
    </row>
    <row r="13" customFormat="false" ht="12.75" hidden="false" customHeight="false" outlineLevel="0" collapsed="false">
      <c r="A13" s="362" t="n">
        <v>46299</v>
      </c>
      <c r="B13" s="345" t="s">
        <v>248</v>
      </c>
      <c r="F13" s="363"/>
    </row>
    <row r="14" customFormat="false" ht="12.75" hidden="false" customHeight="false" outlineLevel="0" collapsed="false">
      <c r="A14" s="364"/>
      <c r="B14" s="365"/>
      <c r="C14" s="366"/>
      <c r="D14" s="367"/>
      <c r="E14" s="368" t="n">
        <f aca="false">SUM(E5:E13)</f>
        <v>0</v>
      </c>
      <c r="F14" s="369" t="n">
        <f aca="false">SUM(F5:F13)</f>
        <v>0</v>
      </c>
    </row>
    <row r="16" customFormat="false" ht="12.75" hidden="false" customHeight="false" outlineLevel="0" collapsed="false">
      <c r="A16" s="356" t="n">
        <v>46300</v>
      </c>
      <c r="B16" s="357" t="n">
        <v>46300</v>
      </c>
      <c r="C16" s="358"/>
      <c r="D16" s="359"/>
      <c r="E16" s="360"/>
      <c r="F16" s="361"/>
    </row>
    <row r="17" customFormat="false" ht="12.75" hidden="false" customHeight="false" outlineLevel="0" collapsed="false">
      <c r="A17" s="362" t="n">
        <v>46301</v>
      </c>
      <c r="B17" s="345" t="n">
        <v>46301</v>
      </c>
      <c r="E17" s="347" t="n">
        <v>200</v>
      </c>
      <c r="F17" s="363"/>
    </row>
    <row r="18" customFormat="false" ht="12.75" hidden="false" customHeight="false" outlineLevel="0" collapsed="false">
      <c r="A18" s="362" t="n">
        <v>46302</v>
      </c>
      <c r="B18" s="345" t="n">
        <v>46302</v>
      </c>
      <c r="E18" s="347" t="n">
        <v>200</v>
      </c>
      <c r="F18" s="363"/>
    </row>
    <row r="19" customFormat="false" ht="12.75" hidden="false" customHeight="false" outlineLevel="0" collapsed="false">
      <c r="A19" s="362" t="n">
        <v>46303</v>
      </c>
      <c r="B19" s="345" t="n">
        <v>46303</v>
      </c>
      <c r="E19" s="347" t="n">
        <v>200</v>
      </c>
      <c r="F19" s="363"/>
    </row>
    <row r="20" customFormat="false" ht="12.75" hidden="false" customHeight="false" outlineLevel="0" collapsed="false">
      <c r="A20" s="362" t="n">
        <v>46304</v>
      </c>
      <c r="B20" s="345" t="n">
        <v>46304</v>
      </c>
      <c r="E20" s="347" t="n">
        <v>200</v>
      </c>
      <c r="F20" s="363"/>
    </row>
    <row r="21" customFormat="false" ht="12.75" hidden="false" customHeight="false" outlineLevel="0" collapsed="false">
      <c r="A21" s="362" t="n">
        <v>46305</v>
      </c>
      <c r="B21" s="345" t="n">
        <v>46305</v>
      </c>
      <c r="E21" s="347" t="n">
        <v>200</v>
      </c>
      <c r="F21" s="363"/>
    </row>
    <row r="22" customFormat="false" ht="12.75" hidden="false" customHeight="false" outlineLevel="0" collapsed="false">
      <c r="A22" s="362" t="n">
        <v>46306</v>
      </c>
      <c r="B22" s="345" t="n">
        <v>46306</v>
      </c>
      <c r="F22" s="363"/>
    </row>
    <row r="23" customFormat="false" ht="12.75" hidden="false" customHeight="false" outlineLevel="0" collapsed="false">
      <c r="A23" s="362" t="n">
        <v>46306</v>
      </c>
      <c r="B23" s="345" t="s">
        <v>247</v>
      </c>
      <c r="F23" s="363"/>
    </row>
    <row r="24" customFormat="false" ht="12.75" hidden="false" customHeight="false" outlineLevel="0" collapsed="false">
      <c r="A24" s="362" t="n">
        <v>46306</v>
      </c>
      <c r="B24" s="345" t="s">
        <v>248</v>
      </c>
      <c r="F24" s="363"/>
    </row>
    <row r="25" customFormat="false" ht="12.75" hidden="false" customHeight="false" outlineLevel="0" collapsed="false">
      <c r="A25" s="364"/>
      <c r="B25" s="365"/>
      <c r="C25" s="366"/>
      <c r="D25" s="367"/>
      <c r="E25" s="368" t="n">
        <f aca="false">SUM(E16:E24)</f>
        <v>1000</v>
      </c>
      <c r="F25" s="369" t="n">
        <f aca="false">SUM(F16:F24)</f>
        <v>0</v>
      </c>
    </row>
    <row r="27" customFormat="false" ht="12.75" hidden="false" customHeight="false" outlineLevel="0" collapsed="false">
      <c r="A27" s="356" t="n">
        <v>46307</v>
      </c>
      <c r="B27" s="357" t="n">
        <v>46307</v>
      </c>
      <c r="C27" s="358"/>
      <c r="D27" s="359"/>
      <c r="E27" s="360"/>
      <c r="F27" s="361"/>
    </row>
    <row r="28" customFormat="false" ht="12.75" hidden="false" customHeight="false" outlineLevel="0" collapsed="false">
      <c r="A28" s="362" t="n">
        <v>46308</v>
      </c>
      <c r="B28" s="345" t="n">
        <v>46308</v>
      </c>
      <c r="E28" s="347" t="n">
        <v>200</v>
      </c>
      <c r="F28" s="363"/>
    </row>
    <row r="29" customFormat="false" ht="12.75" hidden="false" customHeight="false" outlineLevel="0" collapsed="false">
      <c r="A29" s="362" t="n">
        <v>46309</v>
      </c>
      <c r="B29" s="345" t="n">
        <v>46309</v>
      </c>
      <c r="E29" s="347" t="n">
        <v>200</v>
      </c>
      <c r="F29" s="363"/>
    </row>
    <row r="30" customFormat="false" ht="12.75" hidden="false" customHeight="false" outlineLevel="0" collapsed="false">
      <c r="A30" s="362" t="n">
        <v>46310</v>
      </c>
      <c r="B30" s="345" t="n">
        <v>46310</v>
      </c>
      <c r="E30" s="347" t="n">
        <v>200</v>
      </c>
      <c r="F30" s="363"/>
    </row>
    <row r="31" customFormat="false" ht="12.75" hidden="false" customHeight="false" outlineLevel="0" collapsed="false">
      <c r="A31" s="362" t="n">
        <v>46311</v>
      </c>
      <c r="B31" s="345" t="n">
        <v>46311</v>
      </c>
      <c r="E31" s="347" t="n">
        <v>200</v>
      </c>
      <c r="F31" s="363"/>
    </row>
    <row r="32" customFormat="false" ht="12.75" hidden="false" customHeight="false" outlineLevel="0" collapsed="false">
      <c r="A32" s="362" t="n">
        <v>46312</v>
      </c>
      <c r="B32" s="345" t="n">
        <v>46312</v>
      </c>
      <c r="E32" s="347" t="n">
        <v>200</v>
      </c>
      <c r="F32" s="363"/>
    </row>
    <row r="33" customFormat="false" ht="12.75" hidden="false" customHeight="false" outlineLevel="0" collapsed="false">
      <c r="A33" s="362" t="n">
        <v>46313</v>
      </c>
      <c r="B33" s="345" t="n">
        <v>46313</v>
      </c>
      <c r="F33" s="363"/>
    </row>
    <row r="34" customFormat="false" ht="12.75" hidden="false" customHeight="false" outlineLevel="0" collapsed="false">
      <c r="A34" s="362" t="n">
        <v>46313</v>
      </c>
      <c r="B34" s="345" t="s">
        <v>247</v>
      </c>
      <c r="F34" s="363"/>
    </row>
    <row r="35" customFormat="false" ht="12.75" hidden="false" customHeight="false" outlineLevel="0" collapsed="false">
      <c r="A35" s="362" t="n">
        <v>46313</v>
      </c>
      <c r="B35" s="345" t="s">
        <v>248</v>
      </c>
      <c r="F35" s="363"/>
    </row>
    <row r="36" customFormat="false" ht="12.75" hidden="false" customHeight="false" outlineLevel="0" collapsed="false">
      <c r="A36" s="364"/>
      <c r="B36" s="365"/>
      <c r="C36" s="366"/>
      <c r="D36" s="367"/>
      <c r="E36" s="368" t="n">
        <f aca="false">SUM(E27:E35)</f>
        <v>1000</v>
      </c>
      <c r="F36" s="369" t="n">
        <f aca="false">SUM(F27:F35)</f>
        <v>0</v>
      </c>
    </row>
    <row r="38" customFormat="false" ht="12.75" hidden="false" customHeight="false" outlineLevel="0" collapsed="false">
      <c r="A38" s="356" t="n">
        <v>46314</v>
      </c>
      <c r="B38" s="357" t="n">
        <v>46314</v>
      </c>
      <c r="C38" s="358"/>
      <c r="D38" s="359"/>
      <c r="E38" s="360"/>
      <c r="F38" s="361"/>
    </row>
    <row r="39" customFormat="false" ht="12.75" hidden="false" customHeight="false" outlineLevel="0" collapsed="false">
      <c r="A39" s="362" t="n">
        <v>46315</v>
      </c>
      <c r="B39" s="345" t="n">
        <v>46315</v>
      </c>
      <c r="E39" s="347" t="n">
        <v>200</v>
      </c>
      <c r="F39" s="363"/>
    </row>
    <row r="40" customFormat="false" ht="12.75" hidden="false" customHeight="false" outlineLevel="0" collapsed="false">
      <c r="A40" s="362" t="n">
        <v>46316</v>
      </c>
      <c r="B40" s="345" t="n">
        <v>46316</v>
      </c>
      <c r="E40" s="347" t="n">
        <v>200</v>
      </c>
      <c r="F40" s="363"/>
    </row>
    <row r="41" customFormat="false" ht="12.75" hidden="false" customHeight="false" outlineLevel="0" collapsed="false">
      <c r="A41" s="362" t="n">
        <v>46317</v>
      </c>
      <c r="B41" s="345" t="n">
        <v>46317</v>
      </c>
      <c r="E41" s="347" t="n">
        <v>200</v>
      </c>
      <c r="F41" s="363"/>
    </row>
    <row r="42" customFormat="false" ht="12.75" hidden="false" customHeight="false" outlineLevel="0" collapsed="false">
      <c r="A42" s="362" t="n">
        <v>46318</v>
      </c>
      <c r="B42" s="345" t="n">
        <v>46318</v>
      </c>
      <c r="E42" s="347" t="n">
        <v>200</v>
      </c>
      <c r="F42" s="363"/>
    </row>
    <row r="43" customFormat="false" ht="12.75" hidden="false" customHeight="false" outlineLevel="0" collapsed="false">
      <c r="A43" s="362" t="n">
        <v>46319</v>
      </c>
      <c r="B43" s="345" t="n">
        <v>46319</v>
      </c>
      <c r="E43" s="347" t="n">
        <v>200</v>
      </c>
      <c r="F43" s="363"/>
    </row>
    <row r="44" customFormat="false" ht="12.75" hidden="false" customHeight="false" outlineLevel="0" collapsed="false">
      <c r="A44" s="362" t="n">
        <v>46320</v>
      </c>
      <c r="B44" s="345" t="n">
        <v>46320</v>
      </c>
      <c r="F44" s="363"/>
    </row>
    <row r="45" customFormat="false" ht="12.75" hidden="false" customHeight="false" outlineLevel="0" collapsed="false">
      <c r="A45" s="362" t="n">
        <v>46320</v>
      </c>
      <c r="B45" s="345" t="s">
        <v>247</v>
      </c>
      <c r="F45" s="363"/>
    </row>
    <row r="46" customFormat="false" ht="12.75" hidden="false" customHeight="false" outlineLevel="0" collapsed="false">
      <c r="A46" s="362" t="n">
        <v>46320</v>
      </c>
      <c r="B46" s="345" t="s">
        <v>248</v>
      </c>
      <c r="F46" s="363"/>
    </row>
    <row r="47" customFormat="false" ht="12.75" hidden="false" customHeight="false" outlineLevel="0" collapsed="false">
      <c r="A47" s="364"/>
      <c r="B47" s="365"/>
      <c r="C47" s="366"/>
      <c r="D47" s="367"/>
      <c r="E47" s="368" t="n">
        <f aca="false">SUM(E38:E46)</f>
        <v>1000</v>
      </c>
      <c r="F47" s="369" t="n">
        <f aca="false">SUM(F38:F46)</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customHeight="false" zeroHeight="false" outlineLevelRow="0" outlineLevelCol="0"/>
  <cols>
    <col collapsed="false" customWidth="true" hidden="false" outlineLevel="0" max="1" min="1" style="370" width="9.66"/>
    <col collapsed="false" customWidth="true" hidden="false" outlineLevel="0" max="2" min="2" style="179" width="23.99"/>
    <col collapsed="false" customWidth="true" hidden="false" outlineLevel="0" max="3" min="3" style="179" width="15.99"/>
    <col collapsed="false" customWidth="false" hidden="false" outlineLevel="0" max="5" min="4" style="371" width="9.15"/>
    <col collapsed="false" customWidth="true" hidden="false" outlineLevel="0" max="6" min="6" style="372" width="12.66"/>
    <col collapsed="false" customWidth="true" hidden="false" outlineLevel="0" max="8" min="7" style="180" width="9.82"/>
    <col collapsed="false" customWidth="true" hidden="false" outlineLevel="0" max="10" min="9" style="180" width="8.33"/>
    <col collapsed="false" customWidth="true" hidden="false" outlineLevel="0" max="12" min="11" style="180" width="7.66"/>
    <col collapsed="false" customWidth="true" hidden="false" outlineLevel="0" max="13" min="13" style="180" width="8.99"/>
    <col collapsed="false" customWidth="false" hidden="false" outlineLevel="0" max="14" min="14" style="180" width="9.15"/>
    <col collapsed="false" customWidth="true" hidden="false" outlineLevel="0" max="15" min="15" style="180" width="9.33"/>
    <col collapsed="false" customWidth="true" hidden="false" outlineLevel="0" max="18" min="16" style="180" width="7.66"/>
    <col collapsed="false" customWidth="true" hidden="false" outlineLevel="0" max="19" min="19" style="180" width="8.49"/>
    <col collapsed="false" customWidth="true" hidden="false" outlineLevel="0" max="20" min="20" style="179" width="12.99"/>
    <col collapsed="false" customWidth="true" hidden="false" outlineLevel="0" max="21" min="21" style="180" width="8.15"/>
    <col collapsed="false" customWidth="false" hidden="false" outlineLevel="0" max="257" min="22" style="179" width="9.15"/>
  </cols>
  <sheetData>
    <row r="1" customFormat="false" ht="13.5" hidden="false" customHeight="true" outlineLevel="0" collapsed="false">
      <c r="A1" s="389" t="n">
        <f aca="false">E1+SalesOct!$D$1+PurchasesSep!A1</f>
        <v>0</v>
      </c>
      <c r="B1" s="390" t="s">
        <v>249</v>
      </c>
      <c r="C1" s="391" t="s">
        <v>242</v>
      </c>
      <c r="D1" s="375" t="str">
        <f aca="false">IF((F1-SUM(G1:S1)&lt;&gt;0),(F1-SUM(G1:S1))," ")</f>
        <v> </v>
      </c>
      <c r="E1" s="351" t="n">
        <f aca="false">SUM(E5:E199)</f>
        <v>0</v>
      </c>
      <c r="F1" s="350" t="n">
        <f aca="false">SUM(F5:F199)</f>
        <v>420</v>
      </c>
      <c r="G1" s="350" t="n">
        <f aca="false">SUM(G5:G199)</f>
        <v>300</v>
      </c>
      <c r="H1" s="350" t="n">
        <f aca="false">SUM(H5:H199)</f>
        <v>0</v>
      </c>
      <c r="I1" s="350" t="n">
        <f aca="false">SUM(I5:I199)</f>
        <v>0</v>
      </c>
      <c r="J1" s="350" t="n">
        <f aca="false">SUM(J5:J199)</f>
        <v>0</v>
      </c>
      <c r="K1" s="350" t="n">
        <f aca="false">SUM(K5:K199)</f>
        <v>0</v>
      </c>
      <c r="L1" s="350" t="n">
        <f aca="false">SUM(L5:L199)</f>
        <v>0</v>
      </c>
      <c r="M1" s="350" t="n">
        <f aca="false">SUM(M5:M199)</f>
        <v>120</v>
      </c>
      <c r="N1" s="350" t="n">
        <f aca="false">SUM(N5:N199)</f>
        <v>0</v>
      </c>
      <c r="O1" s="350" t="n">
        <f aca="false">SUM(O5:O199)</f>
        <v>0</v>
      </c>
      <c r="P1" s="350" t="n">
        <f aca="false">SUM(P5:P199)</f>
        <v>0</v>
      </c>
      <c r="Q1" s="350" t="n">
        <f aca="false">SUM(Q5:Q199)</f>
        <v>0</v>
      </c>
      <c r="R1" s="350" t="n">
        <f aca="false">SUM(R5:R199)</f>
        <v>0</v>
      </c>
      <c r="S1" s="392" t="n">
        <f aca="false">SUM(S5:S199)</f>
        <v>0</v>
      </c>
      <c r="T1" s="393" t="n">
        <f aca="false">S1+PurchasesSep!T1</f>
        <v>8000</v>
      </c>
      <c r="U1" s="392" t="n">
        <f aca="false">SUM(U4:U199)</f>
        <v>0</v>
      </c>
      <c r="V1" s="180"/>
      <c r="W1" s="180"/>
      <c r="X1" s="180"/>
      <c r="Y1" s="180"/>
      <c r="Z1" s="180"/>
      <c r="AA1" s="180"/>
      <c r="AB1" s="180"/>
      <c r="AC1" s="180"/>
      <c r="AD1" s="180"/>
      <c r="AE1" s="180"/>
      <c r="AF1" s="180"/>
      <c r="AG1" s="180"/>
      <c r="AH1" s="180"/>
      <c r="AI1" s="180"/>
      <c r="AJ1" s="180"/>
      <c r="AK1" s="180"/>
      <c r="AL1" s="180"/>
      <c r="AM1" s="180"/>
      <c r="AN1" s="180"/>
      <c r="AO1" s="180"/>
      <c r="AP1" s="180"/>
      <c r="AQ1" s="180"/>
      <c r="AR1" s="180"/>
      <c r="AS1" s="180"/>
      <c r="AT1" s="180"/>
      <c r="AU1" s="180"/>
      <c r="AV1" s="180"/>
      <c r="AW1" s="180"/>
      <c r="AX1" s="180"/>
      <c r="AY1" s="180"/>
      <c r="AZ1" s="180"/>
      <c r="BA1" s="180"/>
      <c r="BB1" s="180"/>
      <c r="BC1" s="180"/>
      <c r="BD1" s="180"/>
      <c r="BE1" s="180"/>
      <c r="BF1" s="180"/>
      <c r="BG1" s="180"/>
      <c r="BH1" s="180"/>
      <c r="BI1" s="180"/>
      <c r="BJ1" s="180"/>
      <c r="BK1" s="180"/>
      <c r="BL1" s="180"/>
      <c r="BM1" s="180"/>
      <c r="BN1" s="180"/>
      <c r="BO1" s="180"/>
      <c r="BP1" s="180"/>
      <c r="BQ1" s="180"/>
      <c r="BR1" s="180"/>
      <c r="BS1" s="180"/>
      <c r="BT1" s="180"/>
      <c r="BU1" s="180"/>
      <c r="BV1" s="180"/>
      <c r="BW1" s="180"/>
      <c r="BX1" s="180"/>
      <c r="BY1" s="180"/>
      <c r="BZ1" s="180"/>
      <c r="CA1" s="180"/>
      <c r="CB1" s="180"/>
      <c r="CC1" s="180"/>
      <c r="CD1" s="180"/>
      <c r="CE1" s="180"/>
      <c r="CF1" s="180"/>
      <c r="CG1" s="180"/>
      <c r="CH1" s="180"/>
      <c r="CI1" s="180"/>
      <c r="CJ1" s="180"/>
      <c r="CK1" s="180"/>
      <c r="CL1" s="180"/>
      <c r="CM1" s="180"/>
      <c r="CN1" s="180"/>
      <c r="CO1" s="180"/>
      <c r="CP1" s="180"/>
      <c r="CQ1" s="180"/>
      <c r="CR1" s="180"/>
      <c r="CS1" s="180"/>
      <c r="CT1" s="180"/>
      <c r="CU1" s="180"/>
      <c r="CV1" s="180"/>
      <c r="CW1" s="180"/>
      <c r="CX1" s="180"/>
      <c r="CY1" s="180"/>
      <c r="CZ1" s="180"/>
      <c r="DA1" s="180"/>
      <c r="DB1" s="180"/>
      <c r="DC1" s="180"/>
      <c r="DD1" s="180"/>
      <c r="DE1" s="180"/>
      <c r="DF1" s="180"/>
      <c r="DG1" s="180"/>
      <c r="DH1" s="180"/>
      <c r="DI1" s="180"/>
      <c r="DJ1" s="180"/>
      <c r="DK1" s="180"/>
      <c r="DL1" s="180"/>
      <c r="DM1" s="180"/>
      <c r="DN1" s="180"/>
      <c r="DO1" s="180"/>
      <c r="DP1" s="180"/>
      <c r="DQ1" s="180"/>
      <c r="DR1" s="180"/>
      <c r="DS1" s="180"/>
      <c r="DT1" s="180"/>
      <c r="DU1" s="180"/>
      <c r="DV1" s="180"/>
      <c r="DW1" s="180"/>
      <c r="DX1" s="180"/>
      <c r="DY1" s="180"/>
      <c r="DZ1" s="180"/>
      <c r="EA1" s="180"/>
      <c r="EB1" s="180"/>
      <c r="EC1" s="180"/>
      <c r="ED1" s="180"/>
      <c r="EE1" s="180"/>
      <c r="EF1" s="180"/>
      <c r="EG1" s="180"/>
      <c r="EH1" s="180"/>
      <c r="EI1" s="180"/>
      <c r="EJ1" s="180"/>
      <c r="EK1" s="180"/>
      <c r="EL1" s="180"/>
      <c r="EM1" s="180"/>
      <c r="EN1" s="180"/>
      <c r="EO1" s="180"/>
      <c r="EP1" s="180"/>
      <c r="EQ1" s="180"/>
      <c r="ER1" s="180"/>
      <c r="ES1" s="180"/>
      <c r="ET1" s="180"/>
      <c r="EU1" s="180"/>
      <c r="EV1" s="180"/>
      <c r="EW1" s="180"/>
      <c r="EX1" s="180"/>
      <c r="EY1" s="180"/>
      <c r="EZ1" s="180"/>
      <c r="FA1" s="180"/>
      <c r="FB1" s="180"/>
      <c r="FC1" s="180"/>
      <c r="FD1" s="180"/>
      <c r="FE1" s="180"/>
      <c r="FF1" s="180"/>
      <c r="FG1" s="180"/>
      <c r="FH1" s="180"/>
      <c r="FI1" s="180"/>
      <c r="FJ1" s="180"/>
      <c r="FK1" s="180"/>
      <c r="FL1" s="180"/>
      <c r="FM1" s="180"/>
      <c r="FN1" s="180"/>
      <c r="FO1" s="180"/>
      <c r="FP1" s="180"/>
      <c r="FQ1" s="180"/>
      <c r="FR1" s="180"/>
      <c r="FS1" s="180"/>
      <c r="FT1" s="180"/>
      <c r="FU1" s="180"/>
      <c r="FV1" s="180"/>
      <c r="FW1" s="180"/>
      <c r="FX1" s="180"/>
      <c r="FY1" s="180"/>
      <c r="FZ1" s="180"/>
      <c r="GA1" s="180"/>
      <c r="GB1" s="180"/>
      <c r="GC1" s="180"/>
      <c r="GD1" s="180"/>
      <c r="GE1" s="180"/>
      <c r="GF1" s="180"/>
      <c r="GG1" s="180"/>
      <c r="GH1" s="180"/>
      <c r="GI1" s="180"/>
      <c r="GJ1" s="180"/>
      <c r="GK1" s="180"/>
      <c r="GL1" s="180"/>
      <c r="GM1" s="180"/>
      <c r="GN1" s="180"/>
      <c r="GO1" s="180"/>
      <c r="GP1" s="180"/>
      <c r="GQ1" s="180"/>
      <c r="GR1" s="180"/>
      <c r="GS1" s="180"/>
      <c r="GT1" s="180"/>
      <c r="GU1" s="180"/>
      <c r="GV1" s="180"/>
      <c r="GW1" s="180"/>
      <c r="GX1" s="180"/>
      <c r="GY1" s="180"/>
      <c r="GZ1" s="180"/>
      <c r="HA1" s="180"/>
      <c r="HB1" s="180"/>
      <c r="HC1" s="180"/>
      <c r="HD1" s="180"/>
      <c r="HE1" s="180"/>
      <c r="HF1" s="180"/>
      <c r="HG1" s="180"/>
      <c r="HH1" s="180"/>
      <c r="HI1" s="180"/>
      <c r="HJ1" s="180"/>
      <c r="HK1" s="180"/>
      <c r="HL1" s="180"/>
      <c r="HM1" s="180"/>
      <c r="HN1" s="180"/>
      <c r="HO1" s="180"/>
      <c r="HP1" s="180"/>
      <c r="HQ1" s="180"/>
      <c r="HR1" s="180"/>
      <c r="HS1" s="180"/>
      <c r="HT1" s="180"/>
      <c r="HU1" s="180"/>
      <c r="HV1" s="180"/>
      <c r="HW1" s="180"/>
      <c r="HX1" s="180"/>
      <c r="HY1" s="180"/>
      <c r="HZ1" s="180"/>
      <c r="IA1" s="180"/>
      <c r="IB1" s="180"/>
      <c r="IC1" s="180"/>
      <c r="ID1" s="180"/>
      <c r="IE1" s="180"/>
      <c r="IF1" s="180"/>
      <c r="IG1" s="180"/>
      <c r="IH1" s="180"/>
      <c r="II1" s="180"/>
      <c r="IJ1" s="180"/>
      <c r="IK1" s="180"/>
      <c r="IL1" s="180"/>
      <c r="IM1" s="180"/>
      <c r="IN1" s="180"/>
      <c r="IO1" s="180"/>
      <c r="IP1" s="180"/>
      <c r="IQ1" s="180"/>
      <c r="IR1" s="180"/>
      <c r="IS1" s="180"/>
      <c r="IT1" s="180"/>
      <c r="IU1" s="180"/>
      <c r="IV1" s="180"/>
      <c r="IW1" s="180"/>
    </row>
    <row r="2" customFormat="false" ht="13.5" hidden="false" customHeight="true" outlineLevel="0" collapsed="false">
      <c r="A2" s="394" t="n">
        <f aca="false">U1+PurchasesSep!A2</f>
        <v>0</v>
      </c>
      <c r="B2" s="239" t="s">
        <v>250</v>
      </c>
      <c r="C2" s="378" t="s">
        <v>251</v>
      </c>
      <c r="D2" s="378" t="s">
        <v>252</v>
      </c>
      <c r="E2" s="378" t="s">
        <v>253</v>
      </c>
      <c r="F2" s="206" t="s">
        <v>254</v>
      </c>
      <c r="G2" s="379" t="s">
        <v>255</v>
      </c>
      <c r="H2" s="379"/>
      <c r="I2" s="380" t="n">
        <f aca="false">G1+H1+I1+J1+PurchasesSep!I2</f>
        <v>3480</v>
      </c>
      <c r="J2" s="380"/>
      <c r="K2" s="206" t="s">
        <v>256</v>
      </c>
      <c r="L2" s="206" t="s">
        <v>257</v>
      </c>
      <c r="M2" s="206" t="s">
        <v>258</v>
      </c>
      <c r="N2" s="206" t="s">
        <v>290</v>
      </c>
      <c r="O2" s="206" t="s">
        <v>260</v>
      </c>
      <c r="P2" s="206" t="s">
        <v>261</v>
      </c>
      <c r="Q2" s="206" t="s">
        <v>262</v>
      </c>
      <c r="R2" s="206" t="s">
        <v>263</v>
      </c>
      <c r="S2" s="381" t="s">
        <v>264</v>
      </c>
      <c r="T2" s="382" t="str">
        <f aca="false">IF(T1&gt;'Fixed Assets'!$D$74,"ENTER VEHICLE CHANGES        on Fixed Asset schedule","Motor Vehicles: make, model, date reg. and reg. Mark")</f>
        <v>ENTER VEHICLE CHANGES        on Fixed Asset schedule</v>
      </c>
      <c r="U2" s="381" t="s">
        <v>118</v>
      </c>
      <c r="V2" s="180"/>
      <c r="W2" s="180"/>
      <c r="X2" s="180"/>
      <c r="Y2" s="180"/>
      <c r="Z2" s="180"/>
      <c r="AA2" s="180"/>
      <c r="AB2" s="180"/>
      <c r="AC2" s="180"/>
      <c r="AD2" s="180"/>
      <c r="AE2" s="180"/>
      <c r="AF2" s="180"/>
      <c r="AG2" s="180"/>
      <c r="AH2" s="180"/>
      <c r="AI2" s="180"/>
      <c r="AJ2" s="180"/>
      <c r="AK2" s="180"/>
      <c r="AL2" s="180"/>
      <c r="AM2" s="180"/>
      <c r="AN2" s="180"/>
      <c r="AO2" s="180"/>
      <c r="AP2" s="180"/>
      <c r="AQ2" s="180"/>
      <c r="AR2" s="180"/>
      <c r="AS2" s="180"/>
      <c r="AT2" s="180"/>
      <c r="AU2" s="180"/>
      <c r="AV2" s="180"/>
      <c r="AW2" s="180"/>
      <c r="AX2" s="180"/>
      <c r="AY2" s="180"/>
      <c r="AZ2" s="180"/>
      <c r="BA2" s="180"/>
      <c r="BB2" s="180"/>
      <c r="BC2" s="180"/>
      <c r="BD2" s="180"/>
      <c r="BE2" s="180"/>
      <c r="BF2" s="180"/>
      <c r="BG2" s="180"/>
      <c r="BH2" s="180"/>
      <c r="BI2" s="180"/>
      <c r="BJ2" s="180"/>
      <c r="BK2" s="180"/>
      <c r="BL2" s="180"/>
      <c r="BM2" s="180"/>
      <c r="BN2" s="180"/>
      <c r="BO2" s="180"/>
      <c r="BP2" s="180"/>
      <c r="BQ2" s="180"/>
      <c r="BR2" s="180"/>
      <c r="BS2" s="180"/>
      <c r="BT2" s="180"/>
      <c r="BU2" s="180"/>
      <c r="BV2" s="180"/>
      <c r="BW2" s="180"/>
      <c r="BX2" s="180"/>
      <c r="BY2" s="180"/>
      <c r="BZ2" s="180"/>
      <c r="CA2" s="180"/>
      <c r="CB2" s="180"/>
      <c r="CC2" s="180"/>
      <c r="CD2" s="180"/>
      <c r="CE2" s="180"/>
      <c r="CF2" s="180"/>
      <c r="CG2" s="180"/>
      <c r="CH2" s="180"/>
      <c r="CI2" s="180"/>
      <c r="CJ2" s="180"/>
      <c r="CK2" s="180"/>
      <c r="CL2" s="180"/>
      <c r="CM2" s="180"/>
      <c r="CN2" s="180"/>
      <c r="CO2" s="180"/>
      <c r="CP2" s="180"/>
      <c r="CQ2" s="180"/>
      <c r="CR2" s="180"/>
      <c r="CS2" s="180"/>
      <c r="CT2" s="180"/>
      <c r="CU2" s="180"/>
      <c r="CV2" s="180"/>
      <c r="CW2" s="180"/>
      <c r="CX2" s="180"/>
      <c r="CY2" s="180"/>
      <c r="CZ2" s="180"/>
      <c r="DA2" s="180"/>
      <c r="DB2" s="180"/>
      <c r="DC2" s="180"/>
      <c r="DD2" s="180"/>
      <c r="DE2" s="180"/>
      <c r="DF2" s="180"/>
      <c r="DG2" s="180"/>
      <c r="DH2" s="180"/>
      <c r="DI2" s="180"/>
      <c r="DJ2" s="180"/>
      <c r="DK2" s="180"/>
      <c r="DL2" s="180"/>
      <c r="DM2" s="180"/>
      <c r="DN2" s="180"/>
      <c r="DO2" s="180"/>
      <c r="DP2" s="180"/>
      <c r="DQ2" s="180"/>
      <c r="DR2" s="180"/>
      <c r="DS2" s="180"/>
      <c r="DT2" s="180"/>
      <c r="DU2" s="180"/>
      <c r="DV2" s="180"/>
      <c r="DW2" s="180"/>
      <c r="DX2" s="180"/>
      <c r="DY2" s="180"/>
      <c r="DZ2" s="180"/>
      <c r="EA2" s="180"/>
      <c r="EB2" s="180"/>
      <c r="EC2" s="180"/>
      <c r="ED2" s="180"/>
      <c r="EE2" s="180"/>
      <c r="EF2" s="180"/>
      <c r="EG2" s="180"/>
      <c r="EH2" s="180"/>
      <c r="EI2" s="180"/>
      <c r="EJ2" s="180"/>
      <c r="EK2" s="180"/>
      <c r="EL2" s="180"/>
      <c r="EM2" s="180"/>
      <c r="EN2" s="180"/>
      <c r="EO2" s="180"/>
      <c r="EP2" s="180"/>
      <c r="EQ2" s="180"/>
      <c r="ER2" s="180"/>
      <c r="ES2" s="180"/>
      <c r="ET2" s="180"/>
      <c r="EU2" s="180"/>
      <c r="EV2" s="180"/>
      <c r="EW2" s="180"/>
      <c r="EX2" s="180"/>
      <c r="EY2" s="180"/>
      <c r="EZ2" s="180"/>
      <c r="FA2" s="180"/>
      <c r="FB2" s="180"/>
      <c r="FC2" s="180"/>
      <c r="FD2" s="180"/>
      <c r="FE2" s="180"/>
      <c r="FF2" s="180"/>
      <c r="FG2" s="180"/>
      <c r="FH2" s="180"/>
      <c r="FI2" s="180"/>
      <c r="FJ2" s="180"/>
      <c r="FK2" s="180"/>
      <c r="FL2" s="180"/>
      <c r="FM2" s="180"/>
      <c r="FN2" s="180"/>
      <c r="FO2" s="180"/>
      <c r="FP2" s="180"/>
      <c r="FQ2" s="180"/>
      <c r="FR2" s="180"/>
      <c r="FS2" s="180"/>
      <c r="FT2" s="180"/>
      <c r="FU2" s="180"/>
      <c r="FV2" s="180"/>
      <c r="FW2" s="180"/>
      <c r="FX2" s="180"/>
      <c r="FY2" s="180"/>
      <c r="FZ2" s="180"/>
      <c r="GA2" s="180"/>
      <c r="GB2" s="180"/>
      <c r="GC2" s="180"/>
      <c r="GD2" s="180"/>
      <c r="GE2" s="180"/>
      <c r="GF2" s="180"/>
      <c r="GG2" s="180"/>
      <c r="GH2" s="180"/>
      <c r="GI2" s="180"/>
      <c r="GJ2" s="180"/>
      <c r="GK2" s="180"/>
      <c r="GL2" s="180"/>
      <c r="GM2" s="180"/>
      <c r="GN2" s="180"/>
      <c r="GO2" s="180"/>
      <c r="GP2" s="180"/>
      <c r="GQ2" s="180"/>
      <c r="GR2" s="180"/>
      <c r="GS2" s="180"/>
      <c r="GT2" s="180"/>
      <c r="GU2" s="180"/>
      <c r="GV2" s="180"/>
      <c r="GW2" s="180"/>
      <c r="GX2" s="180"/>
      <c r="GY2" s="180"/>
      <c r="GZ2" s="180"/>
      <c r="HA2" s="180"/>
      <c r="HB2" s="180"/>
      <c r="HC2" s="180"/>
      <c r="HD2" s="180"/>
      <c r="HE2" s="180"/>
      <c r="HF2" s="180"/>
      <c r="HG2" s="180"/>
      <c r="HH2" s="180"/>
      <c r="HI2" s="180"/>
      <c r="HJ2" s="180"/>
      <c r="HK2" s="180"/>
      <c r="HL2" s="180"/>
      <c r="HM2" s="180"/>
      <c r="HN2" s="180"/>
      <c r="HO2" s="180"/>
      <c r="HP2" s="180"/>
      <c r="HQ2" s="180"/>
      <c r="HR2" s="180"/>
      <c r="HS2" s="180"/>
      <c r="HT2" s="180"/>
      <c r="HU2" s="180"/>
      <c r="HV2" s="180"/>
      <c r="HW2" s="180"/>
      <c r="HX2" s="180"/>
      <c r="HY2" s="180"/>
      <c r="HZ2" s="180"/>
      <c r="IA2" s="180"/>
      <c r="IB2" s="180"/>
      <c r="IC2" s="180"/>
      <c r="ID2" s="180"/>
      <c r="IE2" s="180"/>
      <c r="IF2" s="180"/>
      <c r="IG2" s="180"/>
      <c r="IH2" s="180"/>
      <c r="II2" s="180"/>
      <c r="IJ2" s="180"/>
      <c r="IK2" s="180"/>
      <c r="IL2" s="180"/>
      <c r="IM2" s="180"/>
      <c r="IN2" s="180"/>
      <c r="IO2" s="180"/>
      <c r="IP2" s="180"/>
      <c r="IQ2" s="180"/>
      <c r="IR2" s="180"/>
      <c r="IS2" s="180"/>
      <c r="IT2" s="180"/>
      <c r="IU2" s="180"/>
      <c r="IV2" s="180"/>
      <c r="IW2" s="180"/>
    </row>
    <row r="3" customFormat="false" ht="45" hidden="false" customHeight="true" outlineLevel="0" collapsed="false">
      <c r="A3" s="383" t="s">
        <v>265</v>
      </c>
      <c r="B3" s="206" t="s">
        <v>266</v>
      </c>
      <c r="C3" s="378"/>
      <c r="D3" s="378"/>
      <c r="E3" s="378"/>
      <c r="F3" s="378"/>
      <c r="G3" s="206" t="s">
        <v>113</v>
      </c>
      <c r="H3" s="206" t="s">
        <v>267</v>
      </c>
      <c r="I3" s="206" t="s">
        <v>115</v>
      </c>
      <c r="J3" s="206" t="s">
        <v>116</v>
      </c>
      <c r="K3" s="206"/>
      <c r="L3" s="206"/>
      <c r="M3" s="206"/>
      <c r="N3" s="206"/>
      <c r="O3" s="206"/>
      <c r="P3" s="206"/>
      <c r="Q3" s="206"/>
      <c r="R3" s="206"/>
      <c r="S3" s="381"/>
      <c r="T3" s="382"/>
      <c r="U3" s="381"/>
      <c r="V3" s="384"/>
      <c r="W3" s="384"/>
      <c r="X3" s="384"/>
      <c r="Y3" s="384"/>
      <c r="Z3" s="384"/>
      <c r="AA3" s="384"/>
      <c r="AB3" s="384"/>
      <c r="AC3" s="384"/>
      <c r="AD3" s="384"/>
      <c r="AE3" s="384"/>
      <c r="AF3" s="384"/>
      <c r="AG3" s="384"/>
      <c r="AH3" s="384"/>
      <c r="AI3" s="384"/>
      <c r="AJ3" s="384"/>
      <c r="AK3" s="384"/>
      <c r="AL3" s="384"/>
      <c r="AM3" s="384"/>
      <c r="AN3" s="384"/>
      <c r="AO3" s="384"/>
      <c r="AP3" s="384"/>
      <c r="AQ3" s="384"/>
      <c r="AR3" s="384"/>
      <c r="AS3" s="384"/>
      <c r="AT3" s="384"/>
      <c r="AU3" s="384"/>
      <c r="AV3" s="384"/>
      <c r="AW3" s="384"/>
      <c r="AX3" s="384"/>
      <c r="AY3" s="384"/>
      <c r="AZ3" s="384"/>
      <c r="BA3" s="384"/>
      <c r="BB3" s="384"/>
      <c r="BC3" s="384"/>
      <c r="BD3" s="384"/>
      <c r="BE3" s="384"/>
      <c r="BF3" s="384"/>
      <c r="BG3" s="384"/>
      <c r="BH3" s="384"/>
      <c r="BI3" s="384"/>
      <c r="BJ3" s="384"/>
      <c r="BK3" s="384"/>
      <c r="BL3" s="384"/>
      <c r="BM3" s="384"/>
      <c r="BN3" s="384"/>
      <c r="BO3" s="384"/>
      <c r="BP3" s="384"/>
      <c r="BQ3" s="384"/>
      <c r="BR3" s="384"/>
      <c r="BS3" s="384"/>
      <c r="BT3" s="384"/>
      <c r="BU3" s="384"/>
      <c r="BV3" s="384"/>
      <c r="BW3" s="384"/>
      <c r="BX3" s="384"/>
      <c r="BY3" s="384"/>
      <c r="BZ3" s="384"/>
      <c r="CA3" s="384"/>
      <c r="CB3" s="384"/>
      <c r="CC3" s="384"/>
      <c r="CD3" s="384"/>
      <c r="CE3" s="384"/>
      <c r="CF3" s="384"/>
      <c r="CG3" s="384"/>
      <c r="CH3" s="384"/>
      <c r="CI3" s="384"/>
      <c r="CJ3" s="384"/>
      <c r="CK3" s="384"/>
      <c r="CL3" s="384"/>
      <c r="CM3" s="384"/>
      <c r="CN3" s="384"/>
      <c r="CO3" s="384"/>
      <c r="CP3" s="384"/>
      <c r="CQ3" s="384"/>
      <c r="CR3" s="384"/>
      <c r="CS3" s="384"/>
      <c r="CT3" s="384"/>
      <c r="CU3" s="384"/>
      <c r="CV3" s="384"/>
      <c r="CW3" s="384"/>
      <c r="CX3" s="384"/>
      <c r="CY3" s="384"/>
      <c r="CZ3" s="384"/>
      <c r="DA3" s="384"/>
      <c r="DB3" s="384"/>
      <c r="DC3" s="384"/>
      <c r="DD3" s="384"/>
      <c r="DE3" s="384"/>
      <c r="DF3" s="384"/>
      <c r="DG3" s="384"/>
      <c r="DH3" s="384"/>
      <c r="DI3" s="384"/>
      <c r="DJ3" s="384"/>
      <c r="DK3" s="384"/>
      <c r="DL3" s="384"/>
      <c r="DM3" s="384"/>
      <c r="DN3" s="384"/>
      <c r="DO3" s="384"/>
      <c r="DP3" s="384"/>
      <c r="DQ3" s="384"/>
      <c r="DR3" s="384"/>
      <c r="DS3" s="384"/>
      <c r="DT3" s="384"/>
      <c r="DU3" s="384"/>
      <c r="DV3" s="384"/>
      <c r="DW3" s="384"/>
      <c r="DX3" s="384"/>
      <c r="DY3" s="384"/>
      <c r="DZ3" s="384"/>
      <c r="EA3" s="384"/>
      <c r="EB3" s="384"/>
      <c r="EC3" s="384"/>
      <c r="ED3" s="384"/>
      <c r="EE3" s="384"/>
      <c r="EF3" s="384"/>
      <c r="EG3" s="384"/>
      <c r="EH3" s="384"/>
      <c r="EI3" s="384"/>
      <c r="EJ3" s="384"/>
      <c r="EK3" s="384"/>
      <c r="EL3" s="384"/>
      <c r="EM3" s="384"/>
      <c r="EN3" s="384"/>
      <c r="EO3" s="384"/>
      <c r="EP3" s="384"/>
      <c r="EQ3" s="384"/>
      <c r="ER3" s="384"/>
      <c r="ES3" s="384"/>
      <c r="ET3" s="384"/>
      <c r="EU3" s="384"/>
      <c r="EV3" s="384"/>
      <c r="EW3" s="384"/>
      <c r="EX3" s="384"/>
      <c r="EY3" s="384"/>
      <c r="EZ3" s="384"/>
      <c r="FA3" s="384"/>
      <c r="FB3" s="384"/>
      <c r="FC3" s="384"/>
      <c r="FD3" s="384"/>
      <c r="FE3" s="384"/>
      <c r="FF3" s="384"/>
      <c r="FG3" s="384"/>
      <c r="FH3" s="384"/>
      <c r="FI3" s="384"/>
      <c r="FJ3" s="384"/>
      <c r="FK3" s="384"/>
      <c r="FL3" s="384"/>
      <c r="FM3" s="384"/>
      <c r="FN3" s="384"/>
      <c r="FO3" s="384"/>
      <c r="FP3" s="384"/>
      <c r="FQ3" s="384"/>
      <c r="FR3" s="384"/>
      <c r="FS3" s="384"/>
      <c r="FT3" s="384"/>
      <c r="FU3" s="384"/>
      <c r="FV3" s="384"/>
      <c r="FW3" s="384"/>
      <c r="FX3" s="384"/>
      <c r="FY3" s="384"/>
      <c r="FZ3" s="384"/>
      <c r="GA3" s="384"/>
      <c r="GB3" s="384"/>
      <c r="GC3" s="384"/>
      <c r="GD3" s="384"/>
      <c r="GE3" s="384"/>
      <c r="GF3" s="384"/>
      <c r="GG3" s="384"/>
      <c r="GH3" s="384"/>
      <c r="GI3" s="384"/>
      <c r="GJ3" s="384"/>
      <c r="GK3" s="384"/>
      <c r="GL3" s="384"/>
      <c r="GM3" s="384"/>
      <c r="GN3" s="384"/>
      <c r="GO3" s="384"/>
      <c r="GP3" s="384"/>
      <c r="GQ3" s="384"/>
      <c r="GR3" s="384"/>
      <c r="GS3" s="384"/>
      <c r="GT3" s="384"/>
      <c r="GU3" s="384"/>
      <c r="GV3" s="384"/>
      <c r="GW3" s="384"/>
      <c r="GX3" s="384"/>
      <c r="GY3" s="384"/>
      <c r="GZ3" s="384"/>
      <c r="HA3" s="384"/>
      <c r="HB3" s="384"/>
      <c r="HC3" s="384"/>
      <c r="HD3" s="384"/>
      <c r="HE3" s="384"/>
      <c r="HF3" s="384"/>
      <c r="HG3" s="384"/>
      <c r="HH3" s="384"/>
      <c r="HI3" s="384"/>
      <c r="HJ3" s="384"/>
      <c r="HK3" s="384"/>
      <c r="HL3" s="384"/>
      <c r="HM3" s="384"/>
      <c r="HN3" s="384"/>
      <c r="HO3" s="384"/>
      <c r="HP3" s="384"/>
      <c r="HQ3" s="384"/>
      <c r="HR3" s="384"/>
      <c r="HS3" s="384"/>
      <c r="HT3" s="384"/>
      <c r="HU3" s="384"/>
      <c r="HV3" s="384"/>
      <c r="HW3" s="384"/>
      <c r="HX3" s="384"/>
      <c r="HY3" s="384"/>
      <c r="HZ3" s="384"/>
      <c r="IA3" s="384"/>
      <c r="IB3" s="384"/>
      <c r="IC3" s="384"/>
      <c r="ID3" s="384"/>
      <c r="IE3" s="384"/>
      <c r="IF3" s="384"/>
      <c r="IG3" s="384"/>
      <c r="IH3" s="384"/>
      <c r="II3" s="384"/>
      <c r="IJ3" s="384"/>
      <c r="IK3" s="384"/>
      <c r="IL3" s="384"/>
      <c r="IM3" s="384"/>
      <c r="IN3" s="384"/>
      <c r="IO3" s="384"/>
      <c r="IP3" s="384"/>
      <c r="IQ3" s="384"/>
      <c r="IR3" s="384"/>
      <c r="IS3" s="384"/>
      <c r="IT3" s="384"/>
      <c r="IU3" s="384"/>
      <c r="IV3" s="384"/>
      <c r="IW3" s="384"/>
    </row>
    <row r="4" customFormat="false" ht="12.75" hidden="false" customHeight="false" outlineLevel="0" collapsed="false">
      <c r="A4" s="385" t="str">
        <f aca="false">IF((E1&lt;&gt;0),Admin!$B$11," ")</f>
        <v> </v>
      </c>
      <c r="B4" s="206"/>
      <c r="C4" s="206"/>
      <c r="D4" s="206"/>
      <c r="E4" s="206"/>
      <c r="F4" s="206"/>
      <c r="G4" s="374" t="s">
        <v>268</v>
      </c>
      <c r="H4" s="374" t="s">
        <v>269</v>
      </c>
      <c r="I4" s="374" t="s">
        <v>270</v>
      </c>
      <c r="J4" s="374" t="s">
        <v>271</v>
      </c>
      <c r="K4" s="374" t="s">
        <v>272</v>
      </c>
      <c r="L4" s="374" t="s">
        <v>273</v>
      </c>
      <c r="M4" s="374" t="s">
        <v>274</v>
      </c>
      <c r="N4" s="374" t="s">
        <v>275</v>
      </c>
      <c r="O4" s="374" t="s">
        <v>276</v>
      </c>
      <c r="P4" s="374" t="s">
        <v>277</v>
      </c>
      <c r="Q4" s="374" t="s">
        <v>278</v>
      </c>
      <c r="R4" s="374" t="s">
        <v>279</v>
      </c>
      <c r="S4" s="386" t="s">
        <v>280</v>
      </c>
      <c r="T4" s="382"/>
      <c r="U4" s="393" t="n">
        <f aca="false">IF((A1&lt;Admin!$F$22),((A1-PurchasesSep!A1)*Admin!$G$21),(A1*Admin!$G$21-(A1-Admin!$F$21)*(Admin!$G$21-Admin!$G$22)-PurchasesSep!A2))</f>
        <v>0</v>
      </c>
      <c r="V4" s="387"/>
      <c r="W4" s="387"/>
      <c r="X4" s="387"/>
      <c r="Y4" s="387"/>
      <c r="Z4" s="387"/>
      <c r="AA4" s="387"/>
      <c r="AB4" s="387"/>
      <c r="AC4" s="387"/>
      <c r="AD4" s="387"/>
      <c r="AE4" s="387"/>
      <c r="AF4" s="387"/>
      <c r="AG4" s="387"/>
      <c r="AH4" s="387"/>
      <c r="AI4" s="387"/>
      <c r="AJ4" s="387"/>
      <c r="AK4" s="387"/>
      <c r="AL4" s="387"/>
      <c r="AM4" s="387"/>
      <c r="AN4" s="387"/>
      <c r="AO4" s="387"/>
      <c r="AP4" s="387"/>
      <c r="AQ4" s="387"/>
      <c r="AR4" s="387"/>
      <c r="AS4" s="387"/>
      <c r="AT4" s="387"/>
      <c r="AU4" s="387"/>
      <c r="AV4" s="387"/>
      <c r="AW4" s="387"/>
      <c r="AX4" s="387"/>
      <c r="AY4" s="387"/>
      <c r="AZ4" s="387"/>
      <c r="BA4" s="387"/>
      <c r="BB4" s="387"/>
      <c r="BC4" s="387"/>
      <c r="BD4" s="387"/>
      <c r="BE4" s="387"/>
      <c r="BF4" s="387"/>
      <c r="BG4" s="387"/>
      <c r="BH4" s="387"/>
      <c r="BI4" s="387"/>
      <c r="BJ4" s="387"/>
      <c r="BK4" s="387"/>
      <c r="BL4" s="387"/>
      <c r="BM4" s="387"/>
      <c r="BN4" s="387"/>
      <c r="BO4" s="387"/>
      <c r="BP4" s="387"/>
      <c r="BQ4" s="387"/>
      <c r="BR4" s="387"/>
      <c r="BS4" s="387"/>
      <c r="BT4" s="387"/>
      <c r="BU4" s="387"/>
      <c r="BV4" s="387"/>
      <c r="BW4" s="387"/>
      <c r="BX4" s="387"/>
      <c r="BY4" s="387"/>
      <c r="BZ4" s="387"/>
      <c r="CA4" s="387"/>
      <c r="CB4" s="387"/>
      <c r="CC4" s="387"/>
      <c r="CD4" s="387"/>
      <c r="CE4" s="387"/>
      <c r="CF4" s="387"/>
      <c r="CG4" s="387"/>
      <c r="CH4" s="387"/>
      <c r="CI4" s="387"/>
      <c r="CJ4" s="387"/>
      <c r="CK4" s="387"/>
      <c r="CL4" s="387"/>
      <c r="CM4" s="387"/>
      <c r="CN4" s="387"/>
      <c r="CO4" s="387"/>
      <c r="CP4" s="387"/>
      <c r="CQ4" s="387"/>
      <c r="CR4" s="387"/>
      <c r="CS4" s="387"/>
      <c r="CT4" s="387"/>
      <c r="CU4" s="387"/>
      <c r="CV4" s="387"/>
      <c r="CW4" s="387"/>
      <c r="CX4" s="387"/>
      <c r="CY4" s="387"/>
      <c r="CZ4" s="387"/>
      <c r="DA4" s="387"/>
      <c r="DB4" s="387"/>
      <c r="DC4" s="387"/>
      <c r="DD4" s="387"/>
      <c r="DE4" s="387"/>
      <c r="DF4" s="387"/>
      <c r="DG4" s="387"/>
      <c r="DH4" s="387"/>
      <c r="DI4" s="387"/>
      <c r="DJ4" s="387"/>
      <c r="DK4" s="387"/>
      <c r="DL4" s="387"/>
      <c r="DM4" s="387"/>
      <c r="DN4" s="387"/>
      <c r="DO4" s="387"/>
      <c r="DP4" s="387"/>
      <c r="DQ4" s="387"/>
      <c r="DR4" s="387"/>
      <c r="DS4" s="387"/>
      <c r="DT4" s="387"/>
      <c r="DU4" s="387"/>
      <c r="DV4" s="387"/>
      <c r="DW4" s="387"/>
      <c r="DX4" s="387"/>
      <c r="DY4" s="387"/>
      <c r="DZ4" s="387"/>
      <c r="EA4" s="387"/>
      <c r="EB4" s="387"/>
      <c r="EC4" s="387"/>
      <c r="ED4" s="387"/>
      <c r="EE4" s="387"/>
      <c r="EF4" s="387"/>
      <c r="EG4" s="387"/>
      <c r="EH4" s="387"/>
      <c r="EI4" s="387"/>
      <c r="EJ4" s="387"/>
      <c r="EK4" s="387"/>
      <c r="EL4" s="387"/>
      <c r="EM4" s="387"/>
      <c r="EN4" s="387"/>
      <c r="EO4" s="387"/>
      <c r="EP4" s="387"/>
      <c r="EQ4" s="387"/>
      <c r="ER4" s="387"/>
      <c r="ES4" s="387"/>
      <c r="ET4" s="387"/>
      <c r="EU4" s="387"/>
      <c r="EV4" s="387"/>
      <c r="EW4" s="387"/>
      <c r="EX4" s="387"/>
      <c r="EY4" s="387"/>
      <c r="EZ4" s="387"/>
      <c r="FA4" s="387"/>
      <c r="FB4" s="387"/>
      <c r="FC4" s="387"/>
      <c r="FD4" s="387"/>
      <c r="FE4" s="387"/>
      <c r="FF4" s="387"/>
      <c r="FG4" s="387"/>
      <c r="FH4" s="387"/>
      <c r="FI4" s="387"/>
      <c r="FJ4" s="387"/>
      <c r="FK4" s="387"/>
      <c r="FL4" s="387"/>
      <c r="FM4" s="387"/>
      <c r="FN4" s="387"/>
      <c r="FO4" s="387"/>
      <c r="FP4" s="387"/>
      <c r="FQ4" s="387"/>
      <c r="FR4" s="387"/>
      <c r="FS4" s="387"/>
      <c r="FT4" s="387"/>
      <c r="FU4" s="387"/>
      <c r="FV4" s="387"/>
      <c r="FW4" s="387"/>
      <c r="FX4" s="387"/>
      <c r="FY4" s="387"/>
      <c r="FZ4" s="387"/>
      <c r="GA4" s="387"/>
      <c r="GB4" s="387"/>
      <c r="GC4" s="387"/>
      <c r="GD4" s="387"/>
      <c r="GE4" s="387"/>
      <c r="GF4" s="387"/>
      <c r="GG4" s="387"/>
      <c r="GH4" s="387"/>
      <c r="GI4" s="387"/>
      <c r="GJ4" s="387"/>
      <c r="GK4" s="387"/>
      <c r="GL4" s="387"/>
      <c r="GM4" s="387"/>
      <c r="GN4" s="387"/>
      <c r="GO4" s="387"/>
      <c r="GP4" s="387"/>
      <c r="GQ4" s="387"/>
      <c r="GR4" s="387"/>
      <c r="GS4" s="387"/>
      <c r="GT4" s="387"/>
      <c r="GU4" s="387"/>
      <c r="GV4" s="387"/>
      <c r="GW4" s="387"/>
      <c r="GX4" s="387"/>
      <c r="GY4" s="387"/>
      <c r="GZ4" s="387"/>
      <c r="HA4" s="387"/>
      <c r="HB4" s="387"/>
      <c r="HC4" s="387"/>
      <c r="HD4" s="387"/>
      <c r="HE4" s="387"/>
      <c r="HF4" s="387"/>
      <c r="HG4" s="387"/>
      <c r="HH4" s="387"/>
      <c r="HI4" s="387"/>
      <c r="HJ4" s="387"/>
      <c r="HK4" s="387"/>
      <c r="HL4" s="387"/>
      <c r="HM4" s="387"/>
      <c r="HN4" s="387"/>
      <c r="HO4" s="387"/>
      <c r="HP4" s="387"/>
      <c r="HQ4" s="387"/>
      <c r="HR4" s="387"/>
      <c r="HS4" s="387"/>
      <c r="HT4" s="387"/>
      <c r="HU4" s="387"/>
      <c r="HV4" s="387"/>
      <c r="HW4" s="387"/>
      <c r="HX4" s="387"/>
      <c r="HY4" s="387"/>
      <c r="HZ4" s="387"/>
      <c r="IA4" s="387"/>
      <c r="IB4" s="387"/>
      <c r="IC4" s="387"/>
      <c r="ID4" s="387"/>
      <c r="IE4" s="387"/>
      <c r="IF4" s="387"/>
      <c r="IG4" s="387"/>
      <c r="IH4" s="387"/>
      <c r="II4" s="387"/>
      <c r="IJ4" s="387"/>
      <c r="IK4" s="387"/>
      <c r="IL4" s="387"/>
      <c r="IM4" s="387"/>
      <c r="IN4" s="387"/>
      <c r="IO4" s="387"/>
      <c r="IP4" s="387"/>
      <c r="IQ4" s="387"/>
      <c r="IR4" s="387"/>
      <c r="IS4" s="387"/>
      <c r="IT4" s="387"/>
      <c r="IU4" s="387"/>
      <c r="IV4" s="387"/>
      <c r="IW4" s="387"/>
    </row>
    <row r="5" customFormat="false" ht="12.75" hidden="false" customHeight="false" outlineLevel="0" collapsed="false">
      <c r="A5" s="370" t="n">
        <v>46305</v>
      </c>
      <c r="B5" s="388" t="s">
        <v>288</v>
      </c>
      <c r="C5" s="371"/>
      <c r="D5" s="371" t="s">
        <v>289</v>
      </c>
      <c r="F5" s="371" t="n">
        <v>120</v>
      </c>
      <c r="G5" s="180" t="str">
        <f aca="false">IF((D5="d"),F5," ")</f>
        <v> </v>
      </c>
      <c r="H5" s="180" t="str">
        <f aca="false">IF((D5="h"),F5," ")</f>
        <v> </v>
      </c>
      <c r="I5" s="180" t="str">
        <f aca="false">IF((D5="r"),F5," ")</f>
        <v> </v>
      </c>
      <c r="J5" s="180" t="str">
        <f aca="false">IF((D5="t"),F5," ")</f>
        <v> </v>
      </c>
      <c r="K5" s="180" t="str">
        <f aca="false">IF((D5="e"),F5," ")</f>
        <v> </v>
      </c>
      <c r="L5" s="180" t="str">
        <f aca="false">IF((D5="p"),F5," ")</f>
        <v> </v>
      </c>
      <c r="M5" s="180" t="n">
        <f aca="false">IF((D5="g"),F5," ")</f>
        <v>120</v>
      </c>
      <c r="N5" s="180" t="str">
        <f aca="false">IF((D5="a"),F5," ")</f>
        <v> </v>
      </c>
      <c r="O5" s="180" t="str">
        <f aca="false">IF((D5="l"),F5," ")</f>
        <v> </v>
      </c>
      <c r="P5" s="180" t="str">
        <f aca="false">IF((D5="i"),F5," ")</f>
        <v> </v>
      </c>
      <c r="Q5" s="180" t="str">
        <f aca="false">IF((D5="b"),F5," ")</f>
        <v> </v>
      </c>
      <c r="R5" s="180" t="str">
        <f aca="false">IF((D5="o"),F5," ")</f>
        <v> </v>
      </c>
      <c r="S5" s="180" t="str">
        <f aca="false">IF((D5="f"),F5," ")</f>
        <v> </v>
      </c>
      <c r="T5" s="371"/>
      <c r="U5" s="371"/>
      <c r="V5" s="371"/>
      <c r="W5" s="371"/>
      <c r="X5" s="371"/>
      <c r="Y5" s="371"/>
      <c r="Z5" s="371"/>
      <c r="AA5" s="371"/>
      <c r="AB5" s="371"/>
      <c r="AC5" s="371"/>
      <c r="AD5" s="371"/>
      <c r="AE5" s="371"/>
      <c r="AF5" s="371"/>
      <c r="AG5" s="371"/>
      <c r="AH5" s="371"/>
      <c r="AI5" s="371"/>
      <c r="AJ5" s="371"/>
      <c r="AK5" s="371"/>
      <c r="AL5" s="371"/>
      <c r="AM5" s="371"/>
      <c r="AN5" s="371"/>
      <c r="AO5" s="371"/>
      <c r="AP5" s="371"/>
      <c r="AQ5" s="371"/>
      <c r="AR5" s="371"/>
      <c r="AS5" s="371"/>
      <c r="AT5" s="371"/>
      <c r="AU5" s="371"/>
      <c r="AV5" s="371"/>
      <c r="AW5" s="371"/>
      <c r="AX5" s="371"/>
      <c r="AY5" s="371"/>
      <c r="AZ5" s="371"/>
      <c r="BA5" s="371"/>
      <c r="BB5" s="371"/>
      <c r="BC5" s="371"/>
      <c r="BD5" s="371"/>
      <c r="BE5" s="371"/>
      <c r="BF5" s="371"/>
      <c r="BG5" s="371"/>
      <c r="BH5" s="371"/>
      <c r="BI5" s="371"/>
      <c r="BJ5" s="371"/>
      <c r="BK5" s="371"/>
      <c r="BL5" s="371"/>
      <c r="BM5" s="371"/>
      <c r="BN5" s="371"/>
      <c r="BO5" s="371"/>
      <c r="BP5" s="371"/>
      <c r="BQ5" s="371"/>
      <c r="BR5" s="371"/>
      <c r="BS5" s="371"/>
      <c r="BT5" s="371"/>
      <c r="BU5" s="371"/>
      <c r="BV5" s="371"/>
      <c r="BW5" s="371"/>
      <c r="BX5" s="371"/>
      <c r="BY5" s="371"/>
      <c r="BZ5" s="371"/>
      <c r="CA5" s="371"/>
      <c r="CB5" s="371"/>
      <c r="CC5" s="371"/>
      <c r="CD5" s="371"/>
      <c r="CE5" s="371"/>
      <c r="CF5" s="371"/>
      <c r="CG5" s="371"/>
      <c r="CH5" s="371"/>
      <c r="CI5" s="371"/>
      <c r="CJ5" s="371"/>
      <c r="CK5" s="371"/>
      <c r="CL5" s="371"/>
      <c r="CM5" s="371"/>
      <c r="CN5" s="371"/>
      <c r="CO5" s="371"/>
      <c r="CP5" s="371"/>
      <c r="CQ5" s="371"/>
      <c r="CR5" s="371"/>
      <c r="CS5" s="371"/>
      <c r="CT5" s="371"/>
      <c r="CU5" s="371"/>
      <c r="CV5" s="371"/>
      <c r="CW5" s="371"/>
      <c r="CX5" s="371"/>
      <c r="CY5" s="371"/>
      <c r="CZ5" s="371"/>
      <c r="DA5" s="371"/>
      <c r="DB5" s="371"/>
      <c r="DC5" s="371"/>
      <c r="DD5" s="371"/>
      <c r="DE5" s="371"/>
      <c r="DF5" s="371"/>
      <c r="DG5" s="371"/>
      <c r="DH5" s="371"/>
      <c r="DI5" s="371"/>
      <c r="DJ5" s="371"/>
      <c r="DK5" s="371"/>
      <c r="DL5" s="371"/>
      <c r="DM5" s="371"/>
      <c r="DN5" s="371"/>
      <c r="DO5" s="371"/>
      <c r="DP5" s="371"/>
      <c r="DQ5" s="371"/>
      <c r="DR5" s="371"/>
      <c r="DS5" s="371"/>
      <c r="DT5" s="371"/>
      <c r="DU5" s="371"/>
      <c r="DV5" s="371"/>
      <c r="DW5" s="371"/>
      <c r="DX5" s="371"/>
      <c r="DY5" s="371"/>
      <c r="DZ5" s="371"/>
      <c r="EA5" s="371"/>
      <c r="EB5" s="371"/>
      <c r="EC5" s="371"/>
      <c r="ED5" s="371"/>
      <c r="EE5" s="371"/>
      <c r="EF5" s="371"/>
      <c r="EG5" s="371"/>
      <c r="EH5" s="371"/>
      <c r="EI5" s="371"/>
      <c r="EJ5" s="371"/>
      <c r="EK5" s="371"/>
      <c r="EL5" s="371"/>
      <c r="EM5" s="371"/>
      <c r="EN5" s="371"/>
      <c r="EO5" s="371"/>
      <c r="EP5" s="371"/>
      <c r="EQ5" s="371"/>
      <c r="ER5" s="371"/>
      <c r="ES5" s="371"/>
      <c r="ET5" s="371"/>
      <c r="EU5" s="371"/>
      <c r="EV5" s="371"/>
      <c r="EW5" s="371"/>
      <c r="EX5" s="371"/>
      <c r="EY5" s="371"/>
      <c r="EZ5" s="371"/>
      <c r="FA5" s="371"/>
      <c r="FB5" s="371"/>
      <c r="FC5" s="371"/>
      <c r="FD5" s="371"/>
      <c r="FE5" s="371"/>
      <c r="FF5" s="371"/>
      <c r="FG5" s="371"/>
      <c r="FH5" s="371"/>
      <c r="FI5" s="371"/>
      <c r="FJ5" s="371"/>
      <c r="FK5" s="371"/>
      <c r="FL5" s="371"/>
      <c r="FM5" s="371"/>
      <c r="FN5" s="371"/>
      <c r="FO5" s="371"/>
      <c r="FP5" s="371"/>
      <c r="FQ5" s="371"/>
      <c r="FR5" s="371"/>
      <c r="FS5" s="371"/>
      <c r="FT5" s="371"/>
      <c r="FU5" s="371"/>
      <c r="FV5" s="371"/>
      <c r="FW5" s="371"/>
      <c r="FX5" s="371"/>
      <c r="FY5" s="371"/>
      <c r="FZ5" s="371"/>
      <c r="GA5" s="371"/>
      <c r="GB5" s="371"/>
      <c r="GC5" s="371"/>
      <c r="GD5" s="371"/>
      <c r="GE5" s="371"/>
      <c r="GF5" s="371"/>
      <c r="GG5" s="371"/>
      <c r="GH5" s="371"/>
      <c r="GI5" s="371"/>
      <c r="GJ5" s="371"/>
      <c r="GK5" s="371"/>
      <c r="GL5" s="371"/>
      <c r="GM5" s="371"/>
      <c r="GN5" s="371"/>
      <c r="GO5" s="371"/>
      <c r="GP5" s="371"/>
      <c r="GQ5" s="371"/>
      <c r="GR5" s="371"/>
      <c r="GS5" s="371"/>
      <c r="GT5" s="371"/>
      <c r="GU5" s="371"/>
      <c r="GV5" s="371"/>
      <c r="GW5" s="371"/>
      <c r="GX5" s="371"/>
      <c r="GY5" s="371"/>
      <c r="GZ5" s="371"/>
      <c r="HA5" s="371"/>
      <c r="HB5" s="371"/>
      <c r="HC5" s="371"/>
      <c r="HD5" s="371"/>
      <c r="HE5" s="371"/>
      <c r="HF5" s="371"/>
      <c r="HG5" s="371"/>
      <c r="HH5" s="371"/>
      <c r="HI5" s="371"/>
      <c r="HJ5" s="371"/>
      <c r="HK5" s="371"/>
      <c r="HL5" s="371"/>
      <c r="HM5" s="371"/>
      <c r="HN5" s="371"/>
      <c r="HO5" s="371"/>
      <c r="HP5" s="371"/>
      <c r="HQ5" s="371"/>
      <c r="HR5" s="371"/>
      <c r="HS5" s="371"/>
      <c r="HT5" s="371"/>
      <c r="HU5" s="371"/>
      <c r="HV5" s="371"/>
      <c r="HW5" s="371"/>
      <c r="HX5" s="371"/>
      <c r="HY5" s="371"/>
      <c r="HZ5" s="371"/>
      <c r="IA5" s="371"/>
      <c r="IB5" s="371"/>
      <c r="IC5" s="371"/>
      <c r="ID5" s="371"/>
      <c r="IE5" s="371"/>
      <c r="IF5" s="371"/>
      <c r="IG5" s="371"/>
      <c r="IH5" s="371"/>
      <c r="II5" s="371"/>
      <c r="IJ5" s="371"/>
      <c r="IK5" s="371"/>
      <c r="IL5" s="371"/>
      <c r="IM5" s="371"/>
      <c r="IN5" s="371"/>
      <c r="IO5" s="371"/>
      <c r="IP5" s="371"/>
      <c r="IQ5" s="371"/>
      <c r="IR5" s="371"/>
      <c r="IS5" s="371"/>
      <c r="IT5" s="371"/>
      <c r="IU5" s="371"/>
      <c r="IV5" s="371"/>
      <c r="IW5" s="371"/>
    </row>
    <row r="6" customFormat="false" ht="12.75" hidden="false" customHeight="false" outlineLevel="0" collapsed="false">
      <c r="A6" s="370" t="n">
        <v>46310</v>
      </c>
      <c r="B6" s="179" t="s">
        <v>286</v>
      </c>
      <c r="D6" s="371" t="s">
        <v>287</v>
      </c>
      <c r="F6" s="372" t="n">
        <v>300</v>
      </c>
      <c r="G6" s="180" t="n">
        <f aca="false">IF((D6="d"),F6," ")</f>
        <v>300</v>
      </c>
      <c r="H6" s="180" t="str">
        <f aca="false">IF((D6="h"),F6," ")</f>
        <v> </v>
      </c>
      <c r="I6" s="180" t="str">
        <f aca="false">IF((D6="r"),F6," ")</f>
        <v> </v>
      </c>
      <c r="J6" s="180" t="str">
        <f aca="false">IF((D6="t"),F6," ")</f>
        <v> </v>
      </c>
      <c r="K6" s="180" t="str">
        <f aca="false">IF((D6="e"),F6," ")</f>
        <v> </v>
      </c>
      <c r="L6" s="180" t="str">
        <f aca="false">IF((D6="p"),F6," ")</f>
        <v> </v>
      </c>
      <c r="M6" s="180" t="str">
        <f aca="false">IF((D6="g"),F6," ")</f>
        <v> </v>
      </c>
      <c r="N6" s="180" t="str">
        <f aca="false">IF((D6="a"),F6," ")</f>
        <v> </v>
      </c>
      <c r="O6" s="180" t="str">
        <f aca="false">IF((D6="l"),F6," ")</f>
        <v> </v>
      </c>
      <c r="P6" s="180" t="str">
        <f aca="false">IF((D6="i"),F6," ")</f>
        <v> </v>
      </c>
      <c r="Q6" s="180" t="str">
        <f aca="false">IF((D6="b"),F6," ")</f>
        <v> </v>
      </c>
      <c r="R6" s="180" t="str">
        <f aca="false">IF((D6="o"),F6," ")</f>
        <v> </v>
      </c>
      <c r="S6" s="180" t="str">
        <f aca="false">IF((D6="f"),F6," ")</f>
        <v> </v>
      </c>
      <c r="U6" s="371"/>
    </row>
    <row r="7" customFormat="false" ht="12.75" hidden="false" customHeight="false" outlineLevel="0" collapsed="false">
      <c r="G7" s="180" t="str">
        <f aca="false">IF((D7="d"),F7," ")</f>
        <v> </v>
      </c>
      <c r="H7" s="180" t="str">
        <f aca="false">IF((D7="h"),F7," ")</f>
        <v> </v>
      </c>
      <c r="I7" s="180" t="str">
        <f aca="false">IF((D7="r"),F7," ")</f>
        <v> </v>
      </c>
      <c r="J7" s="180" t="str">
        <f aca="false">IF((D7="t"),F7," ")</f>
        <v> </v>
      </c>
      <c r="K7" s="180" t="str">
        <f aca="false">IF((D7="e"),F7," ")</f>
        <v> </v>
      </c>
      <c r="L7" s="180" t="str">
        <f aca="false">IF((D7="p"),F7," ")</f>
        <v> </v>
      </c>
      <c r="M7" s="180" t="str">
        <f aca="false">IF((D7="g"),F7," ")</f>
        <v> </v>
      </c>
      <c r="N7" s="180" t="str">
        <f aca="false">IF((D7="a"),F7," ")</f>
        <v> </v>
      </c>
      <c r="O7" s="180" t="str">
        <f aca="false">IF((D7="l"),F7," ")</f>
        <v> </v>
      </c>
      <c r="P7" s="180" t="str">
        <f aca="false">IF((D7="i"),F7," ")</f>
        <v> </v>
      </c>
      <c r="Q7" s="180" t="str">
        <f aca="false">IF((D7="b"),F7," ")</f>
        <v> </v>
      </c>
      <c r="R7" s="180" t="str">
        <f aca="false">IF((D7="o"),F7," ")</f>
        <v> </v>
      </c>
      <c r="S7" s="180" t="str">
        <f aca="false">IF((D7="f"),F7," ")</f>
        <v> </v>
      </c>
      <c r="U7" s="371"/>
    </row>
    <row r="8" customFormat="false" ht="12.75" hidden="false" customHeight="false" outlineLevel="0" collapsed="false">
      <c r="G8" s="180" t="str">
        <f aca="false">IF((D8="d"),F8," ")</f>
        <v> </v>
      </c>
      <c r="H8" s="180" t="str">
        <f aca="false">IF((D8="h"),F8," ")</f>
        <v> </v>
      </c>
      <c r="I8" s="180" t="str">
        <f aca="false">IF((D8="r"),F8," ")</f>
        <v> </v>
      </c>
      <c r="J8" s="180" t="str">
        <f aca="false">IF((D8="t"),F8," ")</f>
        <v> </v>
      </c>
      <c r="K8" s="180" t="str">
        <f aca="false">IF((D8="e"),F8," ")</f>
        <v> </v>
      </c>
      <c r="L8" s="180" t="str">
        <f aca="false">IF((D8="p"),F8," ")</f>
        <v> </v>
      </c>
      <c r="M8" s="180" t="str">
        <f aca="false">IF((D8="g"),F8," ")</f>
        <v> </v>
      </c>
      <c r="N8" s="180" t="str">
        <f aca="false">IF((D8="a"),F8," ")</f>
        <v> </v>
      </c>
      <c r="O8" s="180" t="str">
        <f aca="false">IF((D8="l"),F8," ")</f>
        <v> </v>
      </c>
      <c r="P8" s="180" t="str">
        <f aca="false">IF((D8="i"),F8," ")</f>
        <v> </v>
      </c>
      <c r="Q8" s="180" t="str">
        <f aca="false">IF((D8="b"),F8," ")</f>
        <v> </v>
      </c>
      <c r="R8" s="180" t="str">
        <f aca="false">IF((D8="o"),F8," ")</f>
        <v> </v>
      </c>
      <c r="S8" s="180" t="str">
        <f aca="false">IF((D8="f"),F8," ")</f>
        <v> </v>
      </c>
      <c r="U8" s="371"/>
    </row>
    <row r="9" customFormat="false" ht="12.75" hidden="false" customHeight="false" outlineLevel="0" collapsed="false">
      <c r="G9" s="180" t="str">
        <f aca="false">IF((D9="d"),F9," ")</f>
        <v> </v>
      </c>
      <c r="H9" s="180" t="str">
        <f aca="false">IF((D9="h"),F9," ")</f>
        <v> </v>
      </c>
      <c r="I9" s="180" t="str">
        <f aca="false">IF((D9="r"),F9," ")</f>
        <v> </v>
      </c>
      <c r="J9" s="180" t="str">
        <f aca="false">IF((D9="t"),F9," ")</f>
        <v> </v>
      </c>
      <c r="K9" s="180" t="str">
        <f aca="false">IF((D9="e"),F9," ")</f>
        <v> </v>
      </c>
      <c r="L9" s="180" t="str">
        <f aca="false">IF((D9="p"),F9," ")</f>
        <v> </v>
      </c>
      <c r="M9" s="180" t="str">
        <f aca="false">IF((D9="g"),F9," ")</f>
        <v> </v>
      </c>
      <c r="N9" s="180" t="str">
        <f aca="false">IF((D9="a"),F9," ")</f>
        <v> </v>
      </c>
      <c r="O9" s="180" t="str">
        <f aca="false">IF((D9="l"),F9," ")</f>
        <v> </v>
      </c>
      <c r="P9" s="180" t="str">
        <f aca="false">IF((D9="i"),F9," ")</f>
        <v> </v>
      </c>
      <c r="Q9" s="180" t="str">
        <f aca="false">IF((D9="b"),F9," ")</f>
        <v> </v>
      </c>
      <c r="R9" s="180" t="str">
        <f aca="false">IF((D9="o"),F9," ")</f>
        <v> </v>
      </c>
      <c r="S9" s="180" t="str">
        <f aca="false">IF((D9="f"),F9," ")</f>
        <v> </v>
      </c>
      <c r="U9" s="371"/>
    </row>
    <row r="10" customFormat="false" ht="12.75" hidden="false" customHeight="false" outlineLevel="0" collapsed="false">
      <c r="G10" s="180" t="str">
        <f aca="false">IF((D10="d"),F10," ")</f>
        <v> </v>
      </c>
      <c r="H10" s="180" t="str">
        <f aca="false">IF((D10="h"),F10," ")</f>
        <v> </v>
      </c>
      <c r="I10" s="180" t="str">
        <f aca="false">IF((D10="r"),F10," ")</f>
        <v> </v>
      </c>
      <c r="J10" s="180" t="str">
        <f aca="false">IF((D10="t"),F10," ")</f>
        <v> </v>
      </c>
      <c r="K10" s="180" t="str">
        <f aca="false">IF((D10="e"),F10," ")</f>
        <v> </v>
      </c>
      <c r="L10" s="180" t="str">
        <f aca="false">IF((D10="p"),F10," ")</f>
        <v> </v>
      </c>
      <c r="M10" s="180" t="str">
        <f aca="false">IF((D10="g"),F10," ")</f>
        <v> </v>
      </c>
      <c r="N10" s="180" t="str">
        <f aca="false">IF((D10="a"),F10," ")</f>
        <v> </v>
      </c>
      <c r="O10" s="180" t="str">
        <f aca="false">IF((D10="l"),F10," ")</f>
        <v> </v>
      </c>
      <c r="P10" s="180" t="str">
        <f aca="false">IF((D10="i"),F10," ")</f>
        <v> </v>
      </c>
      <c r="Q10" s="180" t="str">
        <f aca="false">IF((D10="b"),F10," ")</f>
        <v> </v>
      </c>
      <c r="R10" s="180" t="str">
        <f aca="false">IF((D10="o"),F10," ")</f>
        <v> </v>
      </c>
      <c r="S10" s="180" t="str">
        <f aca="false">IF((D10="f"),F10," ")</f>
        <v> </v>
      </c>
      <c r="U10" s="371"/>
    </row>
    <row r="11" customFormat="false" ht="12.75" hidden="false" customHeight="false" outlineLevel="0" collapsed="false">
      <c r="G11" s="180" t="str">
        <f aca="false">IF((D11="d"),F11," ")</f>
        <v> </v>
      </c>
      <c r="H11" s="180" t="str">
        <f aca="false">IF((D11="h"),F11," ")</f>
        <v> </v>
      </c>
      <c r="I11" s="180" t="str">
        <f aca="false">IF((D11="r"),F11," ")</f>
        <v> </v>
      </c>
      <c r="J11" s="180" t="str">
        <f aca="false">IF((D11="t"),F11," ")</f>
        <v> </v>
      </c>
      <c r="K11" s="180" t="str">
        <f aca="false">IF((D11="e"),F11," ")</f>
        <v> </v>
      </c>
      <c r="L11" s="180" t="str">
        <f aca="false">IF((D11="p"),F11," ")</f>
        <v> </v>
      </c>
      <c r="M11" s="180" t="str">
        <f aca="false">IF((D11="g"),F11," ")</f>
        <v> </v>
      </c>
      <c r="N11" s="180" t="str">
        <f aca="false">IF((D11="a"),F11," ")</f>
        <v> </v>
      </c>
      <c r="O11" s="180" t="str">
        <f aca="false">IF((D11="l"),F11," ")</f>
        <v> </v>
      </c>
      <c r="P11" s="180" t="str">
        <f aca="false">IF((D11="i"),F11," ")</f>
        <v> </v>
      </c>
      <c r="Q11" s="180" t="str">
        <f aca="false">IF((D11="b"),F11," ")</f>
        <v> </v>
      </c>
      <c r="R11" s="180" t="str">
        <f aca="false">IF((D11="o"),F11," ")</f>
        <v> </v>
      </c>
      <c r="S11" s="180" t="str">
        <f aca="false">IF((D11="f"),F11," ")</f>
        <v> </v>
      </c>
      <c r="U11" s="371"/>
    </row>
    <row r="12" customFormat="false" ht="12.75" hidden="false" customHeight="false" outlineLevel="0" collapsed="false">
      <c r="G12" s="180" t="str">
        <f aca="false">IF((D12="d"),F12," ")</f>
        <v> </v>
      </c>
      <c r="H12" s="180" t="str">
        <f aca="false">IF((D12="h"),F12," ")</f>
        <v> </v>
      </c>
      <c r="I12" s="180" t="str">
        <f aca="false">IF((D12="r"),F12," ")</f>
        <v> </v>
      </c>
      <c r="J12" s="180" t="str">
        <f aca="false">IF((D12="t"),F12," ")</f>
        <v> </v>
      </c>
      <c r="K12" s="180" t="str">
        <f aca="false">IF((D12="e"),F12," ")</f>
        <v> </v>
      </c>
      <c r="L12" s="180" t="str">
        <f aca="false">IF((D12="p"),F12," ")</f>
        <v> </v>
      </c>
      <c r="M12" s="180" t="str">
        <f aca="false">IF((D12="g"),F12," ")</f>
        <v> </v>
      </c>
      <c r="N12" s="180" t="str">
        <f aca="false">IF((D12="a"),F12," ")</f>
        <v> </v>
      </c>
      <c r="O12" s="180" t="str">
        <f aca="false">IF((D12="l"),F12," ")</f>
        <v> </v>
      </c>
      <c r="P12" s="180" t="str">
        <f aca="false">IF((D12="i"),F12," ")</f>
        <v> </v>
      </c>
      <c r="Q12" s="180" t="str">
        <f aca="false">IF((D12="b"),F12," ")</f>
        <v> </v>
      </c>
      <c r="R12" s="180" t="str">
        <f aca="false">IF((D12="o"),F12," ")</f>
        <v> </v>
      </c>
      <c r="S12" s="180" t="str">
        <f aca="false">IF((D12="f"),F12," ")</f>
        <v> </v>
      </c>
      <c r="U12" s="371"/>
    </row>
    <row r="13" customFormat="false" ht="12.75" hidden="false" customHeight="false" outlineLevel="0" collapsed="false">
      <c r="G13" s="180" t="str">
        <f aca="false">IF((D13="d"),F13," ")</f>
        <v> </v>
      </c>
      <c r="H13" s="180" t="str">
        <f aca="false">IF((D13="h"),F13," ")</f>
        <v> </v>
      </c>
      <c r="I13" s="180" t="str">
        <f aca="false">IF((D13="r"),F13," ")</f>
        <v> </v>
      </c>
      <c r="J13" s="180" t="str">
        <f aca="false">IF((D13="t"),F13," ")</f>
        <v> </v>
      </c>
      <c r="K13" s="180" t="str">
        <f aca="false">IF((D13="e"),F13," ")</f>
        <v> </v>
      </c>
      <c r="L13" s="180" t="str">
        <f aca="false">IF((D13="p"),F13," ")</f>
        <v> </v>
      </c>
      <c r="M13" s="180" t="str">
        <f aca="false">IF((D13="g"),F13," ")</f>
        <v> </v>
      </c>
      <c r="N13" s="180" t="str">
        <f aca="false">IF((D13="a"),F13," ")</f>
        <v> </v>
      </c>
      <c r="O13" s="180" t="str">
        <f aca="false">IF((D13="l"),F13," ")</f>
        <v> </v>
      </c>
      <c r="P13" s="180" t="str">
        <f aca="false">IF((D13="i"),F13," ")</f>
        <v> </v>
      </c>
      <c r="Q13" s="180" t="str">
        <f aca="false">IF((D13="b"),F13," ")</f>
        <v> </v>
      </c>
      <c r="R13" s="180" t="str">
        <f aca="false">IF((D13="o"),F13," ")</f>
        <v> </v>
      </c>
      <c r="S13" s="180" t="str">
        <f aca="false">IF((D13="f"),F13," ")</f>
        <v> </v>
      </c>
      <c r="U13" s="371"/>
    </row>
    <row r="14" customFormat="false" ht="12.75" hidden="false" customHeight="false" outlineLevel="0" collapsed="false">
      <c r="G14" s="180" t="str">
        <f aca="false">IF((D14="d"),F14," ")</f>
        <v> </v>
      </c>
      <c r="H14" s="180" t="str">
        <f aca="false">IF((D14="h"),F14," ")</f>
        <v> </v>
      </c>
      <c r="I14" s="180" t="str">
        <f aca="false">IF((D14="r"),F14," ")</f>
        <v> </v>
      </c>
      <c r="J14" s="180" t="str">
        <f aca="false">IF((D14="t"),F14," ")</f>
        <v> </v>
      </c>
      <c r="K14" s="180" t="str">
        <f aca="false">IF((D14="e"),F14," ")</f>
        <v> </v>
      </c>
      <c r="L14" s="180" t="str">
        <f aca="false">IF((D14="p"),F14," ")</f>
        <v> </v>
      </c>
      <c r="M14" s="180" t="str">
        <f aca="false">IF((D14="g"),F14," ")</f>
        <v> </v>
      </c>
      <c r="N14" s="180" t="str">
        <f aca="false">IF((D14="a"),F14," ")</f>
        <v> </v>
      </c>
      <c r="O14" s="180" t="str">
        <f aca="false">IF((D14="l"),F14," ")</f>
        <v> </v>
      </c>
      <c r="P14" s="180" t="str">
        <f aca="false">IF((D14="i"),F14," ")</f>
        <v> </v>
      </c>
      <c r="Q14" s="180" t="str">
        <f aca="false">IF((D14="b"),F14," ")</f>
        <v> </v>
      </c>
      <c r="R14" s="180" t="str">
        <f aca="false">IF((D14="o"),F14," ")</f>
        <v> </v>
      </c>
      <c r="S14" s="180" t="str">
        <f aca="false">IF((D14="f"),F14," ")</f>
        <v> </v>
      </c>
      <c r="U14" s="371"/>
    </row>
    <row r="15" customFormat="false" ht="12.75" hidden="false" customHeight="false" outlineLevel="0" collapsed="false">
      <c r="G15" s="180" t="str">
        <f aca="false">IF((D15="d"),F15," ")</f>
        <v> </v>
      </c>
      <c r="H15" s="180" t="str">
        <f aca="false">IF((D15="h"),F15," ")</f>
        <v> </v>
      </c>
      <c r="I15" s="180" t="str">
        <f aca="false">IF((D15="r"),F15," ")</f>
        <v> </v>
      </c>
      <c r="J15" s="180" t="str">
        <f aca="false">IF((D15="t"),F15," ")</f>
        <v> </v>
      </c>
      <c r="K15" s="180" t="str">
        <f aca="false">IF((D15="e"),F15," ")</f>
        <v> </v>
      </c>
      <c r="L15" s="180" t="str">
        <f aca="false">IF((D15="p"),F15," ")</f>
        <v> </v>
      </c>
      <c r="M15" s="180" t="str">
        <f aca="false">IF((D15="g"),F15," ")</f>
        <v> </v>
      </c>
      <c r="N15" s="180" t="str">
        <f aca="false">IF((D15="a"),F15," ")</f>
        <v> </v>
      </c>
      <c r="O15" s="180" t="str">
        <f aca="false">IF((D15="l"),F15," ")</f>
        <v> </v>
      </c>
      <c r="P15" s="180" t="str">
        <f aca="false">IF((D15="i"),F15," ")</f>
        <v> </v>
      </c>
      <c r="Q15" s="180" t="str">
        <f aca="false">IF((D15="b"),F15," ")</f>
        <v> </v>
      </c>
      <c r="R15" s="180" t="str">
        <f aca="false">IF((D15="o"),F15," ")</f>
        <v> </v>
      </c>
      <c r="S15" s="180" t="str">
        <f aca="false">IF((D15="f"),F15," ")</f>
        <v> </v>
      </c>
      <c r="U15" s="371"/>
    </row>
    <row r="16" customFormat="false" ht="12.75" hidden="false" customHeight="false" outlineLevel="0" collapsed="false">
      <c r="G16" s="180" t="str">
        <f aca="false">IF((D16="d"),F16," ")</f>
        <v> </v>
      </c>
      <c r="H16" s="180" t="str">
        <f aca="false">IF((D16="h"),F16," ")</f>
        <v> </v>
      </c>
      <c r="I16" s="180" t="str">
        <f aca="false">IF((D16="r"),F16," ")</f>
        <v> </v>
      </c>
      <c r="J16" s="180" t="str">
        <f aca="false">IF((D16="t"),F16," ")</f>
        <v> </v>
      </c>
      <c r="K16" s="180" t="str">
        <f aca="false">IF((D16="e"),F16," ")</f>
        <v> </v>
      </c>
      <c r="L16" s="180" t="str">
        <f aca="false">IF((D16="p"),F16," ")</f>
        <v> </v>
      </c>
      <c r="M16" s="180" t="str">
        <f aca="false">IF((D16="g"),F16," ")</f>
        <v> </v>
      </c>
      <c r="N16" s="180" t="str">
        <f aca="false">IF((D16="a"),F16," ")</f>
        <v> </v>
      </c>
      <c r="O16" s="180" t="str">
        <f aca="false">IF((D16="l"),F16," ")</f>
        <v> </v>
      </c>
      <c r="P16" s="180" t="str">
        <f aca="false">IF((D16="i"),F16," ")</f>
        <v> </v>
      </c>
      <c r="Q16" s="180" t="str">
        <f aca="false">IF((D16="b"),F16," ")</f>
        <v> </v>
      </c>
      <c r="R16" s="180" t="str">
        <f aca="false">IF((D16="o"),F16," ")</f>
        <v> </v>
      </c>
      <c r="S16" s="180" t="str">
        <f aca="false">IF((D16="f"),F16," ")</f>
        <v> </v>
      </c>
      <c r="U16" s="371"/>
    </row>
    <row r="17" customFormat="false" ht="12.75" hidden="false" customHeight="false" outlineLevel="0" collapsed="false">
      <c r="G17" s="180" t="str">
        <f aca="false">IF((D17="d"),F17," ")</f>
        <v> </v>
      </c>
      <c r="H17" s="180" t="str">
        <f aca="false">IF((D17="h"),F17," ")</f>
        <v> </v>
      </c>
      <c r="I17" s="180" t="str">
        <f aca="false">IF((D17="r"),F17," ")</f>
        <v> </v>
      </c>
      <c r="J17" s="180" t="str">
        <f aca="false">IF((D17="t"),F17," ")</f>
        <v> </v>
      </c>
      <c r="K17" s="180" t="str">
        <f aca="false">IF((D17="e"),F17," ")</f>
        <v> </v>
      </c>
      <c r="L17" s="180" t="str">
        <f aca="false">IF((D17="p"),F17," ")</f>
        <v> </v>
      </c>
      <c r="M17" s="180" t="str">
        <f aca="false">IF((D17="g"),F17," ")</f>
        <v> </v>
      </c>
      <c r="N17" s="180" t="str">
        <f aca="false">IF((D17="a"),F17," ")</f>
        <v> </v>
      </c>
      <c r="O17" s="180" t="str">
        <f aca="false">IF((D17="l"),F17," ")</f>
        <v> </v>
      </c>
      <c r="P17" s="180" t="str">
        <f aca="false">IF((D17="i"),F17," ")</f>
        <v> </v>
      </c>
      <c r="Q17" s="180" t="str">
        <f aca="false">IF((D17="b"),F17," ")</f>
        <v> </v>
      </c>
      <c r="R17" s="180" t="str">
        <f aca="false">IF((D17="o"),F17," ")</f>
        <v> </v>
      </c>
      <c r="S17" s="180" t="str">
        <f aca="false">IF((D17="f"),F17," ")</f>
        <v> </v>
      </c>
      <c r="U17" s="371"/>
    </row>
    <row r="18" customFormat="false" ht="12.75" hidden="false" customHeight="false" outlineLevel="0" collapsed="false">
      <c r="G18" s="180" t="str">
        <f aca="false">IF((D18="d"),F18," ")</f>
        <v> </v>
      </c>
      <c r="H18" s="180" t="str">
        <f aca="false">IF((D18="h"),F18," ")</f>
        <v> </v>
      </c>
      <c r="I18" s="180" t="str">
        <f aca="false">IF((D18="r"),F18," ")</f>
        <v> </v>
      </c>
      <c r="J18" s="180" t="str">
        <f aca="false">IF((D18="t"),F18," ")</f>
        <v> </v>
      </c>
      <c r="K18" s="180" t="str">
        <f aca="false">IF((D18="e"),F18," ")</f>
        <v> </v>
      </c>
      <c r="L18" s="180" t="str">
        <f aca="false">IF((D18="p"),F18," ")</f>
        <v> </v>
      </c>
      <c r="M18" s="180" t="str">
        <f aca="false">IF((D18="g"),F18," ")</f>
        <v> </v>
      </c>
      <c r="N18" s="180" t="str">
        <f aca="false">IF((D18="a"),F18," ")</f>
        <v> </v>
      </c>
      <c r="O18" s="180" t="str">
        <f aca="false">IF((D18="l"),F18," ")</f>
        <v> </v>
      </c>
      <c r="P18" s="180" t="str">
        <f aca="false">IF((D18="i"),F18," ")</f>
        <v> </v>
      </c>
      <c r="Q18" s="180" t="str">
        <f aca="false">IF((D18="b"),F18," ")</f>
        <v> </v>
      </c>
      <c r="R18" s="180" t="str">
        <f aca="false">IF((D18="o"),F18," ")</f>
        <v> </v>
      </c>
      <c r="S18" s="180" t="str">
        <f aca="false">IF((D18="f"),F18," ")</f>
        <v> </v>
      </c>
      <c r="U18" s="371"/>
    </row>
    <row r="19" customFormat="false" ht="12.75" hidden="false" customHeight="false" outlineLevel="0" collapsed="false">
      <c r="G19" s="180" t="str">
        <f aca="false">IF((D19="d"),F19," ")</f>
        <v> </v>
      </c>
      <c r="H19" s="180" t="str">
        <f aca="false">IF((D19="h"),F19," ")</f>
        <v> </v>
      </c>
      <c r="I19" s="180" t="str">
        <f aca="false">IF((D19="r"),F19," ")</f>
        <v> </v>
      </c>
      <c r="J19" s="180" t="str">
        <f aca="false">IF((D19="t"),F19," ")</f>
        <v> </v>
      </c>
      <c r="K19" s="180" t="str">
        <f aca="false">IF((D19="e"),F19," ")</f>
        <v> </v>
      </c>
      <c r="L19" s="180" t="str">
        <f aca="false">IF((D19="p"),F19," ")</f>
        <v> </v>
      </c>
      <c r="M19" s="180" t="str">
        <f aca="false">IF((D19="g"),F19," ")</f>
        <v> </v>
      </c>
      <c r="N19" s="180" t="str">
        <f aca="false">IF((D19="a"),F19," ")</f>
        <v> </v>
      </c>
      <c r="O19" s="180" t="str">
        <f aca="false">IF((D19="l"),F19," ")</f>
        <v> </v>
      </c>
      <c r="P19" s="180" t="str">
        <f aca="false">IF((D19="i"),F19," ")</f>
        <v> </v>
      </c>
      <c r="Q19" s="180" t="str">
        <f aca="false">IF((D19="b"),F19," ")</f>
        <v> </v>
      </c>
      <c r="R19" s="180" t="str">
        <f aca="false">IF((D19="o"),F19," ")</f>
        <v> </v>
      </c>
      <c r="S19" s="180" t="str">
        <f aca="false">IF((D19="f"),F19," ")</f>
        <v> </v>
      </c>
      <c r="U19" s="371"/>
    </row>
    <row r="20" customFormat="false" ht="12.75" hidden="false" customHeight="false" outlineLevel="0" collapsed="false">
      <c r="G20" s="180" t="str">
        <f aca="false">IF((D20="d"),F20," ")</f>
        <v> </v>
      </c>
      <c r="H20" s="180" t="str">
        <f aca="false">IF((D20="h"),F20," ")</f>
        <v> </v>
      </c>
      <c r="I20" s="180" t="str">
        <f aca="false">IF((D20="r"),F20," ")</f>
        <v> </v>
      </c>
      <c r="J20" s="180" t="str">
        <f aca="false">IF((D20="t"),F20," ")</f>
        <v> </v>
      </c>
      <c r="K20" s="180" t="str">
        <f aca="false">IF((D20="e"),F20," ")</f>
        <v> </v>
      </c>
      <c r="L20" s="180" t="str">
        <f aca="false">IF((D20="p"),F20," ")</f>
        <v> </v>
      </c>
      <c r="M20" s="180" t="str">
        <f aca="false">IF((D20="g"),F20," ")</f>
        <v> </v>
      </c>
      <c r="N20" s="180" t="str">
        <f aca="false">IF((D20="a"),F20," ")</f>
        <v> </v>
      </c>
      <c r="O20" s="180" t="str">
        <f aca="false">IF((D20="l"),F20," ")</f>
        <v> </v>
      </c>
      <c r="P20" s="180" t="str">
        <f aca="false">IF((D20="i"),F20," ")</f>
        <v> </v>
      </c>
      <c r="Q20" s="180" t="str">
        <f aca="false">IF((D20="b"),F20," ")</f>
        <v> </v>
      </c>
      <c r="R20" s="180" t="str">
        <f aca="false">IF((D20="o"),F20," ")</f>
        <v> </v>
      </c>
      <c r="S20" s="180" t="str">
        <f aca="false">IF((D20="f"),F20," ")</f>
        <v> </v>
      </c>
      <c r="U20" s="371"/>
    </row>
    <row r="21" customFormat="false" ht="12.75" hidden="false" customHeight="false" outlineLevel="0" collapsed="false">
      <c r="G21" s="180" t="str">
        <f aca="false">IF((D21="d"),F21," ")</f>
        <v> </v>
      </c>
      <c r="H21" s="180" t="str">
        <f aca="false">IF((D21="h"),F21," ")</f>
        <v> </v>
      </c>
      <c r="I21" s="180" t="str">
        <f aca="false">IF((D21="r"),F21," ")</f>
        <v> </v>
      </c>
      <c r="J21" s="180" t="str">
        <f aca="false">IF((D21="t"),F21," ")</f>
        <v> </v>
      </c>
      <c r="K21" s="180" t="str">
        <f aca="false">IF((D21="e"),F21," ")</f>
        <v> </v>
      </c>
      <c r="L21" s="180" t="str">
        <f aca="false">IF((D21="p"),F21," ")</f>
        <v> </v>
      </c>
      <c r="M21" s="180" t="str">
        <f aca="false">IF((D21="g"),F21," ")</f>
        <v> </v>
      </c>
      <c r="N21" s="180" t="str">
        <f aca="false">IF((D21="a"),F21," ")</f>
        <v> </v>
      </c>
      <c r="O21" s="180" t="str">
        <f aca="false">IF((D21="l"),F21," ")</f>
        <v> </v>
      </c>
      <c r="P21" s="180" t="str">
        <f aca="false">IF((D21="i"),F21," ")</f>
        <v> </v>
      </c>
      <c r="Q21" s="180" t="str">
        <f aca="false">IF((D21="b"),F21," ")</f>
        <v> </v>
      </c>
      <c r="R21" s="180" t="str">
        <f aca="false">IF((D21="o"),F21," ")</f>
        <v> </v>
      </c>
      <c r="S21" s="180" t="str">
        <f aca="false">IF((D21="f"),F21," ")</f>
        <v> </v>
      </c>
      <c r="U21" s="371"/>
    </row>
    <row r="22" customFormat="false" ht="12.75" hidden="false" customHeight="false" outlineLevel="0" collapsed="false">
      <c r="G22" s="180" t="str">
        <f aca="false">IF((D22="d"),F22," ")</f>
        <v> </v>
      </c>
      <c r="H22" s="180" t="str">
        <f aca="false">IF((D22="h"),F22," ")</f>
        <v> </v>
      </c>
      <c r="I22" s="180" t="str">
        <f aca="false">IF((D22="r"),F22," ")</f>
        <v> </v>
      </c>
      <c r="J22" s="180" t="str">
        <f aca="false">IF((D22="t"),F22," ")</f>
        <v> </v>
      </c>
      <c r="K22" s="180" t="str">
        <f aca="false">IF((D22="e"),F22," ")</f>
        <v> </v>
      </c>
      <c r="L22" s="180" t="str">
        <f aca="false">IF((D22="p"),F22," ")</f>
        <v> </v>
      </c>
      <c r="M22" s="180" t="str">
        <f aca="false">IF((D22="g"),F22," ")</f>
        <v> </v>
      </c>
      <c r="N22" s="180" t="str">
        <f aca="false">IF((D22="a"),F22," ")</f>
        <v> </v>
      </c>
      <c r="O22" s="180" t="str">
        <f aca="false">IF((D22="l"),F22," ")</f>
        <v> </v>
      </c>
      <c r="P22" s="180" t="str">
        <f aca="false">IF((D22="i"),F22," ")</f>
        <v> </v>
      </c>
      <c r="Q22" s="180" t="str">
        <f aca="false">IF((D22="b"),F22," ")</f>
        <v> </v>
      </c>
      <c r="R22" s="180" t="str">
        <f aca="false">IF((D22="o"),F22," ")</f>
        <v> </v>
      </c>
      <c r="S22" s="180" t="str">
        <f aca="false">IF((D22="f"),F22," ")</f>
        <v> </v>
      </c>
      <c r="U22" s="371"/>
    </row>
    <row r="23" customFormat="false" ht="12.75" hidden="false" customHeight="false" outlineLevel="0" collapsed="false">
      <c r="G23" s="180" t="str">
        <f aca="false">IF((D23="d"),F23," ")</f>
        <v> </v>
      </c>
      <c r="H23" s="180" t="str">
        <f aca="false">IF((D23="h"),F23," ")</f>
        <v> </v>
      </c>
      <c r="I23" s="180" t="str">
        <f aca="false">IF((D23="r"),F23," ")</f>
        <v> </v>
      </c>
      <c r="J23" s="180" t="str">
        <f aca="false">IF((D23="t"),F23," ")</f>
        <v> </v>
      </c>
      <c r="K23" s="180" t="str">
        <f aca="false">IF((D23="e"),F23," ")</f>
        <v> </v>
      </c>
      <c r="L23" s="180" t="str">
        <f aca="false">IF((D23="p"),F23," ")</f>
        <v> </v>
      </c>
      <c r="M23" s="180" t="str">
        <f aca="false">IF((D23="g"),F23," ")</f>
        <v> </v>
      </c>
      <c r="N23" s="180" t="str">
        <f aca="false">IF((D23="a"),F23," ")</f>
        <v> </v>
      </c>
      <c r="O23" s="180" t="str">
        <f aca="false">IF((D23="l"),F23," ")</f>
        <v> </v>
      </c>
      <c r="P23" s="180" t="str">
        <f aca="false">IF((D23="i"),F23," ")</f>
        <v> </v>
      </c>
      <c r="Q23" s="180" t="str">
        <f aca="false">IF((D23="b"),F23," ")</f>
        <v> </v>
      </c>
      <c r="R23" s="180" t="str">
        <f aca="false">IF((D23="o"),F23," ")</f>
        <v> </v>
      </c>
      <c r="S23" s="180" t="str">
        <f aca="false">IF((D23="f"),F23," ")</f>
        <v> </v>
      </c>
      <c r="U23" s="371"/>
    </row>
    <row r="24" customFormat="false" ht="12.75" hidden="false" customHeight="false" outlineLevel="0" collapsed="false">
      <c r="G24" s="180" t="str">
        <f aca="false">IF((D24="d"),F24," ")</f>
        <v> </v>
      </c>
      <c r="H24" s="180" t="str">
        <f aca="false">IF((D24="h"),F24," ")</f>
        <v> </v>
      </c>
      <c r="I24" s="180" t="str">
        <f aca="false">IF((D24="r"),F24," ")</f>
        <v> </v>
      </c>
      <c r="J24" s="180" t="str">
        <f aca="false">IF((D24="t"),F24," ")</f>
        <v> </v>
      </c>
      <c r="K24" s="180" t="str">
        <f aca="false">IF((D24="e"),F24," ")</f>
        <v> </v>
      </c>
      <c r="L24" s="180" t="str">
        <f aca="false">IF((D24="p"),F24," ")</f>
        <v> </v>
      </c>
      <c r="M24" s="180" t="str">
        <f aca="false">IF((D24="g"),F24," ")</f>
        <v> </v>
      </c>
      <c r="N24" s="180" t="str">
        <f aca="false">IF((D24="a"),F24," ")</f>
        <v> </v>
      </c>
      <c r="O24" s="180" t="str">
        <f aca="false">IF((D24="l"),F24," ")</f>
        <v> </v>
      </c>
      <c r="P24" s="180" t="str">
        <f aca="false">IF((D24="i"),F24," ")</f>
        <v> </v>
      </c>
      <c r="Q24" s="180" t="str">
        <f aca="false">IF((D24="b"),F24," ")</f>
        <v> </v>
      </c>
      <c r="R24" s="180" t="str">
        <f aca="false">IF((D24="o"),F24," ")</f>
        <v> </v>
      </c>
      <c r="S24" s="180" t="str">
        <f aca="false">IF((D24="f"),F24," ")</f>
        <v> </v>
      </c>
      <c r="U24" s="371"/>
    </row>
    <row r="25" customFormat="false" ht="12.75" hidden="false" customHeight="false" outlineLevel="0" collapsed="false">
      <c r="G25" s="180" t="str">
        <f aca="false">IF((D25="d"),F25," ")</f>
        <v> </v>
      </c>
      <c r="H25" s="180" t="str">
        <f aca="false">IF((D25="h"),F25," ")</f>
        <v> </v>
      </c>
      <c r="I25" s="180" t="str">
        <f aca="false">IF((D25="r"),F25," ")</f>
        <v> </v>
      </c>
      <c r="J25" s="180" t="str">
        <f aca="false">IF((D25="t"),F25," ")</f>
        <v> </v>
      </c>
      <c r="K25" s="180" t="str">
        <f aca="false">IF((D25="e"),F25," ")</f>
        <v> </v>
      </c>
      <c r="L25" s="180" t="str">
        <f aca="false">IF((D25="p"),F25," ")</f>
        <v> </v>
      </c>
      <c r="M25" s="180" t="str">
        <f aca="false">IF((D25="g"),F25," ")</f>
        <v> </v>
      </c>
      <c r="N25" s="180" t="str">
        <f aca="false">IF((D25="a"),F25," ")</f>
        <v> </v>
      </c>
      <c r="O25" s="180" t="str">
        <f aca="false">IF((D25="l"),F25," ")</f>
        <v> </v>
      </c>
      <c r="P25" s="180" t="str">
        <f aca="false">IF((D25="i"),F25," ")</f>
        <v> </v>
      </c>
      <c r="Q25" s="180" t="str">
        <f aca="false">IF((D25="b"),F25," ")</f>
        <v> </v>
      </c>
      <c r="R25" s="180" t="str">
        <f aca="false">IF((D25="o"),F25," ")</f>
        <v> </v>
      </c>
      <c r="S25" s="180" t="str">
        <f aca="false">IF((D25="f"),F25," ")</f>
        <v> </v>
      </c>
      <c r="U25" s="371"/>
    </row>
    <row r="26" customFormat="false" ht="12.75" hidden="false" customHeight="false" outlineLevel="0" collapsed="false">
      <c r="G26" s="180" t="str">
        <f aca="false">IF((D26="d"),F26," ")</f>
        <v> </v>
      </c>
      <c r="H26" s="180" t="str">
        <f aca="false">IF((D26="h"),F26," ")</f>
        <v> </v>
      </c>
      <c r="I26" s="180" t="str">
        <f aca="false">IF((D26="r"),F26," ")</f>
        <v> </v>
      </c>
      <c r="J26" s="180" t="str">
        <f aca="false">IF((D26="t"),F26," ")</f>
        <v> </v>
      </c>
      <c r="K26" s="180" t="str">
        <f aca="false">IF((D26="e"),F26," ")</f>
        <v> </v>
      </c>
      <c r="L26" s="180" t="str">
        <f aca="false">IF((D26="p"),F26," ")</f>
        <v> </v>
      </c>
      <c r="M26" s="180" t="str">
        <f aca="false">IF((D26="g"),F26," ")</f>
        <v> </v>
      </c>
      <c r="N26" s="180" t="str">
        <f aca="false">IF((D26="a"),F26," ")</f>
        <v> </v>
      </c>
      <c r="O26" s="180" t="str">
        <f aca="false">IF((D26="l"),F26," ")</f>
        <v> </v>
      </c>
      <c r="P26" s="180" t="str">
        <f aca="false">IF((D26="i"),F26," ")</f>
        <v> </v>
      </c>
      <c r="Q26" s="180" t="str">
        <f aca="false">IF((D26="b"),F26," ")</f>
        <v> </v>
      </c>
      <c r="R26" s="180" t="str">
        <f aca="false">IF((D26="o"),F26," ")</f>
        <v> </v>
      </c>
      <c r="S26" s="180" t="str">
        <f aca="false">IF((D26="f"),F26," ")</f>
        <v> </v>
      </c>
      <c r="U26" s="371"/>
    </row>
    <row r="27" customFormat="false" ht="12.75" hidden="false" customHeight="false" outlineLevel="0" collapsed="false">
      <c r="G27" s="180" t="str">
        <f aca="false">IF((D27="d"),F27," ")</f>
        <v> </v>
      </c>
      <c r="H27" s="180" t="str">
        <f aca="false">IF((D27="h"),F27," ")</f>
        <v> </v>
      </c>
      <c r="I27" s="180" t="str">
        <f aca="false">IF((D27="r"),F27," ")</f>
        <v> </v>
      </c>
      <c r="J27" s="180" t="str">
        <f aca="false">IF((D27="t"),F27," ")</f>
        <v> </v>
      </c>
      <c r="K27" s="180" t="str">
        <f aca="false">IF((D27="e"),F27," ")</f>
        <v> </v>
      </c>
      <c r="L27" s="180" t="str">
        <f aca="false">IF((D27="p"),F27," ")</f>
        <v> </v>
      </c>
      <c r="M27" s="180" t="str">
        <f aca="false">IF((D27="g"),F27," ")</f>
        <v> </v>
      </c>
      <c r="N27" s="180" t="str">
        <f aca="false">IF((D27="a"),F27," ")</f>
        <v> </v>
      </c>
      <c r="O27" s="180" t="str">
        <f aca="false">IF((D27="l"),F27," ")</f>
        <v> </v>
      </c>
      <c r="P27" s="180" t="str">
        <f aca="false">IF((D27="i"),F27," ")</f>
        <v> </v>
      </c>
      <c r="Q27" s="180" t="str">
        <f aca="false">IF((D27="b"),F27," ")</f>
        <v> </v>
      </c>
      <c r="R27" s="180" t="str">
        <f aca="false">IF((D27="o"),F27," ")</f>
        <v> </v>
      </c>
      <c r="S27" s="180" t="str">
        <f aca="false">IF((D27="f"),F27," ")</f>
        <v> </v>
      </c>
      <c r="U27" s="371"/>
    </row>
    <row r="28" customFormat="false" ht="12.75" hidden="false" customHeight="false" outlineLevel="0" collapsed="false">
      <c r="G28" s="180" t="str">
        <f aca="false">IF((D28="d"),F28," ")</f>
        <v> </v>
      </c>
      <c r="H28" s="180" t="str">
        <f aca="false">IF((D28="h"),F28," ")</f>
        <v> </v>
      </c>
      <c r="I28" s="180" t="str">
        <f aca="false">IF((D28="r"),F28," ")</f>
        <v> </v>
      </c>
      <c r="J28" s="180" t="str">
        <f aca="false">IF((D28="t"),F28," ")</f>
        <v> </v>
      </c>
      <c r="K28" s="180" t="str">
        <f aca="false">IF((D28="e"),F28," ")</f>
        <v> </v>
      </c>
      <c r="L28" s="180" t="str">
        <f aca="false">IF((D28="p"),F28," ")</f>
        <v> </v>
      </c>
      <c r="M28" s="180" t="str">
        <f aca="false">IF((D28="g"),F28," ")</f>
        <v> </v>
      </c>
      <c r="N28" s="180" t="str">
        <f aca="false">IF((D28="a"),F28," ")</f>
        <v> </v>
      </c>
      <c r="O28" s="180" t="str">
        <f aca="false">IF((D28="l"),F28," ")</f>
        <v> </v>
      </c>
      <c r="P28" s="180" t="str">
        <f aca="false">IF((D28="i"),F28," ")</f>
        <v> </v>
      </c>
      <c r="Q28" s="180" t="str">
        <f aca="false">IF((D28="b"),F28," ")</f>
        <v> </v>
      </c>
      <c r="R28" s="180" t="str">
        <f aca="false">IF((D28="o"),F28," ")</f>
        <v> </v>
      </c>
      <c r="S28" s="180" t="str">
        <f aca="false">IF((D28="f"),F28," ")</f>
        <v> </v>
      </c>
      <c r="U28" s="371"/>
    </row>
    <row r="29" customFormat="false" ht="12.75" hidden="false" customHeight="false" outlineLevel="0" collapsed="false">
      <c r="G29" s="180" t="str">
        <f aca="false">IF((D29="d"),F29," ")</f>
        <v> </v>
      </c>
      <c r="H29" s="180" t="str">
        <f aca="false">IF((D29="h"),F29," ")</f>
        <v> </v>
      </c>
      <c r="I29" s="180" t="str">
        <f aca="false">IF((D29="r"),F29," ")</f>
        <v> </v>
      </c>
      <c r="J29" s="180" t="str">
        <f aca="false">IF((D29="t"),F29," ")</f>
        <v> </v>
      </c>
      <c r="K29" s="180" t="str">
        <f aca="false">IF((D29="e"),F29," ")</f>
        <v> </v>
      </c>
      <c r="L29" s="180" t="str">
        <f aca="false">IF((D29="p"),F29," ")</f>
        <v> </v>
      </c>
      <c r="M29" s="180" t="str">
        <f aca="false">IF((D29="g"),F29," ")</f>
        <v> </v>
      </c>
      <c r="N29" s="180" t="str">
        <f aca="false">IF((D29="a"),F29," ")</f>
        <v> </v>
      </c>
      <c r="O29" s="180" t="str">
        <f aca="false">IF((D29="l"),F29," ")</f>
        <v> </v>
      </c>
      <c r="P29" s="180" t="str">
        <f aca="false">IF((D29="i"),F29," ")</f>
        <v> </v>
      </c>
      <c r="Q29" s="180" t="str">
        <f aca="false">IF((D29="b"),F29," ")</f>
        <v> </v>
      </c>
      <c r="R29" s="180" t="str">
        <f aca="false">IF((D29="o"),F29," ")</f>
        <v> </v>
      </c>
      <c r="S29" s="180" t="str">
        <f aca="false">IF((D29="f"),F29," ")</f>
        <v> </v>
      </c>
      <c r="U29" s="371"/>
    </row>
    <row r="30" customFormat="false" ht="12.75" hidden="false" customHeight="false" outlineLevel="0" collapsed="false">
      <c r="G30" s="180" t="str">
        <f aca="false">IF((D30="d"),F30," ")</f>
        <v> </v>
      </c>
      <c r="H30" s="180" t="str">
        <f aca="false">IF((D30="h"),F30," ")</f>
        <v> </v>
      </c>
      <c r="I30" s="180" t="str">
        <f aca="false">IF((D30="r"),F30," ")</f>
        <v> </v>
      </c>
      <c r="J30" s="180" t="str">
        <f aca="false">IF((D30="t"),F30," ")</f>
        <v> </v>
      </c>
      <c r="K30" s="180" t="str">
        <f aca="false">IF((D30="e"),F30," ")</f>
        <v> </v>
      </c>
      <c r="L30" s="180" t="str">
        <f aca="false">IF((D30="p"),F30," ")</f>
        <v> </v>
      </c>
      <c r="M30" s="180" t="str">
        <f aca="false">IF((D30="g"),F30," ")</f>
        <v> </v>
      </c>
      <c r="N30" s="180" t="str">
        <f aca="false">IF((D30="a"),F30," ")</f>
        <v> </v>
      </c>
      <c r="O30" s="180" t="str">
        <f aca="false">IF((D30="l"),F30," ")</f>
        <v> </v>
      </c>
      <c r="P30" s="180" t="str">
        <f aca="false">IF((D30="i"),F30," ")</f>
        <v> </v>
      </c>
      <c r="Q30" s="180" t="str">
        <f aca="false">IF((D30="b"),F30," ")</f>
        <v> </v>
      </c>
      <c r="R30" s="180" t="str">
        <f aca="false">IF((D30="o"),F30," ")</f>
        <v> </v>
      </c>
      <c r="S30" s="180" t="str">
        <f aca="false">IF((D30="f"),F30," ")</f>
        <v> </v>
      </c>
      <c r="U30" s="371"/>
    </row>
    <row r="31" customFormat="false" ht="12.75" hidden="false" customHeight="false" outlineLevel="0" collapsed="false">
      <c r="G31" s="180" t="str">
        <f aca="false">IF((D31="d"),F31," ")</f>
        <v> </v>
      </c>
      <c r="H31" s="180" t="str">
        <f aca="false">IF((D31="h"),F31," ")</f>
        <v> </v>
      </c>
      <c r="I31" s="180" t="str">
        <f aca="false">IF((D31="r"),F31," ")</f>
        <v> </v>
      </c>
      <c r="J31" s="180" t="str">
        <f aca="false">IF((D31="t"),F31," ")</f>
        <v> </v>
      </c>
      <c r="K31" s="180" t="str">
        <f aca="false">IF((D31="e"),F31," ")</f>
        <v> </v>
      </c>
      <c r="L31" s="180" t="str">
        <f aca="false">IF((D31="p"),F31," ")</f>
        <v> </v>
      </c>
      <c r="M31" s="180" t="str">
        <f aca="false">IF((D31="g"),F31," ")</f>
        <v> </v>
      </c>
      <c r="N31" s="180" t="str">
        <f aca="false">IF((D31="a"),F31," ")</f>
        <v> </v>
      </c>
      <c r="O31" s="180" t="str">
        <f aca="false">IF((D31="l"),F31," ")</f>
        <v> </v>
      </c>
      <c r="P31" s="180" t="str">
        <f aca="false">IF((D31="i"),F31," ")</f>
        <v> </v>
      </c>
      <c r="Q31" s="180" t="str">
        <f aca="false">IF((D31="b"),F31," ")</f>
        <v> </v>
      </c>
      <c r="R31" s="180" t="str">
        <f aca="false">IF((D31="o"),F31," ")</f>
        <v> </v>
      </c>
      <c r="S31" s="180" t="str">
        <f aca="false">IF((D31="f"),F31," ")</f>
        <v> </v>
      </c>
      <c r="U31" s="371"/>
    </row>
    <row r="32" customFormat="false" ht="12.75" hidden="false" customHeight="false" outlineLevel="0" collapsed="false">
      <c r="G32" s="180" t="str">
        <f aca="false">IF((D32="d"),F32," ")</f>
        <v> </v>
      </c>
      <c r="H32" s="180" t="str">
        <f aca="false">IF((D32="h"),F32," ")</f>
        <v> </v>
      </c>
      <c r="I32" s="180" t="str">
        <f aca="false">IF((D32="r"),F32," ")</f>
        <v> </v>
      </c>
      <c r="J32" s="180" t="str">
        <f aca="false">IF((D32="t"),F32," ")</f>
        <v> </v>
      </c>
      <c r="K32" s="180" t="str">
        <f aca="false">IF((D32="e"),F32," ")</f>
        <v> </v>
      </c>
      <c r="L32" s="180" t="str">
        <f aca="false">IF((D32="p"),F32," ")</f>
        <v> </v>
      </c>
      <c r="M32" s="180" t="str">
        <f aca="false">IF((D32="g"),F32," ")</f>
        <v> </v>
      </c>
      <c r="N32" s="180" t="str">
        <f aca="false">IF((D32="a"),F32," ")</f>
        <v> </v>
      </c>
      <c r="O32" s="180" t="str">
        <f aca="false">IF((D32="l"),F32," ")</f>
        <v> </v>
      </c>
      <c r="P32" s="180" t="str">
        <f aca="false">IF((D32="i"),F32," ")</f>
        <v> </v>
      </c>
      <c r="Q32" s="180" t="str">
        <f aca="false">IF((D32="b"),F32," ")</f>
        <v> </v>
      </c>
      <c r="R32" s="180" t="str">
        <f aca="false">IF((D32="o"),F32," ")</f>
        <v> </v>
      </c>
      <c r="S32" s="180" t="str">
        <f aca="false">IF((D32="f"),F32," ")</f>
        <v> </v>
      </c>
      <c r="U32" s="371"/>
    </row>
    <row r="33" customFormat="false" ht="12.75" hidden="false" customHeight="false" outlineLevel="0" collapsed="false">
      <c r="G33" s="180" t="str">
        <f aca="false">IF((D33="d"),F33," ")</f>
        <v> </v>
      </c>
      <c r="H33" s="180" t="str">
        <f aca="false">IF((D33="h"),F33," ")</f>
        <v> </v>
      </c>
      <c r="I33" s="180" t="str">
        <f aca="false">IF((D33="r"),F33," ")</f>
        <v> </v>
      </c>
      <c r="J33" s="180" t="str">
        <f aca="false">IF((D33="t"),F33," ")</f>
        <v> </v>
      </c>
      <c r="K33" s="180" t="str">
        <f aca="false">IF((D33="e"),F33," ")</f>
        <v> </v>
      </c>
      <c r="L33" s="180" t="str">
        <f aca="false">IF((D33="p"),F33," ")</f>
        <v> </v>
      </c>
      <c r="M33" s="180" t="str">
        <f aca="false">IF((D33="g"),F33," ")</f>
        <v> </v>
      </c>
      <c r="N33" s="180" t="str">
        <f aca="false">IF((D33="a"),F33," ")</f>
        <v> </v>
      </c>
      <c r="O33" s="180" t="str">
        <f aca="false">IF((D33="l"),F33," ")</f>
        <v> </v>
      </c>
      <c r="P33" s="180" t="str">
        <f aca="false">IF((D33="i"),F33," ")</f>
        <v> </v>
      </c>
      <c r="Q33" s="180" t="str">
        <f aca="false">IF((D33="b"),F33," ")</f>
        <v> </v>
      </c>
      <c r="R33" s="180" t="str">
        <f aca="false">IF((D33="o"),F33," ")</f>
        <v> </v>
      </c>
      <c r="S33" s="180" t="str">
        <f aca="false">IF((D33="f"),F33," ")</f>
        <v> </v>
      </c>
      <c r="U33" s="371"/>
    </row>
    <row r="34" customFormat="false" ht="12.75" hidden="false" customHeight="false" outlineLevel="0" collapsed="false">
      <c r="G34" s="180" t="str">
        <f aca="false">IF((D34="d"),F34," ")</f>
        <v> </v>
      </c>
      <c r="H34" s="180" t="str">
        <f aca="false">IF((D34="h"),F34," ")</f>
        <v> </v>
      </c>
      <c r="I34" s="180" t="str">
        <f aca="false">IF((D34="r"),F34," ")</f>
        <v> </v>
      </c>
      <c r="J34" s="180" t="str">
        <f aca="false">IF((D34="t"),F34," ")</f>
        <v> </v>
      </c>
      <c r="K34" s="180" t="str">
        <f aca="false">IF((D34="e"),F34," ")</f>
        <v> </v>
      </c>
      <c r="L34" s="180" t="str">
        <f aca="false">IF((D34="p"),F34," ")</f>
        <v> </v>
      </c>
      <c r="M34" s="180" t="str">
        <f aca="false">IF((D34="g"),F34," ")</f>
        <v> </v>
      </c>
      <c r="N34" s="180" t="str">
        <f aca="false">IF((D34="a"),F34," ")</f>
        <v> </v>
      </c>
      <c r="O34" s="180" t="str">
        <f aca="false">IF((D34="l"),F34," ")</f>
        <v> </v>
      </c>
      <c r="P34" s="180" t="str">
        <f aca="false">IF((D34="i"),F34," ")</f>
        <v> </v>
      </c>
      <c r="Q34" s="180" t="str">
        <f aca="false">IF((D34="b"),F34," ")</f>
        <v> </v>
      </c>
      <c r="R34" s="180" t="str">
        <f aca="false">IF((D34="o"),F34," ")</f>
        <v> </v>
      </c>
      <c r="S34" s="180" t="str">
        <f aca="false">IF((D34="f"),F34," ")</f>
        <v> </v>
      </c>
      <c r="U34" s="371"/>
    </row>
    <row r="35" customFormat="false" ht="12.75" hidden="false" customHeight="false" outlineLevel="0" collapsed="false">
      <c r="G35" s="180" t="str">
        <f aca="false">IF((D35="d"),F35," ")</f>
        <v> </v>
      </c>
      <c r="H35" s="180" t="str">
        <f aca="false">IF((D35="h"),F35," ")</f>
        <v> </v>
      </c>
      <c r="I35" s="180" t="str">
        <f aca="false">IF((D35="r"),F35," ")</f>
        <v> </v>
      </c>
      <c r="J35" s="180" t="str">
        <f aca="false">IF((D35="t"),F35," ")</f>
        <v> </v>
      </c>
      <c r="K35" s="180" t="str">
        <f aca="false">IF((D35="e"),F35," ")</f>
        <v> </v>
      </c>
      <c r="L35" s="180" t="str">
        <f aca="false">IF((D35="p"),F35," ")</f>
        <v> </v>
      </c>
      <c r="M35" s="180" t="str">
        <f aca="false">IF((D35="g"),F35," ")</f>
        <v> </v>
      </c>
      <c r="N35" s="180" t="str">
        <f aca="false">IF((D35="a"),F35," ")</f>
        <v> </v>
      </c>
      <c r="O35" s="180" t="str">
        <f aca="false">IF((D35="l"),F35," ")</f>
        <v> </v>
      </c>
      <c r="P35" s="180" t="str">
        <f aca="false">IF((D35="i"),F35," ")</f>
        <v> </v>
      </c>
      <c r="Q35" s="180" t="str">
        <f aca="false">IF((D35="b"),F35," ")</f>
        <v> </v>
      </c>
      <c r="R35" s="180" t="str">
        <f aca="false">IF((D35="o"),F35," ")</f>
        <v> </v>
      </c>
      <c r="S35" s="180" t="str">
        <f aca="false">IF((D35="f"),F35," ")</f>
        <v> </v>
      </c>
      <c r="U35" s="371"/>
    </row>
    <row r="36" customFormat="false" ht="12.75" hidden="false" customHeight="false" outlineLevel="0" collapsed="false">
      <c r="G36" s="180" t="str">
        <f aca="false">IF((D36="d"),F36," ")</f>
        <v> </v>
      </c>
      <c r="H36" s="180" t="str">
        <f aca="false">IF((D36="h"),F36," ")</f>
        <v> </v>
      </c>
      <c r="I36" s="180" t="str">
        <f aca="false">IF((D36="r"),F36," ")</f>
        <v> </v>
      </c>
      <c r="J36" s="180" t="str">
        <f aca="false">IF((D36="t"),F36," ")</f>
        <v> </v>
      </c>
      <c r="K36" s="180" t="str">
        <f aca="false">IF((D36="e"),F36," ")</f>
        <v> </v>
      </c>
      <c r="L36" s="180" t="str">
        <f aca="false">IF((D36="p"),F36," ")</f>
        <v> </v>
      </c>
      <c r="M36" s="180" t="str">
        <f aca="false">IF((D36="g"),F36," ")</f>
        <v> </v>
      </c>
      <c r="N36" s="180" t="str">
        <f aca="false">IF((D36="a"),F36," ")</f>
        <v> </v>
      </c>
      <c r="O36" s="180" t="str">
        <f aca="false">IF((D36="l"),F36," ")</f>
        <v> </v>
      </c>
      <c r="P36" s="180" t="str">
        <f aca="false">IF((D36="i"),F36," ")</f>
        <v> </v>
      </c>
      <c r="Q36" s="180" t="str">
        <f aca="false">IF((D36="b"),F36," ")</f>
        <v> </v>
      </c>
      <c r="R36" s="180" t="str">
        <f aca="false">IF((D36="o"),F36," ")</f>
        <v> </v>
      </c>
      <c r="S36" s="180" t="str">
        <f aca="false">IF((D36="f"),F36," ")</f>
        <v> </v>
      </c>
      <c r="U36" s="371"/>
    </row>
    <row r="37" customFormat="false" ht="12.75" hidden="false" customHeight="false" outlineLevel="0" collapsed="false">
      <c r="D37" s="371" t="str">
        <f aca="false">IF((F37&lt;&gt;0),"Enter Letter"," ")</f>
        <v> </v>
      </c>
      <c r="G37" s="180" t="str">
        <f aca="false">IF((D37="d"),F37," ")</f>
        <v> </v>
      </c>
      <c r="H37" s="180" t="str">
        <f aca="false">IF((D37="h"),F37," ")</f>
        <v> </v>
      </c>
      <c r="I37" s="180" t="str">
        <f aca="false">IF((D37="r"),F37," ")</f>
        <v> </v>
      </c>
      <c r="J37" s="180" t="str">
        <f aca="false">IF((D37="t"),F37," ")</f>
        <v> </v>
      </c>
      <c r="K37" s="180" t="str">
        <f aca="false">IF((D37="e"),F37," ")</f>
        <v> </v>
      </c>
      <c r="L37" s="180" t="str">
        <f aca="false">IF((D37="p"),F37," ")</f>
        <v> </v>
      </c>
      <c r="M37" s="180" t="str">
        <f aca="false">IF((D37="g"),F37," ")</f>
        <v> </v>
      </c>
      <c r="N37" s="180" t="str">
        <f aca="false">IF((D37="a"),F37," ")</f>
        <v> </v>
      </c>
      <c r="O37" s="180" t="str">
        <f aca="false">IF((D37="l"),F37," ")</f>
        <v> </v>
      </c>
      <c r="P37" s="180" t="str">
        <f aca="false">IF((D37="i"),F37," ")</f>
        <v> </v>
      </c>
      <c r="Q37" s="180" t="str">
        <f aca="false">IF((D37="b"),F37," ")</f>
        <v> </v>
      </c>
      <c r="R37" s="180" t="str">
        <f aca="false">IF((D37="o"),F37," ")</f>
        <v> </v>
      </c>
      <c r="S37" s="180" t="str">
        <f aca="false">IF((D37="f"),F37," ")</f>
        <v> </v>
      </c>
      <c r="U37" s="371"/>
    </row>
    <row r="38" customFormat="false" ht="12.75" hidden="false" customHeight="false" outlineLevel="0" collapsed="false">
      <c r="D38" s="371" t="str">
        <f aca="false">IF((F38&lt;&gt;0),"Enter Letter"," ")</f>
        <v> </v>
      </c>
      <c r="G38" s="180" t="str">
        <f aca="false">IF((D38="d"),F38," ")</f>
        <v> </v>
      </c>
      <c r="H38" s="180" t="str">
        <f aca="false">IF((D38="h"),F38," ")</f>
        <v> </v>
      </c>
      <c r="I38" s="180" t="str">
        <f aca="false">IF((D38="r"),F38," ")</f>
        <v> </v>
      </c>
      <c r="J38" s="180" t="str">
        <f aca="false">IF((D38="t"),F38," ")</f>
        <v> </v>
      </c>
      <c r="K38" s="180" t="str">
        <f aca="false">IF((D38="e"),F38," ")</f>
        <v> </v>
      </c>
      <c r="L38" s="180" t="str">
        <f aca="false">IF((D38="p"),F38," ")</f>
        <v> </v>
      </c>
      <c r="M38" s="180" t="str">
        <f aca="false">IF((D38="g"),F38," ")</f>
        <v> </v>
      </c>
      <c r="N38" s="180" t="str">
        <f aca="false">IF((D38="a"),F38," ")</f>
        <v> </v>
      </c>
      <c r="O38" s="180" t="str">
        <f aca="false">IF((D38="l"),F38," ")</f>
        <v> </v>
      </c>
      <c r="P38" s="180" t="str">
        <f aca="false">IF((D38="i"),F38," ")</f>
        <v> </v>
      </c>
      <c r="Q38" s="180" t="str">
        <f aca="false">IF((D38="b"),F38," ")</f>
        <v> </v>
      </c>
      <c r="R38" s="180" t="str">
        <f aca="false">IF((D38="o"),F38," ")</f>
        <v> </v>
      </c>
      <c r="S38" s="180" t="str">
        <f aca="false">IF((D38="f"),F38," ")</f>
        <v> </v>
      </c>
      <c r="U38" s="371"/>
    </row>
    <row r="39" customFormat="false" ht="12.75" hidden="false" customHeight="false" outlineLevel="0" collapsed="false">
      <c r="D39" s="371" t="str">
        <f aca="false">IF((F39&lt;&gt;0),"Enter Letter"," ")</f>
        <v> </v>
      </c>
      <c r="G39" s="180" t="str">
        <f aca="false">IF((D39="d"),F39," ")</f>
        <v> </v>
      </c>
      <c r="H39" s="180" t="str">
        <f aca="false">IF((D39="h"),F39," ")</f>
        <v> </v>
      </c>
      <c r="I39" s="180" t="str">
        <f aca="false">IF((D39="r"),F39," ")</f>
        <v> </v>
      </c>
      <c r="J39" s="180" t="str">
        <f aca="false">IF((D39="t"),F39," ")</f>
        <v> </v>
      </c>
      <c r="K39" s="180" t="str">
        <f aca="false">IF((D39="e"),F39," ")</f>
        <v> </v>
      </c>
      <c r="L39" s="180" t="str">
        <f aca="false">IF((D39="p"),F39," ")</f>
        <v> </v>
      </c>
      <c r="M39" s="180" t="str">
        <f aca="false">IF((D39="g"),F39," ")</f>
        <v> </v>
      </c>
      <c r="N39" s="180" t="str">
        <f aca="false">IF((D39="a"),F39," ")</f>
        <v> </v>
      </c>
      <c r="O39" s="180" t="str">
        <f aca="false">IF((D39="l"),F39," ")</f>
        <v> </v>
      </c>
      <c r="P39" s="180" t="str">
        <f aca="false">IF((D39="i"),F39," ")</f>
        <v> </v>
      </c>
      <c r="Q39" s="180" t="str">
        <f aca="false">IF((D39="b"),F39," ")</f>
        <v> </v>
      </c>
      <c r="R39" s="180" t="str">
        <f aca="false">IF((D39="o"),F39," ")</f>
        <v> </v>
      </c>
      <c r="S39" s="180" t="str">
        <f aca="false">IF((D39="f"),F39," ")</f>
        <v> </v>
      </c>
      <c r="U39" s="371"/>
    </row>
    <row r="40" customFormat="false" ht="12.75" hidden="false" customHeight="false" outlineLevel="0" collapsed="false">
      <c r="D40" s="371" t="str">
        <f aca="false">IF((F40&lt;&gt;0),"Enter Letter"," ")</f>
        <v> </v>
      </c>
      <c r="G40" s="180" t="str">
        <f aca="false">IF((D40="d"),F40," ")</f>
        <v> </v>
      </c>
      <c r="H40" s="180" t="str">
        <f aca="false">IF((D40="h"),F40," ")</f>
        <v> </v>
      </c>
      <c r="I40" s="180" t="str">
        <f aca="false">IF((D40="r"),F40," ")</f>
        <v> </v>
      </c>
      <c r="J40" s="180" t="str">
        <f aca="false">IF((D40="t"),F40," ")</f>
        <v> </v>
      </c>
      <c r="K40" s="180" t="str">
        <f aca="false">IF((D40="e"),F40," ")</f>
        <v> </v>
      </c>
      <c r="L40" s="180" t="str">
        <f aca="false">IF((D40="p"),F40," ")</f>
        <v> </v>
      </c>
      <c r="M40" s="180" t="str">
        <f aca="false">IF((D40="g"),F40," ")</f>
        <v> </v>
      </c>
      <c r="N40" s="180" t="str">
        <f aca="false">IF((D40="a"),F40," ")</f>
        <v> </v>
      </c>
      <c r="O40" s="180" t="str">
        <f aca="false">IF((D40="l"),F40," ")</f>
        <v> </v>
      </c>
      <c r="P40" s="180" t="str">
        <f aca="false">IF((D40="i"),F40," ")</f>
        <v> </v>
      </c>
      <c r="Q40" s="180" t="str">
        <f aca="false">IF((D40="b"),F40," ")</f>
        <v> </v>
      </c>
      <c r="R40" s="180" t="str">
        <f aca="false">IF((D40="o"),F40," ")</f>
        <v> </v>
      </c>
      <c r="S40" s="180" t="str">
        <f aca="false">IF((D40="f"),F40," ")</f>
        <v> </v>
      </c>
      <c r="U40" s="371"/>
    </row>
    <row r="41" customFormat="false" ht="12.75" hidden="false" customHeight="false" outlineLevel="0" collapsed="false">
      <c r="D41" s="371" t="str">
        <f aca="false">IF((F41&lt;&gt;0),"Enter Letter"," ")</f>
        <v> </v>
      </c>
      <c r="G41" s="180" t="str">
        <f aca="false">IF((D41="d"),F41," ")</f>
        <v> </v>
      </c>
      <c r="H41" s="180" t="str">
        <f aca="false">IF((D41="h"),F41," ")</f>
        <v> </v>
      </c>
      <c r="I41" s="180" t="str">
        <f aca="false">IF((D41="r"),F41," ")</f>
        <v> </v>
      </c>
      <c r="J41" s="180" t="str">
        <f aca="false">IF((D41="t"),F41," ")</f>
        <v> </v>
      </c>
      <c r="K41" s="180" t="str">
        <f aca="false">IF((D41="e"),F41," ")</f>
        <v> </v>
      </c>
      <c r="L41" s="180" t="str">
        <f aca="false">IF((D41="p"),F41," ")</f>
        <v> </v>
      </c>
      <c r="M41" s="180" t="str">
        <f aca="false">IF((D41="g"),F41," ")</f>
        <v> </v>
      </c>
      <c r="N41" s="180" t="str">
        <f aca="false">IF((D41="a"),F41," ")</f>
        <v> </v>
      </c>
      <c r="O41" s="180" t="str">
        <f aca="false">IF((D41="l"),F41," ")</f>
        <v> </v>
      </c>
      <c r="P41" s="180" t="str">
        <f aca="false">IF((D41="i"),F41," ")</f>
        <v> </v>
      </c>
      <c r="Q41" s="180" t="str">
        <f aca="false">IF((D41="b"),F41," ")</f>
        <v> </v>
      </c>
      <c r="R41" s="180" t="str">
        <f aca="false">IF((D41="o"),F41," ")</f>
        <v> </v>
      </c>
      <c r="S41" s="180" t="str">
        <f aca="false">IF((D41="f"),F41," ")</f>
        <v> </v>
      </c>
      <c r="U41" s="371"/>
    </row>
    <row r="42" customFormat="false" ht="12.75" hidden="false" customHeight="false" outlineLevel="0" collapsed="false">
      <c r="D42" s="371" t="str">
        <f aca="false">IF((F42&lt;&gt;0),"Enter Letter"," ")</f>
        <v> </v>
      </c>
      <c r="G42" s="180" t="str">
        <f aca="false">IF((D42="d"),F42," ")</f>
        <v> </v>
      </c>
      <c r="H42" s="180" t="str">
        <f aca="false">IF((D42="h"),F42," ")</f>
        <v> </v>
      </c>
      <c r="I42" s="180" t="str">
        <f aca="false">IF((D42="r"),F42," ")</f>
        <v> </v>
      </c>
      <c r="J42" s="180" t="str">
        <f aca="false">IF((D42="t"),F42," ")</f>
        <v> </v>
      </c>
      <c r="K42" s="180" t="str">
        <f aca="false">IF((D42="e"),F42," ")</f>
        <v> </v>
      </c>
      <c r="L42" s="180" t="str">
        <f aca="false">IF((D42="p"),F42," ")</f>
        <v> </v>
      </c>
      <c r="M42" s="180" t="str">
        <f aca="false">IF((D42="g"),F42," ")</f>
        <v> </v>
      </c>
      <c r="N42" s="180" t="str">
        <f aca="false">IF((D42="a"),F42," ")</f>
        <v> </v>
      </c>
      <c r="O42" s="180" t="str">
        <f aca="false">IF((D42="l"),F42," ")</f>
        <v> </v>
      </c>
      <c r="P42" s="180" t="str">
        <f aca="false">IF((D42="i"),F42," ")</f>
        <v> </v>
      </c>
      <c r="Q42" s="180" t="str">
        <f aca="false">IF((D42="b"),F42," ")</f>
        <v> </v>
      </c>
      <c r="R42" s="180" t="str">
        <f aca="false">IF((D42="o"),F42," ")</f>
        <v> </v>
      </c>
      <c r="S42" s="180" t="str">
        <f aca="false">IF((D42="f"),F42," ")</f>
        <v> </v>
      </c>
      <c r="U42" s="371"/>
    </row>
    <row r="43" customFormat="false" ht="12.75" hidden="false" customHeight="false" outlineLevel="0" collapsed="false">
      <c r="D43" s="371" t="str">
        <f aca="false">IF((F43&lt;&gt;0),"Enter Letter"," ")</f>
        <v> </v>
      </c>
      <c r="G43" s="180" t="str">
        <f aca="false">IF((D43="d"),F43," ")</f>
        <v> </v>
      </c>
      <c r="H43" s="180" t="str">
        <f aca="false">IF((D43="h"),F43," ")</f>
        <v> </v>
      </c>
      <c r="I43" s="180" t="str">
        <f aca="false">IF((D43="r"),F43," ")</f>
        <v> </v>
      </c>
      <c r="J43" s="180" t="str">
        <f aca="false">IF((D43="t"),F43," ")</f>
        <v> </v>
      </c>
      <c r="K43" s="180" t="str">
        <f aca="false">IF((D43="e"),F43," ")</f>
        <v> </v>
      </c>
      <c r="L43" s="180" t="str">
        <f aca="false">IF((D43="p"),F43," ")</f>
        <v> </v>
      </c>
      <c r="M43" s="180" t="str">
        <f aca="false">IF((D43="g"),F43," ")</f>
        <v> </v>
      </c>
      <c r="N43" s="180" t="str">
        <f aca="false">IF((D43="a"),F43," ")</f>
        <v> </v>
      </c>
      <c r="O43" s="180" t="str">
        <f aca="false">IF((D43="l"),F43," ")</f>
        <v> </v>
      </c>
      <c r="P43" s="180" t="str">
        <f aca="false">IF((D43="i"),F43," ")</f>
        <v> </v>
      </c>
      <c r="Q43" s="180" t="str">
        <f aca="false">IF((D43="b"),F43," ")</f>
        <v> </v>
      </c>
      <c r="R43" s="180" t="str">
        <f aca="false">IF((D43="o"),F43," ")</f>
        <v> </v>
      </c>
      <c r="S43" s="180" t="str">
        <f aca="false">IF((D43="f"),F43," ")</f>
        <v> </v>
      </c>
      <c r="U43" s="371"/>
    </row>
    <row r="44" customFormat="false" ht="12.75" hidden="false" customHeight="false" outlineLevel="0" collapsed="false">
      <c r="D44" s="371" t="str">
        <f aca="false">IF((F44&lt;&gt;0),"Enter Letter"," ")</f>
        <v> </v>
      </c>
      <c r="G44" s="180" t="str">
        <f aca="false">IF((D44="d"),F44," ")</f>
        <v> </v>
      </c>
      <c r="H44" s="180" t="str">
        <f aca="false">IF((D44="h"),F44," ")</f>
        <v> </v>
      </c>
      <c r="I44" s="180" t="str">
        <f aca="false">IF((D44="r"),F44," ")</f>
        <v> </v>
      </c>
      <c r="J44" s="180" t="str">
        <f aca="false">IF((D44="t"),F44," ")</f>
        <v> </v>
      </c>
      <c r="K44" s="180" t="str">
        <f aca="false">IF((D44="e"),F44," ")</f>
        <v> </v>
      </c>
      <c r="L44" s="180" t="str">
        <f aca="false">IF((D44="p"),F44," ")</f>
        <v> </v>
      </c>
      <c r="M44" s="180" t="str">
        <f aca="false">IF((D44="g"),F44," ")</f>
        <v> </v>
      </c>
      <c r="N44" s="180" t="str">
        <f aca="false">IF((D44="a"),F44," ")</f>
        <v> </v>
      </c>
      <c r="O44" s="180" t="str">
        <f aca="false">IF((D44="l"),F44," ")</f>
        <v> </v>
      </c>
      <c r="P44" s="180" t="str">
        <f aca="false">IF((D44="i"),F44," ")</f>
        <v> </v>
      </c>
      <c r="Q44" s="180" t="str">
        <f aca="false">IF((D44="b"),F44," ")</f>
        <v> </v>
      </c>
      <c r="R44" s="180" t="str">
        <f aca="false">IF((D44="o"),F44," ")</f>
        <v> </v>
      </c>
      <c r="S44" s="180" t="str">
        <f aca="false">IF((D44="f"),F44," ")</f>
        <v> </v>
      </c>
      <c r="U44" s="371"/>
    </row>
    <row r="45" customFormat="false" ht="12.75" hidden="false" customHeight="false" outlineLevel="0" collapsed="false">
      <c r="D45" s="371" t="str">
        <f aca="false">IF((F45&lt;&gt;0),"Enter Letter"," ")</f>
        <v> </v>
      </c>
      <c r="G45" s="180" t="str">
        <f aca="false">IF((D45="d"),F45," ")</f>
        <v> </v>
      </c>
      <c r="H45" s="180" t="str">
        <f aca="false">IF((D45="h"),F45," ")</f>
        <v> </v>
      </c>
      <c r="I45" s="180" t="str">
        <f aca="false">IF((D45="r"),F45," ")</f>
        <v> </v>
      </c>
      <c r="J45" s="180" t="str">
        <f aca="false">IF((D45="t"),F45," ")</f>
        <v> </v>
      </c>
      <c r="K45" s="180" t="str">
        <f aca="false">IF((D45="e"),F45," ")</f>
        <v> </v>
      </c>
      <c r="L45" s="180" t="str">
        <f aca="false">IF((D45="p"),F45," ")</f>
        <v> </v>
      </c>
      <c r="M45" s="180" t="str">
        <f aca="false">IF((D45="g"),F45," ")</f>
        <v> </v>
      </c>
      <c r="N45" s="180" t="str">
        <f aca="false">IF((D45="a"),F45," ")</f>
        <v> </v>
      </c>
      <c r="O45" s="180" t="str">
        <f aca="false">IF((D45="l"),F45," ")</f>
        <v> </v>
      </c>
      <c r="P45" s="180" t="str">
        <f aca="false">IF((D45="i"),F45," ")</f>
        <v> </v>
      </c>
      <c r="Q45" s="180" t="str">
        <f aca="false">IF((D45="b"),F45," ")</f>
        <v> </v>
      </c>
      <c r="R45" s="180" t="str">
        <f aca="false">IF((D45="o"),F45," ")</f>
        <v> </v>
      </c>
      <c r="S45" s="180" t="str">
        <f aca="false">IF((D45="f"),F45," ")</f>
        <v> </v>
      </c>
      <c r="U45" s="371"/>
    </row>
    <row r="46" customFormat="false" ht="12.75" hidden="false" customHeight="false" outlineLevel="0" collapsed="false">
      <c r="D46" s="371" t="str">
        <f aca="false">IF((F46&lt;&gt;0),"Enter Letter"," ")</f>
        <v> </v>
      </c>
      <c r="G46" s="180" t="str">
        <f aca="false">IF((D46="d"),F46," ")</f>
        <v> </v>
      </c>
      <c r="H46" s="180" t="str">
        <f aca="false">IF((D46="h"),F46," ")</f>
        <v> </v>
      </c>
      <c r="I46" s="180" t="str">
        <f aca="false">IF((D46="r"),F46," ")</f>
        <v> </v>
      </c>
      <c r="J46" s="180" t="str">
        <f aca="false">IF((D46="t"),F46," ")</f>
        <v> </v>
      </c>
      <c r="K46" s="180" t="str">
        <f aca="false">IF((D46="e"),F46," ")</f>
        <v> </v>
      </c>
      <c r="L46" s="180" t="str">
        <f aca="false">IF((D46="p"),F46," ")</f>
        <v> </v>
      </c>
      <c r="M46" s="180" t="str">
        <f aca="false">IF((D46="g"),F46," ")</f>
        <v> </v>
      </c>
      <c r="N46" s="180" t="str">
        <f aca="false">IF((D46="a"),F46," ")</f>
        <v> </v>
      </c>
      <c r="O46" s="180" t="str">
        <f aca="false">IF((D46="l"),F46," ")</f>
        <v> </v>
      </c>
      <c r="P46" s="180" t="str">
        <f aca="false">IF((D46="i"),F46," ")</f>
        <v> </v>
      </c>
      <c r="Q46" s="180" t="str">
        <f aca="false">IF((D46="b"),F46," ")</f>
        <v> </v>
      </c>
      <c r="R46" s="180" t="str">
        <f aca="false">IF((D46="o"),F46," ")</f>
        <v> </v>
      </c>
      <c r="S46" s="180" t="str">
        <f aca="false">IF((D46="f"),F46," ")</f>
        <v> </v>
      </c>
      <c r="U46" s="371"/>
    </row>
    <row r="47" customFormat="false" ht="12.75" hidden="false" customHeight="false" outlineLevel="0" collapsed="false">
      <c r="D47" s="371" t="str">
        <f aca="false">IF((F47&lt;&gt;0),"Enter Letter"," ")</f>
        <v> </v>
      </c>
      <c r="G47" s="180" t="str">
        <f aca="false">IF((D47="d"),F47," ")</f>
        <v> </v>
      </c>
      <c r="H47" s="180" t="str">
        <f aca="false">IF((D47="h"),F47," ")</f>
        <v> </v>
      </c>
      <c r="I47" s="180" t="str">
        <f aca="false">IF((D47="r"),F47," ")</f>
        <v> </v>
      </c>
      <c r="J47" s="180" t="str">
        <f aca="false">IF((D47="t"),F47," ")</f>
        <v> </v>
      </c>
      <c r="K47" s="180" t="str">
        <f aca="false">IF((D47="e"),F47," ")</f>
        <v> </v>
      </c>
      <c r="L47" s="180" t="str">
        <f aca="false">IF((D47="p"),F47," ")</f>
        <v> </v>
      </c>
      <c r="M47" s="180" t="str">
        <f aca="false">IF((D47="g"),F47," ")</f>
        <v> </v>
      </c>
      <c r="N47" s="180" t="str">
        <f aca="false">IF((D47="a"),F47," ")</f>
        <v> </v>
      </c>
      <c r="O47" s="180" t="str">
        <f aca="false">IF((D47="l"),F47," ")</f>
        <v> </v>
      </c>
      <c r="P47" s="180" t="str">
        <f aca="false">IF((D47="i"),F47," ")</f>
        <v> </v>
      </c>
      <c r="Q47" s="180" t="str">
        <f aca="false">IF((D47="b"),F47," ")</f>
        <v> </v>
      </c>
      <c r="R47" s="180" t="str">
        <f aca="false">IF((D47="o"),F47," ")</f>
        <v> </v>
      </c>
      <c r="S47" s="180" t="str">
        <f aca="false">IF((D47="f"),F47," ")</f>
        <v> </v>
      </c>
      <c r="U47" s="371"/>
    </row>
    <row r="48" customFormat="false" ht="12.75" hidden="false" customHeight="false" outlineLevel="0" collapsed="false">
      <c r="D48" s="371" t="str">
        <f aca="false">IF((F48&lt;&gt;0),"Enter Letter"," ")</f>
        <v> </v>
      </c>
      <c r="G48" s="180" t="str">
        <f aca="false">IF((D48="d"),F48," ")</f>
        <v> </v>
      </c>
      <c r="H48" s="180" t="str">
        <f aca="false">IF((D48="h"),F48," ")</f>
        <v> </v>
      </c>
      <c r="I48" s="180" t="str">
        <f aca="false">IF((D48="r"),F48," ")</f>
        <v> </v>
      </c>
      <c r="J48" s="180" t="str">
        <f aca="false">IF((D48="t"),F48," ")</f>
        <v> </v>
      </c>
      <c r="K48" s="180" t="str">
        <f aca="false">IF((D48="e"),F48," ")</f>
        <v> </v>
      </c>
      <c r="L48" s="180" t="str">
        <f aca="false">IF((D48="p"),F48," ")</f>
        <v> </v>
      </c>
      <c r="M48" s="180" t="str">
        <f aca="false">IF((D48="g"),F48," ")</f>
        <v> </v>
      </c>
      <c r="N48" s="180" t="str">
        <f aca="false">IF((D48="a"),F48," ")</f>
        <v> </v>
      </c>
      <c r="O48" s="180" t="str">
        <f aca="false">IF((D48="l"),F48," ")</f>
        <v> </v>
      </c>
      <c r="P48" s="180" t="str">
        <f aca="false">IF((D48="i"),F48," ")</f>
        <v> </v>
      </c>
      <c r="Q48" s="180" t="str">
        <f aca="false">IF((D48="b"),F48," ")</f>
        <v> </v>
      </c>
      <c r="R48" s="180" t="str">
        <f aca="false">IF((D48="o"),F48," ")</f>
        <v> </v>
      </c>
      <c r="S48" s="180" t="str">
        <f aca="false">IF((D48="f"),F48," ")</f>
        <v> </v>
      </c>
      <c r="U48" s="371"/>
    </row>
    <row r="49" customFormat="false" ht="12.75" hidden="false" customHeight="false" outlineLevel="0" collapsed="false">
      <c r="D49" s="371" t="str">
        <f aca="false">IF((F49&lt;&gt;0),"Enter Letter"," ")</f>
        <v> </v>
      </c>
      <c r="G49" s="180" t="str">
        <f aca="false">IF((D49="d"),F49," ")</f>
        <v> </v>
      </c>
      <c r="H49" s="180" t="str">
        <f aca="false">IF((D49="h"),F49," ")</f>
        <v> </v>
      </c>
      <c r="I49" s="180" t="str">
        <f aca="false">IF((D49="r"),F49," ")</f>
        <v> </v>
      </c>
      <c r="J49" s="180" t="str">
        <f aca="false">IF((D49="t"),F49," ")</f>
        <v> </v>
      </c>
      <c r="K49" s="180" t="str">
        <f aca="false">IF((D49="e"),F49," ")</f>
        <v> </v>
      </c>
      <c r="L49" s="180" t="str">
        <f aca="false">IF((D49="p"),F49," ")</f>
        <v> </v>
      </c>
      <c r="M49" s="180" t="str">
        <f aca="false">IF((D49="g"),F49," ")</f>
        <v> </v>
      </c>
      <c r="N49" s="180" t="str">
        <f aca="false">IF((D49="a"),F49," ")</f>
        <v> </v>
      </c>
      <c r="O49" s="180" t="str">
        <f aca="false">IF((D49="l"),F49," ")</f>
        <v> </v>
      </c>
      <c r="P49" s="180" t="str">
        <f aca="false">IF((D49="i"),F49," ")</f>
        <v> </v>
      </c>
      <c r="Q49" s="180" t="str">
        <f aca="false">IF((D49="b"),F49," ")</f>
        <v> </v>
      </c>
      <c r="R49" s="180" t="str">
        <f aca="false">IF((D49="o"),F49," ")</f>
        <v> </v>
      </c>
      <c r="S49" s="180" t="str">
        <f aca="false">IF((D49="f"),F49," ")</f>
        <v> </v>
      </c>
      <c r="U49" s="371"/>
    </row>
    <row r="50" customFormat="false" ht="12.75" hidden="false" customHeight="false" outlineLevel="0" collapsed="false">
      <c r="D50" s="371" t="str">
        <f aca="false">IF((F50&lt;&gt;0),"Enter Letter"," ")</f>
        <v> </v>
      </c>
      <c r="G50" s="180" t="str">
        <f aca="false">IF((D50="d"),F50," ")</f>
        <v> </v>
      </c>
      <c r="H50" s="180" t="str">
        <f aca="false">IF((D50="h"),F50," ")</f>
        <v> </v>
      </c>
      <c r="I50" s="180" t="str">
        <f aca="false">IF((D50="r"),F50," ")</f>
        <v> </v>
      </c>
      <c r="J50" s="180" t="str">
        <f aca="false">IF((D50="t"),F50," ")</f>
        <v> </v>
      </c>
      <c r="K50" s="180" t="str">
        <f aca="false">IF((D50="e"),F50," ")</f>
        <v> </v>
      </c>
      <c r="L50" s="180" t="str">
        <f aca="false">IF((D50="p"),F50," ")</f>
        <v> </v>
      </c>
      <c r="M50" s="180" t="str">
        <f aca="false">IF((D50="g"),F50," ")</f>
        <v> </v>
      </c>
      <c r="N50" s="180" t="str">
        <f aca="false">IF((D50="a"),F50," ")</f>
        <v> </v>
      </c>
      <c r="O50" s="180" t="str">
        <f aca="false">IF((D50="l"),F50," ")</f>
        <v> </v>
      </c>
      <c r="P50" s="180" t="str">
        <f aca="false">IF((D50="i"),F50," ")</f>
        <v> </v>
      </c>
      <c r="Q50" s="180" t="str">
        <f aca="false">IF((D50="b"),F50," ")</f>
        <v> </v>
      </c>
      <c r="R50" s="180" t="str">
        <f aca="false">IF((D50="o"),F50," ")</f>
        <v> </v>
      </c>
      <c r="S50" s="180" t="str">
        <f aca="false">IF((D50="f"),F50," ")</f>
        <v> </v>
      </c>
      <c r="U50" s="371"/>
    </row>
    <row r="51" customFormat="false" ht="12.75" hidden="false" customHeight="false" outlineLevel="0" collapsed="false">
      <c r="D51" s="371" t="str">
        <f aca="false">IF((F51&lt;&gt;0),"Enter Letter"," ")</f>
        <v> </v>
      </c>
      <c r="G51" s="180" t="str">
        <f aca="false">IF((D51="d"),F51," ")</f>
        <v> </v>
      </c>
      <c r="H51" s="180" t="str">
        <f aca="false">IF((D51="h"),F51," ")</f>
        <v> </v>
      </c>
      <c r="I51" s="180" t="str">
        <f aca="false">IF((D51="r"),F51," ")</f>
        <v> </v>
      </c>
      <c r="J51" s="180" t="str">
        <f aca="false">IF((D51="t"),F51," ")</f>
        <v> </v>
      </c>
      <c r="K51" s="180" t="str">
        <f aca="false">IF((D51="e"),F51," ")</f>
        <v> </v>
      </c>
      <c r="L51" s="180" t="str">
        <f aca="false">IF((D51="p"),F51," ")</f>
        <v> </v>
      </c>
      <c r="M51" s="180" t="str">
        <f aca="false">IF((D51="g"),F51," ")</f>
        <v> </v>
      </c>
      <c r="N51" s="180" t="str">
        <f aca="false">IF((D51="a"),F51," ")</f>
        <v> </v>
      </c>
      <c r="O51" s="180" t="str">
        <f aca="false">IF((D51="l"),F51," ")</f>
        <v> </v>
      </c>
      <c r="P51" s="180" t="str">
        <f aca="false">IF((D51="i"),F51," ")</f>
        <v> </v>
      </c>
      <c r="Q51" s="180" t="str">
        <f aca="false">IF((D51="b"),F51," ")</f>
        <v> </v>
      </c>
      <c r="R51" s="180" t="str">
        <f aca="false">IF((D51="o"),F51," ")</f>
        <v> </v>
      </c>
      <c r="S51" s="180" t="str">
        <f aca="false">IF((D51="f"),F51," ")</f>
        <v> </v>
      </c>
      <c r="U51" s="371"/>
    </row>
    <row r="52" customFormat="false" ht="12.75" hidden="false" customHeight="false" outlineLevel="0" collapsed="false">
      <c r="D52" s="371" t="str">
        <f aca="false">IF((F52&lt;&gt;0),"Enter Letter"," ")</f>
        <v> </v>
      </c>
      <c r="G52" s="180" t="str">
        <f aca="false">IF((D52="d"),F52," ")</f>
        <v> </v>
      </c>
      <c r="H52" s="180" t="str">
        <f aca="false">IF((D52="h"),F52," ")</f>
        <v> </v>
      </c>
      <c r="I52" s="180" t="str">
        <f aca="false">IF((D52="r"),F52," ")</f>
        <v> </v>
      </c>
      <c r="J52" s="180" t="str">
        <f aca="false">IF((D52="t"),F52," ")</f>
        <v> </v>
      </c>
      <c r="K52" s="180" t="str">
        <f aca="false">IF((D52="e"),F52," ")</f>
        <v> </v>
      </c>
      <c r="L52" s="180" t="str">
        <f aca="false">IF((D52="p"),F52," ")</f>
        <v> </v>
      </c>
      <c r="M52" s="180" t="str">
        <f aca="false">IF((D52="g"),F52," ")</f>
        <v> </v>
      </c>
      <c r="N52" s="180" t="str">
        <f aca="false">IF((D52="a"),F52," ")</f>
        <v> </v>
      </c>
      <c r="O52" s="180" t="str">
        <f aca="false">IF((D52="l"),F52," ")</f>
        <v> </v>
      </c>
      <c r="P52" s="180" t="str">
        <f aca="false">IF((D52="i"),F52," ")</f>
        <v> </v>
      </c>
      <c r="Q52" s="180" t="str">
        <f aca="false">IF((D52="b"),F52," ")</f>
        <v> </v>
      </c>
      <c r="R52" s="180" t="str">
        <f aca="false">IF((D52="o"),F52," ")</f>
        <v> </v>
      </c>
      <c r="S52" s="180" t="str">
        <f aca="false">IF((D52="f"),F52," ")</f>
        <v> </v>
      </c>
      <c r="U52" s="371"/>
    </row>
    <row r="53" customFormat="false" ht="12.75" hidden="false" customHeight="false" outlineLevel="0" collapsed="false">
      <c r="D53" s="371" t="str">
        <f aca="false">IF((F53&lt;&gt;0),"Enter Letter"," ")</f>
        <v> </v>
      </c>
      <c r="G53" s="180" t="str">
        <f aca="false">IF((D53="d"),F53," ")</f>
        <v> </v>
      </c>
      <c r="H53" s="180" t="str">
        <f aca="false">IF((D53="h"),F53," ")</f>
        <v> </v>
      </c>
      <c r="I53" s="180" t="str">
        <f aca="false">IF((D53="r"),F53," ")</f>
        <v> </v>
      </c>
      <c r="J53" s="180" t="str">
        <f aca="false">IF((D53="t"),F53," ")</f>
        <v> </v>
      </c>
      <c r="K53" s="180" t="str">
        <f aca="false">IF((D53="e"),F53," ")</f>
        <v> </v>
      </c>
      <c r="L53" s="180" t="str">
        <f aca="false">IF((D53="p"),F53," ")</f>
        <v> </v>
      </c>
      <c r="M53" s="180" t="str">
        <f aca="false">IF((D53="g"),F53," ")</f>
        <v> </v>
      </c>
      <c r="N53" s="180" t="str">
        <f aca="false">IF((D53="a"),F53," ")</f>
        <v> </v>
      </c>
      <c r="O53" s="180" t="str">
        <f aca="false">IF((D53="l"),F53," ")</f>
        <v> </v>
      </c>
      <c r="P53" s="180" t="str">
        <f aca="false">IF((D53="i"),F53," ")</f>
        <v> </v>
      </c>
      <c r="Q53" s="180" t="str">
        <f aca="false">IF((D53="b"),F53," ")</f>
        <v> </v>
      </c>
      <c r="R53" s="180" t="str">
        <f aca="false">IF((D53="o"),F53," ")</f>
        <v> </v>
      </c>
      <c r="S53" s="180" t="str">
        <f aca="false">IF((D53="f"),F53," ")</f>
        <v> </v>
      </c>
      <c r="U53" s="371"/>
    </row>
    <row r="54" customFormat="false" ht="12.75" hidden="false" customHeight="false" outlineLevel="0" collapsed="false">
      <c r="D54" s="371" t="str">
        <f aca="false">IF((F54&lt;&gt;0),"Enter Letter"," ")</f>
        <v> </v>
      </c>
      <c r="G54" s="180" t="str">
        <f aca="false">IF((D54="d"),F54," ")</f>
        <v> </v>
      </c>
      <c r="H54" s="180" t="str">
        <f aca="false">IF((D54="h"),F54," ")</f>
        <v> </v>
      </c>
      <c r="I54" s="180" t="str">
        <f aca="false">IF((D54="r"),F54," ")</f>
        <v> </v>
      </c>
      <c r="J54" s="180" t="str">
        <f aca="false">IF((D54="t"),F54," ")</f>
        <v> </v>
      </c>
      <c r="K54" s="180" t="str">
        <f aca="false">IF((D54="e"),F54," ")</f>
        <v> </v>
      </c>
      <c r="L54" s="180" t="str">
        <f aca="false">IF((D54="p"),F54," ")</f>
        <v> </v>
      </c>
      <c r="M54" s="180" t="str">
        <f aca="false">IF((D54="g"),F54," ")</f>
        <v> </v>
      </c>
      <c r="N54" s="180" t="str">
        <f aca="false">IF((D54="a"),F54," ")</f>
        <v> </v>
      </c>
      <c r="O54" s="180" t="str">
        <f aca="false">IF((D54="l"),F54," ")</f>
        <v> </v>
      </c>
      <c r="P54" s="180" t="str">
        <f aca="false">IF((D54="i"),F54," ")</f>
        <v> </v>
      </c>
      <c r="Q54" s="180" t="str">
        <f aca="false">IF((D54="b"),F54," ")</f>
        <v> </v>
      </c>
      <c r="R54" s="180" t="str">
        <f aca="false">IF((D54="o"),F54," ")</f>
        <v> </v>
      </c>
      <c r="S54" s="180" t="str">
        <f aca="false">IF((D54="f"),F54," ")</f>
        <v> </v>
      </c>
      <c r="U54" s="371"/>
    </row>
    <row r="55" customFormat="false" ht="12.75" hidden="false" customHeight="false" outlineLevel="0" collapsed="false">
      <c r="D55" s="371" t="str">
        <f aca="false">IF((F55&lt;&gt;0),"Enter Letter"," ")</f>
        <v> </v>
      </c>
      <c r="G55" s="180" t="str">
        <f aca="false">IF((D55="d"),F55," ")</f>
        <v> </v>
      </c>
      <c r="H55" s="180" t="str">
        <f aca="false">IF((D55="h"),F55," ")</f>
        <v> </v>
      </c>
      <c r="I55" s="180" t="str">
        <f aca="false">IF((D55="r"),F55," ")</f>
        <v> </v>
      </c>
      <c r="J55" s="180" t="str">
        <f aca="false">IF((D55="t"),F55," ")</f>
        <v> </v>
      </c>
      <c r="K55" s="180" t="str">
        <f aca="false">IF((D55="e"),F55," ")</f>
        <v> </v>
      </c>
      <c r="L55" s="180" t="str">
        <f aca="false">IF((D55="p"),F55," ")</f>
        <v> </v>
      </c>
      <c r="M55" s="180" t="str">
        <f aca="false">IF((D55="g"),F55," ")</f>
        <v> </v>
      </c>
      <c r="N55" s="180" t="str">
        <f aca="false">IF((D55="a"),F55," ")</f>
        <v> </v>
      </c>
      <c r="O55" s="180" t="str">
        <f aca="false">IF((D55="l"),F55," ")</f>
        <v> </v>
      </c>
      <c r="P55" s="180" t="str">
        <f aca="false">IF((D55="i"),F55," ")</f>
        <v> </v>
      </c>
      <c r="Q55" s="180" t="str">
        <f aca="false">IF((D55="b"),F55," ")</f>
        <v> </v>
      </c>
      <c r="R55" s="180" t="str">
        <f aca="false">IF((D55="o"),F55," ")</f>
        <v> </v>
      </c>
      <c r="S55" s="180" t="str">
        <f aca="false">IF((D55="f"),F55," ")</f>
        <v> </v>
      </c>
      <c r="U55" s="371"/>
    </row>
    <row r="56" customFormat="false" ht="12.75" hidden="false" customHeight="false" outlineLevel="0" collapsed="false">
      <c r="D56" s="371" t="str">
        <f aca="false">IF((F56&lt;&gt;0),"Enter Letter"," ")</f>
        <v> </v>
      </c>
      <c r="G56" s="180" t="str">
        <f aca="false">IF((D56="d"),F56," ")</f>
        <v> </v>
      </c>
      <c r="H56" s="180" t="str">
        <f aca="false">IF((D56="h"),F56," ")</f>
        <v> </v>
      </c>
      <c r="I56" s="180" t="str">
        <f aca="false">IF((D56="r"),F56," ")</f>
        <v> </v>
      </c>
      <c r="J56" s="180" t="str">
        <f aca="false">IF((D56="t"),F56," ")</f>
        <v> </v>
      </c>
      <c r="K56" s="180" t="str">
        <f aca="false">IF((D56="e"),F56," ")</f>
        <v> </v>
      </c>
      <c r="L56" s="180" t="str">
        <f aca="false">IF((D56="p"),F56," ")</f>
        <v> </v>
      </c>
      <c r="M56" s="180" t="str">
        <f aca="false">IF((D56="g"),F56," ")</f>
        <v> </v>
      </c>
      <c r="N56" s="180" t="str">
        <f aca="false">IF((D56="a"),F56," ")</f>
        <v> </v>
      </c>
      <c r="O56" s="180" t="str">
        <f aca="false">IF((D56="l"),F56," ")</f>
        <v> </v>
      </c>
      <c r="P56" s="180" t="str">
        <f aca="false">IF((D56="i"),F56," ")</f>
        <v> </v>
      </c>
      <c r="Q56" s="180" t="str">
        <f aca="false">IF((D56="b"),F56," ")</f>
        <v> </v>
      </c>
      <c r="R56" s="180" t="str">
        <f aca="false">IF((D56="o"),F56," ")</f>
        <v> </v>
      </c>
      <c r="S56" s="180" t="str">
        <f aca="false">IF((D56="f"),F56," ")</f>
        <v> </v>
      </c>
      <c r="U56" s="371"/>
    </row>
    <row r="57" customFormat="false" ht="12.75" hidden="false" customHeight="false" outlineLevel="0" collapsed="false">
      <c r="D57" s="371" t="str">
        <f aca="false">IF((F57&lt;&gt;0),"Enter Letter"," ")</f>
        <v> </v>
      </c>
      <c r="G57" s="180" t="str">
        <f aca="false">IF((D57="d"),F57," ")</f>
        <v> </v>
      </c>
      <c r="H57" s="180" t="str">
        <f aca="false">IF((D57="h"),F57," ")</f>
        <v> </v>
      </c>
      <c r="I57" s="180" t="str">
        <f aca="false">IF((D57="r"),F57," ")</f>
        <v> </v>
      </c>
      <c r="J57" s="180" t="str">
        <f aca="false">IF((D57="t"),F57," ")</f>
        <v> </v>
      </c>
      <c r="K57" s="180" t="str">
        <f aca="false">IF((D57="e"),F57," ")</f>
        <v> </v>
      </c>
      <c r="L57" s="180" t="str">
        <f aca="false">IF((D57="p"),F57," ")</f>
        <v> </v>
      </c>
      <c r="M57" s="180" t="str">
        <f aca="false">IF((D57="g"),F57," ")</f>
        <v> </v>
      </c>
      <c r="N57" s="180" t="str">
        <f aca="false">IF((D57="a"),F57," ")</f>
        <v> </v>
      </c>
      <c r="O57" s="180" t="str">
        <f aca="false">IF((D57="l"),F57," ")</f>
        <v> </v>
      </c>
      <c r="P57" s="180" t="str">
        <f aca="false">IF((D57="i"),F57," ")</f>
        <v> </v>
      </c>
      <c r="Q57" s="180" t="str">
        <f aca="false">IF((D57="b"),F57," ")</f>
        <v> </v>
      </c>
      <c r="R57" s="180" t="str">
        <f aca="false">IF((D57="o"),F57," ")</f>
        <v> </v>
      </c>
      <c r="S57" s="180" t="str">
        <f aca="false">IF((D57="f"),F57," ")</f>
        <v> </v>
      </c>
      <c r="U57" s="371"/>
    </row>
    <row r="58" customFormat="false" ht="12.75" hidden="false" customHeight="false" outlineLevel="0" collapsed="false">
      <c r="D58" s="371" t="str">
        <f aca="false">IF((F58&lt;&gt;0),"Enter Letter"," ")</f>
        <v> </v>
      </c>
      <c r="G58" s="180" t="str">
        <f aca="false">IF((D58="d"),F58," ")</f>
        <v> </v>
      </c>
      <c r="H58" s="180" t="str">
        <f aca="false">IF((D58="h"),F58," ")</f>
        <v> </v>
      </c>
      <c r="I58" s="180" t="str">
        <f aca="false">IF((D58="r"),F58," ")</f>
        <v> </v>
      </c>
      <c r="J58" s="180" t="str">
        <f aca="false">IF((D58="t"),F58," ")</f>
        <v> </v>
      </c>
      <c r="K58" s="180" t="str">
        <f aca="false">IF((D58="e"),F58," ")</f>
        <v> </v>
      </c>
      <c r="L58" s="180" t="str">
        <f aca="false">IF((D58="p"),F58," ")</f>
        <v> </v>
      </c>
      <c r="M58" s="180" t="str">
        <f aca="false">IF((D58="g"),F58," ")</f>
        <v> </v>
      </c>
      <c r="N58" s="180" t="str">
        <f aca="false">IF((D58="a"),F58," ")</f>
        <v> </v>
      </c>
      <c r="O58" s="180" t="str">
        <f aca="false">IF((D58="l"),F58," ")</f>
        <v> </v>
      </c>
      <c r="P58" s="180" t="str">
        <f aca="false">IF((D58="i"),F58," ")</f>
        <v> </v>
      </c>
      <c r="Q58" s="180" t="str">
        <f aca="false">IF((D58="b"),F58," ")</f>
        <v> </v>
      </c>
      <c r="R58" s="180" t="str">
        <f aca="false">IF((D58="o"),F58," ")</f>
        <v> </v>
      </c>
      <c r="S58" s="180" t="str">
        <f aca="false">IF((D58="f"),F58," ")</f>
        <v> </v>
      </c>
      <c r="U58" s="371"/>
    </row>
    <row r="59" customFormat="false" ht="12.75" hidden="false" customHeight="false" outlineLevel="0" collapsed="false">
      <c r="D59" s="371" t="str">
        <f aca="false">IF((F59&lt;&gt;0),"Enter Letter"," ")</f>
        <v> </v>
      </c>
      <c r="G59" s="180" t="str">
        <f aca="false">IF((D59="d"),F59," ")</f>
        <v> </v>
      </c>
      <c r="H59" s="180" t="str">
        <f aca="false">IF((D59="h"),F59," ")</f>
        <v> </v>
      </c>
      <c r="I59" s="180" t="str">
        <f aca="false">IF((D59="r"),F59," ")</f>
        <v> </v>
      </c>
      <c r="J59" s="180" t="str">
        <f aca="false">IF((D59="t"),F59," ")</f>
        <v> </v>
      </c>
      <c r="K59" s="180" t="str">
        <f aca="false">IF((D59="e"),F59," ")</f>
        <v> </v>
      </c>
      <c r="L59" s="180" t="str">
        <f aca="false">IF((D59="p"),F59," ")</f>
        <v> </v>
      </c>
      <c r="M59" s="180" t="str">
        <f aca="false">IF((D59="g"),F59," ")</f>
        <v> </v>
      </c>
      <c r="N59" s="180" t="str">
        <f aca="false">IF((D59="a"),F59," ")</f>
        <v> </v>
      </c>
      <c r="O59" s="180" t="str">
        <f aca="false">IF((D59="l"),F59," ")</f>
        <v> </v>
      </c>
      <c r="P59" s="180" t="str">
        <f aca="false">IF((D59="i"),F59," ")</f>
        <v> </v>
      </c>
      <c r="Q59" s="180" t="str">
        <f aca="false">IF((D59="b"),F59," ")</f>
        <v> </v>
      </c>
      <c r="R59" s="180" t="str">
        <f aca="false">IF((D59="o"),F59," ")</f>
        <v> </v>
      </c>
      <c r="S59" s="180" t="str">
        <f aca="false">IF((D59="f"),F59," ")</f>
        <v> </v>
      </c>
      <c r="U59" s="371"/>
    </row>
    <row r="60" customFormat="false" ht="12.75" hidden="false" customHeight="false" outlineLevel="0" collapsed="false">
      <c r="D60" s="371" t="str">
        <f aca="false">IF((F60&lt;&gt;0),"Enter Letter"," ")</f>
        <v> </v>
      </c>
      <c r="G60" s="180" t="str">
        <f aca="false">IF((D60="d"),F60," ")</f>
        <v> </v>
      </c>
      <c r="H60" s="180" t="str">
        <f aca="false">IF((D60="h"),F60," ")</f>
        <v> </v>
      </c>
      <c r="I60" s="180" t="str">
        <f aca="false">IF((D60="r"),F60," ")</f>
        <v> </v>
      </c>
      <c r="J60" s="180" t="str">
        <f aca="false">IF((D60="t"),F60," ")</f>
        <v> </v>
      </c>
      <c r="K60" s="180" t="str">
        <f aca="false">IF((D60="e"),F60," ")</f>
        <v> </v>
      </c>
      <c r="L60" s="180" t="str">
        <f aca="false">IF((D60="p"),F60," ")</f>
        <v> </v>
      </c>
      <c r="M60" s="180" t="str">
        <f aca="false">IF((D60="g"),F60," ")</f>
        <v> </v>
      </c>
      <c r="N60" s="180" t="str">
        <f aca="false">IF((D60="a"),F60," ")</f>
        <v> </v>
      </c>
      <c r="O60" s="180" t="str">
        <f aca="false">IF((D60="l"),F60," ")</f>
        <v> </v>
      </c>
      <c r="P60" s="180" t="str">
        <f aca="false">IF((D60="i"),F60," ")</f>
        <v> </v>
      </c>
      <c r="Q60" s="180" t="str">
        <f aca="false">IF((D60="b"),F60," ")</f>
        <v> </v>
      </c>
      <c r="R60" s="180" t="str">
        <f aca="false">IF((D60="o"),F60," ")</f>
        <v> </v>
      </c>
      <c r="S60" s="180" t="str">
        <f aca="false">IF((D60="f"),F60," ")</f>
        <v> </v>
      </c>
      <c r="U60" s="371"/>
    </row>
    <row r="61" customFormat="false" ht="12.75" hidden="false" customHeight="false" outlineLevel="0" collapsed="false">
      <c r="D61" s="371" t="str">
        <f aca="false">IF((F61&lt;&gt;0),"Enter Letter"," ")</f>
        <v> </v>
      </c>
      <c r="G61" s="180" t="str">
        <f aca="false">IF((D61="d"),F61," ")</f>
        <v> </v>
      </c>
      <c r="H61" s="180" t="str">
        <f aca="false">IF((D61="h"),F61," ")</f>
        <v> </v>
      </c>
      <c r="I61" s="180" t="str">
        <f aca="false">IF((D61="r"),F61," ")</f>
        <v> </v>
      </c>
      <c r="J61" s="180" t="str">
        <f aca="false">IF((D61="t"),F61," ")</f>
        <v> </v>
      </c>
      <c r="K61" s="180" t="str">
        <f aca="false">IF((D61="e"),F61," ")</f>
        <v> </v>
      </c>
      <c r="L61" s="180" t="str">
        <f aca="false">IF((D61="p"),F61," ")</f>
        <v> </v>
      </c>
      <c r="M61" s="180" t="str">
        <f aca="false">IF((D61="g"),F61," ")</f>
        <v> </v>
      </c>
      <c r="N61" s="180" t="str">
        <f aca="false">IF((D61="a"),F61," ")</f>
        <v> </v>
      </c>
      <c r="O61" s="180" t="str">
        <f aca="false">IF((D61="l"),F61," ")</f>
        <v> </v>
      </c>
      <c r="P61" s="180" t="str">
        <f aca="false">IF((D61="i"),F61," ")</f>
        <v> </v>
      </c>
      <c r="Q61" s="180" t="str">
        <f aca="false">IF((D61="b"),F61," ")</f>
        <v> </v>
      </c>
      <c r="R61" s="180" t="str">
        <f aca="false">IF((D61="o"),F61," ")</f>
        <v> </v>
      </c>
      <c r="S61" s="180" t="str">
        <f aca="false">IF((D61="f"),F61," ")</f>
        <v> </v>
      </c>
      <c r="U61" s="371"/>
    </row>
    <row r="62" customFormat="false" ht="12.75" hidden="false" customHeight="false" outlineLevel="0" collapsed="false">
      <c r="D62" s="371" t="str">
        <f aca="false">IF((F62&lt;&gt;0),"Enter Letter"," ")</f>
        <v> </v>
      </c>
      <c r="G62" s="180" t="str">
        <f aca="false">IF((D62="d"),F62," ")</f>
        <v> </v>
      </c>
      <c r="H62" s="180" t="str">
        <f aca="false">IF((D62="h"),F62," ")</f>
        <v> </v>
      </c>
      <c r="I62" s="180" t="str">
        <f aca="false">IF((D62="r"),F62," ")</f>
        <v> </v>
      </c>
      <c r="J62" s="180" t="str">
        <f aca="false">IF((D62="t"),F62," ")</f>
        <v> </v>
      </c>
      <c r="K62" s="180" t="str">
        <f aca="false">IF((D62="e"),F62," ")</f>
        <v> </v>
      </c>
      <c r="L62" s="180" t="str">
        <f aca="false">IF((D62="p"),F62," ")</f>
        <v> </v>
      </c>
      <c r="M62" s="180" t="str">
        <f aca="false">IF((D62="g"),F62," ")</f>
        <v> </v>
      </c>
      <c r="N62" s="180" t="str">
        <f aca="false">IF((D62="a"),F62," ")</f>
        <v> </v>
      </c>
      <c r="O62" s="180" t="str">
        <f aca="false">IF((D62="l"),F62," ")</f>
        <v> </v>
      </c>
      <c r="P62" s="180" t="str">
        <f aca="false">IF((D62="i"),F62," ")</f>
        <v> </v>
      </c>
      <c r="Q62" s="180" t="str">
        <f aca="false">IF((D62="b"),F62," ")</f>
        <v> </v>
      </c>
      <c r="R62" s="180" t="str">
        <f aca="false">IF((D62="o"),F62," ")</f>
        <v> </v>
      </c>
      <c r="S62" s="180" t="str">
        <f aca="false">IF((D62="f"),F62," ")</f>
        <v> </v>
      </c>
      <c r="U62" s="371"/>
    </row>
    <row r="63" customFormat="false" ht="12.75" hidden="false" customHeight="false" outlineLevel="0" collapsed="false">
      <c r="D63" s="371" t="str">
        <f aca="false">IF((F63&lt;&gt;0),"Enter Letter"," ")</f>
        <v> </v>
      </c>
      <c r="G63" s="180" t="str">
        <f aca="false">IF((D63="d"),F63," ")</f>
        <v> </v>
      </c>
      <c r="H63" s="180" t="str">
        <f aca="false">IF((D63="h"),F63," ")</f>
        <v> </v>
      </c>
      <c r="I63" s="180" t="str">
        <f aca="false">IF((D63="r"),F63," ")</f>
        <v> </v>
      </c>
      <c r="J63" s="180" t="str">
        <f aca="false">IF((D63="t"),F63," ")</f>
        <v> </v>
      </c>
      <c r="K63" s="180" t="str">
        <f aca="false">IF((D63="e"),F63," ")</f>
        <v> </v>
      </c>
      <c r="L63" s="180" t="str">
        <f aca="false">IF((D63="p"),F63," ")</f>
        <v> </v>
      </c>
      <c r="M63" s="180" t="str">
        <f aca="false">IF((D63="g"),F63," ")</f>
        <v> </v>
      </c>
      <c r="N63" s="180" t="str">
        <f aca="false">IF((D63="a"),F63," ")</f>
        <v> </v>
      </c>
      <c r="O63" s="180" t="str">
        <f aca="false">IF((D63="l"),F63," ")</f>
        <v> </v>
      </c>
      <c r="P63" s="180" t="str">
        <f aca="false">IF((D63="i"),F63," ")</f>
        <v> </v>
      </c>
      <c r="Q63" s="180" t="str">
        <f aca="false">IF((D63="b"),F63," ")</f>
        <v> </v>
      </c>
      <c r="R63" s="180" t="str">
        <f aca="false">IF((D63="o"),F63," ")</f>
        <v> </v>
      </c>
      <c r="S63" s="180" t="str">
        <f aca="false">IF((D63="f"),F63," ")</f>
        <v> </v>
      </c>
      <c r="U63" s="371"/>
    </row>
    <row r="64" customFormat="false" ht="12.75" hidden="false" customHeight="false" outlineLevel="0" collapsed="false">
      <c r="D64" s="371" t="str">
        <f aca="false">IF((F64&lt;&gt;0),"Enter Letter"," ")</f>
        <v> </v>
      </c>
      <c r="G64" s="180" t="str">
        <f aca="false">IF((D64="d"),F64," ")</f>
        <v> </v>
      </c>
      <c r="H64" s="180" t="str">
        <f aca="false">IF((D64="h"),F64," ")</f>
        <v> </v>
      </c>
      <c r="I64" s="180" t="str">
        <f aca="false">IF((D64="r"),F64," ")</f>
        <v> </v>
      </c>
      <c r="J64" s="180" t="str">
        <f aca="false">IF((D64="t"),F64," ")</f>
        <v> </v>
      </c>
      <c r="K64" s="180" t="str">
        <f aca="false">IF((D64="e"),F64," ")</f>
        <v> </v>
      </c>
      <c r="L64" s="180" t="str">
        <f aca="false">IF((D64="p"),F64," ")</f>
        <v> </v>
      </c>
      <c r="M64" s="180" t="str">
        <f aca="false">IF((D64="g"),F64," ")</f>
        <v> </v>
      </c>
      <c r="N64" s="180" t="str">
        <f aca="false">IF((D64="a"),F64," ")</f>
        <v> </v>
      </c>
      <c r="O64" s="180" t="str">
        <f aca="false">IF((D64="l"),F64," ")</f>
        <v> </v>
      </c>
      <c r="P64" s="180" t="str">
        <f aca="false">IF((D64="i"),F64," ")</f>
        <v> </v>
      </c>
      <c r="Q64" s="180" t="str">
        <f aca="false">IF((D64="b"),F64," ")</f>
        <v> </v>
      </c>
      <c r="R64" s="180" t="str">
        <f aca="false">IF((D64="o"),F64," ")</f>
        <v> </v>
      </c>
      <c r="S64" s="180" t="str">
        <f aca="false">IF((D64="f"),F64," ")</f>
        <v> </v>
      </c>
      <c r="U64" s="371"/>
    </row>
    <row r="65" customFormat="false" ht="12.75" hidden="false" customHeight="false" outlineLevel="0" collapsed="false">
      <c r="D65" s="371" t="str">
        <f aca="false">IF((F65&lt;&gt;0),"Enter Letter"," ")</f>
        <v> </v>
      </c>
      <c r="G65" s="180" t="str">
        <f aca="false">IF((D65="d"),F65," ")</f>
        <v> </v>
      </c>
      <c r="H65" s="180" t="str">
        <f aca="false">IF((D65="h"),F65," ")</f>
        <v> </v>
      </c>
      <c r="I65" s="180" t="str">
        <f aca="false">IF((D65="r"),F65," ")</f>
        <v> </v>
      </c>
      <c r="J65" s="180" t="str">
        <f aca="false">IF((D65="t"),F65," ")</f>
        <v> </v>
      </c>
      <c r="K65" s="180" t="str">
        <f aca="false">IF((D65="e"),F65," ")</f>
        <v> </v>
      </c>
      <c r="L65" s="180" t="str">
        <f aca="false">IF((D65="p"),F65," ")</f>
        <v> </v>
      </c>
      <c r="M65" s="180" t="str">
        <f aca="false">IF((D65="g"),F65," ")</f>
        <v> </v>
      </c>
      <c r="N65" s="180" t="str">
        <f aca="false">IF((D65="a"),F65," ")</f>
        <v> </v>
      </c>
      <c r="O65" s="180" t="str">
        <f aca="false">IF((D65="l"),F65," ")</f>
        <v> </v>
      </c>
      <c r="P65" s="180" t="str">
        <f aca="false">IF((D65="i"),F65," ")</f>
        <v> </v>
      </c>
      <c r="Q65" s="180" t="str">
        <f aca="false">IF((D65="b"),F65," ")</f>
        <v> </v>
      </c>
      <c r="R65" s="180" t="str">
        <f aca="false">IF((D65="o"),F65," ")</f>
        <v> </v>
      </c>
      <c r="S65" s="180" t="str">
        <f aca="false">IF((D65="f"),F65," ")</f>
        <v> </v>
      </c>
      <c r="U65" s="371"/>
    </row>
    <row r="66" customFormat="false" ht="12.75" hidden="false" customHeight="false" outlineLevel="0" collapsed="false">
      <c r="D66" s="371" t="str">
        <f aca="false">IF((F66&lt;&gt;0),"Enter Letter"," ")</f>
        <v> </v>
      </c>
      <c r="G66" s="180" t="str">
        <f aca="false">IF((D66="d"),F66," ")</f>
        <v> </v>
      </c>
      <c r="H66" s="180" t="str">
        <f aca="false">IF((D66="h"),F66," ")</f>
        <v> </v>
      </c>
      <c r="I66" s="180" t="str">
        <f aca="false">IF((D66="r"),F66," ")</f>
        <v> </v>
      </c>
      <c r="J66" s="180" t="str">
        <f aca="false">IF((D66="t"),F66," ")</f>
        <v> </v>
      </c>
      <c r="K66" s="180" t="str">
        <f aca="false">IF((D66="e"),F66," ")</f>
        <v> </v>
      </c>
      <c r="L66" s="180" t="str">
        <f aca="false">IF((D66="p"),F66," ")</f>
        <v> </v>
      </c>
      <c r="M66" s="180" t="str">
        <f aca="false">IF((D66="g"),F66," ")</f>
        <v> </v>
      </c>
      <c r="N66" s="180" t="str">
        <f aca="false">IF((D66="a"),F66," ")</f>
        <v> </v>
      </c>
      <c r="O66" s="180" t="str">
        <f aca="false">IF((D66="l"),F66," ")</f>
        <v> </v>
      </c>
      <c r="P66" s="180" t="str">
        <f aca="false">IF((D66="i"),F66," ")</f>
        <v> </v>
      </c>
      <c r="Q66" s="180" t="str">
        <f aca="false">IF((D66="b"),F66," ")</f>
        <v> </v>
      </c>
      <c r="R66" s="180" t="str">
        <f aca="false">IF((D66="o"),F66," ")</f>
        <v> </v>
      </c>
      <c r="S66" s="180" t="str">
        <f aca="false">IF((D66="f"),F66," ")</f>
        <v> </v>
      </c>
      <c r="U66" s="371"/>
    </row>
    <row r="67" customFormat="false" ht="12.75" hidden="false" customHeight="false" outlineLevel="0" collapsed="false">
      <c r="D67" s="371" t="str">
        <f aca="false">IF((F67&lt;&gt;0),"Enter Letter"," ")</f>
        <v> </v>
      </c>
      <c r="G67" s="180" t="str">
        <f aca="false">IF((D67="d"),F67," ")</f>
        <v> </v>
      </c>
      <c r="H67" s="180" t="str">
        <f aca="false">IF((D67="h"),F67," ")</f>
        <v> </v>
      </c>
      <c r="I67" s="180" t="str">
        <f aca="false">IF((D67="r"),F67," ")</f>
        <v> </v>
      </c>
      <c r="J67" s="180" t="str">
        <f aca="false">IF((D67="t"),F67," ")</f>
        <v> </v>
      </c>
      <c r="K67" s="180" t="str">
        <f aca="false">IF((D67="e"),F67," ")</f>
        <v> </v>
      </c>
      <c r="L67" s="180" t="str">
        <f aca="false">IF((D67="p"),F67," ")</f>
        <v> </v>
      </c>
      <c r="M67" s="180" t="str">
        <f aca="false">IF((D67="g"),F67," ")</f>
        <v> </v>
      </c>
      <c r="N67" s="180" t="str">
        <f aca="false">IF((D67="a"),F67," ")</f>
        <v> </v>
      </c>
      <c r="O67" s="180" t="str">
        <f aca="false">IF((D67="l"),F67," ")</f>
        <v> </v>
      </c>
      <c r="P67" s="180" t="str">
        <f aca="false">IF((D67="i"),F67," ")</f>
        <v> </v>
      </c>
      <c r="Q67" s="180" t="str">
        <f aca="false">IF((D67="b"),F67," ")</f>
        <v> </v>
      </c>
      <c r="R67" s="180" t="str">
        <f aca="false">IF((D67="o"),F67," ")</f>
        <v> </v>
      </c>
      <c r="S67" s="180" t="str">
        <f aca="false">IF((D67="f"),F67," ")</f>
        <v> </v>
      </c>
      <c r="U67" s="371"/>
    </row>
    <row r="68" customFormat="false" ht="12.75" hidden="false" customHeight="false" outlineLevel="0" collapsed="false">
      <c r="D68" s="371" t="str">
        <f aca="false">IF((F68&lt;&gt;0),"Enter Letter"," ")</f>
        <v> </v>
      </c>
      <c r="G68" s="180" t="str">
        <f aca="false">IF((D68="d"),F68," ")</f>
        <v> </v>
      </c>
      <c r="H68" s="180" t="str">
        <f aca="false">IF((D68="h"),F68," ")</f>
        <v> </v>
      </c>
      <c r="I68" s="180" t="str">
        <f aca="false">IF((D68="r"),F68," ")</f>
        <v> </v>
      </c>
      <c r="J68" s="180" t="str">
        <f aca="false">IF((D68="t"),F68," ")</f>
        <v> </v>
      </c>
      <c r="K68" s="180" t="str">
        <f aca="false">IF((D68="e"),F68," ")</f>
        <v> </v>
      </c>
      <c r="L68" s="180" t="str">
        <f aca="false">IF((D68="p"),F68," ")</f>
        <v> </v>
      </c>
      <c r="M68" s="180" t="str">
        <f aca="false">IF((D68="g"),F68," ")</f>
        <v> </v>
      </c>
      <c r="N68" s="180" t="str">
        <f aca="false">IF((D68="a"),F68," ")</f>
        <v> </v>
      </c>
      <c r="O68" s="180" t="str">
        <f aca="false">IF((D68="l"),F68," ")</f>
        <v> </v>
      </c>
      <c r="P68" s="180" t="str">
        <f aca="false">IF((D68="i"),F68," ")</f>
        <v> </v>
      </c>
      <c r="Q68" s="180" t="str">
        <f aca="false">IF((D68="b"),F68," ")</f>
        <v> </v>
      </c>
      <c r="R68" s="180" t="str">
        <f aca="false">IF((D68="o"),F68," ")</f>
        <v> </v>
      </c>
      <c r="S68" s="180" t="str">
        <f aca="false">IF((D68="f"),F68," ")</f>
        <v> </v>
      </c>
      <c r="U68" s="371"/>
    </row>
    <row r="69" customFormat="false" ht="12.75" hidden="false" customHeight="false" outlineLevel="0" collapsed="false">
      <c r="D69" s="371" t="str">
        <f aca="false">IF((F69&lt;&gt;0),"Enter Letter"," ")</f>
        <v> </v>
      </c>
      <c r="G69" s="180" t="str">
        <f aca="false">IF((D69="d"),F69," ")</f>
        <v> </v>
      </c>
      <c r="H69" s="180" t="str">
        <f aca="false">IF((D69="h"),F69," ")</f>
        <v> </v>
      </c>
      <c r="I69" s="180" t="str">
        <f aca="false">IF((D69="r"),F69," ")</f>
        <v> </v>
      </c>
      <c r="J69" s="180" t="str">
        <f aca="false">IF((D69="t"),F69," ")</f>
        <v> </v>
      </c>
      <c r="K69" s="180" t="str">
        <f aca="false">IF((D69="e"),F69," ")</f>
        <v> </v>
      </c>
      <c r="L69" s="180" t="str">
        <f aca="false">IF((D69="p"),F69," ")</f>
        <v> </v>
      </c>
      <c r="M69" s="180" t="str">
        <f aca="false">IF((D69="g"),F69," ")</f>
        <v> </v>
      </c>
      <c r="N69" s="180" t="str">
        <f aca="false">IF((D69="a"),F69," ")</f>
        <v> </v>
      </c>
      <c r="O69" s="180" t="str">
        <f aca="false">IF((D69="l"),F69," ")</f>
        <v> </v>
      </c>
      <c r="P69" s="180" t="str">
        <f aca="false">IF((D69="i"),F69," ")</f>
        <v> </v>
      </c>
      <c r="Q69" s="180" t="str">
        <f aca="false">IF((D69="b"),F69," ")</f>
        <v> </v>
      </c>
      <c r="R69" s="180" t="str">
        <f aca="false">IF((D69="o"),F69," ")</f>
        <v> </v>
      </c>
      <c r="S69" s="180" t="str">
        <f aca="false">IF((D69="f"),F69," ")</f>
        <v> </v>
      </c>
      <c r="U69" s="371"/>
    </row>
    <row r="70" customFormat="false" ht="12.75" hidden="false" customHeight="false" outlineLevel="0" collapsed="false">
      <c r="D70" s="371" t="str">
        <f aca="false">IF((F70&lt;&gt;0),"Enter Letter"," ")</f>
        <v> </v>
      </c>
      <c r="G70" s="180" t="str">
        <f aca="false">IF((D70="d"),F70," ")</f>
        <v> </v>
      </c>
      <c r="H70" s="180" t="str">
        <f aca="false">IF((D70="h"),F70," ")</f>
        <v> </v>
      </c>
      <c r="I70" s="180" t="str">
        <f aca="false">IF((D70="r"),F70," ")</f>
        <v> </v>
      </c>
      <c r="J70" s="180" t="str">
        <f aca="false">IF((D70="t"),F70," ")</f>
        <v> </v>
      </c>
      <c r="K70" s="180" t="str">
        <f aca="false">IF((D70="e"),F70," ")</f>
        <v> </v>
      </c>
      <c r="L70" s="180" t="str">
        <f aca="false">IF((D70="p"),F70," ")</f>
        <v> </v>
      </c>
      <c r="M70" s="180" t="str">
        <f aca="false">IF((D70="g"),F70," ")</f>
        <v> </v>
      </c>
      <c r="N70" s="180" t="str">
        <f aca="false">IF((D70="a"),F70," ")</f>
        <v> </v>
      </c>
      <c r="O70" s="180" t="str">
        <f aca="false">IF((D70="l"),F70," ")</f>
        <v> </v>
      </c>
      <c r="P70" s="180" t="str">
        <f aca="false">IF((D70="i"),F70," ")</f>
        <v> </v>
      </c>
      <c r="Q70" s="180" t="str">
        <f aca="false">IF((D70="b"),F70," ")</f>
        <v> </v>
      </c>
      <c r="R70" s="180" t="str">
        <f aca="false">IF((D70="o"),F70," ")</f>
        <v> </v>
      </c>
      <c r="S70" s="180" t="str">
        <f aca="false">IF((D70="f"),F70," ")</f>
        <v> </v>
      </c>
      <c r="U70" s="371"/>
    </row>
    <row r="71" customFormat="false" ht="12.75" hidden="false" customHeight="false" outlineLevel="0" collapsed="false">
      <c r="D71" s="371" t="str">
        <f aca="false">IF((F71&lt;&gt;0),"Enter Letter"," ")</f>
        <v> </v>
      </c>
      <c r="G71" s="180" t="str">
        <f aca="false">IF((D71="d"),F71," ")</f>
        <v> </v>
      </c>
      <c r="H71" s="180" t="str">
        <f aca="false">IF((D71="h"),F71," ")</f>
        <v> </v>
      </c>
      <c r="I71" s="180" t="str">
        <f aca="false">IF((D71="r"),F71," ")</f>
        <v> </v>
      </c>
      <c r="J71" s="180" t="str">
        <f aca="false">IF((D71="t"),F71," ")</f>
        <v> </v>
      </c>
      <c r="K71" s="180" t="str">
        <f aca="false">IF((D71="e"),F71," ")</f>
        <v> </v>
      </c>
      <c r="L71" s="180" t="str">
        <f aca="false">IF((D71="p"),F71," ")</f>
        <v> </v>
      </c>
      <c r="M71" s="180" t="str">
        <f aca="false">IF((D71="g"),F71," ")</f>
        <v> </v>
      </c>
      <c r="N71" s="180" t="str">
        <f aca="false">IF((D71="a"),F71," ")</f>
        <v> </v>
      </c>
      <c r="O71" s="180" t="str">
        <f aca="false">IF((D71="l"),F71," ")</f>
        <v> </v>
      </c>
      <c r="P71" s="180" t="str">
        <f aca="false">IF((D71="i"),F71," ")</f>
        <v> </v>
      </c>
      <c r="Q71" s="180" t="str">
        <f aca="false">IF((D71="b"),F71," ")</f>
        <v> </v>
      </c>
      <c r="R71" s="180" t="str">
        <f aca="false">IF((D71="o"),F71," ")</f>
        <v> </v>
      </c>
      <c r="S71" s="180" t="str">
        <f aca="false">IF((D71="f"),F71," ")</f>
        <v> </v>
      </c>
      <c r="U71" s="371"/>
    </row>
    <row r="72" customFormat="false" ht="12.75" hidden="false" customHeight="false" outlineLevel="0" collapsed="false">
      <c r="D72" s="371" t="str">
        <f aca="false">IF((F72&lt;&gt;0),"Enter Letter"," ")</f>
        <v> </v>
      </c>
      <c r="G72" s="180" t="str">
        <f aca="false">IF((D72="d"),F72," ")</f>
        <v> </v>
      </c>
      <c r="H72" s="180" t="str">
        <f aca="false">IF((D72="h"),F72," ")</f>
        <v> </v>
      </c>
      <c r="I72" s="180" t="str">
        <f aca="false">IF((D72="r"),F72," ")</f>
        <v> </v>
      </c>
      <c r="J72" s="180" t="str">
        <f aca="false">IF((D72="t"),F72," ")</f>
        <v> </v>
      </c>
      <c r="K72" s="180" t="str">
        <f aca="false">IF((D72="e"),F72," ")</f>
        <v> </v>
      </c>
      <c r="L72" s="180" t="str">
        <f aca="false">IF((D72="p"),F72," ")</f>
        <v> </v>
      </c>
      <c r="M72" s="180" t="str">
        <f aca="false">IF((D72="g"),F72," ")</f>
        <v> </v>
      </c>
      <c r="N72" s="180" t="str">
        <f aca="false">IF((D72="a"),F72," ")</f>
        <v> </v>
      </c>
      <c r="O72" s="180" t="str">
        <f aca="false">IF((D72="l"),F72," ")</f>
        <v> </v>
      </c>
      <c r="P72" s="180" t="str">
        <f aca="false">IF((D72="i"),F72," ")</f>
        <v> </v>
      </c>
      <c r="Q72" s="180" t="str">
        <f aca="false">IF((D72="b"),F72," ")</f>
        <v> </v>
      </c>
      <c r="R72" s="180" t="str">
        <f aca="false">IF((D72="o"),F72," ")</f>
        <v> </v>
      </c>
      <c r="S72" s="180" t="str">
        <f aca="false">IF((D72="f"),F72," ")</f>
        <v> </v>
      </c>
      <c r="U72" s="371"/>
    </row>
    <row r="73" customFormat="false" ht="12.75" hidden="false" customHeight="false" outlineLevel="0" collapsed="false">
      <c r="D73" s="371" t="str">
        <f aca="false">IF((F73&lt;&gt;0),"Enter Letter"," ")</f>
        <v> </v>
      </c>
      <c r="G73" s="180" t="str">
        <f aca="false">IF((D73="d"),F73," ")</f>
        <v> </v>
      </c>
      <c r="H73" s="180" t="str">
        <f aca="false">IF((D73="h"),F73," ")</f>
        <v> </v>
      </c>
      <c r="I73" s="180" t="str">
        <f aca="false">IF((D73="r"),F73," ")</f>
        <v> </v>
      </c>
      <c r="J73" s="180" t="str">
        <f aca="false">IF((D73="t"),F73," ")</f>
        <v> </v>
      </c>
      <c r="K73" s="180" t="str">
        <f aca="false">IF((D73="e"),F73," ")</f>
        <v> </v>
      </c>
      <c r="L73" s="180" t="str">
        <f aca="false">IF((D73="p"),F73," ")</f>
        <v> </v>
      </c>
      <c r="M73" s="180" t="str">
        <f aca="false">IF((D73="g"),F73," ")</f>
        <v> </v>
      </c>
      <c r="N73" s="180" t="str">
        <f aca="false">IF((D73="a"),F73," ")</f>
        <v> </v>
      </c>
      <c r="O73" s="180" t="str">
        <f aca="false">IF((D73="l"),F73," ")</f>
        <v> </v>
      </c>
      <c r="P73" s="180" t="str">
        <f aca="false">IF((D73="i"),F73," ")</f>
        <v> </v>
      </c>
      <c r="Q73" s="180" t="str">
        <f aca="false">IF((D73="b"),F73," ")</f>
        <v> </v>
      </c>
      <c r="R73" s="180" t="str">
        <f aca="false">IF((D73="o"),F73," ")</f>
        <v> </v>
      </c>
      <c r="S73" s="180" t="str">
        <f aca="false">IF((D73="f"),F73," ")</f>
        <v> </v>
      </c>
      <c r="U73" s="371"/>
    </row>
    <row r="74" customFormat="false" ht="12.75" hidden="false" customHeight="false" outlineLevel="0" collapsed="false">
      <c r="D74" s="371" t="str">
        <f aca="false">IF((F74&lt;&gt;0),"Enter Letter"," ")</f>
        <v> </v>
      </c>
      <c r="G74" s="180" t="str">
        <f aca="false">IF((D74="d"),F74," ")</f>
        <v> </v>
      </c>
      <c r="H74" s="180" t="str">
        <f aca="false">IF((D74="h"),F74," ")</f>
        <v> </v>
      </c>
      <c r="I74" s="180" t="str">
        <f aca="false">IF((D74="r"),F74," ")</f>
        <v> </v>
      </c>
      <c r="J74" s="180" t="str">
        <f aca="false">IF((D74="t"),F74," ")</f>
        <v> </v>
      </c>
      <c r="K74" s="180" t="str">
        <f aca="false">IF((D74="e"),F74," ")</f>
        <v> </v>
      </c>
      <c r="L74" s="180" t="str">
        <f aca="false">IF((D74="p"),F74," ")</f>
        <v> </v>
      </c>
      <c r="M74" s="180" t="str">
        <f aca="false">IF((D74="g"),F74," ")</f>
        <v> </v>
      </c>
      <c r="N74" s="180" t="str">
        <f aca="false">IF((D74="a"),F74," ")</f>
        <v> </v>
      </c>
      <c r="O74" s="180" t="str">
        <f aca="false">IF((D74="l"),F74," ")</f>
        <v> </v>
      </c>
      <c r="P74" s="180" t="str">
        <f aca="false">IF((D74="i"),F74," ")</f>
        <v> </v>
      </c>
      <c r="Q74" s="180" t="str">
        <f aca="false">IF((D74="b"),F74," ")</f>
        <v> </v>
      </c>
      <c r="R74" s="180" t="str">
        <f aca="false">IF((D74="o"),F74," ")</f>
        <v> </v>
      </c>
      <c r="S74" s="180" t="str">
        <f aca="false">IF((D74="f"),F74," ")</f>
        <v> </v>
      </c>
      <c r="U74" s="371"/>
    </row>
    <row r="75" customFormat="false" ht="12.75" hidden="false" customHeight="false" outlineLevel="0" collapsed="false">
      <c r="D75" s="371" t="str">
        <f aca="false">IF((F75&lt;&gt;0),"Enter Letter"," ")</f>
        <v> </v>
      </c>
      <c r="G75" s="180" t="str">
        <f aca="false">IF((D75="d"),F75," ")</f>
        <v> </v>
      </c>
      <c r="H75" s="180" t="str">
        <f aca="false">IF((D75="h"),F75," ")</f>
        <v> </v>
      </c>
      <c r="I75" s="180" t="str">
        <f aca="false">IF((D75="r"),F75," ")</f>
        <v> </v>
      </c>
      <c r="J75" s="180" t="str">
        <f aca="false">IF((D75="t"),F75," ")</f>
        <v> </v>
      </c>
      <c r="K75" s="180" t="str">
        <f aca="false">IF((D75="e"),F75," ")</f>
        <v> </v>
      </c>
      <c r="L75" s="180" t="str">
        <f aca="false">IF((D75="p"),F75," ")</f>
        <v> </v>
      </c>
      <c r="M75" s="180" t="str">
        <f aca="false">IF((D75="g"),F75," ")</f>
        <v> </v>
      </c>
      <c r="N75" s="180" t="str">
        <f aca="false">IF((D75="a"),F75," ")</f>
        <v> </v>
      </c>
      <c r="O75" s="180" t="str">
        <f aca="false">IF((D75="l"),F75," ")</f>
        <v> </v>
      </c>
      <c r="P75" s="180" t="str">
        <f aca="false">IF((D75="i"),F75," ")</f>
        <v> </v>
      </c>
      <c r="Q75" s="180" t="str">
        <f aca="false">IF((D75="b"),F75," ")</f>
        <v> </v>
      </c>
      <c r="R75" s="180" t="str">
        <f aca="false">IF((D75="o"),F75," ")</f>
        <v> </v>
      </c>
      <c r="S75" s="180" t="str">
        <f aca="false">IF((D75="f"),F75," ")</f>
        <v> </v>
      </c>
      <c r="U75" s="371"/>
    </row>
    <row r="76" customFormat="false" ht="12.75" hidden="false" customHeight="false" outlineLevel="0" collapsed="false">
      <c r="D76" s="371" t="str">
        <f aca="false">IF((F76&lt;&gt;0),"Enter Letter"," ")</f>
        <v> </v>
      </c>
      <c r="G76" s="180" t="str">
        <f aca="false">IF((D76="d"),F76," ")</f>
        <v> </v>
      </c>
      <c r="H76" s="180" t="str">
        <f aca="false">IF((D76="h"),F76," ")</f>
        <v> </v>
      </c>
      <c r="I76" s="180" t="str">
        <f aca="false">IF((D76="r"),F76," ")</f>
        <v> </v>
      </c>
      <c r="J76" s="180" t="str">
        <f aca="false">IF((D76="t"),F76," ")</f>
        <v> </v>
      </c>
      <c r="K76" s="180" t="str">
        <f aca="false">IF((D76="e"),F76," ")</f>
        <v> </v>
      </c>
      <c r="L76" s="180" t="str">
        <f aca="false">IF((D76="p"),F76," ")</f>
        <v> </v>
      </c>
      <c r="M76" s="180" t="str">
        <f aca="false">IF((D76="g"),F76," ")</f>
        <v> </v>
      </c>
      <c r="N76" s="180" t="str">
        <f aca="false">IF((D76="a"),F76," ")</f>
        <v> </v>
      </c>
      <c r="O76" s="180" t="str">
        <f aca="false">IF((D76="l"),F76," ")</f>
        <v> </v>
      </c>
      <c r="P76" s="180" t="str">
        <f aca="false">IF((D76="i"),F76," ")</f>
        <v> </v>
      </c>
      <c r="Q76" s="180" t="str">
        <f aca="false">IF((D76="b"),F76," ")</f>
        <v> </v>
      </c>
      <c r="R76" s="180" t="str">
        <f aca="false">IF((D76="o"),F76," ")</f>
        <v> </v>
      </c>
      <c r="S76" s="180" t="str">
        <f aca="false">IF((D76="f"),F76," ")</f>
        <v> </v>
      </c>
      <c r="U76" s="371"/>
    </row>
    <row r="77" customFormat="false" ht="12.75" hidden="false" customHeight="false" outlineLevel="0" collapsed="false">
      <c r="D77" s="371" t="str">
        <f aca="false">IF((F77&lt;&gt;0),"Enter Letter"," ")</f>
        <v> </v>
      </c>
      <c r="G77" s="180" t="str">
        <f aca="false">IF((D77="d"),F77," ")</f>
        <v> </v>
      </c>
      <c r="H77" s="180" t="str">
        <f aca="false">IF((D77="h"),F77," ")</f>
        <v> </v>
      </c>
      <c r="I77" s="180" t="str">
        <f aca="false">IF((D77="r"),F77," ")</f>
        <v> </v>
      </c>
      <c r="J77" s="180" t="str">
        <f aca="false">IF((D77="t"),F77," ")</f>
        <v> </v>
      </c>
      <c r="K77" s="180" t="str">
        <f aca="false">IF((D77="e"),F77," ")</f>
        <v> </v>
      </c>
      <c r="L77" s="180" t="str">
        <f aca="false">IF((D77="p"),F77," ")</f>
        <v> </v>
      </c>
      <c r="M77" s="180" t="str">
        <f aca="false">IF((D77="g"),F77," ")</f>
        <v> </v>
      </c>
      <c r="N77" s="180" t="str">
        <f aca="false">IF((D77="a"),F77," ")</f>
        <v> </v>
      </c>
      <c r="O77" s="180" t="str">
        <f aca="false">IF((D77="l"),F77," ")</f>
        <v> </v>
      </c>
      <c r="P77" s="180" t="str">
        <f aca="false">IF((D77="i"),F77," ")</f>
        <v> </v>
      </c>
      <c r="Q77" s="180" t="str">
        <f aca="false">IF((D77="b"),F77," ")</f>
        <v> </v>
      </c>
      <c r="R77" s="180" t="str">
        <f aca="false">IF((D77="o"),F77," ")</f>
        <v> </v>
      </c>
      <c r="S77" s="180" t="str">
        <f aca="false">IF((D77="f"),F77," ")</f>
        <v> </v>
      </c>
      <c r="U77" s="371"/>
    </row>
    <row r="78" customFormat="false" ht="12.75" hidden="false" customHeight="false" outlineLevel="0" collapsed="false">
      <c r="D78" s="371" t="str">
        <f aca="false">IF((F78&lt;&gt;0),"Enter Letter"," ")</f>
        <v> </v>
      </c>
      <c r="G78" s="180" t="str">
        <f aca="false">IF((D78="d"),F78," ")</f>
        <v> </v>
      </c>
      <c r="H78" s="180" t="str">
        <f aca="false">IF((D78="h"),F78," ")</f>
        <v> </v>
      </c>
      <c r="I78" s="180" t="str">
        <f aca="false">IF((D78="r"),F78," ")</f>
        <v> </v>
      </c>
      <c r="J78" s="180" t="str">
        <f aca="false">IF((D78="t"),F78," ")</f>
        <v> </v>
      </c>
      <c r="K78" s="180" t="str">
        <f aca="false">IF((D78="e"),F78," ")</f>
        <v> </v>
      </c>
      <c r="L78" s="180" t="str">
        <f aca="false">IF((D78="p"),F78," ")</f>
        <v> </v>
      </c>
      <c r="M78" s="180" t="str">
        <f aca="false">IF((D78="g"),F78," ")</f>
        <v> </v>
      </c>
      <c r="N78" s="180" t="str">
        <f aca="false">IF((D78="a"),F78," ")</f>
        <v> </v>
      </c>
      <c r="O78" s="180" t="str">
        <f aca="false">IF((D78="l"),F78," ")</f>
        <v> </v>
      </c>
      <c r="P78" s="180" t="str">
        <f aca="false">IF((D78="i"),F78," ")</f>
        <v> </v>
      </c>
      <c r="Q78" s="180" t="str">
        <f aca="false">IF((D78="b"),F78," ")</f>
        <v> </v>
      </c>
      <c r="R78" s="180" t="str">
        <f aca="false">IF((D78="o"),F78," ")</f>
        <v> </v>
      </c>
      <c r="S78" s="180" t="str">
        <f aca="false">IF((D78="f"),F78," ")</f>
        <v> </v>
      </c>
      <c r="U78" s="371"/>
    </row>
    <row r="79" customFormat="false" ht="12.75" hidden="false" customHeight="false" outlineLevel="0" collapsed="false">
      <c r="D79" s="371" t="str">
        <f aca="false">IF((F79&lt;&gt;0),"Enter Letter"," ")</f>
        <v> </v>
      </c>
      <c r="G79" s="180" t="str">
        <f aca="false">IF((D79="d"),F79," ")</f>
        <v> </v>
      </c>
      <c r="H79" s="180" t="str">
        <f aca="false">IF((D79="h"),F79," ")</f>
        <v> </v>
      </c>
      <c r="I79" s="180" t="str">
        <f aca="false">IF((D79="r"),F79," ")</f>
        <v> </v>
      </c>
      <c r="J79" s="180" t="str">
        <f aca="false">IF((D79="t"),F79," ")</f>
        <v> </v>
      </c>
      <c r="K79" s="180" t="str">
        <f aca="false">IF((D79="e"),F79," ")</f>
        <v> </v>
      </c>
      <c r="L79" s="180" t="str">
        <f aca="false">IF((D79="p"),F79," ")</f>
        <v> </v>
      </c>
      <c r="M79" s="180" t="str">
        <f aca="false">IF((D79="g"),F79," ")</f>
        <v> </v>
      </c>
      <c r="N79" s="180" t="str">
        <f aca="false">IF((D79="a"),F79," ")</f>
        <v> </v>
      </c>
      <c r="O79" s="180" t="str">
        <f aca="false">IF((D79="l"),F79," ")</f>
        <v> </v>
      </c>
      <c r="P79" s="180" t="str">
        <f aca="false">IF((D79="i"),F79," ")</f>
        <v> </v>
      </c>
      <c r="Q79" s="180" t="str">
        <f aca="false">IF((D79="b"),F79," ")</f>
        <v> </v>
      </c>
      <c r="R79" s="180" t="str">
        <f aca="false">IF((D79="o"),F79," ")</f>
        <v> </v>
      </c>
      <c r="S79" s="180" t="str">
        <f aca="false">IF((D79="f"),F79," ")</f>
        <v> </v>
      </c>
      <c r="U79" s="371"/>
    </row>
    <row r="80" customFormat="false" ht="12.75" hidden="false" customHeight="false" outlineLevel="0" collapsed="false">
      <c r="D80" s="371" t="str">
        <f aca="false">IF((F80&lt;&gt;0),"Enter Letter"," ")</f>
        <v> </v>
      </c>
      <c r="G80" s="180" t="str">
        <f aca="false">IF((D80="d"),F80," ")</f>
        <v> </v>
      </c>
      <c r="H80" s="180" t="str">
        <f aca="false">IF((D80="h"),F80," ")</f>
        <v> </v>
      </c>
      <c r="I80" s="180" t="str">
        <f aca="false">IF((D80="r"),F80," ")</f>
        <v> </v>
      </c>
      <c r="J80" s="180" t="str">
        <f aca="false">IF((D80="t"),F80," ")</f>
        <v> </v>
      </c>
      <c r="K80" s="180" t="str">
        <f aca="false">IF((D80="e"),F80," ")</f>
        <v> </v>
      </c>
      <c r="L80" s="180" t="str">
        <f aca="false">IF((D80="p"),F80," ")</f>
        <v> </v>
      </c>
      <c r="M80" s="180" t="str">
        <f aca="false">IF((D80="g"),F80," ")</f>
        <v> </v>
      </c>
      <c r="N80" s="180" t="str">
        <f aca="false">IF((D80="a"),F80," ")</f>
        <v> </v>
      </c>
      <c r="O80" s="180" t="str">
        <f aca="false">IF((D80="l"),F80," ")</f>
        <v> </v>
      </c>
      <c r="P80" s="180" t="str">
        <f aca="false">IF((D80="i"),F80," ")</f>
        <v> </v>
      </c>
      <c r="Q80" s="180" t="str">
        <f aca="false">IF((D80="b"),F80," ")</f>
        <v> </v>
      </c>
      <c r="R80" s="180" t="str">
        <f aca="false">IF((D80="o"),F80," ")</f>
        <v> </v>
      </c>
      <c r="S80" s="180" t="str">
        <f aca="false">IF((D80="f"),F80," ")</f>
        <v> </v>
      </c>
      <c r="U80" s="371"/>
    </row>
    <row r="81" customFormat="false" ht="12.75" hidden="false" customHeight="false" outlineLevel="0" collapsed="false">
      <c r="D81" s="371" t="str">
        <f aca="false">IF((F81&lt;&gt;0),"Enter Letter"," ")</f>
        <v> </v>
      </c>
      <c r="G81" s="180" t="str">
        <f aca="false">IF((D81="d"),F81," ")</f>
        <v> </v>
      </c>
      <c r="H81" s="180" t="str">
        <f aca="false">IF((D81="h"),F81," ")</f>
        <v> </v>
      </c>
      <c r="I81" s="180" t="str">
        <f aca="false">IF((D81="r"),F81," ")</f>
        <v> </v>
      </c>
      <c r="J81" s="180" t="str">
        <f aca="false">IF((D81="t"),F81," ")</f>
        <v> </v>
      </c>
      <c r="K81" s="180" t="str">
        <f aca="false">IF((D81="e"),F81," ")</f>
        <v> </v>
      </c>
      <c r="L81" s="180" t="str">
        <f aca="false">IF((D81="p"),F81," ")</f>
        <v> </v>
      </c>
      <c r="M81" s="180" t="str">
        <f aca="false">IF((D81="g"),F81," ")</f>
        <v> </v>
      </c>
      <c r="N81" s="180" t="str">
        <f aca="false">IF((D81="a"),F81," ")</f>
        <v> </v>
      </c>
      <c r="O81" s="180" t="str">
        <f aca="false">IF((D81="l"),F81," ")</f>
        <v> </v>
      </c>
      <c r="P81" s="180" t="str">
        <f aca="false">IF((D81="i"),F81," ")</f>
        <v> </v>
      </c>
      <c r="Q81" s="180" t="str">
        <f aca="false">IF((D81="b"),F81," ")</f>
        <v> </v>
      </c>
      <c r="R81" s="180" t="str">
        <f aca="false">IF((D81="o"),F81," ")</f>
        <v> </v>
      </c>
      <c r="S81" s="180" t="str">
        <f aca="false">IF((D81="f"),F81," ")</f>
        <v> </v>
      </c>
      <c r="U81" s="371"/>
    </row>
    <row r="82" customFormat="false" ht="12.75" hidden="false" customHeight="false" outlineLevel="0" collapsed="false">
      <c r="D82" s="371" t="str">
        <f aca="false">IF((F82&lt;&gt;0),"Enter Letter"," ")</f>
        <v> </v>
      </c>
      <c r="G82" s="180" t="str">
        <f aca="false">IF((D82="d"),F82," ")</f>
        <v> </v>
      </c>
      <c r="H82" s="180" t="str">
        <f aca="false">IF((D82="h"),F82," ")</f>
        <v> </v>
      </c>
      <c r="I82" s="180" t="str">
        <f aca="false">IF((D82="r"),F82," ")</f>
        <v> </v>
      </c>
      <c r="J82" s="180" t="str">
        <f aca="false">IF((D82="t"),F82," ")</f>
        <v> </v>
      </c>
      <c r="K82" s="180" t="str">
        <f aca="false">IF((D82="e"),F82," ")</f>
        <v> </v>
      </c>
      <c r="L82" s="180" t="str">
        <f aca="false">IF((D82="p"),F82," ")</f>
        <v> </v>
      </c>
      <c r="M82" s="180" t="str">
        <f aca="false">IF((D82="g"),F82," ")</f>
        <v> </v>
      </c>
      <c r="N82" s="180" t="str">
        <f aca="false">IF((D82="a"),F82," ")</f>
        <v> </v>
      </c>
      <c r="O82" s="180" t="str">
        <f aca="false">IF((D82="l"),F82," ")</f>
        <v> </v>
      </c>
      <c r="P82" s="180" t="str">
        <f aca="false">IF((D82="i"),F82," ")</f>
        <v> </v>
      </c>
      <c r="Q82" s="180" t="str">
        <f aca="false">IF((D82="b"),F82," ")</f>
        <v> </v>
      </c>
      <c r="R82" s="180" t="str">
        <f aca="false">IF((D82="o"),F82," ")</f>
        <v> </v>
      </c>
      <c r="S82" s="180" t="str">
        <f aca="false">IF((D82="f"),F82," ")</f>
        <v> </v>
      </c>
      <c r="U82" s="371"/>
    </row>
    <row r="83" customFormat="false" ht="12.75" hidden="false" customHeight="false" outlineLevel="0" collapsed="false">
      <c r="D83" s="371" t="str">
        <f aca="false">IF((F83&lt;&gt;0),"Enter Letter"," ")</f>
        <v> </v>
      </c>
      <c r="G83" s="180" t="str">
        <f aca="false">IF((D83="d"),F83," ")</f>
        <v> </v>
      </c>
      <c r="H83" s="180" t="str">
        <f aca="false">IF((D83="h"),F83," ")</f>
        <v> </v>
      </c>
      <c r="I83" s="180" t="str">
        <f aca="false">IF((D83="r"),F83," ")</f>
        <v> </v>
      </c>
      <c r="J83" s="180" t="str">
        <f aca="false">IF((D83="t"),F83," ")</f>
        <v> </v>
      </c>
      <c r="K83" s="180" t="str">
        <f aca="false">IF((D83="e"),F83," ")</f>
        <v> </v>
      </c>
      <c r="L83" s="180" t="str">
        <f aca="false">IF((D83="p"),F83," ")</f>
        <v> </v>
      </c>
      <c r="M83" s="180" t="str">
        <f aca="false">IF((D83="g"),F83," ")</f>
        <v> </v>
      </c>
      <c r="N83" s="180" t="str">
        <f aca="false">IF((D83="a"),F83," ")</f>
        <v> </v>
      </c>
      <c r="O83" s="180" t="str">
        <f aca="false">IF((D83="l"),F83," ")</f>
        <v> </v>
      </c>
      <c r="P83" s="180" t="str">
        <f aca="false">IF((D83="i"),F83," ")</f>
        <v> </v>
      </c>
      <c r="Q83" s="180" t="str">
        <f aca="false">IF((D83="b"),F83," ")</f>
        <v> </v>
      </c>
      <c r="R83" s="180" t="str">
        <f aca="false">IF((D83="o"),F83," ")</f>
        <v> </v>
      </c>
      <c r="S83" s="180" t="str">
        <f aca="false">IF((D83="f"),F83," ")</f>
        <v> </v>
      </c>
      <c r="U83" s="371"/>
    </row>
    <row r="84" customFormat="false" ht="12.75" hidden="false" customHeight="false" outlineLevel="0" collapsed="false">
      <c r="D84" s="371" t="str">
        <f aca="false">IF((F84&lt;&gt;0),"Enter Letter"," ")</f>
        <v> </v>
      </c>
      <c r="G84" s="180" t="str">
        <f aca="false">IF((D84="d"),F84," ")</f>
        <v> </v>
      </c>
      <c r="H84" s="180" t="str">
        <f aca="false">IF((D84="h"),F84," ")</f>
        <v> </v>
      </c>
      <c r="I84" s="180" t="str">
        <f aca="false">IF((D84="r"),F84," ")</f>
        <v> </v>
      </c>
      <c r="J84" s="180" t="str">
        <f aca="false">IF((D84="t"),F84," ")</f>
        <v> </v>
      </c>
      <c r="K84" s="180" t="str">
        <f aca="false">IF((D84="e"),F84," ")</f>
        <v> </v>
      </c>
      <c r="L84" s="180" t="str">
        <f aca="false">IF((D84="p"),F84," ")</f>
        <v> </v>
      </c>
      <c r="M84" s="180" t="str">
        <f aca="false">IF((D84="g"),F84," ")</f>
        <v> </v>
      </c>
      <c r="N84" s="180" t="str">
        <f aca="false">IF((D84="a"),F84," ")</f>
        <v> </v>
      </c>
      <c r="O84" s="180" t="str">
        <f aca="false">IF((D84="l"),F84," ")</f>
        <v> </v>
      </c>
      <c r="P84" s="180" t="str">
        <f aca="false">IF((D84="i"),F84," ")</f>
        <v> </v>
      </c>
      <c r="Q84" s="180" t="str">
        <f aca="false">IF((D84="b"),F84," ")</f>
        <v> </v>
      </c>
      <c r="R84" s="180" t="str">
        <f aca="false">IF((D84="o"),F84," ")</f>
        <v> </v>
      </c>
      <c r="S84" s="180" t="str">
        <f aca="false">IF((D84="f"),F84," ")</f>
        <v> </v>
      </c>
      <c r="U84" s="371"/>
    </row>
    <row r="85" customFormat="false" ht="12.75" hidden="false" customHeight="false" outlineLevel="0" collapsed="false">
      <c r="D85" s="371" t="str">
        <f aca="false">IF((F85&lt;&gt;0),"Enter Letter"," ")</f>
        <v> </v>
      </c>
      <c r="G85" s="180" t="str">
        <f aca="false">IF((D85="d"),F85," ")</f>
        <v> </v>
      </c>
      <c r="H85" s="180" t="str">
        <f aca="false">IF((D85="h"),F85," ")</f>
        <v> </v>
      </c>
      <c r="I85" s="180" t="str">
        <f aca="false">IF((D85="r"),F85," ")</f>
        <v> </v>
      </c>
      <c r="J85" s="180" t="str">
        <f aca="false">IF((D85="t"),F85," ")</f>
        <v> </v>
      </c>
      <c r="K85" s="180" t="str">
        <f aca="false">IF((D85="e"),F85," ")</f>
        <v> </v>
      </c>
      <c r="L85" s="180" t="str">
        <f aca="false">IF((D85="p"),F85," ")</f>
        <v> </v>
      </c>
      <c r="M85" s="180" t="str">
        <f aca="false">IF((D85="g"),F85," ")</f>
        <v> </v>
      </c>
      <c r="N85" s="180" t="str">
        <f aca="false">IF((D85="a"),F85," ")</f>
        <v> </v>
      </c>
      <c r="O85" s="180" t="str">
        <f aca="false">IF((D85="l"),F85," ")</f>
        <v> </v>
      </c>
      <c r="P85" s="180" t="str">
        <f aca="false">IF((D85="i"),F85," ")</f>
        <v> </v>
      </c>
      <c r="Q85" s="180" t="str">
        <f aca="false">IF((D85="b"),F85," ")</f>
        <v> </v>
      </c>
      <c r="R85" s="180" t="str">
        <f aca="false">IF((D85="o"),F85," ")</f>
        <v> </v>
      </c>
      <c r="S85" s="180" t="str">
        <f aca="false">IF((D85="f"),F85," ")</f>
        <v> </v>
      </c>
      <c r="U85" s="371"/>
    </row>
    <row r="86" customFormat="false" ht="12.75" hidden="false" customHeight="false" outlineLevel="0" collapsed="false">
      <c r="D86" s="371" t="str">
        <f aca="false">IF((F86&lt;&gt;0),"Enter Letter"," ")</f>
        <v> </v>
      </c>
      <c r="G86" s="180" t="str">
        <f aca="false">IF((D86="d"),F86," ")</f>
        <v> </v>
      </c>
      <c r="H86" s="180" t="str">
        <f aca="false">IF((D86="h"),F86," ")</f>
        <v> </v>
      </c>
      <c r="I86" s="180" t="str">
        <f aca="false">IF((D86="r"),F86," ")</f>
        <v> </v>
      </c>
      <c r="J86" s="180" t="str">
        <f aca="false">IF((D86="t"),F86," ")</f>
        <v> </v>
      </c>
      <c r="K86" s="180" t="str">
        <f aca="false">IF((D86="e"),F86," ")</f>
        <v> </v>
      </c>
      <c r="L86" s="180" t="str">
        <f aca="false">IF((D86="p"),F86," ")</f>
        <v> </v>
      </c>
      <c r="M86" s="180" t="str">
        <f aca="false">IF((D86="g"),F86," ")</f>
        <v> </v>
      </c>
      <c r="N86" s="180" t="str">
        <f aca="false">IF((D86="a"),F86," ")</f>
        <v> </v>
      </c>
      <c r="O86" s="180" t="str">
        <f aca="false">IF((D86="l"),F86," ")</f>
        <v> </v>
      </c>
      <c r="P86" s="180" t="str">
        <f aca="false">IF((D86="i"),F86," ")</f>
        <v> </v>
      </c>
      <c r="Q86" s="180" t="str">
        <f aca="false">IF((D86="b"),F86," ")</f>
        <v> </v>
      </c>
      <c r="R86" s="180" t="str">
        <f aca="false">IF((D86="o"),F86," ")</f>
        <v> </v>
      </c>
      <c r="S86" s="180" t="str">
        <f aca="false">IF((D86="f"),F86," ")</f>
        <v> </v>
      </c>
      <c r="U86" s="371"/>
    </row>
    <row r="87" customFormat="false" ht="12.75" hidden="false" customHeight="false" outlineLevel="0" collapsed="false">
      <c r="D87" s="371" t="str">
        <f aca="false">IF((F87&lt;&gt;0),"Enter Letter"," ")</f>
        <v> </v>
      </c>
      <c r="G87" s="180" t="str">
        <f aca="false">IF((D87="d"),F87," ")</f>
        <v> </v>
      </c>
      <c r="H87" s="180" t="str">
        <f aca="false">IF((D87="h"),F87," ")</f>
        <v> </v>
      </c>
      <c r="I87" s="180" t="str">
        <f aca="false">IF((D87="r"),F87," ")</f>
        <v> </v>
      </c>
      <c r="J87" s="180" t="str">
        <f aca="false">IF((D87="t"),F87," ")</f>
        <v> </v>
      </c>
      <c r="K87" s="180" t="str">
        <f aca="false">IF((D87="e"),F87," ")</f>
        <v> </v>
      </c>
      <c r="L87" s="180" t="str">
        <f aca="false">IF((D87="p"),F87," ")</f>
        <v> </v>
      </c>
      <c r="M87" s="180" t="str">
        <f aca="false">IF((D87="g"),F87," ")</f>
        <v> </v>
      </c>
      <c r="N87" s="180" t="str">
        <f aca="false">IF((D87="a"),F87," ")</f>
        <v> </v>
      </c>
      <c r="O87" s="180" t="str">
        <f aca="false">IF((D87="l"),F87," ")</f>
        <v> </v>
      </c>
      <c r="P87" s="180" t="str">
        <f aca="false">IF((D87="i"),F87," ")</f>
        <v> </v>
      </c>
      <c r="Q87" s="180" t="str">
        <f aca="false">IF((D87="b"),F87," ")</f>
        <v> </v>
      </c>
      <c r="R87" s="180" t="str">
        <f aca="false">IF((D87="o"),F87," ")</f>
        <v> </v>
      </c>
      <c r="S87" s="180" t="str">
        <f aca="false">IF((D87="f"),F87," ")</f>
        <v> </v>
      </c>
      <c r="U87" s="371"/>
    </row>
    <row r="88" customFormat="false" ht="12.75" hidden="false" customHeight="false" outlineLevel="0" collapsed="false">
      <c r="D88" s="371" t="str">
        <f aca="false">IF((F88&lt;&gt;0),"Enter Letter"," ")</f>
        <v> </v>
      </c>
      <c r="G88" s="180" t="str">
        <f aca="false">IF((D88="d"),F88," ")</f>
        <v> </v>
      </c>
      <c r="H88" s="180" t="str">
        <f aca="false">IF((D88="h"),F88," ")</f>
        <v> </v>
      </c>
      <c r="I88" s="180" t="str">
        <f aca="false">IF((D88="r"),F88," ")</f>
        <v> </v>
      </c>
      <c r="J88" s="180" t="str">
        <f aca="false">IF((D88="t"),F88," ")</f>
        <v> </v>
      </c>
      <c r="K88" s="180" t="str">
        <f aca="false">IF((D88="e"),F88," ")</f>
        <v> </v>
      </c>
      <c r="L88" s="180" t="str">
        <f aca="false">IF((D88="p"),F88," ")</f>
        <v> </v>
      </c>
      <c r="M88" s="180" t="str">
        <f aca="false">IF((D88="g"),F88," ")</f>
        <v> </v>
      </c>
      <c r="N88" s="180" t="str">
        <f aca="false">IF((D88="a"),F88," ")</f>
        <v> </v>
      </c>
      <c r="O88" s="180" t="str">
        <f aca="false">IF((D88="l"),F88," ")</f>
        <v> </v>
      </c>
      <c r="P88" s="180" t="str">
        <f aca="false">IF((D88="i"),F88," ")</f>
        <v> </v>
      </c>
      <c r="Q88" s="180" t="str">
        <f aca="false">IF((D88="b"),F88," ")</f>
        <v> </v>
      </c>
      <c r="R88" s="180" t="str">
        <f aca="false">IF((D88="o"),F88," ")</f>
        <v> </v>
      </c>
      <c r="S88" s="180" t="str">
        <f aca="false">IF((D88="f"),F88," ")</f>
        <v> </v>
      </c>
      <c r="U88" s="371"/>
    </row>
    <row r="89" customFormat="false" ht="12.75" hidden="false" customHeight="false" outlineLevel="0" collapsed="false">
      <c r="D89" s="371" t="str">
        <f aca="false">IF((F89&lt;&gt;0),"Enter Letter"," ")</f>
        <v> </v>
      </c>
      <c r="G89" s="180" t="str">
        <f aca="false">IF((D89="d"),F89," ")</f>
        <v> </v>
      </c>
      <c r="H89" s="180" t="str">
        <f aca="false">IF((D89="h"),F89," ")</f>
        <v> </v>
      </c>
      <c r="I89" s="180" t="str">
        <f aca="false">IF((D89="r"),F89," ")</f>
        <v> </v>
      </c>
      <c r="J89" s="180" t="str">
        <f aca="false">IF((D89="t"),F89," ")</f>
        <v> </v>
      </c>
      <c r="K89" s="180" t="str">
        <f aca="false">IF((D89="e"),F89," ")</f>
        <v> </v>
      </c>
      <c r="L89" s="180" t="str">
        <f aca="false">IF((D89="p"),F89," ")</f>
        <v> </v>
      </c>
      <c r="M89" s="180" t="str">
        <f aca="false">IF((D89="g"),F89," ")</f>
        <v> </v>
      </c>
      <c r="N89" s="180" t="str">
        <f aca="false">IF((D89="a"),F89," ")</f>
        <v> </v>
      </c>
      <c r="O89" s="180" t="str">
        <f aca="false">IF((D89="l"),F89," ")</f>
        <v> </v>
      </c>
      <c r="P89" s="180" t="str">
        <f aca="false">IF((D89="i"),F89," ")</f>
        <v> </v>
      </c>
      <c r="Q89" s="180" t="str">
        <f aca="false">IF((D89="b"),F89," ")</f>
        <v> </v>
      </c>
      <c r="R89" s="180" t="str">
        <f aca="false">IF((D89="o"),F89," ")</f>
        <v> </v>
      </c>
      <c r="S89" s="180" t="str">
        <f aca="false">IF((D89="f"),F89," ")</f>
        <v> </v>
      </c>
      <c r="U89" s="371"/>
    </row>
    <row r="90" customFormat="false" ht="12.75" hidden="false" customHeight="false" outlineLevel="0" collapsed="false">
      <c r="D90" s="371" t="str">
        <f aca="false">IF((F90&lt;&gt;0),"Enter Letter"," ")</f>
        <v> </v>
      </c>
      <c r="G90" s="180" t="str">
        <f aca="false">IF((D90="d"),F90," ")</f>
        <v> </v>
      </c>
      <c r="H90" s="180" t="str">
        <f aca="false">IF((D90="h"),F90," ")</f>
        <v> </v>
      </c>
      <c r="I90" s="180" t="str">
        <f aca="false">IF((D90="r"),F90," ")</f>
        <v> </v>
      </c>
      <c r="J90" s="180" t="str">
        <f aca="false">IF((D90="t"),F90," ")</f>
        <v> </v>
      </c>
      <c r="K90" s="180" t="str">
        <f aca="false">IF((D90="e"),F90," ")</f>
        <v> </v>
      </c>
      <c r="L90" s="180" t="str">
        <f aca="false">IF((D90="p"),F90," ")</f>
        <v> </v>
      </c>
      <c r="M90" s="180" t="str">
        <f aca="false">IF((D90="g"),F90," ")</f>
        <v> </v>
      </c>
      <c r="N90" s="180" t="str">
        <f aca="false">IF((D90="a"),F90," ")</f>
        <v> </v>
      </c>
      <c r="O90" s="180" t="str">
        <f aca="false">IF((D90="l"),F90," ")</f>
        <v> </v>
      </c>
      <c r="P90" s="180" t="str">
        <f aca="false">IF((D90="i"),F90," ")</f>
        <v> </v>
      </c>
      <c r="Q90" s="180" t="str">
        <f aca="false">IF((D90="b"),F90," ")</f>
        <v> </v>
      </c>
      <c r="R90" s="180" t="str">
        <f aca="false">IF((D90="o"),F90," ")</f>
        <v> </v>
      </c>
      <c r="S90" s="180" t="str">
        <f aca="false">IF((D90="f"),F90," ")</f>
        <v> </v>
      </c>
      <c r="U90" s="371"/>
    </row>
    <row r="91" customFormat="false" ht="12.75" hidden="false" customHeight="false" outlineLevel="0" collapsed="false">
      <c r="D91" s="371" t="str">
        <f aca="false">IF((F91&lt;&gt;0),"Enter Letter"," ")</f>
        <v> </v>
      </c>
      <c r="G91" s="180" t="str">
        <f aca="false">IF((D91="d"),F91," ")</f>
        <v> </v>
      </c>
      <c r="H91" s="180" t="str">
        <f aca="false">IF((D91="h"),F91," ")</f>
        <v> </v>
      </c>
      <c r="I91" s="180" t="str">
        <f aca="false">IF((D91="r"),F91," ")</f>
        <v> </v>
      </c>
      <c r="J91" s="180" t="str">
        <f aca="false">IF((D91="t"),F91," ")</f>
        <v> </v>
      </c>
      <c r="K91" s="180" t="str">
        <f aca="false">IF((D91="e"),F91," ")</f>
        <v> </v>
      </c>
      <c r="L91" s="180" t="str">
        <f aca="false">IF((D91="p"),F91," ")</f>
        <v> </v>
      </c>
      <c r="M91" s="180" t="str">
        <f aca="false">IF((D91="g"),F91," ")</f>
        <v> </v>
      </c>
      <c r="N91" s="180" t="str">
        <f aca="false">IF((D91="a"),F91," ")</f>
        <v> </v>
      </c>
      <c r="O91" s="180" t="str">
        <f aca="false">IF((D91="l"),F91," ")</f>
        <v> </v>
      </c>
      <c r="P91" s="180" t="str">
        <f aca="false">IF((D91="i"),F91," ")</f>
        <v> </v>
      </c>
      <c r="Q91" s="180" t="str">
        <f aca="false">IF((D91="b"),F91," ")</f>
        <v> </v>
      </c>
      <c r="R91" s="180" t="str">
        <f aca="false">IF((D91="o"),F91," ")</f>
        <v> </v>
      </c>
      <c r="S91" s="180" t="str">
        <f aca="false">IF((D91="f"),F91," ")</f>
        <v> </v>
      </c>
      <c r="U91" s="371"/>
    </row>
    <row r="92" customFormat="false" ht="12.75" hidden="false" customHeight="false" outlineLevel="0" collapsed="false">
      <c r="D92" s="371" t="str">
        <f aca="false">IF((F92&lt;&gt;0),"Enter Letter"," ")</f>
        <v> </v>
      </c>
      <c r="G92" s="180" t="str">
        <f aca="false">IF((D92="d"),F92," ")</f>
        <v> </v>
      </c>
      <c r="H92" s="180" t="str">
        <f aca="false">IF((D92="h"),F92," ")</f>
        <v> </v>
      </c>
      <c r="I92" s="180" t="str">
        <f aca="false">IF((D92="r"),F92," ")</f>
        <v> </v>
      </c>
      <c r="J92" s="180" t="str">
        <f aca="false">IF((D92="t"),F92," ")</f>
        <v> </v>
      </c>
      <c r="K92" s="180" t="str">
        <f aca="false">IF((D92="e"),F92," ")</f>
        <v> </v>
      </c>
      <c r="L92" s="180" t="str">
        <f aca="false">IF((D92="p"),F92," ")</f>
        <v> </v>
      </c>
      <c r="M92" s="180" t="str">
        <f aca="false">IF((D92="g"),F92," ")</f>
        <v> </v>
      </c>
      <c r="N92" s="180" t="str">
        <f aca="false">IF((D92="a"),F92," ")</f>
        <v> </v>
      </c>
      <c r="O92" s="180" t="str">
        <f aca="false">IF((D92="l"),F92," ")</f>
        <v> </v>
      </c>
      <c r="P92" s="180" t="str">
        <f aca="false">IF((D92="i"),F92," ")</f>
        <v> </v>
      </c>
      <c r="Q92" s="180" t="str">
        <f aca="false">IF((D92="b"),F92," ")</f>
        <v> </v>
      </c>
      <c r="R92" s="180" t="str">
        <f aca="false">IF((D92="o"),F92," ")</f>
        <v> </v>
      </c>
      <c r="S92" s="180" t="str">
        <f aca="false">IF((D92="f"),F92," ")</f>
        <v> </v>
      </c>
      <c r="U92" s="371"/>
    </row>
    <row r="93" customFormat="false" ht="12.75" hidden="false" customHeight="false" outlineLevel="0" collapsed="false">
      <c r="D93" s="371" t="str">
        <f aca="false">IF((F93&lt;&gt;0),"Enter Letter"," ")</f>
        <v> </v>
      </c>
      <c r="G93" s="180" t="str">
        <f aca="false">IF((D93="d"),F93," ")</f>
        <v> </v>
      </c>
      <c r="H93" s="180" t="str">
        <f aca="false">IF((D93="h"),F93," ")</f>
        <v> </v>
      </c>
      <c r="I93" s="180" t="str">
        <f aca="false">IF((D93="r"),F93," ")</f>
        <v> </v>
      </c>
      <c r="J93" s="180" t="str">
        <f aca="false">IF((D93="t"),F93," ")</f>
        <v> </v>
      </c>
      <c r="K93" s="180" t="str">
        <f aca="false">IF((D93="e"),F93," ")</f>
        <v> </v>
      </c>
      <c r="L93" s="180" t="str">
        <f aca="false">IF((D93="p"),F93," ")</f>
        <v> </v>
      </c>
      <c r="M93" s="180" t="str">
        <f aca="false">IF((D93="g"),F93," ")</f>
        <v> </v>
      </c>
      <c r="N93" s="180" t="str">
        <f aca="false">IF((D93="a"),F93," ")</f>
        <v> </v>
      </c>
      <c r="O93" s="180" t="str">
        <f aca="false">IF((D93="l"),F93," ")</f>
        <v> </v>
      </c>
      <c r="P93" s="180" t="str">
        <f aca="false">IF((D93="i"),F93," ")</f>
        <v> </v>
      </c>
      <c r="Q93" s="180" t="str">
        <f aca="false">IF((D93="b"),F93," ")</f>
        <v> </v>
      </c>
      <c r="R93" s="180" t="str">
        <f aca="false">IF((D93="o"),F93," ")</f>
        <v> </v>
      </c>
      <c r="S93" s="180" t="str">
        <f aca="false">IF((D93="f"),F93," ")</f>
        <v> </v>
      </c>
      <c r="U93" s="371"/>
    </row>
    <row r="94" customFormat="false" ht="12.75" hidden="false" customHeight="false" outlineLevel="0" collapsed="false">
      <c r="D94" s="371" t="str">
        <f aca="false">IF((F94&lt;&gt;0),"Enter Letter"," ")</f>
        <v> </v>
      </c>
      <c r="G94" s="180" t="str">
        <f aca="false">IF((D94="d"),F94," ")</f>
        <v> </v>
      </c>
      <c r="H94" s="180" t="str">
        <f aca="false">IF((D94="h"),F94," ")</f>
        <v> </v>
      </c>
      <c r="I94" s="180" t="str">
        <f aca="false">IF((D94="r"),F94," ")</f>
        <v> </v>
      </c>
      <c r="J94" s="180" t="str">
        <f aca="false">IF((D94="t"),F94," ")</f>
        <v> </v>
      </c>
      <c r="K94" s="180" t="str">
        <f aca="false">IF((D94="e"),F94," ")</f>
        <v> </v>
      </c>
      <c r="L94" s="180" t="str">
        <f aca="false">IF((D94="p"),F94," ")</f>
        <v> </v>
      </c>
      <c r="M94" s="180" t="str">
        <f aca="false">IF((D94="g"),F94," ")</f>
        <v> </v>
      </c>
      <c r="N94" s="180" t="str">
        <f aca="false">IF((D94="a"),F94," ")</f>
        <v> </v>
      </c>
      <c r="O94" s="180" t="str">
        <f aca="false">IF((D94="l"),F94," ")</f>
        <v> </v>
      </c>
      <c r="P94" s="180" t="str">
        <f aca="false">IF((D94="i"),F94," ")</f>
        <v> </v>
      </c>
      <c r="Q94" s="180" t="str">
        <f aca="false">IF((D94="b"),F94," ")</f>
        <v> </v>
      </c>
      <c r="R94" s="180" t="str">
        <f aca="false">IF((D94="o"),F94," ")</f>
        <v> </v>
      </c>
      <c r="S94" s="180" t="str">
        <f aca="false">IF((D94="f"),F94," ")</f>
        <v> </v>
      </c>
      <c r="U94" s="371"/>
    </row>
    <row r="95" customFormat="false" ht="12.75" hidden="false" customHeight="false" outlineLevel="0" collapsed="false">
      <c r="D95" s="371" t="str">
        <f aca="false">IF((F95&lt;&gt;0),"Enter Letter"," ")</f>
        <v> </v>
      </c>
      <c r="G95" s="180" t="str">
        <f aca="false">IF((D95="d"),F95," ")</f>
        <v> </v>
      </c>
      <c r="H95" s="180" t="str">
        <f aca="false">IF((D95="h"),F95," ")</f>
        <v> </v>
      </c>
      <c r="I95" s="180" t="str">
        <f aca="false">IF((D95="r"),F95," ")</f>
        <v> </v>
      </c>
      <c r="J95" s="180" t="str">
        <f aca="false">IF((D95="t"),F95," ")</f>
        <v> </v>
      </c>
      <c r="K95" s="180" t="str">
        <f aca="false">IF((D95="e"),F95," ")</f>
        <v> </v>
      </c>
      <c r="L95" s="180" t="str">
        <f aca="false">IF((D95="p"),F95," ")</f>
        <v> </v>
      </c>
      <c r="M95" s="180" t="str">
        <f aca="false">IF((D95="g"),F95," ")</f>
        <v> </v>
      </c>
      <c r="N95" s="180" t="str">
        <f aca="false">IF((D95="a"),F95," ")</f>
        <v> </v>
      </c>
      <c r="O95" s="180" t="str">
        <f aca="false">IF((D95="l"),F95," ")</f>
        <v> </v>
      </c>
      <c r="P95" s="180" t="str">
        <f aca="false">IF((D95="i"),F95," ")</f>
        <v> </v>
      </c>
      <c r="Q95" s="180" t="str">
        <f aca="false">IF((D95="b"),F95," ")</f>
        <v> </v>
      </c>
      <c r="R95" s="180" t="str">
        <f aca="false">IF((D95="o"),F95," ")</f>
        <v> </v>
      </c>
      <c r="S95" s="180" t="str">
        <f aca="false">IF((D95="f"),F95," ")</f>
        <v> </v>
      </c>
      <c r="U95" s="371"/>
    </row>
    <row r="96" customFormat="false" ht="12.75" hidden="false" customHeight="false" outlineLevel="0" collapsed="false">
      <c r="D96" s="371" t="str">
        <f aca="false">IF((F96&lt;&gt;0),"Enter Letter"," ")</f>
        <v> </v>
      </c>
      <c r="G96" s="180" t="str">
        <f aca="false">IF((D96="d"),F96," ")</f>
        <v> </v>
      </c>
      <c r="H96" s="180" t="str">
        <f aca="false">IF((D96="h"),F96," ")</f>
        <v> </v>
      </c>
      <c r="I96" s="180" t="str">
        <f aca="false">IF((D96="r"),F96," ")</f>
        <v> </v>
      </c>
      <c r="J96" s="180" t="str">
        <f aca="false">IF((D96="t"),F96," ")</f>
        <v> </v>
      </c>
      <c r="K96" s="180" t="str">
        <f aca="false">IF((D96="e"),F96," ")</f>
        <v> </v>
      </c>
      <c r="L96" s="180" t="str">
        <f aca="false">IF((D96="p"),F96," ")</f>
        <v> </v>
      </c>
      <c r="M96" s="180" t="str">
        <f aca="false">IF((D96="g"),F96," ")</f>
        <v> </v>
      </c>
      <c r="N96" s="180" t="str">
        <f aca="false">IF((D96="a"),F96," ")</f>
        <v> </v>
      </c>
      <c r="O96" s="180" t="str">
        <f aca="false">IF((D96="l"),F96," ")</f>
        <v> </v>
      </c>
      <c r="P96" s="180" t="str">
        <f aca="false">IF((D96="i"),F96," ")</f>
        <v> </v>
      </c>
      <c r="Q96" s="180" t="str">
        <f aca="false">IF((D96="b"),F96," ")</f>
        <v> </v>
      </c>
      <c r="R96" s="180" t="str">
        <f aca="false">IF((D96="o"),F96," ")</f>
        <v> </v>
      </c>
      <c r="S96" s="180" t="str">
        <f aca="false">IF((D96="f"),F96," ")</f>
        <v> </v>
      </c>
      <c r="U96" s="371"/>
    </row>
    <row r="97" customFormat="false" ht="12.75" hidden="false" customHeight="false" outlineLevel="0" collapsed="false">
      <c r="D97" s="371" t="str">
        <f aca="false">IF((F97&lt;&gt;0),"Enter Letter"," ")</f>
        <v> </v>
      </c>
      <c r="G97" s="180" t="str">
        <f aca="false">IF((D97="d"),F97," ")</f>
        <v> </v>
      </c>
      <c r="H97" s="180" t="str">
        <f aca="false">IF((D97="h"),F97," ")</f>
        <v> </v>
      </c>
      <c r="I97" s="180" t="str">
        <f aca="false">IF((D97="r"),F97," ")</f>
        <v> </v>
      </c>
      <c r="J97" s="180" t="str">
        <f aca="false">IF((D97="t"),F97," ")</f>
        <v> </v>
      </c>
      <c r="K97" s="180" t="str">
        <f aca="false">IF((D97="e"),F97," ")</f>
        <v> </v>
      </c>
      <c r="L97" s="180" t="str">
        <f aca="false">IF((D97="p"),F97," ")</f>
        <v> </v>
      </c>
      <c r="M97" s="180" t="str">
        <f aca="false">IF((D97="g"),F97," ")</f>
        <v> </v>
      </c>
      <c r="N97" s="180" t="str">
        <f aca="false">IF((D97="a"),F97," ")</f>
        <v> </v>
      </c>
      <c r="O97" s="180" t="str">
        <f aca="false">IF((D97="l"),F97," ")</f>
        <v> </v>
      </c>
      <c r="P97" s="180" t="str">
        <f aca="false">IF((D97="i"),F97," ")</f>
        <v> </v>
      </c>
      <c r="Q97" s="180" t="str">
        <f aca="false">IF((D97="b"),F97," ")</f>
        <v> </v>
      </c>
      <c r="R97" s="180" t="str">
        <f aca="false">IF((D97="o"),F97," ")</f>
        <v> </v>
      </c>
      <c r="S97" s="180" t="str">
        <f aca="false">IF((D97="f"),F97," ")</f>
        <v> </v>
      </c>
      <c r="U97" s="371"/>
    </row>
    <row r="98" customFormat="false" ht="12.75" hidden="false" customHeight="false" outlineLevel="0" collapsed="false">
      <c r="D98" s="371" t="str">
        <f aca="false">IF((F98&lt;&gt;0),"Enter Letter"," ")</f>
        <v> </v>
      </c>
      <c r="G98" s="180" t="str">
        <f aca="false">IF((D98="d"),F98," ")</f>
        <v> </v>
      </c>
      <c r="H98" s="180" t="str">
        <f aca="false">IF((D98="h"),F98," ")</f>
        <v> </v>
      </c>
      <c r="I98" s="180" t="str">
        <f aca="false">IF((D98="r"),F98," ")</f>
        <v> </v>
      </c>
      <c r="J98" s="180" t="str">
        <f aca="false">IF((D98="t"),F98," ")</f>
        <v> </v>
      </c>
      <c r="K98" s="180" t="str">
        <f aca="false">IF((D98="e"),F98," ")</f>
        <v> </v>
      </c>
      <c r="L98" s="180" t="str">
        <f aca="false">IF((D98="p"),F98," ")</f>
        <v> </v>
      </c>
      <c r="M98" s="180" t="str">
        <f aca="false">IF((D98="g"),F98," ")</f>
        <v> </v>
      </c>
      <c r="N98" s="180" t="str">
        <f aca="false">IF((D98="a"),F98," ")</f>
        <v> </v>
      </c>
      <c r="O98" s="180" t="str">
        <f aca="false">IF((D98="l"),F98," ")</f>
        <v> </v>
      </c>
      <c r="P98" s="180" t="str">
        <f aca="false">IF((D98="i"),F98," ")</f>
        <v> </v>
      </c>
      <c r="Q98" s="180" t="str">
        <f aca="false">IF((D98="b"),F98," ")</f>
        <v> </v>
      </c>
      <c r="R98" s="180" t="str">
        <f aca="false">IF((D98="o"),F98," ")</f>
        <v> </v>
      </c>
      <c r="S98" s="180" t="str">
        <f aca="false">IF((D98="f"),F98," ")</f>
        <v> </v>
      </c>
      <c r="U98" s="371"/>
    </row>
    <row r="99" customFormat="false" ht="12.75" hidden="false" customHeight="false" outlineLevel="0" collapsed="false">
      <c r="D99" s="371" t="str">
        <f aca="false">IF((F99&lt;&gt;0),"Enter Letter"," ")</f>
        <v> </v>
      </c>
      <c r="G99" s="180" t="str">
        <f aca="false">IF((D99="d"),F99," ")</f>
        <v> </v>
      </c>
      <c r="H99" s="180" t="str">
        <f aca="false">IF((D99="h"),F99," ")</f>
        <v> </v>
      </c>
      <c r="I99" s="180" t="str">
        <f aca="false">IF((D99="r"),F99," ")</f>
        <v> </v>
      </c>
      <c r="J99" s="180" t="str">
        <f aca="false">IF((D99="t"),F99," ")</f>
        <v> </v>
      </c>
      <c r="K99" s="180" t="str">
        <f aca="false">IF((D99="e"),F99," ")</f>
        <v> </v>
      </c>
      <c r="L99" s="180" t="str">
        <f aca="false">IF((D99="p"),F99," ")</f>
        <v> </v>
      </c>
      <c r="M99" s="180" t="str">
        <f aca="false">IF((D99="g"),F99," ")</f>
        <v> </v>
      </c>
      <c r="N99" s="180" t="str">
        <f aca="false">IF((D99="a"),F99," ")</f>
        <v> </v>
      </c>
      <c r="O99" s="180" t="str">
        <f aca="false">IF((D99="l"),F99," ")</f>
        <v> </v>
      </c>
      <c r="P99" s="180" t="str">
        <f aca="false">IF((D99="i"),F99," ")</f>
        <v> </v>
      </c>
      <c r="Q99" s="180" t="str">
        <f aca="false">IF((D99="b"),F99," ")</f>
        <v> </v>
      </c>
      <c r="R99" s="180" t="str">
        <f aca="false">IF((D99="o"),F99," ")</f>
        <v> </v>
      </c>
      <c r="S99" s="180" t="str">
        <f aca="false">IF((D99="f"),F99," ")</f>
        <v> </v>
      </c>
      <c r="U99" s="371"/>
    </row>
    <row r="100" customFormat="false" ht="12.75" hidden="false" customHeight="false" outlineLevel="0" collapsed="false">
      <c r="D100" s="371" t="str">
        <f aca="false">IF((F100&lt;&gt;0),"Enter Letter"," ")</f>
        <v> </v>
      </c>
      <c r="G100" s="180" t="str">
        <f aca="false">IF((D100="d"),F100," ")</f>
        <v> </v>
      </c>
      <c r="H100" s="180" t="str">
        <f aca="false">IF((D100="h"),F100," ")</f>
        <v> </v>
      </c>
      <c r="I100" s="180" t="str">
        <f aca="false">IF((D100="r"),F100," ")</f>
        <v> </v>
      </c>
      <c r="J100" s="180" t="str">
        <f aca="false">IF((D100="t"),F100," ")</f>
        <v> </v>
      </c>
      <c r="K100" s="180" t="str">
        <f aca="false">IF((D100="e"),F100," ")</f>
        <v> </v>
      </c>
      <c r="L100" s="180" t="str">
        <f aca="false">IF((D100="p"),F100," ")</f>
        <v> </v>
      </c>
      <c r="M100" s="180" t="str">
        <f aca="false">IF((D100="g"),F100," ")</f>
        <v> </v>
      </c>
      <c r="N100" s="180" t="str">
        <f aca="false">IF((D100="a"),F100," ")</f>
        <v> </v>
      </c>
      <c r="O100" s="180" t="str">
        <f aca="false">IF((D100="l"),F100," ")</f>
        <v> </v>
      </c>
      <c r="P100" s="180" t="str">
        <f aca="false">IF((D100="i"),F100," ")</f>
        <v> </v>
      </c>
      <c r="Q100" s="180" t="str">
        <f aca="false">IF((D100="b"),F100," ")</f>
        <v> </v>
      </c>
      <c r="R100" s="180" t="str">
        <f aca="false">IF((D100="o"),F100," ")</f>
        <v> </v>
      </c>
      <c r="S100" s="180" t="str">
        <f aca="false">IF((D100="f"),F100," ")</f>
        <v> </v>
      </c>
      <c r="U100" s="371"/>
    </row>
    <row r="101" customFormat="false" ht="12.75" hidden="false" customHeight="false" outlineLevel="0" collapsed="false">
      <c r="D101" s="371" t="str">
        <f aca="false">IF((F101&lt;&gt;0),"Enter Letter"," ")</f>
        <v> </v>
      </c>
      <c r="G101" s="180" t="str">
        <f aca="false">IF((D101="d"),F101," ")</f>
        <v> </v>
      </c>
      <c r="H101" s="180" t="str">
        <f aca="false">IF((D101="h"),F101," ")</f>
        <v> </v>
      </c>
      <c r="I101" s="180" t="str">
        <f aca="false">IF((D101="r"),F101," ")</f>
        <v> </v>
      </c>
      <c r="J101" s="180" t="str">
        <f aca="false">IF((D101="t"),F101," ")</f>
        <v> </v>
      </c>
      <c r="K101" s="180" t="str">
        <f aca="false">IF((D101="e"),F101," ")</f>
        <v> </v>
      </c>
      <c r="L101" s="180" t="str">
        <f aca="false">IF((D101="p"),F101," ")</f>
        <v> </v>
      </c>
      <c r="M101" s="180" t="str">
        <f aca="false">IF((D101="g"),F101," ")</f>
        <v> </v>
      </c>
      <c r="N101" s="180" t="str">
        <f aca="false">IF((D101="a"),F101," ")</f>
        <v> </v>
      </c>
      <c r="O101" s="180" t="str">
        <f aca="false">IF((D101="l"),F101," ")</f>
        <v> </v>
      </c>
      <c r="P101" s="180" t="str">
        <f aca="false">IF((D101="i"),F101," ")</f>
        <v> </v>
      </c>
      <c r="Q101" s="180" t="str">
        <f aca="false">IF((D101="b"),F101," ")</f>
        <v> </v>
      </c>
      <c r="R101" s="180" t="str">
        <f aca="false">IF((D101="o"),F101," ")</f>
        <v> </v>
      </c>
      <c r="S101" s="180" t="str">
        <f aca="false">IF((D101="f"),F101," ")</f>
        <v> </v>
      </c>
      <c r="U101" s="371"/>
    </row>
    <row r="102" customFormat="false" ht="12.75" hidden="false" customHeight="false" outlineLevel="0" collapsed="false">
      <c r="D102" s="371" t="str">
        <f aca="false">IF((F102&lt;&gt;0),"Enter Letter"," ")</f>
        <v> </v>
      </c>
      <c r="G102" s="180" t="str">
        <f aca="false">IF((D102="d"),F102," ")</f>
        <v> </v>
      </c>
      <c r="H102" s="180" t="str">
        <f aca="false">IF((D102="h"),F102," ")</f>
        <v> </v>
      </c>
      <c r="I102" s="180" t="str">
        <f aca="false">IF((D102="r"),F102," ")</f>
        <v> </v>
      </c>
      <c r="J102" s="180" t="str">
        <f aca="false">IF((D102="t"),F102," ")</f>
        <v> </v>
      </c>
      <c r="K102" s="180" t="str">
        <f aca="false">IF((D102="e"),F102," ")</f>
        <v> </v>
      </c>
      <c r="L102" s="180" t="str">
        <f aca="false">IF((D102="p"),F102," ")</f>
        <v> </v>
      </c>
      <c r="M102" s="180" t="str">
        <f aca="false">IF((D102="g"),F102," ")</f>
        <v> </v>
      </c>
      <c r="N102" s="180" t="str">
        <f aca="false">IF((D102="a"),F102," ")</f>
        <v> </v>
      </c>
      <c r="O102" s="180" t="str">
        <f aca="false">IF((D102="l"),F102," ")</f>
        <v> </v>
      </c>
      <c r="P102" s="180" t="str">
        <f aca="false">IF((D102="i"),F102," ")</f>
        <v> </v>
      </c>
      <c r="Q102" s="180" t="str">
        <f aca="false">IF((D102="b"),F102," ")</f>
        <v> </v>
      </c>
      <c r="R102" s="180" t="str">
        <f aca="false">IF((D102="o"),F102," ")</f>
        <v> </v>
      </c>
      <c r="S102" s="180" t="str">
        <f aca="false">IF((D102="f"),F102," ")</f>
        <v> </v>
      </c>
      <c r="U102" s="371"/>
    </row>
    <row r="103" customFormat="false" ht="12.75" hidden="false" customHeight="false" outlineLevel="0" collapsed="false">
      <c r="D103" s="371" t="str">
        <f aca="false">IF((F103&lt;&gt;0),"Enter Letter"," ")</f>
        <v> </v>
      </c>
      <c r="G103" s="180" t="str">
        <f aca="false">IF((D103="d"),F103," ")</f>
        <v> </v>
      </c>
      <c r="H103" s="180" t="str">
        <f aca="false">IF((D103="h"),F103," ")</f>
        <v> </v>
      </c>
      <c r="I103" s="180" t="str">
        <f aca="false">IF((D103="r"),F103," ")</f>
        <v> </v>
      </c>
      <c r="J103" s="180" t="str">
        <f aca="false">IF((D103="t"),F103," ")</f>
        <v> </v>
      </c>
      <c r="K103" s="180" t="str">
        <f aca="false">IF((D103="e"),F103," ")</f>
        <v> </v>
      </c>
      <c r="L103" s="180" t="str">
        <f aca="false">IF((D103="p"),F103," ")</f>
        <v> </v>
      </c>
      <c r="M103" s="180" t="str">
        <f aca="false">IF((D103="g"),F103," ")</f>
        <v> </v>
      </c>
      <c r="N103" s="180" t="str">
        <f aca="false">IF((D103="a"),F103," ")</f>
        <v> </v>
      </c>
      <c r="O103" s="180" t="str">
        <f aca="false">IF((D103="l"),F103," ")</f>
        <v> </v>
      </c>
      <c r="P103" s="180" t="str">
        <f aca="false">IF((D103="i"),F103," ")</f>
        <v> </v>
      </c>
      <c r="Q103" s="180" t="str">
        <f aca="false">IF((D103="b"),F103," ")</f>
        <v> </v>
      </c>
      <c r="R103" s="180" t="str">
        <f aca="false">IF((D103="o"),F103," ")</f>
        <v> </v>
      </c>
      <c r="S103" s="180" t="str">
        <f aca="false">IF((D103="f"),F103," ")</f>
        <v> </v>
      </c>
      <c r="U103" s="371"/>
    </row>
    <row r="104" customFormat="false" ht="12.75" hidden="false" customHeight="false" outlineLevel="0" collapsed="false">
      <c r="D104" s="371" t="str">
        <f aca="false">IF((F104&lt;&gt;0),"Enter Letter"," ")</f>
        <v> </v>
      </c>
      <c r="G104" s="180" t="str">
        <f aca="false">IF((D104="d"),F104," ")</f>
        <v> </v>
      </c>
      <c r="H104" s="180" t="str">
        <f aca="false">IF((D104="h"),F104," ")</f>
        <v> </v>
      </c>
      <c r="I104" s="180" t="str">
        <f aca="false">IF((D104="r"),F104," ")</f>
        <v> </v>
      </c>
      <c r="J104" s="180" t="str">
        <f aca="false">IF((D104="t"),F104," ")</f>
        <v> </v>
      </c>
      <c r="K104" s="180" t="str">
        <f aca="false">IF((D104="e"),F104," ")</f>
        <v> </v>
      </c>
      <c r="L104" s="180" t="str">
        <f aca="false">IF((D104="p"),F104," ")</f>
        <v> </v>
      </c>
      <c r="M104" s="180" t="str">
        <f aca="false">IF((D104="g"),F104," ")</f>
        <v> </v>
      </c>
      <c r="N104" s="180" t="str">
        <f aca="false">IF((D104="a"),F104," ")</f>
        <v> </v>
      </c>
      <c r="O104" s="180" t="str">
        <f aca="false">IF((D104="l"),F104," ")</f>
        <v> </v>
      </c>
      <c r="P104" s="180" t="str">
        <f aca="false">IF((D104="i"),F104," ")</f>
        <v> </v>
      </c>
      <c r="Q104" s="180" t="str">
        <f aca="false">IF((D104="b"),F104," ")</f>
        <v> </v>
      </c>
      <c r="R104" s="180" t="str">
        <f aca="false">IF((D104="o"),F104," ")</f>
        <v> </v>
      </c>
      <c r="S104" s="180" t="str">
        <f aca="false">IF((D104="f"),F104," ")</f>
        <v> </v>
      </c>
      <c r="U104" s="371"/>
    </row>
    <row r="105" customFormat="false" ht="12.75" hidden="false" customHeight="false" outlineLevel="0" collapsed="false">
      <c r="D105" s="371" t="str">
        <f aca="false">IF((F105&lt;&gt;0),"Enter Letter"," ")</f>
        <v> </v>
      </c>
      <c r="G105" s="180" t="str">
        <f aca="false">IF((D105="d"),F105," ")</f>
        <v> </v>
      </c>
      <c r="H105" s="180" t="str">
        <f aca="false">IF((D105="h"),F105," ")</f>
        <v> </v>
      </c>
      <c r="I105" s="180" t="str">
        <f aca="false">IF((D105="r"),F105," ")</f>
        <v> </v>
      </c>
      <c r="J105" s="180" t="str">
        <f aca="false">IF((D105="t"),F105," ")</f>
        <v> </v>
      </c>
      <c r="K105" s="180" t="str">
        <f aca="false">IF((D105="e"),F105," ")</f>
        <v> </v>
      </c>
      <c r="L105" s="180" t="str">
        <f aca="false">IF((D105="p"),F105," ")</f>
        <v> </v>
      </c>
      <c r="M105" s="180" t="str">
        <f aca="false">IF((D105="g"),F105," ")</f>
        <v> </v>
      </c>
      <c r="N105" s="180" t="str">
        <f aca="false">IF((D105="a"),F105," ")</f>
        <v> </v>
      </c>
      <c r="O105" s="180" t="str">
        <f aca="false">IF((D105="l"),F105," ")</f>
        <v> </v>
      </c>
      <c r="P105" s="180" t="str">
        <f aca="false">IF((D105="i"),F105," ")</f>
        <v> </v>
      </c>
      <c r="Q105" s="180" t="str">
        <f aca="false">IF((D105="b"),F105," ")</f>
        <v> </v>
      </c>
      <c r="R105" s="180" t="str">
        <f aca="false">IF((D105="o"),F105," ")</f>
        <v> </v>
      </c>
      <c r="S105" s="180" t="str">
        <f aca="false">IF((D105="f"),F105," ")</f>
        <v> </v>
      </c>
      <c r="U105" s="371"/>
    </row>
    <row r="106" customFormat="false" ht="12.75" hidden="false" customHeight="false" outlineLevel="0" collapsed="false">
      <c r="D106" s="371" t="str">
        <f aca="false">IF((F106&lt;&gt;0),"Enter Letter"," ")</f>
        <v> </v>
      </c>
      <c r="G106" s="180" t="str">
        <f aca="false">IF((D106="d"),F106," ")</f>
        <v> </v>
      </c>
      <c r="H106" s="180" t="str">
        <f aca="false">IF((D106="h"),F106," ")</f>
        <v> </v>
      </c>
      <c r="I106" s="180" t="str">
        <f aca="false">IF((D106="r"),F106," ")</f>
        <v> </v>
      </c>
      <c r="J106" s="180" t="str">
        <f aca="false">IF((D106="t"),F106," ")</f>
        <v> </v>
      </c>
      <c r="K106" s="180" t="str">
        <f aca="false">IF((D106="e"),F106," ")</f>
        <v> </v>
      </c>
      <c r="L106" s="180" t="str">
        <f aca="false">IF((D106="p"),F106," ")</f>
        <v> </v>
      </c>
      <c r="M106" s="180" t="str">
        <f aca="false">IF((D106="g"),F106," ")</f>
        <v> </v>
      </c>
      <c r="N106" s="180" t="str">
        <f aca="false">IF((D106="a"),F106," ")</f>
        <v> </v>
      </c>
      <c r="O106" s="180" t="str">
        <f aca="false">IF((D106="l"),F106," ")</f>
        <v> </v>
      </c>
      <c r="P106" s="180" t="str">
        <f aca="false">IF((D106="i"),F106," ")</f>
        <v> </v>
      </c>
      <c r="Q106" s="180" t="str">
        <f aca="false">IF((D106="b"),F106," ")</f>
        <v> </v>
      </c>
      <c r="R106" s="180" t="str">
        <f aca="false">IF((D106="o"),F106," ")</f>
        <v> </v>
      </c>
      <c r="S106" s="180" t="str">
        <f aca="false">IF((D106="f"),F106," ")</f>
        <v> </v>
      </c>
      <c r="U106" s="371"/>
    </row>
    <row r="107" customFormat="false" ht="12.75" hidden="false" customHeight="false" outlineLevel="0" collapsed="false">
      <c r="D107" s="371" t="str">
        <f aca="false">IF((F107&lt;&gt;0),"Enter Letter"," ")</f>
        <v> </v>
      </c>
      <c r="G107" s="180" t="str">
        <f aca="false">IF((D107="d"),F107," ")</f>
        <v> </v>
      </c>
      <c r="H107" s="180" t="str">
        <f aca="false">IF((D107="h"),F107," ")</f>
        <v> </v>
      </c>
      <c r="I107" s="180" t="str">
        <f aca="false">IF((D107="r"),F107," ")</f>
        <v> </v>
      </c>
      <c r="J107" s="180" t="str">
        <f aca="false">IF((D107="t"),F107," ")</f>
        <v> </v>
      </c>
      <c r="K107" s="180" t="str">
        <f aca="false">IF((D107="e"),F107," ")</f>
        <v> </v>
      </c>
      <c r="L107" s="180" t="str">
        <f aca="false">IF((D107="p"),F107," ")</f>
        <v> </v>
      </c>
      <c r="M107" s="180" t="str">
        <f aca="false">IF((D107="g"),F107," ")</f>
        <v> </v>
      </c>
      <c r="N107" s="180" t="str">
        <f aca="false">IF((D107="a"),F107," ")</f>
        <v> </v>
      </c>
      <c r="O107" s="180" t="str">
        <f aca="false">IF((D107="l"),F107," ")</f>
        <v> </v>
      </c>
      <c r="P107" s="180" t="str">
        <f aca="false">IF((D107="i"),F107," ")</f>
        <v> </v>
      </c>
      <c r="Q107" s="180" t="str">
        <f aca="false">IF((D107="b"),F107," ")</f>
        <v> </v>
      </c>
      <c r="R107" s="180" t="str">
        <f aca="false">IF((D107="o"),F107," ")</f>
        <v> </v>
      </c>
      <c r="S107" s="180" t="str">
        <f aca="false">IF((D107="f"),F107," ")</f>
        <v> </v>
      </c>
      <c r="U107" s="371"/>
    </row>
    <row r="108" customFormat="false" ht="12.75" hidden="false" customHeight="false" outlineLevel="0" collapsed="false">
      <c r="D108" s="371" t="str">
        <f aca="false">IF((F108&lt;&gt;0),"Enter Letter"," ")</f>
        <v> </v>
      </c>
      <c r="G108" s="180" t="str">
        <f aca="false">IF((D108="d"),F108," ")</f>
        <v> </v>
      </c>
      <c r="H108" s="180" t="str">
        <f aca="false">IF((D108="h"),F108," ")</f>
        <v> </v>
      </c>
      <c r="I108" s="180" t="str">
        <f aca="false">IF((D108="r"),F108," ")</f>
        <v> </v>
      </c>
      <c r="J108" s="180" t="str">
        <f aca="false">IF((D108="t"),F108," ")</f>
        <v> </v>
      </c>
      <c r="K108" s="180" t="str">
        <f aca="false">IF((D108="e"),F108," ")</f>
        <v> </v>
      </c>
      <c r="L108" s="180" t="str">
        <f aca="false">IF((D108="p"),F108," ")</f>
        <v> </v>
      </c>
      <c r="M108" s="180" t="str">
        <f aca="false">IF((D108="g"),F108," ")</f>
        <v> </v>
      </c>
      <c r="N108" s="180" t="str">
        <f aca="false">IF((D108="a"),F108," ")</f>
        <v> </v>
      </c>
      <c r="O108" s="180" t="str">
        <f aca="false">IF((D108="l"),F108," ")</f>
        <v> </v>
      </c>
      <c r="P108" s="180" t="str">
        <f aca="false">IF((D108="i"),F108," ")</f>
        <v> </v>
      </c>
      <c r="Q108" s="180" t="str">
        <f aca="false">IF((D108="b"),F108," ")</f>
        <v> </v>
      </c>
      <c r="R108" s="180" t="str">
        <f aca="false">IF((D108="o"),F108," ")</f>
        <v> </v>
      </c>
      <c r="S108" s="180" t="str">
        <f aca="false">IF((D108="f"),F108," ")</f>
        <v> </v>
      </c>
      <c r="U108" s="371"/>
    </row>
    <row r="109" customFormat="false" ht="12.75" hidden="false" customHeight="false" outlineLevel="0" collapsed="false">
      <c r="D109" s="371" t="str">
        <f aca="false">IF((F109&lt;&gt;0),"Enter Letter"," ")</f>
        <v> </v>
      </c>
      <c r="G109" s="180" t="str">
        <f aca="false">IF((D109="d"),F109," ")</f>
        <v> </v>
      </c>
      <c r="H109" s="180" t="str">
        <f aca="false">IF((D109="h"),F109," ")</f>
        <v> </v>
      </c>
      <c r="I109" s="180" t="str">
        <f aca="false">IF((D109="r"),F109," ")</f>
        <v> </v>
      </c>
      <c r="J109" s="180" t="str">
        <f aca="false">IF((D109="t"),F109," ")</f>
        <v> </v>
      </c>
      <c r="K109" s="180" t="str">
        <f aca="false">IF((D109="e"),F109," ")</f>
        <v> </v>
      </c>
      <c r="L109" s="180" t="str">
        <f aca="false">IF((D109="p"),F109," ")</f>
        <v> </v>
      </c>
      <c r="M109" s="180" t="str">
        <f aca="false">IF((D109="g"),F109," ")</f>
        <v> </v>
      </c>
      <c r="N109" s="180" t="str">
        <f aca="false">IF((D109="a"),F109," ")</f>
        <v> </v>
      </c>
      <c r="O109" s="180" t="str">
        <f aca="false">IF((D109="l"),F109," ")</f>
        <v> </v>
      </c>
      <c r="P109" s="180" t="str">
        <f aca="false">IF((D109="i"),F109," ")</f>
        <v> </v>
      </c>
      <c r="Q109" s="180" t="str">
        <f aca="false">IF((D109="b"),F109," ")</f>
        <v> </v>
      </c>
      <c r="R109" s="180" t="str">
        <f aca="false">IF((D109="o"),F109," ")</f>
        <v> </v>
      </c>
      <c r="S109" s="180" t="str">
        <f aca="false">IF((D109="f"),F109," ")</f>
        <v> </v>
      </c>
      <c r="U109" s="371"/>
    </row>
    <row r="110" customFormat="false" ht="12.75" hidden="false" customHeight="false" outlineLevel="0" collapsed="false">
      <c r="D110" s="371" t="str">
        <f aca="false">IF((F110&lt;&gt;0),"Enter Letter"," ")</f>
        <v> </v>
      </c>
      <c r="G110" s="180" t="str">
        <f aca="false">IF((D110="d"),F110," ")</f>
        <v> </v>
      </c>
      <c r="H110" s="180" t="str">
        <f aca="false">IF((D110="h"),F110," ")</f>
        <v> </v>
      </c>
      <c r="I110" s="180" t="str">
        <f aca="false">IF((D110="r"),F110," ")</f>
        <v> </v>
      </c>
      <c r="J110" s="180" t="str">
        <f aca="false">IF((D110="t"),F110," ")</f>
        <v> </v>
      </c>
      <c r="K110" s="180" t="str">
        <f aca="false">IF((D110="e"),F110," ")</f>
        <v> </v>
      </c>
      <c r="L110" s="180" t="str">
        <f aca="false">IF((D110="p"),F110," ")</f>
        <v> </v>
      </c>
      <c r="M110" s="180" t="str">
        <f aca="false">IF((D110="g"),F110," ")</f>
        <v> </v>
      </c>
      <c r="N110" s="180" t="str">
        <f aca="false">IF((D110="a"),F110," ")</f>
        <v> </v>
      </c>
      <c r="O110" s="180" t="str">
        <f aca="false">IF((D110="l"),F110," ")</f>
        <v> </v>
      </c>
      <c r="P110" s="180" t="str">
        <f aca="false">IF((D110="i"),F110," ")</f>
        <v> </v>
      </c>
      <c r="Q110" s="180" t="str">
        <f aca="false">IF((D110="b"),F110," ")</f>
        <v> </v>
      </c>
      <c r="R110" s="180" t="str">
        <f aca="false">IF((D110="o"),F110," ")</f>
        <v> </v>
      </c>
      <c r="S110" s="180" t="str">
        <f aca="false">IF((D110="f"),F110," ")</f>
        <v> </v>
      </c>
      <c r="U110" s="371"/>
    </row>
    <row r="111" customFormat="false" ht="12.75" hidden="false" customHeight="false" outlineLevel="0" collapsed="false">
      <c r="D111" s="371" t="str">
        <f aca="false">IF((F111&lt;&gt;0),"Enter Letter"," ")</f>
        <v> </v>
      </c>
      <c r="G111" s="180" t="str">
        <f aca="false">IF((D111="d"),F111," ")</f>
        <v> </v>
      </c>
      <c r="H111" s="180" t="str">
        <f aca="false">IF((D111="h"),F111," ")</f>
        <v> </v>
      </c>
      <c r="I111" s="180" t="str">
        <f aca="false">IF((D111="r"),F111," ")</f>
        <v> </v>
      </c>
      <c r="J111" s="180" t="str">
        <f aca="false">IF((D111="t"),F111," ")</f>
        <v> </v>
      </c>
      <c r="K111" s="180" t="str">
        <f aca="false">IF((D111="e"),F111," ")</f>
        <v> </v>
      </c>
      <c r="L111" s="180" t="str">
        <f aca="false">IF((D111="p"),F111," ")</f>
        <v> </v>
      </c>
      <c r="M111" s="180" t="str">
        <f aca="false">IF((D111="g"),F111," ")</f>
        <v> </v>
      </c>
      <c r="N111" s="180" t="str">
        <f aca="false">IF((D111="a"),F111," ")</f>
        <v> </v>
      </c>
      <c r="O111" s="180" t="str">
        <f aca="false">IF((D111="l"),F111," ")</f>
        <v> </v>
      </c>
      <c r="P111" s="180" t="str">
        <f aca="false">IF((D111="i"),F111," ")</f>
        <v> </v>
      </c>
      <c r="Q111" s="180" t="str">
        <f aca="false">IF((D111="b"),F111," ")</f>
        <v> </v>
      </c>
      <c r="R111" s="180" t="str">
        <f aca="false">IF((D111="o"),F111," ")</f>
        <v> </v>
      </c>
      <c r="S111" s="180" t="str">
        <f aca="false">IF((D111="f"),F111," ")</f>
        <v> </v>
      </c>
      <c r="U111" s="371"/>
    </row>
    <row r="112" customFormat="false" ht="12.75" hidden="false" customHeight="false" outlineLevel="0" collapsed="false">
      <c r="D112" s="371" t="str">
        <f aca="false">IF((F112&lt;&gt;0),"Enter Letter"," ")</f>
        <v> </v>
      </c>
      <c r="G112" s="180" t="str">
        <f aca="false">IF((D112="d"),F112," ")</f>
        <v> </v>
      </c>
      <c r="H112" s="180" t="str">
        <f aca="false">IF((D112="h"),F112," ")</f>
        <v> </v>
      </c>
      <c r="I112" s="180" t="str">
        <f aca="false">IF((D112="r"),F112," ")</f>
        <v> </v>
      </c>
      <c r="J112" s="180" t="str">
        <f aca="false">IF((D112="t"),F112," ")</f>
        <v> </v>
      </c>
      <c r="K112" s="180" t="str">
        <f aca="false">IF((D112="e"),F112," ")</f>
        <v> </v>
      </c>
      <c r="L112" s="180" t="str">
        <f aca="false">IF((D112="p"),F112," ")</f>
        <v> </v>
      </c>
      <c r="M112" s="180" t="str">
        <f aca="false">IF((D112="g"),F112," ")</f>
        <v> </v>
      </c>
      <c r="N112" s="180" t="str">
        <f aca="false">IF((D112="a"),F112," ")</f>
        <v> </v>
      </c>
      <c r="O112" s="180" t="str">
        <f aca="false">IF((D112="l"),F112," ")</f>
        <v> </v>
      </c>
      <c r="P112" s="180" t="str">
        <f aca="false">IF((D112="i"),F112," ")</f>
        <v> </v>
      </c>
      <c r="Q112" s="180" t="str">
        <f aca="false">IF((D112="b"),F112," ")</f>
        <v> </v>
      </c>
      <c r="R112" s="180" t="str">
        <f aca="false">IF((D112="o"),F112," ")</f>
        <v> </v>
      </c>
      <c r="S112" s="180" t="str">
        <f aca="false">IF((D112="f"),F112," ")</f>
        <v> </v>
      </c>
      <c r="U112" s="371"/>
    </row>
    <row r="113" customFormat="false" ht="12.75" hidden="false" customHeight="false" outlineLevel="0" collapsed="false">
      <c r="D113" s="371" t="str">
        <f aca="false">IF((F113&lt;&gt;0),"Enter Letter"," ")</f>
        <v> </v>
      </c>
      <c r="G113" s="180" t="str">
        <f aca="false">IF((D113="d"),F113," ")</f>
        <v> </v>
      </c>
      <c r="H113" s="180" t="str">
        <f aca="false">IF((D113="h"),F113," ")</f>
        <v> </v>
      </c>
      <c r="I113" s="180" t="str">
        <f aca="false">IF((D113="r"),F113," ")</f>
        <v> </v>
      </c>
      <c r="J113" s="180" t="str">
        <f aca="false">IF((D113="t"),F113," ")</f>
        <v> </v>
      </c>
      <c r="K113" s="180" t="str">
        <f aca="false">IF((D113="e"),F113," ")</f>
        <v> </v>
      </c>
      <c r="L113" s="180" t="str">
        <f aca="false">IF((D113="p"),F113," ")</f>
        <v> </v>
      </c>
      <c r="M113" s="180" t="str">
        <f aca="false">IF((D113="g"),F113," ")</f>
        <v> </v>
      </c>
      <c r="N113" s="180" t="str">
        <f aca="false">IF((D113="a"),F113," ")</f>
        <v> </v>
      </c>
      <c r="O113" s="180" t="str">
        <f aca="false">IF((D113="l"),F113," ")</f>
        <v> </v>
      </c>
      <c r="P113" s="180" t="str">
        <f aca="false">IF((D113="i"),F113," ")</f>
        <v> </v>
      </c>
      <c r="Q113" s="180" t="str">
        <f aca="false">IF((D113="b"),F113," ")</f>
        <v> </v>
      </c>
      <c r="R113" s="180" t="str">
        <f aca="false">IF((D113="o"),F113," ")</f>
        <v> </v>
      </c>
      <c r="S113" s="180" t="str">
        <f aca="false">IF((D113="f"),F113," ")</f>
        <v> </v>
      </c>
      <c r="U113" s="371"/>
    </row>
    <row r="114" customFormat="false" ht="12.75" hidden="false" customHeight="false" outlineLevel="0" collapsed="false">
      <c r="D114" s="371" t="str">
        <f aca="false">IF((F114&lt;&gt;0),"Enter Letter"," ")</f>
        <v> </v>
      </c>
      <c r="G114" s="180" t="str">
        <f aca="false">IF((D114="d"),F114," ")</f>
        <v> </v>
      </c>
      <c r="H114" s="180" t="str">
        <f aca="false">IF((D114="h"),F114," ")</f>
        <v> </v>
      </c>
      <c r="I114" s="180" t="str">
        <f aca="false">IF((D114="r"),F114," ")</f>
        <v> </v>
      </c>
      <c r="J114" s="180" t="str">
        <f aca="false">IF((D114="t"),F114," ")</f>
        <v> </v>
      </c>
      <c r="K114" s="180" t="str">
        <f aca="false">IF((D114="e"),F114," ")</f>
        <v> </v>
      </c>
      <c r="L114" s="180" t="str">
        <f aca="false">IF((D114="p"),F114," ")</f>
        <v> </v>
      </c>
      <c r="M114" s="180" t="str">
        <f aca="false">IF((D114="g"),F114," ")</f>
        <v> </v>
      </c>
      <c r="N114" s="180" t="str">
        <f aca="false">IF((D114="a"),F114," ")</f>
        <v> </v>
      </c>
      <c r="O114" s="180" t="str">
        <f aca="false">IF((D114="l"),F114," ")</f>
        <v> </v>
      </c>
      <c r="P114" s="180" t="str">
        <f aca="false">IF((D114="i"),F114," ")</f>
        <v> </v>
      </c>
      <c r="Q114" s="180" t="str">
        <f aca="false">IF((D114="b"),F114," ")</f>
        <v> </v>
      </c>
      <c r="R114" s="180" t="str">
        <f aca="false">IF((D114="o"),F114," ")</f>
        <v> </v>
      </c>
      <c r="S114" s="180" t="str">
        <f aca="false">IF((D114="f"),F114," ")</f>
        <v> </v>
      </c>
      <c r="U114" s="371"/>
    </row>
    <row r="115" customFormat="false" ht="12.75" hidden="false" customHeight="false" outlineLevel="0" collapsed="false">
      <c r="D115" s="371" t="str">
        <f aca="false">IF((F115&lt;&gt;0),"Enter Letter"," ")</f>
        <v> </v>
      </c>
      <c r="G115" s="180" t="str">
        <f aca="false">IF((D115="d"),F115," ")</f>
        <v> </v>
      </c>
      <c r="H115" s="180" t="str">
        <f aca="false">IF((D115="h"),F115," ")</f>
        <v> </v>
      </c>
      <c r="I115" s="180" t="str">
        <f aca="false">IF((D115="r"),F115," ")</f>
        <v> </v>
      </c>
      <c r="J115" s="180" t="str">
        <f aca="false">IF((D115="t"),F115," ")</f>
        <v> </v>
      </c>
      <c r="K115" s="180" t="str">
        <f aca="false">IF((D115="e"),F115," ")</f>
        <v> </v>
      </c>
      <c r="L115" s="180" t="str">
        <f aca="false">IF((D115="p"),F115," ")</f>
        <v> </v>
      </c>
      <c r="M115" s="180" t="str">
        <f aca="false">IF((D115="g"),F115," ")</f>
        <v> </v>
      </c>
      <c r="N115" s="180" t="str">
        <f aca="false">IF((D115="a"),F115," ")</f>
        <v> </v>
      </c>
      <c r="O115" s="180" t="str">
        <f aca="false">IF((D115="l"),F115," ")</f>
        <v> </v>
      </c>
      <c r="P115" s="180" t="str">
        <f aca="false">IF((D115="i"),F115," ")</f>
        <v> </v>
      </c>
      <c r="Q115" s="180" t="str">
        <f aca="false">IF((D115="b"),F115," ")</f>
        <v> </v>
      </c>
      <c r="R115" s="180" t="str">
        <f aca="false">IF((D115="o"),F115," ")</f>
        <v> </v>
      </c>
      <c r="S115" s="180" t="str">
        <f aca="false">IF((D115="f"),F115," ")</f>
        <v> </v>
      </c>
      <c r="U115" s="371"/>
    </row>
    <row r="116" customFormat="false" ht="12.75" hidden="false" customHeight="false" outlineLevel="0" collapsed="false">
      <c r="D116" s="371" t="str">
        <f aca="false">IF((F116&lt;&gt;0),"Enter Letter"," ")</f>
        <v> </v>
      </c>
      <c r="G116" s="180" t="str">
        <f aca="false">IF((D116="d"),F116," ")</f>
        <v> </v>
      </c>
      <c r="H116" s="180" t="str">
        <f aca="false">IF((D116="h"),F116," ")</f>
        <v> </v>
      </c>
      <c r="I116" s="180" t="str">
        <f aca="false">IF((D116="r"),F116," ")</f>
        <v> </v>
      </c>
      <c r="J116" s="180" t="str">
        <f aca="false">IF((D116="t"),F116," ")</f>
        <v> </v>
      </c>
      <c r="K116" s="180" t="str">
        <f aca="false">IF((D116="e"),F116," ")</f>
        <v> </v>
      </c>
      <c r="L116" s="180" t="str">
        <f aca="false">IF((D116="p"),F116," ")</f>
        <v> </v>
      </c>
      <c r="M116" s="180" t="str">
        <f aca="false">IF((D116="g"),F116," ")</f>
        <v> </v>
      </c>
      <c r="N116" s="180" t="str">
        <f aca="false">IF((D116="a"),F116," ")</f>
        <v> </v>
      </c>
      <c r="O116" s="180" t="str">
        <f aca="false">IF((D116="l"),F116," ")</f>
        <v> </v>
      </c>
      <c r="P116" s="180" t="str">
        <f aca="false">IF((D116="i"),F116," ")</f>
        <v> </v>
      </c>
      <c r="Q116" s="180" t="str">
        <f aca="false">IF((D116="b"),F116," ")</f>
        <v> </v>
      </c>
      <c r="R116" s="180" t="str">
        <f aca="false">IF((D116="o"),F116," ")</f>
        <v> </v>
      </c>
      <c r="S116" s="180" t="str">
        <f aca="false">IF((D116="f"),F116," ")</f>
        <v> </v>
      </c>
      <c r="U116" s="371"/>
    </row>
    <row r="117" customFormat="false" ht="12.75" hidden="false" customHeight="false" outlineLevel="0" collapsed="false">
      <c r="D117" s="371" t="str">
        <f aca="false">IF((F117&lt;&gt;0),"Enter Letter"," ")</f>
        <v> </v>
      </c>
      <c r="G117" s="180" t="str">
        <f aca="false">IF((D117="d"),F117," ")</f>
        <v> </v>
      </c>
      <c r="H117" s="180" t="str">
        <f aca="false">IF((D117="h"),F117," ")</f>
        <v> </v>
      </c>
      <c r="I117" s="180" t="str">
        <f aca="false">IF((D117="r"),F117," ")</f>
        <v> </v>
      </c>
      <c r="J117" s="180" t="str">
        <f aca="false">IF((D117="t"),F117," ")</f>
        <v> </v>
      </c>
      <c r="K117" s="180" t="str">
        <f aca="false">IF((D117="e"),F117," ")</f>
        <v> </v>
      </c>
      <c r="L117" s="180" t="str">
        <f aca="false">IF((D117="p"),F117," ")</f>
        <v> </v>
      </c>
      <c r="M117" s="180" t="str">
        <f aca="false">IF((D117="g"),F117," ")</f>
        <v> </v>
      </c>
      <c r="N117" s="180" t="str">
        <f aca="false">IF((D117="a"),F117," ")</f>
        <v> </v>
      </c>
      <c r="O117" s="180" t="str">
        <f aca="false">IF((D117="l"),F117," ")</f>
        <v> </v>
      </c>
      <c r="P117" s="180" t="str">
        <f aca="false">IF((D117="i"),F117," ")</f>
        <v> </v>
      </c>
      <c r="Q117" s="180" t="str">
        <f aca="false">IF((D117="b"),F117," ")</f>
        <v> </v>
      </c>
      <c r="R117" s="180" t="str">
        <f aca="false">IF((D117="o"),F117," ")</f>
        <v> </v>
      </c>
      <c r="S117" s="180" t="str">
        <f aca="false">IF((D117="f"),F117," ")</f>
        <v> </v>
      </c>
      <c r="U117" s="371"/>
    </row>
    <row r="118" customFormat="false" ht="12.75" hidden="false" customHeight="false" outlineLevel="0" collapsed="false">
      <c r="D118" s="371" t="str">
        <f aca="false">IF((F118&lt;&gt;0),"Enter Letter"," ")</f>
        <v> </v>
      </c>
      <c r="G118" s="180" t="str">
        <f aca="false">IF((D118="d"),F118," ")</f>
        <v> </v>
      </c>
      <c r="H118" s="180" t="str">
        <f aca="false">IF((D118="h"),F118," ")</f>
        <v> </v>
      </c>
      <c r="I118" s="180" t="str">
        <f aca="false">IF((D118="r"),F118," ")</f>
        <v> </v>
      </c>
      <c r="J118" s="180" t="str">
        <f aca="false">IF((D118="t"),F118," ")</f>
        <v> </v>
      </c>
      <c r="K118" s="180" t="str">
        <f aca="false">IF((D118="e"),F118," ")</f>
        <v> </v>
      </c>
      <c r="L118" s="180" t="str">
        <f aca="false">IF((D118="p"),F118," ")</f>
        <v> </v>
      </c>
      <c r="M118" s="180" t="str">
        <f aca="false">IF((D118="g"),F118," ")</f>
        <v> </v>
      </c>
      <c r="N118" s="180" t="str">
        <f aca="false">IF((D118="a"),F118," ")</f>
        <v> </v>
      </c>
      <c r="O118" s="180" t="str">
        <f aca="false">IF((D118="l"),F118," ")</f>
        <v> </v>
      </c>
      <c r="P118" s="180" t="str">
        <f aca="false">IF((D118="i"),F118," ")</f>
        <v> </v>
      </c>
      <c r="Q118" s="180" t="str">
        <f aca="false">IF((D118="b"),F118," ")</f>
        <v> </v>
      </c>
      <c r="R118" s="180" t="str">
        <f aca="false">IF((D118="o"),F118," ")</f>
        <v> </v>
      </c>
      <c r="S118" s="180" t="str">
        <f aca="false">IF((D118="f"),F118," ")</f>
        <v> </v>
      </c>
      <c r="U118" s="371"/>
    </row>
    <row r="119" customFormat="false" ht="12.75" hidden="false" customHeight="false" outlineLevel="0" collapsed="false">
      <c r="D119" s="371" t="str">
        <f aca="false">IF((F119&lt;&gt;0),"Enter Letter"," ")</f>
        <v> </v>
      </c>
      <c r="G119" s="180" t="str">
        <f aca="false">IF((D119="d"),F119," ")</f>
        <v> </v>
      </c>
      <c r="H119" s="180" t="str">
        <f aca="false">IF((D119="h"),F119," ")</f>
        <v> </v>
      </c>
      <c r="I119" s="180" t="str">
        <f aca="false">IF((D119="r"),F119," ")</f>
        <v> </v>
      </c>
      <c r="J119" s="180" t="str">
        <f aca="false">IF((D119="t"),F119," ")</f>
        <v> </v>
      </c>
      <c r="K119" s="180" t="str">
        <f aca="false">IF((D119="e"),F119," ")</f>
        <v> </v>
      </c>
      <c r="L119" s="180" t="str">
        <f aca="false">IF((D119="p"),F119," ")</f>
        <v> </v>
      </c>
      <c r="M119" s="180" t="str">
        <f aca="false">IF((D119="g"),F119," ")</f>
        <v> </v>
      </c>
      <c r="N119" s="180" t="str">
        <f aca="false">IF((D119="a"),F119," ")</f>
        <v> </v>
      </c>
      <c r="O119" s="180" t="str">
        <f aca="false">IF((D119="l"),F119," ")</f>
        <v> </v>
      </c>
      <c r="P119" s="180" t="str">
        <f aca="false">IF((D119="i"),F119," ")</f>
        <v> </v>
      </c>
      <c r="Q119" s="180" t="str">
        <f aca="false">IF((D119="b"),F119," ")</f>
        <v> </v>
      </c>
      <c r="R119" s="180" t="str">
        <f aca="false">IF((D119="o"),F119," ")</f>
        <v> </v>
      </c>
      <c r="S119" s="180" t="str">
        <f aca="false">IF((D119="f"),F119," ")</f>
        <v> </v>
      </c>
      <c r="U119" s="371"/>
    </row>
    <row r="120" customFormat="false" ht="12.75" hidden="false" customHeight="false" outlineLevel="0" collapsed="false">
      <c r="D120" s="371" t="str">
        <f aca="false">IF((F120&lt;&gt;0),"Enter Letter"," ")</f>
        <v> </v>
      </c>
      <c r="G120" s="180" t="str">
        <f aca="false">IF((D120="d"),F120," ")</f>
        <v> </v>
      </c>
      <c r="H120" s="180" t="str">
        <f aca="false">IF((D120="h"),F120," ")</f>
        <v> </v>
      </c>
      <c r="I120" s="180" t="str">
        <f aca="false">IF((D120="r"),F120," ")</f>
        <v> </v>
      </c>
      <c r="J120" s="180" t="str">
        <f aca="false">IF((D120="t"),F120," ")</f>
        <v> </v>
      </c>
      <c r="K120" s="180" t="str">
        <f aca="false">IF((D120="e"),F120," ")</f>
        <v> </v>
      </c>
      <c r="L120" s="180" t="str">
        <f aca="false">IF((D120="p"),F120," ")</f>
        <v> </v>
      </c>
      <c r="M120" s="180" t="str">
        <f aca="false">IF((D120="g"),F120," ")</f>
        <v> </v>
      </c>
      <c r="N120" s="180" t="str">
        <f aca="false">IF((D120="a"),F120," ")</f>
        <v> </v>
      </c>
      <c r="O120" s="180" t="str">
        <f aca="false">IF((D120="l"),F120," ")</f>
        <v> </v>
      </c>
      <c r="P120" s="180" t="str">
        <f aca="false">IF((D120="i"),F120," ")</f>
        <v> </v>
      </c>
      <c r="Q120" s="180" t="str">
        <f aca="false">IF((D120="b"),F120," ")</f>
        <v> </v>
      </c>
      <c r="R120" s="180" t="str">
        <f aca="false">IF((D120="o"),F120," ")</f>
        <v> </v>
      </c>
      <c r="S120" s="180" t="str">
        <f aca="false">IF((D120="f"),F120," ")</f>
        <v> </v>
      </c>
      <c r="U120" s="371"/>
    </row>
    <row r="121" customFormat="false" ht="12.75" hidden="false" customHeight="false" outlineLevel="0" collapsed="false">
      <c r="D121" s="371" t="str">
        <f aca="false">IF((F121&lt;&gt;0),"Enter Letter"," ")</f>
        <v> </v>
      </c>
      <c r="G121" s="180" t="str">
        <f aca="false">IF((D121="d"),F121," ")</f>
        <v> </v>
      </c>
      <c r="H121" s="180" t="str">
        <f aca="false">IF((D121="h"),F121," ")</f>
        <v> </v>
      </c>
      <c r="I121" s="180" t="str">
        <f aca="false">IF((D121="r"),F121," ")</f>
        <v> </v>
      </c>
      <c r="J121" s="180" t="str">
        <f aca="false">IF((D121="t"),F121," ")</f>
        <v> </v>
      </c>
      <c r="K121" s="180" t="str">
        <f aca="false">IF((D121="e"),F121," ")</f>
        <v> </v>
      </c>
      <c r="L121" s="180" t="str">
        <f aca="false">IF((D121="p"),F121," ")</f>
        <v> </v>
      </c>
      <c r="M121" s="180" t="str">
        <f aca="false">IF((D121="g"),F121," ")</f>
        <v> </v>
      </c>
      <c r="N121" s="180" t="str">
        <f aca="false">IF((D121="a"),F121," ")</f>
        <v> </v>
      </c>
      <c r="O121" s="180" t="str">
        <f aca="false">IF((D121="l"),F121," ")</f>
        <v> </v>
      </c>
      <c r="P121" s="180" t="str">
        <f aca="false">IF((D121="i"),F121," ")</f>
        <v> </v>
      </c>
      <c r="Q121" s="180" t="str">
        <f aca="false">IF((D121="b"),F121," ")</f>
        <v> </v>
      </c>
      <c r="R121" s="180" t="str">
        <f aca="false">IF((D121="o"),F121," ")</f>
        <v> </v>
      </c>
      <c r="S121" s="180" t="str">
        <f aca="false">IF((D121="f"),F121," ")</f>
        <v> </v>
      </c>
      <c r="U121" s="371"/>
    </row>
    <row r="122" customFormat="false" ht="12.75" hidden="false" customHeight="false" outlineLevel="0" collapsed="false">
      <c r="D122" s="371" t="str">
        <f aca="false">IF((F122&lt;&gt;0),"Enter Letter"," ")</f>
        <v> </v>
      </c>
      <c r="G122" s="180" t="str">
        <f aca="false">IF((D122="d"),F122," ")</f>
        <v> </v>
      </c>
      <c r="H122" s="180" t="str">
        <f aca="false">IF((D122="h"),F122," ")</f>
        <v> </v>
      </c>
      <c r="I122" s="180" t="str">
        <f aca="false">IF((D122="r"),F122," ")</f>
        <v> </v>
      </c>
      <c r="J122" s="180" t="str">
        <f aca="false">IF((D122="t"),F122," ")</f>
        <v> </v>
      </c>
      <c r="K122" s="180" t="str">
        <f aca="false">IF((D122="e"),F122," ")</f>
        <v> </v>
      </c>
      <c r="L122" s="180" t="str">
        <f aca="false">IF((D122="p"),F122," ")</f>
        <v> </v>
      </c>
      <c r="M122" s="180" t="str">
        <f aca="false">IF((D122="g"),F122," ")</f>
        <v> </v>
      </c>
      <c r="N122" s="180" t="str">
        <f aca="false">IF((D122="a"),F122," ")</f>
        <v> </v>
      </c>
      <c r="O122" s="180" t="str">
        <f aca="false">IF((D122="l"),F122," ")</f>
        <v> </v>
      </c>
      <c r="P122" s="180" t="str">
        <f aca="false">IF((D122="i"),F122," ")</f>
        <v> </v>
      </c>
      <c r="Q122" s="180" t="str">
        <f aca="false">IF((D122="b"),F122," ")</f>
        <v> </v>
      </c>
      <c r="R122" s="180" t="str">
        <f aca="false">IF((D122="o"),F122," ")</f>
        <v> </v>
      </c>
      <c r="S122" s="180" t="str">
        <f aca="false">IF((D122="f"),F122," ")</f>
        <v> </v>
      </c>
      <c r="U122" s="371"/>
    </row>
    <row r="123" customFormat="false" ht="12.75" hidden="false" customHeight="false" outlineLevel="0" collapsed="false">
      <c r="D123" s="371" t="str">
        <f aca="false">IF((F123&lt;&gt;0),"Enter Letter"," ")</f>
        <v> </v>
      </c>
      <c r="G123" s="180" t="str">
        <f aca="false">IF((D123="d"),F123," ")</f>
        <v> </v>
      </c>
      <c r="H123" s="180" t="str">
        <f aca="false">IF((D123="h"),F123," ")</f>
        <v> </v>
      </c>
      <c r="I123" s="180" t="str">
        <f aca="false">IF((D123="r"),F123," ")</f>
        <v> </v>
      </c>
      <c r="J123" s="180" t="str">
        <f aca="false">IF((D123="t"),F123," ")</f>
        <v> </v>
      </c>
      <c r="K123" s="180" t="str">
        <f aca="false">IF((D123="e"),F123," ")</f>
        <v> </v>
      </c>
      <c r="L123" s="180" t="str">
        <f aca="false">IF((D123="p"),F123," ")</f>
        <v> </v>
      </c>
      <c r="M123" s="180" t="str">
        <f aca="false">IF((D123="g"),F123," ")</f>
        <v> </v>
      </c>
      <c r="N123" s="180" t="str">
        <f aca="false">IF((D123="a"),F123," ")</f>
        <v> </v>
      </c>
      <c r="O123" s="180" t="str">
        <f aca="false">IF((D123="l"),F123," ")</f>
        <v> </v>
      </c>
      <c r="P123" s="180" t="str">
        <f aca="false">IF((D123="i"),F123," ")</f>
        <v> </v>
      </c>
      <c r="Q123" s="180" t="str">
        <f aca="false">IF((D123="b"),F123," ")</f>
        <v> </v>
      </c>
      <c r="R123" s="180" t="str">
        <f aca="false">IF((D123="o"),F123," ")</f>
        <v> </v>
      </c>
      <c r="S123" s="180" t="str">
        <f aca="false">IF((D123="f"),F123," ")</f>
        <v> </v>
      </c>
      <c r="U123" s="371"/>
    </row>
    <row r="124" customFormat="false" ht="12.75" hidden="false" customHeight="false" outlineLevel="0" collapsed="false">
      <c r="D124" s="371" t="str">
        <f aca="false">IF((F124&lt;&gt;0),"Enter Letter"," ")</f>
        <v> </v>
      </c>
      <c r="G124" s="180" t="str">
        <f aca="false">IF((D124="d"),F124," ")</f>
        <v> </v>
      </c>
      <c r="H124" s="180" t="str">
        <f aca="false">IF((D124="h"),F124," ")</f>
        <v> </v>
      </c>
      <c r="I124" s="180" t="str">
        <f aca="false">IF((D124="r"),F124," ")</f>
        <v> </v>
      </c>
      <c r="J124" s="180" t="str">
        <f aca="false">IF((D124="t"),F124," ")</f>
        <v> </v>
      </c>
      <c r="K124" s="180" t="str">
        <f aca="false">IF((D124="e"),F124," ")</f>
        <v> </v>
      </c>
      <c r="L124" s="180" t="str">
        <f aca="false">IF((D124="p"),F124," ")</f>
        <v> </v>
      </c>
      <c r="M124" s="180" t="str">
        <f aca="false">IF((D124="g"),F124," ")</f>
        <v> </v>
      </c>
      <c r="N124" s="180" t="str">
        <f aca="false">IF((D124="a"),F124," ")</f>
        <v> </v>
      </c>
      <c r="O124" s="180" t="str">
        <f aca="false">IF((D124="l"),F124," ")</f>
        <v> </v>
      </c>
      <c r="P124" s="180" t="str">
        <f aca="false">IF((D124="i"),F124," ")</f>
        <v> </v>
      </c>
      <c r="Q124" s="180" t="str">
        <f aca="false">IF((D124="b"),F124," ")</f>
        <v> </v>
      </c>
      <c r="R124" s="180" t="str">
        <f aca="false">IF((D124="o"),F124," ")</f>
        <v> </v>
      </c>
      <c r="S124" s="180" t="str">
        <f aca="false">IF((D124="f"),F124," ")</f>
        <v> </v>
      </c>
      <c r="U124" s="371"/>
    </row>
    <row r="125" customFormat="false" ht="12.75" hidden="false" customHeight="false" outlineLevel="0" collapsed="false">
      <c r="D125" s="371" t="str">
        <f aca="false">IF((F125&lt;&gt;0),"Enter Letter"," ")</f>
        <v> </v>
      </c>
      <c r="G125" s="180" t="str">
        <f aca="false">IF((D125="d"),F125," ")</f>
        <v> </v>
      </c>
      <c r="H125" s="180" t="str">
        <f aca="false">IF((D125="h"),F125," ")</f>
        <v> </v>
      </c>
      <c r="I125" s="180" t="str">
        <f aca="false">IF((D125="r"),F125," ")</f>
        <v> </v>
      </c>
      <c r="J125" s="180" t="str">
        <f aca="false">IF((D125="t"),F125," ")</f>
        <v> </v>
      </c>
      <c r="K125" s="180" t="str">
        <f aca="false">IF((D125="e"),F125," ")</f>
        <v> </v>
      </c>
      <c r="L125" s="180" t="str">
        <f aca="false">IF((D125="p"),F125," ")</f>
        <v> </v>
      </c>
      <c r="M125" s="180" t="str">
        <f aca="false">IF((D125="g"),F125," ")</f>
        <v> </v>
      </c>
      <c r="N125" s="180" t="str">
        <f aca="false">IF((D125="a"),F125," ")</f>
        <v> </v>
      </c>
      <c r="O125" s="180" t="str">
        <f aca="false">IF((D125="l"),F125," ")</f>
        <v> </v>
      </c>
      <c r="P125" s="180" t="str">
        <f aca="false">IF((D125="i"),F125," ")</f>
        <v> </v>
      </c>
      <c r="Q125" s="180" t="str">
        <f aca="false">IF((D125="b"),F125," ")</f>
        <v> </v>
      </c>
      <c r="R125" s="180" t="str">
        <f aca="false">IF((D125="o"),F125," ")</f>
        <v> </v>
      </c>
      <c r="S125" s="180" t="str">
        <f aca="false">IF((D125="f"),F125," ")</f>
        <v> </v>
      </c>
      <c r="U125" s="371"/>
    </row>
    <row r="126" customFormat="false" ht="12.75" hidden="false" customHeight="false" outlineLevel="0" collapsed="false">
      <c r="D126" s="371" t="str">
        <f aca="false">IF((F126&lt;&gt;0),"Enter Letter"," ")</f>
        <v> </v>
      </c>
      <c r="G126" s="180" t="str">
        <f aca="false">IF((D126="d"),F126," ")</f>
        <v> </v>
      </c>
      <c r="H126" s="180" t="str">
        <f aca="false">IF((D126="h"),F126," ")</f>
        <v> </v>
      </c>
      <c r="I126" s="180" t="str">
        <f aca="false">IF((D126="r"),F126," ")</f>
        <v> </v>
      </c>
      <c r="J126" s="180" t="str">
        <f aca="false">IF((D126="t"),F126," ")</f>
        <v> </v>
      </c>
      <c r="K126" s="180" t="str">
        <f aca="false">IF((D126="e"),F126," ")</f>
        <v> </v>
      </c>
      <c r="L126" s="180" t="str">
        <f aca="false">IF((D126="p"),F126," ")</f>
        <v> </v>
      </c>
      <c r="M126" s="180" t="str">
        <f aca="false">IF((D126="g"),F126," ")</f>
        <v> </v>
      </c>
      <c r="N126" s="180" t="str">
        <f aca="false">IF((D126="a"),F126," ")</f>
        <v> </v>
      </c>
      <c r="O126" s="180" t="str">
        <f aca="false">IF((D126="l"),F126," ")</f>
        <v> </v>
      </c>
      <c r="P126" s="180" t="str">
        <f aca="false">IF((D126="i"),F126," ")</f>
        <v> </v>
      </c>
      <c r="Q126" s="180" t="str">
        <f aca="false">IF((D126="b"),F126," ")</f>
        <v> </v>
      </c>
      <c r="R126" s="180" t="str">
        <f aca="false">IF((D126="o"),F126," ")</f>
        <v> </v>
      </c>
      <c r="S126" s="180" t="str">
        <f aca="false">IF((D126="f"),F126," ")</f>
        <v> </v>
      </c>
      <c r="U126" s="371"/>
    </row>
    <row r="127" customFormat="false" ht="12.75" hidden="false" customHeight="false" outlineLevel="0" collapsed="false">
      <c r="D127" s="371" t="str">
        <f aca="false">IF((F127&lt;&gt;0),"Enter Letter"," ")</f>
        <v> </v>
      </c>
      <c r="G127" s="180" t="str">
        <f aca="false">IF((D127="d"),F127," ")</f>
        <v> </v>
      </c>
      <c r="H127" s="180" t="str">
        <f aca="false">IF((D127="h"),F127," ")</f>
        <v> </v>
      </c>
      <c r="I127" s="180" t="str">
        <f aca="false">IF((D127="r"),F127," ")</f>
        <v> </v>
      </c>
      <c r="J127" s="180" t="str">
        <f aca="false">IF((D127="t"),F127," ")</f>
        <v> </v>
      </c>
      <c r="K127" s="180" t="str">
        <f aca="false">IF((D127="e"),F127," ")</f>
        <v> </v>
      </c>
      <c r="L127" s="180" t="str">
        <f aca="false">IF((D127="p"),F127," ")</f>
        <v> </v>
      </c>
      <c r="M127" s="180" t="str">
        <f aca="false">IF((D127="g"),F127," ")</f>
        <v> </v>
      </c>
      <c r="N127" s="180" t="str">
        <f aca="false">IF((D127="a"),F127," ")</f>
        <v> </v>
      </c>
      <c r="O127" s="180" t="str">
        <f aca="false">IF((D127="l"),F127," ")</f>
        <v> </v>
      </c>
      <c r="P127" s="180" t="str">
        <f aca="false">IF((D127="i"),F127," ")</f>
        <v> </v>
      </c>
      <c r="Q127" s="180" t="str">
        <f aca="false">IF((D127="b"),F127," ")</f>
        <v> </v>
      </c>
      <c r="R127" s="180" t="str">
        <f aca="false">IF((D127="o"),F127," ")</f>
        <v> </v>
      </c>
      <c r="S127" s="180" t="str">
        <f aca="false">IF((D127="f"),F127," ")</f>
        <v> </v>
      </c>
      <c r="U127" s="371"/>
    </row>
    <row r="128" customFormat="false" ht="12.75" hidden="false" customHeight="false" outlineLevel="0" collapsed="false">
      <c r="D128" s="371" t="str">
        <f aca="false">IF((F128&lt;&gt;0),"Enter Letter"," ")</f>
        <v> </v>
      </c>
      <c r="G128" s="180" t="str">
        <f aca="false">IF((D128="d"),F128," ")</f>
        <v> </v>
      </c>
      <c r="H128" s="180" t="str">
        <f aca="false">IF((D128="h"),F128," ")</f>
        <v> </v>
      </c>
      <c r="I128" s="180" t="str">
        <f aca="false">IF((D128="r"),F128," ")</f>
        <v> </v>
      </c>
      <c r="J128" s="180" t="str">
        <f aca="false">IF((D128="t"),F128," ")</f>
        <v> </v>
      </c>
      <c r="K128" s="180" t="str">
        <f aca="false">IF((D128="e"),F128," ")</f>
        <v> </v>
      </c>
      <c r="L128" s="180" t="str">
        <f aca="false">IF((D128="p"),F128," ")</f>
        <v> </v>
      </c>
      <c r="M128" s="180" t="str">
        <f aca="false">IF((D128="g"),F128," ")</f>
        <v> </v>
      </c>
      <c r="N128" s="180" t="str">
        <f aca="false">IF((D128="a"),F128," ")</f>
        <v> </v>
      </c>
      <c r="O128" s="180" t="str">
        <f aca="false">IF((D128="l"),F128," ")</f>
        <v> </v>
      </c>
      <c r="P128" s="180" t="str">
        <f aca="false">IF((D128="i"),F128," ")</f>
        <v> </v>
      </c>
      <c r="Q128" s="180" t="str">
        <f aca="false">IF((D128="b"),F128," ")</f>
        <v> </v>
      </c>
      <c r="R128" s="180" t="str">
        <f aca="false">IF((D128="o"),F128," ")</f>
        <v> </v>
      </c>
      <c r="S128" s="180" t="str">
        <f aca="false">IF((D128="f"),F128," ")</f>
        <v> </v>
      </c>
      <c r="U128" s="371"/>
    </row>
    <row r="129" customFormat="false" ht="12.75" hidden="false" customHeight="false" outlineLevel="0" collapsed="false">
      <c r="D129" s="371" t="str">
        <f aca="false">IF((F129&lt;&gt;0),"Enter Letter"," ")</f>
        <v> </v>
      </c>
      <c r="G129" s="180" t="str">
        <f aca="false">IF((D129="d"),F129," ")</f>
        <v> </v>
      </c>
      <c r="H129" s="180" t="str">
        <f aca="false">IF((D129="h"),F129," ")</f>
        <v> </v>
      </c>
      <c r="I129" s="180" t="str">
        <f aca="false">IF((D129="r"),F129," ")</f>
        <v> </v>
      </c>
      <c r="J129" s="180" t="str">
        <f aca="false">IF((D129="t"),F129," ")</f>
        <v> </v>
      </c>
      <c r="K129" s="180" t="str">
        <f aca="false">IF((D129="e"),F129," ")</f>
        <v> </v>
      </c>
      <c r="L129" s="180" t="str">
        <f aca="false">IF((D129="p"),F129," ")</f>
        <v> </v>
      </c>
      <c r="M129" s="180" t="str">
        <f aca="false">IF((D129="g"),F129," ")</f>
        <v> </v>
      </c>
      <c r="N129" s="180" t="str">
        <f aca="false">IF((D129="a"),F129," ")</f>
        <v> </v>
      </c>
      <c r="O129" s="180" t="str">
        <f aca="false">IF((D129="l"),F129," ")</f>
        <v> </v>
      </c>
      <c r="P129" s="180" t="str">
        <f aca="false">IF((D129="i"),F129," ")</f>
        <v> </v>
      </c>
      <c r="Q129" s="180" t="str">
        <f aca="false">IF((D129="b"),F129," ")</f>
        <v> </v>
      </c>
      <c r="R129" s="180" t="str">
        <f aca="false">IF((D129="o"),F129," ")</f>
        <v> </v>
      </c>
      <c r="S129" s="180" t="str">
        <f aca="false">IF((D129="f"),F129," ")</f>
        <v> </v>
      </c>
      <c r="U129" s="371"/>
    </row>
    <row r="130" customFormat="false" ht="12.75" hidden="false" customHeight="false" outlineLevel="0" collapsed="false">
      <c r="D130" s="371" t="str">
        <f aca="false">IF((F130&lt;&gt;0),"Enter Letter"," ")</f>
        <v> </v>
      </c>
      <c r="G130" s="180" t="str">
        <f aca="false">IF((D130="d"),F130," ")</f>
        <v> </v>
      </c>
      <c r="H130" s="180" t="str">
        <f aca="false">IF((D130="h"),F130," ")</f>
        <v> </v>
      </c>
      <c r="I130" s="180" t="str">
        <f aca="false">IF((D130="r"),F130," ")</f>
        <v> </v>
      </c>
      <c r="J130" s="180" t="str">
        <f aca="false">IF((D130="t"),F130," ")</f>
        <v> </v>
      </c>
      <c r="K130" s="180" t="str">
        <f aca="false">IF((D130="e"),F130," ")</f>
        <v> </v>
      </c>
      <c r="L130" s="180" t="str">
        <f aca="false">IF((D130="p"),F130," ")</f>
        <v> </v>
      </c>
      <c r="M130" s="180" t="str">
        <f aca="false">IF((D130="g"),F130," ")</f>
        <v> </v>
      </c>
      <c r="N130" s="180" t="str">
        <f aca="false">IF((D130="a"),F130," ")</f>
        <v> </v>
      </c>
      <c r="O130" s="180" t="str">
        <f aca="false">IF((D130="l"),F130," ")</f>
        <v> </v>
      </c>
      <c r="P130" s="180" t="str">
        <f aca="false">IF((D130="i"),F130," ")</f>
        <v> </v>
      </c>
      <c r="Q130" s="180" t="str">
        <f aca="false">IF((D130="b"),F130," ")</f>
        <v> </v>
      </c>
      <c r="R130" s="180" t="str">
        <f aca="false">IF((D130="o"),F130," ")</f>
        <v> </v>
      </c>
      <c r="S130" s="180" t="str">
        <f aca="false">IF((D130="f"),F130," ")</f>
        <v> </v>
      </c>
      <c r="U130" s="371"/>
    </row>
    <row r="131" customFormat="false" ht="12.75" hidden="false" customHeight="false" outlineLevel="0" collapsed="false">
      <c r="D131" s="371" t="str">
        <f aca="false">IF((F131&lt;&gt;0),"Enter Letter"," ")</f>
        <v> </v>
      </c>
      <c r="G131" s="180" t="str">
        <f aca="false">IF((D131="d"),F131," ")</f>
        <v> </v>
      </c>
      <c r="H131" s="180" t="str">
        <f aca="false">IF((D131="h"),F131," ")</f>
        <v> </v>
      </c>
      <c r="I131" s="180" t="str">
        <f aca="false">IF((D131="r"),F131," ")</f>
        <v> </v>
      </c>
      <c r="J131" s="180" t="str">
        <f aca="false">IF((D131="t"),F131," ")</f>
        <v> </v>
      </c>
      <c r="K131" s="180" t="str">
        <f aca="false">IF((D131="e"),F131," ")</f>
        <v> </v>
      </c>
      <c r="L131" s="180" t="str">
        <f aca="false">IF((D131="p"),F131," ")</f>
        <v> </v>
      </c>
      <c r="M131" s="180" t="str">
        <f aca="false">IF((D131="g"),F131," ")</f>
        <v> </v>
      </c>
      <c r="N131" s="180" t="str">
        <f aca="false">IF((D131="a"),F131," ")</f>
        <v> </v>
      </c>
      <c r="O131" s="180" t="str">
        <f aca="false">IF((D131="l"),F131," ")</f>
        <v> </v>
      </c>
      <c r="P131" s="180" t="str">
        <f aca="false">IF((D131="i"),F131," ")</f>
        <v> </v>
      </c>
      <c r="Q131" s="180" t="str">
        <f aca="false">IF((D131="b"),F131," ")</f>
        <v> </v>
      </c>
      <c r="R131" s="180" t="str">
        <f aca="false">IF((D131="o"),F131," ")</f>
        <v> </v>
      </c>
      <c r="S131" s="180" t="str">
        <f aca="false">IF((D131="f"),F131," ")</f>
        <v> </v>
      </c>
      <c r="U131" s="371"/>
    </row>
    <row r="132" customFormat="false" ht="12.75" hidden="false" customHeight="false" outlineLevel="0" collapsed="false">
      <c r="D132" s="371" t="str">
        <f aca="false">IF((F132&lt;&gt;0),"Enter Letter"," ")</f>
        <v> </v>
      </c>
      <c r="G132" s="180" t="str">
        <f aca="false">IF((D132="d"),F132," ")</f>
        <v> </v>
      </c>
      <c r="H132" s="180" t="str">
        <f aca="false">IF((D132="h"),F132," ")</f>
        <v> </v>
      </c>
      <c r="I132" s="180" t="str">
        <f aca="false">IF((D132="r"),F132," ")</f>
        <v> </v>
      </c>
      <c r="J132" s="180" t="str">
        <f aca="false">IF((D132="t"),F132," ")</f>
        <v> </v>
      </c>
      <c r="K132" s="180" t="str">
        <f aca="false">IF((D132="e"),F132," ")</f>
        <v> </v>
      </c>
      <c r="L132" s="180" t="str">
        <f aca="false">IF((D132="p"),F132," ")</f>
        <v> </v>
      </c>
      <c r="M132" s="180" t="str">
        <f aca="false">IF((D132="g"),F132," ")</f>
        <v> </v>
      </c>
      <c r="N132" s="180" t="str">
        <f aca="false">IF((D132="a"),F132," ")</f>
        <v> </v>
      </c>
      <c r="O132" s="180" t="str">
        <f aca="false">IF((D132="l"),F132," ")</f>
        <v> </v>
      </c>
      <c r="P132" s="180" t="str">
        <f aca="false">IF((D132="i"),F132," ")</f>
        <v> </v>
      </c>
      <c r="Q132" s="180" t="str">
        <f aca="false">IF((D132="b"),F132," ")</f>
        <v> </v>
      </c>
      <c r="R132" s="180" t="str">
        <f aca="false">IF((D132="o"),F132," ")</f>
        <v> </v>
      </c>
      <c r="S132" s="180" t="str">
        <f aca="false">IF((D132="f"),F132," ")</f>
        <v> </v>
      </c>
      <c r="U132" s="371"/>
    </row>
    <row r="133" customFormat="false" ht="12.75" hidden="false" customHeight="false" outlineLevel="0" collapsed="false">
      <c r="D133" s="371" t="str">
        <f aca="false">IF((F133&lt;&gt;0),"Enter Letter"," ")</f>
        <v> </v>
      </c>
      <c r="G133" s="180" t="str">
        <f aca="false">IF((D133="d"),F133," ")</f>
        <v> </v>
      </c>
      <c r="H133" s="180" t="str">
        <f aca="false">IF((D133="h"),F133," ")</f>
        <v> </v>
      </c>
      <c r="I133" s="180" t="str">
        <f aca="false">IF((D133="r"),F133," ")</f>
        <v> </v>
      </c>
      <c r="J133" s="180" t="str">
        <f aca="false">IF((D133="t"),F133," ")</f>
        <v> </v>
      </c>
      <c r="K133" s="180" t="str">
        <f aca="false">IF((D133="e"),F133," ")</f>
        <v> </v>
      </c>
      <c r="L133" s="180" t="str">
        <f aca="false">IF((D133="p"),F133," ")</f>
        <v> </v>
      </c>
      <c r="M133" s="180" t="str">
        <f aca="false">IF((D133="g"),F133," ")</f>
        <v> </v>
      </c>
      <c r="N133" s="180" t="str">
        <f aca="false">IF((D133="a"),F133," ")</f>
        <v> </v>
      </c>
      <c r="O133" s="180" t="str">
        <f aca="false">IF((D133="l"),F133," ")</f>
        <v> </v>
      </c>
      <c r="P133" s="180" t="str">
        <f aca="false">IF((D133="i"),F133," ")</f>
        <v> </v>
      </c>
      <c r="Q133" s="180" t="str">
        <f aca="false">IF((D133="b"),F133," ")</f>
        <v> </v>
      </c>
      <c r="R133" s="180" t="str">
        <f aca="false">IF((D133="o"),F133," ")</f>
        <v> </v>
      </c>
      <c r="S133" s="180" t="str">
        <f aca="false">IF((D133="f"),F133," ")</f>
        <v> </v>
      </c>
      <c r="U133" s="371"/>
    </row>
    <row r="134" customFormat="false" ht="12.75" hidden="false" customHeight="false" outlineLevel="0" collapsed="false">
      <c r="D134" s="371" t="str">
        <f aca="false">IF((F134&lt;&gt;0),"Enter Letter"," ")</f>
        <v> </v>
      </c>
      <c r="G134" s="180" t="str">
        <f aca="false">IF((D134="d"),F134," ")</f>
        <v> </v>
      </c>
      <c r="H134" s="180" t="str">
        <f aca="false">IF((D134="h"),F134," ")</f>
        <v> </v>
      </c>
      <c r="I134" s="180" t="str">
        <f aca="false">IF((D134="r"),F134," ")</f>
        <v> </v>
      </c>
      <c r="J134" s="180" t="str">
        <f aca="false">IF((D134="t"),F134," ")</f>
        <v> </v>
      </c>
      <c r="K134" s="180" t="str">
        <f aca="false">IF((D134="e"),F134," ")</f>
        <v> </v>
      </c>
      <c r="L134" s="180" t="str">
        <f aca="false">IF((D134="p"),F134," ")</f>
        <v> </v>
      </c>
      <c r="M134" s="180" t="str">
        <f aca="false">IF((D134="g"),F134," ")</f>
        <v> </v>
      </c>
      <c r="N134" s="180" t="str">
        <f aca="false">IF((D134="a"),F134," ")</f>
        <v> </v>
      </c>
      <c r="O134" s="180" t="str">
        <f aca="false">IF((D134="l"),F134," ")</f>
        <v> </v>
      </c>
      <c r="P134" s="180" t="str">
        <f aca="false">IF((D134="i"),F134," ")</f>
        <v> </v>
      </c>
      <c r="Q134" s="180" t="str">
        <f aca="false">IF((D134="b"),F134," ")</f>
        <v> </v>
      </c>
      <c r="R134" s="180" t="str">
        <f aca="false">IF((D134="o"),F134," ")</f>
        <v> </v>
      </c>
      <c r="S134" s="180" t="str">
        <f aca="false">IF((D134="f"),F134," ")</f>
        <v> </v>
      </c>
      <c r="U134" s="371"/>
    </row>
    <row r="135" customFormat="false" ht="12.75" hidden="false" customHeight="false" outlineLevel="0" collapsed="false">
      <c r="D135" s="371" t="str">
        <f aca="false">IF((F135&lt;&gt;0),"Enter Letter"," ")</f>
        <v> </v>
      </c>
      <c r="G135" s="180" t="str">
        <f aca="false">IF((D135="d"),F135," ")</f>
        <v> </v>
      </c>
      <c r="H135" s="180" t="str">
        <f aca="false">IF((D135="h"),F135," ")</f>
        <v> </v>
      </c>
      <c r="I135" s="180" t="str">
        <f aca="false">IF((D135="r"),F135," ")</f>
        <v> </v>
      </c>
      <c r="J135" s="180" t="str">
        <f aca="false">IF((D135="t"),F135," ")</f>
        <v> </v>
      </c>
      <c r="K135" s="180" t="str">
        <f aca="false">IF((D135="e"),F135," ")</f>
        <v> </v>
      </c>
      <c r="L135" s="180" t="str">
        <f aca="false">IF((D135="p"),F135," ")</f>
        <v> </v>
      </c>
      <c r="M135" s="180" t="str">
        <f aca="false">IF((D135="g"),F135," ")</f>
        <v> </v>
      </c>
      <c r="N135" s="180" t="str">
        <f aca="false">IF((D135="a"),F135," ")</f>
        <v> </v>
      </c>
      <c r="O135" s="180" t="str">
        <f aca="false">IF((D135="l"),F135," ")</f>
        <v> </v>
      </c>
      <c r="P135" s="180" t="str">
        <f aca="false">IF((D135="i"),F135," ")</f>
        <v> </v>
      </c>
      <c r="Q135" s="180" t="str">
        <f aca="false">IF((D135="b"),F135," ")</f>
        <v> </v>
      </c>
      <c r="R135" s="180" t="str">
        <f aca="false">IF((D135="o"),F135," ")</f>
        <v> </v>
      </c>
      <c r="S135" s="180" t="str">
        <f aca="false">IF((D135="f"),F135," ")</f>
        <v> </v>
      </c>
      <c r="U135" s="371"/>
    </row>
    <row r="136" customFormat="false" ht="12.75" hidden="false" customHeight="false" outlineLevel="0" collapsed="false">
      <c r="D136" s="371" t="str">
        <f aca="false">IF((F136&lt;&gt;0),"Enter Letter"," ")</f>
        <v> </v>
      </c>
      <c r="G136" s="180" t="str">
        <f aca="false">IF((D136="d"),F136," ")</f>
        <v> </v>
      </c>
      <c r="H136" s="180" t="str">
        <f aca="false">IF((D136="h"),F136," ")</f>
        <v> </v>
      </c>
      <c r="I136" s="180" t="str">
        <f aca="false">IF((D136="r"),F136," ")</f>
        <v> </v>
      </c>
      <c r="J136" s="180" t="str">
        <f aca="false">IF((D136="t"),F136," ")</f>
        <v> </v>
      </c>
      <c r="K136" s="180" t="str">
        <f aca="false">IF((D136="e"),F136," ")</f>
        <v> </v>
      </c>
      <c r="L136" s="180" t="str">
        <f aca="false">IF((D136="p"),F136," ")</f>
        <v> </v>
      </c>
      <c r="M136" s="180" t="str">
        <f aca="false">IF((D136="g"),F136," ")</f>
        <v> </v>
      </c>
      <c r="N136" s="180" t="str">
        <f aca="false">IF((D136="a"),F136," ")</f>
        <v> </v>
      </c>
      <c r="O136" s="180" t="str">
        <f aca="false">IF((D136="l"),F136," ")</f>
        <v> </v>
      </c>
      <c r="P136" s="180" t="str">
        <f aca="false">IF((D136="i"),F136," ")</f>
        <v> </v>
      </c>
      <c r="Q136" s="180" t="str">
        <f aca="false">IF((D136="b"),F136," ")</f>
        <v> </v>
      </c>
      <c r="R136" s="180" t="str">
        <f aca="false">IF((D136="o"),F136," ")</f>
        <v> </v>
      </c>
      <c r="S136" s="180" t="str">
        <f aca="false">IF((D136="f"),F136," ")</f>
        <v> </v>
      </c>
      <c r="U136" s="371"/>
    </row>
    <row r="137" customFormat="false" ht="12.75" hidden="false" customHeight="false" outlineLevel="0" collapsed="false">
      <c r="D137" s="371" t="str">
        <f aca="false">IF((F137&lt;&gt;0),"Enter Letter"," ")</f>
        <v> </v>
      </c>
      <c r="G137" s="180" t="str">
        <f aca="false">IF((D137="d"),F137," ")</f>
        <v> </v>
      </c>
      <c r="H137" s="180" t="str">
        <f aca="false">IF((D137="h"),F137," ")</f>
        <v> </v>
      </c>
      <c r="I137" s="180" t="str">
        <f aca="false">IF((D137="r"),F137," ")</f>
        <v> </v>
      </c>
      <c r="J137" s="180" t="str">
        <f aca="false">IF((D137="t"),F137," ")</f>
        <v> </v>
      </c>
      <c r="K137" s="180" t="str">
        <f aca="false">IF((D137="e"),F137," ")</f>
        <v> </v>
      </c>
      <c r="L137" s="180" t="str">
        <f aca="false">IF((D137="p"),F137," ")</f>
        <v> </v>
      </c>
      <c r="M137" s="180" t="str">
        <f aca="false">IF((D137="g"),F137," ")</f>
        <v> </v>
      </c>
      <c r="N137" s="180" t="str">
        <f aca="false">IF((D137="a"),F137," ")</f>
        <v> </v>
      </c>
      <c r="O137" s="180" t="str">
        <f aca="false">IF((D137="l"),F137," ")</f>
        <v> </v>
      </c>
      <c r="P137" s="180" t="str">
        <f aca="false">IF((D137="i"),F137," ")</f>
        <v> </v>
      </c>
      <c r="Q137" s="180" t="str">
        <f aca="false">IF((D137="b"),F137," ")</f>
        <v> </v>
      </c>
      <c r="R137" s="180" t="str">
        <f aca="false">IF((D137="o"),F137," ")</f>
        <v> </v>
      </c>
      <c r="S137" s="180" t="str">
        <f aca="false">IF((D137="f"),F137," ")</f>
        <v> </v>
      </c>
      <c r="U137" s="371"/>
    </row>
    <row r="138" customFormat="false" ht="12.75" hidden="false" customHeight="false" outlineLevel="0" collapsed="false">
      <c r="D138" s="371" t="str">
        <f aca="false">IF((F138&lt;&gt;0),"Enter Letter"," ")</f>
        <v> </v>
      </c>
      <c r="G138" s="180" t="str">
        <f aca="false">IF((D138="d"),F138," ")</f>
        <v> </v>
      </c>
      <c r="H138" s="180" t="str">
        <f aca="false">IF((D138="h"),F138," ")</f>
        <v> </v>
      </c>
      <c r="I138" s="180" t="str">
        <f aca="false">IF((D138="r"),F138," ")</f>
        <v> </v>
      </c>
      <c r="J138" s="180" t="str">
        <f aca="false">IF((D138="t"),F138," ")</f>
        <v> </v>
      </c>
      <c r="K138" s="180" t="str">
        <f aca="false">IF((D138="e"),F138," ")</f>
        <v> </v>
      </c>
      <c r="L138" s="180" t="str">
        <f aca="false">IF((D138="p"),F138," ")</f>
        <v> </v>
      </c>
      <c r="M138" s="180" t="str">
        <f aca="false">IF((D138="g"),F138," ")</f>
        <v> </v>
      </c>
      <c r="N138" s="180" t="str">
        <f aca="false">IF((D138="a"),F138," ")</f>
        <v> </v>
      </c>
      <c r="O138" s="180" t="str">
        <f aca="false">IF((D138="l"),F138," ")</f>
        <v> </v>
      </c>
      <c r="P138" s="180" t="str">
        <f aca="false">IF((D138="i"),F138," ")</f>
        <v> </v>
      </c>
      <c r="Q138" s="180" t="str">
        <f aca="false">IF((D138="b"),F138," ")</f>
        <v> </v>
      </c>
      <c r="R138" s="180" t="str">
        <f aca="false">IF((D138="o"),F138," ")</f>
        <v> </v>
      </c>
      <c r="S138" s="180" t="str">
        <f aca="false">IF((D138="f"),F138," ")</f>
        <v> </v>
      </c>
      <c r="U138" s="371"/>
    </row>
    <row r="139" customFormat="false" ht="12.75" hidden="false" customHeight="false" outlineLevel="0" collapsed="false">
      <c r="D139" s="371" t="str">
        <f aca="false">IF((F139&lt;&gt;0),"Enter Letter"," ")</f>
        <v> </v>
      </c>
      <c r="G139" s="180" t="str">
        <f aca="false">IF((D139="d"),F139," ")</f>
        <v> </v>
      </c>
      <c r="H139" s="180" t="str">
        <f aca="false">IF((D139="h"),F139," ")</f>
        <v> </v>
      </c>
      <c r="I139" s="180" t="str">
        <f aca="false">IF((D139="r"),F139," ")</f>
        <v> </v>
      </c>
      <c r="J139" s="180" t="str">
        <f aca="false">IF((D139="t"),F139," ")</f>
        <v> </v>
      </c>
      <c r="K139" s="180" t="str">
        <f aca="false">IF((D139="e"),F139," ")</f>
        <v> </v>
      </c>
      <c r="L139" s="180" t="str">
        <f aca="false">IF((D139="p"),F139," ")</f>
        <v> </v>
      </c>
      <c r="M139" s="180" t="str">
        <f aca="false">IF((D139="g"),F139," ")</f>
        <v> </v>
      </c>
      <c r="N139" s="180" t="str">
        <f aca="false">IF((D139="a"),F139," ")</f>
        <v> </v>
      </c>
      <c r="O139" s="180" t="str">
        <f aca="false">IF((D139="l"),F139," ")</f>
        <v> </v>
      </c>
      <c r="P139" s="180" t="str">
        <f aca="false">IF((D139="i"),F139," ")</f>
        <v> </v>
      </c>
      <c r="Q139" s="180" t="str">
        <f aca="false">IF((D139="b"),F139," ")</f>
        <v> </v>
      </c>
      <c r="R139" s="180" t="str">
        <f aca="false">IF((D139="o"),F139," ")</f>
        <v> </v>
      </c>
      <c r="S139" s="180" t="str">
        <f aca="false">IF((D139="f"),F139," ")</f>
        <v> </v>
      </c>
      <c r="U139" s="371"/>
    </row>
    <row r="140" customFormat="false" ht="12.75" hidden="false" customHeight="false" outlineLevel="0" collapsed="false">
      <c r="D140" s="371" t="str">
        <f aca="false">IF((F140&lt;&gt;0),"Enter Letter"," ")</f>
        <v> </v>
      </c>
      <c r="G140" s="180" t="str">
        <f aca="false">IF((D140="d"),F140," ")</f>
        <v> </v>
      </c>
      <c r="H140" s="180" t="str">
        <f aca="false">IF((D140="h"),F140," ")</f>
        <v> </v>
      </c>
      <c r="I140" s="180" t="str">
        <f aca="false">IF((D140="r"),F140," ")</f>
        <v> </v>
      </c>
      <c r="J140" s="180" t="str">
        <f aca="false">IF((D140="t"),F140," ")</f>
        <v> </v>
      </c>
      <c r="K140" s="180" t="str">
        <f aca="false">IF((D140="e"),F140," ")</f>
        <v> </v>
      </c>
      <c r="L140" s="180" t="str">
        <f aca="false">IF((D140="p"),F140," ")</f>
        <v> </v>
      </c>
      <c r="M140" s="180" t="str">
        <f aca="false">IF((D140="g"),F140," ")</f>
        <v> </v>
      </c>
      <c r="N140" s="180" t="str">
        <f aca="false">IF((D140="a"),F140," ")</f>
        <v> </v>
      </c>
      <c r="O140" s="180" t="str">
        <f aca="false">IF((D140="l"),F140," ")</f>
        <v> </v>
      </c>
      <c r="P140" s="180" t="str">
        <f aca="false">IF((D140="i"),F140," ")</f>
        <v> </v>
      </c>
      <c r="Q140" s="180" t="str">
        <f aca="false">IF((D140="b"),F140," ")</f>
        <v> </v>
      </c>
      <c r="R140" s="180" t="str">
        <f aca="false">IF((D140="o"),F140," ")</f>
        <v> </v>
      </c>
      <c r="S140" s="180" t="str">
        <f aca="false">IF((D140="f"),F140," ")</f>
        <v> </v>
      </c>
      <c r="U140" s="371"/>
    </row>
    <row r="141" customFormat="false" ht="12.75" hidden="false" customHeight="false" outlineLevel="0" collapsed="false">
      <c r="D141" s="371" t="str">
        <f aca="false">IF((F141&lt;&gt;0),"Enter Letter"," ")</f>
        <v> </v>
      </c>
      <c r="G141" s="180" t="str">
        <f aca="false">IF((D141="d"),F141," ")</f>
        <v> </v>
      </c>
      <c r="H141" s="180" t="str">
        <f aca="false">IF((D141="h"),F141," ")</f>
        <v> </v>
      </c>
      <c r="I141" s="180" t="str">
        <f aca="false">IF((D141="r"),F141," ")</f>
        <v> </v>
      </c>
      <c r="J141" s="180" t="str">
        <f aca="false">IF((D141="t"),F141," ")</f>
        <v> </v>
      </c>
      <c r="K141" s="180" t="str">
        <f aca="false">IF((D141="e"),F141," ")</f>
        <v> </v>
      </c>
      <c r="L141" s="180" t="str">
        <f aca="false">IF((D141="p"),F141," ")</f>
        <v> </v>
      </c>
      <c r="M141" s="180" t="str">
        <f aca="false">IF((D141="g"),F141," ")</f>
        <v> </v>
      </c>
      <c r="N141" s="180" t="str">
        <f aca="false">IF((D141="a"),F141," ")</f>
        <v> </v>
      </c>
      <c r="O141" s="180" t="str">
        <f aca="false">IF((D141="l"),F141," ")</f>
        <v> </v>
      </c>
      <c r="P141" s="180" t="str">
        <f aca="false">IF((D141="i"),F141," ")</f>
        <v> </v>
      </c>
      <c r="Q141" s="180" t="str">
        <f aca="false">IF((D141="b"),F141," ")</f>
        <v> </v>
      </c>
      <c r="R141" s="180" t="str">
        <f aca="false">IF((D141="o"),F141," ")</f>
        <v> </v>
      </c>
      <c r="S141" s="180" t="str">
        <f aca="false">IF((D141="f"),F141," ")</f>
        <v> </v>
      </c>
      <c r="U141" s="371"/>
    </row>
    <row r="142" customFormat="false" ht="12.75" hidden="false" customHeight="false" outlineLevel="0" collapsed="false">
      <c r="D142" s="371" t="str">
        <f aca="false">IF((F142&lt;&gt;0),"Enter Letter"," ")</f>
        <v> </v>
      </c>
      <c r="G142" s="180" t="str">
        <f aca="false">IF((D142="d"),F142," ")</f>
        <v> </v>
      </c>
      <c r="H142" s="180" t="str">
        <f aca="false">IF((D142="h"),F142," ")</f>
        <v> </v>
      </c>
      <c r="I142" s="180" t="str">
        <f aca="false">IF((D142="r"),F142," ")</f>
        <v> </v>
      </c>
      <c r="J142" s="180" t="str">
        <f aca="false">IF((D142="t"),F142," ")</f>
        <v> </v>
      </c>
      <c r="K142" s="180" t="str">
        <f aca="false">IF((D142="e"),F142," ")</f>
        <v> </v>
      </c>
      <c r="L142" s="180" t="str">
        <f aca="false">IF((D142="p"),F142," ")</f>
        <v> </v>
      </c>
      <c r="M142" s="180" t="str">
        <f aca="false">IF((D142="g"),F142," ")</f>
        <v> </v>
      </c>
      <c r="N142" s="180" t="str">
        <f aca="false">IF((D142="a"),F142," ")</f>
        <v> </v>
      </c>
      <c r="O142" s="180" t="str">
        <f aca="false">IF((D142="l"),F142," ")</f>
        <v> </v>
      </c>
      <c r="P142" s="180" t="str">
        <f aca="false">IF((D142="i"),F142," ")</f>
        <v> </v>
      </c>
      <c r="Q142" s="180" t="str">
        <f aca="false">IF((D142="b"),F142," ")</f>
        <v> </v>
      </c>
      <c r="R142" s="180" t="str">
        <f aca="false">IF((D142="o"),F142," ")</f>
        <v> </v>
      </c>
      <c r="S142" s="180" t="str">
        <f aca="false">IF((D142="f"),F142," ")</f>
        <v> </v>
      </c>
      <c r="U142" s="371"/>
    </row>
    <row r="143" customFormat="false" ht="12.75" hidden="false" customHeight="false" outlineLevel="0" collapsed="false">
      <c r="D143" s="371" t="str">
        <f aca="false">IF((F143&lt;&gt;0),"Enter Letter"," ")</f>
        <v> </v>
      </c>
      <c r="G143" s="180" t="str">
        <f aca="false">IF((D143="d"),F143," ")</f>
        <v> </v>
      </c>
      <c r="H143" s="180" t="str">
        <f aca="false">IF((D143="h"),F143," ")</f>
        <v> </v>
      </c>
      <c r="I143" s="180" t="str">
        <f aca="false">IF((D143="r"),F143," ")</f>
        <v> </v>
      </c>
      <c r="J143" s="180" t="str">
        <f aca="false">IF((D143="t"),F143," ")</f>
        <v> </v>
      </c>
      <c r="K143" s="180" t="str">
        <f aca="false">IF((D143="e"),F143," ")</f>
        <v> </v>
      </c>
      <c r="L143" s="180" t="str">
        <f aca="false">IF((D143="p"),F143," ")</f>
        <v> </v>
      </c>
      <c r="M143" s="180" t="str">
        <f aca="false">IF((D143="g"),F143," ")</f>
        <v> </v>
      </c>
      <c r="N143" s="180" t="str">
        <f aca="false">IF((D143="a"),F143," ")</f>
        <v> </v>
      </c>
      <c r="O143" s="180" t="str">
        <f aca="false">IF((D143="l"),F143," ")</f>
        <v> </v>
      </c>
      <c r="P143" s="180" t="str">
        <f aca="false">IF((D143="i"),F143," ")</f>
        <v> </v>
      </c>
      <c r="Q143" s="180" t="str">
        <f aca="false">IF((D143="b"),F143," ")</f>
        <v> </v>
      </c>
      <c r="R143" s="180" t="str">
        <f aca="false">IF((D143="o"),F143," ")</f>
        <v> </v>
      </c>
      <c r="S143" s="180" t="str">
        <f aca="false">IF((D143="f"),F143," ")</f>
        <v> </v>
      </c>
      <c r="U143" s="371"/>
    </row>
    <row r="144" customFormat="false" ht="12.75" hidden="false" customHeight="false" outlineLevel="0" collapsed="false">
      <c r="D144" s="371" t="str">
        <f aca="false">IF((F144&lt;&gt;0),"Enter Letter"," ")</f>
        <v> </v>
      </c>
      <c r="G144" s="180" t="str">
        <f aca="false">IF((D144="d"),F144," ")</f>
        <v> </v>
      </c>
      <c r="H144" s="180" t="str">
        <f aca="false">IF((D144="h"),F144," ")</f>
        <v> </v>
      </c>
      <c r="I144" s="180" t="str">
        <f aca="false">IF((D144="r"),F144," ")</f>
        <v> </v>
      </c>
      <c r="J144" s="180" t="str">
        <f aca="false">IF((D144="t"),F144," ")</f>
        <v> </v>
      </c>
      <c r="K144" s="180" t="str">
        <f aca="false">IF((D144="e"),F144," ")</f>
        <v> </v>
      </c>
      <c r="L144" s="180" t="str">
        <f aca="false">IF((D144="p"),F144," ")</f>
        <v> </v>
      </c>
      <c r="M144" s="180" t="str">
        <f aca="false">IF((D144="g"),F144," ")</f>
        <v> </v>
      </c>
      <c r="N144" s="180" t="str">
        <f aca="false">IF((D144="a"),F144," ")</f>
        <v> </v>
      </c>
      <c r="O144" s="180" t="str">
        <f aca="false">IF((D144="l"),F144," ")</f>
        <v> </v>
      </c>
      <c r="P144" s="180" t="str">
        <f aca="false">IF((D144="i"),F144," ")</f>
        <v> </v>
      </c>
      <c r="Q144" s="180" t="str">
        <f aca="false">IF((D144="b"),F144," ")</f>
        <v> </v>
      </c>
      <c r="R144" s="180" t="str">
        <f aca="false">IF((D144="o"),F144," ")</f>
        <v> </v>
      </c>
      <c r="S144" s="180" t="str">
        <f aca="false">IF((D144="f"),F144," ")</f>
        <v> </v>
      </c>
      <c r="U144" s="371"/>
    </row>
    <row r="145" customFormat="false" ht="12.75" hidden="false" customHeight="false" outlineLevel="0" collapsed="false">
      <c r="D145" s="371" t="str">
        <f aca="false">IF((F145&lt;&gt;0),"Enter Letter"," ")</f>
        <v> </v>
      </c>
      <c r="G145" s="180" t="str">
        <f aca="false">IF((D145="d"),F145," ")</f>
        <v> </v>
      </c>
      <c r="H145" s="180" t="str">
        <f aca="false">IF((D145="h"),F145," ")</f>
        <v> </v>
      </c>
      <c r="I145" s="180" t="str">
        <f aca="false">IF((D145="r"),F145," ")</f>
        <v> </v>
      </c>
      <c r="J145" s="180" t="str">
        <f aca="false">IF((D145="t"),F145," ")</f>
        <v> </v>
      </c>
      <c r="K145" s="180" t="str">
        <f aca="false">IF((D145="e"),F145," ")</f>
        <v> </v>
      </c>
      <c r="L145" s="180" t="str">
        <f aca="false">IF((D145="p"),F145," ")</f>
        <v> </v>
      </c>
      <c r="M145" s="180" t="str">
        <f aca="false">IF((D145="g"),F145," ")</f>
        <v> </v>
      </c>
      <c r="N145" s="180" t="str">
        <f aca="false">IF((D145="a"),F145," ")</f>
        <v> </v>
      </c>
      <c r="O145" s="180" t="str">
        <f aca="false">IF((D145="l"),F145," ")</f>
        <v> </v>
      </c>
      <c r="P145" s="180" t="str">
        <f aca="false">IF((D145="i"),F145," ")</f>
        <v> </v>
      </c>
      <c r="Q145" s="180" t="str">
        <f aca="false">IF((D145="b"),F145," ")</f>
        <v> </v>
      </c>
      <c r="R145" s="180" t="str">
        <f aca="false">IF((D145="o"),F145," ")</f>
        <v> </v>
      </c>
      <c r="S145" s="180" t="str">
        <f aca="false">IF((D145="f"),F145," ")</f>
        <v> </v>
      </c>
      <c r="U145" s="371"/>
    </row>
    <row r="146" customFormat="false" ht="12.75" hidden="false" customHeight="false" outlineLevel="0" collapsed="false">
      <c r="D146" s="371" t="str">
        <f aca="false">IF((F146&lt;&gt;0),"Enter Letter"," ")</f>
        <v> </v>
      </c>
      <c r="G146" s="180" t="str">
        <f aca="false">IF((D146="d"),F146," ")</f>
        <v> </v>
      </c>
      <c r="H146" s="180" t="str">
        <f aca="false">IF((D146="h"),F146," ")</f>
        <v> </v>
      </c>
      <c r="I146" s="180" t="str">
        <f aca="false">IF((D146="r"),F146," ")</f>
        <v> </v>
      </c>
      <c r="J146" s="180" t="str">
        <f aca="false">IF((D146="t"),F146," ")</f>
        <v> </v>
      </c>
      <c r="K146" s="180" t="str">
        <f aca="false">IF((D146="e"),F146," ")</f>
        <v> </v>
      </c>
      <c r="L146" s="180" t="str">
        <f aca="false">IF((D146="p"),F146," ")</f>
        <v> </v>
      </c>
      <c r="M146" s="180" t="str">
        <f aca="false">IF((D146="g"),F146," ")</f>
        <v> </v>
      </c>
      <c r="N146" s="180" t="str">
        <f aca="false">IF((D146="a"),F146," ")</f>
        <v> </v>
      </c>
      <c r="O146" s="180" t="str">
        <f aca="false">IF((D146="l"),F146," ")</f>
        <v> </v>
      </c>
      <c r="P146" s="180" t="str">
        <f aca="false">IF((D146="i"),F146," ")</f>
        <v> </v>
      </c>
      <c r="Q146" s="180" t="str">
        <f aca="false">IF((D146="b"),F146," ")</f>
        <v> </v>
      </c>
      <c r="R146" s="180" t="str">
        <f aca="false">IF((D146="o"),F146," ")</f>
        <v> </v>
      </c>
      <c r="S146" s="180" t="str">
        <f aca="false">IF((D146="f"),F146," ")</f>
        <v> </v>
      </c>
      <c r="U146" s="371"/>
    </row>
    <row r="147" customFormat="false" ht="12.75" hidden="false" customHeight="false" outlineLevel="0" collapsed="false">
      <c r="D147" s="371" t="str">
        <f aca="false">IF((F147&lt;&gt;0),"Enter Letter"," ")</f>
        <v> </v>
      </c>
      <c r="G147" s="180" t="str">
        <f aca="false">IF((D147="d"),F147," ")</f>
        <v> </v>
      </c>
      <c r="H147" s="180" t="str">
        <f aca="false">IF((D147="h"),F147," ")</f>
        <v> </v>
      </c>
      <c r="I147" s="180" t="str">
        <f aca="false">IF((D147="r"),F147," ")</f>
        <v> </v>
      </c>
      <c r="J147" s="180" t="str">
        <f aca="false">IF((D147="t"),F147," ")</f>
        <v> </v>
      </c>
      <c r="K147" s="180" t="str">
        <f aca="false">IF((D147="e"),F147," ")</f>
        <v> </v>
      </c>
      <c r="L147" s="180" t="str">
        <f aca="false">IF((D147="p"),F147," ")</f>
        <v> </v>
      </c>
      <c r="M147" s="180" t="str">
        <f aca="false">IF((D147="g"),F147," ")</f>
        <v> </v>
      </c>
      <c r="N147" s="180" t="str">
        <f aca="false">IF((D147="a"),F147," ")</f>
        <v> </v>
      </c>
      <c r="O147" s="180" t="str">
        <f aca="false">IF((D147="l"),F147," ")</f>
        <v> </v>
      </c>
      <c r="P147" s="180" t="str">
        <f aca="false">IF((D147="i"),F147," ")</f>
        <v> </v>
      </c>
      <c r="Q147" s="180" t="str">
        <f aca="false">IF((D147="b"),F147," ")</f>
        <v> </v>
      </c>
      <c r="R147" s="180" t="str">
        <f aca="false">IF((D147="o"),F147," ")</f>
        <v> </v>
      </c>
      <c r="S147" s="180" t="str">
        <f aca="false">IF((D147="f"),F147," ")</f>
        <v> </v>
      </c>
      <c r="U147" s="371"/>
    </row>
    <row r="148" customFormat="false" ht="12.75" hidden="false" customHeight="false" outlineLevel="0" collapsed="false">
      <c r="D148" s="371" t="str">
        <f aca="false">IF((F148&lt;&gt;0),"Enter Letter"," ")</f>
        <v> </v>
      </c>
      <c r="G148" s="180" t="str">
        <f aca="false">IF((D148="d"),F148," ")</f>
        <v> </v>
      </c>
      <c r="H148" s="180" t="str">
        <f aca="false">IF((D148="h"),F148," ")</f>
        <v> </v>
      </c>
      <c r="I148" s="180" t="str">
        <f aca="false">IF((D148="r"),F148," ")</f>
        <v> </v>
      </c>
      <c r="J148" s="180" t="str">
        <f aca="false">IF((D148="t"),F148," ")</f>
        <v> </v>
      </c>
      <c r="K148" s="180" t="str">
        <f aca="false">IF((D148="e"),F148," ")</f>
        <v> </v>
      </c>
      <c r="L148" s="180" t="str">
        <f aca="false">IF((D148="p"),F148," ")</f>
        <v> </v>
      </c>
      <c r="M148" s="180" t="str">
        <f aca="false">IF((D148="g"),F148," ")</f>
        <v> </v>
      </c>
      <c r="N148" s="180" t="str">
        <f aca="false">IF((D148="a"),F148," ")</f>
        <v> </v>
      </c>
      <c r="O148" s="180" t="str">
        <f aca="false">IF((D148="l"),F148," ")</f>
        <v> </v>
      </c>
      <c r="P148" s="180" t="str">
        <f aca="false">IF((D148="i"),F148," ")</f>
        <v> </v>
      </c>
      <c r="Q148" s="180" t="str">
        <f aca="false">IF((D148="b"),F148," ")</f>
        <v> </v>
      </c>
      <c r="R148" s="180" t="str">
        <f aca="false">IF((D148="o"),F148," ")</f>
        <v> </v>
      </c>
      <c r="S148" s="180" t="str">
        <f aca="false">IF((D148="f"),F148," ")</f>
        <v> </v>
      </c>
      <c r="U148" s="371"/>
    </row>
    <row r="149" customFormat="false" ht="12.75" hidden="false" customHeight="false" outlineLevel="0" collapsed="false">
      <c r="D149" s="371" t="str">
        <f aca="false">IF((F149&lt;&gt;0),"Enter Letter"," ")</f>
        <v> </v>
      </c>
      <c r="G149" s="180" t="str">
        <f aca="false">IF((D149="d"),F149," ")</f>
        <v> </v>
      </c>
      <c r="H149" s="180" t="str">
        <f aca="false">IF((D149="h"),F149," ")</f>
        <v> </v>
      </c>
      <c r="I149" s="180" t="str">
        <f aca="false">IF((D149="r"),F149," ")</f>
        <v> </v>
      </c>
      <c r="J149" s="180" t="str">
        <f aca="false">IF((D149="t"),F149," ")</f>
        <v> </v>
      </c>
      <c r="K149" s="180" t="str">
        <f aca="false">IF((D149="e"),F149," ")</f>
        <v> </v>
      </c>
      <c r="L149" s="180" t="str">
        <f aca="false">IF((D149="p"),F149," ")</f>
        <v> </v>
      </c>
      <c r="M149" s="180" t="str">
        <f aca="false">IF((D149="g"),F149," ")</f>
        <v> </v>
      </c>
      <c r="N149" s="180" t="str">
        <f aca="false">IF((D149="a"),F149," ")</f>
        <v> </v>
      </c>
      <c r="O149" s="180" t="str">
        <f aca="false">IF((D149="l"),F149," ")</f>
        <v> </v>
      </c>
      <c r="P149" s="180" t="str">
        <f aca="false">IF((D149="i"),F149," ")</f>
        <v> </v>
      </c>
      <c r="Q149" s="180" t="str">
        <f aca="false">IF((D149="b"),F149," ")</f>
        <v> </v>
      </c>
      <c r="R149" s="180" t="str">
        <f aca="false">IF((D149="o"),F149," ")</f>
        <v> </v>
      </c>
      <c r="S149" s="180" t="str">
        <f aca="false">IF((D149="f"),F149," ")</f>
        <v> </v>
      </c>
      <c r="U149" s="371"/>
    </row>
    <row r="150" customFormat="false" ht="12.75" hidden="false" customHeight="false" outlineLevel="0" collapsed="false">
      <c r="D150" s="371" t="str">
        <f aca="false">IF((F150&lt;&gt;0),"Enter Letter"," ")</f>
        <v> </v>
      </c>
      <c r="G150" s="180" t="str">
        <f aca="false">IF((D150="d"),F150," ")</f>
        <v> </v>
      </c>
      <c r="H150" s="180" t="str">
        <f aca="false">IF((D150="h"),F150," ")</f>
        <v> </v>
      </c>
      <c r="I150" s="180" t="str">
        <f aca="false">IF((D150="r"),F150," ")</f>
        <v> </v>
      </c>
      <c r="J150" s="180" t="str">
        <f aca="false">IF((D150="t"),F150," ")</f>
        <v> </v>
      </c>
      <c r="K150" s="180" t="str">
        <f aca="false">IF((D150="e"),F150," ")</f>
        <v> </v>
      </c>
      <c r="L150" s="180" t="str">
        <f aca="false">IF((D150="p"),F150," ")</f>
        <v> </v>
      </c>
      <c r="M150" s="180" t="str">
        <f aca="false">IF((D150="g"),F150," ")</f>
        <v> </v>
      </c>
      <c r="N150" s="180" t="str">
        <f aca="false">IF((D150="a"),F150," ")</f>
        <v> </v>
      </c>
      <c r="O150" s="180" t="str">
        <f aca="false">IF((D150="l"),F150," ")</f>
        <v> </v>
      </c>
      <c r="P150" s="180" t="str">
        <f aca="false">IF((D150="i"),F150," ")</f>
        <v> </v>
      </c>
      <c r="Q150" s="180" t="str">
        <f aca="false">IF((D150="b"),F150," ")</f>
        <v> </v>
      </c>
      <c r="R150" s="180" t="str">
        <f aca="false">IF((D150="o"),F150," ")</f>
        <v> </v>
      </c>
      <c r="S150" s="180" t="str">
        <f aca="false">IF((D150="f"),F150," ")</f>
        <v> </v>
      </c>
      <c r="U150" s="371"/>
    </row>
    <row r="151" customFormat="false" ht="12.75" hidden="false" customHeight="false" outlineLevel="0" collapsed="false">
      <c r="D151" s="371" t="str">
        <f aca="false">IF((F151&lt;&gt;0),"Enter Letter"," ")</f>
        <v> </v>
      </c>
      <c r="G151" s="180" t="str">
        <f aca="false">IF((D151="d"),F151," ")</f>
        <v> </v>
      </c>
      <c r="H151" s="180" t="str">
        <f aca="false">IF((D151="h"),F151," ")</f>
        <v> </v>
      </c>
      <c r="I151" s="180" t="str">
        <f aca="false">IF((D151="r"),F151," ")</f>
        <v> </v>
      </c>
      <c r="J151" s="180" t="str">
        <f aca="false">IF((D151="t"),F151," ")</f>
        <v> </v>
      </c>
      <c r="K151" s="180" t="str">
        <f aca="false">IF((D151="e"),F151," ")</f>
        <v> </v>
      </c>
      <c r="L151" s="180" t="str">
        <f aca="false">IF((D151="p"),F151," ")</f>
        <v> </v>
      </c>
      <c r="M151" s="180" t="str">
        <f aca="false">IF((D151="g"),F151," ")</f>
        <v> </v>
      </c>
      <c r="N151" s="180" t="str">
        <f aca="false">IF((D151="a"),F151," ")</f>
        <v> </v>
      </c>
      <c r="O151" s="180" t="str">
        <f aca="false">IF((D151="l"),F151," ")</f>
        <v> </v>
      </c>
      <c r="P151" s="180" t="str">
        <f aca="false">IF((D151="i"),F151," ")</f>
        <v> </v>
      </c>
      <c r="Q151" s="180" t="str">
        <f aca="false">IF((D151="b"),F151," ")</f>
        <v> </v>
      </c>
      <c r="R151" s="180" t="str">
        <f aca="false">IF((D151="o"),F151," ")</f>
        <v> </v>
      </c>
      <c r="S151" s="180" t="str">
        <f aca="false">IF((D151="f"),F151," ")</f>
        <v> </v>
      </c>
      <c r="U151" s="371"/>
    </row>
    <row r="152" customFormat="false" ht="12.75" hidden="false" customHeight="false" outlineLevel="0" collapsed="false">
      <c r="D152" s="371" t="str">
        <f aca="false">IF((F152&lt;&gt;0),"Enter Letter"," ")</f>
        <v> </v>
      </c>
      <c r="G152" s="180" t="str">
        <f aca="false">IF((D152="d"),F152," ")</f>
        <v> </v>
      </c>
      <c r="H152" s="180" t="str">
        <f aca="false">IF((D152="h"),F152," ")</f>
        <v> </v>
      </c>
      <c r="I152" s="180" t="str">
        <f aca="false">IF((D152="r"),F152," ")</f>
        <v> </v>
      </c>
      <c r="J152" s="180" t="str">
        <f aca="false">IF((D152="t"),F152," ")</f>
        <v> </v>
      </c>
      <c r="K152" s="180" t="str">
        <f aca="false">IF((D152="e"),F152," ")</f>
        <v> </v>
      </c>
      <c r="L152" s="180" t="str">
        <f aca="false">IF((D152="p"),F152," ")</f>
        <v> </v>
      </c>
      <c r="M152" s="180" t="str">
        <f aca="false">IF((D152="g"),F152," ")</f>
        <v> </v>
      </c>
      <c r="N152" s="180" t="str">
        <f aca="false">IF((D152="a"),F152," ")</f>
        <v> </v>
      </c>
      <c r="O152" s="180" t="str">
        <f aca="false">IF((D152="l"),F152," ")</f>
        <v> </v>
      </c>
      <c r="P152" s="180" t="str">
        <f aca="false">IF((D152="i"),F152," ")</f>
        <v> </v>
      </c>
      <c r="Q152" s="180" t="str">
        <f aca="false">IF((D152="b"),F152," ")</f>
        <v> </v>
      </c>
      <c r="R152" s="180" t="str">
        <f aca="false">IF((D152="o"),F152," ")</f>
        <v> </v>
      </c>
      <c r="S152" s="180" t="str">
        <f aca="false">IF((D152="f"),F152," ")</f>
        <v> </v>
      </c>
      <c r="U152" s="371"/>
    </row>
    <row r="153" customFormat="false" ht="12.75" hidden="false" customHeight="false" outlineLevel="0" collapsed="false">
      <c r="D153" s="371" t="str">
        <f aca="false">IF((F153&lt;&gt;0),"Enter Letter"," ")</f>
        <v> </v>
      </c>
      <c r="G153" s="180" t="str">
        <f aca="false">IF((D153="d"),F153," ")</f>
        <v> </v>
      </c>
      <c r="H153" s="180" t="str">
        <f aca="false">IF((D153="h"),F153," ")</f>
        <v> </v>
      </c>
      <c r="I153" s="180" t="str">
        <f aca="false">IF((D153="r"),F153," ")</f>
        <v> </v>
      </c>
      <c r="J153" s="180" t="str">
        <f aca="false">IF((D153="t"),F153," ")</f>
        <v> </v>
      </c>
      <c r="K153" s="180" t="str">
        <f aca="false">IF((D153="e"),F153," ")</f>
        <v> </v>
      </c>
      <c r="L153" s="180" t="str">
        <f aca="false">IF((D153="p"),F153," ")</f>
        <v> </v>
      </c>
      <c r="M153" s="180" t="str">
        <f aca="false">IF((D153="g"),F153," ")</f>
        <v> </v>
      </c>
      <c r="N153" s="180" t="str">
        <f aca="false">IF((D153="a"),F153," ")</f>
        <v> </v>
      </c>
      <c r="O153" s="180" t="str">
        <f aca="false">IF((D153="l"),F153," ")</f>
        <v> </v>
      </c>
      <c r="P153" s="180" t="str">
        <f aca="false">IF((D153="i"),F153," ")</f>
        <v> </v>
      </c>
      <c r="Q153" s="180" t="str">
        <f aca="false">IF((D153="b"),F153," ")</f>
        <v> </v>
      </c>
      <c r="R153" s="180" t="str">
        <f aca="false">IF((D153="o"),F153," ")</f>
        <v> </v>
      </c>
      <c r="S153" s="180" t="str">
        <f aca="false">IF((D153="f"),F153," ")</f>
        <v> </v>
      </c>
      <c r="U153" s="371"/>
    </row>
    <row r="154" customFormat="false" ht="12.75" hidden="false" customHeight="false" outlineLevel="0" collapsed="false">
      <c r="D154" s="371" t="str">
        <f aca="false">IF((F154&lt;&gt;0),"Enter Letter"," ")</f>
        <v> </v>
      </c>
      <c r="G154" s="180" t="str">
        <f aca="false">IF((D154="d"),F154," ")</f>
        <v> </v>
      </c>
      <c r="H154" s="180" t="str">
        <f aca="false">IF((D154="h"),F154," ")</f>
        <v> </v>
      </c>
      <c r="I154" s="180" t="str">
        <f aca="false">IF((D154="r"),F154," ")</f>
        <v> </v>
      </c>
      <c r="J154" s="180" t="str">
        <f aca="false">IF((D154="t"),F154," ")</f>
        <v> </v>
      </c>
      <c r="K154" s="180" t="str">
        <f aca="false">IF((D154="e"),F154," ")</f>
        <v> </v>
      </c>
      <c r="L154" s="180" t="str">
        <f aca="false">IF((D154="p"),F154," ")</f>
        <v> </v>
      </c>
      <c r="M154" s="180" t="str">
        <f aca="false">IF((D154="g"),F154," ")</f>
        <v> </v>
      </c>
      <c r="N154" s="180" t="str">
        <f aca="false">IF((D154="a"),F154," ")</f>
        <v> </v>
      </c>
      <c r="O154" s="180" t="str">
        <f aca="false">IF((D154="l"),F154," ")</f>
        <v> </v>
      </c>
      <c r="P154" s="180" t="str">
        <f aca="false">IF((D154="i"),F154," ")</f>
        <v> </v>
      </c>
      <c r="Q154" s="180" t="str">
        <f aca="false">IF((D154="b"),F154," ")</f>
        <v> </v>
      </c>
      <c r="R154" s="180" t="str">
        <f aca="false">IF((D154="o"),F154," ")</f>
        <v> </v>
      </c>
      <c r="S154" s="180" t="str">
        <f aca="false">IF((D154="f"),F154," ")</f>
        <v> </v>
      </c>
      <c r="U154" s="371"/>
    </row>
    <row r="155" customFormat="false" ht="12.75" hidden="false" customHeight="false" outlineLevel="0" collapsed="false">
      <c r="D155" s="371" t="str">
        <f aca="false">IF((F155&lt;&gt;0),"Enter Letter"," ")</f>
        <v> </v>
      </c>
      <c r="G155" s="180" t="str">
        <f aca="false">IF((D155="d"),F155," ")</f>
        <v> </v>
      </c>
      <c r="H155" s="180" t="str">
        <f aca="false">IF((D155="h"),F155," ")</f>
        <v> </v>
      </c>
      <c r="I155" s="180" t="str">
        <f aca="false">IF((D155="r"),F155," ")</f>
        <v> </v>
      </c>
      <c r="J155" s="180" t="str">
        <f aca="false">IF((D155="t"),F155," ")</f>
        <v> </v>
      </c>
      <c r="K155" s="180" t="str">
        <f aca="false">IF((D155="e"),F155," ")</f>
        <v> </v>
      </c>
      <c r="L155" s="180" t="str">
        <f aca="false">IF((D155="p"),F155," ")</f>
        <v> </v>
      </c>
      <c r="M155" s="180" t="str">
        <f aca="false">IF((D155="g"),F155," ")</f>
        <v> </v>
      </c>
      <c r="N155" s="180" t="str">
        <f aca="false">IF((D155="a"),F155," ")</f>
        <v> </v>
      </c>
      <c r="O155" s="180" t="str">
        <f aca="false">IF((D155="l"),F155," ")</f>
        <v> </v>
      </c>
      <c r="P155" s="180" t="str">
        <f aca="false">IF((D155="i"),F155," ")</f>
        <v> </v>
      </c>
      <c r="Q155" s="180" t="str">
        <f aca="false">IF((D155="b"),F155," ")</f>
        <v> </v>
      </c>
      <c r="R155" s="180" t="str">
        <f aca="false">IF((D155="o"),F155," ")</f>
        <v> </v>
      </c>
      <c r="S155" s="180" t="str">
        <f aca="false">IF((D155="f"),F155," ")</f>
        <v> </v>
      </c>
      <c r="U155" s="371"/>
    </row>
    <row r="156" customFormat="false" ht="12.75" hidden="false" customHeight="false" outlineLevel="0" collapsed="false">
      <c r="D156" s="371" t="str">
        <f aca="false">IF((F156&lt;&gt;0),"Enter Letter"," ")</f>
        <v> </v>
      </c>
      <c r="G156" s="180" t="str">
        <f aca="false">IF((D156="d"),F156," ")</f>
        <v> </v>
      </c>
      <c r="H156" s="180" t="str">
        <f aca="false">IF((D156="h"),F156," ")</f>
        <v> </v>
      </c>
      <c r="I156" s="180" t="str">
        <f aca="false">IF((D156="r"),F156," ")</f>
        <v> </v>
      </c>
      <c r="J156" s="180" t="str">
        <f aca="false">IF((D156="t"),F156," ")</f>
        <v> </v>
      </c>
      <c r="K156" s="180" t="str">
        <f aca="false">IF((D156="e"),F156," ")</f>
        <v> </v>
      </c>
      <c r="L156" s="180" t="str">
        <f aca="false">IF((D156="p"),F156," ")</f>
        <v> </v>
      </c>
      <c r="M156" s="180" t="str">
        <f aca="false">IF((D156="g"),F156," ")</f>
        <v> </v>
      </c>
      <c r="N156" s="180" t="str">
        <f aca="false">IF((D156="a"),F156," ")</f>
        <v> </v>
      </c>
      <c r="O156" s="180" t="str">
        <f aca="false">IF((D156="l"),F156," ")</f>
        <v> </v>
      </c>
      <c r="P156" s="180" t="str">
        <f aca="false">IF((D156="i"),F156," ")</f>
        <v> </v>
      </c>
      <c r="Q156" s="180" t="str">
        <f aca="false">IF((D156="b"),F156," ")</f>
        <v> </v>
      </c>
      <c r="R156" s="180" t="str">
        <f aca="false">IF((D156="o"),F156," ")</f>
        <v> </v>
      </c>
      <c r="S156" s="180" t="str">
        <f aca="false">IF((D156="f"),F156," ")</f>
        <v> </v>
      </c>
      <c r="U156" s="371"/>
    </row>
    <row r="157" customFormat="false" ht="12.75" hidden="false" customHeight="false" outlineLevel="0" collapsed="false">
      <c r="D157" s="371" t="str">
        <f aca="false">IF((F157&lt;&gt;0),"Enter Letter"," ")</f>
        <v> </v>
      </c>
      <c r="G157" s="180" t="str">
        <f aca="false">IF((D157="d"),F157," ")</f>
        <v> </v>
      </c>
      <c r="H157" s="180" t="str">
        <f aca="false">IF((D157="h"),F157," ")</f>
        <v> </v>
      </c>
      <c r="I157" s="180" t="str">
        <f aca="false">IF((D157="r"),F157," ")</f>
        <v> </v>
      </c>
      <c r="J157" s="180" t="str">
        <f aca="false">IF((D157="t"),F157," ")</f>
        <v> </v>
      </c>
      <c r="K157" s="180" t="str">
        <f aca="false">IF((D157="e"),F157," ")</f>
        <v> </v>
      </c>
      <c r="L157" s="180" t="str">
        <f aca="false">IF((D157="p"),F157," ")</f>
        <v> </v>
      </c>
      <c r="M157" s="180" t="str">
        <f aca="false">IF((D157="g"),F157," ")</f>
        <v> </v>
      </c>
      <c r="N157" s="180" t="str">
        <f aca="false">IF((D157="a"),F157," ")</f>
        <v> </v>
      </c>
      <c r="O157" s="180" t="str">
        <f aca="false">IF((D157="l"),F157," ")</f>
        <v> </v>
      </c>
      <c r="P157" s="180" t="str">
        <f aca="false">IF((D157="i"),F157," ")</f>
        <v> </v>
      </c>
      <c r="Q157" s="180" t="str">
        <f aca="false">IF((D157="b"),F157," ")</f>
        <v> </v>
      </c>
      <c r="R157" s="180" t="str">
        <f aca="false">IF((D157="o"),F157," ")</f>
        <v> </v>
      </c>
      <c r="S157" s="180" t="str">
        <f aca="false">IF((D157="f"),F157," ")</f>
        <v> </v>
      </c>
      <c r="U157" s="371"/>
    </row>
    <row r="158" customFormat="false" ht="12.75" hidden="false" customHeight="false" outlineLevel="0" collapsed="false">
      <c r="D158" s="371" t="str">
        <f aca="false">IF((F158&lt;&gt;0),"Enter Letter"," ")</f>
        <v> </v>
      </c>
      <c r="G158" s="180" t="str">
        <f aca="false">IF((D158="d"),F158," ")</f>
        <v> </v>
      </c>
      <c r="H158" s="180" t="str">
        <f aca="false">IF((D158="h"),F158," ")</f>
        <v> </v>
      </c>
      <c r="I158" s="180" t="str">
        <f aca="false">IF((D158="r"),F158," ")</f>
        <v> </v>
      </c>
      <c r="J158" s="180" t="str">
        <f aca="false">IF((D158="t"),F158," ")</f>
        <v> </v>
      </c>
      <c r="K158" s="180" t="str">
        <f aca="false">IF((D158="e"),F158," ")</f>
        <v> </v>
      </c>
      <c r="L158" s="180" t="str">
        <f aca="false">IF((D158="p"),F158," ")</f>
        <v> </v>
      </c>
      <c r="M158" s="180" t="str">
        <f aca="false">IF((D158="g"),F158," ")</f>
        <v> </v>
      </c>
      <c r="N158" s="180" t="str">
        <f aca="false">IF((D158="a"),F158," ")</f>
        <v> </v>
      </c>
      <c r="O158" s="180" t="str">
        <f aca="false">IF((D158="l"),F158," ")</f>
        <v> </v>
      </c>
      <c r="P158" s="180" t="str">
        <f aca="false">IF((D158="i"),F158," ")</f>
        <v> </v>
      </c>
      <c r="Q158" s="180" t="str">
        <f aca="false">IF((D158="b"),F158," ")</f>
        <v> </v>
      </c>
      <c r="R158" s="180" t="str">
        <f aca="false">IF((D158="o"),F158," ")</f>
        <v> </v>
      </c>
      <c r="S158" s="180" t="str">
        <f aca="false">IF((D158="f"),F158," ")</f>
        <v> </v>
      </c>
      <c r="U158" s="371"/>
    </row>
    <row r="159" customFormat="false" ht="12.75" hidden="false" customHeight="false" outlineLevel="0" collapsed="false">
      <c r="D159" s="371" t="str">
        <f aca="false">IF((F159&lt;&gt;0),"Enter Letter"," ")</f>
        <v> </v>
      </c>
      <c r="G159" s="180" t="str">
        <f aca="false">IF((D159="d"),F159," ")</f>
        <v> </v>
      </c>
      <c r="H159" s="180" t="str">
        <f aca="false">IF((D159="h"),F159," ")</f>
        <v> </v>
      </c>
      <c r="I159" s="180" t="str">
        <f aca="false">IF((D159="r"),F159," ")</f>
        <v> </v>
      </c>
      <c r="J159" s="180" t="str">
        <f aca="false">IF((D159="t"),F159," ")</f>
        <v> </v>
      </c>
      <c r="K159" s="180" t="str">
        <f aca="false">IF((D159="e"),F159," ")</f>
        <v> </v>
      </c>
      <c r="L159" s="180" t="str">
        <f aca="false">IF((D159="p"),F159," ")</f>
        <v> </v>
      </c>
      <c r="M159" s="180" t="str">
        <f aca="false">IF((D159="g"),F159," ")</f>
        <v> </v>
      </c>
      <c r="N159" s="180" t="str">
        <f aca="false">IF((D159="a"),F159," ")</f>
        <v> </v>
      </c>
      <c r="O159" s="180" t="str">
        <f aca="false">IF((D159="l"),F159," ")</f>
        <v> </v>
      </c>
      <c r="P159" s="180" t="str">
        <f aca="false">IF((D159="i"),F159," ")</f>
        <v> </v>
      </c>
      <c r="Q159" s="180" t="str">
        <f aca="false">IF((D159="b"),F159," ")</f>
        <v> </v>
      </c>
      <c r="R159" s="180" t="str">
        <f aca="false">IF((D159="o"),F159," ")</f>
        <v> </v>
      </c>
      <c r="S159" s="180" t="str">
        <f aca="false">IF((D159="f"),F159," ")</f>
        <v> </v>
      </c>
      <c r="U159" s="371"/>
    </row>
    <row r="160" customFormat="false" ht="12.75" hidden="false" customHeight="false" outlineLevel="0" collapsed="false">
      <c r="D160" s="371" t="str">
        <f aca="false">IF((F160&lt;&gt;0),"Enter Letter"," ")</f>
        <v> </v>
      </c>
      <c r="G160" s="180" t="str">
        <f aca="false">IF((D160="d"),F160," ")</f>
        <v> </v>
      </c>
      <c r="H160" s="180" t="str">
        <f aca="false">IF((D160="h"),F160," ")</f>
        <v> </v>
      </c>
      <c r="I160" s="180" t="str">
        <f aca="false">IF((D160="r"),F160," ")</f>
        <v> </v>
      </c>
      <c r="J160" s="180" t="str">
        <f aca="false">IF((D160="t"),F160," ")</f>
        <v> </v>
      </c>
      <c r="K160" s="180" t="str">
        <f aca="false">IF((D160="e"),F160," ")</f>
        <v> </v>
      </c>
      <c r="L160" s="180" t="str">
        <f aca="false">IF((D160="p"),F160," ")</f>
        <v> </v>
      </c>
      <c r="M160" s="180" t="str">
        <f aca="false">IF((D160="g"),F160," ")</f>
        <v> </v>
      </c>
      <c r="N160" s="180" t="str">
        <f aca="false">IF((D160="a"),F160," ")</f>
        <v> </v>
      </c>
      <c r="O160" s="180" t="str">
        <f aca="false">IF((D160="l"),F160," ")</f>
        <v> </v>
      </c>
      <c r="P160" s="180" t="str">
        <f aca="false">IF((D160="i"),F160," ")</f>
        <v> </v>
      </c>
      <c r="Q160" s="180" t="str">
        <f aca="false">IF((D160="b"),F160," ")</f>
        <v> </v>
      </c>
      <c r="R160" s="180" t="str">
        <f aca="false">IF((D160="o"),F160," ")</f>
        <v> </v>
      </c>
      <c r="S160" s="180" t="str">
        <f aca="false">IF((D160="f"),F160," ")</f>
        <v> </v>
      </c>
      <c r="U160" s="371"/>
    </row>
    <row r="161" customFormat="false" ht="12.75" hidden="false" customHeight="false" outlineLevel="0" collapsed="false">
      <c r="D161" s="371" t="str">
        <f aca="false">IF((F161&lt;&gt;0),"Enter Letter"," ")</f>
        <v> </v>
      </c>
      <c r="G161" s="180" t="str">
        <f aca="false">IF((D161="d"),F161," ")</f>
        <v> </v>
      </c>
      <c r="H161" s="180" t="str">
        <f aca="false">IF((D161="h"),F161," ")</f>
        <v> </v>
      </c>
      <c r="I161" s="180" t="str">
        <f aca="false">IF((D161="r"),F161," ")</f>
        <v> </v>
      </c>
      <c r="J161" s="180" t="str">
        <f aca="false">IF((D161="t"),F161," ")</f>
        <v> </v>
      </c>
      <c r="K161" s="180" t="str">
        <f aca="false">IF((D161="e"),F161," ")</f>
        <v> </v>
      </c>
      <c r="L161" s="180" t="str">
        <f aca="false">IF((D161="p"),F161," ")</f>
        <v> </v>
      </c>
      <c r="M161" s="180" t="str">
        <f aca="false">IF((D161="g"),F161," ")</f>
        <v> </v>
      </c>
      <c r="N161" s="180" t="str">
        <f aca="false">IF((D161="a"),F161," ")</f>
        <v> </v>
      </c>
      <c r="O161" s="180" t="str">
        <f aca="false">IF((D161="l"),F161," ")</f>
        <v> </v>
      </c>
      <c r="P161" s="180" t="str">
        <f aca="false">IF((D161="i"),F161," ")</f>
        <v> </v>
      </c>
      <c r="Q161" s="180" t="str">
        <f aca="false">IF((D161="b"),F161," ")</f>
        <v> </v>
      </c>
      <c r="R161" s="180" t="str">
        <f aca="false">IF((D161="o"),F161," ")</f>
        <v> </v>
      </c>
      <c r="S161" s="180" t="str">
        <f aca="false">IF((D161="f"),F161," ")</f>
        <v> </v>
      </c>
      <c r="U161" s="371"/>
    </row>
    <row r="162" customFormat="false" ht="12.75" hidden="false" customHeight="false" outlineLevel="0" collapsed="false">
      <c r="D162" s="371" t="str">
        <f aca="false">IF((F162&lt;&gt;0),"Enter Letter"," ")</f>
        <v> </v>
      </c>
      <c r="G162" s="180" t="str">
        <f aca="false">IF((D162="d"),F162," ")</f>
        <v> </v>
      </c>
      <c r="H162" s="180" t="str">
        <f aca="false">IF((D162="h"),F162," ")</f>
        <v> </v>
      </c>
      <c r="I162" s="180" t="str">
        <f aca="false">IF((D162="r"),F162," ")</f>
        <v> </v>
      </c>
      <c r="J162" s="180" t="str">
        <f aca="false">IF((D162="t"),F162," ")</f>
        <v> </v>
      </c>
      <c r="K162" s="180" t="str">
        <f aca="false">IF((D162="e"),F162," ")</f>
        <v> </v>
      </c>
      <c r="L162" s="180" t="str">
        <f aca="false">IF((D162="p"),F162," ")</f>
        <v> </v>
      </c>
      <c r="M162" s="180" t="str">
        <f aca="false">IF((D162="g"),F162," ")</f>
        <v> </v>
      </c>
      <c r="N162" s="180" t="str">
        <f aca="false">IF((D162="a"),F162," ")</f>
        <v> </v>
      </c>
      <c r="O162" s="180" t="str">
        <f aca="false">IF((D162="l"),F162," ")</f>
        <v> </v>
      </c>
      <c r="P162" s="180" t="str">
        <f aca="false">IF((D162="i"),F162," ")</f>
        <v> </v>
      </c>
      <c r="Q162" s="180" t="str">
        <f aca="false">IF((D162="b"),F162," ")</f>
        <v> </v>
      </c>
      <c r="R162" s="180" t="str">
        <f aca="false">IF((D162="o"),F162," ")</f>
        <v> </v>
      </c>
      <c r="S162" s="180" t="str">
        <f aca="false">IF((D162="f"),F162," ")</f>
        <v> </v>
      </c>
      <c r="U162" s="371"/>
    </row>
    <row r="163" customFormat="false" ht="12.75" hidden="false" customHeight="false" outlineLevel="0" collapsed="false">
      <c r="D163" s="371" t="str">
        <f aca="false">IF((F163&lt;&gt;0),"Enter Letter"," ")</f>
        <v> </v>
      </c>
      <c r="G163" s="180" t="str">
        <f aca="false">IF((D163="d"),F163," ")</f>
        <v> </v>
      </c>
      <c r="H163" s="180" t="str">
        <f aca="false">IF((D163="h"),F163," ")</f>
        <v> </v>
      </c>
      <c r="I163" s="180" t="str">
        <f aca="false">IF((D163="r"),F163," ")</f>
        <v> </v>
      </c>
      <c r="J163" s="180" t="str">
        <f aca="false">IF((D163="t"),F163," ")</f>
        <v> </v>
      </c>
      <c r="K163" s="180" t="str">
        <f aca="false">IF((D163="e"),F163," ")</f>
        <v> </v>
      </c>
      <c r="L163" s="180" t="str">
        <f aca="false">IF((D163="p"),F163," ")</f>
        <v> </v>
      </c>
      <c r="M163" s="180" t="str">
        <f aca="false">IF((D163="g"),F163," ")</f>
        <v> </v>
      </c>
      <c r="N163" s="180" t="str">
        <f aca="false">IF((D163="a"),F163," ")</f>
        <v> </v>
      </c>
      <c r="O163" s="180" t="str">
        <f aca="false">IF((D163="l"),F163," ")</f>
        <v> </v>
      </c>
      <c r="P163" s="180" t="str">
        <f aca="false">IF((D163="i"),F163," ")</f>
        <v> </v>
      </c>
      <c r="Q163" s="180" t="str">
        <f aca="false">IF((D163="b"),F163," ")</f>
        <v> </v>
      </c>
      <c r="R163" s="180" t="str">
        <f aca="false">IF((D163="o"),F163," ")</f>
        <v> </v>
      </c>
      <c r="S163" s="180" t="str">
        <f aca="false">IF((D163="f"),F163," ")</f>
        <v> </v>
      </c>
      <c r="U163" s="371"/>
    </row>
    <row r="164" customFormat="false" ht="12.75" hidden="false" customHeight="false" outlineLevel="0" collapsed="false">
      <c r="D164" s="371" t="str">
        <f aca="false">IF((F164&lt;&gt;0),"Enter Letter"," ")</f>
        <v> </v>
      </c>
      <c r="G164" s="180" t="str">
        <f aca="false">IF((D164="d"),F164," ")</f>
        <v> </v>
      </c>
      <c r="H164" s="180" t="str">
        <f aca="false">IF((D164="h"),F164," ")</f>
        <v> </v>
      </c>
      <c r="I164" s="180" t="str">
        <f aca="false">IF((D164="r"),F164," ")</f>
        <v> </v>
      </c>
      <c r="J164" s="180" t="str">
        <f aca="false">IF((D164="t"),F164," ")</f>
        <v> </v>
      </c>
      <c r="K164" s="180" t="str">
        <f aca="false">IF((D164="e"),F164," ")</f>
        <v> </v>
      </c>
      <c r="L164" s="180" t="str">
        <f aca="false">IF((D164="p"),F164," ")</f>
        <v> </v>
      </c>
      <c r="M164" s="180" t="str">
        <f aca="false">IF((D164="g"),F164," ")</f>
        <v> </v>
      </c>
      <c r="N164" s="180" t="str">
        <f aca="false">IF((D164="a"),F164," ")</f>
        <v> </v>
      </c>
      <c r="O164" s="180" t="str">
        <f aca="false">IF((D164="l"),F164," ")</f>
        <v> </v>
      </c>
      <c r="P164" s="180" t="str">
        <f aca="false">IF((D164="i"),F164," ")</f>
        <v> </v>
      </c>
      <c r="Q164" s="180" t="str">
        <f aca="false">IF((D164="b"),F164," ")</f>
        <v> </v>
      </c>
      <c r="R164" s="180" t="str">
        <f aca="false">IF((D164="o"),F164," ")</f>
        <v> </v>
      </c>
      <c r="S164" s="180" t="str">
        <f aca="false">IF((D164="f"),F164," ")</f>
        <v> </v>
      </c>
      <c r="U164" s="371"/>
    </row>
    <row r="165" customFormat="false" ht="12.75" hidden="false" customHeight="false" outlineLevel="0" collapsed="false">
      <c r="D165" s="371" t="str">
        <f aca="false">IF((F165&lt;&gt;0),"Enter Letter"," ")</f>
        <v> </v>
      </c>
      <c r="G165" s="180" t="str">
        <f aca="false">IF((D165="d"),F165," ")</f>
        <v> </v>
      </c>
      <c r="H165" s="180" t="str">
        <f aca="false">IF((D165="h"),F165," ")</f>
        <v> </v>
      </c>
      <c r="I165" s="180" t="str">
        <f aca="false">IF((D165="r"),F165," ")</f>
        <v> </v>
      </c>
      <c r="J165" s="180" t="str">
        <f aca="false">IF((D165="t"),F165," ")</f>
        <v> </v>
      </c>
      <c r="K165" s="180" t="str">
        <f aca="false">IF((D165="e"),F165," ")</f>
        <v> </v>
      </c>
      <c r="L165" s="180" t="str">
        <f aca="false">IF((D165="p"),F165," ")</f>
        <v> </v>
      </c>
      <c r="M165" s="180" t="str">
        <f aca="false">IF((D165="g"),F165," ")</f>
        <v> </v>
      </c>
      <c r="N165" s="180" t="str">
        <f aca="false">IF((D165="a"),F165," ")</f>
        <v> </v>
      </c>
      <c r="O165" s="180" t="str">
        <f aca="false">IF((D165="l"),F165," ")</f>
        <v> </v>
      </c>
      <c r="P165" s="180" t="str">
        <f aca="false">IF((D165="i"),F165," ")</f>
        <v> </v>
      </c>
      <c r="Q165" s="180" t="str">
        <f aca="false">IF((D165="b"),F165," ")</f>
        <v> </v>
      </c>
      <c r="R165" s="180" t="str">
        <f aca="false">IF((D165="o"),F165," ")</f>
        <v> </v>
      </c>
      <c r="S165" s="180" t="str">
        <f aca="false">IF((D165="f"),F165," ")</f>
        <v> </v>
      </c>
      <c r="U165" s="371"/>
    </row>
    <row r="166" customFormat="false" ht="12.75" hidden="false" customHeight="false" outlineLevel="0" collapsed="false">
      <c r="D166" s="371" t="str">
        <f aca="false">IF((F166&lt;&gt;0),"Enter Letter"," ")</f>
        <v> </v>
      </c>
      <c r="G166" s="180" t="str">
        <f aca="false">IF((D166="d"),F166," ")</f>
        <v> </v>
      </c>
      <c r="H166" s="180" t="str">
        <f aca="false">IF((D166="h"),F166," ")</f>
        <v> </v>
      </c>
      <c r="I166" s="180" t="str">
        <f aca="false">IF((D166="r"),F166," ")</f>
        <v> </v>
      </c>
      <c r="J166" s="180" t="str">
        <f aca="false">IF((D166="t"),F166," ")</f>
        <v> </v>
      </c>
      <c r="K166" s="180" t="str">
        <f aca="false">IF((D166="e"),F166," ")</f>
        <v> </v>
      </c>
      <c r="L166" s="180" t="str">
        <f aca="false">IF((D166="p"),F166," ")</f>
        <v> </v>
      </c>
      <c r="M166" s="180" t="str">
        <f aca="false">IF((D166="g"),F166," ")</f>
        <v> </v>
      </c>
      <c r="N166" s="180" t="str">
        <f aca="false">IF((D166="a"),F166," ")</f>
        <v> </v>
      </c>
      <c r="O166" s="180" t="str">
        <f aca="false">IF((D166="l"),F166," ")</f>
        <v> </v>
      </c>
      <c r="P166" s="180" t="str">
        <f aca="false">IF((D166="i"),F166," ")</f>
        <v> </v>
      </c>
      <c r="Q166" s="180" t="str">
        <f aca="false">IF((D166="b"),F166," ")</f>
        <v> </v>
      </c>
      <c r="R166" s="180" t="str">
        <f aca="false">IF((D166="o"),F166," ")</f>
        <v> </v>
      </c>
      <c r="S166" s="180" t="str">
        <f aca="false">IF((D166="f"),F166," ")</f>
        <v> </v>
      </c>
      <c r="U166" s="371"/>
    </row>
    <row r="167" customFormat="false" ht="12.75" hidden="false" customHeight="false" outlineLevel="0" collapsed="false">
      <c r="D167" s="371" t="str">
        <f aca="false">IF((F167&lt;&gt;0),"Enter Letter"," ")</f>
        <v> </v>
      </c>
      <c r="G167" s="180" t="str">
        <f aca="false">IF((D167="d"),F167," ")</f>
        <v> </v>
      </c>
      <c r="H167" s="180" t="str">
        <f aca="false">IF((D167="h"),F167," ")</f>
        <v> </v>
      </c>
      <c r="I167" s="180" t="str">
        <f aca="false">IF((D167="r"),F167," ")</f>
        <v> </v>
      </c>
      <c r="J167" s="180" t="str">
        <f aca="false">IF((D167="t"),F167," ")</f>
        <v> </v>
      </c>
      <c r="K167" s="180" t="str">
        <f aca="false">IF((D167="e"),F167," ")</f>
        <v> </v>
      </c>
      <c r="L167" s="180" t="str">
        <f aca="false">IF((D167="p"),F167," ")</f>
        <v> </v>
      </c>
      <c r="M167" s="180" t="str">
        <f aca="false">IF((D167="g"),F167," ")</f>
        <v> </v>
      </c>
      <c r="N167" s="180" t="str">
        <f aca="false">IF((D167="a"),F167," ")</f>
        <v> </v>
      </c>
      <c r="O167" s="180" t="str">
        <f aca="false">IF((D167="l"),F167," ")</f>
        <v> </v>
      </c>
      <c r="P167" s="180" t="str">
        <f aca="false">IF((D167="i"),F167," ")</f>
        <v> </v>
      </c>
      <c r="Q167" s="180" t="str">
        <f aca="false">IF((D167="b"),F167," ")</f>
        <v> </v>
      </c>
      <c r="R167" s="180" t="str">
        <f aca="false">IF((D167="o"),F167," ")</f>
        <v> </v>
      </c>
      <c r="S167" s="180" t="str">
        <f aca="false">IF((D167="f"),F167," ")</f>
        <v> </v>
      </c>
      <c r="U167" s="371"/>
    </row>
    <row r="168" customFormat="false" ht="12.75" hidden="false" customHeight="false" outlineLevel="0" collapsed="false">
      <c r="D168" s="371" t="str">
        <f aca="false">IF((F168&lt;&gt;0),"Enter Letter"," ")</f>
        <v> </v>
      </c>
      <c r="G168" s="180" t="str">
        <f aca="false">IF((D168="d"),F168," ")</f>
        <v> </v>
      </c>
      <c r="H168" s="180" t="str">
        <f aca="false">IF((D168="h"),F168," ")</f>
        <v> </v>
      </c>
      <c r="I168" s="180" t="str">
        <f aca="false">IF((D168="r"),F168," ")</f>
        <v> </v>
      </c>
      <c r="J168" s="180" t="str">
        <f aca="false">IF((D168="t"),F168," ")</f>
        <v> </v>
      </c>
      <c r="K168" s="180" t="str">
        <f aca="false">IF((D168="e"),F168," ")</f>
        <v> </v>
      </c>
      <c r="L168" s="180" t="str">
        <f aca="false">IF((D168="p"),F168," ")</f>
        <v> </v>
      </c>
      <c r="M168" s="180" t="str">
        <f aca="false">IF((D168="g"),F168," ")</f>
        <v> </v>
      </c>
      <c r="N168" s="180" t="str">
        <f aca="false">IF((D168="a"),F168," ")</f>
        <v> </v>
      </c>
      <c r="O168" s="180" t="str">
        <f aca="false">IF((D168="l"),F168," ")</f>
        <v> </v>
      </c>
      <c r="P168" s="180" t="str">
        <f aca="false">IF((D168="i"),F168," ")</f>
        <v> </v>
      </c>
      <c r="Q168" s="180" t="str">
        <f aca="false">IF((D168="b"),F168," ")</f>
        <v> </v>
      </c>
      <c r="R168" s="180" t="str">
        <f aca="false">IF((D168="o"),F168," ")</f>
        <v> </v>
      </c>
      <c r="S168" s="180" t="str">
        <f aca="false">IF((D168="f"),F168," ")</f>
        <v> </v>
      </c>
      <c r="U168" s="371"/>
    </row>
    <row r="169" customFormat="false" ht="12.75" hidden="false" customHeight="false" outlineLevel="0" collapsed="false">
      <c r="D169" s="371" t="str">
        <f aca="false">IF((F169&lt;&gt;0),"Enter Letter"," ")</f>
        <v> </v>
      </c>
      <c r="G169" s="180" t="str">
        <f aca="false">IF((D169="d"),F169," ")</f>
        <v> </v>
      </c>
      <c r="H169" s="180" t="str">
        <f aca="false">IF((D169="h"),F169," ")</f>
        <v> </v>
      </c>
      <c r="I169" s="180" t="str">
        <f aca="false">IF((D169="r"),F169," ")</f>
        <v> </v>
      </c>
      <c r="J169" s="180" t="str">
        <f aca="false">IF((D169="t"),F169," ")</f>
        <v> </v>
      </c>
      <c r="K169" s="180" t="str">
        <f aca="false">IF((D169="e"),F169," ")</f>
        <v> </v>
      </c>
      <c r="L169" s="180" t="str">
        <f aca="false">IF((D169="p"),F169," ")</f>
        <v> </v>
      </c>
      <c r="M169" s="180" t="str">
        <f aca="false">IF((D169="g"),F169," ")</f>
        <v> </v>
      </c>
      <c r="N169" s="180" t="str">
        <f aca="false">IF((D169="a"),F169," ")</f>
        <v> </v>
      </c>
      <c r="O169" s="180" t="str">
        <f aca="false">IF((D169="l"),F169," ")</f>
        <v> </v>
      </c>
      <c r="P169" s="180" t="str">
        <f aca="false">IF((D169="i"),F169," ")</f>
        <v> </v>
      </c>
      <c r="Q169" s="180" t="str">
        <f aca="false">IF((D169="b"),F169," ")</f>
        <v> </v>
      </c>
      <c r="R169" s="180" t="str">
        <f aca="false">IF((D169="o"),F169," ")</f>
        <v> </v>
      </c>
      <c r="S169" s="180" t="str">
        <f aca="false">IF((D169="f"),F169," ")</f>
        <v> </v>
      </c>
      <c r="U169" s="371"/>
    </row>
    <row r="170" customFormat="false" ht="12.75" hidden="false" customHeight="false" outlineLevel="0" collapsed="false">
      <c r="D170" s="371" t="str">
        <f aca="false">IF((F170&lt;&gt;0),"Enter Letter"," ")</f>
        <v> </v>
      </c>
      <c r="G170" s="180" t="str">
        <f aca="false">IF((D170="d"),F170," ")</f>
        <v> </v>
      </c>
      <c r="H170" s="180" t="str">
        <f aca="false">IF((D170="h"),F170," ")</f>
        <v> </v>
      </c>
      <c r="I170" s="180" t="str">
        <f aca="false">IF((D170="r"),F170," ")</f>
        <v> </v>
      </c>
      <c r="J170" s="180" t="str">
        <f aca="false">IF((D170="t"),F170," ")</f>
        <v> </v>
      </c>
      <c r="K170" s="180" t="str">
        <f aca="false">IF((D170="e"),F170," ")</f>
        <v> </v>
      </c>
      <c r="L170" s="180" t="str">
        <f aca="false">IF((D170="p"),F170," ")</f>
        <v> </v>
      </c>
      <c r="M170" s="180" t="str">
        <f aca="false">IF((D170="g"),F170," ")</f>
        <v> </v>
      </c>
      <c r="N170" s="180" t="str">
        <f aca="false">IF((D170="a"),F170," ")</f>
        <v> </v>
      </c>
      <c r="O170" s="180" t="str">
        <f aca="false">IF((D170="l"),F170," ")</f>
        <v> </v>
      </c>
      <c r="P170" s="180" t="str">
        <f aca="false">IF((D170="i"),F170," ")</f>
        <v> </v>
      </c>
      <c r="Q170" s="180" t="str">
        <f aca="false">IF((D170="b"),F170," ")</f>
        <v> </v>
      </c>
      <c r="R170" s="180" t="str">
        <f aca="false">IF((D170="o"),F170," ")</f>
        <v> </v>
      </c>
      <c r="S170" s="180" t="str">
        <f aca="false">IF((D170="f"),F170," ")</f>
        <v> </v>
      </c>
      <c r="U170" s="371"/>
    </row>
    <row r="171" customFormat="false" ht="12.75" hidden="false" customHeight="false" outlineLevel="0" collapsed="false">
      <c r="D171" s="371" t="str">
        <f aca="false">IF((F171&lt;&gt;0),"Enter Letter"," ")</f>
        <v> </v>
      </c>
      <c r="G171" s="180" t="str">
        <f aca="false">IF((D171="d"),F171," ")</f>
        <v> </v>
      </c>
      <c r="H171" s="180" t="str">
        <f aca="false">IF((D171="h"),F171," ")</f>
        <v> </v>
      </c>
      <c r="I171" s="180" t="str">
        <f aca="false">IF((D171="r"),F171," ")</f>
        <v> </v>
      </c>
      <c r="J171" s="180" t="str">
        <f aca="false">IF((D171="t"),F171," ")</f>
        <v> </v>
      </c>
      <c r="K171" s="180" t="str">
        <f aca="false">IF((D171="e"),F171," ")</f>
        <v> </v>
      </c>
      <c r="L171" s="180" t="str">
        <f aca="false">IF((D171="p"),F171," ")</f>
        <v> </v>
      </c>
      <c r="M171" s="180" t="str">
        <f aca="false">IF((D171="g"),F171," ")</f>
        <v> </v>
      </c>
      <c r="N171" s="180" t="str">
        <f aca="false">IF((D171="a"),F171," ")</f>
        <v> </v>
      </c>
      <c r="O171" s="180" t="str">
        <f aca="false">IF((D171="l"),F171," ")</f>
        <v> </v>
      </c>
      <c r="P171" s="180" t="str">
        <f aca="false">IF((D171="i"),F171," ")</f>
        <v> </v>
      </c>
      <c r="Q171" s="180" t="str">
        <f aca="false">IF((D171="b"),F171," ")</f>
        <v> </v>
      </c>
      <c r="R171" s="180" t="str">
        <f aca="false">IF((D171="o"),F171," ")</f>
        <v> </v>
      </c>
      <c r="S171" s="180" t="str">
        <f aca="false">IF((D171="f"),F171," ")</f>
        <v> </v>
      </c>
      <c r="U171" s="371"/>
    </row>
    <row r="172" customFormat="false" ht="12.75" hidden="false" customHeight="false" outlineLevel="0" collapsed="false">
      <c r="D172" s="371" t="str">
        <f aca="false">IF((F172&lt;&gt;0),"Enter Letter"," ")</f>
        <v> </v>
      </c>
      <c r="G172" s="180" t="str">
        <f aca="false">IF((D172="d"),F172," ")</f>
        <v> </v>
      </c>
      <c r="H172" s="180" t="str">
        <f aca="false">IF((D172="h"),F172," ")</f>
        <v> </v>
      </c>
      <c r="I172" s="180" t="str">
        <f aca="false">IF((D172="r"),F172," ")</f>
        <v> </v>
      </c>
      <c r="J172" s="180" t="str">
        <f aca="false">IF((D172="t"),F172," ")</f>
        <v> </v>
      </c>
      <c r="K172" s="180" t="str">
        <f aca="false">IF((D172="e"),F172," ")</f>
        <v> </v>
      </c>
      <c r="L172" s="180" t="str">
        <f aca="false">IF((D172="p"),F172," ")</f>
        <v> </v>
      </c>
      <c r="M172" s="180" t="str">
        <f aca="false">IF((D172="g"),F172," ")</f>
        <v> </v>
      </c>
      <c r="N172" s="180" t="str">
        <f aca="false">IF((D172="a"),F172," ")</f>
        <v> </v>
      </c>
      <c r="O172" s="180" t="str">
        <f aca="false">IF((D172="l"),F172," ")</f>
        <v> </v>
      </c>
      <c r="P172" s="180" t="str">
        <f aca="false">IF((D172="i"),F172," ")</f>
        <v> </v>
      </c>
      <c r="Q172" s="180" t="str">
        <f aca="false">IF((D172="b"),F172," ")</f>
        <v> </v>
      </c>
      <c r="R172" s="180" t="str">
        <f aca="false">IF((D172="o"),F172," ")</f>
        <v> </v>
      </c>
      <c r="S172" s="180" t="str">
        <f aca="false">IF((D172="f"),F172," ")</f>
        <v> </v>
      </c>
      <c r="U172" s="371"/>
    </row>
    <row r="173" customFormat="false" ht="12.75" hidden="false" customHeight="false" outlineLevel="0" collapsed="false">
      <c r="D173" s="371" t="str">
        <f aca="false">IF((F173&lt;&gt;0),"Enter Letter"," ")</f>
        <v> </v>
      </c>
      <c r="G173" s="180" t="str">
        <f aca="false">IF((D173="d"),F173," ")</f>
        <v> </v>
      </c>
      <c r="H173" s="180" t="str">
        <f aca="false">IF((D173="h"),F173," ")</f>
        <v> </v>
      </c>
      <c r="I173" s="180" t="str">
        <f aca="false">IF((D173="r"),F173," ")</f>
        <v> </v>
      </c>
      <c r="J173" s="180" t="str">
        <f aca="false">IF((D173="t"),F173," ")</f>
        <v> </v>
      </c>
      <c r="K173" s="180" t="str">
        <f aca="false">IF((D173="e"),F173," ")</f>
        <v> </v>
      </c>
      <c r="L173" s="180" t="str">
        <f aca="false">IF((D173="p"),F173," ")</f>
        <v> </v>
      </c>
      <c r="M173" s="180" t="str">
        <f aca="false">IF((D173="g"),F173," ")</f>
        <v> </v>
      </c>
      <c r="N173" s="180" t="str">
        <f aca="false">IF((D173="a"),F173," ")</f>
        <v> </v>
      </c>
      <c r="O173" s="180" t="str">
        <f aca="false">IF((D173="l"),F173," ")</f>
        <v> </v>
      </c>
      <c r="P173" s="180" t="str">
        <f aca="false">IF((D173="i"),F173," ")</f>
        <v> </v>
      </c>
      <c r="Q173" s="180" t="str">
        <f aca="false">IF((D173="b"),F173," ")</f>
        <v> </v>
      </c>
      <c r="R173" s="180" t="str">
        <f aca="false">IF((D173="o"),F173," ")</f>
        <v> </v>
      </c>
      <c r="S173" s="180" t="str">
        <f aca="false">IF((D173="f"),F173," ")</f>
        <v> </v>
      </c>
      <c r="U173" s="371"/>
    </row>
    <row r="174" customFormat="false" ht="12.75" hidden="false" customHeight="false" outlineLevel="0" collapsed="false">
      <c r="D174" s="371" t="str">
        <f aca="false">IF((F174&lt;&gt;0),"Enter Letter"," ")</f>
        <v> </v>
      </c>
      <c r="G174" s="180" t="str">
        <f aca="false">IF((D174="d"),F174," ")</f>
        <v> </v>
      </c>
      <c r="H174" s="180" t="str">
        <f aca="false">IF((D174="h"),F174," ")</f>
        <v> </v>
      </c>
      <c r="I174" s="180" t="str">
        <f aca="false">IF((D174="r"),F174," ")</f>
        <v> </v>
      </c>
      <c r="J174" s="180" t="str">
        <f aca="false">IF((D174="t"),F174," ")</f>
        <v> </v>
      </c>
      <c r="K174" s="180" t="str">
        <f aca="false">IF((D174="e"),F174," ")</f>
        <v> </v>
      </c>
      <c r="L174" s="180" t="str">
        <f aca="false">IF((D174="p"),F174," ")</f>
        <v> </v>
      </c>
      <c r="M174" s="180" t="str">
        <f aca="false">IF((D174="g"),F174," ")</f>
        <v> </v>
      </c>
      <c r="N174" s="180" t="str">
        <f aca="false">IF((D174="a"),F174," ")</f>
        <v> </v>
      </c>
      <c r="O174" s="180" t="str">
        <f aca="false">IF((D174="l"),F174," ")</f>
        <v> </v>
      </c>
      <c r="P174" s="180" t="str">
        <f aca="false">IF((D174="i"),F174," ")</f>
        <v> </v>
      </c>
      <c r="Q174" s="180" t="str">
        <f aca="false">IF((D174="b"),F174," ")</f>
        <v> </v>
      </c>
      <c r="R174" s="180" t="str">
        <f aca="false">IF((D174="o"),F174," ")</f>
        <v> </v>
      </c>
      <c r="S174" s="180" t="str">
        <f aca="false">IF((D174="f"),F174," ")</f>
        <v> </v>
      </c>
      <c r="U174" s="371"/>
    </row>
    <row r="175" customFormat="false" ht="12.75" hidden="false" customHeight="false" outlineLevel="0" collapsed="false">
      <c r="D175" s="371" t="str">
        <f aca="false">IF((F175&lt;&gt;0),"Enter Letter"," ")</f>
        <v> </v>
      </c>
      <c r="G175" s="180" t="str">
        <f aca="false">IF((D175="d"),F175," ")</f>
        <v> </v>
      </c>
      <c r="H175" s="180" t="str">
        <f aca="false">IF((D175="h"),F175," ")</f>
        <v> </v>
      </c>
      <c r="I175" s="180" t="str">
        <f aca="false">IF((D175="r"),F175," ")</f>
        <v> </v>
      </c>
      <c r="J175" s="180" t="str">
        <f aca="false">IF((D175="t"),F175," ")</f>
        <v> </v>
      </c>
      <c r="K175" s="180" t="str">
        <f aca="false">IF((D175="e"),F175," ")</f>
        <v> </v>
      </c>
      <c r="L175" s="180" t="str">
        <f aca="false">IF((D175="p"),F175," ")</f>
        <v> </v>
      </c>
      <c r="M175" s="180" t="str">
        <f aca="false">IF((D175="g"),F175," ")</f>
        <v> </v>
      </c>
      <c r="N175" s="180" t="str">
        <f aca="false">IF((D175="a"),F175," ")</f>
        <v> </v>
      </c>
      <c r="O175" s="180" t="str">
        <f aca="false">IF((D175="l"),F175," ")</f>
        <v> </v>
      </c>
      <c r="P175" s="180" t="str">
        <f aca="false">IF((D175="i"),F175," ")</f>
        <v> </v>
      </c>
      <c r="Q175" s="180" t="str">
        <f aca="false">IF((D175="b"),F175," ")</f>
        <v> </v>
      </c>
      <c r="R175" s="180" t="str">
        <f aca="false">IF((D175="o"),F175," ")</f>
        <v> </v>
      </c>
      <c r="S175" s="180" t="str">
        <f aca="false">IF((D175="f"),F175," ")</f>
        <v> </v>
      </c>
      <c r="U175" s="371"/>
    </row>
    <row r="176" customFormat="false" ht="12.75" hidden="false" customHeight="false" outlineLevel="0" collapsed="false">
      <c r="D176" s="371" t="str">
        <f aca="false">IF((F176&lt;&gt;0),"Enter Letter"," ")</f>
        <v> </v>
      </c>
      <c r="G176" s="180" t="str">
        <f aca="false">IF((D176="d"),F176," ")</f>
        <v> </v>
      </c>
      <c r="H176" s="180" t="str">
        <f aca="false">IF((D176="h"),F176," ")</f>
        <v> </v>
      </c>
      <c r="I176" s="180" t="str">
        <f aca="false">IF((D176="r"),F176," ")</f>
        <v> </v>
      </c>
      <c r="J176" s="180" t="str">
        <f aca="false">IF((D176="t"),F176," ")</f>
        <v> </v>
      </c>
      <c r="K176" s="180" t="str">
        <f aca="false">IF((D176="e"),F176," ")</f>
        <v> </v>
      </c>
      <c r="L176" s="180" t="str">
        <f aca="false">IF((D176="p"),F176," ")</f>
        <v> </v>
      </c>
      <c r="M176" s="180" t="str">
        <f aca="false">IF((D176="g"),F176," ")</f>
        <v> </v>
      </c>
      <c r="N176" s="180" t="str">
        <f aca="false">IF((D176="a"),F176," ")</f>
        <v> </v>
      </c>
      <c r="O176" s="180" t="str">
        <f aca="false">IF((D176="l"),F176," ")</f>
        <v> </v>
      </c>
      <c r="P176" s="180" t="str">
        <f aca="false">IF((D176="i"),F176," ")</f>
        <v> </v>
      </c>
      <c r="Q176" s="180" t="str">
        <f aca="false">IF((D176="b"),F176," ")</f>
        <v> </v>
      </c>
      <c r="R176" s="180" t="str">
        <f aca="false">IF((D176="o"),F176," ")</f>
        <v> </v>
      </c>
      <c r="S176" s="180" t="str">
        <f aca="false">IF((D176="f"),F176," ")</f>
        <v> </v>
      </c>
      <c r="U176" s="371"/>
    </row>
    <row r="177" customFormat="false" ht="12.75" hidden="false" customHeight="false" outlineLevel="0" collapsed="false">
      <c r="D177" s="371" t="str">
        <f aca="false">IF((F177&lt;&gt;0),"Enter Letter"," ")</f>
        <v> </v>
      </c>
      <c r="G177" s="180" t="str">
        <f aca="false">IF((D177="d"),F177," ")</f>
        <v> </v>
      </c>
      <c r="H177" s="180" t="str">
        <f aca="false">IF((D177="h"),F177," ")</f>
        <v> </v>
      </c>
      <c r="I177" s="180" t="str">
        <f aca="false">IF((D177="r"),F177," ")</f>
        <v> </v>
      </c>
      <c r="J177" s="180" t="str">
        <f aca="false">IF((D177="t"),F177," ")</f>
        <v> </v>
      </c>
      <c r="K177" s="180" t="str">
        <f aca="false">IF((D177="e"),F177," ")</f>
        <v> </v>
      </c>
      <c r="L177" s="180" t="str">
        <f aca="false">IF((D177="p"),F177," ")</f>
        <v> </v>
      </c>
      <c r="M177" s="180" t="str">
        <f aca="false">IF((D177="g"),F177," ")</f>
        <v> </v>
      </c>
      <c r="N177" s="180" t="str">
        <f aca="false">IF((D177="a"),F177," ")</f>
        <v> </v>
      </c>
      <c r="O177" s="180" t="str">
        <f aca="false">IF((D177="l"),F177," ")</f>
        <v> </v>
      </c>
      <c r="P177" s="180" t="str">
        <f aca="false">IF((D177="i"),F177," ")</f>
        <v> </v>
      </c>
      <c r="Q177" s="180" t="str">
        <f aca="false">IF((D177="b"),F177," ")</f>
        <v> </v>
      </c>
      <c r="R177" s="180" t="str">
        <f aca="false">IF((D177="o"),F177," ")</f>
        <v> </v>
      </c>
      <c r="S177" s="180" t="str">
        <f aca="false">IF((D177="f"),F177," ")</f>
        <v> </v>
      </c>
      <c r="U177" s="371"/>
    </row>
    <row r="178" customFormat="false" ht="12.75" hidden="false" customHeight="false" outlineLevel="0" collapsed="false">
      <c r="D178" s="371" t="str">
        <f aca="false">IF((F178&lt;&gt;0),"Enter Letter"," ")</f>
        <v> </v>
      </c>
      <c r="G178" s="180" t="str">
        <f aca="false">IF((D178="d"),F178," ")</f>
        <v> </v>
      </c>
      <c r="H178" s="180" t="str">
        <f aca="false">IF((D178="h"),F178," ")</f>
        <v> </v>
      </c>
      <c r="I178" s="180" t="str">
        <f aca="false">IF((D178="r"),F178," ")</f>
        <v> </v>
      </c>
      <c r="J178" s="180" t="str">
        <f aca="false">IF((D178="t"),F178," ")</f>
        <v> </v>
      </c>
      <c r="K178" s="180" t="str">
        <f aca="false">IF((D178="e"),F178," ")</f>
        <v> </v>
      </c>
      <c r="L178" s="180" t="str">
        <f aca="false">IF((D178="p"),F178," ")</f>
        <v> </v>
      </c>
      <c r="M178" s="180" t="str">
        <f aca="false">IF((D178="g"),F178," ")</f>
        <v> </v>
      </c>
      <c r="N178" s="180" t="str">
        <f aca="false">IF((D178="a"),F178," ")</f>
        <v> </v>
      </c>
      <c r="O178" s="180" t="str">
        <f aca="false">IF((D178="l"),F178," ")</f>
        <v> </v>
      </c>
      <c r="P178" s="180" t="str">
        <f aca="false">IF((D178="i"),F178," ")</f>
        <v> </v>
      </c>
      <c r="Q178" s="180" t="str">
        <f aca="false">IF((D178="b"),F178," ")</f>
        <v> </v>
      </c>
      <c r="R178" s="180" t="str">
        <f aca="false">IF((D178="o"),F178," ")</f>
        <v> </v>
      </c>
      <c r="S178" s="180" t="str">
        <f aca="false">IF((D178="f"),F178," ")</f>
        <v> </v>
      </c>
      <c r="U178" s="371"/>
    </row>
    <row r="179" customFormat="false" ht="12.75" hidden="false" customHeight="false" outlineLevel="0" collapsed="false">
      <c r="D179" s="371" t="str">
        <f aca="false">IF((F179&lt;&gt;0),"Enter Letter"," ")</f>
        <v> </v>
      </c>
      <c r="G179" s="180" t="str">
        <f aca="false">IF((D179="d"),F179," ")</f>
        <v> </v>
      </c>
      <c r="H179" s="180" t="str">
        <f aca="false">IF((D179="h"),F179," ")</f>
        <v> </v>
      </c>
      <c r="I179" s="180" t="str">
        <f aca="false">IF((D179="r"),F179," ")</f>
        <v> </v>
      </c>
      <c r="J179" s="180" t="str">
        <f aca="false">IF((D179="t"),F179," ")</f>
        <v> </v>
      </c>
      <c r="K179" s="180" t="str">
        <f aca="false">IF((D179="e"),F179," ")</f>
        <v> </v>
      </c>
      <c r="L179" s="180" t="str">
        <f aca="false">IF((D179="p"),F179," ")</f>
        <v> </v>
      </c>
      <c r="M179" s="180" t="str">
        <f aca="false">IF((D179="g"),F179," ")</f>
        <v> </v>
      </c>
      <c r="N179" s="180" t="str">
        <f aca="false">IF((D179="a"),F179," ")</f>
        <v> </v>
      </c>
      <c r="O179" s="180" t="str">
        <f aca="false">IF((D179="l"),F179," ")</f>
        <v> </v>
      </c>
      <c r="P179" s="180" t="str">
        <f aca="false">IF((D179="i"),F179," ")</f>
        <v> </v>
      </c>
      <c r="Q179" s="180" t="str">
        <f aca="false">IF((D179="b"),F179," ")</f>
        <v> </v>
      </c>
      <c r="R179" s="180" t="str">
        <f aca="false">IF((D179="o"),F179," ")</f>
        <v> </v>
      </c>
      <c r="S179" s="180" t="str">
        <f aca="false">IF((D179="f"),F179," ")</f>
        <v> </v>
      </c>
      <c r="U179" s="371"/>
    </row>
    <row r="180" customFormat="false" ht="12.75" hidden="false" customHeight="false" outlineLevel="0" collapsed="false">
      <c r="D180" s="371" t="str">
        <f aca="false">IF((F180&lt;&gt;0),"Enter Letter"," ")</f>
        <v> </v>
      </c>
      <c r="G180" s="180" t="str">
        <f aca="false">IF((D180="d"),F180," ")</f>
        <v> </v>
      </c>
      <c r="H180" s="180" t="str">
        <f aca="false">IF((D180="h"),F180," ")</f>
        <v> </v>
      </c>
      <c r="I180" s="180" t="str">
        <f aca="false">IF((D180="r"),F180," ")</f>
        <v> </v>
      </c>
      <c r="J180" s="180" t="str">
        <f aca="false">IF((D180="t"),F180," ")</f>
        <v> </v>
      </c>
      <c r="K180" s="180" t="str">
        <f aca="false">IF((D180="e"),F180," ")</f>
        <v> </v>
      </c>
      <c r="L180" s="180" t="str">
        <f aca="false">IF((D180="p"),F180," ")</f>
        <v> </v>
      </c>
      <c r="M180" s="180" t="str">
        <f aca="false">IF((D180="g"),F180," ")</f>
        <v> </v>
      </c>
      <c r="N180" s="180" t="str">
        <f aca="false">IF((D180="a"),F180," ")</f>
        <v> </v>
      </c>
      <c r="O180" s="180" t="str">
        <f aca="false">IF((D180="l"),F180," ")</f>
        <v> </v>
      </c>
      <c r="P180" s="180" t="str">
        <f aca="false">IF((D180="i"),F180," ")</f>
        <v> </v>
      </c>
      <c r="Q180" s="180" t="str">
        <f aca="false">IF((D180="b"),F180," ")</f>
        <v> </v>
      </c>
      <c r="R180" s="180" t="str">
        <f aca="false">IF((D180="o"),F180," ")</f>
        <v> </v>
      </c>
      <c r="S180" s="180" t="str">
        <f aca="false">IF((D180="f"),F180," ")</f>
        <v> </v>
      </c>
      <c r="U180" s="371"/>
    </row>
    <row r="181" customFormat="false" ht="12.75" hidden="false" customHeight="false" outlineLevel="0" collapsed="false">
      <c r="D181" s="371" t="str">
        <f aca="false">IF((F181&lt;&gt;0),"Enter Letter"," ")</f>
        <v> </v>
      </c>
      <c r="G181" s="180" t="str">
        <f aca="false">IF((D181="d"),F181," ")</f>
        <v> </v>
      </c>
      <c r="H181" s="180" t="str">
        <f aca="false">IF((D181="h"),F181," ")</f>
        <v> </v>
      </c>
      <c r="I181" s="180" t="str">
        <f aca="false">IF((D181="r"),F181," ")</f>
        <v> </v>
      </c>
      <c r="J181" s="180" t="str">
        <f aca="false">IF((D181="t"),F181," ")</f>
        <v> </v>
      </c>
      <c r="K181" s="180" t="str">
        <f aca="false">IF((D181="e"),F181," ")</f>
        <v> </v>
      </c>
      <c r="L181" s="180" t="str">
        <f aca="false">IF((D181="p"),F181," ")</f>
        <v> </v>
      </c>
      <c r="M181" s="180" t="str">
        <f aca="false">IF((D181="g"),F181," ")</f>
        <v> </v>
      </c>
      <c r="N181" s="180" t="str">
        <f aca="false">IF((D181="a"),F181," ")</f>
        <v> </v>
      </c>
      <c r="O181" s="180" t="str">
        <f aca="false">IF((D181="l"),F181," ")</f>
        <v> </v>
      </c>
      <c r="P181" s="180" t="str">
        <f aca="false">IF((D181="i"),F181," ")</f>
        <v> </v>
      </c>
      <c r="Q181" s="180" t="str">
        <f aca="false">IF((D181="b"),F181," ")</f>
        <v> </v>
      </c>
      <c r="R181" s="180" t="str">
        <f aca="false">IF((D181="o"),F181," ")</f>
        <v> </v>
      </c>
      <c r="S181" s="180" t="str">
        <f aca="false">IF((D181="f"),F181," ")</f>
        <v> </v>
      </c>
      <c r="U181" s="371"/>
    </row>
    <row r="182" customFormat="false" ht="12.75" hidden="false" customHeight="false" outlineLevel="0" collapsed="false">
      <c r="D182" s="371" t="str">
        <f aca="false">IF((F182&lt;&gt;0),"Enter Letter"," ")</f>
        <v> </v>
      </c>
      <c r="G182" s="180" t="str">
        <f aca="false">IF((D182="d"),F182," ")</f>
        <v> </v>
      </c>
      <c r="H182" s="180" t="str">
        <f aca="false">IF((D182="h"),F182," ")</f>
        <v> </v>
      </c>
      <c r="I182" s="180" t="str">
        <f aca="false">IF((D182="r"),F182," ")</f>
        <v> </v>
      </c>
      <c r="J182" s="180" t="str">
        <f aca="false">IF((D182="t"),F182," ")</f>
        <v> </v>
      </c>
      <c r="K182" s="180" t="str">
        <f aca="false">IF((D182="e"),F182," ")</f>
        <v> </v>
      </c>
      <c r="L182" s="180" t="str">
        <f aca="false">IF((D182="p"),F182," ")</f>
        <v> </v>
      </c>
      <c r="M182" s="180" t="str">
        <f aca="false">IF((D182="g"),F182," ")</f>
        <v> </v>
      </c>
      <c r="N182" s="180" t="str">
        <f aca="false">IF((D182="a"),F182," ")</f>
        <v> </v>
      </c>
      <c r="O182" s="180" t="str">
        <f aca="false">IF((D182="l"),F182," ")</f>
        <v> </v>
      </c>
      <c r="P182" s="180" t="str">
        <f aca="false">IF((D182="i"),F182," ")</f>
        <v> </v>
      </c>
      <c r="Q182" s="180" t="str">
        <f aca="false">IF((D182="b"),F182," ")</f>
        <v> </v>
      </c>
      <c r="R182" s="180" t="str">
        <f aca="false">IF((D182="o"),F182," ")</f>
        <v> </v>
      </c>
      <c r="S182" s="180" t="str">
        <f aca="false">IF((D182="f"),F182," ")</f>
        <v> </v>
      </c>
      <c r="U182" s="371"/>
    </row>
    <row r="183" customFormat="false" ht="12.75" hidden="false" customHeight="false" outlineLevel="0" collapsed="false">
      <c r="D183" s="371" t="str">
        <f aca="false">IF((F183&lt;&gt;0),"Enter Letter"," ")</f>
        <v> </v>
      </c>
      <c r="G183" s="180" t="str">
        <f aca="false">IF((D183="d"),F183," ")</f>
        <v> </v>
      </c>
      <c r="H183" s="180" t="str">
        <f aca="false">IF((D183="h"),F183," ")</f>
        <v> </v>
      </c>
      <c r="I183" s="180" t="str">
        <f aca="false">IF((D183="r"),F183," ")</f>
        <v> </v>
      </c>
      <c r="J183" s="180" t="str">
        <f aca="false">IF((D183="t"),F183," ")</f>
        <v> </v>
      </c>
      <c r="K183" s="180" t="str">
        <f aca="false">IF((D183="e"),F183," ")</f>
        <v> </v>
      </c>
      <c r="L183" s="180" t="str">
        <f aca="false">IF((D183="p"),F183," ")</f>
        <v> </v>
      </c>
      <c r="M183" s="180" t="str">
        <f aca="false">IF((D183="g"),F183," ")</f>
        <v> </v>
      </c>
      <c r="N183" s="180" t="str">
        <f aca="false">IF((D183="a"),F183," ")</f>
        <v> </v>
      </c>
      <c r="O183" s="180" t="str">
        <f aca="false">IF((D183="l"),F183," ")</f>
        <v> </v>
      </c>
      <c r="P183" s="180" t="str">
        <f aca="false">IF((D183="i"),F183," ")</f>
        <v> </v>
      </c>
      <c r="Q183" s="180" t="str">
        <f aca="false">IF((D183="b"),F183," ")</f>
        <v> </v>
      </c>
      <c r="R183" s="180" t="str">
        <f aca="false">IF((D183="o"),F183," ")</f>
        <v> </v>
      </c>
      <c r="S183" s="180" t="str">
        <f aca="false">IF((D183="f"),F183," ")</f>
        <v> </v>
      </c>
      <c r="U183" s="371"/>
    </row>
    <row r="184" customFormat="false" ht="12.75" hidden="false" customHeight="false" outlineLevel="0" collapsed="false">
      <c r="D184" s="371" t="str">
        <f aca="false">IF((F184&lt;&gt;0),"Enter Letter"," ")</f>
        <v> </v>
      </c>
      <c r="G184" s="180" t="str">
        <f aca="false">IF((D184="d"),F184," ")</f>
        <v> </v>
      </c>
      <c r="H184" s="180" t="str">
        <f aca="false">IF((D184="h"),F184," ")</f>
        <v> </v>
      </c>
      <c r="I184" s="180" t="str">
        <f aca="false">IF((D184="r"),F184," ")</f>
        <v> </v>
      </c>
      <c r="J184" s="180" t="str">
        <f aca="false">IF((D184="t"),F184," ")</f>
        <v> </v>
      </c>
      <c r="K184" s="180" t="str">
        <f aca="false">IF((D184="e"),F184," ")</f>
        <v> </v>
      </c>
      <c r="L184" s="180" t="str">
        <f aca="false">IF((D184="p"),F184," ")</f>
        <v> </v>
      </c>
      <c r="M184" s="180" t="str">
        <f aca="false">IF((D184="g"),F184," ")</f>
        <v> </v>
      </c>
      <c r="N184" s="180" t="str">
        <f aca="false">IF((D184="a"),F184," ")</f>
        <v> </v>
      </c>
      <c r="O184" s="180" t="str">
        <f aca="false">IF((D184="l"),F184," ")</f>
        <v> </v>
      </c>
      <c r="P184" s="180" t="str">
        <f aca="false">IF((D184="i"),F184," ")</f>
        <v> </v>
      </c>
      <c r="Q184" s="180" t="str">
        <f aca="false">IF((D184="b"),F184," ")</f>
        <v> </v>
      </c>
      <c r="R184" s="180" t="str">
        <f aca="false">IF((D184="o"),F184," ")</f>
        <v> </v>
      </c>
      <c r="S184" s="180" t="str">
        <f aca="false">IF((D184="f"),F184," ")</f>
        <v> </v>
      </c>
      <c r="U184" s="371"/>
    </row>
    <row r="185" customFormat="false" ht="12.75" hidden="false" customHeight="false" outlineLevel="0" collapsed="false">
      <c r="D185" s="371" t="str">
        <f aca="false">IF((F185&lt;&gt;0),"Enter Letter"," ")</f>
        <v> </v>
      </c>
      <c r="G185" s="180" t="str">
        <f aca="false">IF((D185="d"),F185," ")</f>
        <v> </v>
      </c>
      <c r="H185" s="180" t="str">
        <f aca="false">IF((D185="h"),F185," ")</f>
        <v> </v>
      </c>
      <c r="I185" s="180" t="str">
        <f aca="false">IF((D185="r"),F185," ")</f>
        <v> </v>
      </c>
      <c r="J185" s="180" t="str">
        <f aca="false">IF((D185="t"),F185," ")</f>
        <v> </v>
      </c>
      <c r="K185" s="180" t="str">
        <f aca="false">IF((D185="e"),F185," ")</f>
        <v> </v>
      </c>
      <c r="L185" s="180" t="str">
        <f aca="false">IF((D185="p"),F185," ")</f>
        <v> </v>
      </c>
      <c r="M185" s="180" t="str">
        <f aca="false">IF((D185="g"),F185," ")</f>
        <v> </v>
      </c>
      <c r="N185" s="180" t="str">
        <f aca="false">IF((D185="a"),F185," ")</f>
        <v> </v>
      </c>
      <c r="O185" s="180" t="str">
        <f aca="false">IF((D185="l"),F185," ")</f>
        <v> </v>
      </c>
      <c r="P185" s="180" t="str">
        <f aca="false">IF((D185="i"),F185," ")</f>
        <v> </v>
      </c>
      <c r="Q185" s="180" t="str">
        <f aca="false">IF((D185="b"),F185," ")</f>
        <v> </v>
      </c>
      <c r="R185" s="180" t="str">
        <f aca="false">IF((D185="o"),F185," ")</f>
        <v> </v>
      </c>
      <c r="S185" s="180" t="str">
        <f aca="false">IF((D185="f"),F185," ")</f>
        <v> </v>
      </c>
      <c r="U185" s="371"/>
    </row>
    <row r="186" customFormat="false" ht="12.75" hidden="false" customHeight="false" outlineLevel="0" collapsed="false">
      <c r="D186" s="371" t="str">
        <f aca="false">IF((F186&lt;&gt;0),"Enter Letter"," ")</f>
        <v> </v>
      </c>
      <c r="G186" s="180" t="str">
        <f aca="false">IF((D186="d"),F186," ")</f>
        <v> </v>
      </c>
      <c r="H186" s="180" t="str">
        <f aca="false">IF((D186="h"),F186," ")</f>
        <v> </v>
      </c>
      <c r="I186" s="180" t="str">
        <f aca="false">IF((D186="r"),F186," ")</f>
        <v> </v>
      </c>
      <c r="J186" s="180" t="str">
        <f aca="false">IF((D186="t"),F186," ")</f>
        <v> </v>
      </c>
      <c r="K186" s="180" t="str">
        <f aca="false">IF((D186="e"),F186," ")</f>
        <v> </v>
      </c>
      <c r="L186" s="180" t="str">
        <f aca="false">IF((D186="p"),F186," ")</f>
        <v> </v>
      </c>
      <c r="M186" s="180" t="str">
        <f aca="false">IF((D186="g"),F186," ")</f>
        <v> </v>
      </c>
      <c r="N186" s="180" t="str">
        <f aca="false">IF((D186="a"),F186," ")</f>
        <v> </v>
      </c>
      <c r="O186" s="180" t="str">
        <f aca="false">IF((D186="l"),F186," ")</f>
        <v> </v>
      </c>
      <c r="P186" s="180" t="str">
        <f aca="false">IF((D186="i"),F186," ")</f>
        <v> </v>
      </c>
      <c r="Q186" s="180" t="str">
        <f aca="false">IF((D186="b"),F186," ")</f>
        <v> </v>
      </c>
      <c r="R186" s="180" t="str">
        <f aca="false">IF((D186="o"),F186," ")</f>
        <v> </v>
      </c>
      <c r="S186" s="180" t="str">
        <f aca="false">IF((D186="f"),F186," ")</f>
        <v> </v>
      </c>
      <c r="U186" s="371"/>
    </row>
    <row r="187" customFormat="false" ht="12.75" hidden="false" customHeight="false" outlineLevel="0" collapsed="false">
      <c r="D187" s="371" t="str">
        <f aca="false">IF((F187&lt;&gt;0),"Enter Letter"," ")</f>
        <v> </v>
      </c>
      <c r="G187" s="180" t="str">
        <f aca="false">IF((D187="d"),F187," ")</f>
        <v> </v>
      </c>
      <c r="H187" s="180" t="str">
        <f aca="false">IF((D187="h"),F187," ")</f>
        <v> </v>
      </c>
      <c r="I187" s="180" t="str">
        <f aca="false">IF((D187="r"),F187," ")</f>
        <v> </v>
      </c>
      <c r="J187" s="180" t="str">
        <f aca="false">IF((D187="t"),F187," ")</f>
        <v> </v>
      </c>
      <c r="K187" s="180" t="str">
        <f aca="false">IF((D187="e"),F187," ")</f>
        <v> </v>
      </c>
      <c r="L187" s="180" t="str">
        <f aca="false">IF((D187="p"),F187," ")</f>
        <v> </v>
      </c>
      <c r="M187" s="180" t="str">
        <f aca="false">IF((D187="g"),F187," ")</f>
        <v> </v>
      </c>
      <c r="N187" s="180" t="str">
        <f aca="false">IF((D187="a"),F187," ")</f>
        <v> </v>
      </c>
      <c r="O187" s="180" t="str">
        <f aca="false">IF((D187="l"),F187," ")</f>
        <v> </v>
      </c>
      <c r="P187" s="180" t="str">
        <f aca="false">IF((D187="i"),F187," ")</f>
        <v> </v>
      </c>
      <c r="Q187" s="180" t="str">
        <f aca="false">IF((D187="b"),F187," ")</f>
        <v> </v>
      </c>
      <c r="R187" s="180" t="str">
        <f aca="false">IF((D187="o"),F187," ")</f>
        <v> </v>
      </c>
      <c r="S187" s="180" t="str">
        <f aca="false">IF((D187="f"),F187," ")</f>
        <v> </v>
      </c>
      <c r="U187" s="371"/>
    </row>
    <row r="188" customFormat="false" ht="12.75" hidden="false" customHeight="false" outlineLevel="0" collapsed="false">
      <c r="D188" s="371" t="str">
        <f aca="false">IF((F188&lt;&gt;0),"Enter Letter"," ")</f>
        <v> </v>
      </c>
      <c r="G188" s="180" t="str">
        <f aca="false">IF((D188="d"),F188," ")</f>
        <v> </v>
      </c>
      <c r="H188" s="180" t="str">
        <f aca="false">IF((D188="h"),F188," ")</f>
        <v> </v>
      </c>
      <c r="I188" s="180" t="str">
        <f aca="false">IF((D188="r"),F188," ")</f>
        <v> </v>
      </c>
      <c r="J188" s="180" t="str">
        <f aca="false">IF((D188="t"),F188," ")</f>
        <v> </v>
      </c>
      <c r="K188" s="180" t="str">
        <f aca="false">IF((D188="e"),F188," ")</f>
        <v> </v>
      </c>
      <c r="L188" s="180" t="str">
        <f aca="false">IF((D188="p"),F188," ")</f>
        <v> </v>
      </c>
      <c r="M188" s="180" t="str">
        <f aca="false">IF((D188="g"),F188," ")</f>
        <v> </v>
      </c>
      <c r="N188" s="180" t="str">
        <f aca="false">IF((D188="a"),F188," ")</f>
        <v> </v>
      </c>
      <c r="O188" s="180" t="str">
        <f aca="false">IF((D188="l"),F188," ")</f>
        <v> </v>
      </c>
      <c r="P188" s="180" t="str">
        <f aca="false">IF((D188="i"),F188," ")</f>
        <v> </v>
      </c>
      <c r="Q188" s="180" t="str">
        <f aca="false">IF((D188="b"),F188," ")</f>
        <v> </v>
      </c>
      <c r="R188" s="180" t="str">
        <f aca="false">IF((D188="o"),F188," ")</f>
        <v> </v>
      </c>
      <c r="S188" s="180" t="str">
        <f aca="false">IF((D188="f"),F188," ")</f>
        <v> </v>
      </c>
      <c r="U188" s="371"/>
    </row>
    <row r="189" customFormat="false" ht="12.75" hidden="false" customHeight="false" outlineLevel="0" collapsed="false">
      <c r="D189" s="371" t="str">
        <f aca="false">IF((F189&lt;&gt;0),"Enter Letter"," ")</f>
        <v> </v>
      </c>
      <c r="G189" s="180" t="str">
        <f aca="false">IF((D189="d"),F189," ")</f>
        <v> </v>
      </c>
      <c r="H189" s="180" t="str">
        <f aca="false">IF((D189="h"),F189," ")</f>
        <v> </v>
      </c>
      <c r="I189" s="180" t="str">
        <f aca="false">IF((D189="r"),F189," ")</f>
        <v> </v>
      </c>
      <c r="J189" s="180" t="str">
        <f aca="false">IF((D189="t"),F189," ")</f>
        <v> </v>
      </c>
      <c r="K189" s="180" t="str">
        <f aca="false">IF((D189="e"),F189," ")</f>
        <v> </v>
      </c>
      <c r="L189" s="180" t="str">
        <f aca="false">IF((D189="p"),F189," ")</f>
        <v> </v>
      </c>
      <c r="M189" s="180" t="str">
        <f aca="false">IF((D189="g"),F189," ")</f>
        <v> </v>
      </c>
      <c r="N189" s="180" t="str">
        <f aca="false">IF((D189="a"),F189," ")</f>
        <v> </v>
      </c>
      <c r="O189" s="180" t="str">
        <f aca="false">IF((D189="l"),F189," ")</f>
        <v> </v>
      </c>
      <c r="P189" s="180" t="str">
        <f aca="false">IF((D189="i"),F189," ")</f>
        <v> </v>
      </c>
      <c r="Q189" s="180" t="str">
        <f aca="false">IF((D189="b"),F189," ")</f>
        <v> </v>
      </c>
      <c r="R189" s="180" t="str">
        <f aca="false">IF((D189="o"),F189," ")</f>
        <v> </v>
      </c>
      <c r="S189" s="180" t="str">
        <f aca="false">IF((D189="f"),F189," ")</f>
        <v> </v>
      </c>
      <c r="U189" s="371"/>
    </row>
    <row r="190" customFormat="false" ht="12.75" hidden="false" customHeight="false" outlineLevel="0" collapsed="false">
      <c r="D190" s="371" t="str">
        <f aca="false">IF((F190&lt;&gt;0),"Enter Letter"," ")</f>
        <v> </v>
      </c>
      <c r="G190" s="180" t="str">
        <f aca="false">IF((D190="d"),F190," ")</f>
        <v> </v>
      </c>
      <c r="H190" s="180" t="str">
        <f aca="false">IF((D190="h"),F190," ")</f>
        <v> </v>
      </c>
      <c r="I190" s="180" t="str">
        <f aca="false">IF((D190="r"),F190," ")</f>
        <v> </v>
      </c>
      <c r="J190" s="180" t="str">
        <f aca="false">IF((D190="t"),F190," ")</f>
        <v> </v>
      </c>
      <c r="K190" s="180" t="str">
        <f aca="false">IF((D190="e"),F190," ")</f>
        <v> </v>
      </c>
      <c r="L190" s="180" t="str">
        <f aca="false">IF((D190="p"),F190," ")</f>
        <v> </v>
      </c>
      <c r="M190" s="180" t="str">
        <f aca="false">IF((D190="g"),F190," ")</f>
        <v> </v>
      </c>
      <c r="N190" s="180" t="str">
        <f aca="false">IF((D190="a"),F190," ")</f>
        <v> </v>
      </c>
      <c r="O190" s="180" t="str">
        <f aca="false">IF((D190="l"),F190," ")</f>
        <v> </v>
      </c>
      <c r="P190" s="180" t="str">
        <f aca="false">IF((D190="i"),F190," ")</f>
        <v> </v>
      </c>
      <c r="Q190" s="180" t="str">
        <f aca="false">IF((D190="b"),F190," ")</f>
        <v> </v>
      </c>
      <c r="R190" s="180" t="str">
        <f aca="false">IF((D190="o"),F190," ")</f>
        <v> </v>
      </c>
      <c r="S190" s="180" t="str">
        <f aca="false">IF((D190="f"),F190," ")</f>
        <v> </v>
      </c>
      <c r="U190" s="371"/>
    </row>
    <row r="191" customFormat="false" ht="12.75" hidden="false" customHeight="false" outlineLevel="0" collapsed="false">
      <c r="D191" s="371" t="str">
        <f aca="false">IF((F191&lt;&gt;0),"Enter Letter"," ")</f>
        <v> </v>
      </c>
      <c r="G191" s="180" t="str">
        <f aca="false">IF((D191="d"),F191," ")</f>
        <v> </v>
      </c>
      <c r="H191" s="180" t="str">
        <f aca="false">IF((D191="h"),F191," ")</f>
        <v> </v>
      </c>
      <c r="I191" s="180" t="str">
        <f aca="false">IF((D191="r"),F191," ")</f>
        <v> </v>
      </c>
      <c r="J191" s="180" t="str">
        <f aca="false">IF((D191="t"),F191," ")</f>
        <v> </v>
      </c>
      <c r="K191" s="180" t="str">
        <f aca="false">IF((D191="e"),F191," ")</f>
        <v> </v>
      </c>
      <c r="L191" s="180" t="str">
        <f aca="false">IF((D191="p"),F191," ")</f>
        <v> </v>
      </c>
      <c r="M191" s="180" t="str">
        <f aca="false">IF((D191="g"),F191," ")</f>
        <v> </v>
      </c>
      <c r="N191" s="180" t="str">
        <f aca="false">IF((D191="a"),F191," ")</f>
        <v> </v>
      </c>
      <c r="O191" s="180" t="str">
        <f aca="false">IF((D191="l"),F191," ")</f>
        <v> </v>
      </c>
      <c r="P191" s="180" t="str">
        <f aca="false">IF((D191="i"),F191," ")</f>
        <v> </v>
      </c>
      <c r="Q191" s="180" t="str">
        <f aca="false">IF((D191="b"),F191," ")</f>
        <v> </v>
      </c>
      <c r="R191" s="180" t="str">
        <f aca="false">IF((D191="o"),F191," ")</f>
        <v> </v>
      </c>
      <c r="S191" s="180" t="str">
        <f aca="false">IF((D191="f"),F191," ")</f>
        <v> </v>
      </c>
      <c r="U191" s="371"/>
    </row>
    <row r="192" customFormat="false" ht="12.75" hidden="false" customHeight="false" outlineLevel="0" collapsed="false">
      <c r="D192" s="371" t="str">
        <f aca="false">IF((F192&lt;&gt;0),"Enter Letter"," ")</f>
        <v> </v>
      </c>
      <c r="G192" s="180" t="str">
        <f aca="false">IF((D192="d"),F192," ")</f>
        <v> </v>
      </c>
      <c r="H192" s="180" t="str">
        <f aca="false">IF((D192="h"),F192," ")</f>
        <v> </v>
      </c>
      <c r="I192" s="180" t="str">
        <f aca="false">IF((D192="r"),F192," ")</f>
        <v> </v>
      </c>
      <c r="J192" s="180" t="str">
        <f aca="false">IF((D192="t"),F192," ")</f>
        <v> </v>
      </c>
      <c r="K192" s="180" t="str">
        <f aca="false">IF((D192="e"),F192," ")</f>
        <v> </v>
      </c>
      <c r="L192" s="180" t="str">
        <f aca="false">IF((D192="p"),F192," ")</f>
        <v> </v>
      </c>
      <c r="M192" s="180" t="str">
        <f aca="false">IF((D192="g"),F192," ")</f>
        <v> </v>
      </c>
      <c r="N192" s="180" t="str">
        <f aca="false">IF((D192="a"),F192," ")</f>
        <v> </v>
      </c>
      <c r="O192" s="180" t="str">
        <f aca="false">IF((D192="l"),F192," ")</f>
        <v> </v>
      </c>
      <c r="P192" s="180" t="str">
        <f aca="false">IF((D192="i"),F192," ")</f>
        <v> </v>
      </c>
      <c r="Q192" s="180" t="str">
        <f aca="false">IF((D192="b"),F192," ")</f>
        <v> </v>
      </c>
      <c r="R192" s="180" t="str">
        <f aca="false">IF((D192="o"),F192," ")</f>
        <v> </v>
      </c>
      <c r="S192" s="180" t="str">
        <f aca="false">IF((D192="f"),F192," ")</f>
        <v> </v>
      </c>
      <c r="U192" s="371"/>
    </row>
    <row r="193" customFormat="false" ht="12.75" hidden="false" customHeight="false" outlineLevel="0" collapsed="false">
      <c r="D193" s="371" t="str">
        <f aca="false">IF((F193&lt;&gt;0),"Enter Letter"," ")</f>
        <v> </v>
      </c>
      <c r="G193" s="180" t="str">
        <f aca="false">IF((D193="d"),F193," ")</f>
        <v> </v>
      </c>
      <c r="H193" s="180" t="str">
        <f aca="false">IF((D193="h"),F193," ")</f>
        <v> </v>
      </c>
      <c r="I193" s="180" t="str">
        <f aca="false">IF((D193="r"),F193," ")</f>
        <v> </v>
      </c>
      <c r="J193" s="180" t="str">
        <f aca="false">IF((D193="t"),F193," ")</f>
        <v> </v>
      </c>
      <c r="K193" s="180" t="str">
        <f aca="false">IF((D193="e"),F193," ")</f>
        <v> </v>
      </c>
      <c r="L193" s="180" t="str">
        <f aca="false">IF((D193="p"),F193," ")</f>
        <v> </v>
      </c>
      <c r="M193" s="180" t="str">
        <f aca="false">IF((D193="g"),F193," ")</f>
        <v> </v>
      </c>
      <c r="N193" s="180" t="str">
        <f aca="false">IF((D193="a"),F193," ")</f>
        <v> </v>
      </c>
      <c r="O193" s="180" t="str">
        <f aca="false">IF((D193="l"),F193," ")</f>
        <v> </v>
      </c>
      <c r="P193" s="180" t="str">
        <f aca="false">IF((D193="i"),F193," ")</f>
        <v> </v>
      </c>
      <c r="Q193" s="180" t="str">
        <f aca="false">IF((D193="b"),F193," ")</f>
        <v> </v>
      </c>
      <c r="R193" s="180" t="str">
        <f aca="false">IF((D193="o"),F193," ")</f>
        <v> </v>
      </c>
      <c r="S193" s="180" t="str">
        <f aca="false">IF((D193="f"),F193," ")</f>
        <v> </v>
      </c>
      <c r="U193" s="371"/>
    </row>
    <row r="194" customFormat="false" ht="12.75" hidden="false" customHeight="false" outlineLevel="0" collapsed="false">
      <c r="D194" s="371" t="str">
        <f aca="false">IF((F194&lt;&gt;0),"Enter Letter"," ")</f>
        <v> </v>
      </c>
      <c r="G194" s="180" t="str">
        <f aca="false">IF((D194="d"),F194," ")</f>
        <v> </v>
      </c>
      <c r="H194" s="180" t="str">
        <f aca="false">IF((D194="h"),F194," ")</f>
        <v> </v>
      </c>
      <c r="I194" s="180" t="str">
        <f aca="false">IF((D194="r"),F194," ")</f>
        <v> </v>
      </c>
      <c r="J194" s="180" t="str">
        <f aca="false">IF((D194="t"),F194," ")</f>
        <v> </v>
      </c>
      <c r="K194" s="180" t="str">
        <f aca="false">IF((D194="e"),F194," ")</f>
        <v> </v>
      </c>
      <c r="L194" s="180" t="str">
        <f aca="false">IF((D194="p"),F194," ")</f>
        <v> </v>
      </c>
      <c r="M194" s="180" t="str">
        <f aca="false">IF((D194="g"),F194," ")</f>
        <v> </v>
      </c>
      <c r="N194" s="180" t="str">
        <f aca="false">IF((D194="a"),F194," ")</f>
        <v> </v>
      </c>
      <c r="O194" s="180" t="str">
        <f aca="false">IF((D194="l"),F194," ")</f>
        <v> </v>
      </c>
      <c r="P194" s="180" t="str">
        <f aca="false">IF((D194="i"),F194," ")</f>
        <v> </v>
      </c>
      <c r="Q194" s="180" t="str">
        <f aca="false">IF((D194="b"),F194," ")</f>
        <v> </v>
      </c>
      <c r="R194" s="180" t="str">
        <f aca="false">IF((D194="o"),F194," ")</f>
        <v> </v>
      </c>
      <c r="S194" s="180" t="str">
        <f aca="false">IF((D194="f"),F194," ")</f>
        <v> </v>
      </c>
      <c r="U194" s="371"/>
    </row>
    <row r="195" customFormat="false" ht="12.75" hidden="false" customHeight="false" outlineLevel="0" collapsed="false">
      <c r="D195" s="371" t="str">
        <f aca="false">IF((F195&lt;&gt;0),"Enter Letter"," ")</f>
        <v> </v>
      </c>
      <c r="G195" s="180" t="str">
        <f aca="false">IF((D195="d"),F195," ")</f>
        <v> </v>
      </c>
      <c r="H195" s="180" t="str">
        <f aca="false">IF((D195="h"),F195," ")</f>
        <v> </v>
      </c>
      <c r="I195" s="180" t="str">
        <f aca="false">IF((D195="r"),F195," ")</f>
        <v> </v>
      </c>
      <c r="J195" s="180" t="str">
        <f aca="false">IF((D195="t"),F195," ")</f>
        <v> </v>
      </c>
      <c r="K195" s="180" t="str">
        <f aca="false">IF((D195="e"),F195," ")</f>
        <v> </v>
      </c>
      <c r="L195" s="180" t="str">
        <f aca="false">IF((D195="p"),F195," ")</f>
        <v> </v>
      </c>
      <c r="M195" s="180" t="str">
        <f aca="false">IF((D195="g"),F195," ")</f>
        <v> </v>
      </c>
      <c r="N195" s="180" t="str">
        <f aca="false">IF((D195="a"),F195," ")</f>
        <v> </v>
      </c>
      <c r="O195" s="180" t="str">
        <f aca="false">IF((D195="l"),F195," ")</f>
        <v> </v>
      </c>
      <c r="P195" s="180" t="str">
        <f aca="false">IF((D195="i"),F195," ")</f>
        <v> </v>
      </c>
      <c r="Q195" s="180" t="str">
        <f aca="false">IF((D195="b"),F195," ")</f>
        <v> </v>
      </c>
      <c r="R195" s="180" t="str">
        <f aca="false">IF((D195="o"),F195," ")</f>
        <v> </v>
      </c>
      <c r="S195" s="180" t="str">
        <f aca="false">IF((D195="f"),F195," ")</f>
        <v> </v>
      </c>
      <c r="U195" s="371"/>
    </row>
    <row r="196" customFormat="false" ht="12.75" hidden="false" customHeight="false" outlineLevel="0" collapsed="false">
      <c r="D196" s="371" t="str">
        <f aca="false">IF((F196&lt;&gt;0),"Enter Letter"," ")</f>
        <v> </v>
      </c>
      <c r="G196" s="180" t="str">
        <f aca="false">IF((D196="d"),F196," ")</f>
        <v> </v>
      </c>
      <c r="H196" s="180" t="str">
        <f aca="false">IF((D196="h"),F196," ")</f>
        <v> </v>
      </c>
      <c r="I196" s="180" t="str">
        <f aca="false">IF((D196="r"),F196," ")</f>
        <v> </v>
      </c>
      <c r="J196" s="180" t="str">
        <f aca="false">IF((D196="t"),F196," ")</f>
        <v> </v>
      </c>
      <c r="K196" s="180" t="str">
        <f aca="false">IF((D196="e"),F196," ")</f>
        <v> </v>
      </c>
      <c r="L196" s="180" t="str">
        <f aca="false">IF((D196="p"),F196," ")</f>
        <v> </v>
      </c>
      <c r="M196" s="180" t="str">
        <f aca="false">IF((D196="g"),F196," ")</f>
        <v> </v>
      </c>
      <c r="N196" s="180" t="str">
        <f aca="false">IF((D196="a"),F196," ")</f>
        <v> </v>
      </c>
      <c r="O196" s="180" t="str">
        <f aca="false">IF((D196="l"),F196," ")</f>
        <v> </v>
      </c>
      <c r="P196" s="180" t="str">
        <f aca="false">IF((D196="i"),F196," ")</f>
        <v> </v>
      </c>
      <c r="Q196" s="180" t="str">
        <f aca="false">IF((D196="b"),F196," ")</f>
        <v> </v>
      </c>
      <c r="R196" s="180" t="str">
        <f aca="false">IF((D196="o"),F196," ")</f>
        <v> </v>
      </c>
      <c r="S196" s="180" t="str">
        <f aca="false">IF((D196="f"),F196," ")</f>
        <v> </v>
      </c>
      <c r="U196" s="371"/>
    </row>
    <row r="197" customFormat="false" ht="12.75" hidden="false" customHeight="false" outlineLevel="0" collapsed="false">
      <c r="D197" s="371" t="str">
        <f aca="false">IF((F197&lt;&gt;0),"Enter Letter"," ")</f>
        <v> </v>
      </c>
      <c r="G197" s="180" t="str">
        <f aca="false">IF((D197="d"),F197," ")</f>
        <v> </v>
      </c>
      <c r="H197" s="180" t="str">
        <f aca="false">IF((D197="h"),F197," ")</f>
        <v> </v>
      </c>
      <c r="I197" s="180" t="str">
        <f aca="false">IF((D197="r"),F197," ")</f>
        <v> </v>
      </c>
      <c r="J197" s="180" t="str">
        <f aca="false">IF((D197="t"),F197," ")</f>
        <v> </v>
      </c>
      <c r="K197" s="180" t="str">
        <f aca="false">IF((D197="e"),F197," ")</f>
        <v> </v>
      </c>
      <c r="L197" s="180" t="str">
        <f aca="false">IF((D197="p"),F197," ")</f>
        <v> </v>
      </c>
      <c r="M197" s="180" t="str">
        <f aca="false">IF((D197="g"),F197," ")</f>
        <v> </v>
      </c>
      <c r="N197" s="180" t="str">
        <f aca="false">IF((D197="a"),F197," ")</f>
        <v> </v>
      </c>
      <c r="O197" s="180" t="str">
        <f aca="false">IF((D197="l"),F197," ")</f>
        <v> </v>
      </c>
      <c r="P197" s="180" t="str">
        <f aca="false">IF((D197="i"),F197," ")</f>
        <v> </v>
      </c>
      <c r="Q197" s="180" t="str">
        <f aca="false">IF((D197="b"),F197," ")</f>
        <v> </v>
      </c>
      <c r="R197" s="180" t="str">
        <f aca="false">IF((D197="o"),F197," ")</f>
        <v> </v>
      </c>
      <c r="S197" s="180" t="str">
        <f aca="false">IF((D197="f"),F197," ")</f>
        <v> </v>
      </c>
      <c r="U197" s="371"/>
    </row>
    <row r="198" customFormat="false" ht="12.75" hidden="false" customHeight="false" outlineLevel="0" collapsed="false">
      <c r="D198" s="371" t="str">
        <f aca="false">IF((F198&lt;&gt;0),"Enter Letter"," ")</f>
        <v> </v>
      </c>
      <c r="G198" s="180" t="str">
        <f aca="false">IF((D198="d"),F198," ")</f>
        <v> </v>
      </c>
      <c r="H198" s="180" t="str">
        <f aca="false">IF((D198="h"),F198," ")</f>
        <v> </v>
      </c>
      <c r="I198" s="180" t="str">
        <f aca="false">IF((D198="r"),F198," ")</f>
        <v> </v>
      </c>
      <c r="J198" s="180" t="str">
        <f aca="false">IF((D198="t"),F198," ")</f>
        <v> </v>
      </c>
      <c r="K198" s="180" t="str">
        <f aca="false">IF((D198="e"),F198," ")</f>
        <v> </v>
      </c>
      <c r="L198" s="180" t="str">
        <f aca="false">IF((D198="p"),F198," ")</f>
        <v> </v>
      </c>
      <c r="M198" s="180" t="str">
        <f aca="false">IF((D198="g"),F198," ")</f>
        <v> </v>
      </c>
      <c r="N198" s="180" t="str">
        <f aca="false">IF((D198="a"),F198," ")</f>
        <v> </v>
      </c>
      <c r="O198" s="180" t="str">
        <f aca="false">IF((D198="l"),F198," ")</f>
        <v> </v>
      </c>
      <c r="P198" s="180" t="str">
        <f aca="false">IF((D198="i"),F198," ")</f>
        <v> </v>
      </c>
      <c r="Q198" s="180" t="str">
        <f aca="false">IF((D198="b"),F198," ")</f>
        <v> </v>
      </c>
      <c r="R198" s="180" t="str">
        <f aca="false">IF((D198="o"),F198," ")</f>
        <v> </v>
      </c>
      <c r="S198" s="180" t="str">
        <f aca="false">IF((D198="f"),F198," ")</f>
        <v> </v>
      </c>
      <c r="U198" s="371"/>
    </row>
    <row r="199" customFormat="false" ht="12.75" hidden="false" customHeight="false" outlineLevel="0" collapsed="false">
      <c r="D199" s="371" t="str">
        <f aca="false">IF((F199&lt;&gt;0),"Enter Letter"," ")</f>
        <v> </v>
      </c>
      <c r="G199" s="180" t="str">
        <f aca="false">IF((D199="d"),F199," ")</f>
        <v> </v>
      </c>
      <c r="H199" s="180" t="str">
        <f aca="false">IF((D199="h"),F199," ")</f>
        <v> </v>
      </c>
      <c r="I199" s="180" t="str">
        <f aca="false">IF((D199="r"),F199," ")</f>
        <v> </v>
      </c>
      <c r="J199" s="180" t="str">
        <f aca="false">IF((D199="t"),F199," ")</f>
        <v> </v>
      </c>
      <c r="K199" s="180" t="str">
        <f aca="false">IF((D199="e"),F199," ")</f>
        <v> </v>
      </c>
      <c r="L199" s="180" t="str">
        <f aca="false">IF((D199="p"),F199," ")</f>
        <v> </v>
      </c>
      <c r="M199" s="180" t="str">
        <f aca="false">IF((D199="g"),F199," ")</f>
        <v> </v>
      </c>
      <c r="N199" s="180" t="str">
        <f aca="false">IF((D199="a"),F199," ")</f>
        <v> </v>
      </c>
      <c r="O199" s="180" t="str">
        <f aca="false">IF((D199="l"),F199," ")</f>
        <v> </v>
      </c>
      <c r="P199" s="180" t="str">
        <f aca="false">IF((D199="i"),F199," ")</f>
        <v> </v>
      </c>
      <c r="Q199" s="180" t="str">
        <f aca="false">IF((D199="b"),F199," ")</f>
        <v> </v>
      </c>
      <c r="R199" s="180" t="str">
        <f aca="false">IF((D199="o"),F199," ")</f>
        <v> </v>
      </c>
      <c r="S199" s="180" t="str">
        <f aca="false">IF((D199="f"),F199," ")</f>
        <v> </v>
      </c>
      <c r="U199" s="371"/>
    </row>
    <row r="200" customFormat="false" ht="12.75" hidden="false" customHeight="false" outlineLevel="0" collapsed="false">
      <c r="D200" s="371" t="str">
        <f aca="false">IF((F200&lt;&gt;0),"Enter Letter"," ")</f>
        <v> </v>
      </c>
      <c r="G200" s="180" t="str">
        <f aca="false">IF((D200="d"),F200," ")</f>
        <v> </v>
      </c>
      <c r="H200" s="180" t="str">
        <f aca="false">IF((D200="h"),F200," ")</f>
        <v> </v>
      </c>
      <c r="I200" s="180" t="str">
        <f aca="false">IF((D200="r"),F200," ")</f>
        <v> </v>
      </c>
      <c r="J200" s="180" t="str">
        <f aca="false">IF((D200="t"),F200," ")</f>
        <v> </v>
      </c>
      <c r="K200" s="180" t="str">
        <f aca="false">IF((D200="e"),F200," ")</f>
        <v> </v>
      </c>
      <c r="L200" s="180" t="str">
        <f aca="false">IF((D200="p"),F200," ")</f>
        <v> </v>
      </c>
      <c r="M200" s="180" t="str">
        <f aca="false">IF((D200="g"),F200," ")</f>
        <v> </v>
      </c>
      <c r="N200" s="180" t="str">
        <f aca="false">IF((D200="a"),F200," ")</f>
        <v> </v>
      </c>
      <c r="O200" s="180" t="str">
        <f aca="false">IF((D200="l"),F200," ")</f>
        <v> </v>
      </c>
      <c r="P200" s="180" t="str">
        <f aca="false">IF((D200="i"),F200," ")</f>
        <v> </v>
      </c>
      <c r="Q200" s="180" t="str">
        <f aca="false">IF((D200="b"),F200," ")</f>
        <v> </v>
      </c>
      <c r="R200" s="180" t="str">
        <f aca="false">IF((D200="o"),F200," ")</f>
        <v> </v>
      </c>
      <c r="S200" s="180" t="str">
        <f aca="false">IF((D200="f"),F200," ")</f>
        <v> </v>
      </c>
      <c r="U200" s="371"/>
    </row>
    <row r="201" customFormat="false" ht="12.75" hidden="false" customHeight="false" outlineLevel="0" collapsed="false">
      <c r="D201" s="371" t="str">
        <f aca="false">IF((F201&lt;&gt;0),"Enter Letter"," ")</f>
        <v> </v>
      </c>
      <c r="G201" s="180" t="str">
        <f aca="false">IF((D201="d"),F201," ")</f>
        <v> </v>
      </c>
      <c r="H201" s="180" t="str">
        <f aca="false">IF((D201="h"),F201," ")</f>
        <v> </v>
      </c>
      <c r="I201" s="180" t="str">
        <f aca="false">IF((D201="r"),F201," ")</f>
        <v> </v>
      </c>
      <c r="J201" s="180" t="str">
        <f aca="false">IF((D201="t"),F201," ")</f>
        <v> </v>
      </c>
      <c r="K201" s="180" t="str">
        <f aca="false">IF((D201="e"),F201," ")</f>
        <v> </v>
      </c>
      <c r="L201" s="180" t="str">
        <f aca="false">IF((D201="p"),F201," ")</f>
        <v> </v>
      </c>
      <c r="M201" s="180" t="str">
        <f aca="false">IF((D201="g"),F201," ")</f>
        <v> </v>
      </c>
      <c r="N201" s="180" t="str">
        <f aca="false">IF((D201="a"),F201," ")</f>
        <v> </v>
      </c>
      <c r="O201" s="180" t="str">
        <f aca="false">IF((D201="l"),F201," ")</f>
        <v> </v>
      </c>
      <c r="P201" s="180" t="str">
        <f aca="false">IF((D201="i"),F201," ")</f>
        <v> </v>
      </c>
      <c r="Q201" s="180" t="str">
        <f aca="false">IF((D201="b"),F201," ")</f>
        <v> </v>
      </c>
      <c r="R201" s="180" t="str">
        <f aca="false">IF((D201="o"),F201," ")</f>
        <v> </v>
      </c>
      <c r="S201" s="180" t="str">
        <f aca="false">IF((D201="f"),F201," ")</f>
        <v> </v>
      </c>
      <c r="U201" s="371"/>
    </row>
    <row r="202" customFormat="false" ht="12.75" hidden="false" customHeight="false" outlineLevel="0" collapsed="false">
      <c r="D202" s="371" t="str">
        <f aca="false">IF((F202&lt;&gt;0),"Enter Letter"," ")</f>
        <v> </v>
      </c>
      <c r="G202" s="180" t="str">
        <f aca="false">IF((D202="d"),F202," ")</f>
        <v> </v>
      </c>
      <c r="H202" s="180" t="str">
        <f aca="false">IF((D202="h"),F202," ")</f>
        <v> </v>
      </c>
      <c r="I202" s="180" t="str">
        <f aca="false">IF((D202="r"),F202," ")</f>
        <v> </v>
      </c>
      <c r="J202" s="180" t="str">
        <f aca="false">IF((D202="t"),F202," ")</f>
        <v> </v>
      </c>
      <c r="K202" s="180" t="str">
        <f aca="false">IF((D202="e"),F202," ")</f>
        <v> </v>
      </c>
      <c r="L202" s="180" t="str">
        <f aca="false">IF((D202="p"),F202," ")</f>
        <v> </v>
      </c>
      <c r="M202" s="180" t="str">
        <f aca="false">IF((D202="g"),F202," ")</f>
        <v> </v>
      </c>
      <c r="N202" s="180" t="str">
        <f aca="false">IF((D202="a"),F202," ")</f>
        <v> </v>
      </c>
      <c r="O202" s="180" t="str">
        <f aca="false">IF((D202="l"),F202," ")</f>
        <v> </v>
      </c>
      <c r="P202" s="180" t="str">
        <f aca="false">IF((D202="i"),F202," ")</f>
        <v> </v>
      </c>
      <c r="Q202" s="180" t="str">
        <f aca="false">IF((D202="b"),F202," ")</f>
        <v> </v>
      </c>
      <c r="R202" s="180" t="str">
        <f aca="false">IF((D202="o"),F202," ")</f>
        <v> </v>
      </c>
      <c r="S202" s="180" t="str">
        <f aca="false">IF((D202="f"),F202," ")</f>
        <v> </v>
      </c>
      <c r="U202" s="371"/>
    </row>
    <row r="203" customFormat="false" ht="12.75" hidden="false" customHeight="false" outlineLevel="0" collapsed="false">
      <c r="D203" s="371" t="str">
        <f aca="false">IF((F203&lt;&gt;0),"Enter Letter"," ")</f>
        <v> </v>
      </c>
      <c r="G203" s="180" t="str">
        <f aca="false">IF((D203="d"),F203," ")</f>
        <v> </v>
      </c>
      <c r="H203" s="180" t="str">
        <f aca="false">IF((D203="h"),F203," ")</f>
        <v> </v>
      </c>
      <c r="I203" s="180" t="str">
        <f aca="false">IF((D203="r"),F203," ")</f>
        <v> </v>
      </c>
      <c r="J203" s="180" t="str">
        <f aca="false">IF((D203="t"),F203," ")</f>
        <v> </v>
      </c>
      <c r="K203" s="180" t="str">
        <f aca="false">IF((D203="e"),F203," ")</f>
        <v> </v>
      </c>
      <c r="L203" s="180" t="str">
        <f aca="false">IF((D203="p"),F203," ")</f>
        <v> </v>
      </c>
      <c r="M203" s="180" t="str">
        <f aca="false">IF((D203="g"),F203," ")</f>
        <v> </v>
      </c>
      <c r="N203" s="180" t="str">
        <f aca="false">IF((D203="a"),F203," ")</f>
        <v> </v>
      </c>
      <c r="O203" s="180" t="str">
        <f aca="false">IF((D203="l"),F203," ")</f>
        <v> </v>
      </c>
      <c r="P203" s="180" t="str">
        <f aca="false">IF((D203="i"),F203," ")</f>
        <v> </v>
      </c>
      <c r="Q203" s="180" t="str">
        <f aca="false">IF((D203="b"),F203," ")</f>
        <v> </v>
      </c>
      <c r="R203" s="180" t="str">
        <f aca="false">IF((D203="o"),F203," ")</f>
        <v> </v>
      </c>
      <c r="S203" s="180" t="str">
        <f aca="false">IF((D203="f"),F203," ")</f>
        <v> </v>
      </c>
      <c r="U203" s="371"/>
    </row>
    <row r="204" customFormat="false" ht="12.75" hidden="false" customHeight="false" outlineLevel="0" collapsed="false">
      <c r="D204" s="371" t="str">
        <f aca="false">IF((F204&lt;&gt;0),"Enter Letter"," ")</f>
        <v> </v>
      </c>
      <c r="G204" s="180" t="str">
        <f aca="false">IF((D204="d"),F204," ")</f>
        <v> </v>
      </c>
      <c r="H204" s="180" t="str">
        <f aca="false">IF((D204="h"),F204," ")</f>
        <v> </v>
      </c>
      <c r="I204" s="180" t="str">
        <f aca="false">IF((D204="r"),F204," ")</f>
        <v> </v>
      </c>
      <c r="J204" s="180" t="str">
        <f aca="false">IF((D204="t"),F204," ")</f>
        <v> </v>
      </c>
      <c r="K204" s="180" t="str">
        <f aca="false">IF((D204="e"),F204," ")</f>
        <v> </v>
      </c>
      <c r="L204" s="180" t="str">
        <f aca="false">IF((D204="p"),F204," ")</f>
        <v> </v>
      </c>
      <c r="M204" s="180" t="str">
        <f aca="false">IF((D204="g"),F204," ")</f>
        <v> </v>
      </c>
      <c r="N204" s="180" t="str">
        <f aca="false">IF((D204="a"),F204," ")</f>
        <v> </v>
      </c>
      <c r="O204" s="180" t="str">
        <f aca="false">IF((D204="l"),F204," ")</f>
        <v> </v>
      </c>
      <c r="P204" s="180" t="str">
        <f aca="false">IF((D204="i"),F204," ")</f>
        <v> </v>
      </c>
      <c r="Q204" s="180" t="str">
        <f aca="false">IF((D204="b"),F204," ")</f>
        <v> </v>
      </c>
      <c r="R204" s="180" t="str">
        <f aca="false">IF((D204="o"),F204," ")</f>
        <v> </v>
      </c>
      <c r="S204" s="180" t="str">
        <f aca="false">IF((D204="f"),F204," ")</f>
        <v> </v>
      </c>
      <c r="U204" s="371"/>
    </row>
    <row r="205" customFormat="false" ht="12.75" hidden="false" customHeight="false" outlineLevel="0" collapsed="false">
      <c r="U205" s="371"/>
    </row>
    <row r="206" customFormat="false" ht="12.75" hidden="false" customHeight="false" outlineLevel="0" collapsed="false">
      <c r="U206" s="371"/>
    </row>
    <row r="207" customFormat="false" ht="12.75" hidden="false" customHeight="false" outlineLevel="0" collapsed="false">
      <c r="U207" s="371"/>
    </row>
    <row r="208" customFormat="false" ht="12.75" hidden="false" customHeight="false" outlineLevel="0" collapsed="false">
      <c r="U208" s="371"/>
    </row>
    <row r="209" customFormat="false" ht="12.75" hidden="false" customHeight="false" outlineLevel="0" collapsed="false">
      <c r="U209" s="371"/>
    </row>
    <row r="210" customFormat="false" ht="12.75" hidden="false" customHeight="false" outlineLevel="0" collapsed="false">
      <c r="U210" s="371"/>
    </row>
    <row r="211" customFormat="false" ht="12.75" hidden="false" customHeight="false" outlineLevel="0" collapsed="false">
      <c r="U211" s="371"/>
    </row>
    <row r="212" customFormat="false" ht="12.75" hidden="false" customHeight="false" outlineLevel="0" collapsed="false">
      <c r="U212" s="371"/>
    </row>
    <row r="213" customFormat="false" ht="12.75" hidden="false" customHeight="false" outlineLevel="0" collapsed="false">
      <c r="U213" s="371"/>
    </row>
    <row r="214" customFormat="false" ht="12.75" hidden="false" customHeight="false" outlineLevel="0" collapsed="false">
      <c r="U214" s="371"/>
    </row>
    <row r="215" customFormat="false" ht="12.75" hidden="false" customHeight="false" outlineLevel="0" collapsed="false">
      <c r="U215" s="371"/>
    </row>
    <row r="216" customFormat="false" ht="12.75" hidden="false" customHeight="false" outlineLevel="0" collapsed="false">
      <c r="U216" s="371"/>
    </row>
    <row r="217" customFormat="false" ht="12.75" hidden="false" customHeight="false" outlineLevel="0" collapsed="false">
      <c r="U217" s="371"/>
    </row>
    <row r="218" customFormat="false" ht="12.75" hidden="false" customHeight="false" outlineLevel="0" collapsed="false">
      <c r="U218" s="371"/>
    </row>
    <row r="219" customFormat="false" ht="12.75" hidden="false" customHeight="false" outlineLevel="0" collapsed="false">
      <c r="U219" s="371"/>
    </row>
    <row r="220" customFormat="false" ht="12.75" hidden="false" customHeight="false" outlineLevel="0" collapsed="false">
      <c r="U220" s="371"/>
    </row>
    <row r="221" customFormat="false" ht="12.75" hidden="false" customHeight="false" outlineLevel="0" collapsed="false">
      <c r="U221" s="371"/>
    </row>
    <row r="222" customFormat="false" ht="12.75" hidden="false" customHeight="false" outlineLevel="0" collapsed="false">
      <c r="U222" s="371"/>
    </row>
    <row r="223" customFormat="false" ht="12.75" hidden="false" customHeight="false" outlineLevel="0" collapsed="false">
      <c r="U223" s="371"/>
    </row>
    <row r="224" customFormat="false" ht="12.75" hidden="false" customHeight="false" outlineLevel="0" collapsed="false">
      <c r="U224" s="371"/>
    </row>
    <row r="225" customFormat="false" ht="12.75" hidden="false" customHeight="false" outlineLevel="0" collapsed="false">
      <c r="U225" s="371"/>
    </row>
    <row r="226" customFormat="false" ht="12.75" hidden="false" customHeight="false" outlineLevel="0" collapsed="false">
      <c r="U226" s="371"/>
    </row>
    <row r="227" customFormat="false" ht="12.75" hidden="false" customHeight="false" outlineLevel="0" collapsed="false">
      <c r="U227" s="371"/>
    </row>
    <row r="228" customFormat="false" ht="12.75" hidden="false" customHeight="false" outlineLevel="0" collapsed="false">
      <c r="U228" s="371"/>
    </row>
    <row r="229" customFormat="false" ht="12.75" hidden="false" customHeight="false" outlineLevel="0" collapsed="false">
      <c r="U229" s="371"/>
    </row>
    <row r="230" customFormat="false" ht="12.75" hidden="false" customHeight="false" outlineLevel="0" collapsed="false">
      <c r="U230" s="371"/>
    </row>
    <row r="231" customFormat="false" ht="12.75" hidden="false" customHeight="false" outlineLevel="0" collapsed="false">
      <c r="U231" s="371"/>
    </row>
    <row r="232" customFormat="false" ht="12.75" hidden="false" customHeight="false" outlineLevel="0" collapsed="false">
      <c r="U232" s="371"/>
    </row>
    <row r="233" customFormat="false" ht="12.75" hidden="false" customHeight="false" outlineLevel="0" collapsed="false">
      <c r="U233" s="371"/>
    </row>
    <row r="234" customFormat="false" ht="12.75" hidden="false" customHeight="false" outlineLevel="0" collapsed="false">
      <c r="U234" s="371"/>
    </row>
    <row r="235" customFormat="false" ht="12.75" hidden="false" customHeight="false" outlineLevel="0" collapsed="false">
      <c r="U235" s="371"/>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customHeight="false" zeroHeight="false" outlineLevelRow="0" outlineLevelCol="0"/>
  <cols>
    <col collapsed="false" customWidth="true" hidden="false" outlineLevel="0" max="1" min="1" style="344" width="9.66"/>
    <col collapsed="false" customWidth="true" hidden="false" outlineLevel="0" max="2" min="2" style="345" width="14.66"/>
    <col collapsed="false" customWidth="true" hidden="false" outlineLevel="0" max="3" min="3" style="180" width="13.66"/>
    <col collapsed="false" customWidth="true" hidden="false" outlineLevel="0" max="4" min="4" style="346" width="12.66"/>
    <col collapsed="false" customWidth="true" hidden="false" outlineLevel="0" max="5" min="5" style="347" width="12.66"/>
    <col collapsed="false" customWidth="true" hidden="false" outlineLevel="0" max="6" min="6" style="180" width="12.66"/>
    <col collapsed="false" customWidth="false" hidden="false" outlineLevel="0" max="257" min="7" style="180" width="9.15"/>
  </cols>
  <sheetData>
    <row r="1" customFormat="false" ht="12.75" hidden="false" customHeight="true" outlineLevel="0" collapsed="false">
      <c r="A1" s="348" t="s">
        <v>240</v>
      </c>
      <c r="B1" s="349" t="s">
        <v>241</v>
      </c>
      <c r="C1" s="350" t="s">
        <v>242</v>
      </c>
      <c r="D1" s="351" t="n">
        <f aca="false">SUM(D4:D58)</f>
        <v>0</v>
      </c>
      <c r="E1" s="350" t="n">
        <f aca="false">SUM(E4:E58)/2</f>
        <v>3000</v>
      </c>
      <c r="F1" s="350" t="n">
        <f aca="false">SUM(F4:F58)/2</f>
        <v>0</v>
      </c>
      <c r="G1" s="352"/>
      <c r="H1" s="352"/>
      <c r="I1" s="352"/>
      <c r="J1" s="352"/>
      <c r="K1" s="352"/>
      <c r="L1" s="352"/>
      <c r="M1" s="352"/>
      <c r="N1" s="352"/>
      <c r="O1" s="352"/>
      <c r="P1" s="352"/>
      <c r="Q1" s="352"/>
      <c r="R1" s="352"/>
      <c r="S1" s="352"/>
      <c r="T1" s="352"/>
      <c r="U1" s="352"/>
      <c r="V1" s="352"/>
      <c r="W1" s="352"/>
      <c r="X1" s="352"/>
      <c r="Y1" s="352"/>
      <c r="Z1" s="352"/>
      <c r="AA1" s="352"/>
      <c r="AB1" s="352"/>
      <c r="AC1" s="352"/>
      <c r="AD1" s="352"/>
      <c r="AE1" s="352"/>
      <c r="AF1" s="352"/>
      <c r="AG1" s="352"/>
      <c r="AH1" s="352"/>
      <c r="AI1" s="352"/>
      <c r="AJ1" s="352"/>
      <c r="AK1" s="352"/>
      <c r="AL1" s="352"/>
      <c r="AM1" s="352"/>
      <c r="AN1" s="352"/>
      <c r="AO1" s="352"/>
      <c r="AP1" s="352"/>
      <c r="AQ1" s="352"/>
      <c r="AR1" s="352"/>
      <c r="AS1" s="352"/>
      <c r="AT1" s="352"/>
      <c r="AU1" s="352"/>
      <c r="AV1" s="352"/>
      <c r="AW1" s="352"/>
      <c r="AX1" s="352"/>
      <c r="AY1" s="352"/>
      <c r="AZ1" s="352"/>
      <c r="BA1" s="352"/>
      <c r="BB1" s="352"/>
      <c r="BC1" s="352"/>
      <c r="BD1" s="352"/>
      <c r="BE1" s="352"/>
      <c r="BF1" s="352"/>
      <c r="BG1" s="352"/>
      <c r="BH1" s="352"/>
      <c r="BI1" s="352"/>
      <c r="BJ1" s="352"/>
      <c r="BK1" s="352"/>
      <c r="BL1" s="352"/>
      <c r="BM1" s="352"/>
      <c r="BN1" s="352"/>
      <c r="BO1" s="352"/>
      <c r="BP1" s="352"/>
      <c r="BQ1" s="352"/>
      <c r="BR1" s="352"/>
      <c r="BS1" s="352"/>
      <c r="BT1" s="352"/>
      <c r="BU1" s="352"/>
      <c r="BV1" s="352"/>
      <c r="BW1" s="352"/>
      <c r="BX1" s="352"/>
      <c r="BY1" s="352"/>
      <c r="BZ1" s="352"/>
      <c r="CA1" s="352"/>
      <c r="CB1" s="352"/>
      <c r="CC1" s="352"/>
      <c r="CD1" s="352"/>
      <c r="CE1" s="352"/>
      <c r="CF1" s="352"/>
      <c r="CG1" s="352"/>
      <c r="CH1" s="352"/>
      <c r="CI1" s="352"/>
      <c r="CJ1" s="352"/>
      <c r="CK1" s="352"/>
      <c r="CL1" s="352"/>
      <c r="CM1" s="352"/>
      <c r="CN1" s="352"/>
      <c r="CO1" s="352"/>
      <c r="CP1" s="352"/>
      <c r="CQ1" s="352"/>
      <c r="CR1" s="352"/>
      <c r="CS1" s="352"/>
      <c r="CT1" s="352"/>
      <c r="CU1" s="352"/>
      <c r="CV1" s="352"/>
      <c r="CW1" s="352"/>
      <c r="CX1" s="352"/>
      <c r="CY1" s="352"/>
      <c r="CZ1" s="352"/>
      <c r="DA1" s="352"/>
      <c r="DB1" s="352"/>
      <c r="DC1" s="352"/>
      <c r="DD1" s="352"/>
      <c r="DE1" s="352"/>
      <c r="DF1" s="352"/>
      <c r="DG1" s="352"/>
      <c r="DH1" s="352"/>
      <c r="DI1" s="352"/>
      <c r="DJ1" s="352"/>
      <c r="DK1" s="352"/>
      <c r="DL1" s="352"/>
      <c r="DM1" s="352"/>
      <c r="DN1" s="352"/>
      <c r="DO1" s="352"/>
      <c r="DP1" s="352"/>
      <c r="DQ1" s="352"/>
      <c r="DR1" s="352"/>
      <c r="DS1" s="352"/>
      <c r="DT1" s="352"/>
      <c r="DU1" s="352"/>
      <c r="DV1" s="352"/>
      <c r="DW1" s="352"/>
      <c r="DX1" s="352"/>
      <c r="DY1" s="352"/>
      <c r="DZ1" s="352"/>
      <c r="EA1" s="352"/>
      <c r="EB1" s="352"/>
      <c r="EC1" s="352"/>
      <c r="ED1" s="352"/>
      <c r="EE1" s="352"/>
      <c r="EF1" s="352"/>
      <c r="EG1" s="352"/>
      <c r="EH1" s="352"/>
      <c r="EI1" s="352"/>
      <c r="EJ1" s="352"/>
      <c r="EK1" s="352"/>
      <c r="EL1" s="352"/>
      <c r="EM1" s="352"/>
      <c r="EN1" s="352"/>
      <c r="EO1" s="352"/>
      <c r="EP1" s="352"/>
      <c r="EQ1" s="352"/>
      <c r="ER1" s="352"/>
      <c r="ES1" s="352"/>
      <c r="ET1" s="352"/>
      <c r="EU1" s="352"/>
      <c r="EV1" s="352"/>
      <c r="EW1" s="352"/>
      <c r="EX1" s="352"/>
      <c r="EY1" s="352"/>
      <c r="EZ1" s="352"/>
      <c r="FA1" s="352"/>
      <c r="FB1" s="352"/>
      <c r="FC1" s="352"/>
      <c r="FD1" s="352"/>
      <c r="FE1" s="352"/>
      <c r="FF1" s="352"/>
      <c r="FG1" s="352"/>
      <c r="FH1" s="352"/>
      <c r="FI1" s="352"/>
      <c r="FJ1" s="352"/>
      <c r="FK1" s="352"/>
      <c r="FL1" s="352"/>
      <c r="FM1" s="352"/>
      <c r="FN1" s="352"/>
      <c r="FO1" s="352"/>
      <c r="FP1" s="352"/>
      <c r="FQ1" s="352"/>
      <c r="FR1" s="352"/>
      <c r="FS1" s="352"/>
      <c r="FT1" s="352"/>
      <c r="FU1" s="352"/>
      <c r="FV1" s="352"/>
      <c r="FW1" s="352"/>
      <c r="FX1" s="352"/>
      <c r="FY1" s="352"/>
      <c r="FZ1" s="352"/>
      <c r="GA1" s="352"/>
      <c r="GB1" s="352"/>
      <c r="GC1" s="352"/>
      <c r="GD1" s="352"/>
      <c r="GE1" s="352"/>
      <c r="GF1" s="352"/>
      <c r="GG1" s="352"/>
      <c r="GH1" s="352"/>
      <c r="GI1" s="352"/>
      <c r="GJ1" s="352"/>
      <c r="GK1" s="352"/>
      <c r="GL1" s="352"/>
      <c r="GM1" s="352"/>
      <c r="GN1" s="352"/>
      <c r="GO1" s="352"/>
      <c r="GP1" s="352"/>
      <c r="GQ1" s="352"/>
      <c r="GR1" s="352"/>
      <c r="GS1" s="352"/>
      <c r="GT1" s="352"/>
      <c r="GU1" s="352"/>
      <c r="GV1" s="352"/>
      <c r="GW1" s="352"/>
      <c r="GX1" s="352"/>
      <c r="GY1" s="352"/>
      <c r="GZ1" s="352"/>
      <c r="HA1" s="352"/>
      <c r="HB1" s="352"/>
      <c r="HC1" s="352"/>
      <c r="HD1" s="352"/>
      <c r="HE1" s="352"/>
      <c r="HF1" s="352"/>
      <c r="HG1" s="352"/>
      <c r="HH1" s="352"/>
      <c r="HI1" s="352"/>
      <c r="HJ1" s="352"/>
      <c r="HK1" s="352"/>
      <c r="HL1" s="352"/>
      <c r="HM1" s="352"/>
      <c r="HN1" s="352"/>
      <c r="HO1" s="352"/>
      <c r="HP1" s="352"/>
      <c r="HQ1" s="352"/>
      <c r="HR1" s="352"/>
      <c r="HS1" s="352"/>
      <c r="HT1" s="352"/>
      <c r="HU1" s="352"/>
      <c r="HV1" s="352"/>
      <c r="HW1" s="352"/>
      <c r="HX1" s="352"/>
      <c r="HY1" s="352"/>
      <c r="HZ1" s="352"/>
      <c r="IA1" s="352"/>
      <c r="IB1" s="352"/>
      <c r="IC1" s="352"/>
      <c r="ID1" s="352"/>
      <c r="IE1" s="352"/>
      <c r="IF1" s="352"/>
      <c r="IG1" s="352"/>
      <c r="IH1" s="352"/>
      <c r="II1" s="352"/>
      <c r="IJ1" s="352"/>
      <c r="IK1" s="352"/>
      <c r="IL1" s="352"/>
      <c r="IM1" s="352"/>
      <c r="IN1" s="352"/>
      <c r="IO1" s="352"/>
      <c r="IP1" s="352"/>
      <c r="IQ1" s="352"/>
      <c r="IR1" s="352"/>
      <c r="IS1" s="352"/>
      <c r="IT1" s="352"/>
      <c r="IU1" s="352"/>
      <c r="IV1" s="352"/>
      <c r="IW1" s="352"/>
    </row>
    <row r="2" customFormat="false" ht="12.75" hidden="false" customHeight="true" outlineLevel="0" collapsed="false">
      <c r="A2" s="348"/>
      <c r="B2" s="349"/>
      <c r="C2" s="353" t="s">
        <v>243</v>
      </c>
      <c r="D2" s="354" t="s">
        <v>244</v>
      </c>
      <c r="E2" s="353" t="s">
        <v>245</v>
      </c>
      <c r="F2" s="353" t="s">
        <v>246</v>
      </c>
      <c r="G2" s="352"/>
      <c r="H2" s="352"/>
      <c r="I2" s="352"/>
      <c r="J2" s="352"/>
      <c r="K2" s="352"/>
      <c r="L2" s="352"/>
      <c r="M2" s="352"/>
      <c r="N2" s="352"/>
      <c r="O2" s="352"/>
      <c r="P2" s="352"/>
      <c r="Q2" s="352"/>
      <c r="R2" s="352"/>
      <c r="S2" s="352"/>
      <c r="T2" s="352"/>
      <c r="U2" s="352"/>
      <c r="V2" s="352"/>
      <c r="W2" s="352"/>
      <c r="X2" s="352"/>
      <c r="Y2" s="352"/>
      <c r="Z2" s="352"/>
      <c r="AA2" s="352"/>
      <c r="AB2" s="352"/>
      <c r="AC2" s="352"/>
      <c r="AD2" s="352"/>
      <c r="AE2" s="352"/>
      <c r="AF2" s="352"/>
      <c r="AG2" s="352"/>
      <c r="AH2" s="352"/>
      <c r="AI2" s="352"/>
      <c r="AJ2" s="352"/>
      <c r="AK2" s="352"/>
      <c r="AL2" s="352"/>
      <c r="AM2" s="352"/>
      <c r="AN2" s="352"/>
      <c r="AO2" s="352"/>
      <c r="AP2" s="352"/>
      <c r="AQ2" s="352"/>
      <c r="AR2" s="352"/>
      <c r="AS2" s="352"/>
      <c r="AT2" s="352"/>
      <c r="AU2" s="352"/>
      <c r="AV2" s="352"/>
      <c r="AW2" s="352"/>
      <c r="AX2" s="352"/>
      <c r="AY2" s="352"/>
      <c r="AZ2" s="352"/>
      <c r="BA2" s="352"/>
      <c r="BB2" s="352"/>
      <c r="BC2" s="352"/>
      <c r="BD2" s="352"/>
      <c r="BE2" s="352"/>
      <c r="BF2" s="352"/>
      <c r="BG2" s="352"/>
      <c r="BH2" s="352"/>
      <c r="BI2" s="352"/>
      <c r="BJ2" s="352"/>
      <c r="BK2" s="352"/>
      <c r="BL2" s="352"/>
      <c r="BM2" s="352"/>
      <c r="BN2" s="352"/>
      <c r="BO2" s="352"/>
      <c r="BP2" s="352"/>
      <c r="BQ2" s="352"/>
      <c r="BR2" s="352"/>
      <c r="BS2" s="352"/>
      <c r="BT2" s="352"/>
      <c r="BU2" s="352"/>
      <c r="BV2" s="352"/>
      <c r="BW2" s="352"/>
      <c r="BX2" s="352"/>
      <c r="BY2" s="352"/>
      <c r="BZ2" s="352"/>
      <c r="CA2" s="352"/>
      <c r="CB2" s="352"/>
      <c r="CC2" s="352"/>
      <c r="CD2" s="352"/>
      <c r="CE2" s="352"/>
      <c r="CF2" s="352"/>
      <c r="CG2" s="352"/>
      <c r="CH2" s="352"/>
      <c r="CI2" s="352"/>
      <c r="CJ2" s="352"/>
      <c r="CK2" s="352"/>
      <c r="CL2" s="352"/>
      <c r="CM2" s="352"/>
      <c r="CN2" s="352"/>
      <c r="CO2" s="352"/>
      <c r="CP2" s="352"/>
      <c r="CQ2" s="352"/>
      <c r="CR2" s="352"/>
      <c r="CS2" s="352"/>
      <c r="CT2" s="352"/>
      <c r="CU2" s="352"/>
      <c r="CV2" s="352"/>
      <c r="CW2" s="352"/>
      <c r="CX2" s="352"/>
      <c r="CY2" s="352"/>
      <c r="CZ2" s="352"/>
      <c r="DA2" s="352"/>
      <c r="DB2" s="352"/>
      <c r="DC2" s="352"/>
      <c r="DD2" s="352"/>
      <c r="DE2" s="352"/>
      <c r="DF2" s="352"/>
      <c r="DG2" s="352"/>
      <c r="DH2" s="352"/>
      <c r="DI2" s="352"/>
      <c r="DJ2" s="352"/>
      <c r="DK2" s="352"/>
      <c r="DL2" s="352"/>
      <c r="DM2" s="352"/>
      <c r="DN2" s="352"/>
      <c r="DO2" s="352"/>
      <c r="DP2" s="352"/>
      <c r="DQ2" s="352"/>
      <c r="DR2" s="352"/>
      <c r="DS2" s="352"/>
      <c r="DT2" s="352"/>
      <c r="DU2" s="352"/>
      <c r="DV2" s="352"/>
      <c r="DW2" s="352"/>
      <c r="DX2" s="352"/>
      <c r="DY2" s="352"/>
      <c r="DZ2" s="352"/>
      <c r="EA2" s="352"/>
      <c r="EB2" s="352"/>
      <c r="EC2" s="352"/>
      <c r="ED2" s="352"/>
      <c r="EE2" s="352"/>
      <c r="EF2" s="352"/>
      <c r="EG2" s="352"/>
      <c r="EH2" s="352"/>
      <c r="EI2" s="352"/>
      <c r="EJ2" s="352"/>
      <c r="EK2" s="352"/>
      <c r="EL2" s="352"/>
      <c r="EM2" s="352"/>
      <c r="EN2" s="352"/>
      <c r="EO2" s="352"/>
      <c r="EP2" s="352"/>
      <c r="EQ2" s="352"/>
      <c r="ER2" s="352"/>
      <c r="ES2" s="352"/>
      <c r="ET2" s="352"/>
      <c r="EU2" s="352"/>
      <c r="EV2" s="352"/>
      <c r="EW2" s="352"/>
      <c r="EX2" s="352"/>
      <c r="EY2" s="352"/>
      <c r="EZ2" s="352"/>
      <c r="FA2" s="352"/>
      <c r="FB2" s="352"/>
      <c r="FC2" s="352"/>
      <c r="FD2" s="352"/>
      <c r="FE2" s="352"/>
      <c r="FF2" s="352"/>
      <c r="FG2" s="352"/>
      <c r="FH2" s="352"/>
      <c r="FI2" s="352"/>
      <c r="FJ2" s="352"/>
      <c r="FK2" s="352"/>
      <c r="FL2" s="352"/>
      <c r="FM2" s="352"/>
      <c r="FN2" s="352"/>
      <c r="FO2" s="352"/>
      <c r="FP2" s="352"/>
      <c r="FQ2" s="352"/>
      <c r="FR2" s="352"/>
      <c r="FS2" s="352"/>
      <c r="FT2" s="352"/>
      <c r="FU2" s="352"/>
      <c r="FV2" s="352"/>
      <c r="FW2" s="352"/>
      <c r="FX2" s="352"/>
      <c r="FY2" s="352"/>
      <c r="FZ2" s="352"/>
      <c r="GA2" s="352"/>
      <c r="GB2" s="352"/>
      <c r="GC2" s="352"/>
      <c r="GD2" s="352"/>
      <c r="GE2" s="352"/>
      <c r="GF2" s="352"/>
      <c r="GG2" s="352"/>
      <c r="GH2" s="352"/>
      <c r="GI2" s="352"/>
      <c r="GJ2" s="352"/>
      <c r="GK2" s="352"/>
      <c r="GL2" s="352"/>
      <c r="GM2" s="352"/>
      <c r="GN2" s="352"/>
      <c r="GO2" s="352"/>
      <c r="GP2" s="352"/>
      <c r="GQ2" s="352"/>
      <c r="GR2" s="352"/>
      <c r="GS2" s="352"/>
      <c r="GT2" s="352"/>
      <c r="GU2" s="352"/>
      <c r="GV2" s="352"/>
      <c r="GW2" s="352"/>
      <c r="GX2" s="352"/>
      <c r="GY2" s="352"/>
      <c r="GZ2" s="352"/>
      <c r="HA2" s="352"/>
      <c r="HB2" s="352"/>
      <c r="HC2" s="352"/>
      <c r="HD2" s="352"/>
      <c r="HE2" s="352"/>
      <c r="HF2" s="352"/>
      <c r="HG2" s="352"/>
      <c r="HH2" s="352"/>
      <c r="HI2" s="352"/>
      <c r="HJ2" s="352"/>
      <c r="HK2" s="352"/>
      <c r="HL2" s="352"/>
      <c r="HM2" s="352"/>
      <c r="HN2" s="352"/>
      <c r="HO2" s="352"/>
      <c r="HP2" s="352"/>
      <c r="HQ2" s="352"/>
      <c r="HR2" s="352"/>
      <c r="HS2" s="352"/>
      <c r="HT2" s="352"/>
      <c r="HU2" s="352"/>
      <c r="HV2" s="352"/>
      <c r="HW2" s="352"/>
      <c r="HX2" s="352"/>
      <c r="HY2" s="352"/>
      <c r="HZ2" s="352"/>
      <c r="IA2" s="352"/>
      <c r="IB2" s="352"/>
      <c r="IC2" s="352"/>
      <c r="ID2" s="352"/>
      <c r="IE2" s="352"/>
      <c r="IF2" s="352"/>
      <c r="IG2" s="352"/>
      <c r="IH2" s="352"/>
      <c r="II2" s="352"/>
      <c r="IJ2" s="352"/>
      <c r="IK2" s="352"/>
      <c r="IL2" s="352"/>
      <c r="IM2" s="352"/>
      <c r="IN2" s="352"/>
      <c r="IO2" s="352"/>
      <c r="IP2" s="352"/>
      <c r="IQ2" s="352"/>
      <c r="IR2" s="352"/>
      <c r="IS2" s="352"/>
      <c r="IT2" s="352"/>
      <c r="IU2" s="352"/>
      <c r="IV2" s="352"/>
      <c r="IW2" s="352"/>
    </row>
    <row r="3" customFormat="false" ht="24" hidden="false" customHeight="true" outlineLevel="0" collapsed="false">
      <c r="A3" s="348"/>
      <c r="B3" s="349"/>
      <c r="C3" s="353"/>
      <c r="D3" s="354"/>
      <c r="E3" s="353"/>
      <c r="F3" s="353"/>
      <c r="G3" s="355"/>
      <c r="H3" s="355"/>
      <c r="I3" s="355"/>
      <c r="J3" s="355"/>
      <c r="K3" s="355"/>
      <c r="L3" s="355"/>
      <c r="M3" s="355"/>
      <c r="N3" s="355"/>
      <c r="O3" s="355"/>
      <c r="P3" s="355"/>
      <c r="Q3" s="355"/>
      <c r="R3" s="355"/>
      <c r="S3" s="355"/>
      <c r="T3" s="355"/>
      <c r="U3" s="355"/>
      <c r="V3" s="355"/>
      <c r="W3" s="355"/>
      <c r="X3" s="355"/>
      <c r="Y3" s="355"/>
      <c r="Z3" s="355"/>
      <c r="AA3" s="355"/>
      <c r="AB3" s="355"/>
      <c r="AC3" s="355"/>
      <c r="AD3" s="355"/>
      <c r="AE3" s="355"/>
      <c r="AF3" s="355"/>
      <c r="AG3" s="355"/>
      <c r="AH3" s="355"/>
      <c r="AI3" s="355"/>
      <c r="AJ3" s="355"/>
      <c r="AK3" s="355"/>
      <c r="AL3" s="355"/>
      <c r="AM3" s="355"/>
      <c r="AN3" s="355"/>
      <c r="AO3" s="355"/>
      <c r="AP3" s="355"/>
      <c r="AQ3" s="355"/>
      <c r="AR3" s="355"/>
      <c r="AS3" s="355"/>
      <c r="AT3" s="355"/>
      <c r="AU3" s="355"/>
      <c r="AV3" s="355"/>
      <c r="AW3" s="355"/>
      <c r="AX3" s="355"/>
      <c r="AY3" s="355"/>
      <c r="AZ3" s="355"/>
      <c r="BA3" s="355"/>
      <c r="BB3" s="355"/>
      <c r="BC3" s="355"/>
      <c r="BD3" s="355"/>
      <c r="BE3" s="355"/>
      <c r="BF3" s="355"/>
      <c r="BG3" s="355"/>
      <c r="BH3" s="355"/>
      <c r="BI3" s="355"/>
      <c r="BJ3" s="355"/>
      <c r="BK3" s="355"/>
      <c r="BL3" s="355"/>
      <c r="BM3" s="355"/>
      <c r="BN3" s="355"/>
      <c r="BO3" s="355"/>
      <c r="BP3" s="355"/>
      <c r="BQ3" s="355"/>
      <c r="BR3" s="355"/>
      <c r="BS3" s="355"/>
      <c r="BT3" s="355"/>
      <c r="BU3" s="355"/>
      <c r="BV3" s="355"/>
      <c r="BW3" s="355"/>
      <c r="BX3" s="355"/>
      <c r="BY3" s="355"/>
      <c r="BZ3" s="355"/>
      <c r="CA3" s="355"/>
      <c r="CB3" s="355"/>
      <c r="CC3" s="355"/>
      <c r="CD3" s="355"/>
      <c r="CE3" s="355"/>
      <c r="CF3" s="355"/>
      <c r="CG3" s="355"/>
      <c r="CH3" s="355"/>
      <c r="CI3" s="355"/>
      <c r="CJ3" s="355"/>
      <c r="CK3" s="355"/>
      <c r="CL3" s="355"/>
      <c r="CM3" s="355"/>
      <c r="CN3" s="355"/>
      <c r="CO3" s="355"/>
      <c r="CP3" s="355"/>
      <c r="CQ3" s="355"/>
      <c r="CR3" s="355"/>
      <c r="CS3" s="355"/>
      <c r="CT3" s="355"/>
      <c r="CU3" s="355"/>
      <c r="CV3" s="355"/>
      <c r="CW3" s="355"/>
      <c r="CX3" s="355"/>
      <c r="CY3" s="355"/>
      <c r="CZ3" s="355"/>
      <c r="DA3" s="355"/>
      <c r="DB3" s="355"/>
      <c r="DC3" s="355"/>
      <c r="DD3" s="355"/>
      <c r="DE3" s="355"/>
      <c r="DF3" s="355"/>
      <c r="DG3" s="355"/>
      <c r="DH3" s="355"/>
      <c r="DI3" s="355"/>
      <c r="DJ3" s="355"/>
      <c r="DK3" s="355"/>
      <c r="DL3" s="355"/>
      <c r="DM3" s="355"/>
      <c r="DN3" s="355"/>
      <c r="DO3" s="355"/>
      <c r="DP3" s="355"/>
      <c r="DQ3" s="355"/>
      <c r="DR3" s="355"/>
      <c r="DS3" s="355"/>
      <c r="DT3" s="355"/>
      <c r="DU3" s="355"/>
      <c r="DV3" s="355"/>
      <c r="DW3" s="355"/>
      <c r="DX3" s="355"/>
      <c r="DY3" s="355"/>
      <c r="DZ3" s="355"/>
      <c r="EA3" s="355"/>
      <c r="EB3" s="355"/>
      <c r="EC3" s="355"/>
      <c r="ED3" s="355"/>
      <c r="EE3" s="355"/>
      <c r="EF3" s="355"/>
      <c r="EG3" s="355"/>
      <c r="EH3" s="355"/>
      <c r="EI3" s="355"/>
      <c r="EJ3" s="355"/>
      <c r="EK3" s="355"/>
      <c r="EL3" s="355"/>
      <c r="EM3" s="355"/>
      <c r="EN3" s="355"/>
      <c r="EO3" s="355"/>
      <c r="EP3" s="355"/>
      <c r="EQ3" s="355"/>
      <c r="ER3" s="355"/>
      <c r="ES3" s="355"/>
      <c r="ET3" s="355"/>
      <c r="EU3" s="355"/>
      <c r="EV3" s="355"/>
      <c r="EW3" s="355"/>
      <c r="EX3" s="355"/>
      <c r="EY3" s="355"/>
      <c r="EZ3" s="355"/>
      <c r="FA3" s="355"/>
      <c r="FB3" s="355"/>
      <c r="FC3" s="355"/>
      <c r="FD3" s="355"/>
      <c r="FE3" s="355"/>
      <c r="FF3" s="355"/>
      <c r="FG3" s="355"/>
      <c r="FH3" s="355"/>
      <c r="FI3" s="355"/>
      <c r="FJ3" s="355"/>
      <c r="FK3" s="355"/>
      <c r="FL3" s="355"/>
      <c r="FM3" s="355"/>
      <c r="FN3" s="355"/>
      <c r="FO3" s="355"/>
      <c r="FP3" s="355"/>
      <c r="FQ3" s="355"/>
      <c r="FR3" s="355"/>
      <c r="FS3" s="355"/>
      <c r="FT3" s="355"/>
      <c r="FU3" s="355"/>
      <c r="FV3" s="355"/>
      <c r="FW3" s="355"/>
      <c r="FX3" s="355"/>
      <c r="FY3" s="355"/>
      <c r="FZ3" s="355"/>
      <c r="GA3" s="355"/>
      <c r="GB3" s="355"/>
      <c r="GC3" s="355"/>
      <c r="GD3" s="355"/>
      <c r="GE3" s="355"/>
      <c r="GF3" s="355"/>
      <c r="GG3" s="355"/>
      <c r="GH3" s="355"/>
      <c r="GI3" s="355"/>
      <c r="GJ3" s="355"/>
      <c r="GK3" s="355"/>
      <c r="GL3" s="355"/>
      <c r="GM3" s="355"/>
      <c r="GN3" s="355"/>
      <c r="GO3" s="355"/>
      <c r="GP3" s="355"/>
      <c r="GQ3" s="355"/>
      <c r="GR3" s="355"/>
      <c r="GS3" s="355"/>
      <c r="GT3" s="355"/>
      <c r="GU3" s="355"/>
      <c r="GV3" s="355"/>
      <c r="GW3" s="355"/>
      <c r="GX3" s="355"/>
      <c r="GY3" s="355"/>
      <c r="GZ3" s="355"/>
      <c r="HA3" s="355"/>
      <c r="HB3" s="355"/>
      <c r="HC3" s="355"/>
      <c r="HD3" s="355"/>
      <c r="HE3" s="355"/>
      <c r="HF3" s="355"/>
      <c r="HG3" s="355"/>
      <c r="HH3" s="355"/>
      <c r="HI3" s="355"/>
      <c r="HJ3" s="355"/>
      <c r="HK3" s="355"/>
      <c r="HL3" s="355"/>
      <c r="HM3" s="355"/>
      <c r="HN3" s="355"/>
      <c r="HO3" s="355"/>
      <c r="HP3" s="355"/>
      <c r="HQ3" s="355"/>
      <c r="HR3" s="355"/>
      <c r="HS3" s="355"/>
      <c r="HT3" s="355"/>
      <c r="HU3" s="355"/>
      <c r="HV3" s="355"/>
      <c r="HW3" s="355"/>
      <c r="HX3" s="355"/>
      <c r="HY3" s="355"/>
      <c r="HZ3" s="355"/>
      <c r="IA3" s="355"/>
      <c r="IB3" s="355"/>
      <c r="IC3" s="355"/>
      <c r="ID3" s="355"/>
      <c r="IE3" s="355"/>
      <c r="IF3" s="355"/>
      <c r="IG3" s="355"/>
      <c r="IH3" s="355"/>
      <c r="II3" s="355"/>
      <c r="IJ3" s="355"/>
      <c r="IK3" s="355"/>
      <c r="IL3" s="355"/>
      <c r="IM3" s="355"/>
      <c r="IN3" s="355"/>
      <c r="IO3" s="355"/>
      <c r="IP3" s="355"/>
      <c r="IQ3" s="355"/>
      <c r="IR3" s="355"/>
      <c r="IS3" s="355"/>
      <c r="IT3" s="355"/>
      <c r="IU3" s="355"/>
      <c r="IV3" s="355"/>
      <c r="IW3" s="355"/>
    </row>
    <row r="5" customFormat="false" ht="12.75" hidden="false" customHeight="false" outlineLevel="0" collapsed="false">
      <c r="A5" s="356" t="n">
        <v>46321</v>
      </c>
      <c r="B5" s="357" t="n">
        <v>46321</v>
      </c>
      <c r="C5" s="358"/>
      <c r="D5" s="359"/>
      <c r="E5" s="360"/>
      <c r="F5" s="361"/>
    </row>
    <row r="6" customFormat="false" ht="12.75" hidden="false" customHeight="false" outlineLevel="0" collapsed="false">
      <c r="A6" s="362" t="n">
        <v>46322</v>
      </c>
      <c r="B6" s="345" t="n">
        <v>46322</v>
      </c>
      <c r="F6" s="363"/>
    </row>
    <row r="7" customFormat="false" ht="12.75" hidden="false" customHeight="false" outlineLevel="0" collapsed="false">
      <c r="A7" s="362" t="n">
        <v>46323</v>
      </c>
      <c r="B7" s="345" t="n">
        <v>46323</v>
      </c>
      <c r="F7" s="363"/>
    </row>
    <row r="8" customFormat="false" ht="12.75" hidden="false" customHeight="false" outlineLevel="0" collapsed="false">
      <c r="A8" s="362" t="n">
        <v>46324</v>
      </c>
      <c r="B8" s="345" t="n">
        <v>46324</v>
      </c>
      <c r="F8" s="363"/>
    </row>
    <row r="9" customFormat="false" ht="12.75" hidden="false" customHeight="false" outlineLevel="0" collapsed="false">
      <c r="A9" s="362" t="n">
        <v>46325</v>
      </c>
      <c r="B9" s="345" t="n">
        <v>46325</v>
      </c>
      <c r="F9" s="363"/>
    </row>
    <row r="10" customFormat="false" ht="12.75" hidden="false" customHeight="false" outlineLevel="0" collapsed="false">
      <c r="A10" s="362" t="n">
        <v>46326</v>
      </c>
      <c r="B10" s="345" t="n">
        <v>46326</v>
      </c>
      <c r="F10" s="363"/>
    </row>
    <row r="11" customFormat="false" ht="12.75" hidden="false" customHeight="false" outlineLevel="0" collapsed="false">
      <c r="A11" s="362" t="n">
        <v>46327</v>
      </c>
      <c r="B11" s="345" t="n">
        <v>46327</v>
      </c>
      <c r="F11" s="363"/>
    </row>
    <row r="12" customFormat="false" ht="12.75" hidden="false" customHeight="false" outlineLevel="0" collapsed="false">
      <c r="A12" s="362" t="n">
        <v>46327</v>
      </c>
      <c r="B12" s="345" t="s">
        <v>247</v>
      </c>
      <c r="F12" s="363"/>
    </row>
    <row r="13" customFormat="false" ht="12.75" hidden="false" customHeight="false" outlineLevel="0" collapsed="false">
      <c r="A13" s="362" t="n">
        <v>46327</v>
      </c>
      <c r="B13" s="345" t="s">
        <v>248</v>
      </c>
      <c r="F13" s="363"/>
    </row>
    <row r="14" customFormat="false" ht="12.75" hidden="false" customHeight="false" outlineLevel="0" collapsed="false">
      <c r="A14" s="364"/>
      <c r="B14" s="365"/>
      <c r="C14" s="366"/>
      <c r="D14" s="367"/>
      <c r="E14" s="368" t="n">
        <f aca="false">SUM(E5:E13)</f>
        <v>0</v>
      </c>
      <c r="F14" s="369" t="n">
        <f aca="false">SUM(F5:F13)</f>
        <v>0</v>
      </c>
    </row>
    <row r="16" customFormat="false" ht="12.75" hidden="false" customHeight="false" outlineLevel="0" collapsed="false">
      <c r="A16" s="356" t="n">
        <v>46328</v>
      </c>
      <c r="B16" s="357" t="n">
        <v>46328</v>
      </c>
      <c r="C16" s="358"/>
      <c r="D16" s="359"/>
      <c r="E16" s="360"/>
      <c r="F16" s="361"/>
    </row>
    <row r="17" customFormat="false" ht="12.75" hidden="false" customHeight="false" outlineLevel="0" collapsed="false">
      <c r="A17" s="362" t="n">
        <v>46329</v>
      </c>
      <c r="B17" s="345" t="n">
        <v>46329</v>
      </c>
      <c r="E17" s="347" t="n">
        <v>200</v>
      </c>
      <c r="F17" s="363"/>
    </row>
    <row r="18" customFormat="false" ht="12.75" hidden="false" customHeight="false" outlineLevel="0" collapsed="false">
      <c r="A18" s="362" t="n">
        <v>46330</v>
      </c>
      <c r="B18" s="345" t="n">
        <v>46330</v>
      </c>
      <c r="E18" s="347" t="n">
        <v>200</v>
      </c>
      <c r="F18" s="363"/>
    </row>
    <row r="19" customFormat="false" ht="12.75" hidden="false" customHeight="false" outlineLevel="0" collapsed="false">
      <c r="A19" s="362" t="n">
        <v>46331</v>
      </c>
      <c r="B19" s="345" t="n">
        <v>46331</v>
      </c>
      <c r="E19" s="347" t="n">
        <v>200</v>
      </c>
      <c r="F19" s="363"/>
    </row>
    <row r="20" customFormat="false" ht="12.75" hidden="false" customHeight="false" outlineLevel="0" collapsed="false">
      <c r="A20" s="362" t="n">
        <v>46332</v>
      </c>
      <c r="B20" s="345" t="n">
        <v>46332</v>
      </c>
      <c r="E20" s="347" t="n">
        <v>200</v>
      </c>
      <c r="F20" s="363"/>
    </row>
    <row r="21" customFormat="false" ht="12.75" hidden="false" customHeight="false" outlineLevel="0" collapsed="false">
      <c r="A21" s="362" t="n">
        <v>46333</v>
      </c>
      <c r="B21" s="345" t="n">
        <v>46333</v>
      </c>
      <c r="E21" s="347" t="n">
        <v>200</v>
      </c>
      <c r="F21" s="363"/>
    </row>
    <row r="22" customFormat="false" ht="12.75" hidden="false" customHeight="false" outlineLevel="0" collapsed="false">
      <c r="A22" s="362" t="n">
        <v>46334</v>
      </c>
      <c r="B22" s="345" t="n">
        <v>46334</v>
      </c>
      <c r="F22" s="363"/>
    </row>
    <row r="23" customFormat="false" ht="12.75" hidden="false" customHeight="false" outlineLevel="0" collapsed="false">
      <c r="A23" s="362" t="n">
        <v>46334</v>
      </c>
      <c r="B23" s="345" t="s">
        <v>247</v>
      </c>
      <c r="F23" s="363"/>
    </row>
    <row r="24" customFormat="false" ht="12.75" hidden="false" customHeight="false" outlineLevel="0" collapsed="false">
      <c r="A24" s="362" t="n">
        <v>46334</v>
      </c>
      <c r="B24" s="345" t="s">
        <v>248</v>
      </c>
      <c r="F24" s="363"/>
    </row>
    <row r="25" customFormat="false" ht="12.75" hidden="false" customHeight="false" outlineLevel="0" collapsed="false">
      <c r="A25" s="364"/>
      <c r="B25" s="365"/>
      <c r="C25" s="366"/>
      <c r="D25" s="367"/>
      <c r="E25" s="368" t="n">
        <f aca="false">SUM(E16:E24)</f>
        <v>1000</v>
      </c>
      <c r="F25" s="369" t="n">
        <f aca="false">SUM(F16:F24)</f>
        <v>0</v>
      </c>
    </row>
    <row r="27" customFormat="false" ht="12.75" hidden="false" customHeight="false" outlineLevel="0" collapsed="false">
      <c r="A27" s="356" t="n">
        <v>46335</v>
      </c>
      <c r="B27" s="357" t="n">
        <v>46335</v>
      </c>
      <c r="C27" s="358"/>
      <c r="D27" s="359"/>
      <c r="E27" s="360"/>
      <c r="F27" s="361"/>
    </row>
    <row r="28" customFormat="false" ht="12.75" hidden="false" customHeight="false" outlineLevel="0" collapsed="false">
      <c r="A28" s="362" t="n">
        <v>46336</v>
      </c>
      <c r="B28" s="345" t="n">
        <v>46336</v>
      </c>
      <c r="E28" s="347" t="n">
        <v>200</v>
      </c>
      <c r="F28" s="363"/>
    </row>
    <row r="29" customFormat="false" ht="12.75" hidden="false" customHeight="false" outlineLevel="0" collapsed="false">
      <c r="A29" s="362" t="n">
        <v>46337</v>
      </c>
      <c r="B29" s="345" t="n">
        <v>46337</v>
      </c>
      <c r="E29" s="347" t="n">
        <v>200</v>
      </c>
      <c r="F29" s="363"/>
    </row>
    <row r="30" customFormat="false" ht="12.75" hidden="false" customHeight="false" outlineLevel="0" collapsed="false">
      <c r="A30" s="362" t="n">
        <v>46338</v>
      </c>
      <c r="B30" s="345" t="n">
        <v>46338</v>
      </c>
      <c r="E30" s="347" t="n">
        <v>200</v>
      </c>
      <c r="F30" s="363"/>
    </row>
    <row r="31" customFormat="false" ht="12.75" hidden="false" customHeight="false" outlineLevel="0" collapsed="false">
      <c r="A31" s="362" t="n">
        <v>46339</v>
      </c>
      <c r="B31" s="345" t="n">
        <v>46339</v>
      </c>
      <c r="E31" s="347" t="n">
        <v>200</v>
      </c>
      <c r="F31" s="363"/>
    </row>
    <row r="32" customFormat="false" ht="12.75" hidden="false" customHeight="false" outlineLevel="0" collapsed="false">
      <c r="A32" s="362" t="n">
        <v>46340</v>
      </c>
      <c r="B32" s="345" t="n">
        <v>46340</v>
      </c>
      <c r="E32" s="347" t="n">
        <v>200</v>
      </c>
      <c r="F32" s="363"/>
    </row>
    <row r="33" customFormat="false" ht="12.75" hidden="false" customHeight="false" outlineLevel="0" collapsed="false">
      <c r="A33" s="362" t="n">
        <v>46341</v>
      </c>
      <c r="B33" s="345" t="n">
        <v>46341</v>
      </c>
      <c r="F33" s="363"/>
    </row>
    <row r="34" customFormat="false" ht="12.75" hidden="false" customHeight="false" outlineLevel="0" collapsed="false">
      <c r="A34" s="362" t="n">
        <v>46341</v>
      </c>
      <c r="B34" s="345" t="s">
        <v>247</v>
      </c>
      <c r="F34" s="363"/>
    </row>
    <row r="35" customFormat="false" ht="12.75" hidden="false" customHeight="false" outlineLevel="0" collapsed="false">
      <c r="A35" s="362" t="n">
        <v>46341</v>
      </c>
      <c r="B35" s="345" t="s">
        <v>248</v>
      </c>
      <c r="F35" s="363"/>
    </row>
    <row r="36" customFormat="false" ht="12.75" hidden="false" customHeight="false" outlineLevel="0" collapsed="false">
      <c r="A36" s="364"/>
      <c r="B36" s="365"/>
      <c r="C36" s="366"/>
      <c r="D36" s="367"/>
      <c r="E36" s="368" t="n">
        <f aca="false">SUM(E27:E35)</f>
        <v>1000</v>
      </c>
      <c r="F36" s="369" t="n">
        <f aca="false">SUM(F27:F35)</f>
        <v>0</v>
      </c>
    </row>
    <row r="38" customFormat="false" ht="12.75" hidden="false" customHeight="false" outlineLevel="0" collapsed="false">
      <c r="A38" s="356" t="n">
        <v>46342</v>
      </c>
      <c r="B38" s="357" t="n">
        <v>46342</v>
      </c>
      <c r="C38" s="358"/>
      <c r="D38" s="359"/>
      <c r="E38" s="360"/>
      <c r="F38" s="361"/>
    </row>
    <row r="39" customFormat="false" ht="12.75" hidden="false" customHeight="false" outlineLevel="0" collapsed="false">
      <c r="A39" s="362" t="n">
        <v>46343</v>
      </c>
      <c r="B39" s="345" t="n">
        <v>46343</v>
      </c>
      <c r="E39" s="347" t="n">
        <v>200</v>
      </c>
      <c r="F39" s="363"/>
    </row>
    <row r="40" customFormat="false" ht="12.75" hidden="false" customHeight="false" outlineLevel="0" collapsed="false">
      <c r="A40" s="362" t="n">
        <v>46344</v>
      </c>
      <c r="B40" s="345" t="n">
        <v>46344</v>
      </c>
      <c r="E40" s="347" t="n">
        <v>200</v>
      </c>
      <c r="F40" s="363"/>
    </row>
    <row r="41" customFormat="false" ht="12.75" hidden="false" customHeight="false" outlineLevel="0" collapsed="false">
      <c r="A41" s="362" t="n">
        <v>46345</v>
      </c>
      <c r="B41" s="345" t="n">
        <v>46345</v>
      </c>
      <c r="E41" s="347" t="n">
        <v>200</v>
      </c>
      <c r="F41" s="363"/>
    </row>
    <row r="42" customFormat="false" ht="12.75" hidden="false" customHeight="false" outlineLevel="0" collapsed="false">
      <c r="A42" s="362" t="n">
        <v>46346</v>
      </c>
      <c r="B42" s="345" t="n">
        <v>46346</v>
      </c>
      <c r="E42" s="347" t="n">
        <v>200</v>
      </c>
      <c r="F42" s="363"/>
    </row>
    <row r="43" customFormat="false" ht="12.75" hidden="false" customHeight="false" outlineLevel="0" collapsed="false">
      <c r="A43" s="362" t="n">
        <v>46347</v>
      </c>
      <c r="B43" s="345" t="n">
        <v>46347</v>
      </c>
      <c r="E43" s="347" t="n">
        <v>200</v>
      </c>
      <c r="F43" s="363"/>
    </row>
    <row r="44" customFormat="false" ht="12.75" hidden="false" customHeight="false" outlineLevel="0" collapsed="false">
      <c r="A44" s="362" t="n">
        <v>46348</v>
      </c>
      <c r="B44" s="345" t="n">
        <v>46348</v>
      </c>
      <c r="F44" s="363"/>
    </row>
    <row r="45" customFormat="false" ht="12.75" hidden="false" customHeight="false" outlineLevel="0" collapsed="false">
      <c r="A45" s="362" t="n">
        <v>46348</v>
      </c>
      <c r="B45" s="345" t="s">
        <v>247</v>
      </c>
      <c r="F45" s="363"/>
    </row>
    <row r="46" customFormat="false" ht="12.75" hidden="false" customHeight="false" outlineLevel="0" collapsed="false">
      <c r="A46" s="362" t="n">
        <v>46348</v>
      </c>
      <c r="B46" s="345" t="s">
        <v>248</v>
      </c>
      <c r="F46" s="363"/>
    </row>
    <row r="47" customFormat="false" ht="12.75" hidden="false" customHeight="false" outlineLevel="0" collapsed="false">
      <c r="A47" s="364"/>
      <c r="B47" s="365"/>
      <c r="C47" s="366"/>
      <c r="D47" s="367"/>
      <c r="E47" s="368" t="n">
        <f aca="false">SUM(E38:E46)</f>
        <v>1000</v>
      </c>
      <c r="F47" s="369" t="n">
        <f aca="false">SUM(F38:F46)</f>
        <v>0</v>
      </c>
    </row>
    <row r="49" customFormat="false" ht="12.75" hidden="false" customHeight="false" outlineLevel="0" collapsed="false">
      <c r="A49" s="356" t="n">
        <v>46349</v>
      </c>
      <c r="B49" s="357" t="n">
        <v>46349</v>
      </c>
      <c r="C49" s="358"/>
      <c r="D49" s="359"/>
      <c r="E49" s="360"/>
      <c r="F49" s="361"/>
    </row>
    <row r="50" customFormat="false" ht="12.75" hidden="false" customHeight="false" outlineLevel="0" collapsed="false">
      <c r="A50" s="362" t="n">
        <v>46350</v>
      </c>
      <c r="B50" s="345" t="n">
        <v>46350</v>
      </c>
      <c r="F50" s="363"/>
    </row>
    <row r="51" customFormat="false" ht="12.75" hidden="false" customHeight="false" outlineLevel="0" collapsed="false">
      <c r="A51" s="362" t="n">
        <v>46351</v>
      </c>
      <c r="B51" s="345" t="n">
        <v>46351</v>
      </c>
      <c r="F51" s="363"/>
    </row>
    <row r="52" customFormat="false" ht="12.75" hidden="false" customHeight="false" outlineLevel="0" collapsed="false">
      <c r="A52" s="362" t="n">
        <v>46352</v>
      </c>
      <c r="B52" s="345" t="n">
        <v>46352</v>
      </c>
      <c r="F52" s="363"/>
    </row>
    <row r="53" customFormat="false" ht="12.75" hidden="false" customHeight="false" outlineLevel="0" collapsed="false">
      <c r="A53" s="362" t="n">
        <v>46353</v>
      </c>
      <c r="B53" s="345" t="n">
        <v>46353</v>
      </c>
      <c r="F53" s="363"/>
    </row>
    <row r="54" customFormat="false" ht="12.75" hidden="false" customHeight="false" outlineLevel="0" collapsed="false">
      <c r="A54" s="362" t="n">
        <v>46354</v>
      </c>
      <c r="B54" s="345" t="n">
        <v>46354</v>
      </c>
      <c r="F54" s="363"/>
    </row>
    <row r="55" customFormat="false" ht="12.75" hidden="false" customHeight="false" outlineLevel="0" collapsed="false">
      <c r="A55" s="362" t="n">
        <v>46355</v>
      </c>
      <c r="B55" s="345" t="n">
        <v>46355</v>
      </c>
      <c r="F55" s="363"/>
    </row>
    <row r="56" customFormat="false" ht="12.75" hidden="false" customHeight="false" outlineLevel="0" collapsed="false">
      <c r="A56" s="362" t="n">
        <v>46355</v>
      </c>
      <c r="B56" s="345" t="s">
        <v>247</v>
      </c>
      <c r="F56" s="363"/>
    </row>
    <row r="57" customFormat="false" ht="12.75" hidden="false" customHeight="false" outlineLevel="0" collapsed="false">
      <c r="A57" s="362" t="n">
        <v>46355</v>
      </c>
      <c r="B57" s="345" t="s">
        <v>248</v>
      </c>
      <c r="F57" s="363"/>
    </row>
    <row r="58" customFormat="false" ht="12.75" hidden="false" customHeight="false" outlineLevel="0" collapsed="false">
      <c r="A58" s="364"/>
      <c r="B58" s="365"/>
      <c r="C58" s="366"/>
      <c r="D58" s="367"/>
      <c r="E58" s="368" t="n">
        <f aca="false">SUM(E49:E57)</f>
        <v>0</v>
      </c>
      <c r="F58" s="369" t="n">
        <f aca="false">SUM(F49:F57)</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customHeight="false" zeroHeight="false" outlineLevelRow="0" outlineLevelCol="0"/>
  <cols>
    <col collapsed="false" customWidth="true" hidden="false" outlineLevel="0" max="1" min="1" style="370" width="9.66"/>
    <col collapsed="false" customWidth="true" hidden="false" outlineLevel="0" max="2" min="2" style="179" width="23.99"/>
    <col collapsed="false" customWidth="true" hidden="false" outlineLevel="0" max="3" min="3" style="179" width="15.99"/>
    <col collapsed="false" customWidth="false" hidden="false" outlineLevel="0" max="5" min="4" style="371" width="9.15"/>
    <col collapsed="false" customWidth="true" hidden="false" outlineLevel="0" max="6" min="6" style="372" width="12.66"/>
    <col collapsed="false" customWidth="true" hidden="false" outlineLevel="0" max="8" min="7" style="180" width="9.82"/>
    <col collapsed="false" customWidth="true" hidden="false" outlineLevel="0" max="10" min="9" style="180" width="8.33"/>
    <col collapsed="false" customWidth="true" hidden="false" outlineLevel="0" max="12" min="11" style="180" width="7.66"/>
    <col collapsed="false" customWidth="false" hidden="false" outlineLevel="0" max="13" min="13" style="180" width="9.15"/>
    <col collapsed="false" customWidth="true" hidden="false" outlineLevel="0" max="15" min="14" style="180" width="9.33"/>
    <col collapsed="false" customWidth="true" hidden="false" outlineLevel="0" max="18" min="16" style="180" width="7.66"/>
    <col collapsed="false" customWidth="true" hidden="false" outlineLevel="0" max="19" min="19" style="180" width="8.49"/>
    <col collapsed="false" customWidth="true" hidden="false" outlineLevel="0" max="20" min="20" style="179" width="12.99"/>
    <col collapsed="false" customWidth="true" hidden="false" outlineLevel="0" max="21" min="21" style="180" width="7.99"/>
    <col collapsed="false" customWidth="false" hidden="false" outlineLevel="0" max="257" min="22" style="179" width="9.15"/>
  </cols>
  <sheetData>
    <row r="1" customFormat="false" ht="13.5" hidden="false" customHeight="true" outlineLevel="0" collapsed="false">
      <c r="A1" s="389" t="n">
        <f aca="false">E1+SalesNov!$D$1+PurchasesOct!A1</f>
        <v>0</v>
      </c>
      <c r="B1" s="390" t="s">
        <v>249</v>
      </c>
      <c r="C1" s="391" t="s">
        <v>242</v>
      </c>
      <c r="D1" s="375" t="str">
        <f aca="false">IF((F1-SUM(G1:S1)&lt;&gt;0),(F1-SUM(G1:S1))," ")</f>
        <v> </v>
      </c>
      <c r="E1" s="351" t="n">
        <f aca="false">SUM(E5:E199)</f>
        <v>0</v>
      </c>
      <c r="F1" s="350" t="n">
        <f aca="false">SUM(F5:F199)</f>
        <v>300</v>
      </c>
      <c r="G1" s="350" t="n">
        <f aca="false">SUM(G5:G199)</f>
        <v>300</v>
      </c>
      <c r="H1" s="350" t="n">
        <f aca="false">SUM(H5:H199)</f>
        <v>0</v>
      </c>
      <c r="I1" s="350" t="n">
        <f aca="false">SUM(I5:I199)</f>
        <v>0</v>
      </c>
      <c r="J1" s="350" t="n">
        <f aca="false">SUM(J5:J199)</f>
        <v>0</v>
      </c>
      <c r="K1" s="350" t="n">
        <f aca="false">SUM(K5:K199)</f>
        <v>0</v>
      </c>
      <c r="L1" s="350" t="n">
        <f aca="false">SUM(L5:L199)</f>
        <v>0</v>
      </c>
      <c r="M1" s="350" t="n">
        <f aca="false">SUM(M5:M199)</f>
        <v>0</v>
      </c>
      <c r="N1" s="350" t="n">
        <f aca="false">SUM(N5:N199)</f>
        <v>0</v>
      </c>
      <c r="O1" s="350" t="n">
        <f aca="false">SUM(O5:O199)</f>
        <v>0</v>
      </c>
      <c r="P1" s="350" t="n">
        <f aca="false">SUM(P5:P199)</f>
        <v>0</v>
      </c>
      <c r="Q1" s="350" t="n">
        <f aca="false">SUM(Q5:Q199)</f>
        <v>0</v>
      </c>
      <c r="R1" s="350" t="n">
        <f aca="false">SUM(R5:R199)</f>
        <v>0</v>
      </c>
      <c r="S1" s="392" t="n">
        <f aca="false">SUM(S5:S199)</f>
        <v>0</v>
      </c>
      <c r="T1" s="393" t="n">
        <f aca="false">S1+PurchasesOct!T1</f>
        <v>8000</v>
      </c>
      <c r="U1" s="392" t="n">
        <f aca="false">SUM(U4:U199)</f>
        <v>0</v>
      </c>
      <c r="V1" s="180"/>
      <c r="W1" s="180"/>
      <c r="X1" s="180"/>
      <c r="Y1" s="180"/>
      <c r="Z1" s="180"/>
      <c r="AA1" s="180"/>
      <c r="AB1" s="180"/>
      <c r="AC1" s="180"/>
      <c r="AD1" s="180"/>
      <c r="AE1" s="180"/>
      <c r="AF1" s="180"/>
      <c r="AG1" s="180"/>
      <c r="AH1" s="180"/>
      <c r="AI1" s="180"/>
      <c r="AJ1" s="180"/>
      <c r="AK1" s="180"/>
      <c r="AL1" s="180"/>
      <c r="AM1" s="180"/>
      <c r="AN1" s="180"/>
      <c r="AO1" s="180"/>
      <c r="AP1" s="180"/>
      <c r="AQ1" s="180"/>
      <c r="AR1" s="180"/>
      <c r="AS1" s="180"/>
      <c r="AT1" s="180"/>
      <c r="AU1" s="180"/>
      <c r="AV1" s="180"/>
      <c r="AW1" s="180"/>
      <c r="AX1" s="180"/>
      <c r="AY1" s="180"/>
      <c r="AZ1" s="180"/>
      <c r="BA1" s="180"/>
      <c r="BB1" s="180"/>
      <c r="BC1" s="180"/>
      <c r="BD1" s="180"/>
      <c r="BE1" s="180"/>
      <c r="BF1" s="180"/>
      <c r="BG1" s="180"/>
      <c r="BH1" s="180"/>
      <c r="BI1" s="180"/>
      <c r="BJ1" s="180"/>
      <c r="BK1" s="180"/>
      <c r="BL1" s="180"/>
      <c r="BM1" s="180"/>
      <c r="BN1" s="180"/>
      <c r="BO1" s="180"/>
      <c r="BP1" s="180"/>
      <c r="BQ1" s="180"/>
      <c r="BR1" s="180"/>
      <c r="BS1" s="180"/>
      <c r="BT1" s="180"/>
      <c r="BU1" s="180"/>
      <c r="BV1" s="180"/>
      <c r="BW1" s="180"/>
      <c r="BX1" s="180"/>
      <c r="BY1" s="180"/>
      <c r="BZ1" s="180"/>
      <c r="CA1" s="180"/>
      <c r="CB1" s="180"/>
      <c r="CC1" s="180"/>
      <c r="CD1" s="180"/>
      <c r="CE1" s="180"/>
      <c r="CF1" s="180"/>
      <c r="CG1" s="180"/>
      <c r="CH1" s="180"/>
      <c r="CI1" s="180"/>
      <c r="CJ1" s="180"/>
      <c r="CK1" s="180"/>
      <c r="CL1" s="180"/>
      <c r="CM1" s="180"/>
      <c r="CN1" s="180"/>
      <c r="CO1" s="180"/>
      <c r="CP1" s="180"/>
      <c r="CQ1" s="180"/>
      <c r="CR1" s="180"/>
      <c r="CS1" s="180"/>
      <c r="CT1" s="180"/>
      <c r="CU1" s="180"/>
      <c r="CV1" s="180"/>
      <c r="CW1" s="180"/>
      <c r="CX1" s="180"/>
      <c r="CY1" s="180"/>
      <c r="CZ1" s="180"/>
      <c r="DA1" s="180"/>
      <c r="DB1" s="180"/>
      <c r="DC1" s="180"/>
      <c r="DD1" s="180"/>
      <c r="DE1" s="180"/>
      <c r="DF1" s="180"/>
      <c r="DG1" s="180"/>
      <c r="DH1" s="180"/>
      <c r="DI1" s="180"/>
      <c r="DJ1" s="180"/>
      <c r="DK1" s="180"/>
      <c r="DL1" s="180"/>
      <c r="DM1" s="180"/>
      <c r="DN1" s="180"/>
      <c r="DO1" s="180"/>
      <c r="DP1" s="180"/>
      <c r="DQ1" s="180"/>
      <c r="DR1" s="180"/>
      <c r="DS1" s="180"/>
      <c r="DT1" s="180"/>
      <c r="DU1" s="180"/>
      <c r="DV1" s="180"/>
      <c r="DW1" s="180"/>
      <c r="DX1" s="180"/>
      <c r="DY1" s="180"/>
      <c r="DZ1" s="180"/>
      <c r="EA1" s="180"/>
      <c r="EB1" s="180"/>
      <c r="EC1" s="180"/>
      <c r="ED1" s="180"/>
      <c r="EE1" s="180"/>
      <c r="EF1" s="180"/>
      <c r="EG1" s="180"/>
      <c r="EH1" s="180"/>
      <c r="EI1" s="180"/>
      <c r="EJ1" s="180"/>
      <c r="EK1" s="180"/>
      <c r="EL1" s="180"/>
      <c r="EM1" s="180"/>
      <c r="EN1" s="180"/>
      <c r="EO1" s="180"/>
      <c r="EP1" s="180"/>
      <c r="EQ1" s="180"/>
      <c r="ER1" s="180"/>
      <c r="ES1" s="180"/>
      <c r="ET1" s="180"/>
      <c r="EU1" s="180"/>
      <c r="EV1" s="180"/>
      <c r="EW1" s="180"/>
      <c r="EX1" s="180"/>
      <c r="EY1" s="180"/>
      <c r="EZ1" s="180"/>
      <c r="FA1" s="180"/>
      <c r="FB1" s="180"/>
      <c r="FC1" s="180"/>
      <c r="FD1" s="180"/>
      <c r="FE1" s="180"/>
      <c r="FF1" s="180"/>
      <c r="FG1" s="180"/>
      <c r="FH1" s="180"/>
      <c r="FI1" s="180"/>
      <c r="FJ1" s="180"/>
      <c r="FK1" s="180"/>
      <c r="FL1" s="180"/>
      <c r="FM1" s="180"/>
      <c r="FN1" s="180"/>
      <c r="FO1" s="180"/>
      <c r="FP1" s="180"/>
      <c r="FQ1" s="180"/>
      <c r="FR1" s="180"/>
      <c r="FS1" s="180"/>
      <c r="FT1" s="180"/>
      <c r="FU1" s="180"/>
      <c r="FV1" s="180"/>
      <c r="FW1" s="180"/>
      <c r="FX1" s="180"/>
      <c r="FY1" s="180"/>
      <c r="FZ1" s="180"/>
      <c r="GA1" s="180"/>
      <c r="GB1" s="180"/>
      <c r="GC1" s="180"/>
      <c r="GD1" s="180"/>
      <c r="GE1" s="180"/>
      <c r="GF1" s="180"/>
      <c r="GG1" s="180"/>
      <c r="GH1" s="180"/>
      <c r="GI1" s="180"/>
      <c r="GJ1" s="180"/>
      <c r="GK1" s="180"/>
      <c r="GL1" s="180"/>
      <c r="GM1" s="180"/>
      <c r="GN1" s="180"/>
      <c r="GO1" s="180"/>
      <c r="GP1" s="180"/>
      <c r="GQ1" s="180"/>
      <c r="GR1" s="180"/>
      <c r="GS1" s="180"/>
      <c r="GT1" s="180"/>
      <c r="GU1" s="180"/>
      <c r="GV1" s="180"/>
      <c r="GW1" s="180"/>
      <c r="GX1" s="180"/>
      <c r="GY1" s="180"/>
      <c r="GZ1" s="180"/>
      <c r="HA1" s="180"/>
      <c r="HB1" s="180"/>
      <c r="HC1" s="180"/>
      <c r="HD1" s="180"/>
      <c r="HE1" s="180"/>
      <c r="HF1" s="180"/>
      <c r="HG1" s="180"/>
      <c r="HH1" s="180"/>
      <c r="HI1" s="180"/>
      <c r="HJ1" s="180"/>
      <c r="HK1" s="180"/>
      <c r="HL1" s="180"/>
      <c r="HM1" s="180"/>
      <c r="HN1" s="180"/>
      <c r="HO1" s="180"/>
      <c r="HP1" s="180"/>
      <c r="HQ1" s="180"/>
      <c r="HR1" s="180"/>
      <c r="HS1" s="180"/>
      <c r="HT1" s="180"/>
      <c r="HU1" s="180"/>
      <c r="HV1" s="180"/>
      <c r="HW1" s="180"/>
      <c r="HX1" s="180"/>
      <c r="HY1" s="180"/>
      <c r="HZ1" s="180"/>
      <c r="IA1" s="180"/>
      <c r="IB1" s="180"/>
      <c r="IC1" s="180"/>
      <c r="ID1" s="180"/>
      <c r="IE1" s="180"/>
      <c r="IF1" s="180"/>
      <c r="IG1" s="180"/>
      <c r="IH1" s="180"/>
      <c r="II1" s="180"/>
      <c r="IJ1" s="180"/>
      <c r="IK1" s="180"/>
      <c r="IL1" s="180"/>
      <c r="IM1" s="180"/>
      <c r="IN1" s="180"/>
      <c r="IO1" s="180"/>
      <c r="IP1" s="180"/>
      <c r="IQ1" s="180"/>
      <c r="IR1" s="180"/>
      <c r="IS1" s="180"/>
      <c r="IT1" s="180"/>
      <c r="IU1" s="180"/>
      <c r="IV1" s="180"/>
      <c r="IW1" s="180"/>
    </row>
    <row r="2" customFormat="false" ht="13.5" hidden="false" customHeight="true" outlineLevel="0" collapsed="false">
      <c r="A2" s="394" t="n">
        <f aca="false">U1+PurchasesOct!A2</f>
        <v>0</v>
      </c>
      <c r="B2" s="239" t="s">
        <v>250</v>
      </c>
      <c r="C2" s="378" t="s">
        <v>251</v>
      </c>
      <c r="D2" s="378" t="s">
        <v>252</v>
      </c>
      <c r="E2" s="378" t="s">
        <v>253</v>
      </c>
      <c r="F2" s="206" t="s">
        <v>254</v>
      </c>
      <c r="G2" s="379" t="s">
        <v>255</v>
      </c>
      <c r="H2" s="379"/>
      <c r="I2" s="380" t="n">
        <f aca="false">G1+H1+I1+J1+PurchasesOct!I2</f>
        <v>3780</v>
      </c>
      <c r="J2" s="380"/>
      <c r="K2" s="206" t="s">
        <v>256</v>
      </c>
      <c r="L2" s="206" t="s">
        <v>257</v>
      </c>
      <c r="M2" s="206" t="s">
        <v>258</v>
      </c>
      <c r="N2" s="206" t="s">
        <v>290</v>
      </c>
      <c r="O2" s="206" t="s">
        <v>260</v>
      </c>
      <c r="P2" s="206" t="s">
        <v>261</v>
      </c>
      <c r="Q2" s="206" t="s">
        <v>262</v>
      </c>
      <c r="R2" s="206" t="s">
        <v>263</v>
      </c>
      <c r="S2" s="381" t="s">
        <v>264</v>
      </c>
      <c r="T2" s="382" t="str">
        <f aca="false">IF(T1&gt;'Fixed Assets'!$D$74,"ENTER VEHICLE CHANGES        on Fixed Asset schedule","Motor Vehicles: make, model, date reg. and reg. Mark")</f>
        <v>ENTER VEHICLE CHANGES        on Fixed Asset schedule</v>
      </c>
      <c r="U2" s="381" t="s">
        <v>118</v>
      </c>
      <c r="V2" s="180"/>
      <c r="W2" s="180"/>
      <c r="X2" s="180"/>
      <c r="Y2" s="180"/>
      <c r="Z2" s="180"/>
      <c r="AA2" s="180"/>
      <c r="AB2" s="180"/>
      <c r="AC2" s="180"/>
      <c r="AD2" s="180"/>
      <c r="AE2" s="180"/>
      <c r="AF2" s="180"/>
      <c r="AG2" s="180"/>
      <c r="AH2" s="180"/>
      <c r="AI2" s="180"/>
      <c r="AJ2" s="180"/>
      <c r="AK2" s="180"/>
      <c r="AL2" s="180"/>
      <c r="AM2" s="180"/>
      <c r="AN2" s="180"/>
      <c r="AO2" s="180"/>
      <c r="AP2" s="180"/>
      <c r="AQ2" s="180"/>
      <c r="AR2" s="180"/>
      <c r="AS2" s="180"/>
      <c r="AT2" s="180"/>
      <c r="AU2" s="180"/>
      <c r="AV2" s="180"/>
      <c r="AW2" s="180"/>
      <c r="AX2" s="180"/>
      <c r="AY2" s="180"/>
      <c r="AZ2" s="180"/>
      <c r="BA2" s="180"/>
      <c r="BB2" s="180"/>
      <c r="BC2" s="180"/>
      <c r="BD2" s="180"/>
      <c r="BE2" s="180"/>
      <c r="BF2" s="180"/>
      <c r="BG2" s="180"/>
      <c r="BH2" s="180"/>
      <c r="BI2" s="180"/>
      <c r="BJ2" s="180"/>
      <c r="BK2" s="180"/>
      <c r="BL2" s="180"/>
      <c r="BM2" s="180"/>
      <c r="BN2" s="180"/>
      <c r="BO2" s="180"/>
      <c r="BP2" s="180"/>
      <c r="BQ2" s="180"/>
      <c r="BR2" s="180"/>
      <c r="BS2" s="180"/>
      <c r="BT2" s="180"/>
      <c r="BU2" s="180"/>
      <c r="BV2" s="180"/>
      <c r="BW2" s="180"/>
      <c r="BX2" s="180"/>
      <c r="BY2" s="180"/>
      <c r="BZ2" s="180"/>
      <c r="CA2" s="180"/>
      <c r="CB2" s="180"/>
      <c r="CC2" s="180"/>
      <c r="CD2" s="180"/>
      <c r="CE2" s="180"/>
      <c r="CF2" s="180"/>
      <c r="CG2" s="180"/>
      <c r="CH2" s="180"/>
      <c r="CI2" s="180"/>
      <c r="CJ2" s="180"/>
      <c r="CK2" s="180"/>
      <c r="CL2" s="180"/>
      <c r="CM2" s="180"/>
      <c r="CN2" s="180"/>
      <c r="CO2" s="180"/>
      <c r="CP2" s="180"/>
      <c r="CQ2" s="180"/>
      <c r="CR2" s="180"/>
      <c r="CS2" s="180"/>
      <c r="CT2" s="180"/>
      <c r="CU2" s="180"/>
      <c r="CV2" s="180"/>
      <c r="CW2" s="180"/>
      <c r="CX2" s="180"/>
      <c r="CY2" s="180"/>
      <c r="CZ2" s="180"/>
      <c r="DA2" s="180"/>
      <c r="DB2" s="180"/>
      <c r="DC2" s="180"/>
      <c r="DD2" s="180"/>
      <c r="DE2" s="180"/>
      <c r="DF2" s="180"/>
      <c r="DG2" s="180"/>
      <c r="DH2" s="180"/>
      <c r="DI2" s="180"/>
      <c r="DJ2" s="180"/>
      <c r="DK2" s="180"/>
      <c r="DL2" s="180"/>
      <c r="DM2" s="180"/>
      <c r="DN2" s="180"/>
      <c r="DO2" s="180"/>
      <c r="DP2" s="180"/>
      <c r="DQ2" s="180"/>
      <c r="DR2" s="180"/>
      <c r="DS2" s="180"/>
      <c r="DT2" s="180"/>
      <c r="DU2" s="180"/>
      <c r="DV2" s="180"/>
      <c r="DW2" s="180"/>
      <c r="DX2" s="180"/>
      <c r="DY2" s="180"/>
      <c r="DZ2" s="180"/>
      <c r="EA2" s="180"/>
      <c r="EB2" s="180"/>
      <c r="EC2" s="180"/>
      <c r="ED2" s="180"/>
      <c r="EE2" s="180"/>
      <c r="EF2" s="180"/>
      <c r="EG2" s="180"/>
      <c r="EH2" s="180"/>
      <c r="EI2" s="180"/>
      <c r="EJ2" s="180"/>
      <c r="EK2" s="180"/>
      <c r="EL2" s="180"/>
      <c r="EM2" s="180"/>
      <c r="EN2" s="180"/>
      <c r="EO2" s="180"/>
      <c r="EP2" s="180"/>
      <c r="EQ2" s="180"/>
      <c r="ER2" s="180"/>
      <c r="ES2" s="180"/>
      <c r="ET2" s="180"/>
      <c r="EU2" s="180"/>
      <c r="EV2" s="180"/>
      <c r="EW2" s="180"/>
      <c r="EX2" s="180"/>
      <c r="EY2" s="180"/>
      <c r="EZ2" s="180"/>
      <c r="FA2" s="180"/>
      <c r="FB2" s="180"/>
      <c r="FC2" s="180"/>
      <c r="FD2" s="180"/>
      <c r="FE2" s="180"/>
      <c r="FF2" s="180"/>
      <c r="FG2" s="180"/>
      <c r="FH2" s="180"/>
      <c r="FI2" s="180"/>
      <c r="FJ2" s="180"/>
      <c r="FK2" s="180"/>
      <c r="FL2" s="180"/>
      <c r="FM2" s="180"/>
      <c r="FN2" s="180"/>
      <c r="FO2" s="180"/>
      <c r="FP2" s="180"/>
      <c r="FQ2" s="180"/>
      <c r="FR2" s="180"/>
      <c r="FS2" s="180"/>
      <c r="FT2" s="180"/>
      <c r="FU2" s="180"/>
      <c r="FV2" s="180"/>
      <c r="FW2" s="180"/>
      <c r="FX2" s="180"/>
      <c r="FY2" s="180"/>
      <c r="FZ2" s="180"/>
      <c r="GA2" s="180"/>
      <c r="GB2" s="180"/>
      <c r="GC2" s="180"/>
      <c r="GD2" s="180"/>
      <c r="GE2" s="180"/>
      <c r="GF2" s="180"/>
      <c r="GG2" s="180"/>
      <c r="GH2" s="180"/>
      <c r="GI2" s="180"/>
      <c r="GJ2" s="180"/>
      <c r="GK2" s="180"/>
      <c r="GL2" s="180"/>
      <c r="GM2" s="180"/>
      <c r="GN2" s="180"/>
      <c r="GO2" s="180"/>
      <c r="GP2" s="180"/>
      <c r="GQ2" s="180"/>
      <c r="GR2" s="180"/>
      <c r="GS2" s="180"/>
      <c r="GT2" s="180"/>
      <c r="GU2" s="180"/>
      <c r="GV2" s="180"/>
      <c r="GW2" s="180"/>
      <c r="GX2" s="180"/>
      <c r="GY2" s="180"/>
      <c r="GZ2" s="180"/>
      <c r="HA2" s="180"/>
      <c r="HB2" s="180"/>
      <c r="HC2" s="180"/>
      <c r="HD2" s="180"/>
      <c r="HE2" s="180"/>
      <c r="HF2" s="180"/>
      <c r="HG2" s="180"/>
      <c r="HH2" s="180"/>
      <c r="HI2" s="180"/>
      <c r="HJ2" s="180"/>
      <c r="HK2" s="180"/>
      <c r="HL2" s="180"/>
      <c r="HM2" s="180"/>
      <c r="HN2" s="180"/>
      <c r="HO2" s="180"/>
      <c r="HP2" s="180"/>
      <c r="HQ2" s="180"/>
      <c r="HR2" s="180"/>
      <c r="HS2" s="180"/>
      <c r="HT2" s="180"/>
      <c r="HU2" s="180"/>
      <c r="HV2" s="180"/>
      <c r="HW2" s="180"/>
      <c r="HX2" s="180"/>
      <c r="HY2" s="180"/>
      <c r="HZ2" s="180"/>
      <c r="IA2" s="180"/>
      <c r="IB2" s="180"/>
      <c r="IC2" s="180"/>
      <c r="ID2" s="180"/>
      <c r="IE2" s="180"/>
      <c r="IF2" s="180"/>
      <c r="IG2" s="180"/>
      <c r="IH2" s="180"/>
      <c r="II2" s="180"/>
      <c r="IJ2" s="180"/>
      <c r="IK2" s="180"/>
      <c r="IL2" s="180"/>
      <c r="IM2" s="180"/>
      <c r="IN2" s="180"/>
      <c r="IO2" s="180"/>
      <c r="IP2" s="180"/>
      <c r="IQ2" s="180"/>
      <c r="IR2" s="180"/>
      <c r="IS2" s="180"/>
      <c r="IT2" s="180"/>
      <c r="IU2" s="180"/>
      <c r="IV2" s="180"/>
      <c r="IW2" s="180"/>
    </row>
    <row r="3" customFormat="false" ht="45" hidden="false" customHeight="true" outlineLevel="0" collapsed="false">
      <c r="A3" s="383" t="s">
        <v>265</v>
      </c>
      <c r="B3" s="206" t="s">
        <v>266</v>
      </c>
      <c r="C3" s="378"/>
      <c r="D3" s="378"/>
      <c r="E3" s="378"/>
      <c r="F3" s="378"/>
      <c r="G3" s="206" t="s">
        <v>113</v>
      </c>
      <c r="H3" s="206" t="s">
        <v>267</v>
      </c>
      <c r="I3" s="206" t="s">
        <v>115</v>
      </c>
      <c r="J3" s="206" t="s">
        <v>116</v>
      </c>
      <c r="K3" s="206"/>
      <c r="L3" s="206"/>
      <c r="M3" s="206"/>
      <c r="N3" s="206"/>
      <c r="O3" s="206"/>
      <c r="P3" s="206"/>
      <c r="Q3" s="206"/>
      <c r="R3" s="206"/>
      <c r="S3" s="381"/>
      <c r="T3" s="382"/>
      <c r="U3" s="381"/>
      <c r="V3" s="384"/>
      <c r="W3" s="384"/>
      <c r="X3" s="384"/>
      <c r="Y3" s="384"/>
      <c r="Z3" s="384"/>
      <c r="AA3" s="384"/>
      <c r="AB3" s="384"/>
      <c r="AC3" s="384"/>
      <c r="AD3" s="384"/>
      <c r="AE3" s="384"/>
      <c r="AF3" s="384"/>
      <c r="AG3" s="384"/>
      <c r="AH3" s="384"/>
      <c r="AI3" s="384"/>
      <c r="AJ3" s="384"/>
      <c r="AK3" s="384"/>
      <c r="AL3" s="384"/>
      <c r="AM3" s="384"/>
      <c r="AN3" s="384"/>
      <c r="AO3" s="384"/>
      <c r="AP3" s="384"/>
      <c r="AQ3" s="384"/>
      <c r="AR3" s="384"/>
      <c r="AS3" s="384"/>
      <c r="AT3" s="384"/>
      <c r="AU3" s="384"/>
      <c r="AV3" s="384"/>
      <c r="AW3" s="384"/>
      <c r="AX3" s="384"/>
      <c r="AY3" s="384"/>
      <c r="AZ3" s="384"/>
      <c r="BA3" s="384"/>
      <c r="BB3" s="384"/>
      <c r="BC3" s="384"/>
      <c r="BD3" s="384"/>
      <c r="BE3" s="384"/>
      <c r="BF3" s="384"/>
      <c r="BG3" s="384"/>
      <c r="BH3" s="384"/>
      <c r="BI3" s="384"/>
      <c r="BJ3" s="384"/>
      <c r="BK3" s="384"/>
      <c r="BL3" s="384"/>
      <c r="BM3" s="384"/>
      <c r="BN3" s="384"/>
      <c r="BO3" s="384"/>
      <c r="BP3" s="384"/>
      <c r="BQ3" s="384"/>
      <c r="BR3" s="384"/>
      <c r="BS3" s="384"/>
      <c r="BT3" s="384"/>
      <c r="BU3" s="384"/>
      <c r="BV3" s="384"/>
      <c r="BW3" s="384"/>
      <c r="BX3" s="384"/>
      <c r="BY3" s="384"/>
      <c r="BZ3" s="384"/>
      <c r="CA3" s="384"/>
      <c r="CB3" s="384"/>
      <c r="CC3" s="384"/>
      <c r="CD3" s="384"/>
      <c r="CE3" s="384"/>
      <c r="CF3" s="384"/>
      <c r="CG3" s="384"/>
      <c r="CH3" s="384"/>
      <c r="CI3" s="384"/>
      <c r="CJ3" s="384"/>
      <c r="CK3" s="384"/>
      <c r="CL3" s="384"/>
      <c r="CM3" s="384"/>
      <c r="CN3" s="384"/>
      <c r="CO3" s="384"/>
      <c r="CP3" s="384"/>
      <c r="CQ3" s="384"/>
      <c r="CR3" s="384"/>
      <c r="CS3" s="384"/>
      <c r="CT3" s="384"/>
      <c r="CU3" s="384"/>
      <c r="CV3" s="384"/>
      <c r="CW3" s="384"/>
      <c r="CX3" s="384"/>
      <c r="CY3" s="384"/>
      <c r="CZ3" s="384"/>
      <c r="DA3" s="384"/>
      <c r="DB3" s="384"/>
      <c r="DC3" s="384"/>
      <c r="DD3" s="384"/>
      <c r="DE3" s="384"/>
      <c r="DF3" s="384"/>
      <c r="DG3" s="384"/>
      <c r="DH3" s="384"/>
      <c r="DI3" s="384"/>
      <c r="DJ3" s="384"/>
      <c r="DK3" s="384"/>
      <c r="DL3" s="384"/>
      <c r="DM3" s="384"/>
      <c r="DN3" s="384"/>
      <c r="DO3" s="384"/>
      <c r="DP3" s="384"/>
      <c r="DQ3" s="384"/>
      <c r="DR3" s="384"/>
      <c r="DS3" s="384"/>
      <c r="DT3" s="384"/>
      <c r="DU3" s="384"/>
      <c r="DV3" s="384"/>
      <c r="DW3" s="384"/>
      <c r="DX3" s="384"/>
      <c r="DY3" s="384"/>
      <c r="DZ3" s="384"/>
      <c r="EA3" s="384"/>
      <c r="EB3" s="384"/>
      <c r="EC3" s="384"/>
      <c r="ED3" s="384"/>
      <c r="EE3" s="384"/>
      <c r="EF3" s="384"/>
      <c r="EG3" s="384"/>
      <c r="EH3" s="384"/>
      <c r="EI3" s="384"/>
      <c r="EJ3" s="384"/>
      <c r="EK3" s="384"/>
      <c r="EL3" s="384"/>
      <c r="EM3" s="384"/>
      <c r="EN3" s="384"/>
      <c r="EO3" s="384"/>
      <c r="EP3" s="384"/>
      <c r="EQ3" s="384"/>
      <c r="ER3" s="384"/>
      <c r="ES3" s="384"/>
      <c r="ET3" s="384"/>
      <c r="EU3" s="384"/>
      <c r="EV3" s="384"/>
      <c r="EW3" s="384"/>
      <c r="EX3" s="384"/>
      <c r="EY3" s="384"/>
      <c r="EZ3" s="384"/>
      <c r="FA3" s="384"/>
      <c r="FB3" s="384"/>
      <c r="FC3" s="384"/>
      <c r="FD3" s="384"/>
      <c r="FE3" s="384"/>
      <c r="FF3" s="384"/>
      <c r="FG3" s="384"/>
      <c r="FH3" s="384"/>
      <c r="FI3" s="384"/>
      <c r="FJ3" s="384"/>
      <c r="FK3" s="384"/>
      <c r="FL3" s="384"/>
      <c r="FM3" s="384"/>
      <c r="FN3" s="384"/>
      <c r="FO3" s="384"/>
      <c r="FP3" s="384"/>
      <c r="FQ3" s="384"/>
      <c r="FR3" s="384"/>
      <c r="FS3" s="384"/>
      <c r="FT3" s="384"/>
      <c r="FU3" s="384"/>
      <c r="FV3" s="384"/>
      <c r="FW3" s="384"/>
      <c r="FX3" s="384"/>
      <c r="FY3" s="384"/>
      <c r="FZ3" s="384"/>
      <c r="GA3" s="384"/>
      <c r="GB3" s="384"/>
      <c r="GC3" s="384"/>
      <c r="GD3" s="384"/>
      <c r="GE3" s="384"/>
      <c r="GF3" s="384"/>
      <c r="GG3" s="384"/>
      <c r="GH3" s="384"/>
      <c r="GI3" s="384"/>
      <c r="GJ3" s="384"/>
      <c r="GK3" s="384"/>
      <c r="GL3" s="384"/>
      <c r="GM3" s="384"/>
      <c r="GN3" s="384"/>
      <c r="GO3" s="384"/>
      <c r="GP3" s="384"/>
      <c r="GQ3" s="384"/>
      <c r="GR3" s="384"/>
      <c r="GS3" s="384"/>
      <c r="GT3" s="384"/>
      <c r="GU3" s="384"/>
      <c r="GV3" s="384"/>
      <c r="GW3" s="384"/>
      <c r="GX3" s="384"/>
      <c r="GY3" s="384"/>
      <c r="GZ3" s="384"/>
      <c r="HA3" s="384"/>
      <c r="HB3" s="384"/>
      <c r="HC3" s="384"/>
      <c r="HD3" s="384"/>
      <c r="HE3" s="384"/>
      <c r="HF3" s="384"/>
      <c r="HG3" s="384"/>
      <c r="HH3" s="384"/>
      <c r="HI3" s="384"/>
      <c r="HJ3" s="384"/>
      <c r="HK3" s="384"/>
      <c r="HL3" s="384"/>
      <c r="HM3" s="384"/>
      <c r="HN3" s="384"/>
      <c r="HO3" s="384"/>
      <c r="HP3" s="384"/>
      <c r="HQ3" s="384"/>
      <c r="HR3" s="384"/>
      <c r="HS3" s="384"/>
      <c r="HT3" s="384"/>
      <c r="HU3" s="384"/>
      <c r="HV3" s="384"/>
      <c r="HW3" s="384"/>
      <c r="HX3" s="384"/>
      <c r="HY3" s="384"/>
      <c r="HZ3" s="384"/>
      <c r="IA3" s="384"/>
      <c r="IB3" s="384"/>
      <c r="IC3" s="384"/>
      <c r="ID3" s="384"/>
      <c r="IE3" s="384"/>
      <c r="IF3" s="384"/>
      <c r="IG3" s="384"/>
      <c r="IH3" s="384"/>
      <c r="II3" s="384"/>
      <c r="IJ3" s="384"/>
      <c r="IK3" s="384"/>
      <c r="IL3" s="384"/>
      <c r="IM3" s="384"/>
      <c r="IN3" s="384"/>
      <c r="IO3" s="384"/>
      <c r="IP3" s="384"/>
      <c r="IQ3" s="384"/>
      <c r="IR3" s="384"/>
      <c r="IS3" s="384"/>
      <c r="IT3" s="384"/>
      <c r="IU3" s="384"/>
      <c r="IV3" s="384"/>
      <c r="IW3" s="384"/>
    </row>
    <row r="4" customFormat="false" ht="12.75" hidden="false" customHeight="false" outlineLevel="0" collapsed="false">
      <c r="A4" s="385" t="str">
        <f aca="false">IF((E1&lt;&gt;0),Admin!$B$12," ")</f>
        <v> </v>
      </c>
      <c r="B4" s="206"/>
      <c r="C4" s="206"/>
      <c r="D4" s="206"/>
      <c r="E4" s="206"/>
      <c r="F4" s="206"/>
      <c r="G4" s="374" t="s">
        <v>268</v>
      </c>
      <c r="H4" s="374" t="s">
        <v>269</v>
      </c>
      <c r="I4" s="374" t="s">
        <v>270</v>
      </c>
      <c r="J4" s="374" t="s">
        <v>271</v>
      </c>
      <c r="K4" s="374" t="s">
        <v>272</v>
      </c>
      <c r="L4" s="374" t="s">
        <v>273</v>
      </c>
      <c r="M4" s="374" t="s">
        <v>274</v>
      </c>
      <c r="N4" s="374" t="s">
        <v>275</v>
      </c>
      <c r="O4" s="374" t="s">
        <v>276</v>
      </c>
      <c r="P4" s="374" t="s">
        <v>277</v>
      </c>
      <c r="Q4" s="374" t="s">
        <v>278</v>
      </c>
      <c r="R4" s="374" t="s">
        <v>279</v>
      </c>
      <c r="S4" s="386" t="s">
        <v>280</v>
      </c>
      <c r="T4" s="382"/>
      <c r="U4" s="393" t="n">
        <f aca="false">IF((A1&lt;Admin!$F$22),((A1-PurchasesOct!A1)*Admin!$G$21),(A1*Admin!$G$21-(A1-Admin!$F$21)*(Admin!$G$21-Admin!$G$22)-PurchasesOct!A2))</f>
        <v>0</v>
      </c>
      <c r="V4" s="387"/>
      <c r="W4" s="387"/>
      <c r="X4" s="387"/>
      <c r="Y4" s="387"/>
      <c r="Z4" s="387"/>
      <c r="AA4" s="387"/>
      <c r="AB4" s="387"/>
      <c r="AC4" s="387"/>
      <c r="AD4" s="387"/>
      <c r="AE4" s="387"/>
      <c r="AF4" s="387"/>
      <c r="AG4" s="387"/>
      <c r="AH4" s="387"/>
      <c r="AI4" s="387"/>
      <c r="AJ4" s="387"/>
      <c r="AK4" s="387"/>
      <c r="AL4" s="387"/>
      <c r="AM4" s="387"/>
      <c r="AN4" s="387"/>
      <c r="AO4" s="387"/>
      <c r="AP4" s="387"/>
      <c r="AQ4" s="387"/>
      <c r="AR4" s="387"/>
      <c r="AS4" s="387"/>
      <c r="AT4" s="387"/>
      <c r="AU4" s="387"/>
      <c r="AV4" s="387"/>
      <c r="AW4" s="387"/>
      <c r="AX4" s="387"/>
      <c r="AY4" s="387"/>
      <c r="AZ4" s="387"/>
      <c r="BA4" s="387"/>
      <c r="BB4" s="387"/>
      <c r="BC4" s="387"/>
      <c r="BD4" s="387"/>
      <c r="BE4" s="387"/>
      <c r="BF4" s="387"/>
      <c r="BG4" s="387"/>
      <c r="BH4" s="387"/>
      <c r="BI4" s="387"/>
      <c r="BJ4" s="387"/>
      <c r="BK4" s="387"/>
      <c r="BL4" s="387"/>
      <c r="BM4" s="387"/>
      <c r="BN4" s="387"/>
      <c r="BO4" s="387"/>
      <c r="BP4" s="387"/>
      <c r="BQ4" s="387"/>
      <c r="BR4" s="387"/>
      <c r="BS4" s="387"/>
      <c r="BT4" s="387"/>
      <c r="BU4" s="387"/>
      <c r="BV4" s="387"/>
      <c r="BW4" s="387"/>
      <c r="BX4" s="387"/>
      <c r="BY4" s="387"/>
      <c r="BZ4" s="387"/>
      <c r="CA4" s="387"/>
      <c r="CB4" s="387"/>
      <c r="CC4" s="387"/>
      <c r="CD4" s="387"/>
      <c r="CE4" s="387"/>
      <c r="CF4" s="387"/>
      <c r="CG4" s="387"/>
      <c r="CH4" s="387"/>
      <c r="CI4" s="387"/>
      <c r="CJ4" s="387"/>
      <c r="CK4" s="387"/>
      <c r="CL4" s="387"/>
      <c r="CM4" s="387"/>
      <c r="CN4" s="387"/>
      <c r="CO4" s="387"/>
      <c r="CP4" s="387"/>
      <c r="CQ4" s="387"/>
      <c r="CR4" s="387"/>
      <c r="CS4" s="387"/>
      <c r="CT4" s="387"/>
      <c r="CU4" s="387"/>
      <c r="CV4" s="387"/>
      <c r="CW4" s="387"/>
      <c r="CX4" s="387"/>
      <c r="CY4" s="387"/>
      <c r="CZ4" s="387"/>
      <c r="DA4" s="387"/>
      <c r="DB4" s="387"/>
      <c r="DC4" s="387"/>
      <c r="DD4" s="387"/>
      <c r="DE4" s="387"/>
      <c r="DF4" s="387"/>
      <c r="DG4" s="387"/>
      <c r="DH4" s="387"/>
      <c r="DI4" s="387"/>
      <c r="DJ4" s="387"/>
      <c r="DK4" s="387"/>
      <c r="DL4" s="387"/>
      <c r="DM4" s="387"/>
      <c r="DN4" s="387"/>
      <c r="DO4" s="387"/>
      <c r="DP4" s="387"/>
      <c r="DQ4" s="387"/>
      <c r="DR4" s="387"/>
      <c r="DS4" s="387"/>
      <c r="DT4" s="387"/>
      <c r="DU4" s="387"/>
      <c r="DV4" s="387"/>
      <c r="DW4" s="387"/>
      <c r="DX4" s="387"/>
      <c r="DY4" s="387"/>
      <c r="DZ4" s="387"/>
      <c r="EA4" s="387"/>
      <c r="EB4" s="387"/>
      <c r="EC4" s="387"/>
      <c r="ED4" s="387"/>
      <c r="EE4" s="387"/>
      <c r="EF4" s="387"/>
      <c r="EG4" s="387"/>
      <c r="EH4" s="387"/>
      <c r="EI4" s="387"/>
      <c r="EJ4" s="387"/>
      <c r="EK4" s="387"/>
      <c r="EL4" s="387"/>
      <c r="EM4" s="387"/>
      <c r="EN4" s="387"/>
      <c r="EO4" s="387"/>
      <c r="EP4" s="387"/>
      <c r="EQ4" s="387"/>
      <c r="ER4" s="387"/>
      <c r="ES4" s="387"/>
      <c r="ET4" s="387"/>
      <c r="EU4" s="387"/>
      <c r="EV4" s="387"/>
      <c r="EW4" s="387"/>
      <c r="EX4" s="387"/>
      <c r="EY4" s="387"/>
      <c r="EZ4" s="387"/>
      <c r="FA4" s="387"/>
      <c r="FB4" s="387"/>
      <c r="FC4" s="387"/>
      <c r="FD4" s="387"/>
      <c r="FE4" s="387"/>
      <c r="FF4" s="387"/>
      <c r="FG4" s="387"/>
      <c r="FH4" s="387"/>
      <c r="FI4" s="387"/>
      <c r="FJ4" s="387"/>
      <c r="FK4" s="387"/>
      <c r="FL4" s="387"/>
      <c r="FM4" s="387"/>
      <c r="FN4" s="387"/>
      <c r="FO4" s="387"/>
      <c r="FP4" s="387"/>
      <c r="FQ4" s="387"/>
      <c r="FR4" s="387"/>
      <c r="FS4" s="387"/>
      <c r="FT4" s="387"/>
      <c r="FU4" s="387"/>
      <c r="FV4" s="387"/>
      <c r="FW4" s="387"/>
      <c r="FX4" s="387"/>
      <c r="FY4" s="387"/>
      <c r="FZ4" s="387"/>
      <c r="GA4" s="387"/>
      <c r="GB4" s="387"/>
      <c r="GC4" s="387"/>
      <c r="GD4" s="387"/>
      <c r="GE4" s="387"/>
      <c r="GF4" s="387"/>
      <c r="GG4" s="387"/>
      <c r="GH4" s="387"/>
      <c r="GI4" s="387"/>
      <c r="GJ4" s="387"/>
      <c r="GK4" s="387"/>
      <c r="GL4" s="387"/>
      <c r="GM4" s="387"/>
      <c r="GN4" s="387"/>
      <c r="GO4" s="387"/>
      <c r="GP4" s="387"/>
      <c r="GQ4" s="387"/>
      <c r="GR4" s="387"/>
      <c r="GS4" s="387"/>
      <c r="GT4" s="387"/>
      <c r="GU4" s="387"/>
      <c r="GV4" s="387"/>
      <c r="GW4" s="387"/>
      <c r="GX4" s="387"/>
      <c r="GY4" s="387"/>
      <c r="GZ4" s="387"/>
      <c r="HA4" s="387"/>
      <c r="HB4" s="387"/>
      <c r="HC4" s="387"/>
      <c r="HD4" s="387"/>
      <c r="HE4" s="387"/>
      <c r="HF4" s="387"/>
      <c r="HG4" s="387"/>
      <c r="HH4" s="387"/>
      <c r="HI4" s="387"/>
      <c r="HJ4" s="387"/>
      <c r="HK4" s="387"/>
      <c r="HL4" s="387"/>
      <c r="HM4" s="387"/>
      <c r="HN4" s="387"/>
      <c r="HO4" s="387"/>
      <c r="HP4" s="387"/>
      <c r="HQ4" s="387"/>
      <c r="HR4" s="387"/>
      <c r="HS4" s="387"/>
      <c r="HT4" s="387"/>
      <c r="HU4" s="387"/>
      <c r="HV4" s="387"/>
      <c r="HW4" s="387"/>
      <c r="HX4" s="387"/>
      <c r="HY4" s="387"/>
      <c r="HZ4" s="387"/>
      <c r="IA4" s="387"/>
      <c r="IB4" s="387"/>
      <c r="IC4" s="387"/>
      <c r="ID4" s="387"/>
      <c r="IE4" s="387"/>
      <c r="IF4" s="387"/>
      <c r="IG4" s="387"/>
      <c r="IH4" s="387"/>
      <c r="II4" s="387"/>
      <c r="IJ4" s="387"/>
      <c r="IK4" s="387"/>
      <c r="IL4" s="387"/>
      <c r="IM4" s="387"/>
      <c r="IN4" s="387"/>
      <c r="IO4" s="387"/>
      <c r="IP4" s="387"/>
      <c r="IQ4" s="387"/>
      <c r="IR4" s="387"/>
      <c r="IS4" s="387"/>
      <c r="IT4" s="387"/>
      <c r="IU4" s="387"/>
      <c r="IV4" s="387"/>
      <c r="IW4" s="387"/>
    </row>
    <row r="5" customFormat="false" ht="12.75" hidden="false" customHeight="false" outlineLevel="0" collapsed="false">
      <c r="A5" s="370" t="n">
        <v>46341</v>
      </c>
      <c r="B5" s="388" t="s">
        <v>286</v>
      </c>
      <c r="C5" s="371"/>
      <c r="D5" s="371" t="s">
        <v>287</v>
      </c>
      <c r="F5" s="371" t="n">
        <v>300</v>
      </c>
      <c r="G5" s="180" t="n">
        <f aca="false">IF((D5="d"),F5," ")</f>
        <v>300</v>
      </c>
      <c r="H5" s="180" t="str">
        <f aca="false">IF((D5="h"),F5," ")</f>
        <v> </v>
      </c>
      <c r="I5" s="180" t="str">
        <f aca="false">IF((D5="r"),F5," ")</f>
        <v> </v>
      </c>
      <c r="J5" s="180" t="str">
        <f aca="false">IF((D5="t"),F5," ")</f>
        <v> </v>
      </c>
      <c r="K5" s="180" t="str">
        <f aca="false">IF((D5="e"),F5," ")</f>
        <v> </v>
      </c>
      <c r="L5" s="180" t="str">
        <f aca="false">IF((D5="p"),F5," ")</f>
        <v> </v>
      </c>
      <c r="M5" s="180" t="str">
        <f aca="false">IF((D5="g"),F5," ")</f>
        <v> </v>
      </c>
      <c r="N5" s="180" t="str">
        <f aca="false">IF((D5="a"),F5," ")</f>
        <v> </v>
      </c>
      <c r="O5" s="180" t="str">
        <f aca="false">IF((D5="l"),F5," ")</f>
        <v> </v>
      </c>
      <c r="P5" s="180" t="str">
        <f aca="false">IF((D5="i"),F5," ")</f>
        <v> </v>
      </c>
      <c r="Q5" s="180" t="str">
        <f aca="false">IF((D5="b"),F5," ")</f>
        <v> </v>
      </c>
      <c r="R5" s="180" t="str">
        <f aca="false">IF((D5="o"),F5," ")</f>
        <v> </v>
      </c>
      <c r="S5" s="180" t="str">
        <f aca="false">IF((D5="f"),F5," ")</f>
        <v> </v>
      </c>
      <c r="T5" s="371"/>
      <c r="U5" s="371"/>
      <c r="V5" s="371"/>
      <c r="W5" s="371"/>
      <c r="X5" s="371"/>
      <c r="Y5" s="371"/>
      <c r="Z5" s="371"/>
      <c r="AA5" s="371"/>
      <c r="AB5" s="371"/>
      <c r="AC5" s="371"/>
      <c r="AD5" s="371"/>
      <c r="AE5" s="371"/>
      <c r="AF5" s="371"/>
      <c r="AG5" s="371"/>
      <c r="AH5" s="371"/>
      <c r="AI5" s="371"/>
      <c r="AJ5" s="371"/>
      <c r="AK5" s="371"/>
      <c r="AL5" s="371"/>
      <c r="AM5" s="371"/>
      <c r="AN5" s="371"/>
      <c r="AO5" s="371"/>
      <c r="AP5" s="371"/>
      <c r="AQ5" s="371"/>
      <c r="AR5" s="371"/>
      <c r="AS5" s="371"/>
      <c r="AT5" s="371"/>
      <c r="AU5" s="371"/>
      <c r="AV5" s="371"/>
      <c r="AW5" s="371"/>
      <c r="AX5" s="371"/>
      <c r="AY5" s="371"/>
      <c r="AZ5" s="371"/>
      <c r="BA5" s="371"/>
      <c r="BB5" s="371"/>
      <c r="BC5" s="371"/>
      <c r="BD5" s="371"/>
      <c r="BE5" s="371"/>
      <c r="BF5" s="371"/>
      <c r="BG5" s="371"/>
      <c r="BH5" s="371"/>
      <c r="BI5" s="371"/>
      <c r="BJ5" s="371"/>
      <c r="BK5" s="371"/>
      <c r="BL5" s="371"/>
      <c r="BM5" s="371"/>
      <c r="BN5" s="371"/>
      <c r="BO5" s="371"/>
      <c r="BP5" s="371"/>
      <c r="BQ5" s="371"/>
      <c r="BR5" s="371"/>
      <c r="BS5" s="371"/>
      <c r="BT5" s="371"/>
      <c r="BU5" s="371"/>
      <c r="BV5" s="371"/>
      <c r="BW5" s="371"/>
      <c r="BX5" s="371"/>
      <c r="BY5" s="371"/>
      <c r="BZ5" s="371"/>
      <c r="CA5" s="371"/>
      <c r="CB5" s="371"/>
      <c r="CC5" s="371"/>
      <c r="CD5" s="371"/>
      <c r="CE5" s="371"/>
      <c r="CF5" s="371"/>
      <c r="CG5" s="371"/>
      <c r="CH5" s="371"/>
      <c r="CI5" s="371"/>
      <c r="CJ5" s="371"/>
      <c r="CK5" s="371"/>
      <c r="CL5" s="371"/>
      <c r="CM5" s="371"/>
      <c r="CN5" s="371"/>
      <c r="CO5" s="371"/>
      <c r="CP5" s="371"/>
      <c r="CQ5" s="371"/>
      <c r="CR5" s="371"/>
      <c r="CS5" s="371"/>
      <c r="CT5" s="371"/>
      <c r="CU5" s="371"/>
      <c r="CV5" s="371"/>
      <c r="CW5" s="371"/>
      <c r="CX5" s="371"/>
      <c r="CY5" s="371"/>
      <c r="CZ5" s="371"/>
      <c r="DA5" s="371"/>
      <c r="DB5" s="371"/>
      <c r="DC5" s="371"/>
      <c r="DD5" s="371"/>
      <c r="DE5" s="371"/>
      <c r="DF5" s="371"/>
      <c r="DG5" s="371"/>
      <c r="DH5" s="371"/>
      <c r="DI5" s="371"/>
      <c r="DJ5" s="371"/>
      <c r="DK5" s="371"/>
      <c r="DL5" s="371"/>
      <c r="DM5" s="371"/>
      <c r="DN5" s="371"/>
      <c r="DO5" s="371"/>
      <c r="DP5" s="371"/>
      <c r="DQ5" s="371"/>
      <c r="DR5" s="371"/>
      <c r="DS5" s="371"/>
      <c r="DT5" s="371"/>
      <c r="DU5" s="371"/>
      <c r="DV5" s="371"/>
      <c r="DW5" s="371"/>
      <c r="DX5" s="371"/>
      <c r="DY5" s="371"/>
      <c r="DZ5" s="371"/>
      <c r="EA5" s="371"/>
      <c r="EB5" s="371"/>
      <c r="EC5" s="371"/>
      <c r="ED5" s="371"/>
      <c r="EE5" s="371"/>
      <c r="EF5" s="371"/>
      <c r="EG5" s="371"/>
      <c r="EH5" s="371"/>
      <c r="EI5" s="371"/>
      <c r="EJ5" s="371"/>
      <c r="EK5" s="371"/>
      <c r="EL5" s="371"/>
      <c r="EM5" s="371"/>
      <c r="EN5" s="371"/>
      <c r="EO5" s="371"/>
      <c r="EP5" s="371"/>
      <c r="EQ5" s="371"/>
      <c r="ER5" s="371"/>
      <c r="ES5" s="371"/>
      <c r="ET5" s="371"/>
      <c r="EU5" s="371"/>
      <c r="EV5" s="371"/>
      <c r="EW5" s="371"/>
      <c r="EX5" s="371"/>
      <c r="EY5" s="371"/>
      <c r="EZ5" s="371"/>
      <c r="FA5" s="371"/>
      <c r="FB5" s="371"/>
      <c r="FC5" s="371"/>
      <c r="FD5" s="371"/>
      <c r="FE5" s="371"/>
      <c r="FF5" s="371"/>
      <c r="FG5" s="371"/>
      <c r="FH5" s="371"/>
      <c r="FI5" s="371"/>
      <c r="FJ5" s="371"/>
      <c r="FK5" s="371"/>
      <c r="FL5" s="371"/>
      <c r="FM5" s="371"/>
      <c r="FN5" s="371"/>
      <c r="FO5" s="371"/>
      <c r="FP5" s="371"/>
      <c r="FQ5" s="371"/>
      <c r="FR5" s="371"/>
      <c r="FS5" s="371"/>
      <c r="FT5" s="371"/>
      <c r="FU5" s="371"/>
      <c r="FV5" s="371"/>
      <c r="FW5" s="371"/>
      <c r="FX5" s="371"/>
      <c r="FY5" s="371"/>
      <c r="FZ5" s="371"/>
      <c r="GA5" s="371"/>
      <c r="GB5" s="371"/>
      <c r="GC5" s="371"/>
      <c r="GD5" s="371"/>
      <c r="GE5" s="371"/>
      <c r="GF5" s="371"/>
      <c r="GG5" s="371"/>
      <c r="GH5" s="371"/>
      <c r="GI5" s="371"/>
      <c r="GJ5" s="371"/>
      <c r="GK5" s="371"/>
      <c r="GL5" s="371"/>
      <c r="GM5" s="371"/>
      <c r="GN5" s="371"/>
      <c r="GO5" s="371"/>
      <c r="GP5" s="371"/>
      <c r="GQ5" s="371"/>
      <c r="GR5" s="371"/>
      <c r="GS5" s="371"/>
      <c r="GT5" s="371"/>
      <c r="GU5" s="371"/>
      <c r="GV5" s="371"/>
      <c r="GW5" s="371"/>
      <c r="GX5" s="371"/>
      <c r="GY5" s="371"/>
      <c r="GZ5" s="371"/>
      <c r="HA5" s="371"/>
      <c r="HB5" s="371"/>
      <c r="HC5" s="371"/>
      <c r="HD5" s="371"/>
      <c r="HE5" s="371"/>
      <c r="HF5" s="371"/>
      <c r="HG5" s="371"/>
      <c r="HH5" s="371"/>
      <c r="HI5" s="371"/>
      <c r="HJ5" s="371"/>
      <c r="HK5" s="371"/>
      <c r="HL5" s="371"/>
      <c r="HM5" s="371"/>
      <c r="HN5" s="371"/>
      <c r="HO5" s="371"/>
      <c r="HP5" s="371"/>
      <c r="HQ5" s="371"/>
      <c r="HR5" s="371"/>
      <c r="HS5" s="371"/>
      <c r="HT5" s="371"/>
      <c r="HU5" s="371"/>
      <c r="HV5" s="371"/>
      <c r="HW5" s="371"/>
      <c r="HX5" s="371"/>
      <c r="HY5" s="371"/>
      <c r="HZ5" s="371"/>
      <c r="IA5" s="371"/>
      <c r="IB5" s="371"/>
      <c r="IC5" s="371"/>
      <c r="ID5" s="371"/>
      <c r="IE5" s="371"/>
      <c r="IF5" s="371"/>
      <c r="IG5" s="371"/>
      <c r="IH5" s="371"/>
      <c r="II5" s="371"/>
      <c r="IJ5" s="371"/>
      <c r="IK5" s="371"/>
      <c r="IL5" s="371"/>
      <c r="IM5" s="371"/>
      <c r="IN5" s="371"/>
      <c r="IO5" s="371"/>
      <c r="IP5" s="371"/>
      <c r="IQ5" s="371"/>
      <c r="IR5" s="371"/>
      <c r="IS5" s="371"/>
      <c r="IT5" s="371"/>
      <c r="IU5" s="371"/>
      <c r="IV5" s="371"/>
      <c r="IW5" s="371"/>
    </row>
    <row r="6" customFormat="false" ht="12.75" hidden="false" customHeight="false" outlineLevel="0" collapsed="false">
      <c r="G6" s="180" t="str">
        <f aca="false">IF((D6="d"),F6," ")</f>
        <v> </v>
      </c>
      <c r="H6" s="180" t="str">
        <f aca="false">IF((D6="h"),F6," ")</f>
        <v> </v>
      </c>
      <c r="I6" s="180" t="str">
        <f aca="false">IF((D6="r"),F6," ")</f>
        <v> </v>
      </c>
      <c r="J6" s="180" t="str">
        <f aca="false">IF((D6="t"),F6," ")</f>
        <v> </v>
      </c>
      <c r="K6" s="180" t="str">
        <f aca="false">IF((D6="e"),F6," ")</f>
        <v> </v>
      </c>
      <c r="L6" s="180" t="str">
        <f aca="false">IF((D6="p"),F6," ")</f>
        <v> </v>
      </c>
      <c r="M6" s="180" t="str">
        <f aca="false">IF((D6="g"),F6," ")</f>
        <v> </v>
      </c>
      <c r="N6" s="180" t="str">
        <f aca="false">IF((D6="a"),F6," ")</f>
        <v> </v>
      </c>
      <c r="O6" s="180" t="str">
        <f aca="false">IF((D6="l"),F6," ")</f>
        <v> </v>
      </c>
      <c r="P6" s="180" t="str">
        <f aca="false">IF((D6="i"),F6," ")</f>
        <v> </v>
      </c>
      <c r="Q6" s="180" t="str">
        <f aca="false">IF((D6="b"),F6," ")</f>
        <v> </v>
      </c>
      <c r="R6" s="180" t="str">
        <f aca="false">IF((D6="o"),F6," ")</f>
        <v> </v>
      </c>
      <c r="S6" s="180" t="str">
        <f aca="false">IF((D6="f"),F6," ")</f>
        <v> </v>
      </c>
      <c r="U6" s="371"/>
    </row>
    <row r="7" customFormat="false" ht="12.75" hidden="false" customHeight="false" outlineLevel="0" collapsed="false">
      <c r="G7" s="180" t="str">
        <f aca="false">IF((D7="d"),F7," ")</f>
        <v> </v>
      </c>
      <c r="H7" s="180" t="str">
        <f aca="false">IF((D7="h"),F7," ")</f>
        <v> </v>
      </c>
      <c r="I7" s="180" t="str">
        <f aca="false">IF((D7="r"),F7," ")</f>
        <v> </v>
      </c>
      <c r="J7" s="180" t="str">
        <f aca="false">IF((D7="t"),F7," ")</f>
        <v> </v>
      </c>
      <c r="K7" s="180" t="str">
        <f aca="false">IF((D7="e"),F7," ")</f>
        <v> </v>
      </c>
      <c r="L7" s="180" t="str">
        <f aca="false">IF((D7="p"),F7," ")</f>
        <v> </v>
      </c>
      <c r="M7" s="180" t="str">
        <f aca="false">IF((D7="g"),F7," ")</f>
        <v> </v>
      </c>
      <c r="N7" s="180" t="str">
        <f aca="false">IF((D7="a"),F7," ")</f>
        <v> </v>
      </c>
      <c r="O7" s="180" t="str">
        <f aca="false">IF((D7="l"),F7," ")</f>
        <v> </v>
      </c>
      <c r="P7" s="180" t="str">
        <f aca="false">IF((D7="i"),F7," ")</f>
        <v> </v>
      </c>
      <c r="Q7" s="180" t="str">
        <f aca="false">IF((D7="b"),F7," ")</f>
        <v> </v>
      </c>
      <c r="R7" s="180" t="str">
        <f aca="false">IF((D7="o"),F7," ")</f>
        <v> </v>
      </c>
      <c r="S7" s="180" t="str">
        <f aca="false">IF((D7="f"),F7," ")</f>
        <v> </v>
      </c>
      <c r="U7" s="371"/>
    </row>
    <row r="8" customFormat="false" ht="12.75" hidden="false" customHeight="false" outlineLevel="0" collapsed="false">
      <c r="G8" s="180" t="str">
        <f aca="false">IF((D8="d"),F8," ")</f>
        <v> </v>
      </c>
      <c r="H8" s="180" t="str">
        <f aca="false">IF((D8="h"),F8," ")</f>
        <v> </v>
      </c>
      <c r="I8" s="180" t="str">
        <f aca="false">IF((D8="r"),F8," ")</f>
        <v> </v>
      </c>
      <c r="J8" s="180" t="str">
        <f aca="false">IF((D8="t"),F8," ")</f>
        <v> </v>
      </c>
      <c r="K8" s="180" t="str">
        <f aca="false">IF((D8="e"),F8," ")</f>
        <v> </v>
      </c>
      <c r="L8" s="180" t="str">
        <f aca="false">IF((D8="p"),F8," ")</f>
        <v> </v>
      </c>
      <c r="M8" s="180" t="str">
        <f aca="false">IF((D8="g"),F8," ")</f>
        <v> </v>
      </c>
      <c r="N8" s="180" t="str">
        <f aca="false">IF((D8="a"),F8," ")</f>
        <v> </v>
      </c>
      <c r="O8" s="180" t="str">
        <f aca="false">IF((D8="l"),F8," ")</f>
        <v> </v>
      </c>
      <c r="P8" s="180" t="str">
        <f aca="false">IF((D8="i"),F8," ")</f>
        <v> </v>
      </c>
      <c r="Q8" s="180" t="str">
        <f aca="false">IF((D8="b"),F8," ")</f>
        <v> </v>
      </c>
      <c r="R8" s="180" t="str">
        <f aca="false">IF((D8="o"),F8," ")</f>
        <v> </v>
      </c>
      <c r="S8" s="180" t="str">
        <f aca="false">IF((D8="f"),F8," ")</f>
        <v> </v>
      </c>
      <c r="U8" s="371"/>
    </row>
    <row r="9" customFormat="false" ht="12.75" hidden="false" customHeight="false" outlineLevel="0" collapsed="false">
      <c r="G9" s="180" t="str">
        <f aca="false">IF((D9="d"),F9," ")</f>
        <v> </v>
      </c>
      <c r="H9" s="180" t="str">
        <f aca="false">IF((D9="h"),F9," ")</f>
        <v> </v>
      </c>
      <c r="I9" s="180" t="str">
        <f aca="false">IF((D9="r"),F9," ")</f>
        <v> </v>
      </c>
      <c r="J9" s="180" t="str">
        <f aca="false">IF((D9="t"),F9," ")</f>
        <v> </v>
      </c>
      <c r="K9" s="180" t="str">
        <f aca="false">IF((D9="e"),F9," ")</f>
        <v> </v>
      </c>
      <c r="L9" s="180" t="str">
        <f aca="false">IF((D9="p"),F9," ")</f>
        <v> </v>
      </c>
      <c r="M9" s="180" t="str">
        <f aca="false">IF((D9="g"),F9," ")</f>
        <v> </v>
      </c>
      <c r="N9" s="180" t="str">
        <f aca="false">IF((D9="a"),F9," ")</f>
        <v> </v>
      </c>
      <c r="O9" s="180" t="str">
        <f aca="false">IF((D9="l"),F9," ")</f>
        <v> </v>
      </c>
      <c r="P9" s="180" t="str">
        <f aca="false">IF((D9="i"),F9," ")</f>
        <v> </v>
      </c>
      <c r="Q9" s="180" t="str">
        <f aca="false">IF((D9="b"),F9," ")</f>
        <v> </v>
      </c>
      <c r="R9" s="180" t="str">
        <f aca="false">IF((D9="o"),F9," ")</f>
        <v> </v>
      </c>
      <c r="S9" s="180" t="str">
        <f aca="false">IF((D9="f"),F9," ")</f>
        <v> </v>
      </c>
      <c r="U9" s="371"/>
    </row>
    <row r="10" customFormat="false" ht="12.75" hidden="false" customHeight="false" outlineLevel="0" collapsed="false">
      <c r="G10" s="180" t="str">
        <f aca="false">IF((D10="d"),F10," ")</f>
        <v> </v>
      </c>
      <c r="H10" s="180" t="str">
        <f aca="false">IF((D10="h"),F10," ")</f>
        <v> </v>
      </c>
      <c r="I10" s="180" t="str">
        <f aca="false">IF((D10="r"),F10," ")</f>
        <v> </v>
      </c>
      <c r="J10" s="180" t="str">
        <f aca="false">IF((D10="t"),F10," ")</f>
        <v> </v>
      </c>
      <c r="K10" s="180" t="str">
        <f aca="false">IF((D10="e"),F10," ")</f>
        <v> </v>
      </c>
      <c r="L10" s="180" t="str">
        <f aca="false">IF((D10="p"),F10," ")</f>
        <v> </v>
      </c>
      <c r="M10" s="180" t="str">
        <f aca="false">IF((D10="g"),F10," ")</f>
        <v> </v>
      </c>
      <c r="N10" s="180" t="str">
        <f aca="false">IF((D10="a"),F10," ")</f>
        <v> </v>
      </c>
      <c r="O10" s="180" t="str">
        <f aca="false">IF((D10="l"),F10," ")</f>
        <v> </v>
      </c>
      <c r="P10" s="180" t="str">
        <f aca="false">IF((D10="i"),F10," ")</f>
        <v> </v>
      </c>
      <c r="Q10" s="180" t="str">
        <f aca="false">IF((D10="b"),F10," ")</f>
        <v> </v>
      </c>
      <c r="R10" s="180" t="str">
        <f aca="false">IF((D10="o"),F10," ")</f>
        <v> </v>
      </c>
      <c r="S10" s="180" t="str">
        <f aca="false">IF((D10="f"),F10," ")</f>
        <v> </v>
      </c>
      <c r="U10" s="371"/>
    </row>
    <row r="11" customFormat="false" ht="12.75" hidden="false" customHeight="false" outlineLevel="0" collapsed="false">
      <c r="G11" s="180" t="str">
        <f aca="false">IF((D11="d"),F11," ")</f>
        <v> </v>
      </c>
      <c r="H11" s="180" t="str">
        <f aca="false">IF((D11="h"),F11," ")</f>
        <v> </v>
      </c>
      <c r="I11" s="180" t="str">
        <f aca="false">IF((D11="r"),F11," ")</f>
        <v> </v>
      </c>
      <c r="J11" s="180" t="str">
        <f aca="false">IF((D11="t"),F11," ")</f>
        <v> </v>
      </c>
      <c r="K11" s="180" t="str">
        <f aca="false">IF((D11="e"),F11," ")</f>
        <v> </v>
      </c>
      <c r="L11" s="180" t="str">
        <f aca="false">IF((D11="p"),F11," ")</f>
        <v> </v>
      </c>
      <c r="M11" s="180" t="str">
        <f aca="false">IF((D11="g"),F11," ")</f>
        <v> </v>
      </c>
      <c r="N11" s="180" t="str">
        <f aca="false">IF((D11="a"),F11," ")</f>
        <v> </v>
      </c>
      <c r="O11" s="180" t="str">
        <f aca="false">IF((D11="l"),F11," ")</f>
        <v> </v>
      </c>
      <c r="P11" s="180" t="str">
        <f aca="false">IF((D11="i"),F11," ")</f>
        <v> </v>
      </c>
      <c r="Q11" s="180" t="str">
        <f aca="false">IF((D11="b"),F11," ")</f>
        <v> </v>
      </c>
      <c r="R11" s="180" t="str">
        <f aca="false">IF((D11="o"),F11," ")</f>
        <v> </v>
      </c>
      <c r="S11" s="180" t="str">
        <f aca="false">IF((D11="f"),F11," ")</f>
        <v> </v>
      </c>
      <c r="U11" s="371"/>
    </row>
    <row r="12" customFormat="false" ht="12.75" hidden="false" customHeight="false" outlineLevel="0" collapsed="false">
      <c r="G12" s="180" t="str">
        <f aca="false">IF((D12="d"),F12," ")</f>
        <v> </v>
      </c>
      <c r="H12" s="180" t="str">
        <f aca="false">IF((D12="h"),F12," ")</f>
        <v> </v>
      </c>
      <c r="I12" s="180" t="str">
        <f aca="false">IF((D12="r"),F12," ")</f>
        <v> </v>
      </c>
      <c r="J12" s="180" t="str">
        <f aca="false">IF((D12="t"),F12," ")</f>
        <v> </v>
      </c>
      <c r="K12" s="180" t="str">
        <f aca="false">IF((D12="e"),F12," ")</f>
        <v> </v>
      </c>
      <c r="L12" s="180" t="str">
        <f aca="false">IF((D12="p"),F12," ")</f>
        <v> </v>
      </c>
      <c r="M12" s="180" t="str">
        <f aca="false">IF((D12="g"),F12," ")</f>
        <v> </v>
      </c>
      <c r="N12" s="180" t="str">
        <f aca="false">IF((D12="a"),F12," ")</f>
        <v> </v>
      </c>
      <c r="O12" s="180" t="str">
        <f aca="false">IF((D12="l"),F12," ")</f>
        <v> </v>
      </c>
      <c r="P12" s="180" t="str">
        <f aca="false">IF((D12="i"),F12," ")</f>
        <v> </v>
      </c>
      <c r="Q12" s="180" t="str">
        <f aca="false">IF((D12="b"),F12," ")</f>
        <v> </v>
      </c>
      <c r="R12" s="180" t="str">
        <f aca="false">IF((D12="o"),F12," ")</f>
        <v> </v>
      </c>
      <c r="S12" s="180" t="str">
        <f aca="false">IF((D12="f"),F12," ")</f>
        <v> </v>
      </c>
      <c r="U12" s="371"/>
    </row>
    <row r="13" customFormat="false" ht="12.75" hidden="false" customHeight="false" outlineLevel="0" collapsed="false">
      <c r="G13" s="180" t="str">
        <f aca="false">IF((D13="d"),F13," ")</f>
        <v> </v>
      </c>
      <c r="H13" s="180" t="str">
        <f aca="false">IF((D13="h"),F13," ")</f>
        <v> </v>
      </c>
      <c r="I13" s="180" t="str">
        <f aca="false">IF((D13="r"),F13," ")</f>
        <v> </v>
      </c>
      <c r="J13" s="180" t="str">
        <f aca="false">IF((D13="t"),F13," ")</f>
        <v> </v>
      </c>
      <c r="K13" s="180" t="str">
        <f aca="false">IF((D13="e"),F13," ")</f>
        <v> </v>
      </c>
      <c r="L13" s="180" t="str">
        <f aca="false">IF((D13="p"),F13," ")</f>
        <v> </v>
      </c>
      <c r="M13" s="180" t="str">
        <f aca="false">IF((D13="g"),F13," ")</f>
        <v> </v>
      </c>
      <c r="N13" s="180" t="str">
        <f aca="false">IF((D13="a"),F13," ")</f>
        <v> </v>
      </c>
      <c r="O13" s="180" t="str">
        <f aca="false">IF((D13="l"),F13," ")</f>
        <v> </v>
      </c>
      <c r="P13" s="180" t="str">
        <f aca="false">IF((D13="i"),F13," ")</f>
        <v> </v>
      </c>
      <c r="Q13" s="180" t="str">
        <f aca="false">IF((D13="b"),F13," ")</f>
        <v> </v>
      </c>
      <c r="R13" s="180" t="str">
        <f aca="false">IF((D13="o"),F13," ")</f>
        <v> </v>
      </c>
      <c r="S13" s="180" t="str">
        <f aca="false">IF((D13="f"),F13," ")</f>
        <v> </v>
      </c>
      <c r="U13" s="371"/>
    </row>
    <row r="14" customFormat="false" ht="12.75" hidden="false" customHeight="false" outlineLevel="0" collapsed="false">
      <c r="G14" s="180" t="str">
        <f aca="false">IF((D14="d"),F14," ")</f>
        <v> </v>
      </c>
      <c r="H14" s="180" t="str">
        <f aca="false">IF((D14="h"),F14," ")</f>
        <v> </v>
      </c>
      <c r="I14" s="180" t="str">
        <f aca="false">IF((D14="r"),F14," ")</f>
        <v> </v>
      </c>
      <c r="J14" s="180" t="str">
        <f aca="false">IF((D14="t"),F14," ")</f>
        <v> </v>
      </c>
      <c r="K14" s="180" t="str">
        <f aca="false">IF((D14="e"),F14," ")</f>
        <v> </v>
      </c>
      <c r="L14" s="180" t="str">
        <f aca="false">IF((D14="p"),F14," ")</f>
        <v> </v>
      </c>
      <c r="M14" s="180" t="str">
        <f aca="false">IF((D14="g"),F14," ")</f>
        <v> </v>
      </c>
      <c r="N14" s="180" t="str">
        <f aca="false">IF((D14="a"),F14," ")</f>
        <v> </v>
      </c>
      <c r="O14" s="180" t="str">
        <f aca="false">IF((D14="l"),F14," ")</f>
        <v> </v>
      </c>
      <c r="P14" s="180" t="str">
        <f aca="false">IF((D14="i"),F14," ")</f>
        <v> </v>
      </c>
      <c r="Q14" s="180" t="str">
        <f aca="false">IF((D14="b"),F14," ")</f>
        <v> </v>
      </c>
      <c r="R14" s="180" t="str">
        <f aca="false">IF((D14="o"),F14," ")</f>
        <v> </v>
      </c>
      <c r="S14" s="180" t="str">
        <f aca="false">IF((D14="f"),F14," ")</f>
        <v> </v>
      </c>
      <c r="U14" s="371"/>
    </row>
    <row r="15" customFormat="false" ht="12.75" hidden="false" customHeight="false" outlineLevel="0" collapsed="false">
      <c r="G15" s="180" t="str">
        <f aca="false">IF((D15="d"),F15," ")</f>
        <v> </v>
      </c>
      <c r="H15" s="180" t="str">
        <f aca="false">IF((D15="h"),F15," ")</f>
        <v> </v>
      </c>
      <c r="I15" s="180" t="str">
        <f aca="false">IF((D15="r"),F15," ")</f>
        <v> </v>
      </c>
      <c r="J15" s="180" t="str">
        <f aca="false">IF((D15="t"),F15," ")</f>
        <v> </v>
      </c>
      <c r="K15" s="180" t="str">
        <f aca="false">IF((D15="e"),F15," ")</f>
        <v> </v>
      </c>
      <c r="L15" s="180" t="str">
        <f aca="false">IF((D15="p"),F15," ")</f>
        <v> </v>
      </c>
      <c r="M15" s="180" t="str">
        <f aca="false">IF((D15="g"),F15," ")</f>
        <v> </v>
      </c>
      <c r="N15" s="180" t="str">
        <f aca="false">IF((D15="a"),F15," ")</f>
        <v> </v>
      </c>
      <c r="O15" s="180" t="str">
        <f aca="false">IF((D15="l"),F15," ")</f>
        <v> </v>
      </c>
      <c r="P15" s="180" t="str">
        <f aca="false">IF((D15="i"),F15," ")</f>
        <v> </v>
      </c>
      <c r="Q15" s="180" t="str">
        <f aca="false">IF((D15="b"),F15," ")</f>
        <v> </v>
      </c>
      <c r="R15" s="180" t="str">
        <f aca="false">IF((D15="o"),F15," ")</f>
        <v> </v>
      </c>
      <c r="S15" s="180" t="str">
        <f aca="false">IF((D15="f"),F15," ")</f>
        <v> </v>
      </c>
      <c r="U15" s="371"/>
    </row>
    <row r="16" customFormat="false" ht="12.75" hidden="false" customHeight="false" outlineLevel="0" collapsed="false">
      <c r="G16" s="180" t="str">
        <f aca="false">IF((D16="d"),F16," ")</f>
        <v> </v>
      </c>
      <c r="H16" s="180" t="str">
        <f aca="false">IF((D16="h"),F16," ")</f>
        <v> </v>
      </c>
      <c r="I16" s="180" t="str">
        <f aca="false">IF((D16="r"),F16," ")</f>
        <v> </v>
      </c>
      <c r="J16" s="180" t="str">
        <f aca="false">IF((D16="t"),F16," ")</f>
        <v> </v>
      </c>
      <c r="K16" s="180" t="str">
        <f aca="false">IF((D16="e"),F16," ")</f>
        <v> </v>
      </c>
      <c r="L16" s="180" t="str">
        <f aca="false">IF((D16="p"),F16," ")</f>
        <v> </v>
      </c>
      <c r="M16" s="180" t="str">
        <f aca="false">IF((D16="g"),F16," ")</f>
        <v> </v>
      </c>
      <c r="N16" s="180" t="str">
        <f aca="false">IF((D16="a"),F16," ")</f>
        <v> </v>
      </c>
      <c r="O16" s="180" t="str">
        <f aca="false">IF((D16="l"),F16," ")</f>
        <v> </v>
      </c>
      <c r="P16" s="180" t="str">
        <f aca="false">IF((D16="i"),F16," ")</f>
        <v> </v>
      </c>
      <c r="Q16" s="180" t="str">
        <f aca="false">IF((D16="b"),F16," ")</f>
        <v> </v>
      </c>
      <c r="R16" s="180" t="str">
        <f aca="false">IF((D16="o"),F16," ")</f>
        <v> </v>
      </c>
      <c r="S16" s="180" t="str">
        <f aca="false">IF((D16="f"),F16," ")</f>
        <v> </v>
      </c>
      <c r="U16" s="371"/>
    </row>
    <row r="17" customFormat="false" ht="12.75" hidden="false" customHeight="false" outlineLevel="0" collapsed="false">
      <c r="G17" s="180" t="str">
        <f aca="false">IF((D17="d"),F17," ")</f>
        <v> </v>
      </c>
      <c r="H17" s="180" t="str">
        <f aca="false">IF((D17="h"),F17," ")</f>
        <v> </v>
      </c>
      <c r="I17" s="180" t="str">
        <f aca="false">IF((D17="r"),F17," ")</f>
        <v> </v>
      </c>
      <c r="J17" s="180" t="str">
        <f aca="false">IF((D17="t"),F17," ")</f>
        <v> </v>
      </c>
      <c r="K17" s="180" t="str">
        <f aca="false">IF((D17="e"),F17," ")</f>
        <v> </v>
      </c>
      <c r="L17" s="180" t="str">
        <f aca="false">IF((D17="p"),F17," ")</f>
        <v> </v>
      </c>
      <c r="M17" s="180" t="str">
        <f aca="false">IF((D17="g"),F17," ")</f>
        <v> </v>
      </c>
      <c r="N17" s="180" t="str">
        <f aca="false">IF((D17="a"),F17," ")</f>
        <v> </v>
      </c>
      <c r="O17" s="180" t="str">
        <f aca="false">IF((D17="l"),F17," ")</f>
        <v> </v>
      </c>
      <c r="P17" s="180" t="str">
        <f aca="false">IF((D17="i"),F17," ")</f>
        <v> </v>
      </c>
      <c r="Q17" s="180" t="str">
        <f aca="false">IF((D17="b"),F17," ")</f>
        <v> </v>
      </c>
      <c r="R17" s="180" t="str">
        <f aca="false">IF((D17="o"),F17," ")</f>
        <v> </v>
      </c>
      <c r="S17" s="180" t="str">
        <f aca="false">IF((D17="f"),F17," ")</f>
        <v> </v>
      </c>
      <c r="U17" s="371"/>
    </row>
    <row r="18" customFormat="false" ht="12.75" hidden="false" customHeight="false" outlineLevel="0" collapsed="false">
      <c r="G18" s="180" t="str">
        <f aca="false">IF((D18="d"),F18," ")</f>
        <v> </v>
      </c>
      <c r="H18" s="180" t="str">
        <f aca="false">IF((D18="h"),F18," ")</f>
        <v> </v>
      </c>
      <c r="I18" s="180" t="str">
        <f aca="false">IF((D18="r"),F18," ")</f>
        <v> </v>
      </c>
      <c r="J18" s="180" t="str">
        <f aca="false">IF((D18="t"),F18," ")</f>
        <v> </v>
      </c>
      <c r="K18" s="180" t="str">
        <f aca="false">IF((D18="e"),F18," ")</f>
        <v> </v>
      </c>
      <c r="L18" s="180" t="str">
        <f aca="false">IF((D18="p"),F18," ")</f>
        <v> </v>
      </c>
      <c r="M18" s="180" t="str">
        <f aca="false">IF((D18="g"),F18," ")</f>
        <v> </v>
      </c>
      <c r="N18" s="180" t="str">
        <f aca="false">IF((D18="a"),F18," ")</f>
        <v> </v>
      </c>
      <c r="O18" s="180" t="str">
        <f aca="false">IF((D18="l"),F18," ")</f>
        <v> </v>
      </c>
      <c r="P18" s="180" t="str">
        <f aca="false">IF((D18="i"),F18," ")</f>
        <v> </v>
      </c>
      <c r="Q18" s="180" t="str">
        <f aca="false">IF((D18="b"),F18," ")</f>
        <v> </v>
      </c>
      <c r="R18" s="180" t="str">
        <f aca="false">IF((D18="o"),F18," ")</f>
        <v> </v>
      </c>
      <c r="S18" s="180" t="str">
        <f aca="false">IF((D18="f"),F18," ")</f>
        <v> </v>
      </c>
      <c r="U18" s="371"/>
    </row>
    <row r="19" customFormat="false" ht="12.75" hidden="false" customHeight="false" outlineLevel="0" collapsed="false">
      <c r="G19" s="180" t="str">
        <f aca="false">IF((D19="d"),F19," ")</f>
        <v> </v>
      </c>
      <c r="H19" s="180" t="str">
        <f aca="false">IF((D19="h"),F19," ")</f>
        <v> </v>
      </c>
      <c r="I19" s="180" t="str">
        <f aca="false">IF((D19="r"),F19," ")</f>
        <v> </v>
      </c>
      <c r="J19" s="180" t="str">
        <f aca="false">IF((D19="t"),F19," ")</f>
        <v> </v>
      </c>
      <c r="K19" s="180" t="str">
        <f aca="false">IF((D19="e"),F19," ")</f>
        <v> </v>
      </c>
      <c r="L19" s="180" t="str">
        <f aca="false">IF((D19="p"),F19," ")</f>
        <v> </v>
      </c>
      <c r="M19" s="180" t="str">
        <f aca="false">IF((D19="g"),F19," ")</f>
        <v> </v>
      </c>
      <c r="N19" s="180" t="str">
        <f aca="false">IF((D19="a"),F19," ")</f>
        <v> </v>
      </c>
      <c r="O19" s="180" t="str">
        <f aca="false">IF((D19="l"),F19," ")</f>
        <v> </v>
      </c>
      <c r="P19" s="180" t="str">
        <f aca="false">IF((D19="i"),F19," ")</f>
        <v> </v>
      </c>
      <c r="Q19" s="180" t="str">
        <f aca="false">IF((D19="b"),F19," ")</f>
        <v> </v>
      </c>
      <c r="R19" s="180" t="str">
        <f aca="false">IF((D19="o"),F19," ")</f>
        <v> </v>
      </c>
      <c r="S19" s="180" t="str">
        <f aca="false">IF((D19="f"),F19," ")</f>
        <v> </v>
      </c>
      <c r="U19" s="371"/>
    </row>
    <row r="20" customFormat="false" ht="12.75" hidden="false" customHeight="false" outlineLevel="0" collapsed="false">
      <c r="G20" s="180" t="str">
        <f aca="false">IF((D20="d"),F20," ")</f>
        <v> </v>
      </c>
      <c r="H20" s="180" t="str">
        <f aca="false">IF((D20="h"),F20," ")</f>
        <v> </v>
      </c>
      <c r="I20" s="180" t="str">
        <f aca="false">IF((D20="r"),F20," ")</f>
        <v> </v>
      </c>
      <c r="J20" s="180" t="str">
        <f aca="false">IF((D20="t"),F20," ")</f>
        <v> </v>
      </c>
      <c r="K20" s="180" t="str">
        <f aca="false">IF((D20="e"),F20," ")</f>
        <v> </v>
      </c>
      <c r="L20" s="180" t="str">
        <f aca="false">IF((D20="p"),F20," ")</f>
        <v> </v>
      </c>
      <c r="M20" s="180" t="str">
        <f aca="false">IF((D20="g"),F20," ")</f>
        <v> </v>
      </c>
      <c r="N20" s="180" t="str">
        <f aca="false">IF((D20="a"),F20," ")</f>
        <v> </v>
      </c>
      <c r="O20" s="180" t="str">
        <f aca="false">IF((D20="l"),F20," ")</f>
        <v> </v>
      </c>
      <c r="P20" s="180" t="str">
        <f aca="false">IF((D20="i"),F20," ")</f>
        <v> </v>
      </c>
      <c r="Q20" s="180" t="str">
        <f aca="false">IF((D20="b"),F20," ")</f>
        <v> </v>
      </c>
      <c r="R20" s="180" t="str">
        <f aca="false">IF((D20="o"),F20," ")</f>
        <v> </v>
      </c>
      <c r="S20" s="180" t="str">
        <f aca="false">IF((D20="f"),F20," ")</f>
        <v> </v>
      </c>
      <c r="U20" s="371"/>
    </row>
    <row r="21" customFormat="false" ht="12.75" hidden="false" customHeight="false" outlineLevel="0" collapsed="false">
      <c r="G21" s="180" t="str">
        <f aca="false">IF((D21="d"),F21," ")</f>
        <v> </v>
      </c>
      <c r="H21" s="180" t="str">
        <f aca="false">IF((D21="h"),F21," ")</f>
        <v> </v>
      </c>
      <c r="I21" s="180" t="str">
        <f aca="false">IF((D21="r"),F21," ")</f>
        <v> </v>
      </c>
      <c r="J21" s="180" t="str">
        <f aca="false">IF((D21="t"),F21," ")</f>
        <v> </v>
      </c>
      <c r="K21" s="180" t="str">
        <f aca="false">IF((D21="e"),F21," ")</f>
        <v> </v>
      </c>
      <c r="L21" s="180" t="str">
        <f aca="false">IF((D21="p"),F21," ")</f>
        <v> </v>
      </c>
      <c r="M21" s="180" t="str">
        <f aca="false">IF((D21="g"),F21," ")</f>
        <v> </v>
      </c>
      <c r="N21" s="180" t="str">
        <f aca="false">IF((D21="a"),F21," ")</f>
        <v> </v>
      </c>
      <c r="O21" s="180" t="str">
        <f aca="false">IF((D21="l"),F21," ")</f>
        <v> </v>
      </c>
      <c r="P21" s="180" t="str">
        <f aca="false">IF((D21="i"),F21," ")</f>
        <v> </v>
      </c>
      <c r="Q21" s="180" t="str">
        <f aca="false">IF((D21="b"),F21," ")</f>
        <v> </v>
      </c>
      <c r="R21" s="180" t="str">
        <f aca="false">IF((D21="o"),F21," ")</f>
        <v> </v>
      </c>
      <c r="S21" s="180" t="str">
        <f aca="false">IF((D21="f"),F21," ")</f>
        <v> </v>
      </c>
      <c r="U21" s="371"/>
    </row>
    <row r="22" customFormat="false" ht="12.75" hidden="false" customHeight="false" outlineLevel="0" collapsed="false">
      <c r="G22" s="180" t="str">
        <f aca="false">IF((D22="d"),F22," ")</f>
        <v> </v>
      </c>
      <c r="H22" s="180" t="str">
        <f aca="false">IF((D22="h"),F22," ")</f>
        <v> </v>
      </c>
      <c r="I22" s="180" t="str">
        <f aca="false">IF((D22="r"),F22," ")</f>
        <v> </v>
      </c>
      <c r="J22" s="180" t="str">
        <f aca="false">IF((D22="t"),F22," ")</f>
        <v> </v>
      </c>
      <c r="K22" s="180" t="str">
        <f aca="false">IF((D22="e"),F22," ")</f>
        <v> </v>
      </c>
      <c r="L22" s="180" t="str">
        <f aca="false">IF((D22="p"),F22," ")</f>
        <v> </v>
      </c>
      <c r="M22" s="180" t="str">
        <f aca="false">IF((D22="g"),F22," ")</f>
        <v> </v>
      </c>
      <c r="N22" s="180" t="str">
        <f aca="false">IF((D22="a"),F22," ")</f>
        <v> </v>
      </c>
      <c r="O22" s="180" t="str">
        <f aca="false">IF((D22="l"),F22," ")</f>
        <v> </v>
      </c>
      <c r="P22" s="180" t="str">
        <f aca="false">IF((D22="i"),F22," ")</f>
        <v> </v>
      </c>
      <c r="Q22" s="180" t="str">
        <f aca="false">IF((D22="b"),F22," ")</f>
        <v> </v>
      </c>
      <c r="R22" s="180" t="str">
        <f aca="false">IF((D22="o"),F22," ")</f>
        <v> </v>
      </c>
      <c r="S22" s="180" t="str">
        <f aca="false">IF((D22="f"),F22," ")</f>
        <v> </v>
      </c>
      <c r="U22" s="371"/>
    </row>
    <row r="23" customFormat="false" ht="12.75" hidden="false" customHeight="false" outlineLevel="0" collapsed="false">
      <c r="G23" s="180" t="str">
        <f aca="false">IF((D23="d"),F23," ")</f>
        <v> </v>
      </c>
      <c r="H23" s="180" t="str">
        <f aca="false">IF((D23="h"),F23," ")</f>
        <v> </v>
      </c>
      <c r="I23" s="180" t="str">
        <f aca="false">IF((D23="r"),F23," ")</f>
        <v> </v>
      </c>
      <c r="J23" s="180" t="str">
        <f aca="false">IF((D23="t"),F23," ")</f>
        <v> </v>
      </c>
      <c r="K23" s="180" t="str">
        <f aca="false">IF((D23="e"),F23," ")</f>
        <v> </v>
      </c>
      <c r="L23" s="180" t="str">
        <f aca="false">IF((D23="p"),F23," ")</f>
        <v> </v>
      </c>
      <c r="M23" s="180" t="str">
        <f aca="false">IF((D23="g"),F23," ")</f>
        <v> </v>
      </c>
      <c r="N23" s="180" t="str">
        <f aca="false">IF((D23="a"),F23," ")</f>
        <v> </v>
      </c>
      <c r="O23" s="180" t="str">
        <f aca="false">IF((D23="l"),F23," ")</f>
        <v> </v>
      </c>
      <c r="P23" s="180" t="str">
        <f aca="false">IF((D23="i"),F23," ")</f>
        <v> </v>
      </c>
      <c r="Q23" s="180" t="str">
        <f aca="false">IF((D23="b"),F23," ")</f>
        <v> </v>
      </c>
      <c r="R23" s="180" t="str">
        <f aca="false">IF((D23="o"),F23," ")</f>
        <v> </v>
      </c>
      <c r="S23" s="180" t="str">
        <f aca="false">IF((D23="f"),F23," ")</f>
        <v> </v>
      </c>
      <c r="U23" s="371"/>
    </row>
    <row r="24" customFormat="false" ht="12.75" hidden="false" customHeight="false" outlineLevel="0" collapsed="false">
      <c r="G24" s="180" t="str">
        <f aca="false">IF((D24="d"),F24," ")</f>
        <v> </v>
      </c>
      <c r="H24" s="180" t="str">
        <f aca="false">IF((D24="h"),F24," ")</f>
        <v> </v>
      </c>
      <c r="I24" s="180" t="str">
        <f aca="false">IF((D24="r"),F24," ")</f>
        <v> </v>
      </c>
      <c r="J24" s="180" t="str">
        <f aca="false">IF((D24="t"),F24," ")</f>
        <v> </v>
      </c>
      <c r="K24" s="180" t="str">
        <f aca="false">IF((D24="e"),F24," ")</f>
        <v> </v>
      </c>
      <c r="L24" s="180" t="str">
        <f aca="false">IF((D24="p"),F24," ")</f>
        <v> </v>
      </c>
      <c r="M24" s="180" t="str">
        <f aca="false">IF((D24="g"),F24," ")</f>
        <v> </v>
      </c>
      <c r="N24" s="180" t="str">
        <f aca="false">IF((D24="a"),F24," ")</f>
        <v> </v>
      </c>
      <c r="O24" s="180" t="str">
        <f aca="false">IF((D24="l"),F24," ")</f>
        <v> </v>
      </c>
      <c r="P24" s="180" t="str">
        <f aca="false">IF((D24="i"),F24," ")</f>
        <v> </v>
      </c>
      <c r="Q24" s="180" t="str">
        <f aca="false">IF((D24="b"),F24," ")</f>
        <v> </v>
      </c>
      <c r="R24" s="180" t="str">
        <f aca="false">IF((D24="o"),F24," ")</f>
        <v> </v>
      </c>
      <c r="S24" s="180" t="str">
        <f aca="false">IF((D24="f"),F24," ")</f>
        <v> </v>
      </c>
      <c r="U24" s="371"/>
    </row>
    <row r="25" customFormat="false" ht="12.75" hidden="false" customHeight="false" outlineLevel="0" collapsed="false">
      <c r="G25" s="180" t="str">
        <f aca="false">IF((D25="d"),F25," ")</f>
        <v> </v>
      </c>
      <c r="H25" s="180" t="str">
        <f aca="false">IF((D25="h"),F25," ")</f>
        <v> </v>
      </c>
      <c r="I25" s="180" t="str">
        <f aca="false">IF((D25="r"),F25," ")</f>
        <v> </v>
      </c>
      <c r="J25" s="180" t="str">
        <f aca="false">IF((D25="t"),F25," ")</f>
        <v> </v>
      </c>
      <c r="K25" s="180" t="str">
        <f aca="false">IF((D25="e"),F25," ")</f>
        <v> </v>
      </c>
      <c r="L25" s="180" t="str">
        <f aca="false">IF((D25="p"),F25," ")</f>
        <v> </v>
      </c>
      <c r="M25" s="180" t="str">
        <f aca="false">IF((D25="g"),F25," ")</f>
        <v> </v>
      </c>
      <c r="N25" s="180" t="str">
        <f aca="false">IF((D25="a"),F25," ")</f>
        <v> </v>
      </c>
      <c r="O25" s="180" t="str">
        <f aca="false">IF((D25="l"),F25," ")</f>
        <v> </v>
      </c>
      <c r="P25" s="180" t="str">
        <f aca="false">IF((D25="i"),F25," ")</f>
        <v> </v>
      </c>
      <c r="Q25" s="180" t="str">
        <f aca="false">IF((D25="b"),F25," ")</f>
        <v> </v>
      </c>
      <c r="R25" s="180" t="str">
        <f aca="false">IF((D25="o"),F25," ")</f>
        <v> </v>
      </c>
      <c r="S25" s="180" t="str">
        <f aca="false">IF((D25="f"),F25," ")</f>
        <v> </v>
      </c>
      <c r="U25" s="371"/>
    </row>
    <row r="26" customFormat="false" ht="12.75" hidden="false" customHeight="false" outlineLevel="0" collapsed="false">
      <c r="G26" s="180" t="str">
        <f aca="false">IF((D26="d"),F26," ")</f>
        <v> </v>
      </c>
      <c r="H26" s="180" t="str">
        <f aca="false">IF((D26="h"),F26," ")</f>
        <v> </v>
      </c>
      <c r="I26" s="180" t="str">
        <f aca="false">IF((D26="r"),F26," ")</f>
        <v> </v>
      </c>
      <c r="J26" s="180" t="str">
        <f aca="false">IF((D26="t"),F26," ")</f>
        <v> </v>
      </c>
      <c r="K26" s="180" t="str">
        <f aca="false">IF((D26="e"),F26," ")</f>
        <v> </v>
      </c>
      <c r="L26" s="180" t="str">
        <f aca="false">IF((D26="p"),F26," ")</f>
        <v> </v>
      </c>
      <c r="M26" s="180" t="str">
        <f aca="false">IF((D26="g"),F26," ")</f>
        <v> </v>
      </c>
      <c r="N26" s="180" t="str">
        <f aca="false">IF((D26="a"),F26," ")</f>
        <v> </v>
      </c>
      <c r="O26" s="180" t="str">
        <f aca="false">IF((D26="l"),F26," ")</f>
        <v> </v>
      </c>
      <c r="P26" s="180" t="str">
        <f aca="false">IF((D26="i"),F26," ")</f>
        <v> </v>
      </c>
      <c r="Q26" s="180" t="str">
        <f aca="false">IF((D26="b"),F26," ")</f>
        <v> </v>
      </c>
      <c r="R26" s="180" t="str">
        <f aca="false">IF((D26="o"),F26," ")</f>
        <v> </v>
      </c>
      <c r="S26" s="180" t="str">
        <f aca="false">IF((D26="f"),F26," ")</f>
        <v> </v>
      </c>
      <c r="U26" s="371"/>
    </row>
    <row r="27" customFormat="false" ht="12.75" hidden="false" customHeight="false" outlineLevel="0" collapsed="false">
      <c r="G27" s="180" t="str">
        <f aca="false">IF((D27="d"),F27," ")</f>
        <v> </v>
      </c>
      <c r="H27" s="180" t="str">
        <f aca="false">IF((D27="h"),F27," ")</f>
        <v> </v>
      </c>
      <c r="I27" s="180" t="str">
        <f aca="false">IF((D27="r"),F27," ")</f>
        <v> </v>
      </c>
      <c r="J27" s="180" t="str">
        <f aca="false">IF((D27="t"),F27," ")</f>
        <v> </v>
      </c>
      <c r="K27" s="180" t="str">
        <f aca="false">IF((D27="e"),F27," ")</f>
        <v> </v>
      </c>
      <c r="L27" s="180" t="str">
        <f aca="false">IF((D27="p"),F27," ")</f>
        <v> </v>
      </c>
      <c r="M27" s="180" t="str">
        <f aca="false">IF((D27="g"),F27," ")</f>
        <v> </v>
      </c>
      <c r="N27" s="180" t="str">
        <f aca="false">IF((D27="a"),F27," ")</f>
        <v> </v>
      </c>
      <c r="O27" s="180" t="str">
        <f aca="false">IF((D27="l"),F27," ")</f>
        <v> </v>
      </c>
      <c r="P27" s="180" t="str">
        <f aca="false">IF((D27="i"),F27," ")</f>
        <v> </v>
      </c>
      <c r="Q27" s="180" t="str">
        <f aca="false">IF((D27="b"),F27," ")</f>
        <v> </v>
      </c>
      <c r="R27" s="180" t="str">
        <f aca="false">IF((D27="o"),F27," ")</f>
        <v> </v>
      </c>
      <c r="S27" s="180" t="str">
        <f aca="false">IF((D27="f"),F27," ")</f>
        <v> </v>
      </c>
      <c r="U27" s="371"/>
    </row>
    <row r="28" customFormat="false" ht="12.75" hidden="false" customHeight="false" outlineLevel="0" collapsed="false">
      <c r="G28" s="180" t="str">
        <f aca="false">IF((D28="d"),F28," ")</f>
        <v> </v>
      </c>
      <c r="H28" s="180" t="str">
        <f aca="false">IF((D28="h"),F28," ")</f>
        <v> </v>
      </c>
      <c r="I28" s="180" t="str">
        <f aca="false">IF((D28="r"),F28," ")</f>
        <v> </v>
      </c>
      <c r="J28" s="180" t="str">
        <f aca="false">IF((D28="t"),F28," ")</f>
        <v> </v>
      </c>
      <c r="K28" s="180" t="str">
        <f aca="false">IF((D28="e"),F28," ")</f>
        <v> </v>
      </c>
      <c r="L28" s="180" t="str">
        <f aca="false">IF((D28="p"),F28," ")</f>
        <v> </v>
      </c>
      <c r="M28" s="180" t="str">
        <f aca="false">IF((D28="g"),F28," ")</f>
        <v> </v>
      </c>
      <c r="N28" s="180" t="str">
        <f aca="false">IF((D28="a"),F28," ")</f>
        <v> </v>
      </c>
      <c r="O28" s="180" t="str">
        <f aca="false">IF((D28="l"),F28," ")</f>
        <v> </v>
      </c>
      <c r="P28" s="180" t="str">
        <f aca="false">IF((D28="i"),F28," ")</f>
        <v> </v>
      </c>
      <c r="Q28" s="180" t="str">
        <f aca="false">IF((D28="b"),F28," ")</f>
        <v> </v>
      </c>
      <c r="R28" s="180" t="str">
        <f aca="false">IF((D28="o"),F28," ")</f>
        <v> </v>
      </c>
      <c r="S28" s="180" t="str">
        <f aca="false">IF((D28="f"),F28," ")</f>
        <v> </v>
      </c>
      <c r="U28" s="371"/>
    </row>
    <row r="29" customFormat="false" ht="12.75" hidden="false" customHeight="false" outlineLevel="0" collapsed="false">
      <c r="G29" s="180" t="str">
        <f aca="false">IF((D29="d"),F29," ")</f>
        <v> </v>
      </c>
      <c r="H29" s="180" t="str">
        <f aca="false">IF((D29="h"),F29," ")</f>
        <v> </v>
      </c>
      <c r="I29" s="180" t="str">
        <f aca="false">IF((D29="r"),F29," ")</f>
        <v> </v>
      </c>
      <c r="J29" s="180" t="str">
        <f aca="false">IF((D29="t"),F29," ")</f>
        <v> </v>
      </c>
      <c r="K29" s="180" t="str">
        <f aca="false">IF((D29="e"),F29," ")</f>
        <v> </v>
      </c>
      <c r="L29" s="180" t="str">
        <f aca="false">IF((D29="p"),F29," ")</f>
        <v> </v>
      </c>
      <c r="M29" s="180" t="str">
        <f aca="false">IF((D29="g"),F29," ")</f>
        <v> </v>
      </c>
      <c r="N29" s="180" t="str">
        <f aca="false">IF((D29="a"),F29," ")</f>
        <v> </v>
      </c>
      <c r="O29" s="180" t="str">
        <f aca="false">IF((D29="l"),F29," ")</f>
        <v> </v>
      </c>
      <c r="P29" s="180" t="str">
        <f aca="false">IF((D29="i"),F29," ")</f>
        <v> </v>
      </c>
      <c r="Q29" s="180" t="str">
        <f aca="false">IF((D29="b"),F29," ")</f>
        <v> </v>
      </c>
      <c r="R29" s="180" t="str">
        <f aca="false">IF((D29="o"),F29," ")</f>
        <v> </v>
      </c>
      <c r="S29" s="180" t="str">
        <f aca="false">IF((D29="f"),F29," ")</f>
        <v> </v>
      </c>
      <c r="U29" s="371"/>
    </row>
    <row r="30" customFormat="false" ht="12.75" hidden="false" customHeight="false" outlineLevel="0" collapsed="false">
      <c r="G30" s="180" t="str">
        <f aca="false">IF((D30="d"),F30," ")</f>
        <v> </v>
      </c>
      <c r="H30" s="180" t="str">
        <f aca="false">IF((D30="h"),F30," ")</f>
        <v> </v>
      </c>
      <c r="I30" s="180" t="str">
        <f aca="false">IF((D30="r"),F30," ")</f>
        <v> </v>
      </c>
      <c r="J30" s="180" t="str">
        <f aca="false">IF((D30="t"),F30," ")</f>
        <v> </v>
      </c>
      <c r="K30" s="180" t="str">
        <f aca="false">IF((D30="e"),F30," ")</f>
        <v> </v>
      </c>
      <c r="L30" s="180" t="str">
        <f aca="false">IF((D30="p"),F30," ")</f>
        <v> </v>
      </c>
      <c r="M30" s="180" t="str">
        <f aca="false">IF((D30="g"),F30," ")</f>
        <v> </v>
      </c>
      <c r="N30" s="180" t="str">
        <f aca="false">IF((D30="a"),F30," ")</f>
        <v> </v>
      </c>
      <c r="O30" s="180" t="str">
        <f aca="false">IF((D30="l"),F30," ")</f>
        <v> </v>
      </c>
      <c r="P30" s="180" t="str">
        <f aca="false">IF((D30="i"),F30," ")</f>
        <v> </v>
      </c>
      <c r="Q30" s="180" t="str">
        <f aca="false">IF((D30="b"),F30," ")</f>
        <v> </v>
      </c>
      <c r="R30" s="180" t="str">
        <f aca="false">IF((D30="o"),F30," ")</f>
        <v> </v>
      </c>
      <c r="S30" s="180" t="str">
        <f aca="false">IF((D30="f"),F30," ")</f>
        <v> </v>
      </c>
      <c r="U30" s="371"/>
    </row>
    <row r="31" customFormat="false" ht="12.75" hidden="false" customHeight="false" outlineLevel="0" collapsed="false">
      <c r="G31" s="180" t="str">
        <f aca="false">IF((D31="d"),F31," ")</f>
        <v> </v>
      </c>
      <c r="H31" s="180" t="str">
        <f aca="false">IF((D31="h"),F31," ")</f>
        <v> </v>
      </c>
      <c r="I31" s="180" t="str">
        <f aca="false">IF((D31="r"),F31," ")</f>
        <v> </v>
      </c>
      <c r="J31" s="180" t="str">
        <f aca="false">IF((D31="t"),F31," ")</f>
        <v> </v>
      </c>
      <c r="K31" s="180" t="str">
        <f aca="false">IF((D31="e"),F31," ")</f>
        <v> </v>
      </c>
      <c r="L31" s="180" t="str">
        <f aca="false">IF((D31="p"),F31," ")</f>
        <v> </v>
      </c>
      <c r="M31" s="180" t="str">
        <f aca="false">IF((D31="g"),F31," ")</f>
        <v> </v>
      </c>
      <c r="N31" s="180" t="str">
        <f aca="false">IF((D31="a"),F31," ")</f>
        <v> </v>
      </c>
      <c r="O31" s="180" t="str">
        <f aca="false">IF((D31="l"),F31," ")</f>
        <v> </v>
      </c>
      <c r="P31" s="180" t="str">
        <f aca="false">IF((D31="i"),F31," ")</f>
        <v> </v>
      </c>
      <c r="Q31" s="180" t="str">
        <f aca="false">IF((D31="b"),F31," ")</f>
        <v> </v>
      </c>
      <c r="R31" s="180" t="str">
        <f aca="false">IF((D31="o"),F31," ")</f>
        <v> </v>
      </c>
      <c r="S31" s="180" t="str">
        <f aca="false">IF((D31="f"),F31," ")</f>
        <v> </v>
      </c>
      <c r="U31" s="371"/>
    </row>
    <row r="32" customFormat="false" ht="12.75" hidden="false" customHeight="false" outlineLevel="0" collapsed="false">
      <c r="G32" s="180" t="str">
        <f aca="false">IF((D32="d"),F32," ")</f>
        <v> </v>
      </c>
      <c r="H32" s="180" t="str">
        <f aca="false">IF((D32="h"),F32," ")</f>
        <v> </v>
      </c>
      <c r="I32" s="180" t="str">
        <f aca="false">IF((D32="r"),F32," ")</f>
        <v> </v>
      </c>
      <c r="J32" s="180" t="str">
        <f aca="false">IF((D32="t"),F32," ")</f>
        <v> </v>
      </c>
      <c r="K32" s="180" t="str">
        <f aca="false">IF((D32="e"),F32," ")</f>
        <v> </v>
      </c>
      <c r="L32" s="180" t="str">
        <f aca="false">IF((D32="p"),F32," ")</f>
        <v> </v>
      </c>
      <c r="M32" s="180" t="str">
        <f aca="false">IF((D32="g"),F32," ")</f>
        <v> </v>
      </c>
      <c r="N32" s="180" t="str">
        <f aca="false">IF((D32="a"),F32," ")</f>
        <v> </v>
      </c>
      <c r="O32" s="180" t="str">
        <f aca="false">IF((D32="l"),F32," ")</f>
        <v> </v>
      </c>
      <c r="P32" s="180" t="str">
        <f aca="false">IF((D32="i"),F32," ")</f>
        <v> </v>
      </c>
      <c r="Q32" s="180" t="str">
        <f aca="false">IF((D32="b"),F32," ")</f>
        <v> </v>
      </c>
      <c r="R32" s="180" t="str">
        <f aca="false">IF((D32="o"),F32," ")</f>
        <v> </v>
      </c>
      <c r="S32" s="180" t="str">
        <f aca="false">IF((D32="f"),F32," ")</f>
        <v> </v>
      </c>
      <c r="U32" s="371"/>
    </row>
    <row r="33" customFormat="false" ht="12.75" hidden="false" customHeight="false" outlineLevel="0" collapsed="false">
      <c r="G33" s="180" t="str">
        <f aca="false">IF((D33="d"),F33," ")</f>
        <v> </v>
      </c>
      <c r="H33" s="180" t="str">
        <f aca="false">IF((D33="h"),F33," ")</f>
        <v> </v>
      </c>
      <c r="I33" s="180" t="str">
        <f aca="false">IF((D33="r"),F33," ")</f>
        <v> </v>
      </c>
      <c r="J33" s="180" t="str">
        <f aca="false">IF((D33="t"),F33," ")</f>
        <v> </v>
      </c>
      <c r="K33" s="180" t="str">
        <f aca="false">IF((D33="e"),F33," ")</f>
        <v> </v>
      </c>
      <c r="L33" s="180" t="str">
        <f aca="false">IF((D33="p"),F33," ")</f>
        <v> </v>
      </c>
      <c r="M33" s="180" t="str">
        <f aca="false">IF((D33="g"),F33," ")</f>
        <v> </v>
      </c>
      <c r="N33" s="180" t="str">
        <f aca="false">IF((D33="a"),F33," ")</f>
        <v> </v>
      </c>
      <c r="O33" s="180" t="str">
        <f aca="false">IF((D33="l"),F33," ")</f>
        <v> </v>
      </c>
      <c r="P33" s="180" t="str">
        <f aca="false">IF((D33="i"),F33," ")</f>
        <v> </v>
      </c>
      <c r="Q33" s="180" t="str">
        <f aca="false">IF((D33="b"),F33," ")</f>
        <v> </v>
      </c>
      <c r="R33" s="180" t="str">
        <f aca="false">IF((D33="o"),F33," ")</f>
        <v> </v>
      </c>
      <c r="S33" s="180" t="str">
        <f aca="false">IF((D33="f"),F33," ")</f>
        <v> </v>
      </c>
      <c r="U33" s="371"/>
    </row>
    <row r="34" customFormat="false" ht="12.75" hidden="false" customHeight="false" outlineLevel="0" collapsed="false">
      <c r="G34" s="180" t="str">
        <f aca="false">IF((D34="d"),F34," ")</f>
        <v> </v>
      </c>
      <c r="H34" s="180" t="str">
        <f aca="false">IF((D34="h"),F34," ")</f>
        <v> </v>
      </c>
      <c r="I34" s="180" t="str">
        <f aca="false">IF((D34="r"),F34," ")</f>
        <v> </v>
      </c>
      <c r="J34" s="180" t="str">
        <f aca="false">IF((D34="t"),F34," ")</f>
        <v> </v>
      </c>
      <c r="K34" s="180" t="str">
        <f aca="false">IF((D34="e"),F34," ")</f>
        <v> </v>
      </c>
      <c r="L34" s="180" t="str">
        <f aca="false">IF((D34="p"),F34," ")</f>
        <v> </v>
      </c>
      <c r="M34" s="180" t="str">
        <f aca="false">IF((D34="g"),F34," ")</f>
        <v> </v>
      </c>
      <c r="N34" s="180" t="str">
        <f aca="false">IF((D34="a"),F34," ")</f>
        <v> </v>
      </c>
      <c r="O34" s="180" t="str">
        <f aca="false">IF((D34="l"),F34," ")</f>
        <v> </v>
      </c>
      <c r="P34" s="180" t="str">
        <f aca="false">IF((D34="i"),F34," ")</f>
        <v> </v>
      </c>
      <c r="Q34" s="180" t="str">
        <f aca="false">IF((D34="b"),F34," ")</f>
        <v> </v>
      </c>
      <c r="R34" s="180" t="str">
        <f aca="false">IF((D34="o"),F34," ")</f>
        <v> </v>
      </c>
      <c r="S34" s="180" t="str">
        <f aca="false">IF((D34="f"),F34," ")</f>
        <v> </v>
      </c>
      <c r="U34" s="371"/>
    </row>
    <row r="35" customFormat="false" ht="12.75" hidden="false" customHeight="false" outlineLevel="0" collapsed="false">
      <c r="G35" s="180" t="str">
        <f aca="false">IF((D35="d"),F35," ")</f>
        <v> </v>
      </c>
      <c r="H35" s="180" t="str">
        <f aca="false">IF((D35="h"),F35," ")</f>
        <v> </v>
      </c>
      <c r="I35" s="180" t="str">
        <f aca="false">IF((D35="r"),F35," ")</f>
        <v> </v>
      </c>
      <c r="J35" s="180" t="str">
        <f aca="false">IF((D35="t"),F35," ")</f>
        <v> </v>
      </c>
      <c r="K35" s="180" t="str">
        <f aca="false">IF((D35="e"),F35," ")</f>
        <v> </v>
      </c>
      <c r="L35" s="180" t="str">
        <f aca="false">IF((D35="p"),F35," ")</f>
        <v> </v>
      </c>
      <c r="M35" s="180" t="str">
        <f aca="false">IF((D35="g"),F35," ")</f>
        <v> </v>
      </c>
      <c r="N35" s="180" t="str">
        <f aca="false">IF((D35="a"),F35," ")</f>
        <v> </v>
      </c>
      <c r="O35" s="180" t="str">
        <f aca="false">IF((D35="l"),F35," ")</f>
        <v> </v>
      </c>
      <c r="P35" s="180" t="str">
        <f aca="false">IF((D35="i"),F35," ")</f>
        <v> </v>
      </c>
      <c r="Q35" s="180" t="str">
        <f aca="false">IF((D35="b"),F35," ")</f>
        <v> </v>
      </c>
      <c r="R35" s="180" t="str">
        <f aca="false">IF((D35="o"),F35," ")</f>
        <v> </v>
      </c>
      <c r="S35" s="180" t="str">
        <f aca="false">IF((D35="f"),F35," ")</f>
        <v> </v>
      </c>
      <c r="U35" s="371"/>
    </row>
    <row r="36" customFormat="false" ht="12.75" hidden="false" customHeight="false" outlineLevel="0" collapsed="false">
      <c r="G36" s="180" t="str">
        <f aca="false">IF((D36="d"),F36," ")</f>
        <v> </v>
      </c>
      <c r="H36" s="180" t="str">
        <f aca="false">IF((D36="h"),F36," ")</f>
        <v> </v>
      </c>
      <c r="I36" s="180" t="str">
        <f aca="false">IF((D36="r"),F36," ")</f>
        <v> </v>
      </c>
      <c r="J36" s="180" t="str">
        <f aca="false">IF((D36="t"),F36," ")</f>
        <v> </v>
      </c>
      <c r="K36" s="180" t="str">
        <f aca="false">IF((D36="e"),F36," ")</f>
        <v> </v>
      </c>
      <c r="L36" s="180" t="str">
        <f aca="false">IF((D36="p"),F36," ")</f>
        <v> </v>
      </c>
      <c r="M36" s="180" t="str">
        <f aca="false">IF((D36="g"),F36," ")</f>
        <v> </v>
      </c>
      <c r="N36" s="180" t="str">
        <f aca="false">IF((D36="a"),F36," ")</f>
        <v> </v>
      </c>
      <c r="O36" s="180" t="str">
        <f aca="false">IF((D36="l"),F36," ")</f>
        <v> </v>
      </c>
      <c r="P36" s="180" t="str">
        <f aca="false">IF((D36="i"),F36," ")</f>
        <v> </v>
      </c>
      <c r="Q36" s="180" t="str">
        <f aca="false">IF((D36="b"),F36," ")</f>
        <v> </v>
      </c>
      <c r="R36" s="180" t="str">
        <f aca="false">IF((D36="o"),F36," ")</f>
        <v> </v>
      </c>
      <c r="S36" s="180" t="str">
        <f aca="false">IF((D36="f"),F36," ")</f>
        <v> </v>
      </c>
      <c r="U36" s="371"/>
    </row>
    <row r="37" customFormat="false" ht="12.75" hidden="false" customHeight="false" outlineLevel="0" collapsed="false">
      <c r="D37" s="371" t="str">
        <f aca="false">IF((F37&lt;&gt;0),"Enter Letter"," ")</f>
        <v> </v>
      </c>
      <c r="G37" s="180" t="str">
        <f aca="false">IF((D37="d"),F37," ")</f>
        <v> </v>
      </c>
      <c r="H37" s="180" t="str">
        <f aca="false">IF((D37="h"),F37," ")</f>
        <v> </v>
      </c>
      <c r="I37" s="180" t="str">
        <f aca="false">IF((D37="r"),F37," ")</f>
        <v> </v>
      </c>
      <c r="J37" s="180" t="str">
        <f aca="false">IF((D37="t"),F37," ")</f>
        <v> </v>
      </c>
      <c r="K37" s="180" t="str">
        <f aca="false">IF((D37="e"),F37," ")</f>
        <v> </v>
      </c>
      <c r="L37" s="180" t="str">
        <f aca="false">IF((D37="p"),F37," ")</f>
        <v> </v>
      </c>
      <c r="M37" s="180" t="str">
        <f aca="false">IF((D37="g"),F37," ")</f>
        <v> </v>
      </c>
      <c r="N37" s="180" t="str">
        <f aca="false">IF((D37="a"),F37," ")</f>
        <v> </v>
      </c>
      <c r="O37" s="180" t="str">
        <f aca="false">IF((D37="l"),F37," ")</f>
        <v> </v>
      </c>
      <c r="P37" s="180" t="str">
        <f aca="false">IF((D37="i"),F37," ")</f>
        <v> </v>
      </c>
      <c r="Q37" s="180" t="str">
        <f aca="false">IF((D37="b"),F37," ")</f>
        <v> </v>
      </c>
      <c r="R37" s="180" t="str">
        <f aca="false">IF((D37="o"),F37," ")</f>
        <v> </v>
      </c>
      <c r="S37" s="180" t="str">
        <f aca="false">IF((D37="f"),F37," ")</f>
        <v> </v>
      </c>
      <c r="U37" s="371"/>
    </row>
    <row r="38" customFormat="false" ht="12.75" hidden="false" customHeight="false" outlineLevel="0" collapsed="false">
      <c r="D38" s="371" t="str">
        <f aca="false">IF((F38&lt;&gt;0),"Enter Letter"," ")</f>
        <v> </v>
      </c>
      <c r="G38" s="180" t="str">
        <f aca="false">IF((D38="d"),F38," ")</f>
        <v> </v>
      </c>
      <c r="H38" s="180" t="str">
        <f aca="false">IF((D38="h"),F38," ")</f>
        <v> </v>
      </c>
      <c r="I38" s="180" t="str">
        <f aca="false">IF((D38="r"),F38," ")</f>
        <v> </v>
      </c>
      <c r="J38" s="180" t="str">
        <f aca="false">IF((D38="t"),F38," ")</f>
        <v> </v>
      </c>
      <c r="K38" s="180" t="str">
        <f aca="false">IF((D38="e"),F38," ")</f>
        <v> </v>
      </c>
      <c r="L38" s="180" t="str">
        <f aca="false">IF((D38="p"),F38," ")</f>
        <v> </v>
      </c>
      <c r="M38" s="180" t="str">
        <f aca="false">IF((D38="g"),F38," ")</f>
        <v> </v>
      </c>
      <c r="N38" s="180" t="str">
        <f aca="false">IF((D38="a"),F38," ")</f>
        <v> </v>
      </c>
      <c r="O38" s="180" t="str">
        <f aca="false">IF((D38="l"),F38," ")</f>
        <v> </v>
      </c>
      <c r="P38" s="180" t="str">
        <f aca="false">IF((D38="i"),F38," ")</f>
        <v> </v>
      </c>
      <c r="Q38" s="180" t="str">
        <f aca="false">IF((D38="b"),F38," ")</f>
        <v> </v>
      </c>
      <c r="R38" s="180" t="str">
        <f aca="false">IF((D38="o"),F38," ")</f>
        <v> </v>
      </c>
      <c r="S38" s="180" t="str">
        <f aca="false">IF((D38="f"),F38," ")</f>
        <v> </v>
      </c>
      <c r="U38" s="371"/>
    </row>
    <row r="39" customFormat="false" ht="12.75" hidden="false" customHeight="false" outlineLevel="0" collapsed="false">
      <c r="D39" s="371" t="str">
        <f aca="false">IF((F39&lt;&gt;0),"Enter Letter"," ")</f>
        <v> </v>
      </c>
      <c r="G39" s="180" t="str">
        <f aca="false">IF((D39="d"),F39," ")</f>
        <v> </v>
      </c>
      <c r="H39" s="180" t="str">
        <f aca="false">IF((D39="h"),F39," ")</f>
        <v> </v>
      </c>
      <c r="I39" s="180" t="str">
        <f aca="false">IF((D39="r"),F39," ")</f>
        <v> </v>
      </c>
      <c r="J39" s="180" t="str">
        <f aca="false">IF((D39="t"),F39," ")</f>
        <v> </v>
      </c>
      <c r="K39" s="180" t="str">
        <f aca="false">IF((D39="e"),F39," ")</f>
        <v> </v>
      </c>
      <c r="L39" s="180" t="str">
        <f aca="false">IF((D39="p"),F39," ")</f>
        <v> </v>
      </c>
      <c r="M39" s="180" t="str">
        <f aca="false">IF((D39="g"),F39," ")</f>
        <v> </v>
      </c>
      <c r="N39" s="180" t="str">
        <f aca="false">IF((D39="a"),F39," ")</f>
        <v> </v>
      </c>
      <c r="O39" s="180" t="str">
        <f aca="false">IF((D39="l"),F39," ")</f>
        <v> </v>
      </c>
      <c r="P39" s="180" t="str">
        <f aca="false">IF((D39="i"),F39," ")</f>
        <v> </v>
      </c>
      <c r="Q39" s="180" t="str">
        <f aca="false">IF((D39="b"),F39," ")</f>
        <v> </v>
      </c>
      <c r="R39" s="180" t="str">
        <f aca="false">IF((D39="o"),F39," ")</f>
        <v> </v>
      </c>
      <c r="S39" s="180" t="str">
        <f aca="false">IF((D39="f"),F39," ")</f>
        <v> </v>
      </c>
      <c r="U39" s="371"/>
    </row>
    <row r="40" customFormat="false" ht="12.75" hidden="false" customHeight="false" outlineLevel="0" collapsed="false">
      <c r="D40" s="371" t="str">
        <f aca="false">IF((F40&lt;&gt;0),"Enter Letter"," ")</f>
        <v> </v>
      </c>
      <c r="G40" s="180" t="str">
        <f aca="false">IF((D40="d"),F40," ")</f>
        <v> </v>
      </c>
      <c r="H40" s="180" t="str">
        <f aca="false">IF((D40="h"),F40," ")</f>
        <v> </v>
      </c>
      <c r="I40" s="180" t="str">
        <f aca="false">IF((D40="r"),F40," ")</f>
        <v> </v>
      </c>
      <c r="J40" s="180" t="str">
        <f aca="false">IF((D40="t"),F40," ")</f>
        <v> </v>
      </c>
      <c r="K40" s="180" t="str">
        <f aca="false">IF((D40="e"),F40," ")</f>
        <v> </v>
      </c>
      <c r="L40" s="180" t="str">
        <f aca="false">IF((D40="p"),F40," ")</f>
        <v> </v>
      </c>
      <c r="M40" s="180" t="str">
        <f aca="false">IF((D40="g"),F40," ")</f>
        <v> </v>
      </c>
      <c r="N40" s="180" t="str">
        <f aca="false">IF((D40="a"),F40," ")</f>
        <v> </v>
      </c>
      <c r="O40" s="180" t="str">
        <f aca="false">IF((D40="l"),F40," ")</f>
        <v> </v>
      </c>
      <c r="P40" s="180" t="str">
        <f aca="false">IF((D40="i"),F40," ")</f>
        <v> </v>
      </c>
      <c r="Q40" s="180" t="str">
        <f aca="false">IF((D40="b"),F40," ")</f>
        <v> </v>
      </c>
      <c r="R40" s="180" t="str">
        <f aca="false">IF((D40="o"),F40," ")</f>
        <v> </v>
      </c>
      <c r="S40" s="180" t="str">
        <f aca="false">IF((D40="f"),F40," ")</f>
        <v> </v>
      </c>
      <c r="U40" s="371"/>
    </row>
    <row r="41" customFormat="false" ht="12.75" hidden="false" customHeight="false" outlineLevel="0" collapsed="false">
      <c r="D41" s="371" t="str">
        <f aca="false">IF((F41&lt;&gt;0),"Enter Letter"," ")</f>
        <v> </v>
      </c>
      <c r="G41" s="180" t="str">
        <f aca="false">IF((D41="d"),F41," ")</f>
        <v> </v>
      </c>
      <c r="H41" s="180" t="str">
        <f aca="false">IF((D41="h"),F41," ")</f>
        <v> </v>
      </c>
      <c r="I41" s="180" t="str">
        <f aca="false">IF((D41="r"),F41," ")</f>
        <v> </v>
      </c>
      <c r="J41" s="180" t="str">
        <f aca="false">IF((D41="t"),F41," ")</f>
        <v> </v>
      </c>
      <c r="K41" s="180" t="str">
        <f aca="false">IF((D41="e"),F41," ")</f>
        <v> </v>
      </c>
      <c r="L41" s="180" t="str">
        <f aca="false">IF((D41="p"),F41," ")</f>
        <v> </v>
      </c>
      <c r="M41" s="180" t="str">
        <f aca="false">IF((D41="g"),F41," ")</f>
        <v> </v>
      </c>
      <c r="N41" s="180" t="str">
        <f aca="false">IF((D41="a"),F41," ")</f>
        <v> </v>
      </c>
      <c r="O41" s="180" t="str">
        <f aca="false">IF((D41="l"),F41," ")</f>
        <v> </v>
      </c>
      <c r="P41" s="180" t="str">
        <f aca="false">IF((D41="i"),F41," ")</f>
        <v> </v>
      </c>
      <c r="Q41" s="180" t="str">
        <f aca="false">IF((D41="b"),F41," ")</f>
        <v> </v>
      </c>
      <c r="R41" s="180" t="str">
        <f aca="false">IF((D41="o"),F41," ")</f>
        <v> </v>
      </c>
      <c r="S41" s="180" t="str">
        <f aca="false">IF((D41="f"),F41," ")</f>
        <v> </v>
      </c>
      <c r="U41" s="371"/>
    </row>
    <row r="42" customFormat="false" ht="12.75" hidden="false" customHeight="false" outlineLevel="0" collapsed="false">
      <c r="D42" s="371" t="str">
        <f aca="false">IF((F42&lt;&gt;0),"Enter Letter"," ")</f>
        <v> </v>
      </c>
      <c r="G42" s="180" t="str">
        <f aca="false">IF((D42="d"),F42," ")</f>
        <v> </v>
      </c>
      <c r="H42" s="180" t="str">
        <f aca="false">IF((D42="h"),F42," ")</f>
        <v> </v>
      </c>
      <c r="I42" s="180" t="str">
        <f aca="false">IF((D42="r"),F42," ")</f>
        <v> </v>
      </c>
      <c r="J42" s="180" t="str">
        <f aca="false">IF((D42="t"),F42," ")</f>
        <v> </v>
      </c>
      <c r="K42" s="180" t="str">
        <f aca="false">IF((D42="e"),F42," ")</f>
        <v> </v>
      </c>
      <c r="L42" s="180" t="str">
        <f aca="false">IF((D42="p"),F42," ")</f>
        <v> </v>
      </c>
      <c r="M42" s="180" t="str">
        <f aca="false">IF((D42="g"),F42," ")</f>
        <v> </v>
      </c>
      <c r="N42" s="180" t="str">
        <f aca="false">IF((D42="a"),F42," ")</f>
        <v> </v>
      </c>
      <c r="O42" s="180" t="str">
        <f aca="false">IF((D42="l"),F42," ")</f>
        <v> </v>
      </c>
      <c r="P42" s="180" t="str">
        <f aca="false">IF((D42="i"),F42," ")</f>
        <v> </v>
      </c>
      <c r="Q42" s="180" t="str">
        <f aca="false">IF((D42="b"),F42," ")</f>
        <v> </v>
      </c>
      <c r="R42" s="180" t="str">
        <f aca="false">IF((D42="o"),F42," ")</f>
        <v> </v>
      </c>
      <c r="S42" s="180" t="str">
        <f aca="false">IF((D42="f"),F42," ")</f>
        <v> </v>
      </c>
      <c r="U42" s="371"/>
    </row>
    <row r="43" customFormat="false" ht="12.75" hidden="false" customHeight="false" outlineLevel="0" collapsed="false">
      <c r="D43" s="371" t="str">
        <f aca="false">IF((F43&lt;&gt;0),"Enter Letter"," ")</f>
        <v> </v>
      </c>
      <c r="G43" s="180" t="str">
        <f aca="false">IF((D43="d"),F43," ")</f>
        <v> </v>
      </c>
      <c r="H43" s="180" t="str">
        <f aca="false">IF((D43="h"),F43," ")</f>
        <v> </v>
      </c>
      <c r="I43" s="180" t="str">
        <f aca="false">IF((D43="r"),F43," ")</f>
        <v> </v>
      </c>
      <c r="J43" s="180" t="str">
        <f aca="false">IF((D43="t"),F43," ")</f>
        <v> </v>
      </c>
      <c r="K43" s="180" t="str">
        <f aca="false">IF((D43="e"),F43," ")</f>
        <v> </v>
      </c>
      <c r="L43" s="180" t="str">
        <f aca="false">IF((D43="p"),F43," ")</f>
        <v> </v>
      </c>
      <c r="M43" s="180" t="str">
        <f aca="false">IF((D43="g"),F43," ")</f>
        <v> </v>
      </c>
      <c r="N43" s="180" t="str">
        <f aca="false">IF((D43="a"),F43," ")</f>
        <v> </v>
      </c>
      <c r="O43" s="180" t="str">
        <f aca="false">IF((D43="l"),F43," ")</f>
        <v> </v>
      </c>
      <c r="P43" s="180" t="str">
        <f aca="false">IF((D43="i"),F43," ")</f>
        <v> </v>
      </c>
      <c r="Q43" s="180" t="str">
        <f aca="false">IF((D43="b"),F43," ")</f>
        <v> </v>
      </c>
      <c r="R43" s="180" t="str">
        <f aca="false">IF((D43="o"),F43," ")</f>
        <v> </v>
      </c>
      <c r="S43" s="180" t="str">
        <f aca="false">IF((D43="f"),F43," ")</f>
        <v> </v>
      </c>
      <c r="U43" s="371"/>
    </row>
    <row r="44" customFormat="false" ht="12.75" hidden="false" customHeight="false" outlineLevel="0" collapsed="false">
      <c r="D44" s="371" t="str">
        <f aca="false">IF((F44&lt;&gt;0),"Enter Letter"," ")</f>
        <v> </v>
      </c>
      <c r="G44" s="180" t="str">
        <f aca="false">IF((D44="d"),F44," ")</f>
        <v> </v>
      </c>
      <c r="H44" s="180" t="str">
        <f aca="false">IF((D44="h"),F44," ")</f>
        <v> </v>
      </c>
      <c r="I44" s="180" t="str">
        <f aca="false">IF((D44="r"),F44," ")</f>
        <v> </v>
      </c>
      <c r="J44" s="180" t="str">
        <f aca="false">IF((D44="t"),F44," ")</f>
        <v> </v>
      </c>
      <c r="K44" s="180" t="str">
        <f aca="false">IF((D44="e"),F44," ")</f>
        <v> </v>
      </c>
      <c r="L44" s="180" t="str">
        <f aca="false">IF((D44="p"),F44," ")</f>
        <v> </v>
      </c>
      <c r="M44" s="180" t="str">
        <f aca="false">IF((D44="g"),F44," ")</f>
        <v> </v>
      </c>
      <c r="N44" s="180" t="str">
        <f aca="false">IF((D44="a"),F44," ")</f>
        <v> </v>
      </c>
      <c r="O44" s="180" t="str">
        <f aca="false">IF((D44="l"),F44," ")</f>
        <v> </v>
      </c>
      <c r="P44" s="180" t="str">
        <f aca="false">IF((D44="i"),F44," ")</f>
        <v> </v>
      </c>
      <c r="Q44" s="180" t="str">
        <f aca="false">IF((D44="b"),F44," ")</f>
        <v> </v>
      </c>
      <c r="R44" s="180" t="str">
        <f aca="false">IF((D44="o"),F44," ")</f>
        <v> </v>
      </c>
      <c r="S44" s="180" t="str">
        <f aca="false">IF((D44="f"),F44," ")</f>
        <v> </v>
      </c>
      <c r="U44" s="371"/>
    </row>
    <row r="45" customFormat="false" ht="12.75" hidden="false" customHeight="false" outlineLevel="0" collapsed="false">
      <c r="D45" s="371" t="str">
        <f aca="false">IF((F45&lt;&gt;0),"Enter Letter"," ")</f>
        <v> </v>
      </c>
      <c r="G45" s="180" t="str">
        <f aca="false">IF((D45="d"),F45," ")</f>
        <v> </v>
      </c>
      <c r="H45" s="180" t="str">
        <f aca="false">IF((D45="h"),F45," ")</f>
        <v> </v>
      </c>
      <c r="I45" s="180" t="str">
        <f aca="false">IF((D45="r"),F45," ")</f>
        <v> </v>
      </c>
      <c r="J45" s="180" t="str">
        <f aca="false">IF((D45="t"),F45," ")</f>
        <v> </v>
      </c>
      <c r="K45" s="180" t="str">
        <f aca="false">IF((D45="e"),F45," ")</f>
        <v> </v>
      </c>
      <c r="L45" s="180" t="str">
        <f aca="false">IF((D45="p"),F45," ")</f>
        <v> </v>
      </c>
      <c r="M45" s="180" t="str">
        <f aca="false">IF((D45="g"),F45," ")</f>
        <v> </v>
      </c>
      <c r="N45" s="180" t="str">
        <f aca="false">IF((D45="a"),F45," ")</f>
        <v> </v>
      </c>
      <c r="O45" s="180" t="str">
        <f aca="false">IF((D45="l"),F45," ")</f>
        <v> </v>
      </c>
      <c r="P45" s="180" t="str">
        <f aca="false">IF((D45="i"),F45," ")</f>
        <v> </v>
      </c>
      <c r="Q45" s="180" t="str">
        <f aca="false">IF((D45="b"),F45," ")</f>
        <v> </v>
      </c>
      <c r="R45" s="180" t="str">
        <f aca="false">IF((D45="o"),F45," ")</f>
        <v> </v>
      </c>
      <c r="S45" s="180" t="str">
        <f aca="false">IF((D45="f"),F45," ")</f>
        <v> </v>
      </c>
      <c r="U45" s="371"/>
    </row>
    <row r="46" customFormat="false" ht="12.75" hidden="false" customHeight="false" outlineLevel="0" collapsed="false">
      <c r="D46" s="371" t="str">
        <f aca="false">IF((F46&lt;&gt;0),"Enter Letter"," ")</f>
        <v> </v>
      </c>
      <c r="G46" s="180" t="str">
        <f aca="false">IF((D46="d"),F46," ")</f>
        <v> </v>
      </c>
      <c r="H46" s="180" t="str">
        <f aca="false">IF((D46="h"),F46," ")</f>
        <v> </v>
      </c>
      <c r="I46" s="180" t="str">
        <f aca="false">IF((D46="r"),F46," ")</f>
        <v> </v>
      </c>
      <c r="J46" s="180" t="str">
        <f aca="false">IF((D46="t"),F46," ")</f>
        <v> </v>
      </c>
      <c r="K46" s="180" t="str">
        <f aca="false">IF((D46="e"),F46," ")</f>
        <v> </v>
      </c>
      <c r="L46" s="180" t="str">
        <f aca="false">IF((D46="p"),F46," ")</f>
        <v> </v>
      </c>
      <c r="M46" s="180" t="str">
        <f aca="false">IF((D46="g"),F46," ")</f>
        <v> </v>
      </c>
      <c r="N46" s="180" t="str">
        <f aca="false">IF((D46="a"),F46," ")</f>
        <v> </v>
      </c>
      <c r="O46" s="180" t="str">
        <f aca="false">IF((D46="l"),F46," ")</f>
        <v> </v>
      </c>
      <c r="P46" s="180" t="str">
        <f aca="false">IF((D46="i"),F46," ")</f>
        <v> </v>
      </c>
      <c r="Q46" s="180" t="str">
        <f aca="false">IF((D46="b"),F46," ")</f>
        <v> </v>
      </c>
      <c r="R46" s="180" t="str">
        <f aca="false">IF((D46="o"),F46," ")</f>
        <v> </v>
      </c>
      <c r="S46" s="180" t="str">
        <f aca="false">IF((D46="f"),F46," ")</f>
        <v> </v>
      </c>
      <c r="U46" s="371"/>
    </row>
    <row r="47" customFormat="false" ht="12.75" hidden="false" customHeight="false" outlineLevel="0" collapsed="false">
      <c r="D47" s="371" t="str">
        <f aca="false">IF((F47&lt;&gt;0),"Enter Letter"," ")</f>
        <v> </v>
      </c>
      <c r="G47" s="180" t="str">
        <f aca="false">IF((D47="d"),F47," ")</f>
        <v> </v>
      </c>
      <c r="H47" s="180" t="str">
        <f aca="false">IF((D47="h"),F47," ")</f>
        <v> </v>
      </c>
      <c r="I47" s="180" t="str">
        <f aca="false">IF((D47="r"),F47," ")</f>
        <v> </v>
      </c>
      <c r="J47" s="180" t="str">
        <f aca="false">IF((D47="t"),F47," ")</f>
        <v> </v>
      </c>
      <c r="K47" s="180" t="str">
        <f aca="false">IF((D47="e"),F47," ")</f>
        <v> </v>
      </c>
      <c r="L47" s="180" t="str">
        <f aca="false">IF((D47="p"),F47," ")</f>
        <v> </v>
      </c>
      <c r="M47" s="180" t="str">
        <f aca="false">IF((D47="g"),F47," ")</f>
        <v> </v>
      </c>
      <c r="N47" s="180" t="str">
        <f aca="false">IF((D47="a"),F47," ")</f>
        <v> </v>
      </c>
      <c r="O47" s="180" t="str">
        <f aca="false">IF((D47="l"),F47," ")</f>
        <v> </v>
      </c>
      <c r="P47" s="180" t="str">
        <f aca="false">IF((D47="i"),F47," ")</f>
        <v> </v>
      </c>
      <c r="Q47" s="180" t="str">
        <f aca="false">IF((D47="b"),F47," ")</f>
        <v> </v>
      </c>
      <c r="R47" s="180" t="str">
        <f aca="false">IF((D47="o"),F47," ")</f>
        <v> </v>
      </c>
      <c r="S47" s="180" t="str">
        <f aca="false">IF((D47="f"),F47," ")</f>
        <v> </v>
      </c>
      <c r="U47" s="371"/>
    </row>
    <row r="48" customFormat="false" ht="12.75" hidden="false" customHeight="false" outlineLevel="0" collapsed="false">
      <c r="D48" s="371" t="str">
        <f aca="false">IF((F48&lt;&gt;0),"Enter Letter"," ")</f>
        <v> </v>
      </c>
      <c r="G48" s="180" t="str">
        <f aca="false">IF((D48="d"),F48," ")</f>
        <v> </v>
      </c>
      <c r="H48" s="180" t="str">
        <f aca="false">IF((D48="h"),F48," ")</f>
        <v> </v>
      </c>
      <c r="I48" s="180" t="str">
        <f aca="false">IF((D48="r"),F48," ")</f>
        <v> </v>
      </c>
      <c r="J48" s="180" t="str">
        <f aca="false">IF((D48="t"),F48," ")</f>
        <v> </v>
      </c>
      <c r="K48" s="180" t="str">
        <f aca="false">IF((D48="e"),F48," ")</f>
        <v> </v>
      </c>
      <c r="L48" s="180" t="str">
        <f aca="false">IF((D48="p"),F48," ")</f>
        <v> </v>
      </c>
      <c r="M48" s="180" t="str">
        <f aca="false">IF((D48="g"),F48," ")</f>
        <v> </v>
      </c>
      <c r="N48" s="180" t="str">
        <f aca="false">IF((D48="a"),F48," ")</f>
        <v> </v>
      </c>
      <c r="O48" s="180" t="str">
        <f aca="false">IF((D48="l"),F48," ")</f>
        <v> </v>
      </c>
      <c r="P48" s="180" t="str">
        <f aca="false">IF((D48="i"),F48," ")</f>
        <v> </v>
      </c>
      <c r="Q48" s="180" t="str">
        <f aca="false">IF((D48="b"),F48," ")</f>
        <v> </v>
      </c>
      <c r="R48" s="180" t="str">
        <f aca="false">IF((D48="o"),F48," ")</f>
        <v> </v>
      </c>
      <c r="S48" s="180" t="str">
        <f aca="false">IF((D48="f"),F48," ")</f>
        <v> </v>
      </c>
      <c r="U48" s="371"/>
    </row>
    <row r="49" customFormat="false" ht="12.75" hidden="false" customHeight="false" outlineLevel="0" collapsed="false">
      <c r="D49" s="371" t="str">
        <f aca="false">IF((F49&lt;&gt;0),"Enter Letter"," ")</f>
        <v> </v>
      </c>
      <c r="G49" s="180" t="str">
        <f aca="false">IF((D49="d"),F49," ")</f>
        <v> </v>
      </c>
      <c r="H49" s="180" t="str">
        <f aca="false">IF((D49="h"),F49," ")</f>
        <v> </v>
      </c>
      <c r="I49" s="180" t="str">
        <f aca="false">IF((D49="r"),F49," ")</f>
        <v> </v>
      </c>
      <c r="J49" s="180" t="str">
        <f aca="false">IF((D49="t"),F49," ")</f>
        <v> </v>
      </c>
      <c r="K49" s="180" t="str">
        <f aca="false">IF((D49="e"),F49," ")</f>
        <v> </v>
      </c>
      <c r="L49" s="180" t="str">
        <f aca="false">IF((D49="p"),F49," ")</f>
        <v> </v>
      </c>
      <c r="M49" s="180" t="str">
        <f aca="false">IF((D49="g"),F49," ")</f>
        <v> </v>
      </c>
      <c r="N49" s="180" t="str">
        <f aca="false">IF((D49="a"),F49," ")</f>
        <v> </v>
      </c>
      <c r="O49" s="180" t="str">
        <f aca="false">IF((D49="l"),F49," ")</f>
        <v> </v>
      </c>
      <c r="P49" s="180" t="str">
        <f aca="false">IF((D49="i"),F49," ")</f>
        <v> </v>
      </c>
      <c r="Q49" s="180" t="str">
        <f aca="false">IF((D49="b"),F49," ")</f>
        <v> </v>
      </c>
      <c r="R49" s="180" t="str">
        <f aca="false">IF((D49="o"),F49," ")</f>
        <v> </v>
      </c>
      <c r="S49" s="180" t="str">
        <f aca="false">IF((D49="f"),F49," ")</f>
        <v> </v>
      </c>
      <c r="U49" s="371"/>
    </row>
    <row r="50" customFormat="false" ht="12.75" hidden="false" customHeight="false" outlineLevel="0" collapsed="false">
      <c r="D50" s="371" t="str">
        <f aca="false">IF((F50&lt;&gt;0),"Enter Letter"," ")</f>
        <v> </v>
      </c>
      <c r="G50" s="180" t="str">
        <f aca="false">IF((D50="d"),F50," ")</f>
        <v> </v>
      </c>
      <c r="H50" s="180" t="str">
        <f aca="false">IF((D50="h"),F50," ")</f>
        <v> </v>
      </c>
      <c r="I50" s="180" t="str">
        <f aca="false">IF((D50="r"),F50," ")</f>
        <v> </v>
      </c>
      <c r="J50" s="180" t="str">
        <f aca="false">IF((D50="t"),F50," ")</f>
        <v> </v>
      </c>
      <c r="K50" s="180" t="str">
        <f aca="false">IF((D50="e"),F50," ")</f>
        <v> </v>
      </c>
      <c r="L50" s="180" t="str">
        <f aca="false">IF((D50="p"),F50," ")</f>
        <v> </v>
      </c>
      <c r="M50" s="180" t="str">
        <f aca="false">IF((D50="g"),F50," ")</f>
        <v> </v>
      </c>
      <c r="N50" s="180" t="str">
        <f aca="false">IF((D50="a"),F50," ")</f>
        <v> </v>
      </c>
      <c r="O50" s="180" t="str">
        <f aca="false">IF((D50="l"),F50," ")</f>
        <v> </v>
      </c>
      <c r="P50" s="180" t="str">
        <f aca="false">IF((D50="i"),F50," ")</f>
        <v> </v>
      </c>
      <c r="Q50" s="180" t="str">
        <f aca="false">IF((D50="b"),F50," ")</f>
        <v> </v>
      </c>
      <c r="R50" s="180" t="str">
        <f aca="false">IF((D50="o"),F50," ")</f>
        <v> </v>
      </c>
      <c r="S50" s="180" t="str">
        <f aca="false">IF((D50="f"),F50," ")</f>
        <v> </v>
      </c>
      <c r="U50" s="371"/>
    </row>
    <row r="51" customFormat="false" ht="12.75" hidden="false" customHeight="false" outlineLevel="0" collapsed="false">
      <c r="D51" s="371" t="str">
        <f aca="false">IF((F51&lt;&gt;0),"Enter Letter"," ")</f>
        <v> </v>
      </c>
      <c r="G51" s="180" t="str">
        <f aca="false">IF((D51="d"),F51," ")</f>
        <v> </v>
      </c>
      <c r="H51" s="180" t="str">
        <f aca="false">IF((D51="h"),F51," ")</f>
        <v> </v>
      </c>
      <c r="I51" s="180" t="str">
        <f aca="false">IF((D51="r"),F51," ")</f>
        <v> </v>
      </c>
      <c r="J51" s="180" t="str">
        <f aca="false">IF((D51="t"),F51," ")</f>
        <v> </v>
      </c>
      <c r="K51" s="180" t="str">
        <f aca="false">IF((D51="e"),F51," ")</f>
        <v> </v>
      </c>
      <c r="L51" s="180" t="str">
        <f aca="false">IF((D51="p"),F51," ")</f>
        <v> </v>
      </c>
      <c r="M51" s="180" t="str">
        <f aca="false">IF((D51="g"),F51," ")</f>
        <v> </v>
      </c>
      <c r="N51" s="180" t="str">
        <f aca="false">IF((D51="a"),F51," ")</f>
        <v> </v>
      </c>
      <c r="O51" s="180" t="str">
        <f aca="false">IF((D51="l"),F51," ")</f>
        <v> </v>
      </c>
      <c r="P51" s="180" t="str">
        <f aca="false">IF((D51="i"),F51," ")</f>
        <v> </v>
      </c>
      <c r="Q51" s="180" t="str">
        <f aca="false">IF((D51="b"),F51," ")</f>
        <v> </v>
      </c>
      <c r="R51" s="180" t="str">
        <f aca="false">IF((D51="o"),F51," ")</f>
        <v> </v>
      </c>
      <c r="S51" s="180" t="str">
        <f aca="false">IF((D51="f"),F51," ")</f>
        <v> </v>
      </c>
      <c r="U51" s="371"/>
    </row>
    <row r="52" customFormat="false" ht="12.75" hidden="false" customHeight="false" outlineLevel="0" collapsed="false">
      <c r="D52" s="371" t="str">
        <f aca="false">IF((F52&lt;&gt;0),"Enter Letter"," ")</f>
        <v> </v>
      </c>
      <c r="G52" s="180" t="str">
        <f aca="false">IF((D52="d"),F52," ")</f>
        <v> </v>
      </c>
      <c r="H52" s="180" t="str">
        <f aca="false">IF((D52="h"),F52," ")</f>
        <v> </v>
      </c>
      <c r="I52" s="180" t="str">
        <f aca="false">IF((D52="r"),F52," ")</f>
        <v> </v>
      </c>
      <c r="J52" s="180" t="str">
        <f aca="false">IF((D52="t"),F52," ")</f>
        <v> </v>
      </c>
      <c r="K52" s="180" t="str">
        <f aca="false">IF((D52="e"),F52," ")</f>
        <v> </v>
      </c>
      <c r="L52" s="180" t="str">
        <f aca="false">IF((D52="p"),F52," ")</f>
        <v> </v>
      </c>
      <c r="M52" s="180" t="str">
        <f aca="false">IF((D52="g"),F52," ")</f>
        <v> </v>
      </c>
      <c r="N52" s="180" t="str">
        <f aca="false">IF((D52="a"),F52," ")</f>
        <v> </v>
      </c>
      <c r="O52" s="180" t="str">
        <f aca="false">IF((D52="l"),F52," ")</f>
        <v> </v>
      </c>
      <c r="P52" s="180" t="str">
        <f aca="false">IF((D52="i"),F52," ")</f>
        <v> </v>
      </c>
      <c r="Q52" s="180" t="str">
        <f aca="false">IF((D52="b"),F52," ")</f>
        <v> </v>
      </c>
      <c r="R52" s="180" t="str">
        <f aca="false">IF((D52="o"),F52," ")</f>
        <v> </v>
      </c>
      <c r="S52" s="180" t="str">
        <f aca="false">IF((D52="f"),F52," ")</f>
        <v> </v>
      </c>
      <c r="U52" s="371"/>
    </row>
    <row r="53" customFormat="false" ht="12.75" hidden="false" customHeight="false" outlineLevel="0" collapsed="false">
      <c r="D53" s="371" t="str">
        <f aca="false">IF((F53&lt;&gt;0),"Enter Letter"," ")</f>
        <v> </v>
      </c>
      <c r="G53" s="180" t="str">
        <f aca="false">IF((D53="d"),F53," ")</f>
        <v> </v>
      </c>
      <c r="H53" s="180" t="str">
        <f aca="false">IF((D53="h"),F53," ")</f>
        <v> </v>
      </c>
      <c r="I53" s="180" t="str">
        <f aca="false">IF((D53="r"),F53," ")</f>
        <v> </v>
      </c>
      <c r="J53" s="180" t="str">
        <f aca="false">IF((D53="t"),F53," ")</f>
        <v> </v>
      </c>
      <c r="K53" s="180" t="str">
        <f aca="false">IF((D53="e"),F53," ")</f>
        <v> </v>
      </c>
      <c r="L53" s="180" t="str">
        <f aca="false">IF((D53="p"),F53," ")</f>
        <v> </v>
      </c>
      <c r="M53" s="180" t="str">
        <f aca="false">IF((D53="g"),F53," ")</f>
        <v> </v>
      </c>
      <c r="N53" s="180" t="str">
        <f aca="false">IF((D53="a"),F53," ")</f>
        <v> </v>
      </c>
      <c r="O53" s="180" t="str">
        <f aca="false">IF((D53="l"),F53," ")</f>
        <v> </v>
      </c>
      <c r="P53" s="180" t="str">
        <f aca="false">IF((D53="i"),F53," ")</f>
        <v> </v>
      </c>
      <c r="Q53" s="180" t="str">
        <f aca="false">IF((D53="b"),F53," ")</f>
        <v> </v>
      </c>
      <c r="R53" s="180" t="str">
        <f aca="false">IF((D53="o"),F53," ")</f>
        <v> </v>
      </c>
      <c r="S53" s="180" t="str">
        <f aca="false">IF((D53="f"),F53," ")</f>
        <v> </v>
      </c>
      <c r="U53" s="371"/>
    </row>
    <row r="54" customFormat="false" ht="12.75" hidden="false" customHeight="false" outlineLevel="0" collapsed="false">
      <c r="D54" s="371" t="str">
        <f aca="false">IF((F54&lt;&gt;0),"Enter Letter"," ")</f>
        <v> </v>
      </c>
      <c r="G54" s="180" t="str">
        <f aca="false">IF((D54="d"),F54," ")</f>
        <v> </v>
      </c>
      <c r="H54" s="180" t="str">
        <f aca="false">IF((D54="h"),F54," ")</f>
        <v> </v>
      </c>
      <c r="I54" s="180" t="str">
        <f aca="false">IF((D54="r"),F54," ")</f>
        <v> </v>
      </c>
      <c r="J54" s="180" t="str">
        <f aca="false">IF((D54="t"),F54," ")</f>
        <v> </v>
      </c>
      <c r="K54" s="180" t="str">
        <f aca="false">IF((D54="e"),F54," ")</f>
        <v> </v>
      </c>
      <c r="L54" s="180" t="str">
        <f aca="false">IF((D54="p"),F54," ")</f>
        <v> </v>
      </c>
      <c r="M54" s="180" t="str">
        <f aca="false">IF((D54="g"),F54," ")</f>
        <v> </v>
      </c>
      <c r="N54" s="180" t="str">
        <f aca="false">IF((D54="a"),F54," ")</f>
        <v> </v>
      </c>
      <c r="O54" s="180" t="str">
        <f aca="false">IF((D54="l"),F54," ")</f>
        <v> </v>
      </c>
      <c r="P54" s="180" t="str">
        <f aca="false">IF((D54="i"),F54," ")</f>
        <v> </v>
      </c>
      <c r="Q54" s="180" t="str">
        <f aca="false">IF((D54="b"),F54," ")</f>
        <v> </v>
      </c>
      <c r="R54" s="180" t="str">
        <f aca="false">IF((D54="o"),F54," ")</f>
        <v> </v>
      </c>
      <c r="S54" s="180" t="str">
        <f aca="false">IF((D54="f"),F54," ")</f>
        <v> </v>
      </c>
      <c r="U54" s="371"/>
    </row>
    <row r="55" customFormat="false" ht="12.75" hidden="false" customHeight="false" outlineLevel="0" collapsed="false">
      <c r="D55" s="371" t="str">
        <f aca="false">IF((F55&lt;&gt;0),"Enter Letter"," ")</f>
        <v> </v>
      </c>
      <c r="G55" s="180" t="str">
        <f aca="false">IF((D55="d"),F55," ")</f>
        <v> </v>
      </c>
      <c r="H55" s="180" t="str">
        <f aca="false">IF((D55="h"),F55," ")</f>
        <v> </v>
      </c>
      <c r="I55" s="180" t="str">
        <f aca="false">IF((D55="r"),F55," ")</f>
        <v> </v>
      </c>
      <c r="J55" s="180" t="str">
        <f aca="false">IF((D55="t"),F55," ")</f>
        <v> </v>
      </c>
      <c r="K55" s="180" t="str">
        <f aca="false">IF((D55="e"),F55," ")</f>
        <v> </v>
      </c>
      <c r="L55" s="180" t="str">
        <f aca="false">IF((D55="p"),F55," ")</f>
        <v> </v>
      </c>
      <c r="M55" s="180" t="str">
        <f aca="false">IF((D55="g"),F55," ")</f>
        <v> </v>
      </c>
      <c r="N55" s="180" t="str">
        <f aca="false">IF((D55="a"),F55," ")</f>
        <v> </v>
      </c>
      <c r="O55" s="180" t="str">
        <f aca="false">IF((D55="l"),F55," ")</f>
        <v> </v>
      </c>
      <c r="P55" s="180" t="str">
        <f aca="false">IF((D55="i"),F55," ")</f>
        <v> </v>
      </c>
      <c r="Q55" s="180" t="str">
        <f aca="false">IF((D55="b"),F55," ")</f>
        <v> </v>
      </c>
      <c r="R55" s="180" t="str">
        <f aca="false">IF((D55="o"),F55," ")</f>
        <v> </v>
      </c>
      <c r="S55" s="180" t="str">
        <f aca="false">IF((D55="f"),F55," ")</f>
        <v> </v>
      </c>
      <c r="U55" s="371"/>
    </row>
    <row r="56" customFormat="false" ht="12.75" hidden="false" customHeight="false" outlineLevel="0" collapsed="false">
      <c r="D56" s="371" t="str">
        <f aca="false">IF((F56&lt;&gt;0),"Enter Letter"," ")</f>
        <v> </v>
      </c>
      <c r="G56" s="180" t="str">
        <f aca="false">IF((D56="d"),F56," ")</f>
        <v> </v>
      </c>
      <c r="H56" s="180" t="str">
        <f aca="false">IF((D56="h"),F56," ")</f>
        <v> </v>
      </c>
      <c r="I56" s="180" t="str">
        <f aca="false">IF((D56="r"),F56," ")</f>
        <v> </v>
      </c>
      <c r="J56" s="180" t="str">
        <f aca="false">IF((D56="t"),F56," ")</f>
        <v> </v>
      </c>
      <c r="K56" s="180" t="str">
        <f aca="false">IF((D56="e"),F56," ")</f>
        <v> </v>
      </c>
      <c r="L56" s="180" t="str">
        <f aca="false">IF((D56="p"),F56," ")</f>
        <v> </v>
      </c>
      <c r="M56" s="180" t="str">
        <f aca="false">IF((D56="g"),F56," ")</f>
        <v> </v>
      </c>
      <c r="N56" s="180" t="str">
        <f aca="false">IF((D56="a"),F56," ")</f>
        <v> </v>
      </c>
      <c r="O56" s="180" t="str">
        <f aca="false">IF((D56="l"),F56," ")</f>
        <v> </v>
      </c>
      <c r="P56" s="180" t="str">
        <f aca="false">IF((D56="i"),F56," ")</f>
        <v> </v>
      </c>
      <c r="Q56" s="180" t="str">
        <f aca="false">IF((D56="b"),F56," ")</f>
        <v> </v>
      </c>
      <c r="R56" s="180" t="str">
        <f aca="false">IF((D56="o"),F56," ")</f>
        <v> </v>
      </c>
      <c r="S56" s="180" t="str">
        <f aca="false">IF((D56="f"),F56," ")</f>
        <v> </v>
      </c>
      <c r="U56" s="371"/>
    </row>
    <row r="57" customFormat="false" ht="12.75" hidden="false" customHeight="false" outlineLevel="0" collapsed="false">
      <c r="D57" s="371" t="str">
        <f aca="false">IF((F57&lt;&gt;0),"Enter Letter"," ")</f>
        <v> </v>
      </c>
      <c r="G57" s="180" t="str">
        <f aca="false">IF((D57="d"),F57," ")</f>
        <v> </v>
      </c>
      <c r="H57" s="180" t="str">
        <f aca="false">IF((D57="h"),F57," ")</f>
        <v> </v>
      </c>
      <c r="I57" s="180" t="str">
        <f aca="false">IF((D57="r"),F57," ")</f>
        <v> </v>
      </c>
      <c r="J57" s="180" t="str">
        <f aca="false">IF((D57="t"),F57," ")</f>
        <v> </v>
      </c>
      <c r="K57" s="180" t="str">
        <f aca="false">IF((D57="e"),F57," ")</f>
        <v> </v>
      </c>
      <c r="L57" s="180" t="str">
        <f aca="false">IF((D57="p"),F57," ")</f>
        <v> </v>
      </c>
      <c r="M57" s="180" t="str">
        <f aca="false">IF((D57="g"),F57," ")</f>
        <v> </v>
      </c>
      <c r="N57" s="180" t="str">
        <f aca="false">IF((D57="a"),F57," ")</f>
        <v> </v>
      </c>
      <c r="O57" s="180" t="str">
        <f aca="false">IF((D57="l"),F57," ")</f>
        <v> </v>
      </c>
      <c r="P57" s="180" t="str">
        <f aca="false">IF((D57="i"),F57," ")</f>
        <v> </v>
      </c>
      <c r="Q57" s="180" t="str">
        <f aca="false">IF((D57="b"),F57," ")</f>
        <v> </v>
      </c>
      <c r="R57" s="180" t="str">
        <f aca="false">IF((D57="o"),F57," ")</f>
        <v> </v>
      </c>
      <c r="S57" s="180" t="str">
        <f aca="false">IF((D57="f"),F57," ")</f>
        <v> </v>
      </c>
      <c r="U57" s="371"/>
    </row>
    <row r="58" customFormat="false" ht="12.75" hidden="false" customHeight="false" outlineLevel="0" collapsed="false">
      <c r="D58" s="371" t="str">
        <f aca="false">IF((F58&lt;&gt;0),"Enter Letter"," ")</f>
        <v> </v>
      </c>
      <c r="G58" s="180" t="str">
        <f aca="false">IF((D58="d"),F58," ")</f>
        <v> </v>
      </c>
      <c r="H58" s="180" t="str">
        <f aca="false">IF((D58="h"),F58," ")</f>
        <v> </v>
      </c>
      <c r="I58" s="180" t="str">
        <f aca="false">IF((D58="r"),F58," ")</f>
        <v> </v>
      </c>
      <c r="J58" s="180" t="str">
        <f aca="false">IF((D58="t"),F58," ")</f>
        <v> </v>
      </c>
      <c r="K58" s="180" t="str">
        <f aca="false">IF((D58="e"),F58," ")</f>
        <v> </v>
      </c>
      <c r="L58" s="180" t="str">
        <f aca="false">IF((D58="p"),F58," ")</f>
        <v> </v>
      </c>
      <c r="M58" s="180" t="str">
        <f aca="false">IF((D58="g"),F58," ")</f>
        <v> </v>
      </c>
      <c r="N58" s="180" t="str">
        <f aca="false">IF((D58="a"),F58," ")</f>
        <v> </v>
      </c>
      <c r="O58" s="180" t="str">
        <f aca="false">IF((D58="l"),F58," ")</f>
        <v> </v>
      </c>
      <c r="P58" s="180" t="str">
        <f aca="false">IF((D58="i"),F58," ")</f>
        <v> </v>
      </c>
      <c r="Q58" s="180" t="str">
        <f aca="false">IF((D58="b"),F58," ")</f>
        <v> </v>
      </c>
      <c r="R58" s="180" t="str">
        <f aca="false">IF((D58="o"),F58," ")</f>
        <v> </v>
      </c>
      <c r="S58" s="180" t="str">
        <f aca="false">IF((D58="f"),F58," ")</f>
        <v> </v>
      </c>
      <c r="U58" s="371"/>
    </row>
    <row r="59" customFormat="false" ht="12.75" hidden="false" customHeight="false" outlineLevel="0" collapsed="false">
      <c r="D59" s="371" t="str">
        <f aca="false">IF((F59&lt;&gt;0),"Enter Letter"," ")</f>
        <v> </v>
      </c>
      <c r="G59" s="180" t="str">
        <f aca="false">IF((D59="d"),F59," ")</f>
        <v> </v>
      </c>
      <c r="H59" s="180" t="str">
        <f aca="false">IF((D59="h"),F59," ")</f>
        <v> </v>
      </c>
      <c r="I59" s="180" t="str">
        <f aca="false">IF((D59="r"),F59," ")</f>
        <v> </v>
      </c>
      <c r="J59" s="180" t="str">
        <f aca="false">IF((D59="t"),F59," ")</f>
        <v> </v>
      </c>
      <c r="K59" s="180" t="str">
        <f aca="false">IF((D59="e"),F59," ")</f>
        <v> </v>
      </c>
      <c r="L59" s="180" t="str">
        <f aca="false">IF((D59="p"),F59," ")</f>
        <v> </v>
      </c>
      <c r="M59" s="180" t="str">
        <f aca="false">IF((D59="g"),F59," ")</f>
        <v> </v>
      </c>
      <c r="N59" s="180" t="str">
        <f aca="false">IF((D59="a"),F59," ")</f>
        <v> </v>
      </c>
      <c r="O59" s="180" t="str">
        <f aca="false">IF((D59="l"),F59," ")</f>
        <v> </v>
      </c>
      <c r="P59" s="180" t="str">
        <f aca="false">IF((D59="i"),F59," ")</f>
        <v> </v>
      </c>
      <c r="Q59" s="180" t="str">
        <f aca="false">IF((D59="b"),F59," ")</f>
        <v> </v>
      </c>
      <c r="R59" s="180" t="str">
        <f aca="false">IF((D59="o"),F59," ")</f>
        <v> </v>
      </c>
      <c r="S59" s="180" t="str">
        <f aca="false">IF((D59="f"),F59," ")</f>
        <v> </v>
      </c>
      <c r="U59" s="371"/>
    </row>
    <row r="60" customFormat="false" ht="12.75" hidden="false" customHeight="false" outlineLevel="0" collapsed="false">
      <c r="D60" s="371" t="str">
        <f aca="false">IF((F60&lt;&gt;0),"Enter Letter"," ")</f>
        <v> </v>
      </c>
      <c r="G60" s="180" t="str">
        <f aca="false">IF((D60="d"),F60," ")</f>
        <v> </v>
      </c>
      <c r="H60" s="180" t="str">
        <f aca="false">IF((D60="h"),F60," ")</f>
        <v> </v>
      </c>
      <c r="I60" s="180" t="str">
        <f aca="false">IF((D60="r"),F60," ")</f>
        <v> </v>
      </c>
      <c r="J60" s="180" t="str">
        <f aca="false">IF((D60="t"),F60," ")</f>
        <v> </v>
      </c>
      <c r="K60" s="180" t="str">
        <f aca="false">IF((D60="e"),F60," ")</f>
        <v> </v>
      </c>
      <c r="L60" s="180" t="str">
        <f aca="false">IF((D60="p"),F60," ")</f>
        <v> </v>
      </c>
      <c r="M60" s="180" t="str">
        <f aca="false">IF((D60="g"),F60," ")</f>
        <v> </v>
      </c>
      <c r="N60" s="180" t="str">
        <f aca="false">IF((D60="a"),F60," ")</f>
        <v> </v>
      </c>
      <c r="O60" s="180" t="str">
        <f aca="false">IF((D60="l"),F60," ")</f>
        <v> </v>
      </c>
      <c r="P60" s="180" t="str">
        <f aca="false">IF((D60="i"),F60," ")</f>
        <v> </v>
      </c>
      <c r="Q60" s="180" t="str">
        <f aca="false">IF((D60="b"),F60," ")</f>
        <v> </v>
      </c>
      <c r="R60" s="180" t="str">
        <f aca="false">IF((D60="o"),F60," ")</f>
        <v> </v>
      </c>
      <c r="S60" s="180" t="str">
        <f aca="false">IF((D60="f"),F60," ")</f>
        <v> </v>
      </c>
      <c r="U60" s="371"/>
    </row>
    <row r="61" customFormat="false" ht="12.75" hidden="false" customHeight="false" outlineLevel="0" collapsed="false">
      <c r="D61" s="371" t="str">
        <f aca="false">IF((F61&lt;&gt;0),"Enter Letter"," ")</f>
        <v> </v>
      </c>
      <c r="G61" s="180" t="str">
        <f aca="false">IF((D61="d"),F61," ")</f>
        <v> </v>
      </c>
      <c r="H61" s="180" t="str">
        <f aca="false">IF((D61="h"),F61," ")</f>
        <v> </v>
      </c>
      <c r="I61" s="180" t="str">
        <f aca="false">IF((D61="r"),F61," ")</f>
        <v> </v>
      </c>
      <c r="J61" s="180" t="str">
        <f aca="false">IF((D61="t"),F61," ")</f>
        <v> </v>
      </c>
      <c r="K61" s="180" t="str">
        <f aca="false">IF((D61="e"),F61," ")</f>
        <v> </v>
      </c>
      <c r="L61" s="180" t="str">
        <f aca="false">IF((D61="p"),F61," ")</f>
        <v> </v>
      </c>
      <c r="M61" s="180" t="str">
        <f aca="false">IF((D61="g"),F61," ")</f>
        <v> </v>
      </c>
      <c r="N61" s="180" t="str">
        <f aca="false">IF((D61="a"),F61," ")</f>
        <v> </v>
      </c>
      <c r="O61" s="180" t="str">
        <f aca="false">IF((D61="l"),F61," ")</f>
        <v> </v>
      </c>
      <c r="P61" s="180" t="str">
        <f aca="false">IF((D61="i"),F61," ")</f>
        <v> </v>
      </c>
      <c r="Q61" s="180" t="str">
        <f aca="false">IF((D61="b"),F61," ")</f>
        <v> </v>
      </c>
      <c r="R61" s="180" t="str">
        <f aca="false">IF((D61="o"),F61," ")</f>
        <v> </v>
      </c>
      <c r="S61" s="180" t="str">
        <f aca="false">IF((D61="f"),F61," ")</f>
        <v> </v>
      </c>
      <c r="U61" s="371"/>
    </row>
    <row r="62" customFormat="false" ht="12.75" hidden="false" customHeight="false" outlineLevel="0" collapsed="false">
      <c r="D62" s="371" t="str">
        <f aca="false">IF((F62&lt;&gt;0),"Enter Letter"," ")</f>
        <v> </v>
      </c>
      <c r="G62" s="180" t="str">
        <f aca="false">IF((D62="d"),F62," ")</f>
        <v> </v>
      </c>
      <c r="H62" s="180" t="str">
        <f aca="false">IF((D62="h"),F62," ")</f>
        <v> </v>
      </c>
      <c r="I62" s="180" t="str">
        <f aca="false">IF((D62="r"),F62," ")</f>
        <v> </v>
      </c>
      <c r="J62" s="180" t="str">
        <f aca="false">IF((D62="t"),F62," ")</f>
        <v> </v>
      </c>
      <c r="K62" s="180" t="str">
        <f aca="false">IF((D62="e"),F62," ")</f>
        <v> </v>
      </c>
      <c r="L62" s="180" t="str">
        <f aca="false">IF((D62="p"),F62," ")</f>
        <v> </v>
      </c>
      <c r="M62" s="180" t="str">
        <f aca="false">IF((D62="g"),F62," ")</f>
        <v> </v>
      </c>
      <c r="N62" s="180" t="str">
        <f aca="false">IF((D62="a"),F62," ")</f>
        <v> </v>
      </c>
      <c r="O62" s="180" t="str">
        <f aca="false">IF((D62="l"),F62," ")</f>
        <v> </v>
      </c>
      <c r="P62" s="180" t="str">
        <f aca="false">IF((D62="i"),F62," ")</f>
        <v> </v>
      </c>
      <c r="Q62" s="180" t="str">
        <f aca="false">IF((D62="b"),F62," ")</f>
        <v> </v>
      </c>
      <c r="R62" s="180" t="str">
        <f aca="false">IF((D62="o"),F62," ")</f>
        <v> </v>
      </c>
      <c r="S62" s="180" t="str">
        <f aca="false">IF((D62="f"),F62," ")</f>
        <v> </v>
      </c>
      <c r="U62" s="371"/>
    </row>
    <row r="63" customFormat="false" ht="12.75" hidden="false" customHeight="false" outlineLevel="0" collapsed="false">
      <c r="D63" s="371" t="str">
        <f aca="false">IF((F63&lt;&gt;0),"Enter Letter"," ")</f>
        <v> </v>
      </c>
      <c r="G63" s="180" t="str">
        <f aca="false">IF((D63="d"),F63," ")</f>
        <v> </v>
      </c>
      <c r="H63" s="180" t="str">
        <f aca="false">IF((D63="h"),F63," ")</f>
        <v> </v>
      </c>
      <c r="I63" s="180" t="str">
        <f aca="false">IF((D63="r"),F63," ")</f>
        <v> </v>
      </c>
      <c r="J63" s="180" t="str">
        <f aca="false">IF((D63="t"),F63," ")</f>
        <v> </v>
      </c>
      <c r="K63" s="180" t="str">
        <f aca="false">IF((D63="e"),F63," ")</f>
        <v> </v>
      </c>
      <c r="L63" s="180" t="str">
        <f aca="false">IF((D63="p"),F63," ")</f>
        <v> </v>
      </c>
      <c r="M63" s="180" t="str">
        <f aca="false">IF((D63="g"),F63," ")</f>
        <v> </v>
      </c>
      <c r="N63" s="180" t="str">
        <f aca="false">IF((D63="a"),F63," ")</f>
        <v> </v>
      </c>
      <c r="O63" s="180" t="str">
        <f aca="false">IF((D63="l"),F63," ")</f>
        <v> </v>
      </c>
      <c r="P63" s="180" t="str">
        <f aca="false">IF((D63="i"),F63," ")</f>
        <v> </v>
      </c>
      <c r="Q63" s="180" t="str">
        <f aca="false">IF((D63="b"),F63," ")</f>
        <v> </v>
      </c>
      <c r="R63" s="180" t="str">
        <f aca="false">IF((D63="o"),F63," ")</f>
        <v> </v>
      </c>
      <c r="S63" s="180" t="str">
        <f aca="false">IF((D63="f"),F63," ")</f>
        <v> </v>
      </c>
      <c r="U63" s="371"/>
    </row>
    <row r="64" customFormat="false" ht="12.75" hidden="false" customHeight="false" outlineLevel="0" collapsed="false">
      <c r="D64" s="371" t="str">
        <f aca="false">IF((F64&lt;&gt;0),"Enter Letter"," ")</f>
        <v> </v>
      </c>
      <c r="G64" s="180" t="str">
        <f aca="false">IF((D64="d"),F64," ")</f>
        <v> </v>
      </c>
      <c r="H64" s="180" t="str">
        <f aca="false">IF((D64="h"),F64," ")</f>
        <v> </v>
      </c>
      <c r="I64" s="180" t="str">
        <f aca="false">IF((D64="r"),F64," ")</f>
        <v> </v>
      </c>
      <c r="J64" s="180" t="str">
        <f aca="false">IF((D64="t"),F64," ")</f>
        <v> </v>
      </c>
      <c r="K64" s="180" t="str">
        <f aca="false">IF((D64="e"),F64," ")</f>
        <v> </v>
      </c>
      <c r="L64" s="180" t="str">
        <f aca="false">IF((D64="p"),F64," ")</f>
        <v> </v>
      </c>
      <c r="M64" s="180" t="str">
        <f aca="false">IF((D64="g"),F64," ")</f>
        <v> </v>
      </c>
      <c r="N64" s="180" t="str">
        <f aca="false">IF((D64="a"),F64," ")</f>
        <v> </v>
      </c>
      <c r="O64" s="180" t="str">
        <f aca="false">IF((D64="l"),F64," ")</f>
        <v> </v>
      </c>
      <c r="P64" s="180" t="str">
        <f aca="false">IF((D64="i"),F64," ")</f>
        <v> </v>
      </c>
      <c r="Q64" s="180" t="str">
        <f aca="false">IF((D64="b"),F64," ")</f>
        <v> </v>
      </c>
      <c r="R64" s="180" t="str">
        <f aca="false">IF((D64="o"),F64," ")</f>
        <v> </v>
      </c>
      <c r="S64" s="180" t="str">
        <f aca="false">IF((D64="f"),F64," ")</f>
        <v> </v>
      </c>
      <c r="U64" s="371"/>
    </row>
    <row r="65" customFormat="false" ht="12.75" hidden="false" customHeight="false" outlineLevel="0" collapsed="false">
      <c r="D65" s="371" t="str">
        <f aca="false">IF((F65&lt;&gt;0),"Enter Letter"," ")</f>
        <v> </v>
      </c>
      <c r="G65" s="180" t="str">
        <f aca="false">IF((D65="d"),F65," ")</f>
        <v> </v>
      </c>
      <c r="H65" s="180" t="str">
        <f aca="false">IF((D65="h"),F65," ")</f>
        <v> </v>
      </c>
      <c r="I65" s="180" t="str">
        <f aca="false">IF((D65="r"),F65," ")</f>
        <v> </v>
      </c>
      <c r="J65" s="180" t="str">
        <f aca="false">IF((D65="t"),F65," ")</f>
        <v> </v>
      </c>
      <c r="K65" s="180" t="str">
        <f aca="false">IF((D65="e"),F65," ")</f>
        <v> </v>
      </c>
      <c r="L65" s="180" t="str">
        <f aca="false">IF((D65="p"),F65," ")</f>
        <v> </v>
      </c>
      <c r="M65" s="180" t="str">
        <f aca="false">IF((D65="g"),F65," ")</f>
        <v> </v>
      </c>
      <c r="N65" s="180" t="str">
        <f aca="false">IF((D65="a"),F65," ")</f>
        <v> </v>
      </c>
      <c r="O65" s="180" t="str">
        <f aca="false">IF((D65="l"),F65," ")</f>
        <v> </v>
      </c>
      <c r="P65" s="180" t="str">
        <f aca="false">IF((D65="i"),F65," ")</f>
        <v> </v>
      </c>
      <c r="Q65" s="180" t="str">
        <f aca="false">IF((D65="b"),F65," ")</f>
        <v> </v>
      </c>
      <c r="R65" s="180" t="str">
        <f aca="false">IF((D65="o"),F65," ")</f>
        <v> </v>
      </c>
      <c r="S65" s="180" t="str">
        <f aca="false">IF((D65="f"),F65," ")</f>
        <v> </v>
      </c>
      <c r="U65" s="371"/>
    </row>
    <row r="66" customFormat="false" ht="12.75" hidden="false" customHeight="false" outlineLevel="0" collapsed="false">
      <c r="D66" s="371" t="str">
        <f aca="false">IF((F66&lt;&gt;0),"Enter Letter"," ")</f>
        <v> </v>
      </c>
      <c r="G66" s="180" t="str">
        <f aca="false">IF((D66="d"),F66," ")</f>
        <v> </v>
      </c>
      <c r="H66" s="180" t="str">
        <f aca="false">IF((D66="h"),F66," ")</f>
        <v> </v>
      </c>
      <c r="I66" s="180" t="str">
        <f aca="false">IF((D66="r"),F66," ")</f>
        <v> </v>
      </c>
      <c r="J66" s="180" t="str">
        <f aca="false">IF((D66="t"),F66," ")</f>
        <v> </v>
      </c>
      <c r="K66" s="180" t="str">
        <f aca="false">IF((D66="e"),F66," ")</f>
        <v> </v>
      </c>
      <c r="L66" s="180" t="str">
        <f aca="false">IF((D66="p"),F66," ")</f>
        <v> </v>
      </c>
      <c r="M66" s="180" t="str">
        <f aca="false">IF((D66="g"),F66," ")</f>
        <v> </v>
      </c>
      <c r="N66" s="180" t="str">
        <f aca="false">IF((D66="a"),F66," ")</f>
        <v> </v>
      </c>
      <c r="O66" s="180" t="str">
        <f aca="false">IF((D66="l"),F66," ")</f>
        <v> </v>
      </c>
      <c r="P66" s="180" t="str">
        <f aca="false">IF((D66="i"),F66," ")</f>
        <v> </v>
      </c>
      <c r="Q66" s="180" t="str">
        <f aca="false">IF((D66="b"),F66," ")</f>
        <v> </v>
      </c>
      <c r="R66" s="180" t="str">
        <f aca="false">IF((D66="o"),F66," ")</f>
        <v> </v>
      </c>
      <c r="S66" s="180" t="str">
        <f aca="false">IF((D66="f"),F66," ")</f>
        <v> </v>
      </c>
      <c r="U66" s="371"/>
    </row>
    <row r="67" customFormat="false" ht="12.75" hidden="false" customHeight="false" outlineLevel="0" collapsed="false">
      <c r="D67" s="371" t="str">
        <f aca="false">IF((F67&lt;&gt;0),"Enter Letter"," ")</f>
        <v> </v>
      </c>
      <c r="G67" s="180" t="str">
        <f aca="false">IF((D67="d"),F67," ")</f>
        <v> </v>
      </c>
      <c r="H67" s="180" t="str">
        <f aca="false">IF((D67="h"),F67," ")</f>
        <v> </v>
      </c>
      <c r="I67" s="180" t="str">
        <f aca="false">IF((D67="r"),F67," ")</f>
        <v> </v>
      </c>
      <c r="J67" s="180" t="str">
        <f aca="false">IF((D67="t"),F67," ")</f>
        <v> </v>
      </c>
      <c r="K67" s="180" t="str">
        <f aca="false">IF((D67="e"),F67," ")</f>
        <v> </v>
      </c>
      <c r="L67" s="180" t="str">
        <f aca="false">IF((D67="p"),F67," ")</f>
        <v> </v>
      </c>
      <c r="M67" s="180" t="str">
        <f aca="false">IF((D67="g"),F67," ")</f>
        <v> </v>
      </c>
      <c r="N67" s="180" t="str">
        <f aca="false">IF((D67="a"),F67," ")</f>
        <v> </v>
      </c>
      <c r="O67" s="180" t="str">
        <f aca="false">IF((D67="l"),F67," ")</f>
        <v> </v>
      </c>
      <c r="P67" s="180" t="str">
        <f aca="false">IF((D67="i"),F67," ")</f>
        <v> </v>
      </c>
      <c r="Q67" s="180" t="str">
        <f aca="false">IF((D67="b"),F67," ")</f>
        <v> </v>
      </c>
      <c r="R67" s="180" t="str">
        <f aca="false">IF((D67="o"),F67," ")</f>
        <v> </v>
      </c>
      <c r="S67" s="180" t="str">
        <f aca="false">IF((D67="f"),F67," ")</f>
        <v> </v>
      </c>
      <c r="U67" s="371"/>
    </row>
    <row r="68" customFormat="false" ht="12.75" hidden="false" customHeight="false" outlineLevel="0" collapsed="false">
      <c r="D68" s="371" t="str">
        <f aca="false">IF((F68&lt;&gt;0),"Enter Letter"," ")</f>
        <v> </v>
      </c>
      <c r="G68" s="180" t="str">
        <f aca="false">IF((D68="d"),F68," ")</f>
        <v> </v>
      </c>
      <c r="H68" s="180" t="str">
        <f aca="false">IF((D68="h"),F68," ")</f>
        <v> </v>
      </c>
      <c r="I68" s="180" t="str">
        <f aca="false">IF((D68="r"),F68," ")</f>
        <v> </v>
      </c>
      <c r="J68" s="180" t="str">
        <f aca="false">IF((D68="t"),F68," ")</f>
        <v> </v>
      </c>
      <c r="K68" s="180" t="str">
        <f aca="false">IF((D68="e"),F68," ")</f>
        <v> </v>
      </c>
      <c r="L68" s="180" t="str">
        <f aca="false">IF((D68="p"),F68," ")</f>
        <v> </v>
      </c>
      <c r="M68" s="180" t="str">
        <f aca="false">IF((D68="g"),F68," ")</f>
        <v> </v>
      </c>
      <c r="N68" s="180" t="str">
        <f aca="false">IF((D68="a"),F68," ")</f>
        <v> </v>
      </c>
      <c r="O68" s="180" t="str">
        <f aca="false">IF((D68="l"),F68," ")</f>
        <v> </v>
      </c>
      <c r="P68" s="180" t="str">
        <f aca="false">IF((D68="i"),F68," ")</f>
        <v> </v>
      </c>
      <c r="Q68" s="180" t="str">
        <f aca="false">IF((D68="b"),F68," ")</f>
        <v> </v>
      </c>
      <c r="R68" s="180" t="str">
        <f aca="false">IF((D68="o"),F68," ")</f>
        <v> </v>
      </c>
      <c r="S68" s="180" t="str">
        <f aca="false">IF((D68="f"),F68," ")</f>
        <v> </v>
      </c>
      <c r="U68" s="371"/>
    </row>
    <row r="69" customFormat="false" ht="12.75" hidden="false" customHeight="false" outlineLevel="0" collapsed="false">
      <c r="D69" s="371" t="str">
        <f aca="false">IF((F69&lt;&gt;0),"Enter Letter"," ")</f>
        <v> </v>
      </c>
      <c r="G69" s="180" t="str">
        <f aca="false">IF((D69="d"),F69," ")</f>
        <v> </v>
      </c>
      <c r="H69" s="180" t="str">
        <f aca="false">IF((D69="h"),F69," ")</f>
        <v> </v>
      </c>
      <c r="I69" s="180" t="str">
        <f aca="false">IF((D69="r"),F69," ")</f>
        <v> </v>
      </c>
      <c r="J69" s="180" t="str">
        <f aca="false">IF((D69="t"),F69," ")</f>
        <v> </v>
      </c>
      <c r="K69" s="180" t="str">
        <f aca="false">IF((D69="e"),F69," ")</f>
        <v> </v>
      </c>
      <c r="L69" s="180" t="str">
        <f aca="false">IF((D69="p"),F69," ")</f>
        <v> </v>
      </c>
      <c r="M69" s="180" t="str">
        <f aca="false">IF((D69="g"),F69," ")</f>
        <v> </v>
      </c>
      <c r="N69" s="180" t="str">
        <f aca="false">IF((D69="a"),F69," ")</f>
        <v> </v>
      </c>
      <c r="O69" s="180" t="str">
        <f aca="false">IF((D69="l"),F69," ")</f>
        <v> </v>
      </c>
      <c r="P69" s="180" t="str">
        <f aca="false">IF((D69="i"),F69," ")</f>
        <v> </v>
      </c>
      <c r="Q69" s="180" t="str">
        <f aca="false">IF((D69="b"),F69," ")</f>
        <v> </v>
      </c>
      <c r="R69" s="180" t="str">
        <f aca="false">IF((D69="o"),F69," ")</f>
        <v> </v>
      </c>
      <c r="S69" s="180" t="str">
        <f aca="false">IF((D69="f"),F69," ")</f>
        <v> </v>
      </c>
      <c r="U69" s="371"/>
    </row>
    <row r="70" customFormat="false" ht="12.75" hidden="false" customHeight="false" outlineLevel="0" collapsed="false">
      <c r="D70" s="371" t="str">
        <f aca="false">IF((F70&lt;&gt;0),"Enter Letter"," ")</f>
        <v> </v>
      </c>
      <c r="G70" s="180" t="str">
        <f aca="false">IF((D70="d"),F70," ")</f>
        <v> </v>
      </c>
      <c r="H70" s="180" t="str">
        <f aca="false">IF((D70="h"),F70," ")</f>
        <v> </v>
      </c>
      <c r="I70" s="180" t="str">
        <f aca="false">IF((D70="r"),F70," ")</f>
        <v> </v>
      </c>
      <c r="J70" s="180" t="str">
        <f aca="false">IF((D70="t"),F70," ")</f>
        <v> </v>
      </c>
      <c r="K70" s="180" t="str">
        <f aca="false">IF((D70="e"),F70," ")</f>
        <v> </v>
      </c>
      <c r="L70" s="180" t="str">
        <f aca="false">IF((D70="p"),F70," ")</f>
        <v> </v>
      </c>
      <c r="M70" s="180" t="str">
        <f aca="false">IF((D70="g"),F70," ")</f>
        <v> </v>
      </c>
      <c r="N70" s="180" t="str">
        <f aca="false">IF((D70="a"),F70," ")</f>
        <v> </v>
      </c>
      <c r="O70" s="180" t="str">
        <f aca="false">IF((D70="l"),F70," ")</f>
        <v> </v>
      </c>
      <c r="P70" s="180" t="str">
        <f aca="false">IF((D70="i"),F70," ")</f>
        <v> </v>
      </c>
      <c r="Q70" s="180" t="str">
        <f aca="false">IF((D70="b"),F70," ")</f>
        <v> </v>
      </c>
      <c r="R70" s="180" t="str">
        <f aca="false">IF((D70="o"),F70," ")</f>
        <v> </v>
      </c>
      <c r="S70" s="180" t="str">
        <f aca="false">IF((D70="f"),F70," ")</f>
        <v> </v>
      </c>
      <c r="U70" s="371"/>
    </row>
    <row r="71" customFormat="false" ht="12.75" hidden="false" customHeight="false" outlineLevel="0" collapsed="false">
      <c r="D71" s="371" t="str">
        <f aca="false">IF((F71&lt;&gt;0),"Enter Letter"," ")</f>
        <v> </v>
      </c>
      <c r="G71" s="180" t="str">
        <f aca="false">IF((D71="d"),F71," ")</f>
        <v> </v>
      </c>
      <c r="H71" s="180" t="str">
        <f aca="false">IF((D71="h"),F71," ")</f>
        <v> </v>
      </c>
      <c r="I71" s="180" t="str">
        <f aca="false">IF((D71="r"),F71," ")</f>
        <v> </v>
      </c>
      <c r="J71" s="180" t="str">
        <f aca="false">IF((D71="t"),F71," ")</f>
        <v> </v>
      </c>
      <c r="K71" s="180" t="str">
        <f aca="false">IF((D71="e"),F71," ")</f>
        <v> </v>
      </c>
      <c r="L71" s="180" t="str">
        <f aca="false">IF((D71="p"),F71," ")</f>
        <v> </v>
      </c>
      <c r="M71" s="180" t="str">
        <f aca="false">IF((D71="g"),F71," ")</f>
        <v> </v>
      </c>
      <c r="N71" s="180" t="str">
        <f aca="false">IF((D71="a"),F71," ")</f>
        <v> </v>
      </c>
      <c r="O71" s="180" t="str">
        <f aca="false">IF((D71="l"),F71," ")</f>
        <v> </v>
      </c>
      <c r="P71" s="180" t="str">
        <f aca="false">IF((D71="i"),F71," ")</f>
        <v> </v>
      </c>
      <c r="Q71" s="180" t="str">
        <f aca="false">IF((D71="b"),F71," ")</f>
        <v> </v>
      </c>
      <c r="R71" s="180" t="str">
        <f aca="false">IF((D71="o"),F71," ")</f>
        <v> </v>
      </c>
      <c r="S71" s="180" t="str">
        <f aca="false">IF((D71="f"),F71," ")</f>
        <v> </v>
      </c>
      <c r="U71" s="371"/>
    </row>
    <row r="72" customFormat="false" ht="12.75" hidden="false" customHeight="false" outlineLevel="0" collapsed="false">
      <c r="D72" s="371" t="str">
        <f aca="false">IF((F72&lt;&gt;0),"Enter Letter"," ")</f>
        <v> </v>
      </c>
      <c r="G72" s="180" t="str">
        <f aca="false">IF((D72="d"),F72," ")</f>
        <v> </v>
      </c>
      <c r="H72" s="180" t="str">
        <f aca="false">IF((D72="h"),F72," ")</f>
        <v> </v>
      </c>
      <c r="I72" s="180" t="str">
        <f aca="false">IF((D72="r"),F72," ")</f>
        <v> </v>
      </c>
      <c r="J72" s="180" t="str">
        <f aca="false">IF((D72="t"),F72," ")</f>
        <v> </v>
      </c>
      <c r="K72" s="180" t="str">
        <f aca="false">IF((D72="e"),F72," ")</f>
        <v> </v>
      </c>
      <c r="L72" s="180" t="str">
        <f aca="false">IF((D72="p"),F72," ")</f>
        <v> </v>
      </c>
      <c r="M72" s="180" t="str">
        <f aca="false">IF((D72="g"),F72," ")</f>
        <v> </v>
      </c>
      <c r="N72" s="180" t="str">
        <f aca="false">IF((D72="a"),F72," ")</f>
        <v> </v>
      </c>
      <c r="O72" s="180" t="str">
        <f aca="false">IF((D72="l"),F72," ")</f>
        <v> </v>
      </c>
      <c r="P72" s="180" t="str">
        <f aca="false">IF((D72="i"),F72," ")</f>
        <v> </v>
      </c>
      <c r="Q72" s="180" t="str">
        <f aca="false">IF((D72="b"),F72," ")</f>
        <v> </v>
      </c>
      <c r="R72" s="180" t="str">
        <f aca="false">IF((D72="o"),F72," ")</f>
        <v> </v>
      </c>
      <c r="S72" s="180" t="str">
        <f aca="false">IF((D72="f"),F72," ")</f>
        <v> </v>
      </c>
      <c r="U72" s="371"/>
    </row>
    <row r="73" customFormat="false" ht="12.75" hidden="false" customHeight="false" outlineLevel="0" collapsed="false">
      <c r="D73" s="371" t="str">
        <f aca="false">IF((F73&lt;&gt;0),"Enter Letter"," ")</f>
        <v> </v>
      </c>
      <c r="G73" s="180" t="str">
        <f aca="false">IF((D73="d"),F73," ")</f>
        <v> </v>
      </c>
      <c r="H73" s="180" t="str">
        <f aca="false">IF((D73="h"),F73," ")</f>
        <v> </v>
      </c>
      <c r="I73" s="180" t="str">
        <f aca="false">IF((D73="r"),F73," ")</f>
        <v> </v>
      </c>
      <c r="J73" s="180" t="str">
        <f aca="false">IF((D73="t"),F73," ")</f>
        <v> </v>
      </c>
      <c r="K73" s="180" t="str">
        <f aca="false">IF((D73="e"),F73," ")</f>
        <v> </v>
      </c>
      <c r="L73" s="180" t="str">
        <f aca="false">IF((D73="p"),F73," ")</f>
        <v> </v>
      </c>
      <c r="M73" s="180" t="str">
        <f aca="false">IF((D73="g"),F73," ")</f>
        <v> </v>
      </c>
      <c r="N73" s="180" t="str">
        <f aca="false">IF((D73="a"),F73," ")</f>
        <v> </v>
      </c>
      <c r="O73" s="180" t="str">
        <f aca="false">IF((D73="l"),F73," ")</f>
        <v> </v>
      </c>
      <c r="P73" s="180" t="str">
        <f aca="false">IF((D73="i"),F73," ")</f>
        <v> </v>
      </c>
      <c r="Q73" s="180" t="str">
        <f aca="false">IF((D73="b"),F73," ")</f>
        <v> </v>
      </c>
      <c r="R73" s="180" t="str">
        <f aca="false">IF((D73="o"),F73," ")</f>
        <v> </v>
      </c>
      <c r="S73" s="180" t="str">
        <f aca="false">IF((D73="f"),F73," ")</f>
        <v> </v>
      </c>
      <c r="U73" s="371"/>
    </row>
    <row r="74" customFormat="false" ht="12.75" hidden="false" customHeight="false" outlineLevel="0" collapsed="false">
      <c r="D74" s="371" t="str">
        <f aca="false">IF((F74&lt;&gt;0),"Enter Letter"," ")</f>
        <v> </v>
      </c>
      <c r="G74" s="180" t="str">
        <f aca="false">IF((D74="d"),F74," ")</f>
        <v> </v>
      </c>
      <c r="H74" s="180" t="str">
        <f aca="false">IF((D74="h"),F74," ")</f>
        <v> </v>
      </c>
      <c r="I74" s="180" t="str">
        <f aca="false">IF((D74="r"),F74," ")</f>
        <v> </v>
      </c>
      <c r="J74" s="180" t="str">
        <f aca="false">IF((D74="t"),F74," ")</f>
        <v> </v>
      </c>
      <c r="K74" s="180" t="str">
        <f aca="false">IF((D74="e"),F74," ")</f>
        <v> </v>
      </c>
      <c r="L74" s="180" t="str">
        <f aca="false">IF((D74="p"),F74," ")</f>
        <v> </v>
      </c>
      <c r="M74" s="180" t="str">
        <f aca="false">IF((D74="g"),F74," ")</f>
        <v> </v>
      </c>
      <c r="N74" s="180" t="str">
        <f aca="false">IF((D74="a"),F74," ")</f>
        <v> </v>
      </c>
      <c r="O74" s="180" t="str">
        <f aca="false">IF((D74="l"),F74," ")</f>
        <v> </v>
      </c>
      <c r="P74" s="180" t="str">
        <f aca="false">IF((D74="i"),F74," ")</f>
        <v> </v>
      </c>
      <c r="Q74" s="180" t="str">
        <f aca="false">IF((D74="b"),F74," ")</f>
        <v> </v>
      </c>
      <c r="R74" s="180" t="str">
        <f aca="false">IF((D74="o"),F74," ")</f>
        <v> </v>
      </c>
      <c r="S74" s="180" t="str">
        <f aca="false">IF((D74="f"),F74," ")</f>
        <v> </v>
      </c>
      <c r="U74" s="371"/>
    </row>
    <row r="75" customFormat="false" ht="12.75" hidden="false" customHeight="false" outlineLevel="0" collapsed="false">
      <c r="D75" s="371" t="str">
        <f aca="false">IF((F75&lt;&gt;0),"Enter Letter"," ")</f>
        <v> </v>
      </c>
      <c r="G75" s="180" t="str">
        <f aca="false">IF((D75="d"),F75," ")</f>
        <v> </v>
      </c>
      <c r="H75" s="180" t="str">
        <f aca="false">IF((D75="h"),F75," ")</f>
        <v> </v>
      </c>
      <c r="I75" s="180" t="str">
        <f aca="false">IF((D75="r"),F75," ")</f>
        <v> </v>
      </c>
      <c r="J75" s="180" t="str">
        <f aca="false">IF((D75="t"),F75," ")</f>
        <v> </v>
      </c>
      <c r="K75" s="180" t="str">
        <f aca="false">IF((D75="e"),F75," ")</f>
        <v> </v>
      </c>
      <c r="L75" s="180" t="str">
        <f aca="false">IF((D75="p"),F75," ")</f>
        <v> </v>
      </c>
      <c r="M75" s="180" t="str">
        <f aca="false">IF((D75="g"),F75," ")</f>
        <v> </v>
      </c>
      <c r="N75" s="180" t="str">
        <f aca="false">IF((D75="a"),F75," ")</f>
        <v> </v>
      </c>
      <c r="O75" s="180" t="str">
        <f aca="false">IF((D75="l"),F75," ")</f>
        <v> </v>
      </c>
      <c r="P75" s="180" t="str">
        <f aca="false">IF((D75="i"),F75," ")</f>
        <v> </v>
      </c>
      <c r="Q75" s="180" t="str">
        <f aca="false">IF((D75="b"),F75," ")</f>
        <v> </v>
      </c>
      <c r="R75" s="180" t="str">
        <f aca="false">IF((D75="o"),F75," ")</f>
        <v> </v>
      </c>
      <c r="S75" s="180" t="str">
        <f aca="false">IF((D75="f"),F75," ")</f>
        <v> </v>
      </c>
      <c r="U75" s="371"/>
    </row>
    <row r="76" customFormat="false" ht="12.75" hidden="false" customHeight="false" outlineLevel="0" collapsed="false">
      <c r="D76" s="371" t="str">
        <f aca="false">IF((F76&lt;&gt;0),"Enter Letter"," ")</f>
        <v> </v>
      </c>
      <c r="G76" s="180" t="str">
        <f aca="false">IF((D76="d"),F76," ")</f>
        <v> </v>
      </c>
      <c r="H76" s="180" t="str">
        <f aca="false">IF((D76="h"),F76," ")</f>
        <v> </v>
      </c>
      <c r="I76" s="180" t="str">
        <f aca="false">IF((D76="r"),F76," ")</f>
        <v> </v>
      </c>
      <c r="J76" s="180" t="str">
        <f aca="false">IF((D76="t"),F76," ")</f>
        <v> </v>
      </c>
      <c r="K76" s="180" t="str">
        <f aca="false">IF((D76="e"),F76," ")</f>
        <v> </v>
      </c>
      <c r="L76" s="180" t="str">
        <f aca="false">IF((D76="p"),F76," ")</f>
        <v> </v>
      </c>
      <c r="M76" s="180" t="str">
        <f aca="false">IF((D76="g"),F76," ")</f>
        <v> </v>
      </c>
      <c r="N76" s="180" t="str">
        <f aca="false">IF((D76="a"),F76," ")</f>
        <v> </v>
      </c>
      <c r="O76" s="180" t="str">
        <f aca="false">IF((D76="l"),F76," ")</f>
        <v> </v>
      </c>
      <c r="P76" s="180" t="str">
        <f aca="false">IF((D76="i"),F76," ")</f>
        <v> </v>
      </c>
      <c r="Q76" s="180" t="str">
        <f aca="false">IF((D76="b"),F76," ")</f>
        <v> </v>
      </c>
      <c r="R76" s="180" t="str">
        <f aca="false">IF((D76="o"),F76," ")</f>
        <v> </v>
      </c>
      <c r="S76" s="180" t="str">
        <f aca="false">IF((D76="f"),F76," ")</f>
        <v> </v>
      </c>
      <c r="U76" s="371"/>
    </row>
    <row r="77" customFormat="false" ht="12.75" hidden="false" customHeight="false" outlineLevel="0" collapsed="false">
      <c r="D77" s="371" t="str">
        <f aca="false">IF((F77&lt;&gt;0),"Enter Letter"," ")</f>
        <v> </v>
      </c>
      <c r="G77" s="180" t="str">
        <f aca="false">IF((D77="d"),F77," ")</f>
        <v> </v>
      </c>
      <c r="H77" s="180" t="str">
        <f aca="false">IF((D77="h"),F77," ")</f>
        <v> </v>
      </c>
      <c r="I77" s="180" t="str">
        <f aca="false">IF((D77="r"),F77," ")</f>
        <v> </v>
      </c>
      <c r="J77" s="180" t="str">
        <f aca="false">IF((D77="t"),F77," ")</f>
        <v> </v>
      </c>
      <c r="K77" s="180" t="str">
        <f aca="false">IF((D77="e"),F77," ")</f>
        <v> </v>
      </c>
      <c r="L77" s="180" t="str">
        <f aca="false">IF((D77="p"),F77," ")</f>
        <v> </v>
      </c>
      <c r="M77" s="180" t="str">
        <f aca="false">IF((D77="g"),F77," ")</f>
        <v> </v>
      </c>
      <c r="N77" s="180" t="str">
        <f aca="false">IF((D77="a"),F77," ")</f>
        <v> </v>
      </c>
      <c r="O77" s="180" t="str">
        <f aca="false">IF((D77="l"),F77," ")</f>
        <v> </v>
      </c>
      <c r="P77" s="180" t="str">
        <f aca="false">IF((D77="i"),F77," ")</f>
        <v> </v>
      </c>
      <c r="Q77" s="180" t="str">
        <f aca="false">IF((D77="b"),F77," ")</f>
        <v> </v>
      </c>
      <c r="R77" s="180" t="str">
        <f aca="false">IF((D77="o"),F77," ")</f>
        <v> </v>
      </c>
      <c r="S77" s="180" t="str">
        <f aca="false">IF((D77="f"),F77," ")</f>
        <v> </v>
      </c>
      <c r="U77" s="371"/>
    </row>
    <row r="78" customFormat="false" ht="12.75" hidden="false" customHeight="false" outlineLevel="0" collapsed="false">
      <c r="D78" s="371" t="str">
        <f aca="false">IF((F78&lt;&gt;0),"Enter Letter"," ")</f>
        <v> </v>
      </c>
      <c r="G78" s="180" t="str">
        <f aca="false">IF((D78="d"),F78," ")</f>
        <v> </v>
      </c>
      <c r="H78" s="180" t="str">
        <f aca="false">IF((D78="h"),F78," ")</f>
        <v> </v>
      </c>
      <c r="I78" s="180" t="str">
        <f aca="false">IF((D78="r"),F78," ")</f>
        <v> </v>
      </c>
      <c r="J78" s="180" t="str">
        <f aca="false">IF((D78="t"),F78," ")</f>
        <v> </v>
      </c>
      <c r="K78" s="180" t="str">
        <f aca="false">IF((D78="e"),F78," ")</f>
        <v> </v>
      </c>
      <c r="L78" s="180" t="str">
        <f aca="false">IF((D78="p"),F78," ")</f>
        <v> </v>
      </c>
      <c r="M78" s="180" t="str">
        <f aca="false">IF((D78="g"),F78," ")</f>
        <v> </v>
      </c>
      <c r="N78" s="180" t="str">
        <f aca="false">IF((D78="a"),F78," ")</f>
        <v> </v>
      </c>
      <c r="O78" s="180" t="str">
        <f aca="false">IF((D78="l"),F78," ")</f>
        <v> </v>
      </c>
      <c r="P78" s="180" t="str">
        <f aca="false">IF((D78="i"),F78," ")</f>
        <v> </v>
      </c>
      <c r="Q78" s="180" t="str">
        <f aca="false">IF((D78="b"),F78," ")</f>
        <v> </v>
      </c>
      <c r="R78" s="180" t="str">
        <f aca="false">IF((D78="o"),F78," ")</f>
        <v> </v>
      </c>
      <c r="S78" s="180" t="str">
        <f aca="false">IF((D78="f"),F78," ")</f>
        <v> </v>
      </c>
      <c r="U78" s="371"/>
    </row>
    <row r="79" customFormat="false" ht="12.75" hidden="false" customHeight="false" outlineLevel="0" collapsed="false">
      <c r="D79" s="371" t="str">
        <f aca="false">IF((F79&lt;&gt;0),"Enter Letter"," ")</f>
        <v> </v>
      </c>
      <c r="G79" s="180" t="str">
        <f aca="false">IF((D79="d"),F79," ")</f>
        <v> </v>
      </c>
      <c r="H79" s="180" t="str">
        <f aca="false">IF((D79="h"),F79," ")</f>
        <v> </v>
      </c>
      <c r="I79" s="180" t="str">
        <f aca="false">IF((D79="r"),F79," ")</f>
        <v> </v>
      </c>
      <c r="J79" s="180" t="str">
        <f aca="false">IF((D79="t"),F79," ")</f>
        <v> </v>
      </c>
      <c r="K79" s="180" t="str">
        <f aca="false">IF((D79="e"),F79," ")</f>
        <v> </v>
      </c>
      <c r="L79" s="180" t="str">
        <f aca="false">IF((D79="p"),F79," ")</f>
        <v> </v>
      </c>
      <c r="M79" s="180" t="str">
        <f aca="false">IF((D79="g"),F79," ")</f>
        <v> </v>
      </c>
      <c r="N79" s="180" t="str">
        <f aca="false">IF((D79="a"),F79," ")</f>
        <v> </v>
      </c>
      <c r="O79" s="180" t="str">
        <f aca="false">IF((D79="l"),F79," ")</f>
        <v> </v>
      </c>
      <c r="P79" s="180" t="str">
        <f aca="false">IF((D79="i"),F79," ")</f>
        <v> </v>
      </c>
      <c r="Q79" s="180" t="str">
        <f aca="false">IF((D79="b"),F79," ")</f>
        <v> </v>
      </c>
      <c r="R79" s="180" t="str">
        <f aca="false">IF((D79="o"),F79," ")</f>
        <v> </v>
      </c>
      <c r="S79" s="180" t="str">
        <f aca="false">IF((D79="f"),F79," ")</f>
        <v> </v>
      </c>
      <c r="U79" s="371"/>
    </row>
    <row r="80" customFormat="false" ht="12.75" hidden="false" customHeight="false" outlineLevel="0" collapsed="false">
      <c r="D80" s="371" t="str">
        <f aca="false">IF((F80&lt;&gt;0),"Enter Letter"," ")</f>
        <v> </v>
      </c>
      <c r="G80" s="180" t="str">
        <f aca="false">IF((D80="d"),F80," ")</f>
        <v> </v>
      </c>
      <c r="H80" s="180" t="str">
        <f aca="false">IF((D80="h"),F80," ")</f>
        <v> </v>
      </c>
      <c r="I80" s="180" t="str">
        <f aca="false">IF((D80="r"),F80," ")</f>
        <v> </v>
      </c>
      <c r="J80" s="180" t="str">
        <f aca="false">IF((D80="t"),F80," ")</f>
        <v> </v>
      </c>
      <c r="K80" s="180" t="str">
        <f aca="false">IF((D80="e"),F80," ")</f>
        <v> </v>
      </c>
      <c r="L80" s="180" t="str">
        <f aca="false">IF((D80="p"),F80," ")</f>
        <v> </v>
      </c>
      <c r="M80" s="180" t="str">
        <f aca="false">IF((D80="g"),F80," ")</f>
        <v> </v>
      </c>
      <c r="N80" s="180" t="str">
        <f aca="false">IF((D80="a"),F80," ")</f>
        <v> </v>
      </c>
      <c r="O80" s="180" t="str">
        <f aca="false">IF((D80="l"),F80," ")</f>
        <v> </v>
      </c>
      <c r="P80" s="180" t="str">
        <f aca="false">IF((D80="i"),F80," ")</f>
        <v> </v>
      </c>
      <c r="Q80" s="180" t="str">
        <f aca="false">IF((D80="b"),F80," ")</f>
        <v> </v>
      </c>
      <c r="R80" s="180" t="str">
        <f aca="false">IF((D80="o"),F80," ")</f>
        <v> </v>
      </c>
      <c r="S80" s="180" t="str">
        <f aca="false">IF((D80="f"),F80," ")</f>
        <v> </v>
      </c>
      <c r="U80" s="371"/>
    </row>
    <row r="81" customFormat="false" ht="12.75" hidden="false" customHeight="false" outlineLevel="0" collapsed="false">
      <c r="D81" s="371" t="str">
        <f aca="false">IF((F81&lt;&gt;0),"Enter Letter"," ")</f>
        <v> </v>
      </c>
      <c r="G81" s="180" t="str">
        <f aca="false">IF((D81="d"),F81," ")</f>
        <v> </v>
      </c>
      <c r="H81" s="180" t="str">
        <f aca="false">IF((D81="h"),F81," ")</f>
        <v> </v>
      </c>
      <c r="I81" s="180" t="str">
        <f aca="false">IF((D81="r"),F81," ")</f>
        <v> </v>
      </c>
      <c r="J81" s="180" t="str">
        <f aca="false">IF((D81="t"),F81," ")</f>
        <v> </v>
      </c>
      <c r="K81" s="180" t="str">
        <f aca="false">IF((D81="e"),F81," ")</f>
        <v> </v>
      </c>
      <c r="L81" s="180" t="str">
        <f aca="false">IF((D81="p"),F81," ")</f>
        <v> </v>
      </c>
      <c r="M81" s="180" t="str">
        <f aca="false">IF((D81="g"),F81," ")</f>
        <v> </v>
      </c>
      <c r="N81" s="180" t="str">
        <f aca="false">IF((D81="a"),F81," ")</f>
        <v> </v>
      </c>
      <c r="O81" s="180" t="str">
        <f aca="false">IF((D81="l"),F81," ")</f>
        <v> </v>
      </c>
      <c r="P81" s="180" t="str">
        <f aca="false">IF((D81="i"),F81," ")</f>
        <v> </v>
      </c>
      <c r="Q81" s="180" t="str">
        <f aca="false">IF((D81="b"),F81," ")</f>
        <v> </v>
      </c>
      <c r="R81" s="180" t="str">
        <f aca="false">IF((D81="o"),F81," ")</f>
        <v> </v>
      </c>
      <c r="S81" s="180" t="str">
        <f aca="false">IF((D81="f"),F81," ")</f>
        <v> </v>
      </c>
      <c r="U81" s="371"/>
    </row>
    <row r="82" customFormat="false" ht="12.75" hidden="false" customHeight="false" outlineLevel="0" collapsed="false">
      <c r="D82" s="371" t="str">
        <f aca="false">IF((F82&lt;&gt;0),"Enter Letter"," ")</f>
        <v> </v>
      </c>
      <c r="G82" s="180" t="str">
        <f aca="false">IF((D82="d"),F82," ")</f>
        <v> </v>
      </c>
      <c r="H82" s="180" t="str">
        <f aca="false">IF((D82="h"),F82," ")</f>
        <v> </v>
      </c>
      <c r="I82" s="180" t="str">
        <f aca="false">IF((D82="r"),F82," ")</f>
        <v> </v>
      </c>
      <c r="J82" s="180" t="str">
        <f aca="false">IF((D82="t"),F82," ")</f>
        <v> </v>
      </c>
      <c r="K82" s="180" t="str">
        <f aca="false">IF((D82="e"),F82," ")</f>
        <v> </v>
      </c>
      <c r="L82" s="180" t="str">
        <f aca="false">IF((D82="p"),F82," ")</f>
        <v> </v>
      </c>
      <c r="M82" s="180" t="str">
        <f aca="false">IF((D82="g"),F82," ")</f>
        <v> </v>
      </c>
      <c r="N82" s="180" t="str">
        <f aca="false">IF((D82="a"),F82," ")</f>
        <v> </v>
      </c>
      <c r="O82" s="180" t="str">
        <f aca="false">IF((D82="l"),F82," ")</f>
        <v> </v>
      </c>
      <c r="P82" s="180" t="str">
        <f aca="false">IF((D82="i"),F82," ")</f>
        <v> </v>
      </c>
      <c r="Q82" s="180" t="str">
        <f aca="false">IF((D82="b"),F82," ")</f>
        <v> </v>
      </c>
      <c r="R82" s="180" t="str">
        <f aca="false">IF((D82="o"),F82," ")</f>
        <v> </v>
      </c>
      <c r="S82" s="180" t="str">
        <f aca="false">IF((D82="f"),F82," ")</f>
        <v> </v>
      </c>
      <c r="U82" s="371"/>
    </row>
    <row r="83" customFormat="false" ht="12.75" hidden="false" customHeight="false" outlineLevel="0" collapsed="false">
      <c r="D83" s="371" t="str">
        <f aca="false">IF((F83&lt;&gt;0),"Enter Letter"," ")</f>
        <v> </v>
      </c>
      <c r="G83" s="180" t="str">
        <f aca="false">IF((D83="d"),F83," ")</f>
        <v> </v>
      </c>
      <c r="H83" s="180" t="str">
        <f aca="false">IF((D83="h"),F83," ")</f>
        <v> </v>
      </c>
      <c r="I83" s="180" t="str">
        <f aca="false">IF((D83="r"),F83," ")</f>
        <v> </v>
      </c>
      <c r="J83" s="180" t="str">
        <f aca="false">IF((D83="t"),F83," ")</f>
        <v> </v>
      </c>
      <c r="K83" s="180" t="str">
        <f aca="false">IF((D83="e"),F83," ")</f>
        <v> </v>
      </c>
      <c r="L83" s="180" t="str">
        <f aca="false">IF((D83="p"),F83," ")</f>
        <v> </v>
      </c>
      <c r="M83" s="180" t="str">
        <f aca="false">IF((D83="g"),F83," ")</f>
        <v> </v>
      </c>
      <c r="N83" s="180" t="str">
        <f aca="false">IF((D83="a"),F83," ")</f>
        <v> </v>
      </c>
      <c r="O83" s="180" t="str">
        <f aca="false">IF((D83="l"),F83," ")</f>
        <v> </v>
      </c>
      <c r="P83" s="180" t="str">
        <f aca="false">IF((D83="i"),F83," ")</f>
        <v> </v>
      </c>
      <c r="Q83" s="180" t="str">
        <f aca="false">IF((D83="b"),F83," ")</f>
        <v> </v>
      </c>
      <c r="R83" s="180" t="str">
        <f aca="false">IF((D83="o"),F83," ")</f>
        <v> </v>
      </c>
      <c r="S83" s="180" t="str">
        <f aca="false">IF((D83="f"),F83," ")</f>
        <v> </v>
      </c>
      <c r="U83" s="371"/>
    </row>
    <row r="84" customFormat="false" ht="12.75" hidden="false" customHeight="false" outlineLevel="0" collapsed="false">
      <c r="D84" s="371" t="str">
        <f aca="false">IF((F84&lt;&gt;0),"Enter Letter"," ")</f>
        <v> </v>
      </c>
      <c r="G84" s="180" t="str">
        <f aca="false">IF((D84="d"),F84," ")</f>
        <v> </v>
      </c>
      <c r="H84" s="180" t="str">
        <f aca="false">IF((D84="h"),F84," ")</f>
        <v> </v>
      </c>
      <c r="I84" s="180" t="str">
        <f aca="false">IF((D84="r"),F84," ")</f>
        <v> </v>
      </c>
      <c r="J84" s="180" t="str">
        <f aca="false">IF((D84="t"),F84," ")</f>
        <v> </v>
      </c>
      <c r="K84" s="180" t="str">
        <f aca="false">IF((D84="e"),F84," ")</f>
        <v> </v>
      </c>
      <c r="L84" s="180" t="str">
        <f aca="false">IF((D84="p"),F84," ")</f>
        <v> </v>
      </c>
      <c r="M84" s="180" t="str">
        <f aca="false">IF((D84="g"),F84," ")</f>
        <v> </v>
      </c>
      <c r="N84" s="180" t="str">
        <f aca="false">IF((D84="a"),F84," ")</f>
        <v> </v>
      </c>
      <c r="O84" s="180" t="str">
        <f aca="false">IF((D84="l"),F84," ")</f>
        <v> </v>
      </c>
      <c r="P84" s="180" t="str">
        <f aca="false">IF((D84="i"),F84," ")</f>
        <v> </v>
      </c>
      <c r="Q84" s="180" t="str">
        <f aca="false">IF((D84="b"),F84," ")</f>
        <v> </v>
      </c>
      <c r="R84" s="180" t="str">
        <f aca="false">IF((D84="o"),F84," ")</f>
        <v> </v>
      </c>
      <c r="S84" s="180" t="str">
        <f aca="false">IF((D84="f"),F84," ")</f>
        <v> </v>
      </c>
      <c r="U84" s="371"/>
    </row>
    <row r="85" customFormat="false" ht="12.75" hidden="false" customHeight="false" outlineLevel="0" collapsed="false">
      <c r="D85" s="371" t="str">
        <f aca="false">IF((F85&lt;&gt;0),"Enter Letter"," ")</f>
        <v> </v>
      </c>
      <c r="G85" s="180" t="str">
        <f aca="false">IF((D85="d"),F85," ")</f>
        <v> </v>
      </c>
      <c r="H85" s="180" t="str">
        <f aca="false">IF((D85="h"),F85," ")</f>
        <v> </v>
      </c>
      <c r="I85" s="180" t="str">
        <f aca="false">IF((D85="r"),F85," ")</f>
        <v> </v>
      </c>
      <c r="J85" s="180" t="str">
        <f aca="false">IF((D85="t"),F85," ")</f>
        <v> </v>
      </c>
      <c r="K85" s="180" t="str">
        <f aca="false">IF((D85="e"),F85," ")</f>
        <v> </v>
      </c>
      <c r="L85" s="180" t="str">
        <f aca="false">IF((D85="p"),F85," ")</f>
        <v> </v>
      </c>
      <c r="M85" s="180" t="str">
        <f aca="false">IF((D85="g"),F85," ")</f>
        <v> </v>
      </c>
      <c r="N85" s="180" t="str">
        <f aca="false">IF((D85="a"),F85," ")</f>
        <v> </v>
      </c>
      <c r="O85" s="180" t="str">
        <f aca="false">IF((D85="l"),F85," ")</f>
        <v> </v>
      </c>
      <c r="P85" s="180" t="str">
        <f aca="false">IF((D85="i"),F85," ")</f>
        <v> </v>
      </c>
      <c r="Q85" s="180" t="str">
        <f aca="false">IF((D85="b"),F85," ")</f>
        <v> </v>
      </c>
      <c r="R85" s="180" t="str">
        <f aca="false">IF((D85="o"),F85," ")</f>
        <v> </v>
      </c>
      <c r="S85" s="180" t="str">
        <f aca="false">IF((D85="f"),F85," ")</f>
        <v> </v>
      </c>
      <c r="U85" s="371"/>
    </row>
    <row r="86" customFormat="false" ht="12.75" hidden="false" customHeight="false" outlineLevel="0" collapsed="false">
      <c r="D86" s="371" t="str">
        <f aca="false">IF((F86&lt;&gt;0),"Enter Letter"," ")</f>
        <v> </v>
      </c>
      <c r="G86" s="180" t="str">
        <f aca="false">IF((D86="d"),F86," ")</f>
        <v> </v>
      </c>
      <c r="H86" s="180" t="str">
        <f aca="false">IF((D86="h"),F86," ")</f>
        <v> </v>
      </c>
      <c r="I86" s="180" t="str">
        <f aca="false">IF((D86="r"),F86," ")</f>
        <v> </v>
      </c>
      <c r="J86" s="180" t="str">
        <f aca="false">IF((D86="t"),F86," ")</f>
        <v> </v>
      </c>
      <c r="K86" s="180" t="str">
        <f aca="false">IF((D86="e"),F86," ")</f>
        <v> </v>
      </c>
      <c r="L86" s="180" t="str">
        <f aca="false">IF((D86="p"),F86," ")</f>
        <v> </v>
      </c>
      <c r="M86" s="180" t="str">
        <f aca="false">IF((D86="g"),F86," ")</f>
        <v> </v>
      </c>
      <c r="N86" s="180" t="str">
        <f aca="false">IF((D86="a"),F86," ")</f>
        <v> </v>
      </c>
      <c r="O86" s="180" t="str">
        <f aca="false">IF((D86="l"),F86," ")</f>
        <v> </v>
      </c>
      <c r="P86" s="180" t="str">
        <f aca="false">IF((D86="i"),F86," ")</f>
        <v> </v>
      </c>
      <c r="Q86" s="180" t="str">
        <f aca="false">IF((D86="b"),F86," ")</f>
        <v> </v>
      </c>
      <c r="R86" s="180" t="str">
        <f aca="false">IF((D86="o"),F86," ")</f>
        <v> </v>
      </c>
      <c r="S86" s="180" t="str">
        <f aca="false">IF((D86="f"),F86," ")</f>
        <v> </v>
      </c>
      <c r="U86" s="371"/>
    </row>
    <row r="87" customFormat="false" ht="12.75" hidden="false" customHeight="false" outlineLevel="0" collapsed="false">
      <c r="D87" s="371" t="str">
        <f aca="false">IF((F87&lt;&gt;0),"Enter Letter"," ")</f>
        <v> </v>
      </c>
      <c r="G87" s="180" t="str">
        <f aca="false">IF((D87="d"),F87," ")</f>
        <v> </v>
      </c>
      <c r="H87" s="180" t="str">
        <f aca="false">IF((D87="h"),F87," ")</f>
        <v> </v>
      </c>
      <c r="I87" s="180" t="str">
        <f aca="false">IF((D87="r"),F87," ")</f>
        <v> </v>
      </c>
      <c r="J87" s="180" t="str">
        <f aca="false">IF((D87="t"),F87," ")</f>
        <v> </v>
      </c>
      <c r="K87" s="180" t="str">
        <f aca="false">IF((D87="e"),F87," ")</f>
        <v> </v>
      </c>
      <c r="L87" s="180" t="str">
        <f aca="false">IF((D87="p"),F87," ")</f>
        <v> </v>
      </c>
      <c r="M87" s="180" t="str">
        <f aca="false">IF((D87="g"),F87," ")</f>
        <v> </v>
      </c>
      <c r="N87" s="180" t="str">
        <f aca="false">IF((D87="a"),F87," ")</f>
        <v> </v>
      </c>
      <c r="O87" s="180" t="str">
        <f aca="false">IF((D87="l"),F87," ")</f>
        <v> </v>
      </c>
      <c r="P87" s="180" t="str">
        <f aca="false">IF((D87="i"),F87," ")</f>
        <v> </v>
      </c>
      <c r="Q87" s="180" t="str">
        <f aca="false">IF((D87="b"),F87," ")</f>
        <v> </v>
      </c>
      <c r="R87" s="180" t="str">
        <f aca="false">IF((D87="o"),F87," ")</f>
        <v> </v>
      </c>
      <c r="S87" s="180" t="str">
        <f aca="false">IF((D87="f"),F87," ")</f>
        <v> </v>
      </c>
      <c r="U87" s="371"/>
    </row>
    <row r="88" customFormat="false" ht="12.75" hidden="false" customHeight="false" outlineLevel="0" collapsed="false">
      <c r="D88" s="371" t="str">
        <f aca="false">IF((F88&lt;&gt;0),"Enter Letter"," ")</f>
        <v> </v>
      </c>
      <c r="G88" s="180" t="str">
        <f aca="false">IF((D88="d"),F88," ")</f>
        <v> </v>
      </c>
      <c r="H88" s="180" t="str">
        <f aca="false">IF((D88="h"),F88," ")</f>
        <v> </v>
      </c>
      <c r="I88" s="180" t="str">
        <f aca="false">IF((D88="r"),F88," ")</f>
        <v> </v>
      </c>
      <c r="J88" s="180" t="str">
        <f aca="false">IF((D88="t"),F88," ")</f>
        <v> </v>
      </c>
      <c r="K88" s="180" t="str">
        <f aca="false">IF((D88="e"),F88," ")</f>
        <v> </v>
      </c>
      <c r="L88" s="180" t="str">
        <f aca="false">IF((D88="p"),F88," ")</f>
        <v> </v>
      </c>
      <c r="M88" s="180" t="str">
        <f aca="false">IF((D88="g"),F88," ")</f>
        <v> </v>
      </c>
      <c r="N88" s="180" t="str">
        <f aca="false">IF((D88="a"),F88," ")</f>
        <v> </v>
      </c>
      <c r="O88" s="180" t="str">
        <f aca="false">IF((D88="l"),F88," ")</f>
        <v> </v>
      </c>
      <c r="P88" s="180" t="str">
        <f aca="false">IF((D88="i"),F88," ")</f>
        <v> </v>
      </c>
      <c r="Q88" s="180" t="str">
        <f aca="false">IF((D88="b"),F88," ")</f>
        <v> </v>
      </c>
      <c r="R88" s="180" t="str">
        <f aca="false">IF((D88="o"),F88," ")</f>
        <v> </v>
      </c>
      <c r="S88" s="180" t="str">
        <f aca="false">IF((D88="f"),F88," ")</f>
        <v> </v>
      </c>
      <c r="U88" s="371"/>
    </row>
    <row r="89" customFormat="false" ht="12.75" hidden="false" customHeight="false" outlineLevel="0" collapsed="false">
      <c r="D89" s="371" t="str">
        <f aca="false">IF((F89&lt;&gt;0),"Enter Letter"," ")</f>
        <v> </v>
      </c>
      <c r="G89" s="180" t="str">
        <f aca="false">IF((D89="d"),F89," ")</f>
        <v> </v>
      </c>
      <c r="H89" s="180" t="str">
        <f aca="false">IF((D89="h"),F89," ")</f>
        <v> </v>
      </c>
      <c r="I89" s="180" t="str">
        <f aca="false">IF((D89="r"),F89," ")</f>
        <v> </v>
      </c>
      <c r="J89" s="180" t="str">
        <f aca="false">IF((D89="t"),F89," ")</f>
        <v> </v>
      </c>
      <c r="K89" s="180" t="str">
        <f aca="false">IF((D89="e"),F89," ")</f>
        <v> </v>
      </c>
      <c r="L89" s="180" t="str">
        <f aca="false">IF((D89="p"),F89," ")</f>
        <v> </v>
      </c>
      <c r="M89" s="180" t="str">
        <f aca="false">IF((D89="g"),F89," ")</f>
        <v> </v>
      </c>
      <c r="N89" s="180" t="str">
        <f aca="false">IF((D89="a"),F89," ")</f>
        <v> </v>
      </c>
      <c r="O89" s="180" t="str">
        <f aca="false">IF((D89="l"),F89," ")</f>
        <v> </v>
      </c>
      <c r="P89" s="180" t="str">
        <f aca="false">IF((D89="i"),F89," ")</f>
        <v> </v>
      </c>
      <c r="Q89" s="180" t="str">
        <f aca="false">IF((D89="b"),F89," ")</f>
        <v> </v>
      </c>
      <c r="R89" s="180" t="str">
        <f aca="false">IF((D89="o"),F89," ")</f>
        <v> </v>
      </c>
      <c r="S89" s="180" t="str">
        <f aca="false">IF((D89="f"),F89," ")</f>
        <v> </v>
      </c>
      <c r="U89" s="371"/>
    </row>
    <row r="90" customFormat="false" ht="12.75" hidden="false" customHeight="false" outlineLevel="0" collapsed="false">
      <c r="D90" s="371" t="str">
        <f aca="false">IF((F90&lt;&gt;0),"Enter Letter"," ")</f>
        <v> </v>
      </c>
      <c r="G90" s="180" t="str">
        <f aca="false">IF((D90="d"),F90," ")</f>
        <v> </v>
      </c>
      <c r="H90" s="180" t="str">
        <f aca="false">IF((D90="h"),F90," ")</f>
        <v> </v>
      </c>
      <c r="I90" s="180" t="str">
        <f aca="false">IF((D90="r"),F90," ")</f>
        <v> </v>
      </c>
      <c r="J90" s="180" t="str">
        <f aca="false">IF((D90="t"),F90," ")</f>
        <v> </v>
      </c>
      <c r="K90" s="180" t="str">
        <f aca="false">IF((D90="e"),F90," ")</f>
        <v> </v>
      </c>
      <c r="L90" s="180" t="str">
        <f aca="false">IF((D90="p"),F90," ")</f>
        <v> </v>
      </c>
      <c r="M90" s="180" t="str">
        <f aca="false">IF((D90="g"),F90," ")</f>
        <v> </v>
      </c>
      <c r="N90" s="180" t="str">
        <f aca="false">IF((D90="a"),F90," ")</f>
        <v> </v>
      </c>
      <c r="O90" s="180" t="str">
        <f aca="false">IF((D90="l"),F90," ")</f>
        <v> </v>
      </c>
      <c r="P90" s="180" t="str">
        <f aca="false">IF((D90="i"),F90," ")</f>
        <v> </v>
      </c>
      <c r="Q90" s="180" t="str">
        <f aca="false">IF((D90="b"),F90," ")</f>
        <v> </v>
      </c>
      <c r="R90" s="180" t="str">
        <f aca="false">IF((D90="o"),F90," ")</f>
        <v> </v>
      </c>
      <c r="S90" s="180" t="str">
        <f aca="false">IF((D90="f"),F90," ")</f>
        <v> </v>
      </c>
      <c r="U90" s="371"/>
    </row>
    <row r="91" customFormat="false" ht="12.75" hidden="false" customHeight="false" outlineLevel="0" collapsed="false">
      <c r="D91" s="371" t="str">
        <f aca="false">IF((F91&lt;&gt;0),"Enter Letter"," ")</f>
        <v> </v>
      </c>
      <c r="G91" s="180" t="str">
        <f aca="false">IF((D91="d"),F91," ")</f>
        <v> </v>
      </c>
      <c r="H91" s="180" t="str">
        <f aca="false">IF((D91="h"),F91," ")</f>
        <v> </v>
      </c>
      <c r="I91" s="180" t="str">
        <f aca="false">IF((D91="r"),F91," ")</f>
        <v> </v>
      </c>
      <c r="J91" s="180" t="str">
        <f aca="false">IF((D91="t"),F91," ")</f>
        <v> </v>
      </c>
      <c r="K91" s="180" t="str">
        <f aca="false">IF((D91="e"),F91," ")</f>
        <v> </v>
      </c>
      <c r="L91" s="180" t="str">
        <f aca="false">IF((D91="p"),F91," ")</f>
        <v> </v>
      </c>
      <c r="M91" s="180" t="str">
        <f aca="false">IF((D91="g"),F91," ")</f>
        <v> </v>
      </c>
      <c r="N91" s="180" t="str">
        <f aca="false">IF((D91="a"),F91," ")</f>
        <v> </v>
      </c>
      <c r="O91" s="180" t="str">
        <f aca="false">IF((D91="l"),F91," ")</f>
        <v> </v>
      </c>
      <c r="P91" s="180" t="str">
        <f aca="false">IF((D91="i"),F91," ")</f>
        <v> </v>
      </c>
      <c r="Q91" s="180" t="str">
        <f aca="false">IF((D91="b"),F91," ")</f>
        <v> </v>
      </c>
      <c r="R91" s="180" t="str">
        <f aca="false">IF((D91="o"),F91," ")</f>
        <v> </v>
      </c>
      <c r="S91" s="180" t="str">
        <f aca="false">IF((D91="f"),F91," ")</f>
        <v> </v>
      </c>
      <c r="U91" s="371"/>
    </row>
    <row r="92" customFormat="false" ht="12.75" hidden="false" customHeight="false" outlineLevel="0" collapsed="false">
      <c r="D92" s="371" t="str">
        <f aca="false">IF((F92&lt;&gt;0),"Enter Letter"," ")</f>
        <v> </v>
      </c>
      <c r="G92" s="180" t="str">
        <f aca="false">IF((D92="d"),F92," ")</f>
        <v> </v>
      </c>
      <c r="H92" s="180" t="str">
        <f aca="false">IF((D92="h"),F92," ")</f>
        <v> </v>
      </c>
      <c r="I92" s="180" t="str">
        <f aca="false">IF((D92="r"),F92," ")</f>
        <v> </v>
      </c>
      <c r="J92" s="180" t="str">
        <f aca="false">IF((D92="t"),F92," ")</f>
        <v> </v>
      </c>
      <c r="K92" s="180" t="str">
        <f aca="false">IF((D92="e"),F92," ")</f>
        <v> </v>
      </c>
      <c r="L92" s="180" t="str">
        <f aca="false">IF((D92="p"),F92," ")</f>
        <v> </v>
      </c>
      <c r="M92" s="180" t="str">
        <f aca="false">IF((D92="g"),F92," ")</f>
        <v> </v>
      </c>
      <c r="N92" s="180" t="str">
        <f aca="false">IF((D92="a"),F92," ")</f>
        <v> </v>
      </c>
      <c r="O92" s="180" t="str">
        <f aca="false">IF((D92="l"),F92," ")</f>
        <v> </v>
      </c>
      <c r="P92" s="180" t="str">
        <f aca="false">IF((D92="i"),F92," ")</f>
        <v> </v>
      </c>
      <c r="Q92" s="180" t="str">
        <f aca="false">IF((D92="b"),F92," ")</f>
        <v> </v>
      </c>
      <c r="R92" s="180" t="str">
        <f aca="false">IF((D92="o"),F92," ")</f>
        <v> </v>
      </c>
      <c r="S92" s="180" t="str">
        <f aca="false">IF((D92="f"),F92," ")</f>
        <v> </v>
      </c>
      <c r="U92" s="371"/>
    </row>
    <row r="93" customFormat="false" ht="12.75" hidden="false" customHeight="false" outlineLevel="0" collapsed="false">
      <c r="D93" s="371" t="str">
        <f aca="false">IF((F93&lt;&gt;0),"Enter Letter"," ")</f>
        <v> </v>
      </c>
      <c r="G93" s="180" t="str">
        <f aca="false">IF((D93="d"),F93," ")</f>
        <v> </v>
      </c>
      <c r="H93" s="180" t="str">
        <f aca="false">IF((D93="h"),F93," ")</f>
        <v> </v>
      </c>
      <c r="I93" s="180" t="str">
        <f aca="false">IF((D93="r"),F93," ")</f>
        <v> </v>
      </c>
      <c r="J93" s="180" t="str">
        <f aca="false">IF((D93="t"),F93," ")</f>
        <v> </v>
      </c>
      <c r="K93" s="180" t="str">
        <f aca="false">IF((D93="e"),F93," ")</f>
        <v> </v>
      </c>
      <c r="L93" s="180" t="str">
        <f aca="false">IF((D93="p"),F93," ")</f>
        <v> </v>
      </c>
      <c r="M93" s="180" t="str">
        <f aca="false">IF((D93="g"),F93," ")</f>
        <v> </v>
      </c>
      <c r="N93" s="180" t="str">
        <f aca="false">IF((D93="a"),F93," ")</f>
        <v> </v>
      </c>
      <c r="O93" s="180" t="str">
        <f aca="false">IF((D93="l"),F93," ")</f>
        <v> </v>
      </c>
      <c r="P93" s="180" t="str">
        <f aca="false">IF((D93="i"),F93," ")</f>
        <v> </v>
      </c>
      <c r="Q93" s="180" t="str">
        <f aca="false">IF((D93="b"),F93," ")</f>
        <v> </v>
      </c>
      <c r="R93" s="180" t="str">
        <f aca="false">IF((D93="o"),F93," ")</f>
        <v> </v>
      </c>
      <c r="S93" s="180" t="str">
        <f aca="false">IF((D93="f"),F93," ")</f>
        <v> </v>
      </c>
      <c r="U93" s="371"/>
    </row>
    <row r="94" customFormat="false" ht="12.75" hidden="false" customHeight="false" outlineLevel="0" collapsed="false">
      <c r="D94" s="371" t="str">
        <f aca="false">IF((F94&lt;&gt;0),"Enter Letter"," ")</f>
        <v> </v>
      </c>
      <c r="G94" s="180" t="str">
        <f aca="false">IF((D94="d"),F94," ")</f>
        <v> </v>
      </c>
      <c r="H94" s="180" t="str">
        <f aca="false">IF((D94="h"),F94," ")</f>
        <v> </v>
      </c>
      <c r="I94" s="180" t="str">
        <f aca="false">IF((D94="r"),F94," ")</f>
        <v> </v>
      </c>
      <c r="J94" s="180" t="str">
        <f aca="false">IF((D94="t"),F94," ")</f>
        <v> </v>
      </c>
      <c r="K94" s="180" t="str">
        <f aca="false">IF((D94="e"),F94," ")</f>
        <v> </v>
      </c>
      <c r="L94" s="180" t="str">
        <f aca="false">IF((D94="p"),F94," ")</f>
        <v> </v>
      </c>
      <c r="M94" s="180" t="str">
        <f aca="false">IF((D94="g"),F94," ")</f>
        <v> </v>
      </c>
      <c r="N94" s="180" t="str">
        <f aca="false">IF((D94="a"),F94," ")</f>
        <v> </v>
      </c>
      <c r="O94" s="180" t="str">
        <f aca="false">IF((D94="l"),F94," ")</f>
        <v> </v>
      </c>
      <c r="P94" s="180" t="str">
        <f aca="false">IF((D94="i"),F94," ")</f>
        <v> </v>
      </c>
      <c r="Q94" s="180" t="str">
        <f aca="false">IF((D94="b"),F94," ")</f>
        <v> </v>
      </c>
      <c r="R94" s="180" t="str">
        <f aca="false">IF((D94="o"),F94," ")</f>
        <v> </v>
      </c>
      <c r="S94" s="180" t="str">
        <f aca="false">IF((D94="f"),F94," ")</f>
        <v> </v>
      </c>
      <c r="U94" s="371"/>
    </row>
    <row r="95" customFormat="false" ht="12.75" hidden="false" customHeight="false" outlineLevel="0" collapsed="false">
      <c r="D95" s="371" t="str">
        <f aca="false">IF((F95&lt;&gt;0),"Enter Letter"," ")</f>
        <v> </v>
      </c>
      <c r="G95" s="180" t="str">
        <f aca="false">IF((D95="d"),F95," ")</f>
        <v> </v>
      </c>
      <c r="H95" s="180" t="str">
        <f aca="false">IF((D95="h"),F95," ")</f>
        <v> </v>
      </c>
      <c r="I95" s="180" t="str">
        <f aca="false">IF((D95="r"),F95," ")</f>
        <v> </v>
      </c>
      <c r="J95" s="180" t="str">
        <f aca="false">IF((D95="t"),F95," ")</f>
        <v> </v>
      </c>
      <c r="K95" s="180" t="str">
        <f aca="false">IF((D95="e"),F95," ")</f>
        <v> </v>
      </c>
      <c r="L95" s="180" t="str">
        <f aca="false">IF((D95="p"),F95," ")</f>
        <v> </v>
      </c>
      <c r="M95" s="180" t="str">
        <f aca="false">IF((D95="g"),F95," ")</f>
        <v> </v>
      </c>
      <c r="N95" s="180" t="str">
        <f aca="false">IF((D95="a"),F95," ")</f>
        <v> </v>
      </c>
      <c r="O95" s="180" t="str">
        <f aca="false">IF((D95="l"),F95," ")</f>
        <v> </v>
      </c>
      <c r="P95" s="180" t="str">
        <f aca="false">IF((D95="i"),F95," ")</f>
        <v> </v>
      </c>
      <c r="Q95" s="180" t="str">
        <f aca="false">IF((D95="b"),F95," ")</f>
        <v> </v>
      </c>
      <c r="R95" s="180" t="str">
        <f aca="false">IF((D95="o"),F95," ")</f>
        <v> </v>
      </c>
      <c r="S95" s="180" t="str">
        <f aca="false">IF((D95="f"),F95," ")</f>
        <v> </v>
      </c>
      <c r="U95" s="371"/>
    </row>
    <row r="96" customFormat="false" ht="12.75" hidden="false" customHeight="false" outlineLevel="0" collapsed="false">
      <c r="D96" s="371" t="str">
        <f aca="false">IF((F96&lt;&gt;0),"Enter Letter"," ")</f>
        <v> </v>
      </c>
      <c r="G96" s="180" t="str">
        <f aca="false">IF((D96="d"),F96," ")</f>
        <v> </v>
      </c>
      <c r="H96" s="180" t="str">
        <f aca="false">IF((D96="h"),F96," ")</f>
        <v> </v>
      </c>
      <c r="I96" s="180" t="str">
        <f aca="false">IF((D96="r"),F96," ")</f>
        <v> </v>
      </c>
      <c r="J96" s="180" t="str">
        <f aca="false">IF((D96="t"),F96," ")</f>
        <v> </v>
      </c>
      <c r="K96" s="180" t="str">
        <f aca="false">IF((D96="e"),F96," ")</f>
        <v> </v>
      </c>
      <c r="L96" s="180" t="str">
        <f aca="false">IF((D96="p"),F96," ")</f>
        <v> </v>
      </c>
      <c r="M96" s="180" t="str">
        <f aca="false">IF((D96="g"),F96," ")</f>
        <v> </v>
      </c>
      <c r="N96" s="180" t="str">
        <f aca="false">IF((D96="a"),F96," ")</f>
        <v> </v>
      </c>
      <c r="O96" s="180" t="str">
        <f aca="false">IF((D96="l"),F96," ")</f>
        <v> </v>
      </c>
      <c r="P96" s="180" t="str">
        <f aca="false">IF((D96="i"),F96," ")</f>
        <v> </v>
      </c>
      <c r="Q96" s="180" t="str">
        <f aca="false">IF((D96="b"),F96," ")</f>
        <v> </v>
      </c>
      <c r="R96" s="180" t="str">
        <f aca="false">IF((D96="o"),F96," ")</f>
        <v> </v>
      </c>
      <c r="S96" s="180" t="str">
        <f aca="false">IF((D96="f"),F96," ")</f>
        <v> </v>
      </c>
      <c r="U96" s="371"/>
    </row>
    <row r="97" customFormat="false" ht="12.75" hidden="false" customHeight="false" outlineLevel="0" collapsed="false">
      <c r="D97" s="371" t="str">
        <f aca="false">IF((F97&lt;&gt;0),"Enter Letter"," ")</f>
        <v> </v>
      </c>
      <c r="G97" s="180" t="str">
        <f aca="false">IF((D97="d"),F97," ")</f>
        <v> </v>
      </c>
      <c r="H97" s="180" t="str">
        <f aca="false">IF((D97="h"),F97," ")</f>
        <v> </v>
      </c>
      <c r="I97" s="180" t="str">
        <f aca="false">IF((D97="r"),F97," ")</f>
        <v> </v>
      </c>
      <c r="J97" s="180" t="str">
        <f aca="false">IF((D97="t"),F97," ")</f>
        <v> </v>
      </c>
      <c r="K97" s="180" t="str">
        <f aca="false">IF((D97="e"),F97," ")</f>
        <v> </v>
      </c>
      <c r="L97" s="180" t="str">
        <f aca="false">IF((D97="p"),F97," ")</f>
        <v> </v>
      </c>
      <c r="M97" s="180" t="str">
        <f aca="false">IF((D97="g"),F97," ")</f>
        <v> </v>
      </c>
      <c r="N97" s="180" t="str">
        <f aca="false">IF((D97="a"),F97," ")</f>
        <v> </v>
      </c>
      <c r="O97" s="180" t="str">
        <f aca="false">IF((D97="l"),F97," ")</f>
        <v> </v>
      </c>
      <c r="P97" s="180" t="str">
        <f aca="false">IF((D97="i"),F97," ")</f>
        <v> </v>
      </c>
      <c r="Q97" s="180" t="str">
        <f aca="false">IF((D97="b"),F97," ")</f>
        <v> </v>
      </c>
      <c r="R97" s="180" t="str">
        <f aca="false">IF((D97="o"),F97," ")</f>
        <v> </v>
      </c>
      <c r="S97" s="180" t="str">
        <f aca="false">IF((D97="f"),F97," ")</f>
        <v> </v>
      </c>
      <c r="U97" s="371"/>
    </row>
    <row r="98" customFormat="false" ht="12.75" hidden="false" customHeight="false" outlineLevel="0" collapsed="false">
      <c r="D98" s="371" t="str">
        <f aca="false">IF((F98&lt;&gt;0),"Enter Letter"," ")</f>
        <v> </v>
      </c>
      <c r="G98" s="180" t="str">
        <f aca="false">IF((D98="d"),F98," ")</f>
        <v> </v>
      </c>
      <c r="H98" s="180" t="str">
        <f aca="false">IF((D98="h"),F98," ")</f>
        <v> </v>
      </c>
      <c r="I98" s="180" t="str">
        <f aca="false">IF((D98="r"),F98," ")</f>
        <v> </v>
      </c>
      <c r="J98" s="180" t="str">
        <f aca="false">IF((D98="t"),F98," ")</f>
        <v> </v>
      </c>
      <c r="K98" s="180" t="str">
        <f aca="false">IF((D98="e"),F98," ")</f>
        <v> </v>
      </c>
      <c r="L98" s="180" t="str">
        <f aca="false">IF((D98="p"),F98," ")</f>
        <v> </v>
      </c>
      <c r="M98" s="180" t="str">
        <f aca="false">IF((D98="g"),F98," ")</f>
        <v> </v>
      </c>
      <c r="N98" s="180" t="str">
        <f aca="false">IF((D98="a"),F98," ")</f>
        <v> </v>
      </c>
      <c r="O98" s="180" t="str">
        <f aca="false">IF((D98="l"),F98," ")</f>
        <v> </v>
      </c>
      <c r="P98" s="180" t="str">
        <f aca="false">IF((D98="i"),F98," ")</f>
        <v> </v>
      </c>
      <c r="Q98" s="180" t="str">
        <f aca="false">IF((D98="b"),F98," ")</f>
        <v> </v>
      </c>
      <c r="R98" s="180" t="str">
        <f aca="false">IF((D98="o"),F98," ")</f>
        <v> </v>
      </c>
      <c r="S98" s="180" t="str">
        <f aca="false">IF((D98="f"),F98," ")</f>
        <v> </v>
      </c>
      <c r="U98" s="371"/>
    </row>
    <row r="99" customFormat="false" ht="12.75" hidden="false" customHeight="false" outlineLevel="0" collapsed="false">
      <c r="D99" s="371" t="str">
        <f aca="false">IF((F99&lt;&gt;0),"Enter Letter"," ")</f>
        <v> </v>
      </c>
      <c r="G99" s="180" t="str">
        <f aca="false">IF((D99="d"),F99," ")</f>
        <v> </v>
      </c>
      <c r="H99" s="180" t="str">
        <f aca="false">IF((D99="h"),F99," ")</f>
        <v> </v>
      </c>
      <c r="I99" s="180" t="str">
        <f aca="false">IF((D99="r"),F99," ")</f>
        <v> </v>
      </c>
      <c r="J99" s="180" t="str">
        <f aca="false">IF((D99="t"),F99," ")</f>
        <v> </v>
      </c>
      <c r="K99" s="180" t="str">
        <f aca="false">IF((D99="e"),F99," ")</f>
        <v> </v>
      </c>
      <c r="L99" s="180" t="str">
        <f aca="false">IF((D99="p"),F99," ")</f>
        <v> </v>
      </c>
      <c r="M99" s="180" t="str">
        <f aca="false">IF((D99="g"),F99," ")</f>
        <v> </v>
      </c>
      <c r="N99" s="180" t="str">
        <f aca="false">IF((D99="a"),F99," ")</f>
        <v> </v>
      </c>
      <c r="O99" s="180" t="str">
        <f aca="false">IF((D99="l"),F99," ")</f>
        <v> </v>
      </c>
      <c r="P99" s="180" t="str">
        <f aca="false">IF((D99="i"),F99," ")</f>
        <v> </v>
      </c>
      <c r="Q99" s="180" t="str">
        <f aca="false">IF((D99="b"),F99," ")</f>
        <v> </v>
      </c>
      <c r="R99" s="180" t="str">
        <f aca="false">IF((D99="o"),F99," ")</f>
        <v> </v>
      </c>
      <c r="S99" s="180" t="str">
        <f aca="false">IF((D99="f"),F99," ")</f>
        <v> </v>
      </c>
      <c r="U99" s="371"/>
    </row>
    <row r="100" customFormat="false" ht="12.75" hidden="false" customHeight="false" outlineLevel="0" collapsed="false">
      <c r="D100" s="371" t="str">
        <f aca="false">IF((F100&lt;&gt;0),"Enter Letter"," ")</f>
        <v> </v>
      </c>
      <c r="G100" s="180" t="str">
        <f aca="false">IF((D100="d"),F100," ")</f>
        <v> </v>
      </c>
      <c r="H100" s="180" t="str">
        <f aca="false">IF((D100="h"),F100," ")</f>
        <v> </v>
      </c>
      <c r="I100" s="180" t="str">
        <f aca="false">IF((D100="r"),F100," ")</f>
        <v> </v>
      </c>
      <c r="J100" s="180" t="str">
        <f aca="false">IF((D100="t"),F100," ")</f>
        <v> </v>
      </c>
      <c r="K100" s="180" t="str">
        <f aca="false">IF((D100="e"),F100," ")</f>
        <v> </v>
      </c>
      <c r="L100" s="180" t="str">
        <f aca="false">IF((D100="p"),F100," ")</f>
        <v> </v>
      </c>
      <c r="M100" s="180" t="str">
        <f aca="false">IF((D100="g"),F100," ")</f>
        <v> </v>
      </c>
      <c r="N100" s="180" t="str">
        <f aca="false">IF((D100="a"),F100," ")</f>
        <v> </v>
      </c>
      <c r="O100" s="180" t="str">
        <f aca="false">IF((D100="l"),F100," ")</f>
        <v> </v>
      </c>
      <c r="P100" s="180" t="str">
        <f aca="false">IF((D100="i"),F100," ")</f>
        <v> </v>
      </c>
      <c r="Q100" s="180" t="str">
        <f aca="false">IF((D100="b"),F100," ")</f>
        <v> </v>
      </c>
      <c r="R100" s="180" t="str">
        <f aca="false">IF((D100="o"),F100," ")</f>
        <v> </v>
      </c>
      <c r="S100" s="180" t="str">
        <f aca="false">IF((D100="f"),F100," ")</f>
        <v> </v>
      </c>
      <c r="U100" s="371"/>
    </row>
    <row r="101" customFormat="false" ht="12.75" hidden="false" customHeight="false" outlineLevel="0" collapsed="false">
      <c r="D101" s="371" t="str">
        <f aca="false">IF((F101&lt;&gt;0),"Enter Letter"," ")</f>
        <v> </v>
      </c>
      <c r="G101" s="180" t="str">
        <f aca="false">IF((D101="d"),F101," ")</f>
        <v> </v>
      </c>
      <c r="H101" s="180" t="str">
        <f aca="false">IF((D101="h"),F101," ")</f>
        <v> </v>
      </c>
      <c r="I101" s="180" t="str">
        <f aca="false">IF((D101="r"),F101," ")</f>
        <v> </v>
      </c>
      <c r="J101" s="180" t="str">
        <f aca="false">IF((D101="t"),F101," ")</f>
        <v> </v>
      </c>
      <c r="K101" s="180" t="str">
        <f aca="false">IF((D101="e"),F101," ")</f>
        <v> </v>
      </c>
      <c r="L101" s="180" t="str">
        <f aca="false">IF((D101="p"),F101," ")</f>
        <v> </v>
      </c>
      <c r="M101" s="180" t="str">
        <f aca="false">IF((D101="g"),F101," ")</f>
        <v> </v>
      </c>
      <c r="N101" s="180" t="str">
        <f aca="false">IF((D101="a"),F101," ")</f>
        <v> </v>
      </c>
      <c r="O101" s="180" t="str">
        <f aca="false">IF((D101="l"),F101," ")</f>
        <v> </v>
      </c>
      <c r="P101" s="180" t="str">
        <f aca="false">IF((D101="i"),F101," ")</f>
        <v> </v>
      </c>
      <c r="Q101" s="180" t="str">
        <f aca="false">IF((D101="b"),F101," ")</f>
        <v> </v>
      </c>
      <c r="R101" s="180" t="str">
        <f aca="false">IF((D101="o"),F101," ")</f>
        <v> </v>
      </c>
      <c r="S101" s="180" t="str">
        <f aca="false">IF((D101="f"),F101," ")</f>
        <v> </v>
      </c>
      <c r="U101" s="371"/>
    </row>
    <row r="102" customFormat="false" ht="12.75" hidden="false" customHeight="false" outlineLevel="0" collapsed="false">
      <c r="D102" s="371" t="str">
        <f aca="false">IF((F102&lt;&gt;0),"Enter Letter"," ")</f>
        <v> </v>
      </c>
      <c r="G102" s="180" t="str">
        <f aca="false">IF((D102="d"),F102," ")</f>
        <v> </v>
      </c>
      <c r="H102" s="180" t="str">
        <f aca="false">IF((D102="h"),F102," ")</f>
        <v> </v>
      </c>
      <c r="I102" s="180" t="str">
        <f aca="false">IF((D102="r"),F102," ")</f>
        <v> </v>
      </c>
      <c r="J102" s="180" t="str">
        <f aca="false">IF((D102="t"),F102," ")</f>
        <v> </v>
      </c>
      <c r="K102" s="180" t="str">
        <f aca="false">IF((D102="e"),F102," ")</f>
        <v> </v>
      </c>
      <c r="L102" s="180" t="str">
        <f aca="false">IF((D102="p"),F102," ")</f>
        <v> </v>
      </c>
      <c r="M102" s="180" t="str">
        <f aca="false">IF((D102="g"),F102," ")</f>
        <v> </v>
      </c>
      <c r="N102" s="180" t="str">
        <f aca="false">IF((D102="a"),F102," ")</f>
        <v> </v>
      </c>
      <c r="O102" s="180" t="str">
        <f aca="false">IF((D102="l"),F102," ")</f>
        <v> </v>
      </c>
      <c r="P102" s="180" t="str">
        <f aca="false">IF((D102="i"),F102," ")</f>
        <v> </v>
      </c>
      <c r="Q102" s="180" t="str">
        <f aca="false">IF((D102="b"),F102," ")</f>
        <v> </v>
      </c>
      <c r="R102" s="180" t="str">
        <f aca="false">IF((D102="o"),F102," ")</f>
        <v> </v>
      </c>
      <c r="S102" s="180" t="str">
        <f aca="false">IF((D102="f"),F102," ")</f>
        <v> </v>
      </c>
      <c r="U102" s="371"/>
    </row>
    <row r="103" customFormat="false" ht="12.75" hidden="false" customHeight="false" outlineLevel="0" collapsed="false">
      <c r="D103" s="371" t="str">
        <f aca="false">IF((F103&lt;&gt;0),"Enter Letter"," ")</f>
        <v> </v>
      </c>
      <c r="G103" s="180" t="str">
        <f aca="false">IF((D103="d"),F103," ")</f>
        <v> </v>
      </c>
      <c r="H103" s="180" t="str">
        <f aca="false">IF((D103="h"),F103," ")</f>
        <v> </v>
      </c>
      <c r="I103" s="180" t="str">
        <f aca="false">IF((D103="r"),F103," ")</f>
        <v> </v>
      </c>
      <c r="J103" s="180" t="str">
        <f aca="false">IF((D103="t"),F103," ")</f>
        <v> </v>
      </c>
      <c r="K103" s="180" t="str">
        <f aca="false">IF((D103="e"),F103," ")</f>
        <v> </v>
      </c>
      <c r="L103" s="180" t="str">
        <f aca="false">IF((D103="p"),F103," ")</f>
        <v> </v>
      </c>
      <c r="M103" s="180" t="str">
        <f aca="false">IF((D103="g"),F103," ")</f>
        <v> </v>
      </c>
      <c r="N103" s="180" t="str">
        <f aca="false">IF((D103="a"),F103," ")</f>
        <v> </v>
      </c>
      <c r="O103" s="180" t="str">
        <f aca="false">IF((D103="l"),F103," ")</f>
        <v> </v>
      </c>
      <c r="P103" s="180" t="str">
        <f aca="false">IF((D103="i"),F103," ")</f>
        <v> </v>
      </c>
      <c r="Q103" s="180" t="str">
        <f aca="false">IF((D103="b"),F103," ")</f>
        <v> </v>
      </c>
      <c r="R103" s="180" t="str">
        <f aca="false">IF((D103="o"),F103," ")</f>
        <v> </v>
      </c>
      <c r="S103" s="180" t="str">
        <f aca="false">IF((D103="f"),F103," ")</f>
        <v> </v>
      </c>
      <c r="U103" s="371"/>
    </row>
    <row r="104" customFormat="false" ht="12.75" hidden="false" customHeight="false" outlineLevel="0" collapsed="false">
      <c r="D104" s="371" t="str">
        <f aca="false">IF((F104&lt;&gt;0),"Enter Letter"," ")</f>
        <v> </v>
      </c>
      <c r="G104" s="180" t="str">
        <f aca="false">IF((D104="d"),F104," ")</f>
        <v> </v>
      </c>
      <c r="H104" s="180" t="str">
        <f aca="false">IF((D104="h"),F104," ")</f>
        <v> </v>
      </c>
      <c r="I104" s="180" t="str">
        <f aca="false">IF((D104="r"),F104," ")</f>
        <v> </v>
      </c>
      <c r="J104" s="180" t="str">
        <f aca="false">IF((D104="t"),F104," ")</f>
        <v> </v>
      </c>
      <c r="K104" s="180" t="str">
        <f aca="false">IF((D104="e"),F104," ")</f>
        <v> </v>
      </c>
      <c r="L104" s="180" t="str">
        <f aca="false">IF((D104="p"),F104," ")</f>
        <v> </v>
      </c>
      <c r="M104" s="180" t="str">
        <f aca="false">IF((D104="g"),F104," ")</f>
        <v> </v>
      </c>
      <c r="N104" s="180" t="str">
        <f aca="false">IF((D104="a"),F104," ")</f>
        <v> </v>
      </c>
      <c r="O104" s="180" t="str">
        <f aca="false">IF((D104="l"),F104," ")</f>
        <v> </v>
      </c>
      <c r="P104" s="180" t="str">
        <f aca="false">IF((D104="i"),F104," ")</f>
        <v> </v>
      </c>
      <c r="Q104" s="180" t="str">
        <f aca="false">IF((D104="b"),F104," ")</f>
        <v> </v>
      </c>
      <c r="R104" s="180" t="str">
        <f aca="false">IF((D104="o"),F104," ")</f>
        <v> </v>
      </c>
      <c r="S104" s="180" t="str">
        <f aca="false">IF((D104="f"),F104," ")</f>
        <v> </v>
      </c>
      <c r="U104" s="371"/>
    </row>
    <row r="105" customFormat="false" ht="12.75" hidden="false" customHeight="false" outlineLevel="0" collapsed="false">
      <c r="D105" s="371" t="str">
        <f aca="false">IF((F105&lt;&gt;0),"Enter Letter"," ")</f>
        <v> </v>
      </c>
      <c r="G105" s="180" t="str">
        <f aca="false">IF((D105="d"),F105," ")</f>
        <v> </v>
      </c>
      <c r="H105" s="180" t="str">
        <f aca="false">IF((D105="h"),F105," ")</f>
        <v> </v>
      </c>
      <c r="I105" s="180" t="str">
        <f aca="false">IF((D105="r"),F105," ")</f>
        <v> </v>
      </c>
      <c r="J105" s="180" t="str">
        <f aca="false">IF((D105="t"),F105," ")</f>
        <v> </v>
      </c>
      <c r="K105" s="180" t="str">
        <f aca="false">IF((D105="e"),F105," ")</f>
        <v> </v>
      </c>
      <c r="L105" s="180" t="str">
        <f aca="false">IF((D105="p"),F105," ")</f>
        <v> </v>
      </c>
      <c r="M105" s="180" t="str">
        <f aca="false">IF((D105="g"),F105," ")</f>
        <v> </v>
      </c>
      <c r="N105" s="180" t="str">
        <f aca="false">IF((D105="a"),F105," ")</f>
        <v> </v>
      </c>
      <c r="O105" s="180" t="str">
        <f aca="false">IF((D105="l"),F105," ")</f>
        <v> </v>
      </c>
      <c r="P105" s="180" t="str">
        <f aca="false">IF((D105="i"),F105," ")</f>
        <v> </v>
      </c>
      <c r="Q105" s="180" t="str">
        <f aca="false">IF((D105="b"),F105," ")</f>
        <v> </v>
      </c>
      <c r="R105" s="180" t="str">
        <f aca="false">IF((D105="o"),F105," ")</f>
        <v> </v>
      </c>
      <c r="S105" s="180" t="str">
        <f aca="false">IF((D105="f"),F105," ")</f>
        <v> </v>
      </c>
      <c r="U105" s="371"/>
    </row>
    <row r="106" customFormat="false" ht="12.75" hidden="false" customHeight="false" outlineLevel="0" collapsed="false">
      <c r="D106" s="371" t="str">
        <f aca="false">IF((F106&lt;&gt;0),"Enter Letter"," ")</f>
        <v> </v>
      </c>
      <c r="G106" s="180" t="str">
        <f aca="false">IF((D106="d"),F106," ")</f>
        <v> </v>
      </c>
      <c r="H106" s="180" t="str">
        <f aca="false">IF((D106="h"),F106," ")</f>
        <v> </v>
      </c>
      <c r="I106" s="180" t="str">
        <f aca="false">IF((D106="r"),F106," ")</f>
        <v> </v>
      </c>
      <c r="J106" s="180" t="str">
        <f aca="false">IF((D106="t"),F106," ")</f>
        <v> </v>
      </c>
      <c r="K106" s="180" t="str">
        <f aca="false">IF((D106="e"),F106," ")</f>
        <v> </v>
      </c>
      <c r="L106" s="180" t="str">
        <f aca="false">IF((D106="p"),F106," ")</f>
        <v> </v>
      </c>
      <c r="M106" s="180" t="str">
        <f aca="false">IF((D106="g"),F106," ")</f>
        <v> </v>
      </c>
      <c r="N106" s="180" t="str">
        <f aca="false">IF((D106="a"),F106," ")</f>
        <v> </v>
      </c>
      <c r="O106" s="180" t="str">
        <f aca="false">IF((D106="l"),F106," ")</f>
        <v> </v>
      </c>
      <c r="P106" s="180" t="str">
        <f aca="false">IF((D106="i"),F106," ")</f>
        <v> </v>
      </c>
      <c r="Q106" s="180" t="str">
        <f aca="false">IF((D106="b"),F106," ")</f>
        <v> </v>
      </c>
      <c r="R106" s="180" t="str">
        <f aca="false">IF((D106="o"),F106," ")</f>
        <v> </v>
      </c>
      <c r="S106" s="180" t="str">
        <f aca="false">IF((D106="f"),F106," ")</f>
        <v> </v>
      </c>
      <c r="U106" s="371"/>
    </row>
    <row r="107" customFormat="false" ht="12.75" hidden="false" customHeight="false" outlineLevel="0" collapsed="false">
      <c r="D107" s="371" t="str">
        <f aca="false">IF((F107&lt;&gt;0),"Enter Letter"," ")</f>
        <v> </v>
      </c>
      <c r="G107" s="180" t="str">
        <f aca="false">IF((D107="d"),F107," ")</f>
        <v> </v>
      </c>
      <c r="H107" s="180" t="str">
        <f aca="false">IF((D107="h"),F107," ")</f>
        <v> </v>
      </c>
      <c r="I107" s="180" t="str">
        <f aca="false">IF((D107="r"),F107," ")</f>
        <v> </v>
      </c>
      <c r="J107" s="180" t="str">
        <f aca="false">IF((D107="t"),F107," ")</f>
        <v> </v>
      </c>
      <c r="K107" s="180" t="str">
        <f aca="false">IF((D107="e"),F107," ")</f>
        <v> </v>
      </c>
      <c r="L107" s="180" t="str">
        <f aca="false">IF((D107="p"),F107," ")</f>
        <v> </v>
      </c>
      <c r="M107" s="180" t="str">
        <f aca="false">IF((D107="g"),F107," ")</f>
        <v> </v>
      </c>
      <c r="N107" s="180" t="str">
        <f aca="false">IF((D107="a"),F107," ")</f>
        <v> </v>
      </c>
      <c r="O107" s="180" t="str">
        <f aca="false">IF((D107="l"),F107," ")</f>
        <v> </v>
      </c>
      <c r="P107" s="180" t="str">
        <f aca="false">IF((D107="i"),F107," ")</f>
        <v> </v>
      </c>
      <c r="Q107" s="180" t="str">
        <f aca="false">IF((D107="b"),F107," ")</f>
        <v> </v>
      </c>
      <c r="R107" s="180" t="str">
        <f aca="false">IF((D107="o"),F107," ")</f>
        <v> </v>
      </c>
      <c r="S107" s="180" t="str">
        <f aca="false">IF((D107="f"),F107," ")</f>
        <v> </v>
      </c>
      <c r="U107" s="371"/>
    </row>
    <row r="108" customFormat="false" ht="12.75" hidden="false" customHeight="false" outlineLevel="0" collapsed="false">
      <c r="D108" s="371" t="str">
        <f aca="false">IF((F108&lt;&gt;0),"Enter Letter"," ")</f>
        <v> </v>
      </c>
      <c r="G108" s="180" t="str">
        <f aca="false">IF((D108="d"),F108," ")</f>
        <v> </v>
      </c>
      <c r="H108" s="180" t="str">
        <f aca="false">IF((D108="h"),F108," ")</f>
        <v> </v>
      </c>
      <c r="I108" s="180" t="str">
        <f aca="false">IF((D108="r"),F108," ")</f>
        <v> </v>
      </c>
      <c r="J108" s="180" t="str">
        <f aca="false">IF((D108="t"),F108," ")</f>
        <v> </v>
      </c>
      <c r="K108" s="180" t="str">
        <f aca="false">IF((D108="e"),F108," ")</f>
        <v> </v>
      </c>
      <c r="L108" s="180" t="str">
        <f aca="false">IF((D108="p"),F108," ")</f>
        <v> </v>
      </c>
      <c r="M108" s="180" t="str">
        <f aca="false">IF((D108="g"),F108," ")</f>
        <v> </v>
      </c>
      <c r="N108" s="180" t="str">
        <f aca="false">IF((D108="a"),F108," ")</f>
        <v> </v>
      </c>
      <c r="O108" s="180" t="str">
        <f aca="false">IF((D108="l"),F108," ")</f>
        <v> </v>
      </c>
      <c r="P108" s="180" t="str">
        <f aca="false">IF((D108="i"),F108," ")</f>
        <v> </v>
      </c>
      <c r="Q108" s="180" t="str">
        <f aca="false">IF((D108="b"),F108," ")</f>
        <v> </v>
      </c>
      <c r="R108" s="180" t="str">
        <f aca="false">IF((D108="o"),F108," ")</f>
        <v> </v>
      </c>
      <c r="S108" s="180" t="str">
        <f aca="false">IF((D108="f"),F108," ")</f>
        <v> </v>
      </c>
      <c r="U108" s="371"/>
    </row>
    <row r="109" customFormat="false" ht="12.75" hidden="false" customHeight="false" outlineLevel="0" collapsed="false">
      <c r="D109" s="371" t="str">
        <f aca="false">IF((F109&lt;&gt;0),"Enter Letter"," ")</f>
        <v> </v>
      </c>
      <c r="G109" s="180" t="str">
        <f aca="false">IF((D109="d"),F109," ")</f>
        <v> </v>
      </c>
      <c r="H109" s="180" t="str">
        <f aca="false">IF((D109="h"),F109," ")</f>
        <v> </v>
      </c>
      <c r="I109" s="180" t="str">
        <f aca="false">IF((D109="r"),F109," ")</f>
        <v> </v>
      </c>
      <c r="J109" s="180" t="str">
        <f aca="false">IF((D109="t"),F109," ")</f>
        <v> </v>
      </c>
      <c r="K109" s="180" t="str">
        <f aca="false">IF((D109="e"),F109," ")</f>
        <v> </v>
      </c>
      <c r="L109" s="180" t="str">
        <f aca="false">IF((D109="p"),F109," ")</f>
        <v> </v>
      </c>
      <c r="M109" s="180" t="str">
        <f aca="false">IF((D109="g"),F109," ")</f>
        <v> </v>
      </c>
      <c r="N109" s="180" t="str">
        <f aca="false">IF((D109="a"),F109," ")</f>
        <v> </v>
      </c>
      <c r="O109" s="180" t="str">
        <f aca="false">IF((D109="l"),F109," ")</f>
        <v> </v>
      </c>
      <c r="P109" s="180" t="str">
        <f aca="false">IF((D109="i"),F109," ")</f>
        <v> </v>
      </c>
      <c r="Q109" s="180" t="str">
        <f aca="false">IF((D109="b"),F109," ")</f>
        <v> </v>
      </c>
      <c r="R109" s="180" t="str">
        <f aca="false">IF((D109="o"),F109," ")</f>
        <v> </v>
      </c>
      <c r="S109" s="180" t="str">
        <f aca="false">IF((D109="f"),F109," ")</f>
        <v> </v>
      </c>
      <c r="U109" s="371"/>
    </row>
    <row r="110" customFormat="false" ht="12.75" hidden="false" customHeight="false" outlineLevel="0" collapsed="false">
      <c r="D110" s="371" t="str">
        <f aca="false">IF((F110&lt;&gt;0),"Enter Letter"," ")</f>
        <v> </v>
      </c>
      <c r="G110" s="180" t="str">
        <f aca="false">IF((D110="d"),F110," ")</f>
        <v> </v>
      </c>
      <c r="H110" s="180" t="str">
        <f aca="false">IF((D110="h"),F110," ")</f>
        <v> </v>
      </c>
      <c r="I110" s="180" t="str">
        <f aca="false">IF((D110="r"),F110," ")</f>
        <v> </v>
      </c>
      <c r="J110" s="180" t="str">
        <f aca="false">IF((D110="t"),F110," ")</f>
        <v> </v>
      </c>
      <c r="K110" s="180" t="str">
        <f aca="false">IF((D110="e"),F110," ")</f>
        <v> </v>
      </c>
      <c r="L110" s="180" t="str">
        <f aca="false">IF((D110="p"),F110," ")</f>
        <v> </v>
      </c>
      <c r="M110" s="180" t="str">
        <f aca="false">IF((D110="g"),F110," ")</f>
        <v> </v>
      </c>
      <c r="N110" s="180" t="str">
        <f aca="false">IF((D110="a"),F110," ")</f>
        <v> </v>
      </c>
      <c r="O110" s="180" t="str">
        <f aca="false">IF((D110="l"),F110," ")</f>
        <v> </v>
      </c>
      <c r="P110" s="180" t="str">
        <f aca="false">IF((D110="i"),F110," ")</f>
        <v> </v>
      </c>
      <c r="Q110" s="180" t="str">
        <f aca="false">IF((D110="b"),F110," ")</f>
        <v> </v>
      </c>
      <c r="R110" s="180" t="str">
        <f aca="false">IF((D110="o"),F110," ")</f>
        <v> </v>
      </c>
      <c r="S110" s="180" t="str">
        <f aca="false">IF((D110="f"),F110," ")</f>
        <v> </v>
      </c>
      <c r="U110" s="371"/>
    </row>
    <row r="111" customFormat="false" ht="12.75" hidden="false" customHeight="false" outlineLevel="0" collapsed="false">
      <c r="D111" s="371" t="str">
        <f aca="false">IF((F111&lt;&gt;0),"Enter Letter"," ")</f>
        <v> </v>
      </c>
      <c r="G111" s="180" t="str">
        <f aca="false">IF((D111="d"),F111," ")</f>
        <v> </v>
      </c>
      <c r="H111" s="180" t="str">
        <f aca="false">IF((D111="h"),F111," ")</f>
        <v> </v>
      </c>
      <c r="I111" s="180" t="str">
        <f aca="false">IF((D111="r"),F111," ")</f>
        <v> </v>
      </c>
      <c r="J111" s="180" t="str">
        <f aca="false">IF((D111="t"),F111," ")</f>
        <v> </v>
      </c>
      <c r="K111" s="180" t="str">
        <f aca="false">IF((D111="e"),F111," ")</f>
        <v> </v>
      </c>
      <c r="L111" s="180" t="str">
        <f aca="false">IF((D111="p"),F111," ")</f>
        <v> </v>
      </c>
      <c r="M111" s="180" t="str">
        <f aca="false">IF((D111="g"),F111," ")</f>
        <v> </v>
      </c>
      <c r="N111" s="180" t="str">
        <f aca="false">IF((D111="a"),F111," ")</f>
        <v> </v>
      </c>
      <c r="O111" s="180" t="str">
        <f aca="false">IF((D111="l"),F111," ")</f>
        <v> </v>
      </c>
      <c r="P111" s="180" t="str">
        <f aca="false">IF((D111="i"),F111," ")</f>
        <v> </v>
      </c>
      <c r="Q111" s="180" t="str">
        <f aca="false">IF((D111="b"),F111," ")</f>
        <v> </v>
      </c>
      <c r="R111" s="180" t="str">
        <f aca="false">IF((D111="o"),F111," ")</f>
        <v> </v>
      </c>
      <c r="S111" s="180" t="str">
        <f aca="false">IF((D111="f"),F111," ")</f>
        <v> </v>
      </c>
      <c r="U111" s="371"/>
    </row>
    <row r="112" customFormat="false" ht="12.75" hidden="false" customHeight="false" outlineLevel="0" collapsed="false">
      <c r="D112" s="371" t="str">
        <f aca="false">IF((F112&lt;&gt;0),"Enter Letter"," ")</f>
        <v> </v>
      </c>
      <c r="G112" s="180" t="str">
        <f aca="false">IF((D112="d"),F112," ")</f>
        <v> </v>
      </c>
      <c r="H112" s="180" t="str">
        <f aca="false">IF((D112="h"),F112," ")</f>
        <v> </v>
      </c>
      <c r="I112" s="180" t="str">
        <f aca="false">IF((D112="r"),F112," ")</f>
        <v> </v>
      </c>
      <c r="J112" s="180" t="str">
        <f aca="false">IF((D112="t"),F112," ")</f>
        <v> </v>
      </c>
      <c r="K112" s="180" t="str">
        <f aca="false">IF((D112="e"),F112," ")</f>
        <v> </v>
      </c>
      <c r="L112" s="180" t="str">
        <f aca="false">IF((D112="p"),F112," ")</f>
        <v> </v>
      </c>
      <c r="M112" s="180" t="str">
        <f aca="false">IF((D112="g"),F112," ")</f>
        <v> </v>
      </c>
      <c r="N112" s="180" t="str">
        <f aca="false">IF((D112="a"),F112," ")</f>
        <v> </v>
      </c>
      <c r="O112" s="180" t="str">
        <f aca="false">IF((D112="l"),F112," ")</f>
        <v> </v>
      </c>
      <c r="P112" s="180" t="str">
        <f aca="false">IF((D112="i"),F112," ")</f>
        <v> </v>
      </c>
      <c r="Q112" s="180" t="str">
        <f aca="false">IF((D112="b"),F112," ")</f>
        <v> </v>
      </c>
      <c r="R112" s="180" t="str">
        <f aca="false">IF((D112="o"),F112," ")</f>
        <v> </v>
      </c>
      <c r="S112" s="180" t="str">
        <f aca="false">IF((D112="f"),F112," ")</f>
        <v> </v>
      </c>
      <c r="U112" s="371"/>
    </row>
    <row r="113" customFormat="false" ht="12.75" hidden="false" customHeight="false" outlineLevel="0" collapsed="false">
      <c r="D113" s="371" t="str">
        <f aca="false">IF((F113&lt;&gt;0),"Enter Letter"," ")</f>
        <v> </v>
      </c>
      <c r="G113" s="180" t="str">
        <f aca="false">IF((D113="d"),F113," ")</f>
        <v> </v>
      </c>
      <c r="H113" s="180" t="str">
        <f aca="false">IF((D113="h"),F113," ")</f>
        <v> </v>
      </c>
      <c r="I113" s="180" t="str">
        <f aca="false">IF((D113="r"),F113," ")</f>
        <v> </v>
      </c>
      <c r="J113" s="180" t="str">
        <f aca="false">IF((D113="t"),F113," ")</f>
        <v> </v>
      </c>
      <c r="K113" s="180" t="str">
        <f aca="false">IF((D113="e"),F113," ")</f>
        <v> </v>
      </c>
      <c r="L113" s="180" t="str">
        <f aca="false">IF((D113="p"),F113," ")</f>
        <v> </v>
      </c>
      <c r="M113" s="180" t="str">
        <f aca="false">IF((D113="g"),F113," ")</f>
        <v> </v>
      </c>
      <c r="N113" s="180" t="str">
        <f aca="false">IF((D113="a"),F113," ")</f>
        <v> </v>
      </c>
      <c r="O113" s="180" t="str">
        <f aca="false">IF((D113="l"),F113," ")</f>
        <v> </v>
      </c>
      <c r="P113" s="180" t="str">
        <f aca="false">IF((D113="i"),F113," ")</f>
        <v> </v>
      </c>
      <c r="Q113" s="180" t="str">
        <f aca="false">IF((D113="b"),F113," ")</f>
        <v> </v>
      </c>
      <c r="R113" s="180" t="str">
        <f aca="false">IF((D113="o"),F113," ")</f>
        <v> </v>
      </c>
      <c r="S113" s="180" t="str">
        <f aca="false">IF((D113="f"),F113," ")</f>
        <v> </v>
      </c>
      <c r="U113" s="371"/>
    </row>
    <row r="114" customFormat="false" ht="12.75" hidden="false" customHeight="false" outlineLevel="0" collapsed="false">
      <c r="D114" s="371" t="str">
        <f aca="false">IF((F114&lt;&gt;0),"Enter Letter"," ")</f>
        <v> </v>
      </c>
      <c r="G114" s="180" t="str">
        <f aca="false">IF((D114="d"),F114," ")</f>
        <v> </v>
      </c>
      <c r="H114" s="180" t="str">
        <f aca="false">IF((D114="h"),F114," ")</f>
        <v> </v>
      </c>
      <c r="I114" s="180" t="str">
        <f aca="false">IF((D114="r"),F114," ")</f>
        <v> </v>
      </c>
      <c r="J114" s="180" t="str">
        <f aca="false">IF((D114="t"),F114," ")</f>
        <v> </v>
      </c>
      <c r="K114" s="180" t="str">
        <f aca="false">IF((D114="e"),F114," ")</f>
        <v> </v>
      </c>
      <c r="L114" s="180" t="str">
        <f aca="false">IF((D114="p"),F114," ")</f>
        <v> </v>
      </c>
      <c r="M114" s="180" t="str">
        <f aca="false">IF((D114="g"),F114," ")</f>
        <v> </v>
      </c>
      <c r="N114" s="180" t="str">
        <f aca="false">IF((D114="a"),F114," ")</f>
        <v> </v>
      </c>
      <c r="O114" s="180" t="str">
        <f aca="false">IF((D114="l"),F114," ")</f>
        <v> </v>
      </c>
      <c r="P114" s="180" t="str">
        <f aca="false">IF((D114="i"),F114," ")</f>
        <v> </v>
      </c>
      <c r="Q114" s="180" t="str">
        <f aca="false">IF((D114="b"),F114," ")</f>
        <v> </v>
      </c>
      <c r="R114" s="180" t="str">
        <f aca="false">IF((D114="o"),F114," ")</f>
        <v> </v>
      </c>
      <c r="S114" s="180" t="str">
        <f aca="false">IF((D114="f"),F114," ")</f>
        <v> </v>
      </c>
      <c r="U114" s="371"/>
    </row>
    <row r="115" customFormat="false" ht="12.75" hidden="false" customHeight="false" outlineLevel="0" collapsed="false">
      <c r="D115" s="371" t="str">
        <f aca="false">IF((F115&lt;&gt;0),"Enter Letter"," ")</f>
        <v> </v>
      </c>
      <c r="G115" s="180" t="str">
        <f aca="false">IF((D115="d"),F115," ")</f>
        <v> </v>
      </c>
      <c r="H115" s="180" t="str">
        <f aca="false">IF((D115="h"),F115," ")</f>
        <v> </v>
      </c>
      <c r="I115" s="180" t="str">
        <f aca="false">IF((D115="r"),F115," ")</f>
        <v> </v>
      </c>
      <c r="J115" s="180" t="str">
        <f aca="false">IF((D115="t"),F115," ")</f>
        <v> </v>
      </c>
      <c r="K115" s="180" t="str">
        <f aca="false">IF((D115="e"),F115," ")</f>
        <v> </v>
      </c>
      <c r="L115" s="180" t="str">
        <f aca="false">IF((D115="p"),F115," ")</f>
        <v> </v>
      </c>
      <c r="M115" s="180" t="str">
        <f aca="false">IF((D115="g"),F115," ")</f>
        <v> </v>
      </c>
      <c r="N115" s="180" t="str">
        <f aca="false">IF((D115="a"),F115," ")</f>
        <v> </v>
      </c>
      <c r="O115" s="180" t="str">
        <f aca="false">IF((D115="l"),F115," ")</f>
        <v> </v>
      </c>
      <c r="P115" s="180" t="str">
        <f aca="false">IF((D115="i"),F115," ")</f>
        <v> </v>
      </c>
      <c r="Q115" s="180" t="str">
        <f aca="false">IF((D115="b"),F115," ")</f>
        <v> </v>
      </c>
      <c r="R115" s="180" t="str">
        <f aca="false">IF((D115="o"),F115," ")</f>
        <v> </v>
      </c>
      <c r="S115" s="180" t="str">
        <f aca="false">IF((D115="f"),F115," ")</f>
        <v> </v>
      </c>
      <c r="U115" s="371"/>
    </row>
    <row r="116" customFormat="false" ht="12.75" hidden="false" customHeight="false" outlineLevel="0" collapsed="false">
      <c r="D116" s="371" t="str">
        <f aca="false">IF((F116&lt;&gt;0),"Enter Letter"," ")</f>
        <v> </v>
      </c>
      <c r="G116" s="180" t="str">
        <f aca="false">IF((D116="d"),F116," ")</f>
        <v> </v>
      </c>
      <c r="H116" s="180" t="str">
        <f aca="false">IF((D116="h"),F116," ")</f>
        <v> </v>
      </c>
      <c r="I116" s="180" t="str">
        <f aca="false">IF((D116="r"),F116," ")</f>
        <v> </v>
      </c>
      <c r="J116" s="180" t="str">
        <f aca="false">IF((D116="t"),F116," ")</f>
        <v> </v>
      </c>
      <c r="K116" s="180" t="str">
        <f aca="false">IF((D116="e"),F116," ")</f>
        <v> </v>
      </c>
      <c r="L116" s="180" t="str">
        <f aca="false">IF((D116="p"),F116," ")</f>
        <v> </v>
      </c>
      <c r="M116" s="180" t="str">
        <f aca="false">IF((D116="g"),F116," ")</f>
        <v> </v>
      </c>
      <c r="N116" s="180" t="str">
        <f aca="false">IF((D116="a"),F116," ")</f>
        <v> </v>
      </c>
      <c r="O116" s="180" t="str">
        <f aca="false">IF((D116="l"),F116," ")</f>
        <v> </v>
      </c>
      <c r="P116" s="180" t="str">
        <f aca="false">IF((D116="i"),F116," ")</f>
        <v> </v>
      </c>
      <c r="Q116" s="180" t="str">
        <f aca="false">IF((D116="b"),F116," ")</f>
        <v> </v>
      </c>
      <c r="R116" s="180" t="str">
        <f aca="false">IF((D116="o"),F116," ")</f>
        <v> </v>
      </c>
      <c r="S116" s="180" t="str">
        <f aca="false">IF((D116="f"),F116," ")</f>
        <v> </v>
      </c>
      <c r="U116" s="371"/>
    </row>
    <row r="117" customFormat="false" ht="12.75" hidden="false" customHeight="false" outlineLevel="0" collapsed="false">
      <c r="D117" s="371" t="str">
        <f aca="false">IF((F117&lt;&gt;0),"Enter Letter"," ")</f>
        <v> </v>
      </c>
      <c r="G117" s="180" t="str">
        <f aca="false">IF((D117="d"),F117," ")</f>
        <v> </v>
      </c>
      <c r="H117" s="180" t="str">
        <f aca="false">IF((D117="h"),F117," ")</f>
        <v> </v>
      </c>
      <c r="I117" s="180" t="str">
        <f aca="false">IF((D117="r"),F117," ")</f>
        <v> </v>
      </c>
      <c r="J117" s="180" t="str">
        <f aca="false">IF((D117="t"),F117," ")</f>
        <v> </v>
      </c>
      <c r="K117" s="180" t="str">
        <f aca="false">IF((D117="e"),F117," ")</f>
        <v> </v>
      </c>
      <c r="L117" s="180" t="str">
        <f aca="false">IF((D117="p"),F117," ")</f>
        <v> </v>
      </c>
      <c r="M117" s="180" t="str">
        <f aca="false">IF((D117="g"),F117," ")</f>
        <v> </v>
      </c>
      <c r="N117" s="180" t="str">
        <f aca="false">IF((D117="a"),F117," ")</f>
        <v> </v>
      </c>
      <c r="O117" s="180" t="str">
        <f aca="false">IF((D117="l"),F117," ")</f>
        <v> </v>
      </c>
      <c r="P117" s="180" t="str">
        <f aca="false">IF((D117="i"),F117," ")</f>
        <v> </v>
      </c>
      <c r="Q117" s="180" t="str">
        <f aca="false">IF((D117="b"),F117," ")</f>
        <v> </v>
      </c>
      <c r="R117" s="180" t="str">
        <f aca="false">IF((D117="o"),F117," ")</f>
        <v> </v>
      </c>
      <c r="S117" s="180" t="str">
        <f aca="false">IF((D117="f"),F117," ")</f>
        <v> </v>
      </c>
      <c r="U117" s="371"/>
    </row>
    <row r="118" customFormat="false" ht="12.75" hidden="false" customHeight="false" outlineLevel="0" collapsed="false">
      <c r="D118" s="371" t="str">
        <f aca="false">IF((F118&lt;&gt;0),"Enter Letter"," ")</f>
        <v> </v>
      </c>
      <c r="G118" s="180" t="str">
        <f aca="false">IF((D118="d"),F118," ")</f>
        <v> </v>
      </c>
      <c r="H118" s="180" t="str">
        <f aca="false">IF((D118="h"),F118," ")</f>
        <v> </v>
      </c>
      <c r="I118" s="180" t="str">
        <f aca="false">IF((D118="r"),F118," ")</f>
        <v> </v>
      </c>
      <c r="J118" s="180" t="str">
        <f aca="false">IF((D118="t"),F118," ")</f>
        <v> </v>
      </c>
      <c r="K118" s="180" t="str">
        <f aca="false">IF((D118="e"),F118," ")</f>
        <v> </v>
      </c>
      <c r="L118" s="180" t="str">
        <f aca="false">IF((D118="p"),F118," ")</f>
        <v> </v>
      </c>
      <c r="M118" s="180" t="str">
        <f aca="false">IF((D118="g"),F118," ")</f>
        <v> </v>
      </c>
      <c r="N118" s="180" t="str">
        <f aca="false">IF((D118="a"),F118," ")</f>
        <v> </v>
      </c>
      <c r="O118" s="180" t="str">
        <f aca="false">IF((D118="l"),F118," ")</f>
        <v> </v>
      </c>
      <c r="P118" s="180" t="str">
        <f aca="false">IF((D118="i"),F118," ")</f>
        <v> </v>
      </c>
      <c r="Q118" s="180" t="str">
        <f aca="false">IF((D118="b"),F118," ")</f>
        <v> </v>
      </c>
      <c r="R118" s="180" t="str">
        <f aca="false">IF((D118="o"),F118," ")</f>
        <v> </v>
      </c>
      <c r="S118" s="180" t="str">
        <f aca="false">IF((D118="f"),F118," ")</f>
        <v> </v>
      </c>
      <c r="U118" s="371"/>
    </row>
    <row r="119" customFormat="false" ht="12.75" hidden="false" customHeight="false" outlineLevel="0" collapsed="false">
      <c r="D119" s="371" t="str">
        <f aca="false">IF((F119&lt;&gt;0),"Enter Letter"," ")</f>
        <v> </v>
      </c>
      <c r="G119" s="180" t="str">
        <f aca="false">IF((D119="d"),F119," ")</f>
        <v> </v>
      </c>
      <c r="H119" s="180" t="str">
        <f aca="false">IF((D119="h"),F119," ")</f>
        <v> </v>
      </c>
      <c r="I119" s="180" t="str">
        <f aca="false">IF((D119="r"),F119," ")</f>
        <v> </v>
      </c>
      <c r="J119" s="180" t="str">
        <f aca="false">IF((D119="t"),F119," ")</f>
        <v> </v>
      </c>
      <c r="K119" s="180" t="str">
        <f aca="false">IF((D119="e"),F119," ")</f>
        <v> </v>
      </c>
      <c r="L119" s="180" t="str">
        <f aca="false">IF((D119="p"),F119," ")</f>
        <v> </v>
      </c>
      <c r="M119" s="180" t="str">
        <f aca="false">IF((D119="g"),F119," ")</f>
        <v> </v>
      </c>
      <c r="N119" s="180" t="str">
        <f aca="false">IF((D119="a"),F119," ")</f>
        <v> </v>
      </c>
      <c r="O119" s="180" t="str">
        <f aca="false">IF((D119="l"),F119," ")</f>
        <v> </v>
      </c>
      <c r="P119" s="180" t="str">
        <f aca="false">IF((D119="i"),F119," ")</f>
        <v> </v>
      </c>
      <c r="Q119" s="180" t="str">
        <f aca="false">IF((D119="b"),F119," ")</f>
        <v> </v>
      </c>
      <c r="R119" s="180" t="str">
        <f aca="false">IF((D119="o"),F119," ")</f>
        <v> </v>
      </c>
      <c r="S119" s="180" t="str">
        <f aca="false">IF((D119="f"),F119," ")</f>
        <v> </v>
      </c>
      <c r="U119" s="371"/>
    </row>
    <row r="120" customFormat="false" ht="12.75" hidden="false" customHeight="false" outlineLevel="0" collapsed="false">
      <c r="D120" s="371" t="str">
        <f aca="false">IF((F120&lt;&gt;0),"Enter Letter"," ")</f>
        <v> </v>
      </c>
      <c r="G120" s="180" t="str">
        <f aca="false">IF((D120="d"),F120," ")</f>
        <v> </v>
      </c>
      <c r="H120" s="180" t="str">
        <f aca="false">IF((D120="h"),F120," ")</f>
        <v> </v>
      </c>
      <c r="I120" s="180" t="str">
        <f aca="false">IF((D120="r"),F120," ")</f>
        <v> </v>
      </c>
      <c r="J120" s="180" t="str">
        <f aca="false">IF((D120="t"),F120," ")</f>
        <v> </v>
      </c>
      <c r="K120" s="180" t="str">
        <f aca="false">IF((D120="e"),F120," ")</f>
        <v> </v>
      </c>
      <c r="L120" s="180" t="str">
        <f aca="false">IF((D120="p"),F120," ")</f>
        <v> </v>
      </c>
      <c r="M120" s="180" t="str">
        <f aca="false">IF((D120="g"),F120," ")</f>
        <v> </v>
      </c>
      <c r="N120" s="180" t="str">
        <f aca="false">IF((D120="a"),F120," ")</f>
        <v> </v>
      </c>
      <c r="O120" s="180" t="str">
        <f aca="false">IF((D120="l"),F120," ")</f>
        <v> </v>
      </c>
      <c r="P120" s="180" t="str">
        <f aca="false">IF((D120="i"),F120," ")</f>
        <v> </v>
      </c>
      <c r="Q120" s="180" t="str">
        <f aca="false">IF((D120="b"),F120," ")</f>
        <v> </v>
      </c>
      <c r="R120" s="180" t="str">
        <f aca="false">IF((D120="o"),F120," ")</f>
        <v> </v>
      </c>
      <c r="S120" s="180" t="str">
        <f aca="false">IF((D120="f"),F120," ")</f>
        <v> </v>
      </c>
      <c r="U120" s="371"/>
    </row>
    <row r="121" customFormat="false" ht="12.75" hidden="false" customHeight="false" outlineLevel="0" collapsed="false">
      <c r="D121" s="371" t="str">
        <f aca="false">IF((F121&lt;&gt;0),"Enter Letter"," ")</f>
        <v> </v>
      </c>
      <c r="G121" s="180" t="str">
        <f aca="false">IF((D121="d"),F121," ")</f>
        <v> </v>
      </c>
      <c r="H121" s="180" t="str">
        <f aca="false">IF((D121="h"),F121," ")</f>
        <v> </v>
      </c>
      <c r="I121" s="180" t="str">
        <f aca="false">IF((D121="r"),F121," ")</f>
        <v> </v>
      </c>
      <c r="J121" s="180" t="str">
        <f aca="false">IF((D121="t"),F121," ")</f>
        <v> </v>
      </c>
      <c r="K121" s="180" t="str">
        <f aca="false">IF((D121="e"),F121," ")</f>
        <v> </v>
      </c>
      <c r="L121" s="180" t="str">
        <f aca="false">IF((D121="p"),F121," ")</f>
        <v> </v>
      </c>
      <c r="M121" s="180" t="str">
        <f aca="false">IF((D121="g"),F121," ")</f>
        <v> </v>
      </c>
      <c r="N121" s="180" t="str">
        <f aca="false">IF((D121="a"),F121," ")</f>
        <v> </v>
      </c>
      <c r="O121" s="180" t="str">
        <f aca="false">IF((D121="l"),F121," ")</f>
        <v> </v>
      </c>
      <c r="P121" s="180" t="str">
        <f aca="false">IF((D121="i"),F121," ")</f>
        <v> </v>
      </c>
      <c r="Q121" s="180" t="str">
        <f aca="false">IF((D121="b"),F121," ")</f>
        <v> </v>
      </c>
      <c r="R121" s="180" t="str">
        <f aca="false">IF((D121="o"),F121," ")</f>
        <v> </v>
      </c>
      <c r="S121" s="180" t="str">
        <f aca="false">IF((D121="f"),F121," ")</f>
        <v> </v>
      </c>
      <c r="U121" s="371"/>
    </row>
    <row r="122" customFormat="false" ht="12.75" hidden="false" customHeight="false" outlineLevel="0" collapsed="false">
      <c r="D122" s="371" t="str">
        <f aca="false">IF((F122&lt;&gt;0),"Enter Letter"," ")</f>
        <v> </v>
      </c>
      <c r="G122" s="180" t="str">
        <f aca="false">IF((D122="d"),F122," ")</f>
        <v> </v>
      </c>
      <c r="H122" s="180" t="str">
        <f aca="false">IF((D122="h"),F122," ")</f>
        <v> </v>
      </c>
      <c r="I122" s="180" t="str">
        <f aca="false">IF((D122="r"),F122," ")</f>
        <v> </v>
      </c>
      <c r="J122" s="180" t="str">
        <f aca="false">IF((D122="t"),F122," ")</f>
        <v> </v>
      </c>
      <c r="K122" s="180" t="str">
        <f aca="false">IF((D122="e"),F122," ")</f>
        <v> </v>
      </c>
      <c r="L122" s="180" t="str">
        <f aca="false">IF((D122="p"),F122," ")</f>
        <v> </v>
      </c>
      <c r="M122" s="180" t="str">
        <f aca="false">IF((D122="g"),F122," ")</f>
        <v> </v>
      </c>
      <c r="N122" s="180" t="str">
        <f aca="false">IF((D122="a"),F122," ")</f>
        <v> </v>
      </c>
      <c r="O122" s="180" t="str">
        <f aca="false">IF((D122="l"),F122," ")</f>
        <v> </v>
      </c>
      <c r="P122" s="180" t="str">
        <f aca="false">IF((D122="i"),F122," ")</f>
        <v> </v>
      </c>
      <c r="Q122" s="180" t="str">
        <f aca="false">IF((D122="b"),F122," ")</f>
        <v> </v>
      </c>
      <c r="R122" s="180" t="str">
        <f aca="false">IF((D122="o"),F122," ")</f>
        <v> </v>
      </c>
      <c r="S122" s="180" t="str">
        <f aca="false">IF((D122="f"),F122," ")</f>
        <v> </v>
      </c>
      <c r="U122" s="371"/>
    </row>
    <row r="123" customFormat="false" ht="12.75" hidden="false" customHeight="false" outlineLevel="0" collapsed="false">
      <c r="D123" s="371" t="str">
        <f aca="false">IF((F123&lt;&gt;0),"Enter Letter"," ")</f>
        <v> </v>
      </c>
      <c r="G123" s="180" t="str">
        <f aca="false">IF((D123="d"),F123," ")</f>
        <v> </v>
      </c>
      <c r="H123" s="180" t="str">
        <f aca="false">IF((D123="h"),F123," ")</f>
        <v> </v>
      </c>
      <c r="I123" s="180" t="str">
        <f aca="false">IF((D123="r"),F123," ")</f>
        <v> </v>
      </c>
      <c r="J123" s="180" t="str">
        <f aca="false">IF((D123="t"),F123," ")</f>
        <v> </v>
      </c>
      <c r="K123" s="180" t="str">
        <f aca="false">IF((D123="e"),F123," ")</f>
        <v> </v>
      </c>
      <c r="L123" s="180" t="str">
        <f aca="false">IF((D123="p"),F123," ")</f>
        <v> </v>
      </c>
      <c r="M123" s="180" t="str">
        <f aca="false">IF((D123="g"),F123," ")</f>
        <v> </v>
      </c>
      <c r="N123" s="180" t="str">
        <f aca="false">IF((D123="a"),F123," ")</f>
        <v> </v>
      </c>
      <c r="O123" s="180" t="str">
        <f aca="false">IF((D123="l"),F123," ")</f>
        <v> </v>
      </c>
      <c r="P123" s="180" t="str">
        <f aca="false">IF((D123="i"),F123," ")</f>
        <v> </v>
      </c>
      <c r="Q123" s="180" t="str">
        <f aca="false">IF((D123="b"),F123," ")</f>
        <v> </v>
      </c>
      <c r="R123" s="180" t="str">
        <f aca="false">IF((D123="o"),F123," ")</f>
        <v> </v>
      </c>
      <c r="S123" s="180" t="str">
        <f aca="false">IF((D123="f"),F123," ")</f>
        <v> </v>
      </c>
      <c r="U123" s="371"/>
    </row>
    <row r="124" customFormat="false" ht="12.75" hidden="false" customHeight="false" outlineLevel="0" collapsed="false">
      <c r="D124" s="371" t="str">
        <f aca="false">IF((F124&lt;&gt;0),"Enter Letter"," ")</f>
        <v> </v>
      </c>
      <c r="G124" s="180" t="str">
        <f aca="false">IF((D124="d"),F124," ")</f>
        <v> </v>
      </c>
      <c r="H124" s="180" t="str">
        <f aca="false">IF((D124="h"),F124," ")</f>
        <v> </v>
      </c>
      <c r="I124" s="180" t="str">
        <f aca="false">IF((D124="r"),F124," ")</f>
        <v> </v>
      </c>
      <c r="J124" s="180" t="str">
        <f aca="false">IF((D124="t"),F124," ")</f>
        <v> </v>
      </c>
      <c r="K124" s="180" t="str">
        <f aca="false">IF((D124="e"),F124," ")</f>
        <v> </v>
      </c>
      <c r="L124" s="180" t="str">
        <f aca="false">IF((D124="p"),F124," ")</f>
        <v> </v>
      </c>
      <c r="M124" s="180" t="str">
        <f aca="false">IF((D124="g"),F124," ")</f>
        <v> </v>
      </c>
      <c r="N124" s="180" t="str">
        <f aca="false">IF((D124="a"),F124," ")</f>
        <v> </v>
      </c>
      <c r="O124" s="180" t="str">
        <f aca="false">IF((D124="l"),F124," ")</f>
        <v> </v>
      </c>
      <c r="P124" s="180" t="str">
        <f aca="false">IF((D124="i"),F124," ")</f>
        <v> </v>
      </c>
      <c r="Q124" s="180" t="str">
        <f aca="false">IF((D124="b"),F124," ")</f>
        <v> </v>
      </c>
      <c r="R124" s="180" t="str">
        <f aca="false">IF((D124="o"),F124," ")</f>
        <v> </v>
      </c>
      <c r="S124" s="180" t="str">
        <f aca="false">IF((D124="f"),F124," ")</f>
        <v> </v>
      </c>
      <c r="U124" s="371"/>
    </row>
    <row r="125" customFormat="false" ht="12.75" hidden="false" customHeight="false" outlineLevel="0" collapsed="false">
      <c r="D125" s="371" t="str">
        <f aca="false">IF((F125&lt;&gt;0),"Enter Letter"," ")</f>
        <v> </v>
      </c>
      <c r="G125" s="180" t="str">
        <f aca="false">IF((D125="d"),F125," ")</f>
        <v> </v>
      </c>
      <c r="H125" s="180" t="str">
        <f aca="false">IF((D125="h"),F125," ")</f>
        <v> </v>
      </c>
      <c r="I125" s="180" t="str">
        <f aca="false">IF((D125="r"),F125," ")</f>
        <v> </v>
      </c>
      <c r="J125" s="180" t="str">
        <f aca="false">IF((D125="t"),F125," ")</f>
        <v> </v>
      </c>
      <c r="K125" s="180" t="str">
        <f aca="false">IF((D125="e"),F125," ")</f>
        <v> </v>
      </c>
      <c r="L125" s="180" t="str">
        <f aca="false">IF((D125="p"),F125," ")</f>
        <v> </v>
      </c>
      <c r="M125" s="180" t="str">
        <f aca="false">IF((D125="g"),F125," ")</f>
        <v> </v>
      </c>
      <c r="N125" s="180" t="str">
        <f aca="false">IF((D125="a"),F125," ")</f>
        <v> </v>
      </c>
      <c r="O125" s="180" t="str">
        <f aca="false">IF((D125="l"),F125," ")</f>
        <v> </v>
      </c>
      <c r="P125" s="180" t="str">
        <f aca="false">IF((D125="i"),F125," ")</f>
        <v> </v>
      </c>
      <c r="Q125" s="180" t="str">
        <f aca="false">IF((D125="b"),F125," ")</f>
        <v> </v>
      </c>
      <c r="R125" s="180" t="str">
        <f aca="false">IF((D125="o"),F125," ")</f>
        <v> </v>
      </c>
      <c r="S125" s="180" t="str">
        <f aca="false">IF((D125="f"),F125," ")</f>
        <v> </v>
      </c>
      <c r="U125" s="371"/>
    </row>
    <row r="126" customFormat="false" ht="12.75" hidden="false" customHeight="false" outlineLevel="0" collapsed="false">
      <c r="D126" s="371" t="str">
        <f aca="false">IF((F126&lt;&gt;0),"Enter Letter"," ")</f>
        <v> </v>
      </c>
      <c r="G126" s="180" t="str">
        <f aca="false">IF((D126="d"),F126," ")</f>
        <v> </v>
      </c>
      <c r="H126" s="180" t="str">
        <f aca="false">IF((D126="h"),F126," ")</f>
        <v> </v>
      </c>
      <c r="I126" s="180" t="str">
        <f aca="false">IF((D126="r"),F126," ")</f>
        <v> </v>
      </c>
      <c r="J126" s="180" t="str">
        <f aca="false">IF((D126="t"),F126," ")</f>
        <v> </v>
      </c>
      <c r="K126" s="180" t="str">
        <f aca="false">IF((D126="e"),F126," ")</f>
        <v> </v>
      </c>
      <c r="L126" s="180" t="str">
        <f aca="false">IF((D126="p"),F126," ")</f>
        <v> </v>
      </c>
      <c r="M126" s="180" t="str">
        <f aca="false">IF((D126="g"),F126," ")</f>
        <v> </v>
      </c>
      <c r="N126" s="180" t="str">
        <f aca="false">IF((D126="a"),F126," ")</f>
        <v> </v>
      </c>
      <c r="O126" s="180" t="str">
        <f aca="false">IF((D126="l"),F126," ")</f>
        <v> </v>
      </c>
      <c r="P126" s="180" t="str">
        <f aca="false">IF((D126="i"),F126," ")</f>
        <v> </v>
      </c>
      <c r="Q126" s="180" t="str">
        <f aca="false">IF((D126="b"),F126," ")</f>
        <v> </v>
      </c>
      <c r="R126" s="180" t="str">
        <f aca="false">IF((D126="o"),F126," ")</f>
        <v> </v>
      </c>
      <c r="S126" s="180" t="str">
        <f aca="false">IF((D126="f"),F126," ")</f>
        <v> </v>
      </c>
      <c r="U126" s="371"/>
    </row>
    <row r="127" customFormat="false" ht="12.75" hidden="false" customHeight="false" outlineLevel="0" collapsed="false">
      <c r="D127" s="371" t="str">
        <f aca="false">IF((F127&lt;&gt;0),"Enter Letter"," ")</f>
        <v> </v>
      </c>
      <c r="G127" s="180" t="str">
        <f aca="false">IF((D127="d"),F127," ")</f>
        <v> </v>
      </c>
      <c r="H127" s="180" t="str">
        <f aca="false">IF((D127="h"),F127," ")</f>
        <v> </v>
      </c>
      <c r="I127" s="180" t="str">
        <f aca="false">IF((D127="r"),F127," ")</f>
        <v> </v>
      </c>
      <c r="J127" s="180" t="str">
        <f aca="false">IF((D127="t"),F127," ")</f>
        <v> </v>
      </c>
      <c r="K127" s="180" t="str">
        <f aca="false">IF((D127="e"),F127," ")</f>
        <v> </v>
      </c>
      <c r="L127" s="180" t="str">
        <f aca="false">IF((D127="p"),F127," ")</f>
        <v> </v>
      </c>
      <c r="M127" s="180" t="str">
        <f aca="false">IF((D127="g"),F127," ")</f>
        <v> </v>
      </c>
      <c r="N127" s="180" t="str">
        <f aca="false">IF((D127="a"),F127," ")</f>
        <v> </v>
      </c>
      <c r="O127" s="180" t="str">
        <f aca="false">IF((D127="l"),F127," ")</f>
        <v> </v>
      </c>
      <c r="P127" s="180" t="str">
        <f aca="false">IF((D127="i"),F127," ")</f>
        <v> </v>
      </c>
      <c r="Q127" s="180" t="str">
        <f aca="false">IF((D127="b"),F127," ")</f>
        <v> </v>
      </c>
      <c r="R127" s="180" t="str">
        <f aca="false">IF((D127="o"),F127," ")</f>
        <v> </v>
      </c>
      <c r="S127" s="180" t="str">
        <f aca="false">IF((D127="f"),F127," ")</f>
        <v> </v>
      </c>
      <c r="U127" s="371"/>
    </row>
    <row r="128" customFormat="false" ht="12.75" hidden="false" customHeight="false" outlineLevel="0" collapsed="false">
      <c r="D128" s="371" t="str">
        <f aca="false">IF((F128&lt;&gt;0),"Enter Letter"," ")</f>
        <v> </v>
      </c>
      <c r="G128" s="180" t="str">
        <f aca="false">IF((D128="d"),F128," ")</f>
        <v> </v>
      </c>
      <c r="H128" s="180" t="str">
        <f aca="false">IF((D128="h"),F128," ")</f>
        <v> </v>
      </c>
      <c r="I128" s="180" t="str">
        <f aca="false">IF((D128="r"),F128," ")</f>
        <v> </v>
      </c>
      <c r="J128" s="180" t="str">
        <f aca="false">IF((D128="t"),F128," ")</f>
        <v> </v>
      </c>
      <c r="K128" s="180" t="str">
        <f aca="false">IF((D128="e"),F128," ")</f>
        <v> </v>
      </c>
      <c r="L128" s="180" t="str">
        <f aca="false">IF((D128="p"),F128," ")</f>
        <v> </v>
      </c>
      <c r="M128" s="180" t="str">
        <f aca="false">IF((D128="g"),F128," ")</f>
        <v> </v>
      </c>
      <c r="N128" s="180" t="str">
        <f aca="false">IF((D128="a"),F128," ")</f>
        <v> </v>
      </c>
      <c r="O128" s="180" t="str">
        <f aca="false">IF((D128="l"),F128," ")</f>
        <v> </v>
      </c>
      <c r="P128" s="180" t="str">
        <f aca="false">IF((D128="i"),F128," ")</f>
        <v> </v>
      </c>
      <c r="Q128" s="180" t="str">
        <f aca="false">IF((D128="b"),F128," ")</f>
        <v> </v>
      </c>
      <c r="R128" s="180" t="str">
        <f aca="false">IF((D128="o"),F128," ")</f>
        <v> </v>
      </c>
      <c r="S128" s="180" t="str">
        <f aca="false">IF((D128="f"),F128," ")</f>
        <v> </v>
      </c>
      <c r="U128" s="371"/>
    </row>
    <row r="129" customFormat="false" ht="12.75" hidden="false" customHeight="false" outlineLevel="0" collapsed="false">
      <c r="D129" s="371" t="str">
        <f aca="false">IF((F129&lt;&gt;0),"Enter Letter"," ")</f>
        <v> </v>
      </c>
      <c r="G129" s="180" t="str">
        <f aca="false">IF((D129="d"),F129," ")</f>
        <v> </v>
      </c>
      <c r="H129" s="180" t="str">
        <f aca="false">IF((D129="h"),F129," ")</f>
        <v> </v>
      </c>
      <c r="I129" s="180" t="str">
        <f aca="false">IF((D129="r"),F129," ")</f>
        <v> </v>
      </c>
      <c r="J129" s="180" t="str">
        <f aca="false">IF((D129="t"),F129," ")</f>
        <v> </v>
      </c>
      <c r="K129" s="180" t="str">
        <f aca="false">IF((D129="e"),F129," ")</f>
        <v> </v>
      </c>
      <c r="L129" s="180" t="str">
        <f aca="false">IF((D129="p"),F129," ")</f>
        <v> </v>
      </c>
      <c r="M129" s="180" t="str">
        <f aca="false">IF((D129="g"),F129," ")</f>
        <v> </v>
      </c>
      <c r="N129" s="180" t="str">
        <f aca="false">IF((D129="a"),F129," ")</f>
        <v> </v>
      </c>
      <c r="O129" s="180" t="str">
        <f aca="false">IF((D129="l"),F129," ")</f>
        <v> </v>
      </c>
      <c r="P129" s="180" t="str">
        <f aca="false">IF((D129="i"),F129," ")</f>
        <v> </v>
      </c>
      <c r="Q129" s="180" t="str">
        <f aca="false">IF((D129="b"),F129," ")</f>
        <v> </v>
      </c>
      <c r="R129" s="180" t="str">
        <f aca="false">IF((D129="o"),F129," ")</f>
        <v> </v>
      </c>
      <c r="S129" s="180" t="str">
        <f aca="false">IF((D129="f"),F129," ")</f>
        <v> </v>
      </c>
      <c r="U129" s="371"/>
    </row>
    <row r="130" customFormat="false" ht="12.75" hidden="false" customHeight="false" outlineLevel="0" collapsed="false">
      <c r="D130" s="371" t="str">
        <f aca="false">IF((F130&lt;&gt;0),"Enter Letter"," ")</f>
        <v> </v>
      </c>
      <c r="G130" s="180" t="str">
        <f aca="false">IF((D130="d"),F130," ")</f>
        <v> </v>
      </c>
      <c r="H130" s="180" t="str">
        <f aca="false">IF((D130="h"),F130," ")</f>
        <v> </v>
      </c>
      <c r="I130" s="180" t="str">
        <f aca="false">IF((D130="r"),F130," ")</f>
        <v> </v>
      </c>
      <c r="J130" s="180" t="str">
        <f aca="false">IF((D130="t"),F130," ")</f>
        <v> </v>
      </c>
      <c r="K130" s="180" t="str">
        <f aca="false">IF((D130="e"),F130," ")</f>
        <v> </v>
      </c>
      <c r="L130" s="180" t="str">
        <f aca="false">IF((D130="p"),F130," ")</f>
        <v> </v>
      </c>
      <c r="M130" s="180" t="str">
        <f aca="false">IF((D130="g"),F130," ")</f>
        <v> </v>
      </c>
      <c r="N130" s="180" t="str">
        <f aca="false">IF((D130="a"),F130," ")</f>
        <v> </v>
      </c>
      <c r="O130" s="180" t="str">
        <f aca="false">IF((D130="l"),F130," ")</f>
        <v> </v>
      </c>
      <c r="P130" s="180" t="str">
        <f aca="false">IF((D130="i"),F130," ")</f>
        <v> </v>
      </c>
      <c r="Q130" s="180" t="str">
        <f aca="false">IF((D130="b"),F130," ")</f>
        <v> </v>
      </c>
      <c r="R130" s="180" t="str">
        <f aca="false">IF((D130="o"),F130," ")</f>
        <v> </v>
      </c>
      <c r="S130" s="180" t="str">
        <f aca="false">IF((D130="f"),F130," ")</f>
        <v> </v>
      </c>
      <c r="U130" s="371"/>
    </row>
    <row r="131" customFormat="false" ht="12.75" hidden="false" customHeight="false" outlineLevel="0" collapsed="false">
      <c r="D131" s="371" t="str">
        <f aca="false">IF((F131&lt;&gt;0),"Enter Letter"," ")</f>
        <v> </v>
      </c>
      <c r="G131" s="180" t="str">
        <f aca="false">IF((D131="d"),F131," ")</f>
        <v> </v>
      </c>
      <c r="H131" s="180" t="str">
        <f aca="false">IF((D131="h"),F131," ")</f>
        <v> </v>
      </c>
      <c r="I131" s="180" t="str">
        <f aca="false">IF((D131="r"),F131," ")</f>
        <v> </v>
      </c>
      <c r="J131" s="180" t="str">
        <f aca="false">IF((D131="t"),F131," ")</f>
        <v> </v>
      </c>
      <c r="K131" s="180" t="str">
        <f aca="false">IF((D131="e"),F131," ")</f>
        <v> </v>
      </c>
      <c r="L131" s="180" t="str">
        <f aca="false">IF((D131="p"),F131," ")</f>
        <v> </v>
      </c>
      <c r="M131" s="180" t="str">
        <f aca="false">IF((D131="g"),F131," ")</f>
        <v> </v>
      </c>
      <c r="N131" s="180" t="str">
        <f aca="false">IF((D131="a"),F131," ")</f>
        <v> </v>
      </c>
      <c r="O131" s="180" t="str">
        <f aca="false">IF((D131="l"),F131," ")</f>
        <v> </v>
      </c>
      <c r="P131" s="180" t="str">
        <f aca="false">IF((D131="i"),F131," ")</f>
        <v> </v>
      </c>
      <c r="Q131" s="180" t="str">
        <f aca="false">IF((D131="b"),F131," ")</f>
        <v> </v>
      </c>
      <c r="R131" s="180" t="str">
        <f aca="false">IF((D131="o"),F131," ")</f>
        <v> </v>
      </c>
      <c r="S131" s="180" t="str">
        <f aca="false">IF((D131="f"),F131," ")</f>
        <v> </v>
      </c>
      <c r="U131" s="371"/>
    </row>
    <row r="132" customFormat="false" ht="12.75" hidden="false" customHeight="false" outlineLevel="0" collapsed="false">
      <c r="D132" s="371" t="str">
        <f aca="false">IF((F132&lt;&gt;0),"Enter Letter"," ")</f>
        <v> </v>
      </c>
      <c r="G132" s="180" t="str">
        <f aca="false">IF((D132="d"),F132," ")</f>
        <v> </v>
      </c>
      <c r="H132" s="180" t="str">
        <f aca="false">IF((D132="h"),F132," ")</f>
        <v> </v>
      </c>
      <c r="I132" s="180" t="str">
        <f aca="false">IF((D132="r"),F132," ")</f>
        <v> </v>
      </c>
      <c r="J132" s="180" t="str">
        <f aca="false">IF((D132="t"),F132," ")</f>
        <v> </v>
      </c>
      <c r="K132" s="180" t="str">
        <f aca="false">IF((D132="e"),F132," ")</f>
        <v> </v>
      </c>
      <c r="L132" s="180" t="str">
        <f aca="false">IF((D132="p"),F132," ")</f>
        <v> </v>
      </c>
      <c r="M132" s="180" t="str">
        <f aca="false">IF((D132="g"),F132," ")</f>
        <v> </v>
      </c>
      <c r="N132" s="180" t="str">
        <f aca="false">IF((D132="a"),F132," ")</f>
        <v> </v>
      </c>
      <c r="O132" s="180" t="str">
        <f aca="false">IF((D132="l"),F132," ")</f>
        <v> </v>
      </c>
      <c r="P132" s="180" t="str">
        <f aca="false">IF((D132="i"),F132," ")</f>
        <v> </v>
      </c>
      <c r="Q132" s="180" t="str">
        <f aca="false">IF((D132="b"),F132," ")</f>
        <v> </v>
      </c>
      <c r="R132" s="180" t="str">
        <f aca="false">IF((D132="o"),F132," ")</f>
        <v> </v>
      </c>
      <c r="S132" s="180" t="str">
        <f aca="false">IF((D132="f"),F132," ")</f>
        <v> </v>
      </c>
      <c r="U132" s="371"/>
    </row>
    <row r="133" customFormat="false" ht="12.75" hidden="false" customHeight="false" outlineLevel="0" collapsed="false">
      <c r="D133" s="371" t="str">
        <f aca="false">IF((F133&lt;&gt;0),"Enter Letter"," ")</f>
        <v> </v>
      </c>
      <c r="G133" s="180" t="str">
        <f aca="false">IF((D133="d"),F133," ")</f>
        <v> </v>
      </c>
      <c r="H133" s="180" t="str">
        <f aca="false">IF((D133="h"),F133," ")</f>
        <v> </v>
      </c>
      <c r="I133" s="180" t="str">
        <f aca="false">IF((D133="r"),F133," ")</f>
        <v> </v>
      </c>
      <c r="J133" s="180" t="str">
        <f aca="false">IF((D133="t"),F133," ")</f>
        <v> </v>
      </c>
      <c r="K133" s="180" t="str">
        <f aca="false">IF((D133="e"),F133," ")</f>
        <v> </v>
      </c>
      <c r="L133" s="180" t="str">
        <f aca="false">IF((D133="p"),F133," ")</f>
        <v> </v>
      </c>
      <c r="M133" s="180" t="str">
        <f aca="false">IF((D133="g"),F133," ")</f>
        <v> </v>
      </c>
      <c r="N133" s="180" t="str">
        <f aca="false">IF((D133="a"),F133," ")</f>
        <v> </v>
      </c>
      <c r="O133" s="180" t="str">
        <f aca="false">IF((D133="l"),F133," ")</f>
        <v> </v>
      </c>
      <c r="P133" s="180" t="str">
        <f aca="false">IF((D133="i"),F133," ")</f>
        <v> </v>
      </c>
      <c r="Q133" s="180" t="str">
        <f aca="false">IF((D133="b"),F133," ")</f>
        <v> </v>
      </c>
      <c r="R133" s="180" t="str">
        <f aca="false">IF((D133="o"),F133," ")</f>
        <v> </v>
      </c>
      <c r="S133" s="180" t="str">
        <f aca="false">IF((D133="f"),F133," ")</f>
        <v> </v>
      </c>
      <c r="U133" s="371"/>
    </row>
    <row r="134" customFormat="false" ht="12.75" hidden="false" customHeight="false" outlineLevel="0" collapsed="false">
      <c r="D134" s="371" t="str">
        <f aca="false">IF((F134&lt;&gt;0),"Enter Letter"," ")</f>
        <v> </v>
      </c>
      <c r="G134" s="180" t="str">
        <f aca="false">IF((D134="d"),F134," ")</f>
        <v> </v>
      </c>
      <c r="H134" s="180" t="str">
        <f aca="false">IF((D134="h"),F134," ")</f>
        <v> </v>
      </c>
      <c r="I134" s="180" t="str">
        <f aca="false">IF((D134="r"),F134," ")</f>
        <v> </v>
      </c>
      <c r="J134" s="180" t="str">
        <f aca="false">IF((D134="t"),F134," ")</f>
        <v> </v>
      </c>
      <c r="K134" s="180" t="str">
        <f aca="false">IF((D134="e"),F134," ")</f>
        <v> </v>
      </c>
      <c r="L134" s="180" t="str">
        <f aca="false">IF((D134="p"),F134," ")</f>
        <v> </v>
      </c>
      <c r="M134" s="180" t="str">
        <f aca="false">IF((D134="g"),F134," ")</f>
        <v> </v>
      </c>
      <c r="N134" s="180" t="str">
        <f aca="false">IF((D134="a"),F134," ")</f>
        <v> </v>
      </c>
      <c r="O134" s="180" t="str">
        <f aca="false">IF((D134="l"),F134," ")</f>
        <v> </v>
      </c>
      <c r="P134" s="180" t="str">
        <f aca="false">IF((D134="i"),F134," ")</f>
        <v> </v>
      </c>
      <c r="Q134" s="180" t="str">
        <f aca="false">IF((D134="b"),F134," ")</f>
        <v> </v>
      </c>
      <c r="R134" s="180" t="str">
        <f aca="false">IF((D134="o"),F134," ")</f>
        <v> </v>
      </c>
      <c r="S134" s="180" t="str">
        <f aca="false">IF((D134="f"),F134," ")</f>
        <v> </v>
      </c>
      <c r="U134" s="371"/>
    </row>
    <row r="135" customFormat="false" ht="12.75" hidden="false" customHeight="false" outlineLevel="0" collapsed="false">
      <c r="D135" s="371" t="str">
        <f aca="false">IF((F135&lt;&gt;0),"Enter Letter"," ")</f>
        <v> </v>
      </c>
      <c r="G135" s="180" t="str">
        <f aca="false">IF((D135="d"),F135," ")</f>
        <v> </v>
      </c>
      <c r="H135" s="180" t="str">
        <f aca="false">IF((D135="h"),F135," ")</f>
        <v> </v>
      </c>
      <c r="I135" s="180" t="str">
        <f aca="false">IF((D135="r"),F135," ")</f>
        <v> </v>
      </c>
      <c r="J135" s="180" t="str">
        <f aca="false">IF((D135="t"),F135," ")</f>
        <v> </v>
      </c>
      <c r="K135" s="180" t="str">
        <f aca="false">IF((D135="e"),F135," ")</f>
        <v> </v>
      </c>
      <c r="L135" s="180" t="str">
        <f aca="false">IF((D135="p"),F135," ")</f>
        <v> </v>
      </c>
      <c r="M135" s="180" t="str">
        <f aca="false">IF((D135="g"),F135," ")</f>
        <v> </v>
      </c>
      <c r="N135" s="180" t="str">
        <f aca="false">IF((D135="a"),F135," ")</f>
        <v> </v>
      </c>
      <c r="O135" s="180" t="str">
        <f aca="false">IF((D135="l"),F135," ")</f>
        <v> </v>
      </c>
      <c r="P135" s="180" t="str">
        <f aca="false">IF((D135="i"),F135," ")</f>
        <v> </v>
      </c>
      <c r="Q135" s="180" t="str">
        <f aca="false">IF((D135="b"),F135," ")</f>
        <v> </v>
      </c>
      <c r="R135" s="180" t="str">
        <f aca="false">IF((D135="o"),F135," ")</f>
        <v> </v>
      </c>
      <c r="S135" s="180" t="str">
        <f aca="false">IF((D135="f"),F135," ")</f>
        <v> </v>
      </c>
      <c r="U135" s="371"/>
    </row>
    <row r="136" customFormat="false" ht="12.75" hidden="false" customHeight="false" outlineLevel="0" collapsed="false">
      <c r="D136" s="371" t="str">
        <f aca="false">IF((F136&lt;&gt;0),"Enter Letter"," ")</f>
        <v> </v>
      </c>
      <c r="G136" s="180" t="str">
        <f aca="false">IF((D136="d"),F136," ")</f>
        <v> </v>
      </c>
      <c r="H136" s="180" t="str">
        <f aca="false">IF((D136="h"),F136," ")</f>
        <v> </v>
      </c>
      <c r="I136" s="180" t="str">
        <f aca="false">IF((D136="r"),F136," ")</f>
        <v> </v>
      </c>
      <c r="J136" s="180" t="str">
        <f aca="false">IF((D136="t"),F136," ")</f>
        <v> </v>
      </c>
      <c r="K136" s="180" t="str">
        <f aca="false">IF((D136="e"),F136," ")</f>
        <v> </v>
      </c>
      <c r="L136" s="180" t="str">
        <f aca="false">IF((D136="p"),F136," ")</f>
        <v> </v>
      </c>
      <c r="M136" s="180" t="str">
        <f aca="false">IF((D136="g"),F136," ")</f>
        <v> </v>
      </c>
      <c r="N136" s="180" t="str">
        <f aca="false">IF((D136="a"),F136," ")</f>
        <v> </v>
      </c>
      <c r="O136" s="180" t="str">
        <f aca="false">IF((D136="l"),F136," ")</f>
        <v> </v>
      </c>
      <c r="P136" s="180" t="str">
        <f aca="false">IF((D136="i"),F136," ")</f>
        <v> </v>
      </c>
      <c r="Q136" s="180" t="str">
        <f aca="false">IF((D136="b"),F136," ")</f>
        <v> </v>
      </c>
      <c r="R136" s="180" t="str">
        <f aca="false">IF((D136="o"),F136," ")</f>
        <v> </v>
      </c>
      <c r="S136" s="180" t="str">
        <f aca="false">IF((D136="f"),F136," ")</f>
        <v> </v>
      </c>
      <c r="U136" s="371"/>
    </row>
    <row r="137" customFormat="false" ht="12.75" hidden="false" customHeight="false" outlineLevel="0" collapsed="false">
      <c r="D137" s="371" t="str">
        <f aca="false">IF((F137&lt;&gt;0),"Enter Letter"," ")</f>
        <v> </v>
      </c>
      <c r="G137" s="180" t="str">
        <f aca="false">IF((D137="d"),F137," ")</f>
        <v> </v>
      </c>
      <c r="H137" s="180" t="str">
        <f aca="false">IF((D137="h"),F137," ")</f>
        <v> </v>
      </c>
      <c r="I137" s="180" t="str">
        <f aca="false">IF((D137="r"),F137," ")</f>
        <v> </v>
      </c>
      <c r="J137" s="180" t="str">
        <f aca="false">IF((D137="t"),F137," ")</f>
        <v> </v>
      </c>
      <c r="K137" s="180" t="str">
        <f aca="false">IF((D137="e"),F137," ")</f>
        <v> </v>
      </c>
      <c r="L137" s="180" t="str">
        <f aca="false">IF((D137="p"),F137," ")</f>
        <v> </v>
      </c>
      <c r="M137" s="180" t="str">
        <f aca="false">IF((D137="g"),F137," ")</f>
        <v> </v>
      </c>
      <c r="N137" s="180" t="str">
        <f aca="false">IF((D137="a"),F137," ")</f>
        <v> </v>
      </c>
      <c r="O137" s="180" t="str">
        <f aca="false">IF((D137="l"),F137," ")</f>
        <v> </v>
      </c>
      <c r="P137" s="180" t="str">
        <f aca="false">IF((D137="i"),F137," ")</f>
        <v> </v>
      </c>
      <c r="Q137" s="180" t="str">
        <f aca="false">IF((D137="b"),F137," ")</f>
        <v> </v>
      </c>
      <c r="R137" s="180" t="str">
        <f aca="false">IF((D137="o"),F137," ")</f>
        <v> </v>
      </c>
      <c r="S137" s="180" t="str">
        <f aca="false">IF((D137="f"),F137," ")</f>
        <v> </v>
      </c>
      <c r="U137" s="371"/>
    </row>
    <row r="138" customFormat="false" ht="12.75" hidden="false" customHeight="false" outlineLevel="0" collapsed="false">
      <c r="D138" s="371" t="str">
        <f aca="false">IF((F138&lt;&gt;0),"Enter Letter"," ")</f>
        <v> </v>
      </c>
      <c r="G138" s="180" t="str">
        <f aca="false">IF((D138="d"),F138," ")</f>
        <v> </v>
      </c>
      <c r="H138" s="180" t="str">
        <f aca="false">IF((D138="h"),F138," ")</f>
        <v> </v>
      </c>
      <c r="I138" s="180" t="str">
        <f aca="false">IF((D138="r"),F138," ")</f>
        <v> </v>
      </c>
      <c r="J138" s="180" t="str">
        <f aca="false">IF((D138="t"),F138," ")</f>
        <v> </v>
      </c>
      <c r="K138" s="180" t="str">
        <f aca="false">IF((D138="e"),F138," ")</f>
        <v> </v>
      </c>
      <c r="L138" s="180" t="str">
        <f aca="false">IF((D138="p"),F138," ")</f>
        <v> </v>
      </c>
      <c r="M138" s="180" t="str">
        <f aca="false">IF((D138="g"),F138," ")</f>
        <v> </v>
      </c>
      <c r="N138" s="180" t="str">
        <f aca="false">IF((D138="a"),F138," ")</f>
        <v> </v>
      </c>
      <c r="O138" s="180" t="str">
        <f aca="false">IF((D138="l"),F138," ")</f>
        <v> </v>
      </c>
      <c r="P138" s="180" t="str">
        <f aca="false">IF((D138="i"),F138," ")</f>
        <v> </v>
      </c>
      <c r="Q138" s="180" t="str">
        <f aca="false">IF((D138="b"),F138," ")</f>
        <v> </v>
      </c>
      <c r="R138" s="180" t="str">
        <f aca="false">IF((D138="o"),F138," ")</f>
        <v> </v>
      </c>
      <c r="S138" s="180" t="str">
        <f aca="false">IF((D138="f"),F138," ")</f>
        <v> </v>
      </c>
      <c r="U138" s="371"/>
    </row>
    <row r="139" customFormat="false" ht="12.75" hidden="false" customHeight="false" outlineLevel="0" collapsed="false">
      <c r="D139" s="371" t="str">
        <f aca="false">IF((F139&lt;&gt;0),"Enter Letter"," ")</f>
        <v> </v>
      </c>
      <c r="G139" s="180" t="str">
        <f aca="false">IF((D139="d"),F139," ")</f>
        <v> </v>
      </c>
      <c r="H139" s="180" t="str">
        <f aca="false">IF((D139="h"),F139," ")</f>
        <v> </v>
      </c>
      <c r="I139" s="180" t="str">
        <f aca="false">IF((D139="r"),F139," ")</f>
        <v> </v>
      </c>
      <c r="J139" s="180" t="str">
        <f aca="false">IF((D139="t"),F139," ")</f>
        <v> </v>
      </c>
      <c r="K139" s="180" t="str">
        <f aca="false">IF((D139="e"),F139," ")</f>
        <v> </v>
      </c>
      <c r="L139" s="180" t="str">
        <f aca="false">IF((D139="p"),F139," ")</f>
        <v> </v>
      </c>
      <c r="M139" s="180" t="str">
        <f aca="false">IF((D139="g"),F139," ")</f>
        <v> </v>
      </c>
      <c r="N139" s="180" t="str">
        <f aca="false">IF((D139="a"),F139," ")</f>
        <v> </v>
      </c>
      <c r="O139" s="180" t="str">
        <f aca="false">IF((D139="l"),F139," ")</f>
        <v> </v>
      </c>
      <c r="P139" s="180" t="str">
        <f aca="false">IF((D139="i"),F139," ")</f>
        <v> </v>
      </c>
      <c r="Q139" s="180" t="str">
        <f aca="false">IF((D139="b"),F139," ")</f>
        <v> </v>
      </c>
      <c r="R139" s="180" t="str">
        <f aca="false">IF((D139="o"),F139," ")</f>
        <v> </v>
      </c>
      <c r="S139" s="180" t="str">
        <f aca="false">IF((D139="f"),F139," ")</f>
        <v> </v>
      </c>
      <c r="U139" s="371"/>
    </row>
    <row r="140" customFormat="false" ht="12.75" hidden="false" customHeight="false" outlineLevel="0" collapsed="false">
      <c r="D140" s="371" t="str">
        <f aca="false">IF((F140&lt;&gt;0),"Enter Letter"," ")</f>
        <v> </v>
      </c>
      <c r="G140" s="180" t="str">
        <f aca="false">IF((D140="d"),F140," ")</f>
        <v> </v>
      </c>
      <c r="H140" s="180" t="str">
        <f aca="false">IF((D140="h"),F140," ")</f>
        <v> </v>
      </c>
      <c r="I140" s="180" t="str">
        <f aca="false">IF((D140="r"),F140," ")</f>
        <v> </v>
      </c>
      <c r="J140" s="180" t="str">
        <f aca="false">IF((D140="t"),F140," ")</f>
        <v> </v>
      </c>
      <c r="K140" s="180" t="str">
        <f aca="false">IF((D140="e"),F140," ")</f>
        <v> </v>
      </c>
      <c r="L140" s="180" t="str">
        <f aca="false">IF((D140="p"),F140," ")</f>
        <v> </v>
      </c>
      <c r="M140" s="180" t="str">
        <f aca="false">IF((D140="g"),F140," ")</f>
        <v> </v>
      </c>
      <c r="N140" s="180" t="str">
        <f aca="false">IF((D140="a"),F140," ")</f>
        <v> </v>
      </c>
      <c r="O140" s="180" t="str">
        <f aca="false">IF((D140="l"),F140," ")</f>
        <v> </v>
      </c>
      <c r="P140" s="180" t="str">
        <f aca="false">IF((D140="i"),F140," ")</f>
        <v> </v>
      </c>
      <c r="Q140" s="180" t="str">
        <f aca="false">IF((D140="b"),F140," ")</f>
        <v> </v>
      </c>
      <c r="R140" s="180" t="str">
        <f aca="false">IF((D140="o"),F140," ")</f>
        <v> </v>
      </c>
      <c r="S140" s="180" t="str">
        <f aca="false">IF((D140="f"),F140," ")</f>
        <v> </v>
      </c>
      <c r="U140" s="371"/>
    </row>
    <row r="141" customFormat="false" ht="12.75" hidden="false" customHeight="false" outlineLevel="0" collapsed="false">
      <c r="D141" s="371" t="str">
        <f aca="false">IF((F141&lt;&gt;0),"Enter Letter"," ")</f>
        <v> </v>
      </c>
      <c r="G141" s="180" t="str">
        <f aca="false">IF((D141="d"),F141," ")</f>
        <v> </v>
      </c>
      <c r="H141" s="180" t="str">
        <f aca="false">IF((D141="h"),F141," ")</f>
        <v> </v>
      </c>
      <c r="I141" s="180" t="str">
        <f aca="false">IF((D141="r"),F141," ")</f>
        <v> </v>
      </c>
      <c r="J141" s="180" t="str">
        <f aca="false">IF((D141="t"),F141," ")</f>
        <v> </v>
      </c>
      <c r="K141" s="180" t="str">
        <f aca="false">IF((D141="e"),F141," ")</f>
        <v> </v>
      </c>
      <c r="L141" s="180" t="str">
        <f aca="false">IF((D141="p"),F141," ")</f>
        <v> </v>
      </c>
      <c r="M141" s="180" t="str">
        <f aca="false">IF((D141="g"),F141," ")</f>
        <v> </v>
      </c>
      <c r="N141" s="180" t="str">
        <f aca="false">IF((D141="a"),F141," ")</f>
        <v> </v>
      </c>
      <c r="O141" s="180" t="str">
        <f aca="false">IF((D141="l"),F141," ")</f>
        <v> </v>
      </c>
      <c r="P141" s="180" t="str">
        <f aca="false">IF((D141="i"),F141," ")</f>
        <v> </v>
      </c>
      <c r="Q141" s="180" t="str">
        <f aca="false">IF((D141="b"),F141," ")</f>
        <v> </v>
      </c>
      <c r="R141" s="180" t="str">
        <f aca="false">IF((D141="o"),F141," ")</f>
        <v> </v>
      </c>
      <c r="S141" s="180" t="str">
        <f aca="false">IF((D141="f"),F141," ")</f>
        <v> </v>
      </c>
      <c r="U141" s="371"/>
    </row>
    <row r="142" customFormat="false" ht="12.75" hidden="false" customHeight="false" outlineLevel="0" collapsed="false">
      <c r="D142" s="371" t="str">
        <f aca="false">IF((F142&lt;&gt;0),"Enter Letter"," ")</f>
        <v> </v>
      </c>
      <c r="G142" s="180" t="str">
        <f aca="false">IF((D142="d"),F142," ")</f>
        <v> </v>
      </c>
      <c r="H142" s="180" t="str">
        <f aca="false">IF((D142="h"),F142," ")</f>
        <v> </v>
      </c>
      <c r="I142" s="180" t="str">
        <f aca="false">IF((D142="r"),F142," ")</f>
        <v> </v>
      </c>
      <c r="J142" s="180" t="str">
        <f aca="false">IF((D142="t"),F142," ")</f>
        <v> </v>
      </c>
      <c r="K142" s="180" t="str">
        <f aca="false">IF((D142="e"),F142," ")</f>
        <v> </v>
      </c>
      <c r="L142" s="180" t="str">
        <f aca="false">IF((D142="p"),F142," ")</f>
        <v> </v>
      </c>
      <c r="M142" s="180" t="str">
        <f aca="false">IF((D142="g"),F142," ")</f>
        <v> </v>
      </c>
      <c r="N142" s="180" t="str">
        <f aca="false">IF((D142="a"),F142," ")</f>
        <v> </v>
      </c>
      <c r="O142" s="180" t="str">
        <f aca="false">IF((D142="l"),F142," ")</f>
        <v> </v>
      </c>
      <c r="P142" s="180" t="str">
        <f aca="false">IF((D142="i"),F142," ")</f>
        <v> </v>
      </c>
      <c r="Q142" s="180" t="str">
        <f aca="false">IF((D142="b"),F142," ")</f>
        <v> </v>
      </c>
      <c r="R142" s="180" t="str">
        <f aca="false">IF((D142="o"),F142," ")</f>
        <v> </v>
      </c>
      <c r="S142" s="180" t="str">
        <f aca="false">IF((D142="f"),F142," ")</f>
        <v> </v>
      </c>
      <c r="U142" s="371"/>
    </row>
    <row r="143" customFormat="false" ht="12.75" hidden="false" customHeight="false" outlineLevel="0" collapsed="false">
      <c r="D143" s="371" t="str">
        <f aca="false">IF((F143&lt;&gt;0),"Enter Letter"," ")</f>
        <v> </v>
      </c>
      <c r="G143" s="180" t="str">
        <f aca="false">IF((D143="d"),F143," ")</f>
        <v> </v>
      </c>
      <c r="H143" s="180" t="str">
        <f aca="false">IF((D143="h"),F143," ")</f>
        <v> </v>
      </c>
      <c r="I143" s="180" t="str">
        <f aca="false">IF((D143="r"),F143," ")</f>
        <v> </v>
      </c>
      <c r="J143" s="180" t="str">
        <f aca="false">IF((D143="t"),F143," ")</f>
        <v> </v>
      </c>
      <c r="K143" s="180" t="str">
        <f aca="false">IF((D143="e"),F143," ")</f>
        <v> </v>
      </c>
      <c r="L143" s="180" t="str">
        <f aca="false">IF((D143="p"),F143," ")</f>
        <v> </v>
      </c>
      <c r="M143" s="180" t="str">
        <f aca="false">IF((D143="g"),F143," ")</f>
        <v> </v>
      </c>
      <c r="N143" s="180" t="str">
        <f aca="false">IF((D143="a"),F143," ")</f>
        <v> </v>
      </c>
      <c r="O143" s="180" t="str">
        <f aca="false">IF((D143="l"),F143," ")</f>
        <v> </v>
      </c>
      <c r="P143" s="180" t="str">
        <f aca="false">IF((D143="i"),F143," ")</f>
        <v> </v>
      </c>
      <c r="Q143" s="180" t="str">
        <f aca="false">IF((D143="b"),F143," ")</f>
        <v> </v>
      </c>
      <c r="R143" s="180" t="str">
        <f aca="false">IF((D143="o"),F143," ")</f>
        <v> </v>
      </c>
      <c r="S143" s="180" t="str">
        <f aca="false">IF((D143="f"),F143," ")</f>
        <v> </v>
      </c>
      <c r="U143" s="371"/>
    </row>
    <row r="144" customFormat="false" ht="12.75" hidden="false" customHeight="false" outlineLevel="0" collapsed="false">
      <c r="D144" s="371" t="str">
        <f aca="false">IF((F144&lt;&gt;0),"Enter Letter"," ")</f>
        <v> </v>
      </c>
      <c r="G144" s="180" t="str">
        <f aca="false">IF((D144="d"),F144," ")</f>
        <v> </v>
      </c>
      <c r="H144" s="180" t="str">
        <f aca="false">IF((D144="h"),F144," ")</f>
        <v> </v>
      </c>
      <c r="I144" s="180" t="str">
        <f aca="false">IF((D144="r"),F144," ")</f>
        <v> </v>
      </c>
      <c r="J144" s="180" t="str">
        <f aca="false">IF((D144="t"),F144," ")</f>
        <v> </v>
      </c>
      <c r="K144" s="180" t="str">
        <f aca="false">IF((D144="e"),F144," ")</f>
        <v> </v>
      </c>
      <c r="L144" s="180" t="str">
        <f aca="false">IF((D144="p"),F144," ")</f>
        <v> </v>
      </c>
      <c r="M144" s="180" t="str">
        <f aca="false">IF((D144="g"),F144," ")</f>
        <v> </v>
      </c>
      <c r="N144" s="180" t="str">
        <f aca="false">IF((D144="a"),F144," ")</f>
        <v> </v>
      </c>
      <c r="O144" s="180" t="str">
        <f aca="false">IF((D144="l"),F144," ")</f>
        <v> </v>
      </c>
      <c r="P144" s="180" t="str">
        <f aca="false">IF((D144="i"),F144," ")</f>
        <v> </v>
      </c>
      <c r="Q144" s="180" t="str">
        <f aca="false">IF((D144="b"),F144," ")</f>
        <v> </v>
      </c>
      <c r="R144" s="180" t="str">
        <f aca="false">IF((D144="o"),F144," ")</f>
        <v> </v>
      </c>
      <c r="S144" s="180" t="str">
        <f aca="false">IF((D144="f"),F144," ")</f>
        <v> </v>
      </c>
      <c r="U144" s="371"/>
    </row>
    <row r="145" customFormat="false" ht="12.75" hidden="false" customHeight="false" outlineLevel="0" collapsed="false">
      <c r="D145" s="371" t="str">
        <f aca="false">IF((F145&lt;&gt;0),"Enter Letter"," ")</f>
        <v> </v>
      </c>
      <c r="G145" s="180" t="str">
        <f aca="false">IF((D145="d"),F145," ")</f>
        <v> </v>
      </c>
      <c r="H145" s="180" t="str">
        <f aca="false">IF((D145="h"),F145," ")</f>
        <v> </v>
      </c>
      <c r="I145" s="180" t="str">
        <f aca="false">IF((D145="r"),F145," ")</f>
        <v> </v>
      </c>
      <c r="J145" s="180" t="str">
        <f aca="false">IF((D145="t"),F145," ")</f>
        <v> </v>
      </c>
      <c r="K145" s="180" t="str">
        <f aca="false">IF((D145="e"),F145," ")</f>
        <v> </v>
      </c>
      <c r="L145" s="180" t="str">
        <f aca="false">IF((D145="p"),F145," ")</f>
        <v> </v>
      </c>
      <c r="M145" s="180" t="str">
        <f aca="false">IF((D145="g"),F145," ")</f>
        <v> </v>
      </c>
      <c r="N145" s="180" t="str">
        <f aca="false">IF((D145="a"),F145," ")</f>
        <v> </v>
      </c>
      <c r="O145" s="180" t="str">
        <f aca="false">IF((D145="l"),F145," ")</f>
        <v> </v>
      </c>
      <c r="P145" s="180" t="str">
        <f aca="false">IF((D145="i"),F145," ")</f>
        <v> </v>
      </c>
      <c r="Q145" s="180" t="str">
        <f aca="false">IF((D145="b"),F145," ")</f>
        <v> </v>
      </c>
      <c r="R145" s="180" t="str">
        <f aca="false">IF((D145="o"),F145," ")</f>
        <v> </v>
      </c>
      <c r="S145" s="180" t="str">
        <f aca="false">IF((D145="f"),F145," ")</f>
        <v> </v>
      </c>
      <c r="U145" s="371"/>
    </row>
    <row r="146" customFormat="false" ht="12.75" hidden="false" customHeight="false" outlineLevel="0" collapsed="false">
      <c r="D146" s="371" t="str">
        <f aca="false">IF((F146&lt;&gt;0),"Enter Letter"," ")</f>
        <v> </v>
      </c>
      <c r="G146" s="180" t="str">
        <f aca="false">IF((D146="d"),F146," ")</f>
        <v> </v>
      </c>
      <c r="H146" s="180" t="str">
        <f aca="false">IF((D146="h"),F146," ")</f>
        <v> </v>
      </c>
      <c r="I146" s="180" t="str">
        <f aca="false">IF((D146="r"),F146," ")</f>
        <v> </v>
      </c>
      <c r="J146" s="180" t="str">
        <f aca="false">IF((D146="t"),F146," ")</f>
        <v> </v>
      </c>
      <c r="K146" s="180" t="str">
        <f aca="false">IF((D146="e"),F146," ")</f>
        <v> </v>
      </c>
      <c r="L146" s="180" t="str">
        <f aca="false">IF((D146="p"),F146," ")</f>
        <v> </v>
      </c>
      <c r="M146" s="180" t="str">
        <f aca="false">IF((D146="g"),F146," ")</f>
        <v> </v>
      </c>
      <c r="N146" s="180" t="str">
        <f aca="false">IF((D146="a"),F146," ")</f>
        <v> </v>
      </c>
      <c r="O146" s="180" t="str">
        <f aca="false">IF((D146="l"),F146," ")</f>
        <v> </v>
      </c>
      <c r="P146" s="180" t="str">
        <f aca="false">IF((D146="i"),F146," ")</f>
        <v> </v>
      </c>
      <c r="Q146" s="180" t="str">
        <f aca="false">IF((D146="b"),F146," ")</f>
        <v> </v>
      </c>
      <c r="R146" s="180" t="str">
        <f aca="false">IF((D146="o"),F146," ")</f>
        <v> </v>
      </c>
      <c r="S146" s="180" t="str">
        <f aca="false">IF((D146="f"),F146," ")</f>
        <v> </v>
      </c>
      <c r="U146" s="371"/>
    </row>
    <row r="147" customFormat="false" ht="12.75" hidden="false" customHeight="false" outlineLevel="0" collapsed="false">
      <c r="D147" s="371" t="str">
        <f aca="false">IF((F147&lt;&gt;0),"Enter Letter"," ")</f>
        <v> </v>
      </c>
      <c r="G147" s="180" t="str">
        <f aca="false">IF((D147="d"),F147," ")</f>
        <v> </v>
      </c>
      <c r="H147" s="180" t="str">
        <f aca="false">IF((D147="h"),F147," ")</f>
        <v> </v>
      </c>
      <c r="I147" s="180" t="str">
        <f aca="false">IF((D147="r"),F147," ")</f>
        <v> </v>
      </c>
      <c r="J147" s="180" t="str">
        <f aca="false">IF((D147="t"),F147," ")</f>
        <v> </v>
      </c>
      <c r="K147" s="180" t="str">
        <f aca="false">IF((D147="e"),F147," ")</f>
        <v> </v>
      </c>
      <c r="L147" s="180" t="str">
        <f aca="false">IF((D147="p"),F147," ")</f>
        <v> </v>
      </c>
      <c r="M147" s="180" t="str">
        <f aca="false">IF((D147="g"),F147," ")</f>
        <v> </v>
      </c>
      <c r="N147" s="180" t="str">
        <f aca="false">IF((D147="a"),F147," ")</f>
        <v> </v>
      </c>
      <c r="O147" s="180" t="str">
        <f aca="false">IF((D147="l"),F147," ")</f>
        <v> </v>
      </c>
      <c r="P147" s="180" t="str">
        <f aca="false">IF((D147="i"),F147," ")</f>
        <v> </v>
      </c>
      <c r="Q147" s="180" t="str">
        <f aca="false">IF((D147="b"),F147," ")</f>
        <v> </v>
      </c>
      <c r="R147" s="180" t="str">
        <f aca="false">IF((D147="o"),F147," ")</f>
        <v> </v>
      </c>
      <c r="S147" s="180" t="str">
        <f aca="false">IF((D147="f"),F147," ")</f>
        <v> </v>
      </c>
      <c r="U147" s="371"/>
    </row>
    <row r="148" customFormat="false" ht="12.75" hidden="false" customHeight="false" outlineLevel="0" collapsed="false">
      <c r="D148" s="371" t="str">
        <f aca="false">IF((F148&lt;&gt;0),"Enter Letter"," ")</f>
        <v> </v>
      </c>
      <c r="G148" s="180" t="str">
        <f aca="false">IF((D148="d"),F148," ")</f>
        <v> </v>
      </c>
      <c r="H148" s="180" t="str">
        <f aca="false">IF((D148="h"),F148," ")</f>
        <v> </v>
      </c>
      <c r="I148" s="180" t="str">
        <f aca="false">IF((D148="r"),F148," ")</f>
        <v> </v>
      </c>
      <c r="J148" s="180" t="str">
        <f aca="false">IF((D148="t"),F148," ")</f>
        <v> </v>
      </c>
      <c r="K148" s="180" t="str">
        <f aca="false">IF((D148="e"),F148," ")</f>
        <v> </v>
      </c>
      <c r="L148" s="180" t="str">
        <f aca="false">IF((D148="p"),F148," ")</f>
        <v> </v>
      </c>
      <c r="M148" s="180" t="str">
        <f aca="false">IF((D148="g"),F148," ")</f>
        <v> </v>
      </c>
      <c r="N148" s="180" t="str">
        <f aca="false">IF((D148="a"),F148," ")</f>
        <v> </v>
      </c>
      <c r="O148" s="180" t="str">
        <f aca="false">IF((D148="l"),F148," ")</f>
        <v> </v>
      </c>
      <c r="P148" s="180" t="str">
        <f aca="false">IF((D148="i"),F148," ")</f>
        <v> </v>
      </c>
      <c r="Q148" s="180" t="str">
        <f aca="false">IF((D148="b"),F148," ")</f>
        <v> </v>
      </c>
      <c r="R148" s="180" t="str">
        <f aca="false">IF((D148="o"),F148," ")</f>
        <v> </v>
      </c>
      <c r="S148" s="180" t="str">
        <f aca="false">IF((D148="f"),F148," ")</f>
        <v> </v>
      </c>
      <c r="U148" s="371"/>
    </row>
    <row r="149" customFormat="false" ht="12.75" hidden="false" customHeight="false" outlineLevel="0" collapsed="false">
      <c r="D149" s="371" t="str">
        <f aca="false">IF((F149&lt;&gt;0),"Enter Letter"," ")</f>
        <v> </v>
      </c>
      <c r="G149" s="180" t="str">
        <f aca="false">IF((D149="d"),F149," ")</f>
        <v> </v>
      </c>
      <c r="H149" s="180" t="str">
        <f aca="false">IF((D149="h"),F149," ")</f>
        <v> </v>
      </c>
      <c r="I149" s="180" t="str">
        <f aca="false">IF((D149="r"),F149," ")</f>
        <v> </v>
      </c>
      <c r="J149" s="180" t="str">
        <f aca="false">IF((D149="t"),F149," ")</f>
        <v> </v>
      </c>
      <c r="K149" s="180" t="str">
        <f aca="false">IF((D149="e"),F149," ")</f>
        <v> </v>
      </c>
      <c r="L149" s="180" t="str">
        <f aca="false">IF((D149="p"),F149," ")</f>
        <v> </v>
      </c>
      <c r="M149" s="180" t="str">
        <f aca="false">IF((D149="g"),F149," ")</f>
        <v> </v>
      </c>
      <c r="N149" s="180" t="str">
        <f aca="false">IF((D149="a"),F149," ")</f>
        <v> </v>
      </c>
      <c r="O149" s="180" t="str">
        <f aca="false">IF((D149="l"),F149," ")</f>
        <v> </v>
      </c>
      <c r="P149" s="180" t="str">
        <f aca="false">IF((D149="i"),F149," ")</f>
        <v> </v>
      </c>
      <c r="Q149" s="180" t="str">
        <f aca="false">IF((D149="b"),F149," ")</f>
        <v> </v>
      </c>
      <c r="R149" s="180" t="str">
        <f aca="false">IF((D149="o"),F149," ")</f>
        <v> </v>
      </c>
      <c r="S149" s="180" t="str">
        <f aca="false">IF((D149="f"),F149," ")</f>
        <v> </v>
      </c>
      <c r="U149" s="371"/>
    </row>
    <row r="150" customFormat="false" ht="12.75" hidden="false" customHeight="false" outlineLevel="0" collapsed="false">
      <c r="D150" s="371" t="str">
        <f aca="false">IF((F150&lt;&gt;0),"Enter Letter"," ")</f>
        <v> </v>
      </c>
      <c r="G150" s="180" t="str">
        <f aca="false">IF((D150="d"),F150," ")</f>
        <v> </v>
      </c>
      <c r="H150" s="180" t="str">
        <f aca="false">IF((D150="h"),F150," ")</f>
        <v> </v>
      </c>
      <c r="I150" s="180" t="str">
        <f aca="false">IF((D150="r"),F150," ")</f>
        <v> </v>
      </c>
      <c r="J150" s="180" t="str">
        <f aca="false">IF((D150="t"),F150," ")</f>
        <v> </v>
      </c>
      <c r="K150" s="180" t="str">
        <f aca="false">IF((D150="e"),F150," ")</f>
        <v> </v>
      </c>
      <c r="L150" s="180" t="str">
        <f aca="false">IF((D150="p"),F150," ")</f>
        <v> </v>
      </c>
      <c r="M150" s="180" t="str">
        <f aca="false">IF((D150="g"),F150," ")</f>
        <v> </v>
      </c>
      <c r="N150" s="180" t="str">
        <f aca="false">IF((D150="a"),F150," ")</f>
        <v> </v>
      </c>
      <c r="O150" s="180" t="str">
        <f aca="false">IF((D150="l"),F150," ")</f>
        <v> </v>
      </c>
      <c r="P150" s="180" t="str">
        <f aca="false">IF((D150="i"),F150," ")</f>
        <v> </v>
      </c>
      <c r="Q150" s="180" t="str">
        <f aca="false">IF((D150="b"),F150," ")</f>
        <v> </v>
      </c>
      <c r="R150" s="180" t="str">
        <f aca="false">IF((D150="o"),F150," ")</f>
        <v> </v>
      </c>
      <c r="S150" s="180" t="str">
        <f aca="false">IF((D150="f"),F150," ")</f>
        <v> </v>
      </c>
      <c r="U150" s="371"/>
    </row>
    <row r="151" customFormat="false" ht="12.75" hidden="false" customHeight="false" outlineLevel="0" collapsed="false">
      <c r="D151" s="371" t="str">
        <f aca="false">IF((F151&lt;&gt;0),"Enter Letter"," ")</f>
        <v> </v>
      </c>
      <c r="G151" s="180" t="str">
        <f aca="false">IF((D151="d"),F151," ")</f>
        <v> </v>
      </c>
      <c r="H151" s="180" t="str">
        <f aca="false">IF((D151="h"),F151," ")</f>
        <v> </v>
      </c>
      <c r="I151" s="180" t="str">
        <f aca="false">IF((D151="r"),F151," ")</f>
        <v> </v>
      </c>
      <c r="J151" s="180" t="str">
        <f aca="false">IF((D151="t"),F151," ")</f>
        <v> </v>
      </c>
      <c r="K151" s="180" t="str">
        <f aca="false">IF((D151="e"),F151," ")</f>
        <v> </v>
      </c>
      <c r="L151" s="180" t="str">
        <f aca="false">IF((D151="p"),F151," ")</f>
        <v> </v>
      </c>
      <c r="M151" s="180" t="str">
        <f aca="false">IF((D151="g"),F151," ")</f>
        <v> </v>
      </c>
      <c r="N151" s="180" t="str">
        <f aca="false">IF((D151="a"),F151," ")</f>
        <v> </v>
      </c>
      <c r="O151" s="180" t="str">
        <f aca="false">IF((D151="l"),F151," ")</f>
        <v> </v>
      </c>
      <c r="P151" s="180" t="str">
        <f aca="false">IF((D151="i"),F151," ")</f>
        <v> </v>
      </c>
      <c r="Q151" s="180" t="str">
        <f aca="false">IF((D151="b"),F151," ")</f>
        <v> </v>
      </c>
      <c r="R151" s="180" t="str">
        <f aca="false">IF((D151="o"),F151," ")</f>
        <v> </v>
      </c>
      <c r="S151" s="180" t="str">
        <f aca="false">IF((D151="f"),F151," ")</f>
        <v> </v>
      </c>
      <c r="U151" s="371"/>
    </row>
    <row r="152" customFormat="false" ht="12.75" hidden="false" customHeight="false" outlineLevel="0" collapsed="false">
      <c r="D152" s="371" t="str">
        <f aca="false">IF((F152&lt;&gt;0),"Enter Letter"," ")</f>
        <v> </v>
      </c>
      <c r="G152" s="180" t="str">
        <f aca="false">IF((D152="d"),F152," ")</f>
        <v> </v>
      </c>
      <c r="H152" s="180" t="str">
        <f aca="false">IF((D152="h"),F152," ")</f>
        <v> </v>
      </c>
      <c r="I152" s="180" t="str">
        <f aca="false">IF((D152="r"),F152," ")</f>
        <v> </v>
      </c>
      <c r="J152" s="180" t="str">
        <f aca="false">IF((D152="t"),F152," ")</f>
        <v> </v>
      </c>
      <c r="K152" s="180" t="str">
        <f aca="false">IF((D152="e"),F152," ")</f>
        <v> </v>
      </c>
      <c r="L152" s="180" t="str">
        <f aca="false">IF((D152="p"),F152," ")</f>
        <v> </v>
      </c>
      <c r="M152" s="180" t="str">
        <f aca="false">IF((D152="g"),F152," ")</f>
        <v> </v>
      </c>
      <c r="N152" s="180" t="str">
        <f aca="false">IF((D152="a"),F152," ")</f>
        <v> </v>
      </c>
      <c r="O152" s="180" t="str">
        <f aca="false">IF((D152="l"),F152," ")</f>
        <v> </v>
      </c>
      <c r="P152" s="180" t="str">
        <f aca="false">IF((D152="i"),F152," ")</f>
        <v> </v>
      </c>
      <c r="Q152" s="180" t="str">
        <f aca="false">IF((D152="b"),F152," ")</f>
        <v> </v>
      </c>
      <c r="R152" s="180" t="str">
        <f aca="false">IF((D152="o"),F152," ")</f>
        <v> </v>
      </c>
      <c r="S152" s="180" t="str">
        <f aca="false">IF((D152="f"),F152," ")</f>
        <v> </v>
      </c>
      <c r="U152" s="371"/>
    </row>
    <row r="153" customFormat="false" ht="12.75" hidden="false" customHeight="false" outlineLevel="0" collapsed="false">
      <c r="D153" s="371" t="str">
        <f aca="false">IF((F153&lt;&gt;0),"Enter Letter"," ")</f>
        <v> </v>
      </c>
      <c r="G153" s="180" t="str">
        <f aca="false">IF((D153="d"),F153," ")</f>
        <v> </v>
      </c>
      <c r="H153" s="180" t="str">
        <f aca="false">IF((D153="h"),F153," ")</f>
        <v> </v>
      </c>
      <c r="I153" s="180" t="str">
        <f aca="false">IF((D153="r"),F153," ")</f>
        <v> </v>
      </c>
      <c r="J153" s="180" t="str">
        <f aca="false">IF((D153="t"),F153," ")</f>
        <v> </v>
      </c>
      <c r="K153" s="180" t="str">
        <f aca="false">IF((D153="e"),F153," ")</f>
        <v> </v>
      </c>
      <c r="L153" s="180" t="str">
        <f aca="false">IF((D153="p"),F153," ")</f>
        <v> </v>
      </c>
      <c r="M153" s="180" t="str">
        <f aca="false">IF((D153="g"),F153," ")</f>
        <v> </v>
      </c>
      <c r="N153" s="180" t="str">
        <f aca="false">IF((D153="a"),F153," ")</f>
        <v> </v>
      </c>
      <c r="O153" s="180" t="str">
        <f aca="false">IF((D153="l"),F153," ")</f>
        <v> </v>
      </c>
      <c r="P153" s="180" t="str">
        <f aca="false">IF((D153="i"),F153," ")</f>
        <v> </v>
      </c>
      <c r="Q153" s="180" t="str">
        <f aca="false">IF((D153="b"),F153," ")</f>
        <v> </v>
      </c>
      <c r="R153" s="180" t="str">
        <f aca="false">IF((D153="o"),F153," ")</f>
        <v> </v>
      </c>
      <c r="S153" s="180" t="str">
        <f aca="false">IF((D153="f"),F153," ")</f>
        <v> </v>
      </c>
      <c r="U153" s="371"/>
    </row>
    <row r="154" customFormat="false" ht="12.75" hidden="false" customHeight="false" outlineLevel="0" collapsed="false">
      <c r="D154" s="371" t="str">
        <f aca="false">IF((F154&lt;&gt;0),"Enter Letter"," ")</f>
        <v> </v>
      </c>
      <c r="G154" s="180" t="str">
        <f aca="false">IF((D154="d"),F154," ")</f>
        <v> </v>
      </c>
      <c r="H154" s="180" t="str">
        <f aca="false">IF((D154="h"),F154," ")</f>
        <v> </v>
      </c>
      <c r="I154" s="180" t="str">
        <f aca="false">IF((D154="r"),F154," ")</f>
        <v> </v>
      </c>
      <c r="J154" s="180" t="str">
        <f aca="false">IF((D154="t"),F154," ")</f>
        <v> </v>
      </c>
      <c r="K154" s="180" t="str">
        <f aca="false">IF((D154="e"),F154," ")</f>
        <v> </v>
      </c>
      <c r="L154" s="180" t="str">
        <f aca="false">IF((D154="p"),F154," ")</f>
        <v> </v>
      </c>
      <c r="M154" s="180" t="str">
        <f aca="false">IF((D154="g"),F154," ")</f>
        <v> </v>
      </c>
      <c r="N154" s="180" t="str">
        <f aca="false">IF((D154="a"),F154," ")</f>
        <v> </v>
      </c>
      <c r="O154" s="180" t="str">
        <f aca="false">IF((D154="l"),F154," ")</f>
        <v> </v>
      </c>
      <c r="P154" s="180" t="str">
        <f aca="false">IF((D154="i"),F154," ")</f>
        <v> </v>
      </c>
      <c r="Q154" s="180" t="str">
        <f aca="false">IF((D154="b"),F154," ")</f>
        <v> </v>
      </c>
      <c r="R154" s="180" t="str">
        <f aca="false">IF((D154="o"),F154," ")</f>
        <v> </v>
      </c>
      <c r="S154" s="180" t="str">
        <f aca="false">IF((D154="f"),F154," ")</f>
        <v> </v>
      </c>
      <c r="U154" s="371"/>
    </row>
    <row r="155" customFormat="false" ht="12.75" hidden="false" customHeight="false" outlineLevel="0" collapsed="false">
      <c r="D155" s="371" t="str">
        <f aca="false">IF((F155&lt;&gt;0),"Enter Letter"," ")</f>
        <v> </v>
      </c>
      <c r="G155" s="180" t="str">
        <f aca="false">IF((D155="d"),F155," ")</f>
        <v> </v>
      </c>
      <c r="H155" s="180" t="str">
        <f aca="false">IF((D155="h"),F155," ")</f>
        <v> </v>
      </c>
      <c r="I155" s="180" t="str">
        <f aca="false">IF((D155="r"),F155," ")</f>
        <v> </v>
      </c>
      <c r="J155" s="180" t="str">
        <f aca="false">IF((D155="t"),F155," ")</f>
        <v> </v>
      </c>
      <c r="K155" s="180" t="str">
        <f aca="false">IF((D155="e"),F155," ")</f>
        <v> </v>
      </c>
      <c r="L155" s="180" t="str">
        <f aca="false">IF((D155="p"),F155," ")</f>
        <v> </v>
      </c>
      <c r="M155" s="180" t="str">
        <f aca="false">IF((D155="g"),F155," ")</f>
        <v> </v>
      </c>
      <c r="N155" s="180" t="str">
        <f aca="false">IF((D155="a"),F155," ")</f>
        <v> </v>
      </c>
      <c r="O155" s="180" t="str">
        <f aca="false">IF((D155="l"),F155," ")</f>
        <v> </v>
      </c>
      <c r="P155" s="180" t="str">
        <f aca="false">IF((D155="i"),F155," ")</f>
        <v> </v>
      </c>
      <c r="Q155" s="180" t="str">
        <f aca="false">IF((D155="b"),F155," ")</f>
        <v> </v>
      </c>
      <c r="R155" s="180" t="str">
        <f aca="false">IF((D155="o"),F155," ")</f>
        <v> </v>
      </c>
      <c r="S155" s="180" t="str">
        <f aca="false">IF((D155="f"),F155," ")</f>
        <v> </v>
      </c>
      <c r="U155" s="371"/>
    </row>
    <row r="156" customFormat="false" ht="12.75" hidden="false" customHeight="false" outlineLevel="0" collapsed="false">
      <c r="D156" s="371" t="str">
        <f aca="false">IF((F156&lt;&gt;0),"Enter Letter"," ")</f>
        <v> </v>
      </c>
      <c r="G156" s="180" t="str">
        <f aca="false">IF((D156="d"),F156," ")</f>
        <v> </v>
      </c>
      <c r="H156" s="180" t="str">
        <f aca="false">IF((D156="h"),F156," ")</f>
        <v> </v>
      </c>
      <c r="I156" s="180" t="str">
        <f aca="false">IF((D156="r"),F156," ")</f>
        <v> </v>
      </c>
      <c r="J156" s="180" t="str">
        <f aca="false">IF((D156="t"),F156," ")</f>
        <v> </v>
      </c>
      <c r="K156" s="180" t="str">
        <f aca="false">IF((D156="e"),F156," ")</f>
        <v> </v>
      </c>
      <c r="L156" s="180" t="str">
        <f aca="false">IF((D156="p"),F156," ")</f>
        <v> </v>
      </c>
      <c r="M156" s="180" t="str">
        <f aca="false">IF((D156="g"),F156," ")</f>
        <v> </v>
      </c>
      <c r="N156" s="180" t="str">
        <f aca="false">IF((D156="a"),F156," ")</f>
        <v> </v>
      </c>
      <c r="O156" s="180" t="str">
        <f aca="false">IF((D156="l"),F156," ")</f>
        <v> </v>
      </c>
      <c r="P156" s="180" t="str">
        <f aca="false">IF((D156="i"),F156," ")</f>
        <v> </v>
      </c>
      <c r="Q156" s="180" t="str">
        <f aca="false">IF((D156="b"),F156," ")</f>
        <v> </v>
      </c>
      <c r="R156" s="180" t="str">
        <f aca="false">IF((D156="o"),F156," ")</f>
        <v> </v>
      </c>
      <c r="S156" s="180" t="str">
        <f aca="false">IF((D156="f"),F156," ")</f>
        <v> </v>
      </c>
      <c r="U156" s="371"/>
    </row>
    <row r="157" customFormat="false" ht="12.75" hidden="false" customHeight="false" outlineLevel="0" collapsed="false">
      <c r="D157" s="371" t="str">
        <f aca="false">IF((F157&lt;&gt;0),"Enter Letter"," ")</f>
        <v> </v>
      </c>
      <c r="G157" s="180" t="str">
        <f aca="false">IF((D157="d"),F157," ")</f>
        <v> </v>
      </c>
      <c r="H157" s="180" t="str">
        <f aca="false">IF((D157="h"),F157," ")</f>
        <v> </v>
      </c>
      <c r="I157" s="180" t="str">
        <f aca="false">IF((D157="r"),F157," ")</f>
        <v> </v>
      </c>
      <c r="J157" s="180" t="str">
        <f aca="false">IF((D157="t"),F157," ")</f>
        <v> </v>
      </c>
      <c r="K157" s="180" t="str">
        <f aca="false">IF((D157="e"),F157," ")</f>
        <v> </v>
      </c>
      <c r="L157" s="180" t="str">
        <f aca="false">IF((D157="p"),F157," ")</f>
        <v> </v>
      </c>
      <c r="M157" s="180" t="str">
        <f aca="false">IF((D157="g"),F157," ")</f>
        <v> </v>
      </c>
      <c r="N157" s="180" t="str">
        <f aca="false">IF((D157="a"),F157," ")</f>
        <v> </v>
      </c>
      <c r="O157" s="180" t="str">
        <f aca="false">IF((D157="l"),F157," ")</f>
        <v> </v>
      </c>
      <c r="P157" s="180" t="str">
        <f aca="false">IF((D157="i"),F157," ")</f>
        <v> </v>
      </c>
      <c r="Q157" s="180" t="str">
        <f aca="false">IF((D157="b"),F157," ")</f>
        <v> </v>
      </c>
      <c r="R157" s="180" t="str">
        <f aca="false">IF((D157="o"),F157," ")</f>
        <v> </v>
      </c>
      <c r="S157" s="180" t="str">
        <f aca="false">IF((D157="f"),F157," ")</f>
        <v> </v>
      </c>
      <c r="U157" s="371"/>
    </row>
    <row r="158" customFormat="false" ht="12.75" hidden="false" customHeight="false" outlineLevel="0" collapsed="false">
      <c r="D158" s="371" t="str">
        <f aca="false">IF((F158&lt;&gt;0),"Enter Letter"," ")</f>
        <v> </v>
      </c>
      <c r="G158" s="180" t="str">
        <f aca="false">IF((D158="d"),F158," ")</f>
        <v> </v>
      </c>
      <c r="H158" s="180" t="str">
        <f aca="false">IF((D158="h"),F158," ")</f>
        <v> </v>
      </c>
      <c r="I158" s="180" t="str">
        <f aca="false">IF((D158="r"),F158," ")</f>
        <v> </v>
      </c>
      <c r="J158" s="180" t="str">
        <f aca="false">IF((D158="t"),F158," ")</f>
        <v> </v>
      </c>
      <c r="K158" s="180" t="str">
        <f aca="false">IF((D158="e"),F158," ")</f>
        <v> </v>
      </c>
      <c r="L158" s="180" t="str">
        <f aca="false">IF((D158="p"),F158," ")</f>
        <v> </v>
      </c>
      <c r="M158" s="180" t="str">
        <f aca="false">IF((D158="g"),F158," ")</f>
        <v> </v>
      </c>
      <c r="N158" s="180" t="str">
        <f aca="false">IF((D158="a"),F158," ")</f>
        <v> </v>
      </c>
      <c r="O158" s="180" t="str">
        <f aca="false">IF((D158="l"),F158," ")</f>
        <v> </v>
      </c>
      <c r="P158" s="180" t="str">
        <f aca="false">IF((D158="i"),F158," ")</f>
        <v> </v>
      </c>
      <c r="Q158" s="180" t="str">
        <f aca="false">IF((D158="b"),F158," ")</f>
        <v> </v>
      </c>
      <c r="R158" s="180" t="str">
        <f aca="false">IF((D158="o"),F158," ")</f>
        <v> </v>
      </c>
      <c r="S158" s="180" t="str">
        <f aca="false">IF((D158="f"),F158," ")</f>
        <v> </v>
      </c>
      <c r="U158" s="371"/>
    </row>
    <row r="159" customFormat="false" ht="12.75" hidden="false" customHeight="false" outlineLevel="0" collapsed="false">
      <c r="D159" s="371" t="str">
        <f aca="false">IF((F159&lt;&gt;0),"Enter Letter"," ")</f>
        <v> </v>
      </c>
      <c r="G159" s="180" t="str">
        <f aca="false">IF((D159="d"),F159," ")</f>
        <v> </v>
      </c>
      <c r="H159" s="180" t="str">
        <f aca="false">IF((D159="h"),F159," ")</f>
        <v> </v>
      </c>
      <c r="I159" s="180" t="str">
        <f aca="false">IF((D159="r"),F159," ")</f>
        <v> </v>
      </c>
      <c r="J159" s="180" t="str">
        <f aca="false">IF((D159="t"),F159," ")</f>
        <v> </v>
      </c>
      <c r="K159" s="180" t="str">
        <f aca="false">IF((D159="e"),F159," ")</f>
        <v> </v>
      </c>
      <c r="L159" s="180" t="str">
        <f aca="false">IF((D159="p"),F159," ")</f>
        <v> </v>
      </c>
      <c r="M159" s="180" t="str">
        <f aca="false">IF((D159="g"),F159," ")</f>
        <v> </v>
      </c>
      <c r="N159" s="180" t="str">
        <f aca="false">IF((D159="a"),F159," ")</f>
        <v> </v>
      </c>
      <c r="O159" s="180" t="str">
        <f aca="false">IF((D159="l"),F159," ")</f>
        <v> </v>
      </c>
      <c r="P159" s="180" t="str">
        <f aca="false">IF((D159="i"),F159," ")</f>
        <v> </v>
      </c>
      <c r="Q159" s="180" t="str">
        <f aca="false">IF((D159="b"),F159," ")</f>
        <v> </v>
      </c>
      <c r="R159" s="180" t="str">
        <f aca="false">IF((D159="o"),F159," ")</f>
        <v> </v>
      </c>
      <c r="S159" s="180" t="str">
        <f aca="false">IF((D159="f"),F159," ")</f>
        <v> </v>
      </c>
      <c r="U159" s="371"/>
    </row>
    <row r="160" customFormat="false" ht="12.75" hidden="false" customHeight="false" outlineLevel="0" collapsed="false">
      <c r="D160" s="371" t="str">
        <f aca="false">IF((F160&lt;&gt;0),"Enter Letter"," ")</f>
        <v> </v>
      </c>
      <c r="G160" s="180" t="str">
        <f aca="false">IF((D160="d"),F160," ")</f>
        <v> </v>
      </c>
      <c r="H160" s="180" t="str">
        <f aca="false">IF((D160="h"),F160," ")</f>
        <v> </v>
      </c>
      <c r="I160" s="180" t="str">
        <f aca="false">IF((D160="r"),F160," ")</f>
        <v> </v>
      </c>
      <c r="J160" s="180" t="str">
        <f aca="false">IF((D160="t"),F160," ")</f>
        <v> </v>
      </c>
      <c r="K160" s="180" t="str">
        <f aca="false">IF((D160="e"),F160," ")</f>
        <v> </v>
      </c>
      <c r="L160" s="180" t="str">
        <f aca="false">IF((D160="p"),F160," ")</f>
        <v> </v>
      </c>
      <c r="M160" s="180" t="str">
        <f aca="false">IF((D160="g"),F160," ")</f>
        <v> </v>
      </c>
      <c r="N160" s="180" t="str">
        <f aca="false">IF((D160="a"),F160," ")</f>
        <v> </v>
      </c>
      <c r="O160" s="180" t="str">
        <f aca="false">IF((D160="l"),F160," ")</f>
        <v> </v>
      </c>
      <c r="P160" s="180" t="str">
        <f aca="false">IF((D160="i"),F160," ")</f>
        <v> </v>
      </c>
      <c r="Q160" s="180" t="str">
        <f aca="false">IF((D160="b"),F160," ")</f>
        <v> </v>
      </c>
      <c r="R160" s="180" t="str">
        <f aca="false">IF((D160="o"),F160," ")</f>
        <v> </v>
      </c>
      <c r="S160" s="180" t="str">
        <f aca="false">IF((D160="f"),F160," ")</f>
        <v> </v>
      </c>
      <c r="U160" s="371"/>
    </row>
    <row r="161" customFormat="false" ht="12.75" hidden="false" customHeight="false" outlineLevel="0" collapsed="false">
      <c r="D161" s="371" t="str">
        <f aca="false">IF((F161&lt;&gt;0),"Enter Letter"," ")</f>
        <v> </v>
      </c>
      <c r="G161" s="180" t="str">
        <f aca="false">IF((D161="d"),F161," ")</f>
        <v> </v>
      </c>
      <c r="H161" s="180" t="str">
        <f aca="false">IF((D161="h"),F161," ")</f>
        <v> </v>
      </c>
      <c r="I161" s="180" t="str">
        <f aca="false">IF((D161="r"),F161," ")</f>
        <v> </v>
      </c>
      <c r="J161" s="180" t="str">
        <f aca="false">IF((D161="t"),F161," ")</f>
        <v> </v>
      </c>
      <c r="K161" s="180" t="str">
        <f aca="false">IF((D161="e"),F161," ")</f>
        <v> </v>
      </c>
      <c r="L161" s="180" t="str">
        <f aca="false">IF((D161="p"),F161," ")</f>
        <v> </v>
      </c>
      <c r="M161" s="180" t="str">
        <f aca="false">IF((D161="g"),F161," ")</f>
        <v> </v>
      </c>
      <c r="N161" s="180" t="str">
        <f aca="false">IF((D161="a"),F161," ")</f>
        <v> </v>
      </c>
      <c r="O161" s="180" t="str">
        <f aca="false">IF((D161="l"),F161," ")</f>
        <v> </v>
      </c>
      <c r="P161" s="180" t="str">
        <f aca="false">IF((D161="i"),F161," ")</f>
        <v> </v>
      </c>
      <c r="Q161" s="180" t="str">
        <f aca="false">IF((D161="b"),F161," ")</f>
        <v> </v>
      </c>
      <c r="R161" s="180" t="str">
        <f aca="false">IF((D161="o"),F161," ")</f>
        <v> </v>
      </c>
      <c r="S161" s="180" t="str">
        <f aca="false">IF((D161="f"),F161," ")</f>
        <v> </v>
      </c>
      <c r="U161" s="371"/>
    </row>
    <row r="162" customFormat="false" ht="12.75" hidden="false" customHeight="false" outlineLevel="0" collapsed="false">
      <c r="D162" s="371" t="str">
        <f aca="false">IF((F162&lt;&gt;0),"Enter Letter"," ")</f>
        <v> </v>
      </c>
      <c r="G162" s="180" t="str">
        <f aca="false">IF((D162="d"),F162," ")</f>
        <v> </v>
      </c>
      <c r="H162" s="180" t="str">
        <f aca="false">IF((D162="h"),F162," ")</f>
        <v> </v>
      </c>
      <c r="I162" s="180" t="str">
        <f aca="false">IF((D162="r"),F162," ")</f>
        <v> </v>
      </c>
      <c r="J162" s="180" t="str">
        <f aca="false">IF((D162="t"),F162," ")</f>
        <v> </v>
      </c>
      <c r="K162" s="180" t="str">
        <f aca="false">IF((D162="e"),F162," ")</f>
        <v> </v>
      </c>
      <c r="L162" s="180" t="str">
        <f aca="false">IF((D162="p"),F162," ")</f>
        <v> </v>
      </c>
      <c r="M162" s="180" t="str">
        <f aca="false">IF((D162="g"),F162," ")</f>
        <v> </v>
      </c>
      <c r="N162" s="180" t="str">
        <f aca="false">IF((D162="a"),F162," ")</f>
        <v> </v>
      </c>
      <c r="O162" s="180" t="str">
        <f aca="false">IF((D162="l"),F162," ")</f>
        <v> </v>
      </c>
      <c r="P162" s="180" t="str">
        <f aca="false">IF((D162="i"),F162," ")</f>
        <v> </v>
      </c>
      <c r="Q162" s="180" t="str">
        <f aca="false">IF((D162="b"),F162," ")</f>
        <v> </v>
      </c>
      <c r="R162" s="180" t="str">
        <f aca="false">IF((D162="o"),F162," ")</f>
        <v> </v>
      </c>
      <c r="S162" s="180" t="str">
        <f aca="false">IF((D162="f"),F162," ")</f>
        <v> </v>
      </c>
      <c r="U162" s="371"/>
    </row>
    <row r="163" customFormat="false" ht="12.75" hidden="false" customHeight="false" outlineLevel="0" collapsed="false">
      <c r="D163" s="371" t="str">
        <f aca="false">IF((F163&lt;&gt;0),"Enter Letter"," ")</f>
        <v> </v>
      </c>
      <c r="G163" s="180" t="str">
        <f aca="false">IF((D163="d"),F163," ")</f>
        <v> </v>
      </c>
      <c r="H163" s="180" t="str">
        <f aca="false">IF((D163="h"),F163," ")</f>
        <v> </v>
      </c>
      <c r="I163" s="180" t="str">
        <f aca="false">IF((D163="r"),F163," ")</f>
        <v> </v>
      </c>
      <c r="J163" s="180" t="str">
        <f aca="false">IF((D163="t"),F163," ")</f>
        <v> </v>
      </c>
      <c r="K163" s="180" t="str">
        <f aca="false">IF((D163="e"),F163," ")</f>
        <v> </v>
      </c>
      <c r="L163" s="180" t="str">
        <f aca="false">IF((D163="p"),F163," ")</f>
        <v> </v>
      </c>
      <c r="M163" s="180" t="str">
        <f aca="false">IF((D163="g"),F163," ")</f>
        <v> </v>
      </c>
      <c r="N163" s="180" t="str">
        <f aca="false">IF((D163="a"),F163," ")</f>
        <v> </v>
      </c>
      <c r="O163" s="180" t="str">
        <f aca="false">IF((D163="l"),F163," ")</f>
        <v> </v>
      </c>
      <c r="P163" s="180" t="str">
        <f aca="false">IF((D163="i"),F163," ")</f>
        <v> </v>
      </c>
      <c r="Q163" s="180" t="str">
        <f aca="false">IF((D163="b"),F163," ")</f>
        <v> </v>
      </c>
      <c r="R163" s="180" t="str">
        <f aca="false">IF((D163="o"),F163," ")</f>
        <v> </v>
      </c>
      <c r="S163" s="180" t="str">
        <f aca="false">IF((D163="f"),F163," ")</f>
        <v> </v>
      </c>
      <c r="U163" s="371"/>
    </row>
    <row r="164" customFormat="false" ht="12.75" hidden="false" customHeight="false" outlineLevel="0" collapsed="false">
      <c r="D164" s="371" t="str">
        <f aca="false">IF((F164&lt;&gt;0),"Enter Letter"," ")</f>
        <v> </v>
      </c>
      <c r="G164" s="180" t="str">
        <f aca="false">IF((D164="d"),F164," ")</f>
        <v> </v>
      </c>
      <c r="H164" s="180" t="str">
        <f aca="false">IF((D164="h"),F164," ")</f>
        <v> </v>
      </c>
      <c r="I164" s="180" t="str">
        <f aca="false">IF((D164="r"),F164," ")</f>
        <v> </v>
      </c>
      <c r="J164" s="180" t="str">
        <f aca="false">IF((D164="t"),F164," ")</f>
        <v> </v>
      </c>
      <c r="K164" s="180" t="str">
        <f aca="false">IF((D164="e"),F164," ")</f>
        <v> </v>
      </c>
      <c r="L164" s="180" t="str">
        <f aca="false">IF((D164="p"),F164," ")</f>
        <v> </v>
      </c>
      <c r="M164" s="180" t="str">
        <f aca="false">IF((D164="g"),F164," ")</f>
        <v> </v>
      </c>
      <c r="N164" s="180" t="str">
        <f aca="false">IF((D164="a"),F164," ")</f>
        <v> </v>
      </c>
      <c r="O164" s="180" t="str">
        <f aca="false">IF((D164="l"),F164," ")</f>
        <v> </v>
      </c>
      <c r="P164" s="180" t="str">
        <f aca="false">IF((D164="i"),F164," ")</f>
        <v> </v>
      </c>
      <c r="Q164" s="180" t="str">
        <f aca="false">IF((D164="b"),F164," ")</f>
        <v> </v>
      </c>
      <c r="R164" s="180" t="str">
        <f aca="false">IF((D164="o"),F164," ")</f>
        <v> </v>
      </c>
      <c r="S164" s="180" t="str">
        <f aca="false">IF((D164="f"),F164," ")</f>
        <v> </v>
      </c>
      <c r="U164" s="371"/>
    </row>
    <row r="165" customFormat="false" ht="12.75" hidden="false" customHeight="false" outlineLevel="0" collapsed="false">
      <c r="D165" s="371" t="str">
        <f aca="false">IF((F165&lt;&gt;0),"Enter Letter"," ")</f>
        <v> </v>
      </c>
      <c r="G165" s="180" t="str">
        <f aca="false">IF((D165="d"),F165," ")</f>
        <v> </v>
      </c>
      <c r="H165" s="180" t="str">
        <f aca="false">IF((D165="h"),F165," ")</f>
        <v> </v>
      </c>
      <c r="I165" s="180" t="str">
        <f aca="false">IF((D165="r"),F165," ")</f>
        <v> </v>
      </c>
      <c r="J165" s="180" t="str">
        <f aca="false">IF((D165="t"),F165," ")</f>
        <v> </v>
      </c>
      <c r="K165" s="180" t="str">
        <f aca="false">IF((D165="e"),F165," ")</f>
        <v> </v>
      </c>
      <c r="L165" s="180" t="str">
        <f aca="false">IF((D165="p"),F165," ")</f>
        <v> </v>
      </c>
      <c r="M165" s="180" t="str">
        <f aca="false">IF((D165="g"),F165," ")</f>
        <v> </v>
      </c>
      <c r="N165" s="180" t="str">
        <f aca="false">IF((D165="a"),F165," ")</f>
        <v> </v>
      </c>
      <c r="O165" s="180" t="str">
        <f aca="false">IF((D165="l"),F165," ")</f>
        <v> </v>
      </c>
      <c r="P165" s="180" t="str">
        <f aca="false">IF((D165="i"),F165," ")</f>
        <v> </v>
      </c>
      <c r="Q165" s="180" t="str">
        <f aca="false">IF((D165="b"),F165," ")</f>
        <v> </v>
      </c>
      <c r="R165" s="180" t="str">
        <f aca="false">IF((D165="o"),F165," ")</f>
        <v> </v>
      </c>
      <c r="S165" s="180" t="str">
        <f aca="false">IF((D165="f"),F165," ")</f>
        <v> </v>
      </c>
      <c r="U165" s="371"/>
    </row>
    <row r="166" customFormat="false" ht="12.75" hidden="false" customHeight="false" outlineLevel="0" collapsed="false">
      <c r="D166" s="371" t="str">
        <f aca="false">IF((F166&lt;&gt;0),"Enter Letter"," ")</f>
        <v> </v>
      </c>
      <c r="G166" s="180" t="str">
        <f aca="false">IF((D166="d"),F166," ")</f>
        <v> </v>
      </c>
      <c r="H166" s="180" t="str">
        <f aca="false">IF((D166="h"),F166," ")</f>
        <v> </v>
      </c>
      <c r="I166" s="180" t="str">
        <f aca="false">IF((D166="r"),F166," ")</f>
        <v> </v>
      </c>
      <c r="J166" s="180" t="str">
        <f aca="false">IF((D166="t"),F166," ")</f>
        <v> </v>
      </c>
      <c r="K166" s="180" t="str">
        <f aca="false">IF((D166="e"),F166," ")</f>
        <v> </v>
      </c>
      <c r="L166" s="180" t="str">
        <f aca="false">IF((D166="p"),F166," ")</f>
        <v> </v>
      </c>
      <c r="M166" s="180" t="str">
        <f aca="false">IF((D166="g"),F166," ")</f>
        <v> </v>
      </c>
      <c r="N166" s="180" t="str">
        <f aca="false">IF((D166="a"),F166," ")</f>
        <v> </v>
      </c>
      <c r="O166" s="180" t="str">
        <f aca="false">IF((D166="l"),F166," ")</f>
        <v> </v>
      </c>
      <c r="P166" s="180" t="str">
        <f aca="false">IF((D166="i"),F166," ")</f>
        <v> </v>
      </c>
      <c r="Q166" s="180" t="str">
        <f aca="false">IF((D166="b"),F166," ")</f>
        <v> </v>
      </c>
      <c r="R166" s="180" t="str">
        <f aca="false">IF((D166="o"),F166," ")</f>
        <v> </v>
      </c>
      <c r="S166" s="180" t="str">
        <f aca="false">IF((D166="f"),F166," ")</f>
        <v> </v>
      </c>
      <c r="U166" s="371"/>
    </row>
    <row r="167" customFormat="false" ht="12.75" hidden="false" customHeight="false" outlineLevel="0" collapsed="false">
      <c r="D167" s="371" t="str">
        <f aca="false">IF((F167&lt;&gt;0),"Enter Letter"," ")</f>
        <v> </v>
      </c>
      <c r="G167" s="180" t="str">
        <f aca="false">IF((D167="d"),F167," ")</f>
        <v> </v>
      </c>
      <c r="H167" s="180" t="str">
        <f aca="false">IF((D167="h"),F167," ")</f>
        <v> </v>
      </c>
      <c r="I167" s="180" t="str">
        <f aca="false">IF((D167="r"),F167," ")</f>
        <v> </v>
      </c>
      <c r="J167" s="180" t="str">
        <f aca="false">IF((D167="t"),F167," ")</f>
        <v> </v>
      </c>
      <c r="K167" s="180" t="str">
        <f aca="false">IF((D167="e"),F167," ")</f>
        <v> </v>
      </c>
      <c r="L167" s="180" t="str">
        <f aca="false">IF((D167="p"),F167," ")</f>
        <v> </v>
      </c>
      <c r="M167" s="180" t="str">
        <f aca="false">IF((D167="g"),F167," ")</f>
        <v> </v>
      </c>
      <c r="N167" s="180" t="str">
        <f aca="false">IF((D167="a"),F167," ")</f>
        <v> </v>
      </c>
      <c r="O167" s="180" t="str">
        <f aca="false">IF((D167="l"),F167," ")</f>
        <v> </v>
      </c>
      <c r="P167" s="180" t="str">
        <f aca="false">IF((D167="i"),F167," ")</f>
        <v> </v>
      </c>
      <c r="Q167" s="180" t="str">
        <f aca="false">IF((D167="b"),F167," ")</f>
        <v> </v>
      </c>
      <c r="R167" s="180" t="str">
        <f aca="false">IF((D167="o"),F167," ")</f>
        <v> </v>
      </c>
      <c r="S167" s="180" t="str">
        <f aca="false">IF((D167="f"),F167," ")</f>
        <v> </v>
      </c>
      <c r="U167" s="371"/>
    </row>
    <row r="168" customFormat="false" ht="12.75" hidden="false" customHeight="false" outlineLevel="0" collapsed="false">
      <c r="D168" s="371" t="str">
        <f aca="false">IF((F168&lt;&gt;0),"Enter Letter"," ")</f>
        <v> </v>
      </c>
      <c r="G168" s="180" t="str">
        <f aca="false">IF((D168="d"),F168," ")</f>
        <v> </v>
      </c>
      <c r="H168" s="180" t="str">
        <f aca="false">IF((D168="h"),F168," ")</f>
        <v> </v>
      </c>
      <c r="I168" s="180" t="str">
        <f aca="false">IF((D168="r"),F168," ")</f>
        <v> </v>
      </c>
      <c r="J168" s="180" t="str">
        <f aca="false">IF((D168="t"),F168," ")</f>
        <v> </v>
      </c>
      <c r="K168" s="180" t="str">
        <f aca="false">IF((D168="e"),F168," ")</f>
        <v> </v>
      </c>
      <c r="L168" s="180" t="str">
        <f aca="false">IF((D168="p"),F168," ")</f>
        <v> </v>
      </c>
      <c r="M168" s="180" t="str">
        <f aca="false">IF((D168="g"),F168," ")</f>
        <v> </v>
      </c>
      <c r="N168" s="180" t="str">
        <f aca="false">IF((D168="a"),F168," ")</f>
        <v> </v>
      </c>
      <c r="O168" s="180" t="str">
        <f aca="false">IF((D168="l"),F168," ")</f>
        <v> </v>
      </c>
      <c r="P168" s="180" t="str">
        <f aca="false">IF((D168="i"),F168," ")</f>
        <v> </v>
      </c>
      <c r="Q168" s="180" t="str">
        <f aca="false">IF((D168="b"),F168," ")</f>
        <v> </v>
      </c>
      <c r="R168" s="180" t="str">
        <f aca="false">IF((D168="o"),F168," ")</f>
        <v> </v>
      </c>
      <c r="S168" s="180" t="str">
        <f aca="false">IF((D168="f"),F168," ")</f>
        <v> </v>
      </c>
      <c r="U168" s="371"/>
    </row>
    <row r="169" customFormat="false" ht="12.75" hidden="false" customHeight="false" outlineLevel="0" collapsed="false">
      <c r="D169" s="371" t="str">
        <f aca="false">IF((F169&lt;&gt;0),"Enter Letter"," ")</f>
        <v> </v>
      </c>
      <c r="G169" s="180" t="str">
        <f aca="false">IF((D169="d"),F169," ")</f>
        <v> </v>
      </c>
      <c r="H169" s="180" t="str">
        <f aca="false">IF((D169="h"),F169," ")</f>
        <v> </v>
      </c>
      <c r="I169" s="180" t="str">
        <f aca="false">IF((D169="r"),F169," ")</f>
        <v> </v>
      </c>
      <c r="J169" s="180" t="str">
        <f aca="false">IF((D169="t"),F169," ")</f>
        <v> </v>
      </c>
      <c r="K169" s="180" t="str">
        <f aca="false">IF((D169="e"),F169," ")</f>
        <v> </v>
      </c>
      <c r="L169" s="180" t="str">
        <f aca="false">IF((D169="p"),F169," ")</f>
        <v> </v>
      </c>
      <c r="M169" s="180" t="str">
        <f aca="false">IF((D169="g"),F169," ")</f>
        <v> </v>
      </c>
      <c r="N169" s="180" t="str">
        <f aca="false">IF((D169="a"),F169," ")</f>
        <v> </v>
      </c>
      <c r="O169" s="180" t="str">
        <f aca="false">IF((D169="l"),F169," ")</f>
        <v> </v>
      </c>
      <c r="P169" s="180" t="str">
        <f aca="false">IF((D169="i"),F169," ")</f>
        <v> </v>
      </c>
      <c r="Q169" s="180" t="str">
        <f aca="false">IF((D169="b"),F169," ")</f>
        <v> </v>
      </c>
      <c r="R169" s="180" t="str">
        <f aca="false">IF((D169="o"),F169," ")</f>
        <v> </v>
      </c>
      <c r="S169" s="180" t="str">
        <f aca="false">IF((D169="f"),F169," ")</f>
        <v> </v>
      </c>
      <c r="U169" s="371"/>
    </row>
    <row r="170" customFormat="false" ht="12.75" hidden="false" customHeight="false" outlineLevel="0" collapsed="false">
      <c r="D170" s="371" t="str">
        <f aca="false">IF((F170&lt;&gt;0),"Enter Letter"," ")</f>
        <v> </v>
      </c>
      <c r="G170" s="180" t="str">
        <f aca="false">IF((D170="d"),F170," ")</f>
        <v> </v>
      </c>
      <c r="H170" s="180" t="str">
        <f aca="false">IF((D170="h"),F170," ")</f>
        <v> </v>
      </c>
      <c r="I170" s="180" t="str">
        <f aca="false">IF((D170="r"),F170," ")</f>
        <v> </v>
      </c>
      <c r="J170" s="180" t="str">
        <f aca="false">IF((D170="t"),F170," ")</f>
        <v> </v>
      </c>
      <c r="K170" s="180" t="str">
        <f aca="false">IF((D170="e"),F170," ")</f>
        <v> </v>
      </c>
      <c r="L170" s="180" t="str">
        <f aca="false">IF((D170="p"),F170," ")</f>
        <v> </v>
      </c>
      <c r="M170" s="180" t="str">
        <f aca="false">IF((D170="g"),F170," ")</f>
        <v> </v>
      </c>
      <c r="N170" s="180" t="str">
        <f aca="false">IF((D170="a"),F170," ")</f>
        <v> </v>
      </c>
      <c r="O170" s="180" t="str">
        <f aca="false">IF((D170="l"),F170," ")</f>
        <v> </v>
      </c>
      <c r="P170" s="180" t="str">
        <f aca="false">IF((D170="i"),F170," ")</f>
        <v> </v>
      </c>
      <c r="Q170" s="180" t="str">
        <f aca="false">IF((D170="b"),F170," ")</f>
        <v> </v>
      </c>
      <c r="R170" s="180" t="str">
        <f aca="false">IF((D170="o"),F170," ")</f>
        <v> </v>
      </c>
      <c r="S170" s="180" t="str">
        <f aca="false">IF((D170="f"),F170," ")</f>
        <v> </v>
      </c>
      <c r="U170" s="371"/>
    </row>
    <row r="171" customFormat="false" ht="12.75" hidden="false" customHeight="false" outlineLevel="0" collapsed="false">
      <c r="D171" s="371" t="str">
        <f aca="false">IF((F171&lt;&gt;0),"Enter Letter"," ")</f>
        <v> </v>
      </c>
      <c r="G171" s="180" t="str">
        <f aca="false">IF((D171="d"),F171," ")</f>
        <v> </v>
      </c>
      <c r="H171" s="180" t="str">
        <f aca="false">IF((D171="h"),F171," ")</f>
        <v> </v>
      </c>
      <c r="I171" s="180" t="str">
        <f aca="false">IF((D171="r"),F171," ")</f>
        <v> </v>
      </c>
      <c r="J171" s="180" t="str">
        <f aca="false">IF((D171="t"),F171," ")</f>
        <v> </v>
      </c>
      <c r="K171" s="180" t="str">
        <f aca="false">IF((D171="e"),F171," ")</f>
        <v> </v>
      </c>
      <c r="L171" s="180" t="str">
        <f aca="false">IF((D171="p"),F171," ")</f>
        <v> </v>
      </c>
      <c r="M171" s="180" t="str">
        <f aca="false">IF((D171="g"),F171," ")</f>
        <v> </v>
      </c>
      <c r="N171" s="180" t="str">
        <f aca="false">IF((D171="a"),F171," ")</f>
        <v> </v>
      </c>
      <c r="O171" s="180" t="str">
        <f aca="false">IF((D171="l"),F171," ")</f>
        <v> </v>
      </c>
      <c r="P171" s="180" t="str">
        <f aca="false">IF((D171="i"),F171," ")</f>
        <v> </v>
      </c>
      <c r="Q171" s="180" t="str">
        <f aca="false">IF((D171="b"),F171," ")</f>
        <v> </v>
      </c>
      <c r="R171" s="180" t="str">
        <f aca="false">IF((D171="o"),F171," ")</f>
        <v> </v>
      </c>
      <c r="S171" s="180" t="str">
        <f aca="false">IF((D171="f"),F171," ")</f>
        <v> </v>
      </c>
      <c r="U171" s="371"/>
    </row>
    <row r="172" customFormat="false" ht="12.75" hidden="false" customHeight="false" outlineLevel="0" collapsed="false">
      <c r="D172" s="371" t="str">
        <f aca="false">IF((F172&lt;&gt;0),"Enter Letter"," ")</f>
        <v> </v>
      </c>
      <c r="G172" s="180" t="str">
        <f aca="false">IF((D172="d"),F172," ")</f>
        <v> </v>
      </c>
      <c r="H172" s="180" t="str">
        <f aca="false">IF((D172="h"),F172," ")</f>
        <v> </v>
      </c>
      <c r="I172" s="180" t="str">
        <f aca="false">IF((D172="r"),F172," ")</f>
        <v> </v>
      </c>
      <c r="J172" s="180" t="str">
        <f aca="false">IF((D172="t"),F172," ")</f>
        <v> </v>
      </c>
      <c r="K172" s="180" t="str">
        <f aca="false">IF((D172="e"),F172," ")</f>
        <v> </v>
      </c>
      <c r="L172" s="180" t="str">
        <f aca="false">IF((D172="p"),F172," ")</f>
        <v> </v>
      </c>
      <c r="M172" s="180" t="str">
        <f aca="false">IF((D172="g"),F172," ")</f>
        <v> </v>
      </c>
      <c r="N172" s="180" t="str">
        <f aca="false">IF((D172="a"),F172," ")</f>
        <v> </v>
      </c>
      <c r="O172" s="180" t="str">
        <f aca="false">IF((D172="l"),F172," ")</f>
        <v> </v>
      </c>
      <c r="P172" s="180" t="str">
        <f aca="false">IF((D172="i"),F172," ")</f>
        <v> </v>
      </c>
      <c r="Q172" s="180" t="str">
        <f aca="false">IF((D172="b"),F172," ")</f>
        <v> </v>
      </c>
      <c r="R172" s="180" t="str">
        <f aca="false">IF((D172="o"),F172," ")</f>
        <v> </v>
      </c>
      <c r="S172" s="180" t="str">
        <f aca="false">IF((D172="f"),F172," ")</f>
        <v> </v>
      </c>
      <c r="U172" s="371"/>
    </row>
    <row r="173" customFormat="false" ht="12.75" hidden="false" customHeight="false" outlineLevel="0" collapsed="false">
      <c r="D173" s="371" t="str">
        <f aca="false">IF((F173&lt;&gt;0),"Enter Letter"," ")</f>
        <v> </v>
      </c>
      <c r="G173" s="180" t="str">
        <f aca="false">IF((D173="d"),F173," ")</f>
        <v> </v>
      </c>
      <c r="H173" s="180" t="str">
        <f aca="false">IF((D173="h"),F173," ")</f>
        <v> </v>
      </c>
      <c r="I173" s="180" t="str">
        <f aca="false">IF((D173="r"),F173," ")</f>
        <v> </v>
      </c>
      <c r="J173" s="180" t="str">
        <f aca="false">IF((D173="t"),F173," ")</f>
        <v> </v>
      </c>
      <c r="K173" s="180" t="str">
        <f aca="false">IF((D173="e"),F173," ")</f>
        <v> </v>
      </c>
      <c r="L173" s="180" t="str">
        <f aca="false">IF((D173="p"),F173," ")</f>
        <v> </v>
      </c>
      <c r="M173" s="180" t="str">
        <f aca="false">IF((D173="g"),F173," ")</f>
        <v> </v>
      </c>
      <c r="N173" s="180" t="str">
        <f aca="false">IF((D173="a"),F173," ")</f>
        <v> </v>
      </c>
      <c r="O173" s="180" t="str">
        <f aca="false">IF((D173="l"),F173," ")</f>
        <v> </v>
      </c>
      <c r="P173" s="180" t="str">
        <f aca="false">IF((D173="i"),F173," ")</f>
        <v> </v>
      </c>
      <c r="Q173" s="180" t="str">
        <f aca="false">IF((D173="b"),F173," ")</f>
        <v> </v>
      </c>
      <c r="R173" s="180" t="str">
        <f aca="false">IF((D173="o"),F173," ")</f>
        <v> </v>
      </c>
      <c r="S173" s="180" t="str">
        <f aca="false">IF((D173="f"),F173," ")</f>
        <v> </v>
      </c>
      <c r="U173" s="371"/>
    </row>
    <row r="174" customFormat="false" ht="12.75" hidden="false" customHeight="false" outlineLevel="0" collapsed="false">
      <c r="D174" s="371" t="str">
        <f aca="false">IF((F174&lt;&gt;0),"Enter Letter"," ")</f>
        <v> </v>
      </c>
      <c r="G174" s="180" t="str">
        <f aca="false">IF((D174="d"),F174," ")</f>
        <v> </v>
      </c>
      <c r="H174" s="180" t="str">
        <f aca="false">IF((D174="h"),F174," ")</f>
        <v> </v>
      </c>
      <c r="I174" s="180" t="str">
        <f aca="false">IF((D174="r"),F174," ")</f>
        <v> </v>
      </c>
      <c r="J174" s="180" t="str">
        <f aca="false">IF((D174="t"),F174," ")</f>
        <v> </v>
      </c>
      <c r="K174" s="180" t="str">
        <f aca="false">IF((D174="e"),F174," ")</f>
        <v> </v>
      </c>
      <c r="L174" s="180" t="str">
        <f aca="false">IF((D174="p"),F174," ")</f>
        <v> </v>
      </c>
      <c r="M174" s="180" t="str">
        <f aca="false">IF((D174="g"),F174," ")</f>
        <v> </v>
      </c>
      <c r="N174" s="180" t="str">
        <f aca="false">IF((D174="a"),F174," ")</f>
        <v> </v>
      </c>
      <c r="O174" s="180" t="str">
        <f aca="false">IF((D174="l"),F174," ")</f>
        <v> </v>
      </c>
      <c r="P174" s="180" t="str">
        <f aca="false">IF((D174="i"),F174," ")</f>
        <v> </v>
      </c>
      <c r="Q174" s="180" t="str">
        <f aca="false">IF((D174="b"),F174," ")</f>
        <v> </v>
      </c>
      <c r="R174" s="180" t="str">
        <f aca="false">IF((D174="o"),F174," ")</f>
        <v> </v>
      </c>
      <c r="S174" s="180" t="str">
        <f aca="false">IF((D174="f"),F174," ")</f>
        <v> </v>
      </c>
      <c r="U174" s="371"/>
    </row>
    <row r="175" customFormat="false" ht="12.75" hidden="false" customHeight="false" outlineLevel="0" collapsed="false">
      <c r="D175" s="371" t="str">
        <f aca="false">IF((F175&lt;&gt;0),"Enter Letter"," ")</f>
        <v> </v>
      </c>
      <c r="G175" s="180" t="str">
        <f aca="false">IF((D175="d"),F175," ")</f>
        <v> </v>
      </c>
      <c r="H175" s="180" t="str">
        <f aca="false">IF((D175="h"),F175," ")</f>
        <v> </v>
      </c>
      <c r="I175" s="180" t="str">
        <f aca="false">IF((D175="r"),F175," ")</f>
        <v> </v>
      </c>
      <c r="J175" s="180" t="str">
        <f aca="false">IF((D175="t"),F175," ")</f>
        <v> </v>
      </c>
      <c r="K175" s="180" t="str">
        <f aca="false">IF((D175="e"),F175," ")</f>
        <v> </v>
      </c>
      <c r="L175" s="180" t="str">
        <f aca="false">IF((D175="p"),F175," ")</f>
        <v> </v>
      </c>
      <c r="M175" s="180" t="str">
        <f aca="false">IF((D175="g"),F175," ")</f>
        <v> </v>
      </c>
      <c r="N175" s="180" t="str">
        <f aca="false">IF((D175="a"),F175," ")</f>
        <v> </v>
      </c>
      <c r="O175" s="180" t="str">
        <f aca="false">IF((D175="l"),F175," ")</f>
        <v> </v>
      </c>
      <c r="P175" s="180" t="str">
        <f aca="false">IF((D175="i"),F175," ")</f>
        <v> </v>
      </c>
      <c r="Q175" s="180" t="str">
        <f aca="false">IF((D175="b"),F175," ")</f>
        <v> </v>
      </c>
      <c r="R175" s="180" t="str">
        <f aca="false">IF((D175="o"),F175," ")</f>
        <v> </v>
      </c>
      <c r="S175" s="180" t="str">
        <f aca="false">IF((D175="f"),F175," ")</f>
        <v> </v>
      </c>
      <c r="U175" s="371"/>
    </row>
    <row r="176" customFormat="false" ht="12.75" hidden="false" customHeight="false" outlineLevel="0" collapsed="false">
      <c r="D176" s="371" t="str">
        <f aca="false">IF((F176&lt;&gt;0),"Enter Letter"," ")</f>
        <v> </v>
      </c>
      <c r="G176" s="180" t="str">
        <f aca="false">IF((D176="d"),F176," ")</f>
        <v> </v>
      </c>
      <c r="H176" s="180" t="str">
        <f aca="false">IF((D176="h"),F176," ")</f>
        <v> </v>
      </c>
      <c r="I176" s="180" t="str">
        <f aca="false">IF((D176="r"),F176," ")</f>
        <v> </v>
      </c>
      <c r="J176" s="180" t="str">
        <f aca="false">IF((D176="t"),F176," ")</f>
        <v> </v>
      </c>
      <c r="K176" s="180" t="str">
        <f aca="false">IF((D176="e"),F176," ")</f>
        <v> </v>
      </c>
      <c r="L176" s="180" t="str">
        <f aca="false">IF((D176="p"),F176," ")</f>
        <v> </v>
      </c>
      <c r="M176" s="180" t="str">
        <f aca="false">IF((D176="g"),F176," ")</f>
        <v> </v>
      </c>
      <c r="N176" s="180" t="str">
        <f aca="false">IF((D176="a"),F176," ")</f>
        <v> </v>
      </c>
      <c r="O176" s="180" t="str">
        <f aca="false">IF((D176="l"),F176," ")</f>
        <v> </v>
      </c>
      <c r="P176" s="180" t="str">
        <f aca="false">IF((D176="i"),F176," ")</f>
        <v> </v>
      </c>
      <c r="Q176" s="180" t="str">
        <f aca="false">IF((D176="b"),F176," ")</f>
        <v> </v>
      </c>
      <c r="R176" s="180" t="str">
        <f aca="false">IF((D176="o"),F176," ")</f>
        <v> </v>
      </c>
      <c r="S176" s="180" t="str">
        <f aca="false">IF((D176="f"),F176," ")</f>
        <v> </v>
      </c>
      <c r="U176" s="371"/>
    </row>
    <row r="177" customFormat="false" ht="12.75" hidden="false" customHeight="false" outlineLevel="0" collapsed="false">
      <c r="D177" s="371" t="str">
        <f aca="false">IF((F177&lt;&gt;0),"Enter Letter"," ")</f>
        <v> </v>
      </c>
      <c r="G177" s="180" t="str">
        <f aca="false">IF((D177="d"),F177," ")</f>
        <v> </v>
      </c>
      <c r="H177" s="180" t="str">
        <f aca="false">IF((D177="h"),F177," ")</f>
        <v> </v>
      </c>
      <c r="I177" s="180" t="str">
        <f aca="false">IF((D177="r"),F177," ")</f>
        <v> </v>
      </c>
      <c r="J177" s="180" t="str">
        <f aca="false">IF((D177="t"),F177," ")</f>
        <v> </v>
      </c>
      <c r="K177" s="180" t="str">
        <f aca="false">IF((D177="e"),F177," ")</f>
        <v> </v>
      </c>
      <c r="L177" s="180" t="str">
        <f aca="false">IF((D177="p"),F177," ")</f>
        <v> </v>
      </c>
      <c r="M177" s="180" t="str">
        <f aca="false">IF((D177="g"),F177," ")</f>
        <v> </v>
      </c>
      <c r="N177" s="180" t="str">
        <f aca="false">IF((D177="a"),F177," ")</f>
        <v> </v>
      </c>
      <c r="O177" s="180" t="str">
        <f aca="false">IF((D177="l"),F177," ")</f>
        <v> </v>
      </c>
      <c r="P177" s="180" t="str">
        <f aca="false">IF((D177="i"),F177," ")</f>
        <v> </v>
      </c>
      <c r="Q177" s="180" t="str">
        <f aca="false">IF((D177="b"),F177," ")</f>
        <v> </v>
      </c>
      <c r="R177" s="180" t="str">
        <f aca="false">IF((D177="o"),F177," ")</f>
        <v> </v>
      </c>
      <c r="S177" s="180" t="str">
        <f aca="false">IF((D177="f"),F177," ")</f>
        <v> </v>
      </c>
      <c r="U177" s="371"/>
    </row>
    <row r="178" customFormat="false" ht="12.75" hidden="false" customHeight="false" outlineLevel="0" collapsed="false">
      <c r="D178" s="371" t="str">
        <f aca="false">IF((F178&lt;&gt;0),"Enter Letter"," ")</f>
        <v> </v>
      </c>
      <c r="G178" s="180" t="str">
        <f aca="false">IF((D178="d"),F178," ")</f>
        <v> </v>
      </c>
      <c r="H178" s="180" t="str">
        <f aca="false">IF((D178="h"),F178," ")</f>
        <v> </v>
      </c>
      <c r="I178" s="180" t="str">
        <f aca="false">IF((D178="r"),F178," ")</f>
        <v> </v>
      </c>
      <c r="J178" s="180" t="str">
        <f aca="false">IF((D178="t"),F178," ")</f>
        <v> </v>
      </c>
      <c r="K178" s="180" t="str">
        <f aca="false">IF((D178="e"),F178," ")</f>
        <v> </v>
      </c>
      <c r="L178" s="180" t="str">
        <f aca="false">IF((D178="p"),F178," ")</f>
        <v> </v>
      </c>
      <c r="M178" s="180" t="str">
        <f aca="false">IF((D178="g"),F178," ")</f>
        <v> </v>
      </c>
      <c r="N178" s="180" t="str">
        <f aca="false">IF((D178="a"),F178," ")</f>
        <v> </v>
      </c>
      <c r="O178" s="180" t="str">
        <f aca="false">IF((D178="l"),F178," ")</f>
        <v> </v>
      </c>
      <c r="P178" s="180" t="str">
        <f aca="false">IF((D178="i"),F178," ")</f>
        <v> </v>
      </c>
      <c r="Q178" s="180" t="str">
        <f aca="false">IF((D178="b"),F178," ")</f>
        <v> </v>
      </c>
      <c r="R178" s="180" t="str">
        <f aca="false">IF((D178="o"),F178," ")</f>
        <v> </v>
      </c>
      <c r="S178" s="180" t="str">
        <f aca="false">IF((D178="f"),F178," ")</f>
        <v> </v>
      </c>
      <c r="U178" s="371"/>
    </row>
    <row r="179" customFormat="false" ht="12.75" hidden="false" customHeight="false" outlineLevel="0" collapsed="false">
      <c r="D179" s="371" t="str">
        <f aca="false">IF((F179&lt;&gt;0),"Enter Letter"," ")</f>
        <v> </v>
      </c>
      <c r="G179" s="180" t="str">
        <f aca="false">IF((D179="d"),F179," ")</f>
        <v> </v>
      </c>
      <c r="H179" s="180" t="str">
        <f aca="false">IF((D179="h"),F179," ")</f>
        <v> </v>
      </c>
      <c r="I179" s="180" t="str">
        <f aca="false">IF((D179="r"),F179," ")</f>
        <v> </v>
      </c>
      <c r="J179" s="180" t="str">
        <f aca="false">IF((D179="t"),F179," ")</f>
        <v> </v>
      </c>
      <c r="K179" s="180" t="str">
        <f aca="false">IF((D179="e"),F179," ")</f>
        <v> </v>
      </c>
      <c r="L179" s="180" t="str">
        <f aca="false">IF((D179="p"),F179," ")</f>
        <v> </v>
      </c>
      <c r="M179" s="180" t="str">
        <f aca="false">IF((D179="g"),F179," ")</f>
        <v> </v>
      </c>
      <c r="N179" s="180" t="str">
        <f aca="false">IF((D179="a"),F179," ")</f>
        <v> </v>
      </c>
      <c r="O179" s="180" t="str">
        <f aca="false">IF((D179="l"),F179," ")</f>
        <v> </v>
      </c>
      <c r="P179" s="180" t="str">
        <f aca="false">IF((D179="i"),F179," ")</f>
        <v> </v>
      </c>
      <c r="Q179" s="180" t="str">
        <f aca="false">IF((D179="b"),F179," ")</f>
        <v> </v>
      </c>
      <c r="R179" s="180" t="str">
        <f aca="false">IF((D179="o"),F179," ")</f>
        <v> </v>
      </c>
      <c r="S179" s="180" t="str">
        <f aca="false">IF((D179="f"),F179," ")</f>
        <v> </v>
      </c>
      <c r="U179" s="371"/>
    </row>
    <row r="180" customFormat="false" ht="12.75" hidden="false" customHeight="false" outlineLevel="0" collapsed="false">
      <c r="D180" s="371" t="str">
        <f aca="false">IF((F180&lt;&gt;0),"Enter Letter"," ")</f>
        <v> </v>
      </c>
      <c r="G180" s="180" t="str">
        <f aca="false">IF((D180="d"),F180," ")</f>
        <v> </v>
      </c>
      <c r="H180" s="180" t="str">
        <f aca="false">IF((D180="h"),F180," ")</f>
        <v> </v>
      </c>
      <c r="I180" s="180" t="str">
        <f aca="false">IF((D180="r"),F180," ")</f>
        <v> </v>
      </c>
      <c r="J180" s="180" t="str">
        <f aca="false">IF((D180="t"),F180," ")</f>
        <v> </v>
      </c>
      <c r="K180" s="180" t="str">
        <f aca="false">IF((D180="e"),F180," ")</f>
        <v> </v>
      </c>
      <c r="L180" s="180" t="str">
        <f aca="false">IF((D180="p"),F180," ")</f>
        <v> </v>
      </c>
      <c r="M180" s="180" t="str">
        <f aca="false">IF((D180="g"),F180," ")</f>
        <v> </v>
      </c>
      <c r="N180" s="180" t="str">
        <f aca="false">IF((D180="a"),F180," ")</f>
        <v> </v>
      </c>
      <c r="O180" s="180" t="str">
        <f aca="false">IF((D180="l"),F180," ")</f>
        <v> </v>
      </c>
      <c r="P180" s="180" t="str">
        <f aca="false">IF((D180="i"),F180," ")</f>
        <v> </v>
      </c>
      <c r="Q180" s="180" t="str">
        <f aca="false">IF((D180="b"),F180," ")</f>
        <v> </v>
      </c>
      <c r="R180" s="180" t="str">
        <f aca="false">IF((D180="o"),F180," ")</f>
        <v> </v>
      </c>
      <c r="S180" s="180" t="str">
        <f aca="false">IF((D180="f"),F180," ")</f>
        <v> </v>
      </c>
      <c r="U180" s="371"/>
    </row>
    <row r="181" customFormat="false" ht="12.75" hidden="false" customHeight="false" outlineLevel="0" collapsed="false">
      <c r="D181" s="371" t="str">
        <f aca="false">IF((F181&lt;&gt;0),"Enter Letter"," ")</f>
        <v> </v>
      </c>
      <c r="G181" s="180" t="str">
        <f aca="false">IF((D181="d"),F181," ")</f>
        <v> </v>
      </c>
      <c r="H181" s="180" t="str">
        <f aca="false">IF((D181="h"),F181," ")</f>
        <v> </v>
      </c>
      <c r="I181" s="180" t="str">
        <f aca="false">IF((D181="r"),F181," ")</f>
        <v> </v>
      </c>
      <c r="J181" s="180" t="str">
        <f aca="false">IF((D181="t"),F181," ")</f>
        <v> </v>
      </c>
      <c r="K181" s="180" t="str">
        <f aca="false">IF((D181="e"),F181," ")</f>
        <v> </v>
      </c>
      <c r="L181" s="180" t="str">
        <f aca="false">IF((D181="p"),F181," ")</f>
        <v> </v>
      </c>
      <c r="M181" s="180" t="str">
        <f aca="false">IF((D181="g"),F181," ")</f>
        <v> </v>
      </c>
      <c r="N181" s="180" t="str">
        <f aca="false">IF((D181="a"),F181," ")</f>
        <v> </v>
      </c>
      <c r="O181" s="180" t="str">
        <f aca="false">IF((D181="l"),F181," ")</f>
        <v> </v>
      </c>
      <c r="P181" s="180" t="str">
        <f aca="false">IF((D181="i"),F181," ")</f>
        <v> </v>
      </c>
      <c r="Q181" s="180" t="str">
        <f aca="false">IF((D181="b"),F181," ")</f>
        <v> </v>
      </c>
      <c r="R181" s="180" t="str">
        <f aca="false">IF((D181="o"),F181," ")</f>
        <v> </v>
      </c>
      <c r="S181" s="180" t="str">
        <f aca="false">IF((D181="f"),F181," ")</f>
        <v> </v>
      </c>
      <c r="U181" s="371"/>
    </row>
    <row r="182" customFormat="false" ht="12.75" hidden="false" customHeight="false" outlineLevel="0" collapsed="false">
      <c r="D182" s="371" t="str">
        <f aca="false">IF((F182&lt;&gt;0),"Enter Letter"," ")</f>
        <v> </v>
      </c>
      <c r="G182" s="180" t="str">
        <f aca="false">IF((D182="d"),F182," ")</f>
        <v> </v>
      </c>
      <c r="H182" s="180" t="str">
        <f aca="false">IF((D182="h"),F182," ")</f>
        <v> </v>
      </c>
      <c r="I182" s="180" t="str">
        <f aca="false">IF((D182="r"),F182," ")</f>
        <v> </v>
      </c>
      <c r="J182" s="180" t="str">
        <f aca="false">IF((D182="t"),F182," ")</f>
        <v> </v>
      </c>
      <c r="K182" s="180" t="str">
        <f aca="false">IF((D182="e"),F182," ")</f>
        <v> </v>
      </c>
      <c r="L182" s="180" t="str">
        <f aca="false">IF((D182="p"),F182," ")</f>
        <v> </v>
      </c>
      <c r="M182" s="180" t="str">
        <f aca="false">IF((D182="g"),F182," ")</f>
        <v> </v>
      </c>
      <c r="N182" s="180" t="str">
        <f aca="false">IF((D182="a"),F182," ")</f>
        <v> </v>
      </c>
      <c r="O182" s="180" t="str">
        <f aca="false">IF((D182="l"),F182," ")</f>
        <v> </v>
      </c>
      <c r="P182" s="180" t="str">
        <f aca="false">IF((D182="i"),F182," ")</f>
        <v> </v>
      </c>
      <c r="Q182" s="180" t="str">
        <f aca="false">IF((D182="b"),F182," ")</f>
        <v> </v>
      </c>
      <c r="R182" s="180" t="str">
        <f aca="false">IF((D182="o"),F182," ")</f>
        <v> </v>
      </c>
      <c r="S182" s="180" t="str">
        <f aca="false">IF((D182="f"),F182," ")</f>
        <v> </v>
      </c>
      <c r="U182" s="371"/>
    </row>
    <row r="183" customFormat="false" ht="12.75" hidden="false" customHeight="false" outlineLevel="0" collapsed="false">
      <c r="D183" s="371" t="str">
        <f aca="false">IF((F183&lt;&gt;0),"Enter Letter"," ")</f>
        <v> </v>
      </c>
      <c r="G183" s="180" t="str">
        <f aca="false">IF((D183="d"),F183," ")</f>
        <v> </v>
      </c>
      <c r="H183" s="180" t="str">
        <f aca="false">IF((D183="h"),F183," ")</f>
        <v> </v>
      </c>
      <c r="I183" s="180" t="str">
        <f aca="false">IF((D183="r"),F183," ")</f>
        <v> </v>
      </c>
      <c r="J183" s="180" t="str">
        <f aca="false">IF((D183="t"),F183," ")</f>
        <v> </v>
      </c>
      <c r="K183" s="180" t="str">
        <f aca="false">IF((D183="e"),F183," ")</f>
        <v> </v>
      </c>
      <c r="L183" s="180" t="str">
        <f aca="false">IF((D183="p"),F183," ")</f>
        <v> </v>
      </c>
      <c r="M183" s="180" t="str">
        <f aca="false">IF((D183="g"),F183," ")</f>
        <v> </v>
      </c>
      <c r="N183" s="180" t="str">
        <f aca="false">IF((D183="a"),F183," ")</f>
        <v> </v>
      </c>
      <c r="O183" s="180" t="str">
        <f aca="false">IF((D183="l"),F183," ")</f>
        <v> </v>
      </c>
      <c r="P183" s="180" t="str">
        <f aca="false">IF((D183="i"),F183," ")</f>
        <v> </v>
      </c>
      <c r="Q183" s="180" t="str">
        <f aca="false">IF((D183="b"),F183," ")</f>
        <v> </v>
      </c>
      <c r="R183" s="180" t="str">
        <f aca="false">IF((D183="o"),F183," ")</f>
        <v> </v>
      </c>
      <c r="S183" s="180" t="str">
        <f aca="false">IF((D183="f"),F183," ")</f>
        <v> </v>
      </c>
      <c r="U183" s="371"/>
    </row>
    <row r="184" customFormat="false" ht="12.75" hidden="false" customHeight="false" outlineLevel="0" collapsed="false">
      <c r="D184" s="371" t="str">
        <f aca="false">IF((F184&lt;&gt;0),"Enter Letter"," ")</f>
        <v> </v>
      </c>
      <c r="G184" s="180" t="str">
        <f aca="false">IF((D184="d"),F184," ")</f>
        <v> </v>
      </c>
      <c r="H184" s="180" t="str">
        <f aca="false">IF((D184="h"),F184," ")</f>
        <v> </v>
      </c>
      <c r="I184" s="180" t="str">
        <f aca="false">IF((D184="r"),F184," ")</f>
        <v> </v>
      </c>
      <c r="J184" s="180" t="str">
        <f aca="false">IF((D184="t"),F184," ")</f>
        <v> </v>
      </c>
      <c r="K184" s="180" t="str">
        <f aca="false">IF((D184="e"),F184," ")</f>
        <v> </v>
      </c>
      <c r="L184" s="180" t="str">
        <f aca="false">IF((D184="p"),F184," ")</f>
        <v> </v>
      </c>
      <c r="M184" s="180" t="str">
        <f aca="false">IF((D184="g"),F184," ")</f>
        <v> </v>
      </c>
      <c r="N184" s="180" t="str">
        <f aca="false">IF((D184="a"),F184," ")</f>
        <v> </v>
      </c>
      <c r="O184" s="180" t="str">
        <f aca="false">IF((D184="l"),F184," ")</f>
        <v> </v>
      </c>
      <c r="P184" s="180" t="str">
        <f aca="false">IF((D184="i"),F184," ")</f>
        <v> </v>
      </c>
      <c r="Q184" s="180" t="str">
        <f aca="false">IF((D184="b"),F184," ")</f>
        <v> </v>
      </c>
      <c r="R184" s="180" t="str">
        <f aca="false">IF((D184="o"),F184," ")</f>
        <v> </v>
      </c>
      <c r="S184" s="180" t="str">
        <f aca="false">IF((D184="f"),F184," ")</f>
        <v> </v>
      </c>
      <c r="U184" s="371"/>
    </row>
    <row r="185" customFormat="false" ht="12.75" hidden="false" customHeight="false" outlineLevel="0" collapsed="false">
      <c r="D185" s="371" t="str">
        <f aca="false">IF((F185&lt;&gt;0),"Enter Letter"," ")</f>
        <v> </v>
      </c>
      <c r="G185" s="180" t="str">
        <f aca="false">IF((D185="d"),F185," ")</f>
        <v> </v>
      </c>
      <c r="H185" s="180" t="str">
        <f aca="false">IF((D185="h"),F185," ")</f>
        <v> </v>
      </c>
      <c r="I185" s="180" t="str">
        <f aca="false">IF((D185="r"),F185," ")</f>
        <v> </v>
      </c>
      <c r="J185" s="180" t="str">
        <f aca="false">IF((D185="t"),F185," ")</f>
        <v> </v>
      </c>
      <c r="K185" s="180" t="str">
        <f aca="false">IF((D185="e"),F185," ")</f>
        <v> </v>
      </c>
      <c r="L185" s="180" t="str">
        <f aca="false">IF((D185="p"),F185," ")</f>
        <v> </v>
      </c>
      <c r="M185" s="180" t="str">
        <f aca="false">IF((D185="g"),F185," ")</f>
        <v> </v>
      </c>
      <c r="N185" s="180" t="str">
        <f aca="false">IF((D185="a"),F185," ")</f>
        <v> </v>
      </c>
      <c r="O185" s="180" t="str">
        <f aca="false">IF((D185="l"),F185," ")</f>
        <v> </v>
      </c>
      <c r="P185" s="180" t="str">
        <f aca="false">IF((D185="i"),F185," ")</f>
        <v> </v>
      </c>
      <c r="Q185" s="180" t="str">
        <f aca="false">IF((D185="b"),F185," ")</f>
        <v> </v>
      </c>
      <c r="R185" s="180" t="str">
        <f aca="false">IF((D185="o"),F185," ")</f>
        <v> </v>
      </c>
      <c r="S185" s="180" t="str">
        <f aca="false">IF((D185="f"),F185," ")</f>
        <v> </v>
      </c>
      <c r="U185" s="371"/>
    </row>
    <row r="186" customFormat="false" ht="12.75" hidden="false" customHeight="false" outlineLevel="0" collapsed="false">
      <c r="D186" s="371" t="str">
        <f aca="false">IF((F186&lt;&gt;0),"Enter Letter"," ")</f>
        <v> </v>
      </c>
      <c r="G186" s="180" t="str">
        <f aca="false">IF((D186="d"),F186," ")</f>
        <v> </v>
      </c>
      <c r="H186" s="180" t="str">
        <f aca="false">IF((D186="h"),F186," ")</f>
        <v> </v>
      </c>
      <c r="I186" s="180" t="str">
        <f aca="false">IF((D186="r"),F186," ")</f>
        <v> </v>
      </c>
      <c r="J186" s="180" t="str">
        <f aca="false">IF((D186="t"),F186," ")</f>
        <v> </v>
      </c>
      <c r="K186" s="180" t="str">
        <f aca="false">IF((D186="e"),F186," ")</f>
        <v> </v>
      </c>
      <c r="L186" s="180" t="str">
        <f aca="false">IF((D186="p"),F186," ")</f>
        <v> </v>
      </c>
      <c r="M186" s="180" t="str">
        <f aca="false">IF((D186="g"),F186," ")</f>
        <v> </v>
      </c>
      <c r="N186" s="180" t="str">
        <f aca="false">IF((D186="a"),F186," ")</f>
        <v> </v>
      </c>
      <c r="O186" s="180" t="str">
        <f aca="false">IF((D186="l"),F186," ")</f>
        <v> </v>
      </c>
      <c r="P186" s="180" t="str">
        <f aca="false">IF((D186="i"),F186," ")</f>
        <v> </v>
      </c>
      <c r="Q186" s="180" t="str">
        <f aca="false">IF((D186="b"),F186," ")</f>
        <v> </v>
      </c>
      <c r="R186" s="180" t="str">
        <f aca="false">IF((D186="o"),F186," ")</f>
        <v> </v>
      </c>
      <c r="S186" s="180" t="str">
        <f aca="false">IF((D186="f"),F186," ")</f>
        <v> </v>
      </c>
      <c r="U186" s="371"/>
    </row>
    <row r="187" customFormat="false" ht="12.75" hidden="false" customHeight="false" outlineLevel="0" collapsed="false">
      <c r="D187" s="371" t="str">
        <f aca="false">IF((F187&lt;&gt;0),"Enter Letter"," ")</f>
        <v> </v>
      </c>
      <c r="G187" s="180" t="str">
        <f aca="false">IF((D187="d"),F187," ")</f>
        <v> </v>
      </c>
      <c r="H187" s="180" t="str">
        <f aca="false">IF((D187="h"),F187," ")</f>
        <v> </v>
      </c>
      <c r="I187" s="180" t="str">
        <f aca="false">IF((D187="r"),F187," ")</f>
        <v> </v>
      </c>
      <c r="J187" s="180" t="str">
        <f aca="false">IF((D187="t"),F187," ")</f>
        <v> </v>
      </c>
      <c r="K187" s="180" t="str">
        <f aca="false">IF((D187="e"),F187," ")</f>
        <v> </v>
      </c>
      <c r="L187" s="180" t="str">
        <f aca="false">IF((D187="p"),F187," ")</f>
        <v> </v>
      </c>
      <c r="M187" s="180" t="str">
        <f aca="false">IF((D187="g"),F187," ")</f>
        <v> </v>
      </c>
      <c r="N187" s="180" t="str">
        <f aca="false">IF((D187="a"),F187," ")</f>
        <v> </v>
      </c>
      <c r="O187" s="180" t="str">
        <f aca="false">IF((D187="l"),F187," ")</f>
        <v> </v>
      </c>
      <c r="P187" s="180" t="str">
        <f aca="false">IF((D187="i"),F187," ")</f>
        <v> </v>
      </c>
      <c r="Q187" s="180" t="str">
        <f aca="false">IF((D187="b"),F187," ")</f>
        <v> </v>
      </c>
      <c r="R187" s="180" t="str">
        <f aca="false">IF((D187="o"),F187," ")</f>
        <v> </v>
      </c>
      <c r="S187" s="180" t="str">
        <f aca="false">IF((D187="f"),F187," ")</f>
        <v> </v>
      </c>
      <c r="U187" s="371"/>
    </row>
    <row r="188" customFormat="false" ht="12.75" hidden="false" customHeight="false" outlineLevel="0" collapsed="false">
      <c r="D188" s="371" t="str">
        <f aca="false">IF((F188&lt;&gt;0),"Enter Letter"," ")</f>
        <v> </v>
      </c>
      <c r="G188" s="180" t="str">
        <f aca="false">IF((D188="d"),F188," ")</f>
        <v> </v>
      </c>
      <c r="H188" s="180" t="str">
        <f aca="false">IF((D188="h"),F188," ")</f>
        <v> </v>
      </c>
      <c r="I188" s="180" t="str">
        <f aca="false">IF((D188="r"),F188," ")</f>
        <v> </v>
      </c>
      <c r="J188" s="180" t="str">
        <f aca="false">IF((D188="t"),F188," ")</f>
        <v> </v>
      </c>
      <c r="K188" s="180" t="str">
        <f aca="false">IF((D188="e"),F188," ")</f>
        <v> </v>
      </c>
      <c r="L188" s="180" t="str">
        <f aca="false">IF((D188="p"),F188," ")</f>
        <v> </v>
      </c>
      <c r="M188" s="180" t="str">
        <f aca="false">IF((D188="g"),F188," ")</f>
        <v> </v>
      </c>
      <c r="N188" s="180" t="str">
        <f aca="false">IF((D188="a"),F188," ")</f>
        <v> </v>
      </c>
      <c r="O188" s="180" t="str">
        <f aca="false">IF((D188="l"),F188," ")</f>
        <v> </v>
      </c>
      <c r="P188" s="180" t="str">
        <f aca="false">IF((D188="i"),F188," ")</f>
        <v> </v>
      </c>
      <c r="Q188" s="180" t="str">
        <f aca="false">IF((D188="b"),F188," ")</f>
        <v> </v>
      </c>
      <c r="R188" s="180" t="str">
        <f aca="false">IF((D188="o"),F188," ")</f>
        <v> </v>
      </c>
      <c r="S188" s="180" t="str">
        <f aca="false">IF((D188="f"),F188," ")</f>
        <v> </v>
      </c>
      <c r="U188" s="371"/>
    </row>
    <row r="189" customFormat="false" ht="12.75" hidden="false" customHeight="false" outlineLevel="0" collapsed="false">
      <c r="D189" s="371" t="str">
        <f aca="false">IF((F189&lt;&gt;0),"Enter Letter"," ")</f>
        <v> </v>
      </c>
      <c r="G189" s="180" t="str">
        <f aca="false">IF((D189="d"),F189," ")</f>
        <v> </v>
      </c>
      <c r="H189" s="180" t="str">
        <f aca="false">IF((D189="h"),F189," ")</f>
        <v> </v>
      </c>
      <c r="I189" s="180" t="str">
        <f aca="false">IF((D189="r"),F189," ")</f>
        <v> </v>
      </c>
      <c r="J189" s="180" t="str">
        <f aca="false">IF((D189="t"),F189," ")</f>
        <v> </v>
      </c>
      <c r="K189" s="180" t="str">
        <f aca="false">IF((D189="e"),F189," ")</f>
        <v> </v>
      </c>
      <c r="L189" s="180" t="str">
        <f aca="false">IF((D189="p"),F189," ")</f>
        <v> </v>
      </c>
      <c r="M189" s="180" t="str">
        <f aca="false">IF((D189="g"),F189," ")</f>
        <v> </v>
      </c>
      <c r="N189" s="180" t="str">
        <f aca="false">IF((D189="a"),F189," ")</f>
        <v> </v>
      </c>
      <c r="O189" s="180" t="str">
        <f aca="false">IF((D189="l"),F189," ")</f>
        <v> </v>
      </c>
      <c r="P189" s="180" t="str">
        <f aca="false">IF((D189="i"),F189," ")</f>
        <v> </v>
      </c>
      <c r="Q189" s="180" t="str">
        <f aca="false">IF((D189="b"),F189," ")</f>
        <v> </v>
      </c>
      <c r="R189" s="180" t="str">
        <f aca="false">IF((D189="o"),F189," ")</f>
        <v> </v>
      </c>
      <c r="S189" s="180" t="str">
        <f aca="false">IF((D189="f"),F189," ")</f>
        <v> </v>
      </c>
      <c r="U189" s="371"/>
    </row>
    <row r="190" customFormat="false" ht="12.75" hidden="false" customHeight="false" outlineLevel="0" collapsed="false">
      <c r="D190" s="371" t="str">
        <f aca="false">IF((F190&lt;&gt;0),"Enter Letter"," ")</f>
        <v> </v>
      </c>
      <c r="G190" s="180" t="str">
        <f aca="false">IF((D190="d"),F190," ")</f>
        <v> </v>
      </c>
      <c r="H190" s="180" t="str">
        <f aca="false">IF((D190="h"),F190," ")</f>
        <v> </v>
      </c>
      <c r="I190" s="180" t="str">
        <f aca="false">IF((D190="r"),F190," ")</f>
        <v> </v>
      </c>
      <c r="J190" s="180" t="str">
        <f aca="false">IF((D190="t"),F190," ")</f>
        <v> </v>
      </c>
      <c r="K190" s="180" t="str">
        <f aca="false">IF((D190="e"),F190," ")</f>
        <v> </v>
      </c>
      <c r="L190" s="180" t="str">
        <f aca="false">IF((D190="p"),F190," ")</f>
        <v> </v>
      </c>
      <c r="M190" s="180" t="str">
        <f aca="false">IF((D190="g"),F190," ")</f>
        <v> </v>
      </c>
      <c r="N190" s="180" t="str">
        <f aca="false">IF((D190="a"),F190," ")</f>
        <v> </v>
      </c>
      <c r="O190" s="180" t="str">
        <f aca="false">IF((D190="l"),F190," ")</f>
        <v> </v>
      </c>
      <c r="P190" s="180" t="str">
        <f aca="false">IF((D190="i"),F190," ")</f>
        <v> </v>
      </c>
      <c r="Q190" s="180" t="str">
        <f aca="false">IF((D190="b"),F190," ")</f>
        <v> </v>
      </c>
      <c r="R190" s="180" t="str">
        <f aca="false">IF((D190="o"),F190," ")</f>
        <v> </v>
      </c>
      <c r="S190" s="180" t="str">
        <f aca="false">IF((D190="f"),F190," ")</f>
        <v> </v>
      </c>
      <c r="U190" s="371"/>
    </row>
    <row r="191" customFormat="false" ht="12.75" hidden="false" customHeight="false" outlineLevel="0" collapsed="false">
      <c r="D191" s="371" t="str">
        <f aca="false">IF((F191&lt;&gt;0),"Enter Letter"," ")</f>
        <v> </v>
      </c>
      <c r="G191" s="180" t="str">
        <f aca="false">IF((D191="d"),F191," ")</f>
        <v> </v>
      </c>
      <c r="H191" s="180" t="str">
        <f aca="false">IF((D191="h"),F191," ")</f>
        <v> </v>
      </c>
      <c r="I191" s="180" t="str">
        <f aca="false">IF((D191="r"),F191," ")</f>
        <v> </v>
      </c>
      <c r="J191" s="180" t="str">
        <f aca="false">IF((D191="t"),F191," ")</f>
        <v> </v>
      </c>
      <c r="K191" s="180" t="str">
        <f aca="false">IF((D191="e"),F191," ")</f>
        <v> </v>
      </c>
      <c r="L191" s="180" t="str">
        <f aca="false">IF((D191="p"),F191," ")</f>
        <v> </v>
      </c>
      <c r="M191" s="180" t="str">
        <f aca="false">IF((D191="g"),F191," ")</f>
        <v> </v>
      </c>
      <c r="N191" s="180" t="str">
        <f aca="false">IF((D191="a"),F191," ")</f>
        <v> </v>
      </c>
      <c r="O191" s="180" t="str">
        <f aca="false">IF((D191="l"),F191," ")</f>
        <v> </v>
      </c>
      <c r="P191" s="180" t="str">
        <f aca="false">IF((D191="i"),F191," ")</f>
        <v> </v>
      </c>
      <c r="Q191" s="180" t="str">
        <f aca="false">IF((D191="b"),F191," ")</f>
        <v> </v>
      </c>
      <c r="R191" s="180" t="str">
        <f aca="false">IF((D191="o"),F191," ")</f>
        <v> </v>
      </c>
      <c r="S191" s="180" t="str">
        <f aca="false">IF((D191="f"),F191," ")</f>
        <v> </v>
      </c>
      <c r="U191" s="371"/>
    </row>
    <row r="192" customFormat="false" ht="12.75" hidden="false" customHeight="false" outlineLevel="0" collapsed="false">
      <c r="D192" s="371" t="str">
        <f aca="false">IF((F192&lt;&gt;0),"Enter Letter"," ")</f>
        <v> </v>
      </c>
      <c r="G192" s="180" t="str">
        <f aca="false">IF((D192="d"),F192," ")</f>
        <v> </v>
      </c>
      <c r="H192" s="180" t="str">
        <f aca="false">IF((D192="h"),F192," ")</f>
        <v> </v>
      </c>
      <c r="I192" s="180" t="str">
        <f aca="false">IF((D192="r"),F192," ")</f>
        <v> </v>
      </c>
      <c r="J192" s="180" t="str">
        <f aca="false">IF((D192="t"),F192," ")</f>
        <v> </v>
      </c>
      <c r="K192" s="180" t="str">
        <f aca="false">IF((D192="e"),F192," ")</f>
        <v> </v>
      </c>
      <c r="L192" s="180" t="str">
        <f aca="false">IF((D192="p"),F192," ")</f>
        <v> </v>
      </c>
      <c r="M192" s="180" t="str">
        <f aca="false">IF((D192="g"),F192," ")</f>
        <v> </v>
      </c>
      <c r="N192" s="180" t="str">
        <f aca="false">IF((D192="a"),F192," ")</f>
        <v> </v>
      </c>
      <c r="O192" s="180" t="str">
        <f aca="false">IF((D192="l"),F192," ")</f>
        <v> </v>
      </c>
      <c r="P192" s="180" t="str">
        <f aca="false">IF((D192="i"),F192," ")</f>
        <v> </v>
      </c>
      <c r="Q192" s="180" t="str">
        <f aca="false">IF((D192="b"),F192," ")</f>
        <v> </v>
      </c>
      <c r="R192" s="180" t="str">
        <f aca="false">IF((D192="o"),F192," ")</f>
        <v> </v>
      </c>
      <c r="S192" s="180" t="str">
        <f aca="false">IF((D192="f"),F192," ")</f>
        <v> </v>
      </c>
      <c r="U192" s="371"/>
    </row>
    <row r="193" customFormat="false" ht="12.75" hidden="false" customHeight="false" outlineLevel="0" collapsed="false">
      <c r="D193" s="371" t="str">
        <f aca="false">IF((F193&lt;&gt;0),"Enter Letter"," ")</f>
        <v> </v>
      </c>
      <c r="G193" s="180" t="str">
        <f aca="false">IF((D193="d"),F193," ")</f>
        <v> </v>
      </c>
      <c r="H193" s="180" t="str">
        <f aca="false">IF((D193="h"),F193," ")</f>
        <v> </v>
      </c>
      <c r="I193" s="180" t="str">
        <f aca="false">IF((D193="r"),F193," ")</f>
        <v> </v>
      </c>
      <c r="J193" s="180" t="str">
        <f aca="false">IF((D193="t"),F193," ")</f>
        <v> </v>
      </c>
      <c r="K193" s="180" t="str">
        <f aca="false">IF((D193="e"),F193," ")</f>
        <v> </v>
      </c>
      <c r="L193" s="180" t="str">
        <f aca="false">IF((D193="p"),F193," ")</f>
        <v> </v>
      </c>
      <c r="M193" s="180" t="str">
        <f aca="false">IF((D193="g"),F193," ")</f>
        <v> </v>
      </c>
      <c r="N193" s="180" t="str">
        <f aca="false">IF((D193="a"),F193," ")</f>
        <v> </v>
      </c>
      <c r="O193" s="180" t="str">
        <f aca="false">IF((D193="l"),F193," ")</f>
        <v> </v>
      </c>
      <c r="P193" s="180" t="str">
        <f aca="false">IF((D193="i"),F193," ")</f>
        <v> </v>
      </c>
      <c r="Q193" s="180" t="str">
        <f aca="false">IF((D193="b"),F193," ")</f>
        <v> </v>
      </c>
      <c r="R193" s="180" t="str">
        <f aca="false">IF((D193="o"),F193," ")</f>
        <v> </v>
      </c>
      <c r="S193" s="180" t="str">
        <f aca="false">IF((D193="f"),F193," ")</f>
        <v> </v>
      </c>
      <c r="U193" s="371"/>
    </row>
    <row r="194" customFormat="false" ht="12.75" hidden="false" customHeight="false" outlineLevel="0" collapsed="false">
      <c r="D194" s="371" t="str">
        <f aca="false">IF((F194&lt;&gt;0),"Enter Letter"," ")</f>
        <v> </v>
      </c>
      <c r="G194" s="180" t="str">
        <f aca="false">IF((D194="d"),F194," ")</f>
        <v> </v>
      </c>
      <c r="H194" s="180" t="str">
        <f aca="false">IF((D194="h"),F194," ")</f>
        <v> </v>
      </c>
      <c r="I194" s="180" t="str">
        <f aca="false">IF((D194="r"),F194," ")</f>
        <v> </v>
      </c>
      <c r="J194" s="180" t="str">
        <f aca="false">IF((D194="t"),F194," ")</f>
        <v> </v>
      </c>
      <c r="K194" s="180" t="str">
        <f aca="false">IF((D194="e"),F194," ")</f>
        <v> </v>
      </c>
      <c r="L194" s="180" t="str">
        <f aca="false">IF((D194="p"),F194," ")</f>
        <v> </v>
      </c>
      <c r="M194" s="180" t="str">
        <f aca="false">IF((D194="g"),F194," ")</f>
        <v> </v>
      </c>
      <c r="N194" s="180" t="str">
        <f aca="false">IF((D194="a"),F194," ")</f>
        <v> </v>
      </c>
      <c r="O194" s="180" t="str">
        <f aca="false">IF((D194="l"),F194," ")</f>
        <v> </v>
      </c>
      <c r="P194" s="180" t="str">
        <f aca="false">IF((D194="i"),F194," ")</f>
        <v> </v>
      </c>
      <c r="Q194" s="180" t="str">
        <f aca="false">IF((D194="b"),F194," ")</f>
        <v> </v>
      </c>
      <c r="R194" s="180" t="str">
        <f aca="false">IF((D194="o"),F194," ")</f>
        <v> </v>
      </c>
      <c r="S194" s="180" t="str">
        <f aca="false">IF((D194="f"),F194," ")</f>
        <v> </v>
      </c>
      <c r="U194" s="371"/>
    </row>
    <row r="195" customFormat="false" ht="12.75" hidden="false" customHeight="false" outlineLevel="0" collapsed="false">
      <c r="D195" s="371" t="str">
        <f aca="false">IF((F195&lt;&gt;0),"Enter Letter"," ")</f>
        <v> </v>
      </c>
      <c r="G195" s="180" t="str">
        <f aca="false">IF((D195="d"),F195," ")</f>
        <v> </v>
      </c>
      <c r="H195" s="180" t="str">
        <f aca="false">IF((D195="h"),F195," ")</f>
        <v> </v>
      </c>
      <c r="I195" s="180" t="str">
        <f aca="false">IF((D195="r"),F195," ")</f>
        <v> </v>
      </c>
      <c r="J195" s="180" t="str">
        <f aca="false">IF((D195="t"),F195," ")</f>
        <v> </v>
      </c>
      <c r="K195" s="180" t="str">
        <f aca="false">IF((D195="e"),F195," ")</f>
        <v> </v>
      </c>
      <c r="L195" s="180" t="str">
        <f aca="false">IF((D195="p"),F195," ")</f>
        <v> </v>
      </c>
      <c r="M195" s="180" t="str">
        <f aca="false">IF((D195="g"),F195," ")</f>
        <v> </v>
      </c>
      <c r="N195" s="180" t="str">
        <f aca="false">IF((D195="a"),F195," ")</f>
        <v> </v>
      </c>
      <c r="O195" s="180" t="str">
        <f aca="false">IF((D195="l"),F195," ")</f>
        <v> </v>
      </c>
      <c r="P195" s="180" t="str">
        <f aca="false">IF((D195="i"),F195," ")</f>
        <v> </v>
      </c>
      <c r="Q195" s="180" t="str">
        <f aca="false">IF((D195="b"),F195," ")</f>
        <v> </v>
      </c>
      <c r="R195" s="180" t="str">
        <f aca="false">IF((D195="o"),F195," ")</f>
        <v> </v>
      </c>
      <c r="S195" s="180" t="str">
        <f aca="false">IF((D195="f"),F195," ")</f>
        <v> </v>
      </c>
      <c r="U195" s="371"/>
    </row>
    <row r="196" customFormat="false" ht="12.75" hidden="false" customHeight="false" outlineLevel="0" collapsed="false">
      <c r="D196" s="371" t="str">
        <f aca="false">IF((F196&lt;&gt;0),"Enter Letter"," ")</f>
        <v> </v>
      </c>
      <c r="G196" s="180" t="str">
        <f aca="false">IF((D196="d"),F196," ")</f>
        <v> </v>
      </c>
      <c r="H196" s="180" t="str">
        <f aca="false">IF((D196="h"),F196," ")</f>
        <v> </v>
      </c>
      <c r="I196" s="180" t="str">
        <f aca="false">IF((D196="r"),F196," ")</f>
        <v> </v>
      </c>
      <c r="J196" s="180" t="str">
        <f aca="false">IF((D196="t"),F196," ")</f>
        <v> </v>
      </c>
      <c r="K196" s="180" t="str">
        <f aca="false">IF((D196="e"),F196," ")</f>
        <v> </v>
      </c>
      <c r="L196" s="180" t="str">
        <f aca="false">IF((D196="p"),F196," ")</f>
        <v> </v>
      </c>
      <c r="M196" s="180" t="str">
        <f aca="false">IF((D196="g"),F196," ")</f>
        <v> </v>
      </c>
      <c r="N196" s="180" t="str">
        <f aca="false">IF((D196="a"),F196," ")</f>
        <v> </v>
      </c>
      <c r="O196" s="180" t="str">
        <f aca="false">IF((D196="l"),F196," ")</f>
        <v> </v>
      </c>
      <c r="P196" s="180" t="str">
        <f aca="false">IF((D196="i"),F196," ")</f>
        <v> </v>
      </c>
      <c r="Q196" s="180" t="str">
        <f aca="false">IF((D196="b"),F196," ")</f>
        <v> </v>
      </c>
      <c r="R196" s="180" t="str">
        <f aca="false">IF((D196="o"),F196," ")</f>
        <v> </v>
      </c>
      <c r="S196" s="180" t="str">
        <f aca="false">IF((D196="f"),F196," ")</f>
        <v> </v>
      </c>
      <c r="U196" s="371"/>
    </row>
    <row r="197" customFormat="false" ht="12.75" hidden="false" customHeight="false" outlineLevel="0" collapsed="false">
      <c r="D197" s="371" t="str">
        <f aca="false">IF((F197&lt;&gt;0),"Enter Letter"," ")</f>
        <v> </v>
      </c>
      <c r="G197" s="180" t="str">
        <f aca="false">IF((D197="d"),F197," ")</f>
        <v> </v>
      </c>
      <c r="H197" s="180" t="str">
        <f aca="false">IF((D197="h"),F197," ")</f>
        <v> </v>
      </c>
      <c r="I197" s="180" t="str">
        <f aca="false">IF((D197="r"),F197," ")</f>
        <v> </v>
      </c>
      <c r="J197" s="180" t="str">
        <f aca="false">IF((D197="t"),F197," ")</f>
        <v> </v>
      </c>
      <c r="K197" s="180" t="str">
        <f aca="false">IF((D197="e"),F197," ")</f>
        <v> </v>
      </c>
      <c r="L197" s="180" t="str">
        <f aca="false">IF((D197="p"),F197," ")</f>
        <v> </v>
      </c>
      <c r="M197" s="180" t="str">
        <f aca="false">IF((D197="g"),F197," ")</f>
        <v> </v>
      </c>
      <c r="N197" s="180" t="str">
        <f aca="false">IF((D197="a"),F197," ")</f>
        <v> </v>
      </c>
      <c r="O197" s="180" t="str">
        <f aca="false">IF((D197="l"),F197," ")</f>
        <v> </v>
      </c>
      <c r="P197" s="180" t="str">
        <f aca="false">IF((D197="i"),F197," ")</f>
        <v> </v>
      </c>
      <c r="Q197" s="180" t="str">
        <f aca="false">IF((D197="b"),F197," ")</f>
        <v> </v>
      </c>
      <c r="R197" s="180" t="str">
        <f aca="false">IF((D197="o"),F197," ")</f>
        <v> </v>
      </c>
      <c r="S197" s="180" t="str">
        <f aca="false">IF((D197="f"),F197," ")</f>
        <v> </v>
      </c>
      <c r="U197" s="371"/>
    </row>
    <row r="198" customFormat="false" ht="12.75" hidden="false" customHeight="false" outlineLevel="0" collapsed="false">
      <c r="D198" s="371" t="str">
        <f aca="false">IF((F198&lt;&gt;0),"Enter Letter"," ")</f>
        <v> </v>
      </c>
      <c r="G198" s="180" t="str">
        <f aca="false">IF((D198="d"),F198," ")</f>
        <v> </v>
      </c>
      <c r="H198" s="180" t="str">
        <f aca="false">IF((D198="h"),F198," ")</f>
        <v> </v>
      </c>
      <c r="I198" s="180" t="str">
        <f aca="false">IF((D198="r"),F198," ")</f>
        <v> </v>
      </c>
      <c r="J198" s="180" t="str">
        <f aca="false">IF((D198="t"),F198," ")</f>
        <v> </v>
      </c>
      <c r="K198" s="180" t="str">
        <f aca="false">IF((D198="e"),F198," ")</f>
        <v> </v>
      </c>
      <c r="L198" s="180" t="str">
        <f aca="false">IF((D198="p"),F198," ")</f>
        <v> </v>
      </c>
      <c r="M198" s="180" t="str">
        <f aca="false">IF((D198="g"),F198," ")</f>
        <v> </v>
      </c>
      <c r="N198" s="180" t="str">
        <f aca="false">IF((D198="a"),F198," ")</f>
        <v> </v>
      </c>
      <c r="O198" s="180" t="str">
        <f aca="false">IF((D198="l"),F198," ")</f>
        <v> </v>
      </c>
      <c r="P198" s="180" t="str">
        <f aca="false">IF((D198="i"),F198," ")</f>
        <v> </v>
      </c>
      <c r="Q198" s="180" t="str">
        <f aca="false">IF((D198="b"),F198," ")</f>
        <v> </v>
      </c>
      <c r="R198" s="180" t="str">
        <f aca="false">IF((D198="o"),F198," ")</f>
        <v> </v>
      </c>
      <c r="S198" s="180" t="str">
        <f aca="false">IF((D198="f"),F198," ")</f>
        <v> </v>
      </c>
      <c r="U198" s="371"/>
    </row>
    <row r="199" customFormat="false" ht="12.75" hidden="false" customHeight="false" outlineLevel="0" collapsed="false">
      <c r="D199" s="371" t="str">
        <f aca="false">IF((F199&lt;&gt;0),"Enter Letter"," ")</f>
        <v> </v>
      </c>
      <c r="G199" s="180" t="str">
        <f aca="false">IF((D199="d"),F199," ")</f>
        <v> </v>
      </c>
      <c r="H199" s="180" t="str">
        <f aca="false">IF((D199="h"),F199," ")</f>
        <v> </v>
      </c>
      <c r="I199" s="180" t="str">
        <f aca="false">IF((D199="r"),F199," ")</f>
        <v> </v>
      </c>
      <c r="J199" s="180" t="str">
        <f aca="false">IF((D199="t"),F199," ")</f>
        <v> </v>
      </c>
      <c r="K199" s="180" t="str">
        <f aca="false">IF((D199="e"),F199," ")</f>
        <v> </v>
      </c>
      <c r="L199" s="180" t="str">
        <f aca="false">IF((D199="p"),F199," ")</f>
        <v> </v>
      </c>
      <c r="M199" s="180" t="str">
        <f aca="false">IF((D199="g"),F199," ")</f>
        <v> </v>
      </c>
      <c r="N199" s="180" t="str">
        <f aca="false">IF((D199="a"),F199," ")</f>
        <v> </v>
      </c>
      <c r="O199" s="180" t="str">
        <f aca="false">IF((D199="l"),F199," ")</f>
        <v> </v>
      </c>
      <c r="P199" s="180" t="str">
        <f aca="false">IF((D199="i"),F199," ")</f>
        <v> </v>
      </c>
      <c r="Q199" s="180" t="str">
        <f aca="false">IF((D199="b"),F199," ")</f>
        <v> </v>
      </c>
      <c r="R199" s="180" t="str">
        <f aca="false">IF((D199="o"),F199," ")</f>
        <v> </v>
      </c>
      <c r="S199" s="180" t="str">
        <f aca="false">IF((D199="f"),F199," ")</f>
        <v> </v>
      </c>
      <c r="U199" s="371"/>
    </row>
    <row r="200" customFormat="false" ht="12.75" hidden="false" customHeight="false" outlineLevel="0" collapsed="false">
      <c r="D200" s="371" t="str">
        <f aca="false">IF((F200&lt;&gt;0),"Enter Letter"," ")</f>
        <v> </v>
      </c>
      <c r="G200" s="180" t="str">
        <f aca="false">IF((D200="d"),F200," ")</f>
        <v> </v>
      </c>
      <c r="H200" s="180" t="str">
        <f aca="false">IF((D200="h"),F200," ")</f>
        <v> </v>
      </c>
      <c r="I200" s="180" t="str">
        <f aca="false">IF((D200="r"),F200," ")</f>
        <v> </v>
      </c>
      <c r="J200" s="180" t="str">
        <f aca="false">IF((D200="t"),F200," ")</f>
        <v> </v>
      </c>
      <c r="K200" s="180" t="str">
        <f aca="false">IF((D200="e"),F200," ")</f>
        <v> </v>
      </c>
      <c r="L200" s="180" t="str">
        <f aca="false">IF((D200="p"),F200," ")</f>
        <v> </v>
      </c>
      <c r="M200" s="180" t="str">
        <f aca="false">IF((D200="g"),F200," ")</f>
        <v> </v>
      </c>
      <c r="N200" s="180" t="str">
        <f aca="false">IF((D200="a"),F200," ")</f>
        <v> </v>
      </c>
      <c r="O200" s="180" t="str">
        <f aca="false">IF((D200="l"),F200," ")</f>
        <v> </v>
      </c>
      <c r="P200" s="180" t="str">
        <f aca="false">IF((D200="i"),F200," ")</f>
        <v> </v>
      </c>
      <c r="Q200" s="180" t="str">
        <f aca="false">IF((D200="b"),F200," ")</f>
        <v> </v>
      </c>
      <c r="R200" s="180" t="str">
        <f aca="false">IF((D200="o"),F200," ")</f>
        <v> </v>
      </c>
      <c r="S200" s="180" t="str">
        <f aca="false">IF((D200="f"),F200," ")</f>
        <v> </v>
      </c>
      <c r="U200" s="371"/>
    </row>
    <row r="201" customFormat="false" ht="12.75" hidden="false" customHeight="false" outlineLevel="0" collapsed="false">
      <c r="D201" s="371" t="str">
        <f aca="false">IF((F201&lt;&gt;0),"Enter Letter"," ")</f>
        <v> </v>
      </c>
      <c r="G201" s="180" t="str">
        <f aca="false">IF((D201="d"),F201," ")</f>
        <v> </v>
      </c>
      <c r="H201" s="180" t="str">
        <f aca="false">IF((D201="h"),F201," ")</f>
        <v> </v>
      </c>
      <c r="I201" s="180" t="str">
        <f aca="false">IF((D201="r"),F201," ")</f>
        <v> </v>
      </c>
      <c r="J201" s="180" t="str">
        <f aca="false">IF((D201="t"),F201," ")</f>
        <v> </v>
      </c>
      <c r="K201" s="180" t="str">
        <f aca="false">IF((D201="e"),F201," ")</f>
        <v> </v>
      </c>
      <c r="L201" s="180" t="str">
        <f aca="false">IF((D201="p"),F201," ")</f>
        <v> </v>
      </c>
      <c r="M201" s="180" t="str">
        <f aca="false">IF((D201="g"),F201," ")</f>
        <v> </v>
      </c>
      <c r="N201" s="180" t="str">
        <f aca="false">IF((D201="a"),F201," ")</f>
        <v> </v>
      </c>
      <c r="O201" s="180" t="str">
        <f aca="false">IF((D201="l"),F201," ")</f>
        <v> </v>
      </c>
      <c r="P201" s="180" t="str">
        <f aca="false">IF((D201="i"),F201," ")</f>
        <v> </v>
      </c>
      <c r="Q201" s="180" t="str">
        <f aca="false">IF((D201="b"),F201," ")</f>
        <v> </v>
      </c>
      <c r="R201" s="180" t="str">
        <f aca="false">IF((D201="o"),F201," ")</f>
        <v> </v>
      </c>
      <c r="S201" s="180" t="str">
        <f aca="false">IF((D201="f"),F201," ")</f>
        <v> </v>
      </c>
      <c r="U201" s="371"/>
    </row>
    <row r="202" customFormat="false" ht="12.75" hidden="false" customHeight="false" outlineLevel="0" collapsed="false">
      <c r="D202" s="371" t="str">
        <f aca="false">IF((F202&lt;&gt;0),"Enter Letter"," ")</f>
        <v> </v>
      </c>
      <c r="G202" s="180" t="str">
        <f aca="false">IF((D202="d"),F202," ")</f>
        <v> </v>
      </c>
      <c r="H202" s="180" t="str">
        <f aca="false">IF((D202="h"),F202," ")</f>
        <v> </v>
      </c>
      <c r="I202" s="180" t="str">
        <f aca="false">IF((D202="r"),F202," ")</f>
        <v> </v>
      </c>
      <c r="J202" s="180" t="str">
        <f aca="false">IF((D202="t"),F202," ")</f>
        <v> </v>
      </c>
      <c r="K202" s="180" t="str">
        <f aca="false">IF((D202="e"),F202," ")</f>
        <v> </v>
      </c>
      <c r="L202" s="180" t="str">
        <f aca="false">IF((D202="p"),F202," ")</f>
        <v> </v>
      </c>
      <c r="M202" s="180" t="str">
        <f aca="false">IF((D202="g"),F202," ")</f>
        <v> </v>
      </c>
      <c r="N202" s="180" t="str">
        <f aca="false">IF((D202="a"),F202," ")</f>
        <v> </v>
      </c>
      <c r="O202" s="180" t="str">
        <f aca="false">IF((D202="l"),F202," ")</f>
        <v> </v>
      </c>
      <c r="P202" s="180" t="str">
        <f aca="false">IF((D202="i"),F202," ")</f>
        <v> </v>
      </c>
      <c r="Q202" s="180" t="str">
        <f aca="false">IF((D202="b"),F202," ")</f>
        <v> </v>
      </c>
      <c r="R202" s="180" t="str">
        <f aca="false">IF((D202="o"),F202," ")</f>
        <v> </v>
      </c>
      <c r="S202" s="180" t="str">
        <f aca="false">IF((D202="f"),F202," ")</f>
        <v> </v>
      </c>
      <c r="U202" s="371"/>
    </row>
    <row r="203" customFormat="false" ht="12.75" hidden="false" customHeight="false" outlineLevel="0" collapsed="false">
      <c r="D203" s="371" t="str">
        <f aca="false">IF((F203&lt;&gt;0),"Enter Letter"," ")</f>
        <v> </v>
      </c>
      <c r="G203" s="180" t="str">
        <f aca="false">IF((D203="d"),F203," ")</f>
        <v> </v>
      </c>
      <c r="H203" s="180" t="str">
        <f aca="false">IF((D203="h"),F203," ")</f>
        <v> </v>
      </c>
      <c r="I203" s="180" t="str">
        <f aca="false">IF((D203="r"),F203," ")</f>
        <v> </v>
      </c>
      <c r="J203" s="180" t="str">
        <f aca="false">IF((D203="t"),F203," ")</f>
        <v> </v>
      </c>
      <c r="K203" s="180" t="str">
        <f aca="false">IF((D203="e"),F203," ")</f>
        <v> </v>
      </c>
      <c r="L203" s="180" t="str">
        <f aca="false">IF((D203="p"),F203," ")</f>
        <v> </v>
      </c>
      <c r="M203" s="180" t="str">
        <f aca="false">IF((D203="g"),F203," ")</f>
        <v> </v>
      </c>
      <c r="N203" s="180" t="str">
        <f aca="false">IF((D203="a"),F203," ")</f>
        <v> </v>
      </c>
      <c r="O203" s="180" t="str">
        <f aca="false">IF((D203="l"),F203," ")</f>
        <v> </v>
      </c>
      <c r="P203" s="180" t="str">
        <f aca="false">IF((D203="i"),F203," ")</f>
        <v> </v>
      </c>
      <c r="Q203" s="180" t="str">
        <f aca="false">IF((D203="b"),F203," ")</f>
        <v> </v>
      </c>
      <c r="R203" s="180" t="str">
        <f aca="false">IF((D203="o"),F203," ")</f>
        <v> </v>
      </c>
      <c r="S203" s="180" t="str">
        <f aca="false">IF((D203="f"),F203," ")</f>
        <v> </v>
      </c>
      <c r="U203" s="371"/>
    </row>
    <row r="204" customFormat="false" ht="12.75" hidden="false" customHeight="false" outlineLevel="0" collapsed="false">
      <c r="D204" s="371" t="str">
        <f aca="false">IF((F204&lt;&gt;0),"Enter Letter"," ")</f>
        <v> </v>
      </c>
      <c r="G204" s="180" t="str">
        <f aca="false">IF((D204="d"),F204," ")</f>
        <v> </v>
      </c>
      <c r="H204" s="180" t="str">
        <f aca="false">IF((D204="h"),F204," ")</f>
        <v> </v>
      </c>
      <c r="I204" s="180" t="str">
        <f aca="false">IF((D204="r"),F204," ")</f>
        <v> </v>
      </c>
      <c r="J204" s="180" t="str">
        <f aca="false">IF((D204="t"),F204," ")</f>
        <v> </v>
      </c>
      <c r="K204" s="180" t="str">
        <f aca="false">IF((D204="e"),F204," ")</f>
        <v> </v>
      </c>
      <c r="L204" s="180" t="str">
        <f aca="false">IF((D204="p"),F204," ")</f>
        <v> </v>
      </c>
      <c r="M204" s="180" t="str">
        <f aca="false">IF((D204="g"),F204," ")</f>
        <v> </v>
      </c>
      <c r="N204" s="180" t="str">
        <f aca="false">IF((D204="a"),F204," ")</f>
        <v> </v>
      </c>
      <c r="O204" s="180" t="str">
        <f aca="false">IF((D204="l"),F204," ")</f>
        <v> </v>
      </c>
      <c r="P204" s="180" t="str">
        <f aca="false">IF((D204="i"),F204," ")</f>
        <v> </v>
      </c>
      <c r="Q204" s="180" t="str">
        <f aca="false">IF((D204="b"),F204," ")</f>
        <v> </v>
      </c>
      <c r="R204" s="180" t="str">
        <f aca="false">IF((D204="o"),F204," ")</f>
        <v> </v>
      </c>
      <c r="S204" s="180" t="str">
        <f aca="false">IF((D204="f"),F204," ")</f>
        <v> </v>
      </c>
      <c r="U204" s="371"/>
    </row>
    <row r="205" customFormat="false" ht="12.75" hidden="false" customHeight="false" outlineLevel="0" collapsed="false">
      <c r="U205" s="371"/>
    </row>
    <row r="206" customFormat="false" ht="12.75" hidden="false" customHeight="false" outlineLevel="0" collapsed="false">
      <c r="U206" s="371"/>
    </row>
    <row r="207" customFormat="false" ht="12.75" hidden="false" customHeight="false" outlineLevel="0" collapsed="false">
      <c r="U207" s="371"/>
    </row>
    <row r="208" customFormat="false" ht="12.75" hidden="false" customHeight="false" outlineLevel="0" collapsed="false">
      <c r="U208" s="371"/>
    </row>
    <row r="209" customFormat="false" ht="12.75" hidden="false" customHeight="false" outlineLevel="0" collapsed="false">
      <c r="U209" s="371"/>
    </row>
    <row r="210" customFormat="false" ht="12.75" hidden="false" customHeight="false" outlineLevel="0" collapsed="false">
      <c r="U210" s="371"/>
    </row>
    <row r="211" customFormat="false" ht="12.75" hidden="false" customHeight="false" outlineLevel="0" collapsed="false">
      <c r="U211" s="371"/>
    </row>
    <row r="212" customFormat="false" ht="12.75" hidden="false" customHeight="false" outlineLevel="0" collapsed="false">
      <c r="U212" s="371"/>
    </row>
    <row r="213" customFormat="false" ht="12.75" hidden="false" customHeight="false" outlineLevel="0" collapsed="false">
      <c r="U213" s="371"/>
    </row>
    <row r="214" customFormat="false" ht="12.75" hidden="false" customHeight="false" outlineLevel="0" collapsed="false">
      <c r="U214" s="371"/>
    </row>
    <row r="215" customFormat="false" ht="12.75" hidden="false" customHeight="false" outlineLevel="0" collapsed="false">
      <c r="U215" s="371"/>
    </row>
    <row r="216" customFormat="false" ht="12.75" hidden="false" customHeight="false" outlineLevel="0" collapsed="false">
      <c r="U216" s="371"/>
    </row>
    <row r="217" customFormat="false" ht="12.75" hidden="false" customHeight="false" outlineLevel="0" collapsed="false">
      <c r="U217" s="371"/>
    </row>
    <row r="218" customFormat="false" ht="12.75" hidden="false" customHeight="false" outlineLevel="0" collapsed="false">
      <c r="U218" s="371"/>
    </row>
    <row r="219" customFormat="false" ht="12.75" hidden="false" customHeight="false" outlineLevel="0" collapsed="false">
      <c r="U219" s="371"/>
    </row>
    <row r="220" customFormat="false" ht="12.75" hidden="false" customHeight="false" outlineLevel="0" collapsed="false">
      <c r="U220" s="371"/>
    </row>
    <row r="221" customFormat="false" ht="12.75" hidden="false" customHeight="false" outlineLevel="0" collapsed="false">
      <c r="U221" s="371"/>
    </row>
    <row r="222" customFormat="false" ht="12.75" hidden="false" customHeight="false" outlineLevel="0" collapsed="false">
      <c r="U222" s="371"/>
    </row>
    <row r="223" customFormat="false" ht="12.75" hidden="false" customHeight="false" outlineLevel="0" collapsed="false">
      <c r="U223" s="371"/>
    </row>
    <row r="224" customFormat="false" ht="12.75" hidden="false" customHeight="false" outlineLevel="0" collapsed="false">
      <c r="U224" s="371"/>
    </row>
    <row r="225" customFormat="false" ht="12.75" hidden="false" customHeight="false" outlineLevel="0" collapsed="false">
      <c r="U225" s="371"/>
    </row>
    <row r="226" customFormat="false" ht="12.75" hidden="false" customHeight="false" outlineLevel="0" collapsed="false">
      <c r="U226" s="371"/>
    </row>
    <row r="227" customFormat="false" ht="12.75" hidden="false" customHeight="false" outlineLevel="0" collapsed="false">
      <c r="U227" s="371"/>
    </row>
    <row r="228" customFormat="false" ht="12.75" hidden="false" customHeight="false" outlineLevel="0" collapsed="false">
      <c r="U228" s="371"/>
    </row>
    <row r="229" customFormat="false" ht="12.75" hidden="false" customHeight="false" outlineLevel="0" collapsed="false">
      <c r="U229" s="371"/>
    </row>
    <row r="230" customFormat="false" ht="12.75" hidden="false" customHeight="false" outlineLevel="0" collapsed="false">
      <c r="U230" s="371"/>
    </row>
    <row r="231" customFormat="false" ht="12.75" hidden="false" customHeight="false" outlineLevel="0" collapsed="false">
      <c r="U231" s="371"/>
    </row>
    <row r="232" customFormat="false" ht="12.75" hidden="false" customHeight="false" outlineLevel="0" collapsed="false">
      <c r="U232" s="371"/>
    </row>
    <row r="233" customFormat="false" ht="12.75" hidden="false" customHeight="false" outlineLevel="0" collapsed="false">
      <c r="U233" s="371"/>
    </row>
    <row r="234" customFormat="false" ht="12.75" hidden="false" customHeight="false" outlineLevel="0" collapsed="false">
      <c r="U234" s="371"/>
    </row>
    <row r="235" customFormat="false" ht="12.75" hidden="false" customHeight="false" outlineLevel="0" collapsed="false">
      <c r="U235" s="371"/>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customHeight="false" zeroHeight="false" outlineLevelRow="0" outlineLevelCol="0"/>
  <cols>
    <col collapsed="false" customWidth="true" hidden="false" outlineLevel="0" max="1" min="1" style="344" width="9.82"/>
    <col collapsed="false" customWidth="true" hidden="false" outlineLevel="0" max="2" min="2" style="345" width="14.66"/>
    <col collapsed="false" customWidth="true" hidden="false" outlineLevel="0" max="3" min="3" style="180" width="13.66"/>
    <col collapsed="false" customWidth="true" hidden="false" outlineLevel="0" max="4" min="4" style="346" width="13.66"/>
    <col collapsed="false" customWidth="true" hidden="false" outlineLevel="0" max="5" min="5" style="347" width="13.66"/>
    <col collapsed="false" customWidth="true" hidden="false" outlineLevel="0" max="6" min="6" style="180" width="13.66"/>
    <col collapsed="false" customWidth="false" hidden="false" outlineLevel="0" max="257" min="7" style="180" width="9.15"/>
  </cols>
  <sheetData>
    <row r="1" customFormat="false" ht="12.75" hidden="false" customHeight="true" outlineLevel="0" collapsed="false">
      <c r="A1" s="348" t="s">
        <v>240</v>
      </c>
      <c r="B1" s="349" t="s">
        <v>241</v>
      </c>
      <c r="C1" s="350" t="s">
        <v>242</v>
      </c>
      <c r="D1" s="351" t="n">
        <f aca="false">SUM(D4:D47)</f>
        <v>0</v>
      </c>
      <c r="E1" s="350" t="n">
        <f aca="false">SUM(E4:E47)/2</f>
        <v>3000</v>
      </c>
      <c r="F1" s="350" t="n">
        <f aca="false">SUM(F4:F47)/2</f>
        <v>0</v>
      </c>
      <c r="G1" s="352"/>
      <c r="H1" s="352"/>
      <c r="I1" s="352"/>
      <c r="J1" s="352"/>
      <c r="K1" s="352"/>
      <c r="L1" s="352"/>
      <c r="M1" s="352"/>
      <c r="N1" s="352"/>
      <c r="O1" s="352"/>
      <c r="P1" s="352"/>
      <c r="Q1" s="352"/>
      <c r="R1" s="352"/>
      <c r="S1" s="352"/>
      <c r="T1" s="352"/>
      <c r="U1" s="352"/>
      <c r="V1" s="352"/>
      <c r="W1" s="352"/>
      <c r="X1" s="352"/>
      <c r="Y1" s="352"/>
      <c r="Z1" s="352"/>
      <c r="AA1" s="352"/>
      <c r="AB1" s="352"/>
      <c r="AC1" s="352"/>
      <c r="AD1" s="352"/>
      <c r="AE1" s="352"/>
      <c r="AF1" s="352"/>
      <c r="AG1" s="352"/>
      <c r="AH1" s="352"/>
      <c r="AI1" s="352"/>
      <c r="AJ1" s="352"/>
      <c r="AK1" s="352"/>
      <c r="AL1" s="352"/>
      <c r="AM1" s="352"/>
      <c r="AN1" s="352"/>
      <c r="AO1" s="352"/>
      <c r="AP1" s="352"/>
      <c r="AQ1" s="352"/>
      <c r="AR1" s="352"/>
      <c r="AS1" s="352"/>
      <c r="AT1" s="352"/>
      <c r="AU1" s="352"/>
      <c r="AV1" s="352"/>
      <c r="AW1" s="352"/>
      <c r="AX1" s="352"/>
      <c r="AY1" s="352"/>
      <c r="AZ1" s="352"/>
      <c r="BA1" s="352"/>
      <c r="BB1" s="352"/>
      <c r="BC1" s="352"/>
      <c r="BD1" s="352"/>
      <c r="BE1" s="352"/>
      <c r="BF1" s="352"/>
      <c r="BG1" s="352"/>
      <c r="BH1" s="352"/>
      <c r="BI1" s="352"/>
      <c r="BJ1" s="352"/>
      <c r="BK1" s="352"/>
      <c r="BL1" s="352"/>
      <c r="BM1" s="352"/>
      <c r="BN1" s="352"/>
      <c r="BO1" s="352"/>
      <c r="BP1" s="352"/>
      <c r="BQ1" s="352"/>
      <c r="BR1" s="352"/>
      <c r="BS1" s="352"/>
      <c r="BT1" s="352"/>
      <c r="BU1" s="352"/>
      <c r="BV1" s="352"/>
      <c r="BW1" s="352"/>
      <c r="BX1" s="352"/>
      <c r="BY1" s="352"/>
      <c r="BZ1" s="352"/>
      <c r="CA1" s="352"/>
      <c r="CB1" s="352"/>
      <c r="CC1" s="352"/>
      <c r="CD1" s="352"/>
      <c r="CE1" s="352"/>
      <c r="CF1" s="352"/>
      <c r="CG1" s="352"/>
      <c r="CH1" s="352"/>
      <c r="CI1" s="352"/>
      <c r="CJ1" s="352"/>
      <c r="CK1" s="352"/>
      <c r="CL1" s="352"/>
      <c r="CM1" s="352"/>
      <c r="CN1" s="352"/>
      <c r="CO1" s="352"/>
      <c r="CP1" s="352"/>
      <c r="CQ1" s="352"/>
      <c r="CR1" s="352"/>
      <c r="CS1" s="352"/>
      <c r="CT1" s="352"/>
      <c r="CU1" s="352"/>
      <c r="CV1" s="352"/>
      <c r="CW1" s="352"/>
      <c r="CX1" s="352"/>
      <c r="CY1" s="352"/>
      <c r="CZ1" s="352"/>
      <c r="DA1" s="352"/>
      <c r="DB1" s="352"/>
      <c r="DC1" s="352"/>
      <c r="DD1" s="352"/>
      <c r="DE1" s="352"/>
      <c r="DF1" s="352"/>
      <c r="DG1" s="352"/>
      <c r="DH1" s="352"/>
      <c r="DI1" s="352"/>
      <c r="DJ1" s="352"/>
      <c r="DK1" s="352"/>
      <c r="DL1" s="352"/>
      <c r="DM1" s="352"/>
      <c r="DN1" s="352"/>
      <c r="DO1" s="352"/>
      <c r="DP1" s="352"/>
      <c r="DQ1" s="352"/>
      <c r="DR1" s="352"/>
      <c r="DS1" s="352"/>
      <c r="DT1" s="352"/>
      <c r="DU1" s="352"/>
      <c r="DV1" s="352"/>
      <c r="DW1" s="352"/>
      <c r="DX1" s="352"/>
      <c r="DY1" s="352"/>
      <c r="DZ1" s="352"/>
      <c r="EA1" s="352"/>
      <c r="EB1" s="352"/>
      <c r="EC1" s="352"/>
      <c r="ED1" s="352"/>
      <c r="EE1" s="352"/>
      <c r="EF1" s="352"/>
      <c r="EG1" s="352"/>
      <c r="EH1" s="352"/>
      <c r="EI1" s="352"/>
      <c r="EJ1" s="352"/>
      <c r="EK1" s="352"/>
      <c r="EL1" s="352"/>
      <c r="EM1" s="352"/>
      <c r="EN1" s="352"/>
      <c r="EO1" s="352"/>
      <c r="EP1" s="352"/>
      <c r="EQ1" s="352"/>
      <c r="ER1" s="352"/>
      <c r="ES1" s="352"/>
      <c r="ET1" s="352"/>
      <c r="EU1" s="352"/>
      <c r="EV1" s="352"/>
      <c r="EW1" s="352"/>
      <c r="EX1" s="352"/>
      <c r="EY1" s="352"/>
      <c r="EZ1" s="352"/>
      <c r="FA1" s="352"/>
      <c r="FB1" s="352"/>
      <c r="FC1" s="352"/>
      <c r="FD1" s="352"/>
      <c r="FE1" s="352"/>
      <c r="FF1" s="352"/>
      <c r="FG1" s="352"/>
      <c r="FH1" s="352"/>
      <c r="FI1" s="352"/>
      <c r="FJ1" s="352"/>
      <c r="FK1" s="352"/>
      <c r="FL1" s="352"/>
      <c r="FM1" s="352"/>
      <c r="FN1" s="352"/>
      <c r="FO1" s="352"/>
      <c r="FP1" s="352"/>
      <c r="FQ1" s="352"/>
      <c r="FR1" s="352"/>
      <c r="FS1" s="352"/>
      <c r="FT1" s="352"/>
      <c r="FU1" s="352"/>
      <c r="FV1" s="352"/>
      <c r="FW1" s="352"/>
      <c r="FX1" s="352"/>
      <c r="FY1" s="352"/>
      <c r="FZ1" s="352"/>
      <c r="GA1" s="352"/>
      <c r="GB1" s="352"/>
      <c r="GC1" s="352"/>
      <c r="GD1" s="352"/>
      <c r="GE1" s="352"/>
      <c r="GF1" s="352"/>
      <c r="GG1" s="352"/>
      <c r="GH1" s="352"/>
      <c r="GI1" s="352"/>
      <c r="GJ1" s="352"/>
      <c r="GK1" s="352"/>
      <c r="GL1" s="352"/>
      <c r="GM1" s="352"/>
      <c r="GN1" s="352"/>
      <c r="GO1" s="352"/>
      <c r="GP1" s="352"/>
      <c r="GQ1" s="352"/>
      <c r="GR1" s="352"/>
      <c r="GS1" s="352"/>
      <c r="GT1" s="352"/>
      <c r="GU1" s="352"/>
      <c r="GV1" s="352"/>
      <c r="GW1" s="352"/>
      <c r="GX1" s="352"/>
      <c r="GY1" s="352"/>
      <c r="GZ1" s="352"/>
      <c r="HA1" s="352"/>
      <c r="HB1" s="352"/>
      <c r="HC1" s="352"/>
      <c r="HD1" s="352"/>
      <c r="HE1" s="352"/>
      <c r="HF1" s="352"/>
      <c r="HG1" s="352"/>
      <c r="HH1" s="352"/>
      <c r="HI1" s="352"/>
      <c r="HJ1" s="352"/>
      <c r="HK1" s="352"/>
      <c r="HL1" s="352"/>
      <c r="HM1" s="352"/>
      <c r="HN1" s="352"/>
      <c r="HO1" s="352"/>
      <c r="HP1" s="352"/>
      <c r="HQ1" s="352"/>
      <c r="HR1" s="352"/>
      <c r="HS1" s="352"/>
      <c r="HT1" s="352"/>
      <c r="HU1" s="352"/>
      <c r="HV1" s="352"/>
      <c r="HW1" s="352"/>
      <c r="HX1" s="352"/>
      <c r="HY1" s="352"/>
      <c r="HZ1" s="352"/>
      <c r="IA1" s="352"/>
      <c r="IB1" s="352"/>
      <c r="IC1" s="352"/>
      <c r="ID1" s="352"/>
      <c r="IE1" s="352"/>
      <c r="IF1" s="352"/>
      <c r="IG1" s="352"/>
      <c r="IH1" s="352"/>
      <c r="II1" s="352"/>
      <c r="IJ1" s="352"/>
      <c r="IK1" s="352"/>
      <c r="IL1" s="352"/>
      <c r="IM1" s="352"/>
      <c r="IN1" s="352"/>
      <c r="IO1" s="352"/>
      <c r="IP1" s="352"/>
      <c r="IQ1" s="352"/>
      <c r="IR1" s="352"/>
      <c r="IS1" s="352"/>
      <c r="IT1" s="352"/>
      <c r="IU1" s="352"/>
      <c r="IV1" s="352"/>
      <c r="IW1" s="352"/>
    </row>
    <row r="2" customFormat="false" ht="12.75" hidden="false" customHeight="true" outlineLevel="0" collapsed="false">
      <c r="A2" s="348"/>
      <c r="B2" s="349"/>
      <c r="C2" s="353" t="s">
        <v>243</v>
      </c>
      <c r="D2" s="354" t="s">
        <v>244</v>
      </c>
      <c r="E2" s="353" t="s">
        <v>245</v>
      </c>
      <c r="F2" s="353" t="s">
        <v>246</v>
      </c>
      <c r="G2" s="352"/>
      <c r="H2" s="352"/>
      <c r="I2" s="352"/>
      <c r="J2" s="352"/>
      <c r="K2" s="352"/>
      <c r="L2" s="352"/>
      <c r="M2" s="352"/>
      <c r="N2" s="352"/>
      <c r="O2" s="352"/>
      <c r="P2" s="352"/>
      <c r="Q2" s="352"/>
      <c r="R2" s="352"/>
      <c r="S2" s="352"/>
      <c r="T2" s="352"/>
      <c r="U2" s="352"/>
      <c r="V2" s="352"/>
      <c r="W2" s="352"/>
      <c r="X2" s="352"/>
      <c r="Y2" s="352"/>
      <c r="Z2" s="352"/>
      <c r="AA2" s="352"/>
      <c r="AB2" s="352"/>
      <c r="AC2" s="352"/>
      <c r="AD2" s="352"/>
      <c r="AE2" s="352"/>
      <c r="AF2" s="352"/>
      <c r="AG2" s="352"/>
      <c r="AH2" s="352"/>
      <c r="AI2" s="352"/>
      <c r="AJ2" s="352"/>
      <c r="AK2" s="352"/>
      <c r="AL2" s="352"/>
      <c r="AM2" s="352"/>
      <c r="AN2" s="352"/>
      <c r="AO2" s="352"/>
      <c r="AP2" s="352"/>
      <c r="AQ2" s="352"/>
      <c r="AR2" s="352"/>
      <c r="AS2" s="352"/>
      <c r="AT2" s="352"/>
      <c r="AU2" s="352"/>
      <c r="AV2" s="352"/>
      <c r="AW2" s="352"/>
      <c r="AX2" s="352"/>
      <c r="AY2" s="352"/>
      <c r="AZ2" s="352"/>
      <c r="BA2" s="352"/>
      <c r="BB2" s="352"/>
      <c r="BC2" s="352"/>
      <c r="BD2" s="352"/>
      <c r="BE2" s="352"/>
      <c r="BF2" s="352"/>
      <c r="BG2" s="352"/>
      <c r="BH2" s="352"/>
      <c r="BI2" s="352"/>
      <c r="BJ2" s="352"/>
      <c r="BK2" s="352"/>
      <c r="BL2" s="352"/>
      <c r="BM2" s="352"/>
      <c r="BN2" s="352"/>
      <c r="BO2" s="352"/>
      <c r="BP2" s="352"/>
      <c r="BQ2" s="352"/>
      <c r="BR2" s="352"/>
      <c r="BS2" s="352"/>
      <c r="BT2" s="352"/>
      <c r="BU2" s="352"/>
      <c r="BV2" s="352"/>
      <c r="BW2" s="352"/>
      <c r="BX2" s="352"/>
      <c r="BY2" s="352"/>
      <c r="BZ2" s="352"/>
      <c r="CA2" s="352"/>
      <c r="CB2" s="352"/>
      <c r="CC2" s="352"/>
      <c r="CD2" s="352"/>
      <c r="CE2" s="352"/>
      <c r="CF2" s="352"/>
      <c r="CG2" s="352"/>
      <c r="CH2" s="352"/>
      <c r="CI2" s="352"/>
      <c r="CJ2" s="352"/>
      <c r="CK2" s="352"/>
      <c r="CL2" s="352"/>
      <c r="CM2" s="352"/>
      <c r="CN2" s="352"/>
      <c r="CO2" s="352"/>
      <c r="CP2" s="352"/>
      <c r="CQ2" s="352"/>
      <c r="CR2" s="352"/>
      <c r="CS2" s="352"/>
      <c r="CT2" s="352"/>
      <c r="CU2" s="352"/>
      <c r="CV2" s="352"/>
      <c r="CW2" s="352"/>
      <c r="CX2" s="352"/>
      <c r="CY2" s="352"/>
      <c r="CZ2" s="352"/>
      <c r="DA2" s="352"/>
      <c r="DB2" s="352"/>
      <c r="DC2" s="352"/>
      <c r="DD2" s="352"/>
      <c r="DE2" s="352"/>
      <c r="DF2" s="352"/>
      <c r="DG2" s="352"/>
      <c r="DH2" s="352"/>
      <c r="DI2" s="352"/>
      <c r="DJ2" s="352"/>
      <c r="DK2" s="352"/>
      <c r="DL2" s="352"/>
      <c r="DM2" s="352"/>
      <c r="DN2" s="352"/>
      <c r="DO2" s="352"/>
      <c r="DP2" s="352"/>
      <c r="DQ2" s="352"/>
      <c r="DR2" s="352"/>
      <c r="DS2" s="352"/>
      <c r="DT2" s="352"/>
      <c r="DU2" s="352"/>
      <c r="DV2" s="352"/>
      <c r="DW2" s="352"/>
      <c r="DX2" s="352"/>
      <c r="DY2" s="352"/>
      <c r="DZ2" s="352"/>
      <c r="EA2" s="352"/>
      <c r="EB2" s="352"/>
      <c r="EC2" s="352"/>
      <c r="ED2" s="352"/>
      <c r="EE2" s="352"/>
      <c r="EF2" s="352"/>
      <c r="EG2" s="352"/>
      <c r="EH2" s="352"/>
      <c r="EI2" s="352"/>
      <c r="EJ2" s="352"/>
      <c r="EK2" s="352"/>
      <c r="EL2" s="352"/>
      <c r="EM2" s="352"/>
      <c r="EN2" s="352"/>
      <c r="EO2" s="352"/>
      <c r="EP2" s="352"/>
      <c r="EQ2" s="352"/>
      <c r="ER2" s="352"/>
      <c r="ES2" s="352"/>
      <c r="ET2" s="352"/>
      <c r="EU2" s="352"/>
      <c r="EV2" s="352"/>
      <c r="EW2" s="352"/>
      <c r="EX2" s="352"/>
      <c r="EY2" s="352"/>
      <c r="EZ2" s="352"/>
      <c r="FA2" s="352"/>
      <c r="FB2" s="352"/>
      <c r="FC2" s="352"/>
      <c r="FD2" s="352"/>
      <c r="FE2" s="352"/>
      <c r="FF2" s="352"/>
      <c r="FG2" s="352"/>
      <c r="FH2" s="352"/>
      <c r="FI2" s="352"/>
      <c r="FJ2" s="352"/>
      <c r="FK2" s="352"/>
      <c r="FL2" s="352"/>
      <c r="FM2" s="352"/>
      <c r="FN2" s="352"/>
      <c r="FO2" s="352"/>
      <c r="FP2" s="352"/>
      <c r="FQ2" s="352"/>
      <c r="FR2" s="352"/>
      <c r="FS2" s="352"/>
      <c r="FT2" s="352"/>
      <c r="FU2" s="352"/>
      <c r="FV2" s="352"/>
      <c r="FW2" s="352"/>
      <c r="FX2" s="352"/>
      <c r="FY2" s="352"/>
      <c r="FZ2" s="352"/>
      <c r="GA2" s="352"/>
      <c r="GB2" s="352"/>
      <c r="GC2" s="352"/>
      <c r="GD2" s="352"/>
      <c r="GE2" s="352"/>
      <c r="GF2" s="352"/>
      <c r="GG2" s="352"/>
      <c r="GH2" s="352"/>
      <c r="GI2" s="352"/>
      <c r="GJ2" s="352"/>
      <c r="GK2" s="352"/>
      <c r="GL2" s="352"/>
      <c r="GM2" s="352"/>
      <c r="GN2" s="352"/>
      <c r="GO2" s="352"/>
      <c r="GP2" s="352"/>
      <c r="GQ2" s="352"/>
      <c r="GR2" s="352"/>
      <c r="GS2" s="352"/>
      <c r="GT2" s="352"/>
      <c r="GU2" s="352"/>
      <c r="GV2" s="352"/>
      <c r="GW2" s="352"/>
      <c r="GX2" s="352"/>
      <c r="GY2" s="352"/>
      <c r="GZ2" s="352"/>
      <c r="HA2" s="352"/>
      <c r="HB2" s="352"/>
      <c r="HC2" s="352"/>
      <c r="HD2" s="352"/>
      <c r="HE2" s="352"/>
      <c r="HF2" s="352"/>
      <c r="HG2" s="352"/>
      <c r="HH2" s="352"/>
      <c r="HI2" s="352"/>
      <c r="HJ2" s="352"/>
      <c r="HK2" s="352"/>
      <c r="HL2" s="352"/>
      <c r="HM2" s="352"/>
      <c r="HN2" s="352"/>
      <c r="HO2" s="352"/>
      <c r="HP2" s="352"/>
      <c r="HQ2" s="352"/>
      <c r="HR2" s="352"/>
      <c r="HS2" s="352"/>
      <c r="HT2" s="352"/>
      <c r="HU2" s="352"/>
      <c r="HV2" s="352"/>
      <c r="HW2" s="352"/>
      <c r="HX2" s="352"/>
      <c r="HY2" s="352"/>
      <c r="HZ2" s="352"/>
      <c r="IA2" s="352"/>
      <c r="IB2" s="352"/>
      <c r="IC2" s="352"/>
      <c r="ID2" s="352"/>
      <c r="IE2" s="352"/>
      <c r="IF2" s="352"/>
      <c r="IG2" s="352"/>
      <c r="IH2" s="352"/>
      <c r="II2" s="352"/>
      <c r="IJ2" s="352"/>
      <c r="IK2" s="352"/>
      <c r="IL2" s="352"/>
      <c r="IM2" s="352"/>
      <c r="IN2" s="352"/>
      <c r="IO2" s="352"/>
      <c r="IP2" s="352"/>
      <c r="IQ2" s="352"/>
      <c r="IR2" s="352"/>
      <c r="IS2" s="352"/>
      <c r="IT2" s="352"/>
      <c r="IU2" s="352"/>
      <c r="IV2" s="352"/>
      <c r="IW2" s="352"/>
    </row>
    <row r="3" customFormat="false" ht="24" hidden="false" customHeight="true" outlineLevel="0" collapsed="false">
      <c r="A3" s="348"/>
      <c r="B3" s="349"/>
      <c r="C3" s="353"/>
      <c r="D3" s="354"/>
      <c r="E3" s="353"/>
      <c r="F3" s="353"/>
      <c r="G3" s="355"/>
      <c r="H3" s="355"/>
      <c r="I3" s="355"/>
      <c r="J3" s="355"/>
      <c r="K3" s="355"/>
      <c r="L3" s="355"/>
      <c r="M3" s="355"/>
      <c r="N3" s="355"/>
      <c r="O3" s="355"/>
      <c r="P3" s="355"/>
      <c r="Q3" s="355"/>
      <c r="R3" s="355"/>
      <c r="S3" s="355"/>
      <c r="T3" s="355"/>
      <c r="U3" s="355"/>
      <c r="V3" s="355"/>
      <c r="W3" s="355"/>
      <c r="X3" s="355"/>
      <c r="Y3" s="355"/>
      <c r="Z3" s="355"/>
      <c r="AA3" s="355"/>
      <c r="AB3" s="355"/>
      <c r="AC3" s="355"/>
      <c r="AD3" s="355"/>
      <c r="AE3" s="355"/>
      <c r="AF3" s="355"/>
      <c r="AG3" s="355"/>
      <c r="AH3" s="355"/>
      <c r="AI3" s="355"/>
      <c r="AJ3" s="355"/>
      <c r="AK3" s="355"/>
      <c r="AL3" s="355"/>
      <c r="AM3" s="355"/>
      <c r="AN3" s="355"/>
      <c r="AO3" s="355"/>
      <c r="AP3" s="355"/>
      <c r="AQ3" s="355"/>
      <c r="AR3" s="355"/>
      <c r="AS3" s="355"/>
      <c r="AT3" s="355"/>
      <c r="AU3" s="355"/>
      <c r="AV3" s="355"/>
      <c r="AW3" s="355"/>
      <c r="AX3" s="355"/>
      <c r="AY3" s="355"/>
      <c r="AZ3" s="355"/>
      <c r="BA3" s="355"/>
      <c r="BB3" s="355"/>
      <c r="BC3" s="355"/>
      <c r="BD3" s="355"/>
      <c r="BE3" s="355"/>
      <c r="BF3" s="355"/>
      <c r="BG3" s="355"/>
      <c r="BH3" s="355"/>
      <c r="BI3" s="355"/>
      <c r="BJ3" s="355"/>
      <c r="BK3" s="355"/>
      <c r="BL3" s="355"/>
      <c r="BM3" s="355"/>
      <c r="BN3" s="355"/>
      <c r="BO3" s="355"/>
      <c r="BP3" s="355"/>
      <c r="BQ3" s="355"/>
      <c r="BR3" s="355"/>
      <c r="BS3" s="355"/>
      <c r="BT3" s="355"/>
      <c r="BU3" s="355"/>
      <c r="BV3" s="355"/>
      <c r="BW3" s="355"/>
      <c r="BX3" s="355"/>
      <c r="BY3" s="355"/>
      <c r="BZ3" s="355"/>
      <c r="CA3" s="355"/>
      <c r="CB3" s="355"/>
      <c r="CC3" s="355"/>
      <c r="CD3" s="355"/>
      <c r="CE3" s="355"/>
      <c r="CF3" s="355"/>
      <c r="CG3" s="355"/>
      <c r="CH3" s="355"/>
      <c r="CI3" s="355"/>
      <c r="CJ3" s="355"/>
      <c r="CK3" s="355"/>
      <c r="CL3" s="355"/>
      <c r="CM3" s="355"/>
      <c r="CN3" s="355"/>
      <c r="CO3" s="355"/>
      <c r="CP3" s="355"/>
      <c r="CQ3" s="355"/>
      <c r="CR3" s="355"/>
      <c r="CS3" s="355"/>
      <c r="CT3" s="355"/>
      <c r="CU3" s="355"/>
      <c r="CV3" s="355"/>
      <c r="CW3" s="355"/>
      <c r="CX3" s="355"/>
      <c r="CY3" s="355"/>
      <c r="CZ3" s="355"/>
      <c r="DA3" s="355"/>
      <c r="DB3" s="355"/>
      <c r="DC3" s="355"/>
      <c r="DD3" s="355"/>
      <c r="DE3" s="355"/>
      <c r="DF3" s="355"/>
      <c r="DG3" s="355"/>
      <c r="DH3" s="355"/>
      <c r="DI3" s="355"/>
      <c r="DJ3" s="355"/>
      <c r="DK3" s="355"/>
      <c r="DL3" s="355"/>
      <c r="DM3" s="355"/>
      <c r="DN3" s="355"/>
      <c r="DO3" s="355"/>
      <c r="DP3" s="355"/>
      <c r="DQ3" s="355"/>
      <c r="DR3" s="355"/>
      <c r="DS3" s="355"/>
      <c r="DT3" s="355"/>
      <c r="DU3" s="355"/>
      <c r="DV3" s="355"/>
      <c r="DW3" s="355"/>
      <c r="DX3" s="355"/>
      <c r="DY3" s="355"/>
      <c r="DZ3" s="355"/>
      <c r="EA3" s="355"/>
      <c r="EB3" s="355"/>
      <c r="EC3" s="355"/>
      <c r="ED3" s="355"/>
      <c r="EE3" s="355"/>
      <c r="EF3" s="355"/>
      <c r="EG3" s="355"/>
      <c r="EH3" s="355"/>
      <c r="EI3" s="355"/>
      <c r="EJ3" s="355"/>
      <c r="EK3" s="355"/>
      <c r="EL3" s="355"/>
      <c r="EM3" s="355"/>
      <c r="EN3" s="355"/>
      <c r="EO3" s="355"/>
      <c r="EP3" s="355"/>
      <c r="EQ3" s="355"/>
      <c r="ER3" s="355"/>
      <c r="ES3" s="355"/>
      <c r="ET3" s="355"/>
      <c r="EU3" s="355"/>
      <c r="EV3" s="355"/>
      <c r="EW3" s="355"/>
      <c r="EX3" s="355"/>
      <c r="EY3" s="355"/>
      <c r="EZ3" s="355"/>
      <c r="FA3" s="355"/>
      <c r="FB3" s="355"/>
      <c r="FC3" s="355"/>
      <c r="FD3" s="355"/>
      <c r="FE3" s="355"/>
      <c r="FF3" s="355"/>
      <c r="FG3" s="355"/>
      <c r="FH3" s="355"/>
      <c r="FI3" s="355"/>
      <c r="FJ3" s="355"/>
      <c r="FK3" s="355"/>
      <c r="FL3" s="355"/>
      <c r="FM3" s="355"/>
      <c r="FN3" s="355"/>
      <c r="FO3" s="355"/>
      <c r="FP3" s="355"/>
      <c r="FQ3" s="355"/>
      <c r="FR3" s="355"/>
      <c r="FS3" s="355"/>
      <c r="FT3" s="355"/>
      <c r="FU3" s="355"/>
      <c r="FV3" s="355"/>
      <c r="FW3" s="355"/>
      <c r="FX3" s="355"/>
      <c r="FY3" s="355"/>
      <c r="FZ3" s="355"/>
      <c r="GA3" s="355"/>
      <c r="GB3" s="355"/>
      <c r="GC3" s="355"/>
      <c r="GD3" s="355"/>
      <c r="GE3" s="355"/>
      <c r="GF3" s="355"/>
      <c r="GG3" s="355"/>
      <c r="GH3" s="355"/>
      <c r="GI3" s="355"/>
      <c r="GJ3" s="355"/>
      <c r="GK3" s="355"/>
      <c r="GL3" s="355"/>
      <c r="GM3" s="355"/>
      <c r="GN3" s="355"/>
      <c r="GO3" s="355"/>
      <c r="GP3" s="355"/>
      <c r="GQ3" s="355"/>
      <c r="GR3" s="355"/>
      <c r="GS3" s="355"/>
      <c r="GT3" s="355"/>
      <c r="GU3" s="355"/>
      <c r="GV3" s="355"/>
      <c r="GW3" s="355"/>
      <c r="GX3" s="355"/>
      <c r="GY3" s="355"/>
      <c r="GZ3" s="355"/>
      <c r="HA3" s="355"/>
      <c r="HB3" s="355"/>
      <c r="HC3" s="355"/>
      <c r="HD3" s="355"/>
      <c r="HE3" s="355"/>
      <c r="HF3" s="355"/>
      <c r="HG3" s="355"/>
      <c r="HH3" s="355"/>
      <c r="HI3" s="355"/>
      <c r="HJ3" s="355"/>
      <c r="HK3" s="355"/>
      <c r="HL3" s="355"/>
      <c r="HM3" s="355"/>
      <c r="HN3" s="355"/>
      <c r="HO3" s="355"/>
      <c r="HP3" s="355"/>
      <c r="HQ3" s="355"/>
      <c r="HR3" s="355"/>
      <c r="HS3" s="355"/>
      <c r="HT3" s="355"/>
      <c r="HU3" s="355"/>
      <c r="HV3" s="355"/>
      <c r="HW3" s="355"/>
      <c r="HX3" s="355"/>
      <c r="HY3" s="355"/>
      <c r="HZ3" s="355"/>
      <c r="IA3" s="355"/>
      <c r="IB3" s="355"/>
      <c r="IC3" s="355"/>
      <c r="ID3" s="355"/>
      <c r="IE3" s="355"/>
      <c r="IF3" s="355"/>
      <c r="IG3" s="355"/>
      <c r="IH3" s="355"/>
      <c r="II3" s="355"/>
      <c r="IJ3" s="355"/>
      <c r="IK3" s="355"/>
      <c r="IL3" s="355"/>
      <c r="IM3" s="355"/>
      <c r="IN3" s="355"/>
      <c r="IO3" s="355"/>
      <c r="IP3" s="355"/>
      <c r="IQ3" s="355"/>
      <c r="IR3" s="355"/>
      <c r="IS3" s="355"/>
      <c r="IT3" s="355"/>
      <c r="IU3" s="355"/>
      <c r="IV3" s="355"/>
      <c r="IW3" s="355"/>
    </row>
    <row r="5" customFormat="false" ht="12.75" hidden="false" customHeight="false" outlineLevel="0" collapsed="false">
      <c r="A5" s="356" t="n">
        <v>46356</v>
      </c>
      <c r="B5" s="357" t="n">
        <v>46356</v>
      </c>
      <c r="C5" s="358"/>
      <c r="D5" s="359"/>
      <c r="E5" s="360"/>
      <c r="F5" s="361"/>
    </row>
    <row r="6" customFormat="false" ht="12.75" hidden="false" customHeight="false" outlineLevel="0" collapsed="false">
      <c r="A6" s="362" t="n">
        <v>46357</v>
      </c>
      <c r="B6" s="345" t="n">
        <v>46357</v>
      </c>
      <c r="E6" s="347" t="n">
        <v>200</v>
      </c>
      <c r="F6" s="363"/>
    </row>
    <row r="7" customFormat="false" ht="12.75" hidden="false" customHeight="false" outlineLevel="0" collapsed="false">
      <c r="A7" s="362" t="n">
        <v>46358</v>
      </c>
      <c r="B7" s="345" t="n">
        <v>46358</v>
      </c>
      <c r="E7" s="347" t="n">
        <v>200</v>
      </c>
      <c r="F7" s="363"/>
    </row>
    <row r="8" customFormat="false" ht="12.75" hidden="false" customHeight="false" outlineLevel="0" collapsed="false">
      <c r="A8" s="362" t="n">
        <v>46359</v>
      </c>
      <c r="B8" s="345" t="n">
        <v>46359</v>
      </c>
      <c r="E8" s="347" t="n">
        <v>200</v>
      </c>
      <c r="F8" s="363"/>
    </row>
    <row r="9" customFormat="false" ht="12.75" hidden="false" customHeight="false" outlineLevel="0" collapsed="false">
      <c r="A9" s="362" t="n">
        <v>46360</v>
      </c>
      <c r="B9" s="345" t="n">
        <v>46360</v>
      </c>
      <c r="E9" s="347" t="n">
        <v>200</v>
      </c>
      <c r="F9" s="363"/>
    </row>
    <row r="10" customFormat="false" ht="12.75" hidden="false" customHeight="false" outlineLevel="0" collapsed="false">
      <c r="A10" s="362" t="n">
        <v>46361</v>
      </c>
      <c r="B10" s="345" t="n">
        <v>46361</v>
      </c>
      <c r="E10" s="347" t="n">
        <v>200</v>
      </c>
      <c r="F10" s="363"/>
    </row>
    <row r="11" customFormat="false" ht="12.75" hidden="false" customHeight="false" outlineLevel="0" collapsed="false">
      <c r="A11" s="362" t="n">
        <v>46362</v>
      </c>
      <c r="B11" s="345" t="n">
        <v>46362</v>
      </c>
      <c r="F11" s="363"/>
    </row>
    <row r="12" customFormat="false" ht="12.75" hidden="false" customHeight="false" outlineLevel="0" collapsed="false">
      <c r="A12" s="362" t="n">
        <v>46362</v>
      </c>
      <c r="B12" s="345" t="s">
        <v>247</v>
      </c>
      <c r="F12" s="363"/>
    </row>
    <row r="13" customFormat="false" ht="12.75" hidden="false" customHeight="false" outlineLevel="0" collapsed="false">
      <c r="A13" s="362" t="n">
        <v>46362</v>
      </c>
      <c r="B13" s="345" t="s">
        <v>248</v>
      </c>
      <c r="F13" s="363"/>
    </row>
    <row r="14" customFormat="false" ht="12.75" hidden="false" customHeight="false" outlineLevel="0" collapsed="false">
      <c r="A14" s="364"/>
      <c r="B14" s="365"/>
      <c r="C14" s="366"/>
      <c r="D14" s="367"/>
      <c r="E14" s="368" t="n">
        <f aca="false">SUM(E5:E13)</f>
        <v>1000</v>
      </c>
      <c r="F14" s="369" t="n">
        <f aca="false">SUM(F5:F13)</f>
        <v>0</v>
      </c>
    </row>
    <row r="16" customFormat="false" ht="12.75" hidden="false" customHeight="false" outlineLevel="0" collapsed="false">
      <c r="A16" s="356" t="n">
        <v>46363</v>
      </c>
      <c r="B16" s="357" t="n">
        <v>46363</v>
      </c>
      <c r="C16" s="358"/>
      <c r="D16" s="359"/>
      <c r="E16" s="360"/>
      <c r="F16" s="361"/>
    </row>
    <row r="17" customFormat="false" ht="12.75" hidden="false" customHeight="false" outlineLevel="0" collapsed="false">
      <c r="A17" s="362" t="n">
        <v>46364</v>
      </c>
      <c r="B17" s="345" t="n">
        <v>46364</v>
      </c>
      <c r="E17" s="347" t="n">
        <v>200</v>
      </c>
      <c r="F17" s="363"/>
    </row>
    <row r="18" customFormat="false" ht="12.75" hidden="false" customHeight="false" outlineLevel="0" collapsed="false">
      <c r="A18" s="362" t="n">
        <v>46365</v>
      </c>
      <c r="B18" s="345" t="n">
        <v>46365</v>
      </c>
      <c r="E18" s="347" t="n">
        <v>200</v>
      </c>
      <c r="F18" s="363"/>
    </row>
    <row r="19" customFormat="false" ht="12.75" hidden="false" customHeight="false" outlineLevel="0" collapsed="false">
      <c r="A19" s="362" t="n">
        <v>46366</v>
      </c>
      <c r="B19" s="345" t="n">
        <v>46366</v>
      </c>
      <c r="E19" s="347" t="n">
        <v>200</v>
      </c>
      <c r="F19" s="363"/>
    </row>
    <row r="20" customFormat="false" ht="12.75" hidden="false" customHeight="false" outlineLevel="0" collapsed="false">
      <c r="A20" s="362" t="n">
        <v>46367</v>
      </c>
      <c r="B20" s="345" t="n">
        <v>46367</v>
      </c>
      <c r="E20" s="347" t="n">
        <v>200</v>
      </c>
      <c r="F20" s="363"/>
    </row>
    <row r="21" customFormat="false" ht="12.75" hidden="false" customHeight="false" outlineLevel="0" collapsed="false">
      <c r="A21" s="362" t="n">
        <v>46368</v>
      </c>
      <c r="B21" s="345" t="n">
        <v>46368</v>
      </c>
      <c r="E21" s="347" t="n">
        <v>200</v>
      </c>
      <c r="F21" s="363"/>
    </row>
    <row r="22" customFormat="false" ht="12.75" hidden="false" customHeight="false" outlineLevel="0" collapsed="false">
      <c r="A22" s="362" t="n">
        <v>46369</v>
      </c>
      <c r="B22" s="345" t="n">
        <v>46369</v>
      </c>
      <c r="F22" s="363"/>
    </row>
    <row r="23" customFormat="false" ht="12.75" hidden="false" customHeight="false" outlineLevel="0" collapsed="false">
      <c r="A23" s="362" t="n">
        <v>46369</v>
      </c>
      <c r="B23" s="345" t="s">
        <v>247</v>
      </c>
      <c r="F23" s="363"/>
    </row>
    <row r="24" customFormat="false" ht="12.75" hidden="false" customHeight="false" outlineLevel="0" collapsed="false">
      <c r="A24" s="362" t="n">
        <v>46369</v>
      </c>
      <c r="B24" s="345" t="s">
        <v>248</v>
      </c>
      <c r="F24" s="363"/>
    </row>
    <row r="25" customFormat="false" ht="12.75" hidden="false" customHeight="false" outlineLevel="0" collapsed="false">
      <c r="A25" s="364"/>
      <c r="B25" s="365"/>
      <c r="C25" s="366"/>
      <c r="D25" s="367"/>
      <c r="E25" s="368" t="n">
        <f aca="false">SUM(E16:E24)</f>
        <v>1000</v>
      </c>
      <c r="F25" s="369" t="n">
        <f aca="false">SUM(F16:F24)</f>
        <v>0</v>
      </c>
    </row>
    <row r="27" customFormat="false" ht="12.75" hidden="false" customHeight="false" outlineLevel="0" collapsed="false">
      <c r="A27" s="356" t="n">
        <v>46370</v>
      </c>
      <c r="B27" s="357" t="n">
        <v>46370</v>
      </c>
      <c r="C27" s="358"/>
      <c r="D27" s="359"/>
      <c r="E27" s="360"/>
      <c r="F27" s="361"/>
    </row>
    <row r="28" customFormat="false" ht="12.75" hidden="false" customHeight="false" outlineLevel="0" collapsed="false">
      <c r="A28" s="362" t="n">
        <v>46371</v>
      </c>
      <c r="B28" s="345" t="n">
        <v>46371</v>
      </c>
      <c r="E28" s="347" t="n">
        <v>200</v>
      </c>
      <c r="F28" s="363"/>
    </row>
    <row r="29" customFormat="false" ht="12.75" hidden="false" customHeight="false" outlineLevel="0" collapsed="false">
      <c r="A29" s="362" t="n">
        <v>46372</v>
      </c>
      <c r="B29" s="345" t="n">
        <v>46372</v>
      </c>
      <c r="E29" s="347" t="n">
        <v>200</v>
      </c>
      <c r="F29" s="363"/>
    </row>
    <row r="30" customFormat="false" ht="12.75" hidden="false" customHeight="false" outlineLevel="0" collapsed="false">
      <c r="A30" s="362" t="n">
        <v>46373</v>
      </c>
      <c r="B30" s="345" t="n">
        <v>46373</v>
      </c>
      <c r="E30" s="347" t="n">
        <v>200</v>
      </c>
      <c r="F30" s="363"/>
    </row>
    <row r="31" customFormat="false" ht="12.75" hidden="false" customHeight="false" outlineLevel="0" collapsed="false">
      <c r="A31" s="362" t="n">
        <v>46374</v>
      </c>
      <c r="B31" s="345" t="n">
        <v>46374</v>
      </c>
      <c r="E31" s="347" t="n">
        <v>200</v>
      </c>
      <c r="F31" s="363"/>
    </row>
    <row r="32" customFormat="false" ht="12.75" hidden="false" customHeight="false" outlineLevel="0" collapsed="false">
      <c r="A32" s="362" t="n">
        <v>46375</v>
      </c>
      <c r="B32" s="345" t="n">
        <v>46375</v>
      </c>
      <c r="E32" s="347" t="n">
        <v>200</v>
      </c>
      <c r="F32" s="363"/>
    </row>
    <row r="33" customFormat="false" ht="12.75" hidden="false" customHeight="false" outlineLevel="0" collapsed="false">
      <c r="A33" s="362" t="n">
        <v>46376</v>
      </c>
      <c r="B33" s="345" t="n">
        <v>46376</v>
      </c>
      <c r="F33" s="363"/>
    </row>
    <row r="34" customFormat="false" ht="12.75" hidden="false" customHeight="false" outlineLevel="0" collapsed="false">
      <c r="A34" s="362" t="n">
        <v>46376</v>
      </c>
      <c r="B34" s="345" t="s">
        <v>247</v>
      </c>
      <c r="F34" s="363"/>
    </row>
    <row r="35" customFormat="false" ht="12.75" hidden="false" customHeight="false" outlineLevel="0" collapsed="false">
      <c r="A35" s="362" t="n">
        <v>46376</v>
      </c>
      <c r="B35" s="345" t="s">
        <v>248</v>
      </c>
      <c r="F35" s="363"/>
    </row>
    <row r="36" customFormat="false" ht="12.75" hidden="false" customHeight="false" outlineLevel="0" collapsed="false">
      <c r="A36" s="364"/>
      <c r="B36" s="365"/>
      <c r="C36" s="366"/>
      <c r="D36" s="367"/>
      <c r="E36" s="368" t="n">
        <f aca="false">SUM(E27:E35)</f>
        <v>1000</v>
      </c>
      <c r="F36" s="369" t="n">
        <f aca="false">SUM(F27:F35)</f>
        <v>0</v>
      </c>
    </row>
    <row r="38" customFormat="false" ht="12.75" hidden="false" customHeight="false" outlineLevel="0" collapsed="false">
      <c r="A38" s="356" t="n">
        <v>46377</v>
      </c>
      <c r="B38" s="357" t="n">
        <v>46377</v>
      </c>
      <c r="C38" s="358"/>
      <c r="D38" s="359"/>
      <c r="E38" s="360"/>
      <c r="F38" s="361"/>
    </row>
    <row r="39" customFormat="false" ht="12.75" hidden="false" customHeight="false" outlineLevel="0" collapsed="false">
      <c r="A39" s="362" t="n">
        <v>46378</v>
      </c>
      <c r="B39" s="345" t="n">
        <v>46378</v>
      </c>
      <c r="F39" s="363"/>
    </row>
    <row r="40" customFormat="false" ht="12.75" hidden="false" customHeight="false" outlineLevel="0" collapsed="false">
      <c r="A40" s="362" t="n">
        <v>46379</v>
      </c>
      <c r="B40" s="345" t="n">
        <v>46379</v>
      </c>
      <c r="F40" s="363"/>
    </row>
    <row r="41" customFormat="false" ht="12.75" hidden="false" customHeight="false" outlineLevel="0" collapsed="false">
      <c r="A41" s="362" t="n">
        <v>46380</v>
      </c>
      <c r="B41" s="345" t="n">
        <v>46380</v>
      </c>
      <c r="F41" s="363"/>
    </row>
    <row r="42" customFormat="false" ht="12.75" hidden="false" customHeight="false" outlineLevel="0" collapsed="false">
      <c r="A42" s="362" t="n">
        <v>46381</v>
      </c>
      <c r="B42" s="345" t="n">
        <v>46381</v>
      </c>
      <c r="F42" s="363"/>
    </row>
    <row r="43" customFormat="false" ht="12.75" hidden="false" customHeight="false" outlineLevel="0" collapsed="false">
      <c r="A43" s="362" t="n">
        <v>46382</v>
      </c>
      <c r="B43" s="345" t="n">
        <v>46382</v>
      </c>
      <c r="F43" s="363"/>
    </row>
    <row r="44" customFormat="false" ht="12.75" hidden="false" customHeight="false" outlineLevel="0" collapsed="false">
      <c r="A44" s="362" t="n">
        <v>46383</v>
      </c>
      <c r="B44" s="345" t="n">
        <v>46383</v>
      </c>
      <c r="F44" s="363"/>
    </row>
    <row r="45" customFormat="false" ht="12.75" hidden="false" customHeight="false" outlineLevel="0" collapsed="false">
      <c r="A45" s="362" t="n">
        <v>46383</v>
      </c>
      <c r="B45" s="345" t="s">
        <v>247</v>
      </c>
      <c r="F45" s="363"/>
    </row>
    <row r="46" customFormat="false" ht="12.75" hidden="false" customHeight="false" outlineLevel="0" collapsed="false">
      <c r="A46" s="362" t="n">
        <v>46383</v>
      </c>
      <c r="B46" s="345" t="s">
        <v>248</v>
      </c>
      <c r="F46" s="363"/>
    </row>
    <row r="47" customFormat="false" ht="12.75" hidden="false" customHeight="false" outlineLevel="0" collapsed="false">
      <c r="A47" s="364"/>
      <c r="B47" s="365"/>
      <c r="C47" s="366"/>
      <c r="D47" s="367"/>
      <c r="E47" s="368" t="n">
        <f aca="false">SUM(E38:E46)</f>
        <v>0</v>
      </c>
      <c r="F47" s="369" t="n">
        <f aca="false">SUM(F38:F46)</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customHeight="false" zeroHeight="false" outlineLevelRow="0" outlineLevelCol="0"/>
  <cols>
    <col collapsed="false" customWidth="true" hidden="false" outlineLevel="0" max="1" min="1" style="370" width="9.66"/>
    <col collapsed="false" customWidth="true" hidden="false" outlineLevel="0" max="2" min="2" style="179" width="23.99"/>
    <col collapsed="false" customWidth="true" hidden="false" outlineLevel="0" max="3" min="3" style="179" width="15.99"/>
    <col collapsed="false" customWidth="false" hidden="false" outlineLevel="0" max="5" min="4" style="371" width="9.15"/>
    <col collapsed="false" customWidth="true" hidden="false" outlineLevel="0" max="6" min="6" style="372" width="12.66"/>
    <col collapsed="false" customWidth="true" hidden="false" outlineLevel="0" max="8" min="7" style="180" width="9.82"/>
    <col collapsed="false" customWidth="true" hidden="false" outlineLevel="0" max="10" min="9" style="180" width="8.33"/>
    <col collapsed="false" customWidth="true" hidden="false" outlineLevel="0" max="12" min="11" style="180" width="7.66"/>
    <col collapsed="false" customWidth="true" hidden="false" outlineLevel="0" max="13" min="13" style="180" width="8.99"/>
    <col collapsed="false" customWidth="false" hidden="false" outlineLevel="0" max="14" min="14" style="180" width="9.15"/>
    <col collapsed="false" customWidth="true" hidden="false" outlineLevel="0" max="15" min="15" style="180" width="9.33"/>
    <col collapsed="false" customWidth="true" hidden="false" outlineLevel="0" max="18" min="16" style="180" width="7.66"/>
    <col collapsed="false" customWidth="true" hidden="false" outlineLevel="0" max="19" min="19" style="180" width="8.66"/>
    <col collapsed="false" customWidth="true" hidden="false" outlineLevel="0" max="20" min="20" style="179" width="12.82"/>
    <col collapsed="false" customWidth="true" hidden="false" outlineLevel="0" max="21" min="21" style="180" width="8.49"/>
    <col collapsed="false" customWidth="false" hidden="false" outlineLevel="0" max="257" min="22" style="179" width="9.15"/>
  </cols>
  <sheetData>
    <row r="1" customFormat="false" ht="13.5" hidden="false" customHeight="true" outlineLevel="0" collapsed="false">
      <c r="A1" s="389" t="n">
        <f aca="false">E1+SalesDec!$D$1+PurchasesNov!A1</f>
        <v>0</v>
      </c>
      <c r="B1" s="390" t="s">
        <v>249</v>
      </c>
      <c r="C1" s="391" t="s">
        <v>242</v>
      </c>
      <c r="D1" s="375" t="str">
        <f aca="false">IF((F1-SUM(G1:S1)&lt;&gt;0),(F1-SUM(G1:S1))," ")</f>
        <v> </v>
      </c>
      <c r="E1" s="351" t="n">
        <f aca="false">SUM(E5:E199)</f>
        <v>0</v>
      </c>
      <c r="F1" s="350" t="n">
        <f aca="false">SUM(F5:F199)</f>
        <v>300</v>
      </c>
      <c r="G1" s="350" t="n">
        <f aca="false">SUM(G5:G199)</f>
        <v>300</v>
      </c>
      <c r="H1" s="350" t="n">
        <f aca="false">SUM(H5:H199)</f>
        <v>0</v>
      </c>
      <c r="I1" s="350" t="n">
        <f aca="false">SUM(I5:I199)</f>
        <v>0</v>
      </c>
      <c r="J1" s="350" t="n">
        <f aca="false">SUM(J5:J199)</f>
        <v>0</v>
      </c>
      <c r="K1" s="350" t="n">
        <f aca="false">SUM(K5:K199)</f>
        <v>0</v>
      </c>
      <c r="L1" s="350" t="n">
        <f aca="false">SUM(L5:L199)</f>
        <v>0</v>
      </c>
      <c r="M1" s="350" t="n">
        <f aca="false">SUM(M5:M199)</f>
        <v>0</v>
      </c>
      <c r="N1" s="350" t="n">
        <f aca="false">SUM(N5:N199)</f>
        <v>0</v>
      </c>
      <c r="O1" s="350" t="n">
        <f aca="false">SUM(O5:O199)</f>
        <v>0</v>
      </c>
      <c r="P1" s="350" t="n">
        <f aca="false">SUM(P5:P199)</f>
        <v>0</v>
      </c>
      <c r="Q1" s="350" t="n">
        <f aca="false">SUM(Q5:Q199)</f>
        <v>0</v>
      </c>
      <c r="R1" s="350" t="n">
        <f aca="false">SUM(R5:R199)</f>
        <v>0</v>
      </c>
      <c r="S1" s="392" t="n">
        <f aca="false">SUM(S5:S199)</f>
        <v>0</v>
      </c>
      <c r="T1" s="393" t="n">
        <f aca="false">S1+PurchasesNov!T1</f>
        <v>8000</v>
      </c>
      <c r="U1" s="392" t="n">
        <f aca="false">SUM(U4:U199)</f>
        <v>0</v>
      </c>
      <c r="V1" s="180"/>
      <c r="W1" s="180"/>
      <c r="X1" s="180"/>
      <c r="Y1" s="180"/>
      <c r="Z1" s="180"/>
      <c r="AA1" s="180"/>
      <c r="AB1" s="180"/>
      <c r="AC1" s="180"/>
      <c r="AD1" s="180"/>
      <c r="AE1" s="180"/>
      <c r="AF1" s="180"/>
      <c r="AG1" s="180"/>
      <c r="AH1" s="180"/>
      <c r="AI1" s="180"/>
      <c r="AJ1" s="180"/>
      <c r="AK1" s="180"/>
      <c r="AL1" s="180"/>
      <c r="AM1" s="180"/>
      <c r="AN1" s="180"/>
      <c r="AO1" s="180"/>
      <c r="AP1" s="180"/>
      <c r="AQ1" s="180"/>
      <c r="AR1" s="180"/>
      <c r="AS1" s="180"/>
      <c r="AT1" s="180"/>
      <c r="AU1" s="180"/>
      <c r="AV1" s="180"/>
      <c r="AW1" s="180"/>
      <c r="AX1" s="180"/>
      <c r="AY1" s="180"/>
      <c r="AZ1" s="180"/>
      <c r="BA1" s="180"/>
      <c r="BB1" s="180"/>
      <c r="BC1" s="180"/>
      <c r="BD1" s="180"/>
      <c r="BE1" s="180"/>
      <c r="BF1" s="180"/>
      <c r="BG1" s="180"/>
      <c r="BH1" s="180"/>
      <c r="BI1" s="180"/>
      <c r="BJ1" s="180"/>
      <c r="BK1" s="180"/>
      <c r="BL1" s="180"/>
      <c r="BM1" s="180"/>
      <c r="BN1" s="180"/>
      <c r="BO1" s="180"/>
      <c r="BP1" s="180"/>
      <c r="BQ1" s="180"/>
      <c r="BR1" s="180"/>
      <c r="BS1" s="180"/>
      <c r="BT1" s="180"/>
      <c r="BU1" s="180"/>
      <c r="BV1" s="180"/>
      <c r="BW1" s="180"/>
      <c r="BX1" s="180"/>
      <c r="BY1" s="180"/>
      <c r="BZ1" s="180"/>
      <c r="CA1" s="180"/>
      <c r="CB1" s="180"/>
      <c r="CC1" s="180"/>
      <c r="CD1" s="180"/>
      <c r="CE1" s="180"/>
      <c r="CF1" s="180"/>
      <c r="CG1" s="180"/>
      <c r="CH1" s="180"/>
      <c r="CI1" s="180"/>
      <c r="CJ1" s="180"/>
      <c r="CK1" s="180"/>
      <c r="CL1" s="180"/>
      <c r="CM1" s="180"/>
      <c r="CN1" s="180"/>
      <c r="CO1" s="180"/>
      <c r="CP1" s="180"/>
      <c r="CQ1" s="180"/>
      <c r="CR1" s="180"/>
      <c r="CS1" s="180"/>
      <c r="CT1" s="180"/>
      <c r="CU1" s="180"/>
      <c r="CV1" s="180"/>
      <c r="CW1" s="180"/>
      <c r="CX1" s="180"/>
      <c r="CY1" s="180"/>
      <c r="CZ1" s="180"/>
      <c r="DA1" s="180"/>
      <c r="DB1" s="180"/>
      <c r="DC1" s="180"/>
      <c r="DD1" s="180"/>
      <c r="DE1" s="180"/>
      <c r="DF1" s="180"/>
      <c r="DG1" s="180"/>
      <c r="DH1" s="180"/>
      <c r="DI1" s="180"/>
      <c r="DJ1" s="180"/>
      <c r="DK1" s="180"/>
      <c r="DL1" s="180"/>
      <c r="DM1" s="180"/>
      <c r="DN1" s="180"/>
      <c r="DO1" s="180"/>
      <c r="DP1" s="180"/>
      <c r="DQ1" s="180"/>
      <c r="DR1" s="180"/>
      <c r="DS1" s="180"/>
      <c r="DT1" s="180"/>
      <c r="DU1" s="180"/>
      <c r="DV1" s="180"/>
      <c r="DW1" s="180"/>
      <c r="DX1" s="180"/>
      <c r="DY1" s="180"/>
      <c r="DZ1" s="180"/>
      <c r="EA1" s="180"/>
      <c r="EB1" s="180"/>
      <c r="EC1" s="180"/>
      <c r="ED1" s="180"/>
      <c r="EE1" s="180"/>
      <c r="EF1" s="180"/>
      <c r="EG1" s="180"/>
      <c r="EH1" s="180"/>
      <c r="EI1" s="180"/>
      <c r="EJ1" s="180"/>
      <c r="EK1" s="180"/>
      <c r="EL1" s="180"/>
      <c r="EM1" s="180"/>
      <c r="EN1" s="180"/>
      <c r="EO1" s="180"/>
      <c r="EP1" s="180"/>
      <c r="EQ1" s="180"/>
      <c r="ER1" s="180"/>
      <c r="ES1" s="180"/>
      <c r="ET1" s="180"/>
      <c r="EU1" s="180"/>
      <c r="EV1" s="180"/>
      <c r="EW1" s="180"/>
      <c r="EX1" s="180"/>
      <c r="EY1" s="180"/>
      <c r="EZ1" s="180"/>
      <c r="FA1" s="180"/>
      <c r="FB1" s="180"/>
      <c r="FC1" s="180"/>
      <c r="FD1" s="180"/>
      <c r="FE1" s="180"/>
      <c r="FF1" s="180"/>
      <c r="FG1" s="180"/>
      <c r="FH1" s="180"/>
      <c r="FI1" s="180"/>
      <c r="FJ1" s="180"/>
      <c r="FK1" s="180"/>
      <c r="FL1" s="180"/>
      <c r="FM1" s="180"/>
      <c r="FN1" s="180"/>
      <c r="FO1" s="180"/>
      <c r="FP1" s="180"/>
      <c r="FQ1" s="180"/>
      <c r="FR1" s="180"/>
      <c r="FS1" s="180"/>
      <c r="FT1" s="180"/>
      <c r="FU1" s="180"/>
      <c r="FV1" s="180"/>
      <c r="FW1" s="180"/>
      <c r="FX1" s="180"/>
      <c r="FY1" s="180"/>
      <c r="FZ1" s="180"/>
      <c r="GA1" s="180"/>
      <c r="GB1" s="180"/>
      <c r="GC1" s="180"/>
      <c r="GD1" s="180"/>
      <c r="GE1" s="180"/>
      <c r="GF1" s="180"/>
      <c r="GG1" s="180"/>
      <c r="GH1" s="180"/>
      <c r="GI1" s="180"/>
      <c r="GJ1" s="180"/>
      <c r="GK1" s="180"/>
      <c r="GL1" s="180"/>
      <c r="GM1" s="180"/>
      <c r="GN1" s="180"/>
      <c r="GO1" s="180"/>
      <c r="GP1" s="180"/>
      <c r="GQ1" s="180"/>
      <c r="GR1" s="180"/>
      <c r="GS1" s="180"/>
      <c r="GT1" s="180"/>
      <c r="GU1" s="180"/>
      <c r="GV1" s="180"/>
      <c r="GW1" s="180"/>
      <c r="GX1" s="180"/>
      <c r="GY1" s="180"/>
      <c r="GZ1" s="180"/>
      <c r="HA1" s="180"/>
      <c r="HB1" s="180"/>
      <c r="HC1" s="180"/>
      <c r="HD1" s="180"/>
      <c r="HE1" s="180"/>
      <c r="HF1" s="180"/>
      <c r="HG1" s="180"/>
      <c r="HH1" s="180"/>
      <c r="HI1" s="180"/>
      <c r="HJ1" s="180"/>
      <c r="HK1" s="180"/>
      <c r="HL1" s="180"/>
      <c r="HM1" s="180"/>
      <c r="HN1" s="180"/>
      <c r="HO1" s="180"/>
      <c r="HP1" s="180"/>
      <c r="HQ1" s="180"/>
      <c r="HR1" s="180"/>
      <c r="HS1" s="180"/>
      <c r="HT1" s="180"/>
      <c r="HU1" s="180"/>
      <c r="HV1" s="180"/>
      <c r="HW1" s="180"/>
      <c r="HX1" s="180"/>
      <c r="HY1" s="180"/>
      <c r="HZ1" s="180"/>
      <c r="IA1" s="180"/>
      <c r="IB1" s="180"/>
      <c r="IC1" s="180"/>
      <c r="ID1" s="180"/>
      <c r="IE1" s="180"/>
      <c r="IF1" s="180"/>
      <c r="IG1" s="180"/>
      <c r="IH1" s="180"/>
      <c r="II1" s="180"/>
      <c r="IJ1" s="180"/>
      <c r="IK1" s="180"/>
      <c r="IL1" s="180"/>
      <c r="IM1" s="180"/>
      <c r="IN1" s="180"/>
      <c r="IO1" s="180"/>
      <c r="IP1" s="180"/>
      <c r="IQ1" s="180"/>
      <c r="IR1" s="180"/>
      <c r="IS1" s="180"/>
      <c r="IT1" s="180"/>
      <c r="IU1" s="180"/>
      <c r="IV1" s="180"/>
      <c r="IW1" s="180"/>
    </row>
    <row r="2" customFormat="false" ht="13.5" hidden="false" customHeight="true" outlineLevel="0" collapsed="false">
      <c r="A2" s="394" t="n">
        <f aca="false">U1+PurchasesNov!A2</f>
        <v>0</v>
      </c>
      <c r="B2" s="239" t="s">
        <v>250</v>
      </c>
      <c r="C2" s="378" t="s">
        <v>251</v>
      </c>
      <c r="D2" s="378" t="s">
        <v>252</v>
      </c>
      <c r="E2" s="378" t="s">
        <v>253</v>
      </c>
      <c r="F2" s="206" t="s">
        <v>254</v>
      </c>
      <c r="G2" s="379" t="s">
        <v>255</v>
      </c>
      <c r="H2" s="379"/>
      <c r="I2" s="380" t="n">
        <f aca="false">G1+H1+I1+J1+PurchasesNov!I2</f>
        <v>4080</v>
      </c>
      <c r="J2" s="380"/>
      <c r="K2" s="206" t="s">
        <v>256</v>
      </c>
      <c r="L2" s="206" t="s">
        <v>257</v>
      </c>
      <c r="M2" s="206" t="s">
        <v>258</v>
      </c>
      <c r="N2" s="206" t="s">
        <v>290</v>
      </c>
      <c r="O2" s="206" t="s">
        <v>260</v>
      </c>
      <c r="P2" s="206" t="s">
        <v>261</v>
      </c>
      <c r="Q2" s="206" t="s">
        <v>262</v>
      </c>
      <c r="R2" s="206" t="s">
        <v>263</v>
      </c>
      <c r="S2" s="381" t="s">
        <v>264</v>
      </c>
      <c r="T2" s="382" t="str">
        <f aca="false">IF(T1&gt;'Fixed Assets'!$D$74,"ENTER VEHICLE CHANGES        on Fixed Asset schedule","Motor Vehicles: make, model, date reg. and reg. Mark")</f>
        <v>ENTER VEHICLE CHANGES        on Fixed Asset schedule</v>
      </c>
      <c r="U2" s="381" t="s">
        <v>118</v>
      </c>
      <c r="V2" s="180"/>
      <c r="W2" s="180"/>
      <c r="X2" s="180"/>
      <c r="Y2" s="180"/>
      <c r="Z2" s="180"/>
      <c r="AA2" s="180"/>
      <c r="AB2" s="180"/>
      <c r="AC2" s="180"/>
      <c r="AD2" s="180"/>
      <c r="AE2" s="180"/>
      <c r="AF2" s="180"/>
      <c r="AG2" s="180"/>
      <c r="AH2" s="180"/>
      <c r="AI2" s="180"/>
      <c r="AJ2" s="180"/>
      <c r="AK2" s="180"/>
      <c r="AL2" s="180"/>
      <c r="AM2" s="180"/>
      <c r="AN2" s="180"/>
      <c r="AO2" s="180"/>
      <c r="AP2" s="180"/>
      <c r="AQ2" s="180"/>
      <c r="AR2" s="180"/>
      <c r="AS2" s="180"/>
      <c r="AT2" s="180"/>
      <c r="AU2" s="180"/>
      <c r="AV2" s="180"/>
      <c r="AW2" s="180"/>
      <c r="AX2" s="180"/>
      <c r="AY2" s="180"/>
      <c r="AZ2" s="180"/>
      <c r="BA2" s="180"/>
      <c r="BB2" s="180"/>
      <c r="BC2" s="180"/>
      <c r="BD2" s="180"/>
      <c r="BE2" s="180"/>
      <c r="BF2" s="180"/>
      <c r="BG2" s="180"/>
      <c r="BH2" s="180"/>
      <c r="BI2" s="180"/>
      <c r="BJ2" s="180"/>
      <c r="BK2" s="180"/>
      <c r="BL2" s="180"/>
      <c r="BM2" s="180"/>
      <c r="BN2" s="180"/>
      <c r="BO2" s="180"/>
      <c r="BP2" s="180"/>
      <c r="BQ2" s="180"/>
      <c r="BR2" s="180"/>
      <c r="BS2" s="180"/>
      <c r="BT2" s="180"/>
      <c r="BU2" s="180"/>
      <c r="BV2" s="180"/>
      <c r="BW2" s="180"/>
      <c r="BX2" s="180"/>
      <c r="BY2" s="180"/>
      <c r="BZ2" s="180"/>
      <c r="CA2" s="180"/>
      <c r="CB2" s="180"/>
      <c r="CC2" s="180"/>
      <c r="CD2" s="180"/>
      <c r="CE2" s="180"/>
      <c r="CF2" s="180"/>
      <c r="CG2" s="180"/>
      <c r="CH2" s="180"/>
      <c r="CI2" s="180"/>
      <c r="CJ2" s="180"/>
      <c r="CK2" s="180"/>
      <c r="CL2" s="180"/>
      <c r="CM2" s="180"/>
      <c r="CN2" s="180"/>
      <c r="CO2" s="180"/>
      <c r="CP2" s="180"/>
      <c r="CQ2" s="180"/>
      <c r="CR2" s="180"/>
      <c r="CS2" s="180"/>
      <c r="CT2" s="180"/>
      <c r="CU2" s="180"/>
      <c r="CV2" s="180"/>
      <c r="CW2" s="180"/>
      <c r="CX2" s="180"/>
      <c r="CY2" s="180"/>
      <c r="CZ2" s="180"/>
      <c r="DA2" s="180"/>
      <c r="DB2" s="180"/>
      <c r="DC2" s="180"/>
      <c r="DD2" s="180"/>
      <c r="DE2" s="180"/>
      <c r="DF2" s="180"/>
      <c r="DG2" s="180"/>
      <c r="DH2" s="180"/>
      <c r="DI2" s="180"/>
      <c r="DJ2" s="180"/>
      <c r="DK2" s="180"/>
      <c r="DL2" s="180"/>
      <c r="DM2" s="180"/>
      <c r="DN2" s="180"/>
      <c r="DO2" s="180"/>
      <c r="DP2" s="180"/>
      <c r="DQ2" s="180"/>
      <c r="DR2" s="180"/>
      <c r="DS2" s="180"/>
      <c r="DT2" s="180"/>
      <c r="DU2" s="180"/>
      <c r="DV2" s="180"/>
      <c r="DW2" s="180"/>
      <c r="DX2" s="180"/>
      <c r="DY2" s="180"/>
      <c r="DZ2" s="180"/>
      <c r="EA2" s="180"/>
      <c r="EB2" s="180"/>
      <c r="EC2" s="180"/>
      <c r="ED2" s="180"/>
      <c r="EE2" s="180"/>
      <c r="EF2" s="180"/>
      <c r="EG2" s="180"/>
      <c r="EH2" s="180"/>
      <c r="EI2" s="180"/>
      <c r="EJ2" s="180"/>
      <c r="EK2" s="180"/>
      <c r="EL2" s="180"/>
      <c r="EM2" s="180"/>
      <c r="EN2" s="180"/>
      <c r="EO2" s="180"/>
      <c r="EP2" s="180"/>
      <c r="EQ2" s="180"/>
      <c r="ER2" s="180"/>
      <c r="ES2" s="180"/>
      <c r="ET2" s="180"/>
      <c r="EU2" s="180"/>
      <c r="EV2" s="180"/>
      <c r="EW2" s="180"/>
      <c r="EX2" s="180"/>
      <c r="EY2" s="180"/>
      <c r="EZ2" s="180"/>
      <c r="FA2" s="180"/>
      <c r="FB2" s="180"/>
      <c r="FC2" s="180"/>
      <c r="FD2" s="180"/>
      <c r="FE2" s="180"/>
      <c r="FF2" s="180"/>
      <c r="FG2" s="180"/>
      <c r="FH2" s="180"/>
      <c r="FI2" s="180"/>
      <c r="FJ2" s="180"/>
      <c r="FK2" s="180"/>
      <c r="FL2" s="180"/>
      <c r="FM2" s="180"/>
      <c r="FN2" s="180"/>
      <c r="FO2" s="180"/>
      <c r="FP2" s="180"/>
      <c r="FQ2" s="180"/>
      <c r="FR2" s="180"/>
      <c r="FS2" s="180"/>
      <c r="FT2" s="180"/>
      <c r="FU2" s="180"/>
      <c r="FV2" s="180"/>
      <c r="FW2" s="180"/>
      <c r="FX2" s="180"/>
      <c r="FY2" s="180"/>
      <c r="FZ2" s="180"/>
      <c r="GA2" s="180"/>
      <c r="GB2" s="180"/>
      <c r="GC2" s="180"/>
      <c r="GD2" s="180"/>
      <c r="GE2" s="180"/>
      <c r="GF2" s="180"/>
      <c r="GG2" s="180"/>
      <c r="GH2" s="180"/>
      <c r="GI2" s="180"/>
      <c r="GJ2" s="180"/>
      <c r="GK2" s="180"/>
      <c r="GL2" s="180"/>
      <c r="GM2" s="180"/>
      <c r="GN2" s="180"/>
      <c r="GO2" s="180"/>
      <c r="GP2" s="180"/>
      <c r="GQ2" s="180"/>
      <c r="GR2" s="180"/>
      <c r="GS2" s="180"/>
      <c r="GT2" s="180"/>
      <c r="GU2" s="180"/>
      <c r="GV2" s="180"/>
      <c r="GW2" s="180"/>
      <c r="GX2" s="180"/>
      <c r="GY2" s="180"/>
      <c r="GZ2" s="180"/>
      <c r="HA2" s="180"/>
      <c r="HB2" s="180"/>
      <c r="HC2" s="180"/>
      <c r="HD2" s="180"/>
      <c r="HE2" s="180"/>
      <c r="HF2" s="180"/>
      <c r="HG2" s="180"/>
      <c r="HH2" s="180"/>
      <c r="HI2" s="180"/>
      <c r="HJ2" s="180"/>
      <c r="HK2" s="180"/>
      <c r="HL2" s="180"/>
      <c r="HM2" s="180"/>
      <c r="HN2" s="180"/>
      <c r="HO2" s="180"/>
      <c r="HP2" s="180"/>
      <c r="HQ2" s="180"/>
      <c r="HR2" s="180"/>
      <c r="HS2" s="180"/>
      <c r="HT2" s="180"/>
      <c r="HU2" s="180"/>
      <c r="HV2" s="180"/>
      <c r="HW2" s="180"/>
      <c r="HX2" s="180"/>
      <c r="HY2" s="180"/>
      <c r="HZ2" s="180"/>
      <c r="IA2" s="180"/>
      <c r="IB2" s="180"/>
      <c r="IC2" s="180"/>
      <c r="ID2" s="180"/>
      <c r="IE2" s="180"/>
      <c r="IF2" s="180"/>
      <c r="IG2" s="180"/>
      <c r="IH2" s="180"/>
      <c r="II2" s="180"/>
      <c r="IJ2" s="180"/>
      <c r="IK2" s="180"/>
      <c r="IL2" s="180"/>
      <c r="IM2" s="180"/>
      <c r="IN2" s="180"/>
      <c r="IO2" s="180"/>
      <c r="IP2" s="180"/>
      <c r="IQ2" s="180"/>
      <c r="IR2" s="180"/>
      <c r="IS2" s="180"/>
      <c r="IT2" s="180"/>
      <c r="IU2" s="180"/>
      <c r="IV2" s="180"/>
      <c r="IW2" s="180"/>
    </row>
    <row r="3" customFormat="false" ht="45" hidden="false" customHeight="true" outlineLevel="0" collapsed="false">
      <c r="A3" s="383" t="s">
        <v>265</v>
      </c>
      <c r="B3" s="206" t="s">
        <v>266</v>
      </c>
      <c r="C3" s="378"/>
      <c r="D3" s="378"/>
      <c r="E3" s="378"/>
      <c r="F3" s="378"/>
      <c r="G3" s="206" t="s">
        <v>113</v>
      </c>
      <c r="H3" s="206" t="s">
        <v>267</v>
      </c>
      <c r="I3" s="206" t="s">
        <v>115</v>
      </c>
      <c r="J3" s="206" t="s">
        <v>116</v>
      </c>
      <c r="K3" s="206"/>
      <c r="L3" s="206"/>
      <c r="M3" s="206"/>
      <c r="N3" s="206"/>
      <c r="O3" s="206"/>
      <c r="P3" s="206"/>
      <c r="Q3" s="206"/>
      <c r="R3" s="206"/>
      <c r="S3" s="381"/>
      <c r="T3" s="382"/>
      <c r="U3" s="381"/>
      <c r="V3" s="384"/>
      <c r="W3" s="384"/>
      <c r="X3" s="384"/>
      <c r="Y3" s="384"/>
      <c r="Z3" s="384"/>
      <c r="AA3" s="384"/>
      <c r="AB3" s="384"/>
      <c r="AC3" s="384"/>
      <c r="AD3" s="384"/>
      <c r="AE3" s="384"/>
      <c r="AF3" s="384"/>
      <c r="AG3" s="384"/>
      <c r="AH3" s="384"/>
      <c r="AI3" s="384"/>
      <c r="AJ3" s="384"/>
      <c r="AK3" s="384"/>
      <c r="AL3" s="384"/>
      <c r="AM3" s="384"/>
      <c r="AN3" s="384"/>
      <c r="AO3" s="384"/>
      <c r="AP3" s="384"/>
      <c r="AQ3" s="384"/>
      <c r="AR3" s="384"/>
      <c r="AS3" s="384"/>
      <c r="AT3" s="384"/>
      <c r="AU3" s="384"/>
      <c r="AV3" s="384"/>
      <c r="AW3" s="384"/>
      <c r="AX3" s="384"/>
      <c r="AY3" s="384"/>
      <c r="AZ3" s="384"/>
      <c r="BA3" s="384"/>
      <c r="BB3" s="384"/>
      <c r="BC3" s="384"/>
      <c r="BD3" s="384"/>
      <c r="BE3" s="384"/>
      <c r="BF3" s="384"/>
      <c r="BG3" s="384"/>
      <c r="BH3" s="384"/>
      <c r="BI3" s="384"/>
      <c r="BJ3" s="384"/>
      <c r="BK3" s="384"/>
      <c r="BL3" s="384"/>
      <c r="BM3" s="384"/>
      <c r="BN3" s="384"/>
      <c r="BO3" s="384"/>
      <c r="BP3" s="384"/>
      <c r="BQ3" s="384"/>
      <c r="BR3" s="384"/>
      <c r="BS3" s="384"/>
      <c r="BT3" s="384"/>
      <c r="BU3" s="384"/>
      <c r="BV3" s="384"/>
      <c r="BW3" s="384"/>
      <c r="BX3" s="384"/>
      <c r="BY3" s="384"/>
      <c r="BZ3" s="384"/>
      <c r="CA3" s="384"/>
      <c r="CB3" s="384"/>
      <c r="CC3" s="384"/>
      <c r="CD3" s="384"/>
      <c r="CE3" s="384"/>
      <c r="CF3" s="384"/>
      <c r="CG3" s="384"/>
      <c r="CH3" s="384"/>
      <c r="CI3" s="384"/>
      <c r="CJ3" s="384"/>
      <c r="CK3" s="384"/>
      <c r="CL3" s="384"/>
      <c r="CM3" s="384"/>
      <c r="CN3" s="384"/>
      <c r="CO3" s="384"/>
      <c r="CP3" s="384"/>
      <c r="CQ3" s="384"/>
      <c r="CR3" s="384"/>
      <c r="CS3" s="384"/>
      <c r="CT3" s="384"/>
      <c r="CU3" s="384"/>
      <c r="CV3" s="384"/>
      <c r="CW3" s="384"/>
      <c r="CX3" s="384"/>
      <c r="CY3" s="384"/>
      <c r="CZ3" s="384"/>
      <c r="DA3" s="384"/>
      <c r="DB3" s="384"/>
      <c r="DC3" s="384"/>
      <c r="DD3" s="384"/>
      <c r="DE3" s="384"/>
      <c r="DF3" s="384"/>
      <c r="DG3" s="384"/>
      <c r="DH3" s="384"/>
      <c r="DI3" s="384"/>
      <c r="DJ3" s="384"/>
      <c r="DK3" s="384"/>
      <c r="DL3" s="384"/>
      <c r="DM3" s="384"/>
      <c r="DN3" s="384"/>
      <c r="DO3" s="384"/>
      <c r="DP3" s="384"/>
      <c r="DQ3" s="384"/>
      <c r="DR3" s="384"/>
      <c r="DS3" s="384"/>
      <c r="DT3" s="384"/>
      <c r="DU3" s="384"/>
      <c r="DV3" s="384"/>
      <c r="DW3" s="384"/>
      <c r="DX3" s="384"/>
      <c r="DY3" s="384"/>
      <c r="DZ3" s="384"/>
      <c r="EA3" s="384"/>
      <c r="EB3" s="384"/>
      <c r="EC3" s="384"/>
      <c r="ED3" s="384"/>
      <c r="EE3" s="384"/>
      <c r="EF3" s="384"/>
      <c r="EG3" s="384"/>
      <c r="EH3" s="384"/>
      <c r="EI3" s="384"/>
      <c r="EJ3" s="384"/>
      <c r="EK3" s="384"/>
      <c r="EL3" s="384"/>
      <c r="EM3" s="384"/>
      <c r="EN3" s="384"/>
      <c r="EO3" s="384"/>
      <c r="EP3" s="384"/>
      <c r="EQ3" s="384"/>
      <c r="ER3" s="384"/>
      <c r="ES3" s="384"/>
      <c r="ET3" s="384"/>
      <c r="EU3" s="384"/>
      <c r="EV3" s="384"/>
      <c r="EW3" s="384"/>
      <c r="EX3" s="384"/>
      <c r="EY3" s="384"/>
      <c r="EZ3" s="384"/>
      <c r="FA3" s="384"/>
      <c r="FB3" s="384"/>
      <c r="FC3" s="384"/>
      <c r="FD3" s="384"/>
      <c r="FE3" s="384"/>
      <c r="FF3" s="384"/>
      <c r="FG3" s="384"/>
      <c r="FH3" s="384"/>
      <c r="FI3" s="384"/>
      <c r="FJ3" s="384"/>
      <c r="FK3" s="384"/>
      <c r="FL3" s="384"/>
      <c r="FM3" s="384"/>
      <c r="FN3" s="384"/>
      <c r="FO3" s="384"/>
      <c r="FP3" s="384"/>
      <c r="FQ3" s="384"/>
      <c r="FR3" s="384"/>
      <c r="FS3" s="384"/>
      <c r="FT3" s="384"/>
      <c r="FU3" s="384"/>
      <c r="FV3" s="384"/>
      <c r="FW3" s="384"/>
      <c r="FX3" s="384"/>
      <c r="FY3" s="384"/>
      <c r="FZ3" s="384"/>
      <c r="GA3" s="384"/>
      <c r="GB3" s="384"/>
      <c r="GC3" s="384"/>
      <c r="GD3" s="384"/>
      <c r="GE3" s="384"/>
      <c r="GF3" s="384"/>
      <c r="GG3" s="384"/>
      <c r="GH3" s="384"/>
      <c r="GI3" s="384"/>
      <c r="GJ3" s="384"/>
      <c r="GK3" s="384"/>
      <c r="GL3" s="384"/>
      <c r="GM3" s="384"/>
      <c r="GN3" s="384"/>
      <c r="GO3" s="384"/>
      <c r="GP3" s="384"/>
      <c r="GQ3" s="384"/>
      <c r="GR3" s="384"/>
      <c r="GS3" s="384"/>
      <c r="GT3" s="384"/>
      <c r="GU3" s="384"/>
      <c r="GV3" s="384"/>
      <c r="GW3" s="384"/>
      <c r="GX3" s="384"/>
      <c r="GY3" s="384"/>
      <c r="GZ3" s="384"/>
      <c r="HA3" s="384"/>
      <c r="HB3" s="384"/>
      <c r="HC3" s="384"/>
      <c r="HD3" s="384"/>
      <c r="HE3" s="384"/>
      <c r="HF3" s="384"/>
      <c r="HG3" s="384"/>
      <c r="HH3" s="384"/>
      <c r="HI3" s="384"/>
      <c r="HJ3" s="384"/>
      <c r="HK3" s="384"/>
      <c r="HL3" s="384"/>
      <c r="HM3" s="384"/>
      <c r="HN3" s="384"/>
      <c r="HO3" s="384"/>
      <c r="HP3" s="384"/>
      <c r="HQ3" s="384"/>
      <c r="HR3" s="384"/>
      <c r="HS3" s="384"/>
      <c r="HT3" s="384"/>
      <c r="HU3" s="384"/>
      <c r="HV3" s="384"/>
      <c r="HW3" s="384"/>
      <c r="HX3" s="384"/>
      <c r="HY3" s="384"/>
      <c r="HZ3" s="384"/>
      <c r="IA3" s="384"/>
      <c r="IB3" s="384"/>
      <c r="IC3" s="384"/>
      <c r="ID3" s="384"/>
      <c r="IE3" s="384"/>
      <c r="IF3" s="384"/>
      <c r="IG3" s="384"/>
      <c r="IH3" s="384"/>
      <c r="II3" s="384"/>
      <c r="IJ3" s="384"/>
      <c r="IK3" s="384"/>
      <c r="IL3" s="384"/>
      <c r="IM3" s="384"/>
      <c r="IN3" s="384"/>
      <c r="IO3" s="384"/>
      <c r="IP3" s="384"/>
      <c r="IQ3" s="384"/>
      <c r="IR3" s="384"/>
      <c r="IS3" s="384"/>
      <c r="IT3" s="384"/>
      <c r="IU3" s="384"/>
      <c r="IV3" s="384"/>
      <c r="IW3" s="384"/>
    </row>
    <row r="4" customFormat="false" ht="12.75" hidden="false" customHeight="false" outlineLevel="0" collapsed="false">
      <c r="A4" s="385" t="str">
        <f aca="false">IF((E1&lt;&gt;0),Admin!$B$13," ")</f>
        <v> </v>
      </c>
      <c r="B4" s="206"/>
      <c r="C4" s="206"/>
      <c r="D4" s="206"/>
      <c r="E4" s="206"/>
      <c r="F4" s="206"/>
      <c r="G4" s="374" t="s">
        <v>268</v>
      </c>
      <c r="H4" s="374" t="s">
        <v>269</v>
      </c>
      <c r="I4" s="374" t="s">
        <v>270</v>
      </c>
      <c r="J4" s="374" t="s">
        <v>271</v>
      </c>
      <c r="K4" s="374" t="s">
        <v>272</v>
      </c>
      <c r="L4" s="374" t="s">
        <v>273</v>
      </c>
      <c r="M4" s="374" t="s">
        <v>274</v>
      </c>
      <c r="N4" s="374" t="s">
        <v>275</v>
      </c>
      <c r="O4" s="374" t="s">
        <v>276</v>
      </c>
      <c r="P4" s="374" t="s">
        <v>277</v>
      </c>
      <c r="Q4" s="374" t="s">
        <v>278</v>
      </c>
      <c r="R4" s="374" t="s">
        <v>279</v>
      </c>
      <c r="S4" s="386" t="s">
        <v>280</v>
      </c>
      <c r="T4" s="382"/>
      <c r="U4" s="393" t="n">
        <f aca="false">IF((A1&lt;Admin!$F$22),((A1-PurchasesNov!A1)*Admin!$G$21),(A1*Admin!$G$21-(A1-Admin!$F$21)*(Admin!$G$21-Admin!$G$22)-PurchasesNov!A2))</f>
        <v>0</v>
      </c>
      <c r="V4" s="387"/>
      <c r="W4" s="387"/>
      <c r="X4" s="387"/>
      <c r="Y4" s="387"/>
      <c r="Z4" s="387"/>
      <c r="AA4" s="387"/>
      <c r="AB4" s="387"/>
      <c r="AC4" s="387"/>
      <c r="AD4" s="387"/>
      <c r="AE4" s="387"/>
      <c r="AF4" s="387"/>
      <c r="AG4" s="387"/>
      <c r="AH4" s="387"/>
      <c r="AI4" s="387"/>
      <c r="AJ4" s="387"/>
      <c r="AK4" s="387"/>
      <c r="AL4" s="387"/>
      <c r="AM4" s="387"/>
      <c r="AN4" s="387"/>
      <c r="AO4" s="387"/>
      <c r="AP4" s="387"/>
      <c r="AQ4" s="387"/>
      <c r="AR4" s="387"/>
      <c r="AS4" s="387"/>
      <c r="AT4" s="387"/>
      <c r="AU4" s="387"/>
      <c r="AV4" s="387"/>
      <c r="AW4" s="387"/>
      <c r="AX4" s="387"/>
      <c r="AY4" s="387"/>
      <c r="AZ4" s="387"/>
      <c r="BA4" s="387"/>
      <c r="BB4" s="387"/>
      <c r="BC4" s="387"/>
      <c r="BD4" s="387"/>
      <c r="BE4" s="387"/>
      <c r="BF4" s="387"/>
      <c r="BG4" s="387"/>
      <c r="BH4" s="387"/>
      <c r="BI4" s="387"/>
      <c r="BJ4" s="387"/>
      <c r="BK4" s="387"/>
      <c r="BL4" s="387"/>
      <c r="BM4" s="387"/>
      <c r="BN4" s="387"/>
      <c r="BO4" s="387"/>
      <c r="BP4" s="387"/>
      <c r="BQ4" s="387"/>
      <c r="BR4" s="387"/>
      <c r="BS4" s="387"/>
      <c r="BT4" s="387"/>
      <c r="BU4" s="387"/>
      <c r="BV4" s="387"/>
      <c r="BW4" s="387"/>
      <c r="BX4" s="387"/>
      <c r="BY4" s="387"/>
      <c r="BZ4" s="387"/>
      <c r="CA4" s="387"/>
      <c r="CB4" s="387"/>
      <c r="CC4" s="387"/>
      <c r="CD4" s="387"/>
      <c r="CE4" s="387"/>
      <c r="CF4" s="387"/>
      <c r="CG4" s="387"/>
      <c r="CH4" s="387"/>
      <c r="CI4" s="387"/>
      <c r="CJ4" s="387"/>
      <c r="CK4" s="387"/>
      <c r="CL4" s="387"/>
      <c r="CM4" s="387"/>
      <c r="CN4" s="387"/>
      <c r="CO4" s="387"/>
      <c r="CP4" s="387"/>
      <c r="CQ4" s="387"/>
      <c r="CR4" s="387"/>
      <c r="CS4" s="387"/>
      <c r="CT4" s="387"/>
      <c r="CU4" s="387"/>
      <c r="CV4" s="387"/>
      <c r="CW4" s="387"/>
      <c r="CX4" s="387"/>
      <c r="CY4" s="387"/>
      <c r="CZ4" s="387"/>
      <c r="DA4" s="387"/>
      <c r="DB4" s="387"/>
      <c r="DC4" s="387"/>
      <c r="DD4" s="387"/>
      <c r="DE4" s="387"/>
      <c r="DF4" s="387"/>
      <c r="DG4" s="387"/>
      <c r="DH4" s="387"/>
      <c r="DI4" s="387"/>
      <c r="DJ4" s="387"/>
      <c r="DK4" s="387"/>
      <c r="DL4" s="387"/>
      <c r="DM4" s="387"/>
      <c r="DN4" s="387"/>
      <c r="DO4" s="387"/>
      <c r="DP4" s="387"/>
      <c r="DQ4" s="387"/>
      <c r="DR4" s="387"/>
      <c r="DS4" s="387"/>
      <c r="DT4" s="387"/>
      <c r="DU4" s="387"/>
      <c r="DV4" s="387"/>
      <c r="DW4" s="387"/>
      <c r="DX4" s="387"/>
      <c r="DY4" s="387"/>
      <c r="DZ4" s="387"/>
      <c r="EA4" s="387"/>
      <c r="EB4" s="387"/>
      <c r="EC4" s="387"/>
      <c r="ED4" s="387"/>
      <c r="EE4" s="387"/>
      <c r="EF4" s="387"/>
      <c r="EG4" s="387"/>
      <c r="EH4" s="387"/>
      <c r="EI4" s="387"/>
      <c r="EJ4" s="387"/>
      <c r="EK4" s="387"/>
      <c r="EL4" s="387"/>
      <c r="EM4" s="387"/>
      <c r="EN4" s="387"/>
      <c r="EO4" s="387"/>
      <c r="EP4" s="387"/>
      <c r="EQ4" s="387"/>
      <c r="ER4" s="387"/>
      <c r="ES4" s="387"/>
      <c r="ET4" s="387"/>
      <c r="EU4" s="387"/>
      <c r="EV4" s="387"/>
      <c r="EW4" s="387"/>
      <c r="EX4" s="387"/>
      <c r="EY4" s="387"/>
      <c r="EZ4" s="387"/>
      <c r="FA4" s="387"/>
      <c r="FB4" s="387"/>
      <c r="FC4" s="387"/>
      <c r="FD4" s="387"/>
      <c r="FE4" s="387"/>
      <c r="FF4" s="387"/>
      <c r="FG4" s="387"/>
      <c r="FH4" s="387"/>
      <c r="FI4" s="387"/>
      <c r="FJ4" s="387"/>
      <c r="FK4" s="387"/>
      <c r="FL4" s="387"/>
      <c r="FM4" s="387"/>
      <c r="FN4" s="387"/>
      <c r="FO4" s="387"/>
      <c r="FP4" s="387"/>
      <c r="FQ4" s="387"/>
      <c r="FR4" s="387"/>
      <c r="FS4" s="387"/>
      <c r="FT4" s="387"/>
      <c r="FU4" s="387"/>
      <c r="FV4" s="387"/>
      <c r="FW4" s="387"/>
      <c r="FX4" s="387"/>
      <c r="FY4" s="387"/>
      <c r="FZ4" s="387"/>
      <c r="GA4" s="387"/>
      <c r="GB4" s="387"/>
      <c r="GC4" s="387"/>
      <c r="GD4" s="387"/>
      <c r="GE4" s="387"/>
      <c r="GF4" s="387"/>
      <c r="GG4" s="387"/>
      <c r="GH4" s="387"/>
      <c r="GI4" s="387"/>
      <c r="GJ4" s="387"/>
      <c r="GK4" s="387"/>
      <c r="GL4" s="387"/>
      <c r="GM4" s="387"/>
      <c r="GN4" s="387"/>
      <c r="GO4" s="387"/>
      <c r="GP4" s="387"/>
      <c r="GQ4" s="387"/>
      <c r="GR4" s="387"/>
      <c r="GS4" s="387"/>
      <c r="GT4" s="387"/>
      <c r="GU4" s="387"/>
      <c r="GV4" s="387"/>
      <c r="GW4" s="387"/>
      <c r="GX4" s="387"/>
      <c r="GY4" s="387"/>
      <c r="GZ4" s="387"/>
      <c r="HA4" s="387"/>
      <c r="HB4" s="387"/>
      <c r="HC4" s="387"/>
      <c r="HD4" s="387"/>
      <c r="HE4" s="387"/>
      <c r="HF4" s="387"/>
      <c r="HG4" s="387"/>
      <c r="HH4" s="387"/>
      <c r="HI4" s="387"/>
      <c r="HJ4" s="387"/>
      <c r="HK4" s="387"/>
      <c r="HL4" s="387"/>
      <c r="HM4" s="387"/>
      <c r="HN4" s="387"/>
      <c r="HO4" s="387"/>
      <c r="HP4" s="387"/>
      <c r="HQ4" s="387"/>
      <c r="HR4" s="387"/>
      <c r="HS4" s="387"/>
      <c r="HT4" s="387"/>
      <c r="HU4" s="387"/>
      <c r="HV4" s="387"/>
      <c r="HW4" s="387"/>
      <c r="HX4" s="387"/>
      <c r="HY4" s="387"/>
      <c r="HZ4" s="387"/>
      <c r="IA4" s="387"/>
      <c r="IB4" s="387"/>
      <c r="IC4" s="387"/>
      <c r="ID4" s="387"/>
      <c r="IE4" s="387"/>
      <c r="IF4" s="387"/>
      <c r="IG4" s="387"/>
      <c r="IH4" s="387"/>
      <c r="II4" s="387"/>
      <c r="IJ4" s="387"/>
      <c r="IK4" s="387"/>
      <c r="IL4" s="387"/>
      <c r="IM4" s="387"/>
      <c r="IN4" s="387"/>
      <c r="IO4" s="387"/>
      <c r="IP4" s="387"/>
      <c r="IQ4" s="387"/>
      <c r="IR4" s="387"/>
      <c r="IS4" s="387"/>
      <c r="IT4" s="387"/>
      <c r="IU4" s="387"/>
      <c r="IV4" s="387"/>
      <c r="IW4" s="387"/>
    </row>
    <row r="5" customFormat="false" ht="12.75" hidden="false" customHeight="false" outlineLevel="0" collapsed="false">
      <c r="A5" s="370" t="n">
        <v>46371</v>
      </c>
      <c r="B5" s="388" t="s">
        <v>286</v>
      </c>
      <c r="C5" s="371"/>
      <c r="D5" s="371" t="s">
        <v>287</v>
      </c>
      <c r="F5" s="371" t="n">
        <v>300</v>
      </c>
      <c r="G5" s="180" t="n">
        <f aca="false">IF((D5="d"),F5," ")</f>
        <v>300</v>
      </c>
      <c r="H5" s="180" t="str">
        <f aca="false">IF((D5="h"),F5," ")</f>
        <v> </v>
      </c>
      <c r="I5" s="180" t="str">
        <f aca="false">IF((D5="r"),F5," ")</f>
        <v> </v>
      </c>
      <c r="J5" s="180" t="str">
        <f aca="false">IF((D5="t"),F5," ")</f>
        <v> </v>
      </c>
      <c r="K5" s="180" t="str">
        <f aca="false">IF((D5="e"),F5," ")</f>
        <v> </v>
      </c>
      <c r="L5" s="180" t="str">
        <f aca="false">IF((D5="p"),F5," ")</f>
        <v> </v>
      </c>
      <c r="M5" s="180" t="str">
        <f aca="false">IF((D5="g"),F5," ")</f>
        <v> </v>
      </c>
      <c r="N5" s="180" t="str">
        <f aca="false">IF((D5="a"),F5," ")</f>
        <v> </v>
      </c>
      <c r="O5" s="180" t="str">
        <f aca="false">IF((D5="l"),F5," ")</f>
        <v> </v>
      </c>
      <c r="P5" s="180" t="str">
        <f aca="false">IF((D5="i"),F5," ")</f>
        <v> </v>
      </c>
      <c r="Q5" s="180" t="str">
        <f aca="false">IF((D5="b"),F5," ")</f>
        <v> </v>
      </c>
      <c r="R5" s="180" t="str">
        <f aca="false">IF((D5="o"),F5," ")</f>
        <v> </v>
      </c>
      <c r="S5" s="180" t="str">
        <f aca="false">IF((D5="f"),F5," ")</f>
        <v> </v>
      </c>
      <c r="T5" s="371"/>
      <c r="U5" s="371"/>
      <c r="V5" s="371"/>
      <c r="W5" s="371"/>
      <c r="X5" s="371"/>
      <c r="Y5" s="371"/>
      <c r="Z5" s="371"/>
      <c r="AA5" s="371"/>
      <c r="AB5" s="371"/>
      <c r="AC5" s="371"/>
      <c r="AD5" s="371"/>
      <c r="AE5" s="371"/>
      <c r="AF5" s="371"/>
      <c r="AG5" s="371"/>
      <c r="AH5" s="371"/>
      <c r="AI5" s="371"/>
      <c r="AJ5" s="371"/>
      <c r="AK5" s="371"/>
      <c r="AL5" s="371"/>
      <c r="AM5" s="371"/>
      <c r="AN5" s="371"/>
      <c r="AO5" s="371"/>
      <c r="AP5" s="371"/>
      <c r="AQ5" s="371"/>
      <c r="AR5" s="371"/>
      <c r="AS5" s="371"/>
      <c r="AT5" s="371"/>
      <c r="AU5" s="371"/>
      <c r="AV5" s="371"/>
      <c r="AW5" s="371"/>
      <c r="AX5" s="371"/>
      <c r="AY5" s="371"/>
      <c r="AZ5" s="371"/>
      <c r="BA5" s="371"/>
      <c r="BB5" s="371"/>
      <c r="BC5" s="371"/>
      <c r="BD5" s="371"/>
      <c r="BE5" s="371"/>
      <c r="BF5" s="371"/>
      <c r="BG5" s="371"/>
      <c r="BH5" s="371"/>
      <c r="BI5" s="371"/>
      <c r="BJ5" s="371"/>
      <c r="BK5" s="371"/>
      <c r="BL5" s="371"/>
      <c r="BM5" s="371"/>
      <c r="BN5" s="371"/>
      <c r="BO5" s="371"/>
      <c r="BP5" s="371"/>
      <c r="BQ5" s="371"/>
      <c r="BR5" s="371"/>
      <c r="BS5" s="371"/>
      <c r="BT5" s="371"/>
      <c r="BU5" s="371"/>
      <c r="BV5" s="371"/>
      <c r="BW5" s="371"/>
      <c r="BX5" s="371"/>
      <c r="BY5" s="371"/>
      <c r="BZ5" s="371"/>
      <c r="CA5" s="371"/>
      <c r="CB5" s="371"/>
      <c r="CC5" s="371"/>
      <c r="CD5" s="371"/>
      <c r="CE5" s="371"/>
      <c r="CF5" s="371"/>
      <c r="CG5" s="371"/>
      <c r="CH5" s="371"/>
      <c r="CI5" s="371"/>
      <c r="CJ5" s="371"/>
      <c r="CK5" s="371"/>
      <c r="CL5" s="371"/>
      <c r="CM5" s="371"/>
      <c r="CN5" s="371"/>
      <c r="CO5" s="371"/>
      <c r="CP5" s="371"/>
      <c r="CQ5" s="371"/>
      <c r="CR5" s="371"/>
      <c r="CS5" s="371"/>
      <c r="CT5" s="371"/>
      <c r="CU5" s="371"/>
      <c r="CV5" s="371"/>
      <c r="CW5" s="371"/>
      <c r="CX5" s="371"/>
      <c r="CY5" s="371"/>
      <c r="CZ5" s="371"/>
      <c r="DA5" s="371"/>
      <c r="DB5" s="371"/>
      <c r="DC5" s="371"/>
      <c r="DD5" s="371"/>
      <c r="DE5" s="371"/>
      <c r="DF5" s="371"/>
      <c r="DG5" s="371"/>
      <c r="DH5" s="371"/>
      <c r="DI5" s="371"/>
      <c r="DJ5" s="371"/>
      <c r="DK5" s="371"/>
      <c r="DL5" s="371"/>
      <c r="DM5" s="371"/>
      <c r="DN5" s="371"/>
      <c r="DO5" s="371"/>
      <c r="DP5" s="371"/>
      <c r="DQ5" s="371"/>
      <c r="DR5" s="371"/>
      <c r="DS5" s="371"/>
      <c r="DT5" s="371"/>
      <c r="DU5" s="371"/>
      <c r="DV5" s="371"/>
      <c r="DW5" s="371"/>
      <c r="DX5" s="371"/>
      <c r="DY5" s="371"/>
      <c r="DZ5" s="371"/>
      <c r="EA5" s="371"/>
      <c r="EB5" s="371"/>
      <c r="EC5" s="371"/>
      <c r="ED5" s="371"/>
      <c r="EE5" s="371"/>
      <c r="EF5" s="371"/>
      <c r="EG5" s="371"/>
      <c r="EH5" s="371"/>
      <c r="EI5" s="371"/>
      <c r="EJ5" s="371"/>
      <c r="EK5" s="371"/>
      <c r="EL5" s="371"/>
      <c r="EM5" s="371"/>
      <c r="EN5" s="371"/>
      <c r="EO5" s="371"/>
      <c r="EP5" s="371"/>
      <c r="EQ5" s="371"/>
      <c r="ER5" s="371"/>
      <c r="ES5" s="371"/>
      <c r="ET5" s="371"/>
      <c r="EU5" s="371"/>
      <c r="EV5" s="371"/>
      <c r="EW5" s="371"/>
      <c r="EX5" s="371"/>
      <c r="EY5" s="371"/>
      <c r="EZ5" s="371"/>
      <c r="FA5" s="371"/>
      <c r="FB5" s="371"/>
      <c r="FC5" s="371"/>
      <c r="FD5" s="371"/>
      <c r="FE5" s="371"/>
      <c r="FF5" s="371"/>
      <c r="FG5" s="371"/>
      <c r="FH5" s="371"/>
      <c r="FI5" s="371"/>
      <c r="FJ5" s="371"/>
      <c r="FK5" s="371"/>
      <c r="FL5" s="371"/>
      <c r="FM5" s="371"/>
      <c r="FN5" s="371"/>
      <c r="FO5" s="371"/>
      <c r="FP5" s="371"/>
      <c r="FQ5" s="371"/>
      <c r="FR5" s="371"/>
      <c r="FS5" s="371"/>
      <c r="FT5" s="371"/>
      <c r="FU5" s="371"/>
      <c r="FV5" s="371"/>
      <c r="FW5" s="371"/>
      <c r="FX5" s="371"/>
      <c r="FY5" s="371"/>
      <c r="FZ5" s="371"/>
      <c r="GA5" s="371"/>
      <c r="GB5" s="371"/>
      <c r="GC5" s="371"/>
      <c r="GD5" s="371"/>
      <c r="GE5" s="371"/>
      <c r="GF5" s="371"/>
      <c r="GG5" s="371"/>
      <c r="GH5" s="371"/>
      <c r="GI5" s="371"/>
      <c r="GJ5" s="371"/>
      <c r="GK5" s="371"/>
      <c r="GL5" s="371"/>
      <c r="GM5" s="371"/>
      <c r="GN5" s="371"/>
      <c r="GO5" s="371"/>
      <c r="GP5" s="371"/>
      <c r="GQ5" s="371"/>
      <c r="GR5" s="371"/>
      <c r="GS5" s="371"/>
      <c r="GT5" s="371"/>
      <c r="GU5" s="371"/>
      <c r="GV5" s="371"/>
      <c r="GW5" s="371"/>
      <c r="GX5" s="371"/>
      <c r="GY5" s="371"/>
      <c r="GZ5" s="371"/>
      <c r="HA5" s="371"/>
      <c r="HB5" s="371"/>
      <c r="HC5" s="371"/>
      <c r="HD5" s="371"/>
      <c r="HE5" s="371"/>
      <c r="HF5" s="371"/>
      <c r="HG5" s="371"/>
      <c r="HH5" s="371"/>
      <c r="HI5" s="371"/>
      <c r="HJ5" s="371"/>
      <c r="HK5" s="371"/>
      <c r="HL5" s="371"/>
      <c r="HM5" s="371"/>
      <c r="HN5" s="371"/>
      <c r="HO5" s="371"/>
      <c r="HP5" s="371"/>
      <c r="HQ5" s="371"/>
      <c r="HR5" s="371"/>
      <c r="HS5" s="371"/>
      <c r="HT5" s="371"/>
      <c r="HU5" s="371"/>
      <c r="HV5" s="371"/>
      <c r="HW5" s="371"/>
      <c r="HX5" s="371"/>
      <c r="HY5" s="371"/>
      <c r="HZ5" s="371"/>
      <c r="IA5" s="371"/>
      <c r="IB5" s="371"/>
      <c r="IC5" s="371"/>
      <c r="ID5" s="371"/>
      <c r="IE5" s="371"/>
      <c r="IF5" s="371"/>
      <c r="IG5" s="371"/>
      <c r="IH5" s="371"/>
      <c r="II5" s="371"/>
      <c r="IJ5" s="371"/>
      <c r="IK5" s="371"/>
      <c r="IL5" s="371"/>
      <c r="IM5" s="371"/>
      <c r="IN5" s="371"/>
      <c r="IO5" s="371"/>
      <c r="IP5" s="371"/>
      <c r="IQ5" s="371"/>
      <c r="IR5" s="371"/>
      <c r="IS5" s="371"/>
      <c r="IT5" s="371"/>
      <c r="IU5" s="371"/>
      <c r="IV5" s="371"/>
      <c r="IW5" s="371"/>
    </row>
    <row r="6" customFormat="false" ht="12.75" hidden="false" customHeight="false" outlineLevel="0" collapsed="false">
      <c r="G6" s="180" t="str">
        <f aca="false">IF((D6="d"),F6," ")</f>
        <v> </v>
      </c>
      <c r="H6" s="180" t="str">
        <f aca="false">IF((D6="h"),F6," ")</f>
        <v> </v>
      </c>
      <c r="I6" s="180" t="str">
        <f aca="false">IF((D6="r"),F6," ")</f>
        <v> </v>
      </c>
      <c r="J6" s="180" t="str">
        <f aca="false">IF((D6="t"),F6," ")</f>
        <v> </v>
      </c>
      <c r="K6" s="180" t="str">
        <f aca="false">IF((D6="e"),F6," ")</f>
        <v> </v>
      </c>
      <c r="L6" s="180" t="str">
        <f aca="false">IF((D6="p"),F6," ")</f>
        <v> </v>
      </c>
      <c r="M6" s="180" t="str">
        <f aca="false">IF((D6="g"),F6," ")</f>
        <v> </v>
      </c>
      <c r="N6" s="180" t="str">
        <f aca="false">IF((D6="a"),F6," ")</f>
        <v> </v>
      </c>
      <c r="O6" s="180" t="str">
        <f aca="false">IF((D6="l"),F6," ")</f>
        <v> </v>
      </c>
      <c r="P6" s="180" t="str">
        <f aca="false">IF((D6="i"),F6," ")</f>
        <v> </v>
      </c>
      <c r="Q6" s="180" t="str">
        <f aca="false">IF((D6="b"),F6," ")</f>
        <v> </v>
      </c>
      <c r="R6" s="180" t="str">
        <f aca="false">IF((D6="o"),F6," ")</f>
        <v> </v>
      </c>
      <c r="S6" s="180" t="str">
        <f aca="false">IF((D6="f"),F6," ")</f>
        <v> </v>
      </c>
      <c r="U6" s="371"/>
    </row>
    <row r="7" customFormat="false" ht="12.75" hidden="false" customHeight="false" outlineLevel="0" collapsed="false">
      <c r="G7" s="180" t="str">
        <f aca="false">IF((D7="d"),F7," ")</f>
        <v> </v>
      </c>
      <c r="H7" s="180" t="str">
        <f aca="false">IF((D7="h"),F7," ")</f>
        <v> </v>
      </c>
      <c r="I7" s="180" t="str">
        <f aca="false">IF((D7="r"),F7," ")</f>
        <v> </v>
      </c>
      <c r="J7" s="180" t="str">
        <f aca="false">IF((D7="t"),F7," ")</f>
        <v> </v>
      </c>
      <c r="K7" s="180" t="str">
        <f aca="false">IF((D7="e"),F7," ")</f>
        <v> </v>
      </c>
      <c r="L7" s="180" t="str">
        <f aca="false">IF((D7="p"),F7," ")</f>
        <v> </v>
      </c>
      <c r="M7" s="180" t="str">
        <f aca="false">IF((D7="g"),F7," ")</f>
        <v> </v>
      </c>
      <c r="N7" s="180" t="str">
        <f aca="false">IF((D7="a"),F7," ")</f>
        <v> </v>
      </c>
      <c r="O7" s="180" t="str">
        <f aca="false">IF((D7="l"),F7," ")</f>
        <v> </v>
      </c>
      <c r="P7" s="180" t="str">
        <f aca="false">IF((D7="i"),F7," ")</f>
        <v> </v>
      </c>
      <c r="Q7" s="180" t="str">
        <f aca="false">IF((D7="b"),F7," ")</f>
        <v> </v>
      </c>
      <c r="R7" s="180" t="str">
        <f aca="false">IF((D7="o"),F7," ")</f>
        <v> </v>
      </c>
      <c r="S7" s="180" t="str">
        <f aca="false">IF((D7="f"),F7," ")</f>
        <v> </v>
      </c>
      <c r="U7" s="371"/>
    </row>
    <row r="8" customFormat="false" ht="12.75" hidden="false" customHeight="false" outlineLevel="0" collapsed="false">
      <c r="G8" s="180" t="str">
        <f aca="false">IF((D8="d"),F8," ")</f>
        <v> </v>
      </c>
      <c r="H8" s="180" t="str">
        <f aca="false">IF((D8="h"),F8," ")</f>
        <v> </v>
      </c>
      <c r="I8" s="180" t="str">
        <f aca="false">IF((D8="r"),F8," ")</f>
        <v> </v>
      </c>
      <c r="J8" s="180" t="str">
        <f aca="false">IF((D8="t"),F8," ")</f>
        <v> </v>
      </c>
      <c r="K8" s="180" t="str">
        <f aca="false">IF((D8="e"),F8," ")</f>
        <v> </v>
      </c>
      <c r="L8" s="180" t="str">
        <f aca="false">IF((D8="p"),F8," ")</f>
        <v> </v>
      </c>
      <c r="M8" s="180" t="str">
        <f aca="false">IF((D8="g"),F8," ")</f>
        <v> </v>
      </c>
      <c r="N8" s="180" t="str">
        <f aca="false">IF((D8="a"),F8," ")</f>
        <v> </v>
      </c>
      <c r="O8" s="180" t="str">
        <f aca="false">IF((D8="l"),F8," ")</f>
        <v> </v>
      </c>
      <c r="P8" s="180" t="str">
        <f aca="false">IF((D8="i"),F8," ")</f>
        <v> </v>
      </c>
      <c r="Q8" s="180" t="str">
        <f aca="false">IF((D8="b"),F8," ")</f>
        <v> </v>
      </c>
      <c r="R8" s="180" t="str">
        <f aca="false">IF((D8="o"),F8," ")</f>
        <v> </v>
      </c>
      <c r="S8" s="180" t="str">
        <f aca="false">IF((D8="f"),F8," ")</f>
        <v> </v>
      </c>
      <c r="U8" s="371"/>
    </row>
    <row r="9" customFormat="false" ht="12.75" hidden="false" customHeight="false" outlineLevel="0" collapsed="false">
      <c r="G9" s="180" t="str">
        <f aca="false">IF((D9="d"),F9," ")</f>
        <v> </v>
      </c>
      <c r="H9" s="180" t="str">
        <f aca="false">IF((D9="h"),F9," ")</f>
        <v> </v>
      </c>
      <c r="I9" s="180" t="str">
        <f aca="false">IF((D9="r"),F9," ")</f>
        <v> </v>
      </c>
      <c r="J9" s="180" t="str">
        <f aca="false">IF((D9="t"),F9," ")</f>
        <v> </v>
      </c>
      <c r="K9" s="180" t="str">
        <f aca="false">IF((D9="e"),F9," ")</f>
        <v> </v>
      </c>
      <c r="L9" s="180" t="str">
        <f aca="false">IF((D9="p"),F9," ")</f>
        <v> </v>
      </c>
      <c r="M9" s="180" t="str">
        <f aca="false">IF((D9="g"),F9," ")</f>
        <v> </v>
      </c>
      <c r="N9" s="180" t="str">
        <f aca="false">IF((D9="a"),F9," ")</f>
        <v> </v>
      </c>
      <c r="O9" s="180" t="str">
        <f aca="false">IF((D9="l"),F9," ")</f>
        <v> </v>
      </c>
      <c r="P9" s="180" t="str">
        <f aca="false">IF((D9="i"),F9," ")</f>
        <v> </v>
      </c>
      <c r="Q9" s="180" t="str">
        <f aca="false">IF((D9="b"),F9," ")</f>
        <v> </v>
      </c>
      <c r="R9" s="180" t="str">
        <f aca="false">IF((D9="o"),F9," ")</f>
        <v> </v>
      </c>
      <c r="S9" s="180" t="str">
        <f aca="false">IF((D9="f"),F9," ")</f>
        <v> </v>
      </c>
      <c r="U9" s="371"/>
    </row>
    <row r="10" customFormat="false" ht="12.75" hidden="false" customHeight="false" outlineLevel="0" collapsed="false">
      <c r="G10" s="180" t="str">
        <f aca="false">IF((D10="d"),F10," ")</f>
        <v> </v>
      </c>
      <c r="H10" s="180" t="str">
        <f aca="false">IF((D10="h"),F10," ")</f>
        <v> </v>
      </c>
      <c r="I10" s="180" t="str">
        <f aca="false">IF((D10="r"),F10," ")</f>
        <v> </v>
      </c>
      <c r="J10" s="180" t="str">
        <f aca="false">IF((D10="t"),F10," ")</f>
        <v> </v>
      </c>
      <c r="K10" s="180" t="str">
        <f aca="false">IF((D10="e"),F10," ")</f>
        <v> </v>
      </c>
      <c r="L10" s="180" t="str">
        <f aca="false">IF((D10="p"),F10," ")</f>
        <v> </v>
      </c>
      <c r="M10" s="180" t="str">
        <f aca="false">IF((D10="g"),F10," ")</f>
        <v> </v>
      </c>
      <c r="N10" s="180" t="str">
        <f aca="false">IF((D10="a"),F10," ")</f>
        <v> </v>
      </c>
      <c r="O10" s="180" t="str">
        <f aca="false">IF((D10="l"),F10," ")</f>
        <v> </v>
      </c>
      <c r="P10" s="180" t="str">
        <f aca="false">IF((D10="i"),F10," ")</f>
        <v> </v>
      </c>
      <c r="Q10" s="180" t="str">
        <f aca="false">IF((D10="b"),F10," ")</f>
        <v> </v>
      </c>
      <c r="R10" s="180" t="str">
        <f aca="false">IF((D10="o"),F10," ")</f>
        <v> </v>
      </c>
      <c r="S10" s="180" t="str">
        <f aca="false">IF((D10="f"),F10," ")</f>
        <v> </v>
      </c>
      <c r="U10" s="371"/>
    </row>
    <row r="11" customFormat="false" ht="12.75" hidden="false" customHeight="false" outlineLevel="0" collapsed="false">
      <c r="G11" s="180" t="str">
        <f aca="false">IF((D11="d"),F11," ")</f>
        <v> </v>
      </c>
      <c r="H11" s="180" t="str">
        <f aca="false">IF((D11="h"),F11," ")</f>
        <v> </v>
      </c>
      <c r="I11" s="180" t="str">
        <f aca="false">IF((D11="r"),F11," ")</f>
        <v> </v>
      </c>
      <c r="J11" s="180" t="str">
        <f aca="false">IF((D11="t"),F11," ")</f>
        <v> </v>
      </c>
      <c r="K11" s="180" t="str">
        <f aca="false">IF((D11="e"),F11," ")</f>
        <v> </v>
      </c>
      <c r="L11" s="180" t="str">
        <f aca="false">IF((D11="p"),F11," ")</f>
        <v> </v>
      </c>
      <c r="M11" s="180" t="str">
        <f aca="false">IF((D11="g"),F11," ")</f>
        <v> </v>
      </c>
      <c r="N11" s="180" t="str">
        <f aca="false">IF((D11="a"),F11," ")</f>
        <v> </v>
      </c>
      <c r="O11" s="180" t="str">
        <f aca="false">IF((D11="l"),F11," ")</f>
        <v> </v>
      </c>
      <c r="P11" s="180" t="str">
        <f aca="false">IF((D11="i"),F11," ")</f>
        <v> </v>
      </c>
      <c r="Q11" s="180" t="str">
        <f aca="false">IF((D11="b"),F11," ")</f>
        <v> </v>
      </c>
      <c r="R11" s="180" t="str">
        <f aca="false">IF((D11="o"),F11," ")</f>
        <v> </v>
      </c>
      <c r="S11" s="180" t="str">
        <f aca="false">IF((D11="f"),F11," ")</f>
        <v> </v>
      </c>
      <c r="U11" s="371"/>
    </row>
    <row r="12" customFormat="false" ht="12.75" hidden="false" customHeight="false" outlineLevel="0" collapsed="false">
      <c r="G12" s="180" t="str">
        <f aca="false">IF((D12="d"),F12," ")</f>
        <v> </v>
      </c>
      <c r="H12" s="180" t="str">
        <f aca="false">IF((D12="h"),F12," ")</f>
        <v> </v>
      </c>
      <c r="I12" s="180" t="str">
        <f aca="false">IF((D12="r"),F12," ")</f>
        <v> </v>
      </c>
      <c r="J12" s="180" t="str">
        <f aca="false">IF((D12="t"),F12," ")</f>
        <v> </v>
      </c>
      <c r="K12" s="180" t="str">
        <f aca="false">IF((D12="e"),F12," ")</f>
        <v> </v>
      </c>
      <c r="L12" s="180" t="str">
        <f aca="false">IF((D12="p"),F12," ")</f>
        <v> </v>
      </c>
      <c r="M12" s="180" t="str">
        <f aca="false">IF((D12="g"),F12," ")</f>
        <v> </v>
      </c>
      <c r="N12" s="180" t="str">
        <f aca="false">IF((D12="a"),F12," ")</f>
        <v> </v>
      </c>
      <c r="O12" s="180" t="str">
        <f aca="false">IF((D12="l"),F12," ")</f>
        <v> </v>
      </c>
      <c r="P12" s="180" t="str">
        <f aca="false">IF((D12="i"),F12," ")</f>
        <v> </v>
      </c>
      <c r="Q12" s="180" t="str">
        <f aca="false">IF((D12="b"),F12," ")</f>
        <v> </v>
      </c>
      <c r="R12" s="180" t="str">
        <f aca="false">IF((D12="o"),F12," ")</f>
        <v> </v>
      </c>
      <c r="S12" s="180" t="str">
        <f aca="false">IF((D12="f"),F12," ")</f>
        <v> </v>
      </c>
      <c r="U12" s="371"/>
    </row>
    <row r="13" customFormat="false" ht="12.75" hidden="false" customHeight="false" outlineLevel="0" collapsed="false">
      <c r="G13" s="180" t="str">
        <f aca="false">IF((D13="d"),F13," ")</f>
        <v> </v>
      </c>
      <c r="H13" s="180" t="str">
        <f aca="false">IF((D13="h"),F13," ")</f>
        <v> </v>
      </c>
      <c r="I13" s="180" t="str">
        <f aca="false">IF((D13="r"),F13," ")</f>
        <v> </v>
      </c>
      <c r="J13" s="180" t="str">
        <f aca="false">IF((D13="t"),F13," ")</f>
        <v> </v>
      </c>
      <c r="K13" s="180" t="str">
        <f aca="false">IF((D13="e"),F13," ")</f>
        <v> </v>
      </c>
      <c r="L13" s="180" t="str">
        <f aca="false">IF((D13="p"),F13," ")</f>
        <v> </v>
      </c>
      <c r="M13" s="180" t="str">
        <f aca="false">IF((D13="g"),F13," ")</f>
        <v> </v>
      </c>
      <c r="N13" s="180" t="str">
        <f aca="false">IF((D13="a"),F13," ")</f>
        <v> </v>
      </c>
      <c r="O13" s="180" t="str">
        <f aca="false">IF((D13="l"),F13," ")</f>
        <v> </v>
      </c>
      <c r="P13" s="180" t="str">
        <f aca="false">IF((D13="i"),F13," ")</f>
        <v> </v>
      </c>
      <c r="Q13" s="180" t="str">
        <f aca="false">IF((D13="b"),F13," ")</f>
        <v> </v>
      </c>
      <c r="R13" s="180" t="str">
        <f aca="false">IF((D13="o"),F13," ")</f>
        <v> </v>
      </c>
      <c r="S13" s="180" t="str">
        <f aca="false">IF((D13="f"),F13," ")</f>
        <v> </v>
      </c>
      <c r="U13" s="371"/>
    </row>
    <row r="14" customFormat="false" ht="12.75" hidden="false" customHeight="false" outlineLevel="0" collapsed="false">
      <c r="G14" s="180" t="str">
        <f aca="false">IF((D14="d"),F14," ")</f>
        <v> </v>
      </c>
      <c r="H14" s="180" t="str">
        <f aca="false">IF((D14="h"),F14," ")</f>
        <v> </v>
      </c>
      <c r="I14" s="180" t="str">
        <f aca="false">IF((D14="r"),F14," ")</f>
        <v> </v>
      </c>
      <c r="J14" s="180" t="str">
        <f aca="false">IF((D14="t"),F14," ")</f>
        <v> </v>
      </c>
      <c r="K14" s="180" t="str">
        <f aca="false">IF((D14="e"),F14," ")</f>
        <v> </v>
      </c>
      <c r="L14" s="180" t="str">
        <f aca="false">IF((D14="p"),F14," ")</f>
        <v> </v>
      </c>
      <c r="M14" s="180" t="str">
        <f aca="false">IF((D14="g"),F14," ")</f>
        <v> </v>
      </c>
      <c r="N14" s="180" t="str">
        <f aca="false">IF((D14="a"),F14," ")</f>
        <v> </v>
      </c>
      <c r="O14" s="180" t="str">
        <f aca="false">IF((D14="l"),F14," ")</f>
        <v> </v>
      </c>
      <c r="P14" s="180" t="str">
        <f aca="false">IF((D14="i"),F14," ")</f>
        <v> </v>
      </c>
      <c r="Q14" s="180" t="str">
        <f aca="false">IF((D14="b"),F14," ")</f>
        <v> </v>
      </c>
      <c r="R14" s="180" t="str">
        <f aca="false">IF((D14="o"),F14," ")</f>
        <v> </v>
      </c>
      <c r="S14" s="180" t="str">
        <f aca="false">IF((D14="f"),F14," ")</f>
        <v> </v>
      </c>
      <c r="U14" s="371"/>
    </row>
    <row r="15" customFormat="false" ht="12.75" hidden="false" customHeight="false" outlineLevel="0" collapsed="false">
      <c r="G15" s="180" t="str">
        <f aca="false">IF((D15="d"),F15," ")</f>
        <v> </v>
      </c>
      <c r="H15" s="180" t="str">
        <f aca="false">IF((D15="h"),F15," ")</f>
        <v> </v>
      </c>
      <c r="I15" s="180" t="str">
        <f aca="false">IF((D15="r"),F15," ")</f>
        <v> </v>
      </c>
      <c r="J15" s="180" t="str">
        <f aca="false">IF((D15="t"),F15," ")</f>
        <v> </v>
      </c>
      <c r="K15" s="180" t="str">
        <f aca="false">IF((D15="e"),F15," ")</f>
        <v> </v>
      </c>
      <c r="L15" s="180" t="str">
        <f aca="false">IF((D15="p"),F15," ")</f>
        <v> </v>
      </c>
      <c r="M15" s="180" t="str">
        <f aca="false">IF((D15="g"),F15," ")</f>
        <v> </v>
      </c>
      <c r="N15" s="180" t="str">
        <f aca="false">IF((D15="a"),F15," ")</f>
        <v> </v>
      </c>
      <c r="O15" s="180" t="str">
        <f aca="false">IF((D15="l"),F15," ")</f>
        <v> </v>
      </c>
      <c r="P15" s="180" t="str">
        <f aca="false">IF((D15="i"),F15," ")</f>
        <v> </v>
      </c>
      <c r="Q15" s="180" t="str">
        <f aca="false">IF((D15="b"),F15," ")</f>
        <v> </v>
      </c>
      <c r="R15" s="180" t="str">
        <f aca="false">IF((D15="o"),F15," ")</f>
        <v> </v>
      </c>
      <c r="S15" s="180" t="str">
        <f aca="false">IF((D15="f"),F15," ")</f>
        <v> </v>
      </c>
      <c r="U15" s="371"/>
    </row>
    <row r="16" customFormat="false" ht="12.75" hidden="false" customHeight="false" outlineLevel="0" collapsed="false">
      <c r="G16" s="180" t="str">
        <f aca="false">IF((D16="d"),F16," ")</f>
        <v> </v>
      </c>
      <c r="H16" s="180" t="str">
        <f aca="false">IF((D16="h"),F16," ")</f>
        <v> </v>
      </c>
      <c r="I16" s="180" t="str">
        <f aca="false">IF((D16="r"),F16," ")</f>
        <v> </v>
      </c>
      <c r="J16" s="180" t="str">
        <f aca="false">IF((D16="t"),F16," ")</f>
        <v> </v>
      </c>
      <c r="K16" s="180" t="str">
        <f aca="false">IF((D16="e"),F16," ")</f>
        <v> </v>
      </c>
      <c r="L16" s="180" t="str">
        <f aca="false">IF((D16="p"),F16," ")</f>
        <v> </v>
      </c>
      <c r="M16" s="180" t="str">
        <f aca="false">IF((D16="g"),F16," ")</f>
        <v> </v>
      </c>
      <c r="N16" s="180" t="str">
        <f aca="false">IF((D16="a"),F16," ")</f>
        <v> </v>
      </c>
      <c r="O16" s="180" t="str">
        <f aca="false">IF((D16="l"),F16," ")</f>
        <v> </v>
      </c>
      <c r="P16" s="180" t="str">
        <f aca="false">IF((D16="i"),F16," ")</f>
        <v> </v>
      </c>
      <c r="Q16" s="180" t="str">
        <f aca="false">IF((D16="b"),F16," ")</f>
        <v> </v>
      </c>
      <c r="R16" s="180" t="str">
        <f aca="false">IF((D16="o"),F16," ")</f>
        <v> </v>
      </c>
      <c r="S16" s="180" t="str">
        <f aca="false">IF((D16="f"),F16," ")</f>
        <v> </v>
      </c>
      <c r="U16" s="371"/>
    </row>
    <row r="17" customFormat="false" ht="12.75" hidden="false" customHeight="false" outlineLevel="0" collapsed="false">
      <c r="G17" s="180" t="str">
        <f aca="false">IF((D17="d"),F17," ")</f>
        <v> </v>
      </c>
      <c r="H17" s="180" t="str">
        <f aca="false">IF((D17="h"),F17," ")</f>
        <v> </v>
      </c>
      <c r="I17" s="180" t="str">
        <f aca="false">IF((D17="r"),F17," ")</f>
        <v> </v>
      </c>
      <c r="J17" s="180" t="str">
        <f aca="false">IF((D17="t"),F17," ")</f>
        <v> </v>
      </c>
      <c r="K17" s="180" t="str">
        <f aca="false">IF((D17="e"),F17," ")</f>
        <v> </v>
      </c>
      <c r="L17" s="180" t="str">
        <f aca="false">IF((D17="p"),F17," ")</f>
        <v> </v>
      </c>
      <c r="M17" s="180" t="str">
        <f aca="false">IF((D17="g"),F17," ")</f>
        <v> </v>
      </c>
      <c r="N17" s="180" t="str">
        <f aca="false">IF((D17="a"),F17," ")</f>
        <v> </v>
      </c>
      <c r="O17" s="180" t="str">
        <f aca="false">IF((D17="l"),F17," ")</f>
        <v> </v>
      </c>
      <c r="P17" s="180" t="str">
        <f aca="false">IF((D17="i"),F17," ")</f>
        <v> </v>
      </c>
      <c r="Q17" s="180" t="str">
        <f aca="false">IF((D17="b"),F17," ")</f>
        <v> </v>
      </c>
      <c r="R17" s="180" t="str">
        <f aca="false">IF((D17="o"),F17," ")</f>
        <v> </v>
      </c>
      <c r="S17" s="180" t="str">
        <f aca="false">IF((D17="f"),F17," ")</f>
        <v> </v>
      </c>
      <c r="U17" s="371"/>
    </row>
    <row r="18" customFormat="false" ht="12.75" hidden="false" customHeight="false" outlineLevel="0" collapsed="false">
      <c r="G18" s="180" t="str">
        <f aca="false">IF((D18="d"),F18," ")</f>
        <v> </v>
      </c>
      <c r="H18" s="180" t="str">
        <f aca="false">IF((D18="h"),F18," ")</f>
        <v> </v>
      </c>
      <c r="I18" s="180" t="str">
        <f aca="false">IF((D18="r"),F18," ")</f>
        <v> </v>
      </c>
      <c r="J18" s="180" t="str">
        <f aca="false">IF((D18="t"),F18," ")</f>
        <v> </v>
      </c>
      <c r="K18" s="180" t="str">
        <f aca="false">IF((D18="e"),F18," ")</f>
        <v> </v>
      </c>
      <c r="L18" s="180" t="str">
        <f aca="false">IF((D18="p"),F18," ")</f>
        <v> </v>
      </c>
      <c r="M18" s="180" t="str">
        <f aca="false">IF((D18="g"),F18," ")</f>
        <v> </v>
      </c>
      <c r="N18" s="180" t="str">
        <f aca="false">IF((D18="a"),F18," ")</f>
        <v> </v>
      </c>
      <c r="O18" s="180" t="str">
        <f aca="false">IF((D18="l"),F18," ")</f>
        <v> </v>
      </c>
      <c r="P18" s="180" t="str">
        <f aca="false">IF((D18="i"),F18," ")</f>
        <v> </v>
      </c>
      <c r="Q18" s="180" t="str">
        <f aca="false">IF((D18="b"),F18," ")</f>
        <v> </v>
      </c>
      <c r="R18" s="180" t="str">
        <f aca="false">IF((D18="o"),F18," ")</f>
        <v> </v>
      </c>
      <c r="S18" s="180" t="str">
        <f aca="false">IF((D18="f"),F18," ")</f>
        <v> </v>
      </c>
      <c r="U18" s="371"/>
    </row>
    <row r="19" customFormat="false" ht="12.75" hidden="false" customHeight="false" outlineLevel="0" collapsed="false">
      <c r="G19" s="180" t="str">
        <f aca="false">IF((D19="d"),F19," ")</f>
        <v> </v>
      </c>
      <c r="H19" s="180" t="str">
        <f aca="false">IF((D19="h"),F19," ")</f>
        <v> </v>
      </c>
      <c r="I19" s="180" t="str">
        <f aca="false">IF((D19="r"),F19," ")</f>
        <v> </v>
      </c>
      <c r="J19" s="180" t="str">
        <f aca="false">IF((D19="t"),F19," ")</f>
        <v> </v>
      </c>
      <c r="K19" s="180" t="str">
        <f aca="false">IF((D19="e"),F19," ")</f>
        <v> </v>
      </c>
      <c r="L19" s="180" t="str">
        <f aca="false">IF((D19="p"),F19," ")</f>
        <v> </v>
      </c>
      <c r="M19" s="180" t="str">
        <f aca="false">IF((D19="g"),F19," ")</f>
        <v> </v>
      </c>
      <c r="N19" s="180" t="str">
        <f aca="false">IF((D19="a"),F19," ")</f>
        <v> </v>
      </c>
      <c r="O19" s="180" t="str">
        <f aca="false">IF((D19="l"),F19," ")</f>
        <v> </v>
      </c>
      <c r="P19" s="180" t="str">
        <f aca="false">IF((D19="i"),F19," ")</f>
        <v> </v>
      </c>
      <c r="Q19" s="180" t="str">
        <f aca="false">IF((D19="b"),F19," ")</f>
        <v> </v>
      </c>
      <c r="R19" s="180" t="str">
        <f aca="false">IF((D19="o"),F19," ")</f>
        <v> </v>
      </c>
      <c r="S19" s="180" t="str">
        <f aca="false">IF((D19="f"),F19," ")</f>
        <v> </v>
      </c>
      <c r="U19" s="371"/>
    </row>
    <row r="20" customFormat="false" ht="12.75" hidden="false" customHeight="false" outlineLevel="0" collapsed="false">
      <c r="G20" s="180" t="str">
        <f aca="false">IF((D20="d"),F20," ")</f>
        <v> </v>
      </c>
      <c r="H20" s="180" t="str">
        <f aca="false">IF((D20="h"),F20," ")</f>
        <v> </v>
      </c>
      <c r="I20" s="180" t="str">
        <f aca="false">IF((D20="r"),F20," ")</f>
        <v> </v>
      </c>
      <c r="J20" s="180" t="str">
        <f aca="false">IF((D20="t"),F20," ")</f>
        <v> </v>
      </c>
      <c r="K20" s="180" t="str">
        <f aca="false">IF((D20="e"),F20," ")</f>
        <v> </v>
      </c>
      <c r="L20" s="180" t="str">
        <f aca="false">IF((D20="p"),F20," ")</f>
        <v> </v>
      </c>
      <c r="M20" s="180" t="str">
        <f aca="false">IF((D20="g"),F20," ")</f>
        <v> </v>
      </c>
      <c r="N20" s="180" t="str">
        <f aca="false">IF((D20="a"),F20," ")</f>
        <v> </v>
      </c>
      <c r="O20" s="180" t="str">
        <f aca="false">IF((D20="l"),F20," ")</f>
        <v> </v>
      </c>
      <c r="P20" s="180" t="str">
        <f aca="false">IF((D20="i"),F20," ")</f>
        <v> </v>
      </c>
      <c r="Q20" s="180" t="str">
        <f aca="false">IF((D20="b"),F20," ")</f>
        <v> </v>
      </c>
      <c r="R20" s="180" t="str">
        <f aca="false">IF((D20="o"),F20," ")</f>
        <v> </v>
      </c>
      <c r="S20" s="180" t="str">
        <f aca="false">IF((D20="f"),F20," ")</f>
        <v> </v>
      </c>
      <c r="U20" s="371"/>
    </row>
    <row r="21" customFormat="false" ht="12.75" hidden="false" customHeight="false" outlineLevel="0" collapsed="false">
      <c r="G21" s="180" t="str">
        <f aca="false">IF((D21="d"),F21," ")</f>
        <v> </v>
      </c>
      <c r="H21" s="180" t="str">
        <f aca="false">IF((D21="h"),F21," ")</f>
        <v> </v>
      </c>
      <c r="I21" s="180" t="str">
        <f aca="false">IF((D21="r"),F21," ")</f>
        <v> </v>
      </c>
      <c r="J21" s="180" t="str">
        <f aca="false">IF((D21="t"),F21," ")</f>
        <v> </v>
      </c>
      <c r="K21" s="180" t="str">
        <f aca="false">IF((D21="e"),F21," ")</f>
        <v> </v>
      </c>
      <c r="L21" s="180" t="str">
        <f aca="false">IF((D21="p"),F21," ")</f>
        <v> </v>
      </c>
      <c r="M21" s="180" t="str">
        <f aca="false">IF((D21="g"),F21," ")</f>
        <v> </v>
      </c>
      <c r="N21" s="180" t="str">
        <f aca="false">IF((D21="a"),F21," ")</f>
        <v> </v>
      </c>
      <c r="O21" s="180" t="str">
        <f aca="false">IF((D21="l"),F21," ")</f>
        <v> </v>
      </c>
      <c r="P21" s="180" t="str">
        <f aca="false">IF((D21="i"),F21," ")</f>
        <v> </v>
      </c>
      <c r="Q21" s="180" t="str">
        <f aca="false">IF((D21="b"),F21," ")</f>
        <v> </v>
      </c>
      <c r="R21" s="180" t="str">
        <f aca="false">IF((D21="o"),F21," ")</f>
        <v> </v>
      </c>
      <c r="S21" s="180" t="str">
        <f aca="false">IF((D21="f"),F21," ")</f>
        <v> </v>
      </c>
      <c r="U21" s="371"/>
    </row>
    <row r="22" customFormat="false" ht="12.75" hidden="false" customHeight="false" outlineLevel="0" collapsed="false">
      <c r="G22" s="180" t="str">
        <f aca="false">IF((D22="d"),F22," ")</f>
        <v> </v>
      </c>
      <c r="H22" s="180" t="str">
        <f aca="false">IF((D22="h"),F22," ")</f>
        <v> </v>
      </c>
      <c r="I22" s="180" t="str">
        <f aca="false">IF((D22="r"),F22," ")</f>
        <v> </v>
      </c>
      <c r="J22" s="180" t="str">
        <f aca="false">IF((D22="t"),F22," ")</f>
        <v> </v>
      </c>
      <c r="K22" s="180" t="str">
        <f aca="false">IF((D22="e"),F22," ")</f>
        <v> </v>
      </c>
      <c r="L22" s="180" t="str">
        <f aca="false">IF((D22="p"),F22," ")</f>
        <v> </v>
      </c>
      <c r="M22" s="180" t="str">
        <f aca="false">IF((D22="g"),F22," ")</f>
        <v> </v>
      </c>
      <c r="N22" s="180" t="str">
        <f aca="false">IF((D22="a"),F22," ")</f>
        <v> </v>
      </c>
      <c r="O22" s="180" t="str">
        <f aca="false">IF((D22="l"),F22," ")</f>
        <v> </v>
      </c>
      <c r="P22" s="180" t="str">
        <f aca="false">IF((D22="i"),F22," ")</f>
        <v> </v>
      </c>
      <c r="Q22" s="180" t="str">
        <f aca="false">IF((D22="b"),F22," ")</f>
        <v> </v>
      </c>
      <c r="R22" s="180" t="str">
        <f aca="false">IF((D22="o"),F22," ")</f>
        <v> </v>
      </c>
      <c r="S22" s="180" t="str">
        <f aca="false">IF((D22="f"),F22," ")</f>
        <v> </v>
      </c>
      <c r="U22" s="371"/>
    </row>
    <row r="23" customFormat="false" ht="12.75" hidden="false" customHeight="false" outlineLevel="0" collapsed="false">
      <c r="G23" s="180" t="str">
        <f aca="false">IF((D23="d"),F23," ")</f>
        <v> </v>
      </c>
      <c r="H23" s="180" t="str">
        <f aca="false">IF((D23="h"),F23," ")</f>
        <v> </v>
      </c>
      <c r="I23" s="180" t="str">
        <f aca="false">IF((D23="r"),F23," ")</f>
        <v> </v>
      </c>
      <c r="J23" s="180" t="str">
        <f aca="false">IF((D23="t"),F23," ")</f>
        <v> </v>
      </c>
      <c r="K23" s="180" t="str">
        <f aca="false">IF((D23="e"),F23," ")</f>
        <v> </v>
      </c>
      <c r="L23" s="180" t="str">
        <f aca="false">IF((D23="p"),F23," ")</f>
        <v> </v>
      </c>
      <c r="M23" s="180" t="str">
        <f aca="false">IF((D23="g"),F23," ")</f>
        <v> </v>
      </c>
      <c r="N23" s="180" t="str">
        <f aca="false">IF((D23="a"),F23," ")</f>
        <v> </v>
      </c>
      <c r="O23" s="180" t="str">
        <f aca="false">IF((D23="l"),F23," ")</f>
        <v> </v>
      </c>
      <c r="P23" s="180" t="str">
        <f aca="false">IF((D23="i"),F23," ")</f>
        <v> </v>
      </c>
      <c r="Q23" s="180" t="str">
        <f aca="false">IF((D23="b"),F23," ")</f>
        <v> </v>
      </c>
      <c r="R23" s="180" t="str">
        <f aca="false">IF((D23="o"),F23," ")</f>
        <v> </v>
      </c>
      <c r="S23" s="180" t="str">
        <f aca="false">IF((D23="f"),F23," ")</f>
        <v> </v>
      </c>
      <c r="U23" s="371"/>
    </row>
    <row r="24" customFormat="false" ht="12.75" hidden="false" customHeight="false" outlineLevel="0" collapsed="false">
      <c r="G24" s="180" t="str">
        <f aca="false">IF((D24="d"),F24," ")</f>
        <v> </v>
      </c>
      <c r="H24" s="180" t="str">
        <f aca="false">IF((D24="h"),F24," ")</f>
        <v> </v>
      </c>
      <c r="I24" s="180" t="str">
        <f aca="false">IF((D24="r"),F24," ")</f>
        <v> </v>
      </c>
      <c r="J24" s="180" t="str">
        <f aca="false">IF((D24="t"),F24," ")</f>
        <v> </v>
      </c>
      <c r="K24" s="180" t="str">
        <f aca="false">IF((D24="e"),F24," ")</f>
        <v> </v>
      </c>
      <c r="L24" s="180" t="str">
        <f aca="false">IF((D24="p"),F24," ")</f>
        <v> </v>
      </c>
      <c r="M24" s="180" t="str">
        <f aca="false">IF((D24="g"),F24," ")</f>
        <v> </v>
      </c>
      <c r="N24" s="180" t="str">
        <f aca="false">IF((D24="a"),F24," ")</f>
        <v> </v>
      </c>
      <c r="O24" s="180" t="str">
        <f aca="false">IF((D24="l"),F24," ")</f>
        <v> </v>
      </c>
      <c r="P24" s="180" t="str">
        <f aca="false">IF((D24="i"),F24," ")</f>
        <v> </v>
      </c>
      <c r="Q24" s="180" t="str">
        <f aca="false">IF((D24="b"),F24," ")</f>
        <v> </v>
      </c>
      <c r="R24" s="180" t="str">
        <f aca="false">IF((D24="o"),F24," ")</f>
        <v> </v>
      </c>
      <c r="S24" s="180" t="str">
        <f aca="false">IF((D24="f"),F24," ")</f>
        <v> </v>
      </c>
      <c r="U24" s="371"/>
    </row>
    <row r="25" customFormat="false" ht="12.75" hidden="false" customHeight="false" outlineLevel="0" collapsed="false">
      <c r="G25" s="180" t="str">
        <f aca="false">IF((D25="d"),F25," ")</f>
        <v> </v>
      </c>
      <c r="H25" s="180" t="str">
        <f aca="false">IF((D25="h"),F25," ")</f>
        <v> </v>
      </c>
      <c r="I25" s="180" t="str">
        <f aca="false">IF((D25="r"),F25," ")</f>
        <v> </v>
      </c>
      <c r="J25" s="180" t="str">
        <f aca="false">IF((D25="t"),F25," ")</f>
        <v> </v>
      </c>
      <c r="K25" s="180" t="str">
        <f aca="false">IF((D25="e"),F25," ")</f>
        <v> </v>
      </c>
      <c r="L25" s="180" t="str">
        <f aca="false">IF((D25="p"),F25," ")</f>
        <v> </v>
      </c>
      <c r="M25" s="180" t="str">
        <f aca="false">IF((D25="g"),F25," ")</f>
        <v> </v>
      </c>
      <c r="N25" s="180" t="str">
        <f aca="false">IF((D25="a"),F25," ")</f>
        <v> </v>
      </c>
      <c r="O25" s="180" t="str">
        <f aca="false">IF((D25="l"),F25," ")</f>
        <v> </v>
      </c>
      <c r="P25" s="180" t="str">
        <f aca="false">IF((D25="i"),F25," ")</f>
        <v> </v>
      </c>
      <c r="Q25" s="180" t="str">
        <f aca="false">IF((D25="b"),F25," ")</f>
        <v> </v>
      </c>
      <c r="R25" s="180" t="str">
        <f aca="false">IF((D25="o"),F25," ")</f>
        <v> </v>
      </c>
      <c r="S25" s="180" t="str">
        <f aca="false">IF((D25="f"),F25," ")</f>
        <v> </v>
      </c>
      <c r="U25" s="371"/>
    </row>
    <row r="26" customFormat="false" ht="12.75" hidden="false" customHeight="false" outlineLevel="0" collapsed="false">
      <c r="G26" s="180" t="str">
        <f aca="false">IF((D26="d"),F26," ")</f>
        <v> </v>
      </c>
      <c r="H26" s="180" t="str">
        <f aca="false">IF((D26="h"),F26," ")</f>
        <v> </v>
      </c>
      <c r="I26" s="180" t="str">
        <f aca="false">IF((D26="r"),F26," ")</f>
        <v> </v>
      </c>
      <c r="J26" s="180" t="str">
        <f aca="false">IF((D26="t"),F26," ")</f>
        <v> </v>
      </c>
      <c r="K26" s="180" t="str">
        <f aca="false">IF((D26="e"),F26," ")</f>
        <v> </v>
      </c>
      <c r="L26" s="180" t="str">
        <f aca="false">IF((D26="p"),F26," ")</f>
        <v> </v>
      </c>
      <c r="M26" s="180" t="str">
        <f aca="false">IF((D26="g"),F26," ")</f>
        <v> </v>
      </c>
      <c r="N26" s="180" t="str">
        <f aca="false">IF((D26="a"),F26," ")</f>
        <v> </v>
      </c>
      <c r="O26" s="180" t="str">
        <f aca="false">IF((D26="l"),F26," ")</f>
        <v> </v>
      </c>
      <c r="P26" s="180" t="str">
        <f aca="false">IF((D26="i"),F26," ")</f>
        <v> </v>
      </c>
      <c r="Q26" s="180" t="str">
        <f aca="false">IF((D26="b"),F26," ")</f>
        <v> </v>
      </c>
      <c r="R26" s="180" t="str">
        <f aca="false">IF((D26="o"),F26," ")</f>
        <v> </v>
      </c>
      <c r="S26" s="180" t="str">
        <f aca="false">IF((D26="f"),F26," ")</f>
        <v> </v>
      </c>
      <c r="U26" s="371"/>
    </row>
    <row r="27" customFormat="false" ht="12.75" hidden="false" customHeight="false" outlineLevel="0" collapsed="false">
      <c r="G27" s="180" t="str">
        <f aca="false">IF((D27="d"),F27," ")</f>
        <v> </v>
      </c>
      <c r="H27" s="180" t="str">
        <f aca="false">IF((D27="h"),F27," ")</f>
        <v> </v>
      </c>
      <c r="I27" s="180" t="str">
        <f aca="false">IF((D27="r"),F27," ")</f>
        <v> </v>
      </c>
      <c r="J27" s="180" t="str">
        <f aca="false">IF((D27="t"),F27," ")</f>
        <v> </v>
      </c>
      <c r="K27" s="180" t="str">
        <f aca="false">IF((D27="e"),F27," ")</f>
        <v> </v>
      </c>
      <c r="L27" s="180" t="str">
        <f aca="false">IF((D27="p"),F27," ")</f>
        <v> </v>
      </c>
      <c r="M27" s="180" t="str">
        <f aca="false">IF((D27="g"),F27," ")</f>
        <v> </v>
      </c>
      <c r="N27" s="180" t="str">
        <f aca="false">IF((D27="a"),F27," ")</f>
        <v> </v>
      </c>
      <c r="O27" s="180" t="str">
        <f aca="false">IF((D27="l"),F27," ")</f>
        <v> </v>
      </c>
      <c r="P27" s="180" t="str">
        <f aca="false">IF((D27="i"),F27," ")</f>
        <v> </v>
      </c>
      <c r="Q27" s="180" t="str">
        <f aca="false">IF((D27="b"),F27," ")</f>
        <v> </v>
      </c>
      <c r="R27" s="180" t="str">
        <f aca="false">IF((D27="o"),F27," ")</f>
        <v> </v>
      </c>
      <c r="S27" s="180" t="str">
        <f aca="false">IF((D27="f"),F27," ")</f>
        <v> </v>
      </c>
      <c r="U27" s="371"/>
    </row>
    <row r="28" customFormat="false" ht="12.75" hidden="false" customHeight="false" outlineLevel="0" collapsed="false">
      <c r="G28" s="180" t="str">
        <f aca="false">IF((D28="d"),F28," ")</f>
        <v> </v>
      </c>
      <c r="H28" s="180" t="str">
        <f aca="false">IF((D28="h"),F28," ")</f>
        <v> </v>
      </c>
      <c r="I28" s="180" t="str">
        <f aca="false">IF((D28="r"),F28," ")</f>
        <v> </v>
      </c>
      <c r="J28" s="180" t="str">
        <f aca="false">IF((D28="t"),F28," ")</f>
        <v> </v>
      </c>
      <c r="K28" s="180" t="str">
        <f aca="false">IF((D28="e"),F28," ")</f>
        <v> </v>
      </c>
      <c r="L28" s="180" t="str">
        <f aca="false">IF((D28="p"),F28," ")</f>
        <v> </v>
      </c>
      <c r="M28" s="180" t="str">
        <f aca="false">IF((D28="g"),F28," ")</f>
        <v> </v>
      </c>
      <c r="N28" s="180" t="str">
        <f aca="false">IF((D28="a"),F28," ")</f>
        <v> </v>
      </c>
      <c r="O28" s="180" t="str">
        <f aca="false">IF((D28="l"),F28," ")</f>
        <v> </v>
      </c>
      <c r="P28" s="180" t="str">
        <f aca="false">IF((D28="i"),F28," ")</f>
        <v> </v>
      </c>
      <c r="Q28" s="180" t="str">
        <f aca="false">IF((D28="b"),F28," ")</f>
        <v> </v>
      </c>
      <c r="R28" s="180" t="str">
        <f aca="false">IF((D28="o"),F28," ")</f>
        <v> </v>
      </c>
      <c r="S28" s="180" t="str">
        <f aca="false">IF((D28="f"),F28," ")</f>
        <v> </v>
      </c>
      <c r="U28" s="371"/>
    </row>
    <row r="29" customFormat="false" ht="12.75" hidden="false" customHeight="false" outlineLevel="0" collapsed="false">
      <c r="G29" s="180" t="str">
        <f aca="false">IF((D29="d"),F29," ")</f>
        <v> </v>
      </c>
      <c r="H29" s="180" t="str">
        <f aca="false">IF((D29="h"),F29," ")</f>
        <v> </v>
      </c>
      <c r="I29" s="180" t="str">
        <f aca="false">IF((D29="r"),F29," ")</f>
        <v> </v>
      </c>
      <c r="J29" s="180" t="str">
        <f aca="false">IF((D29="t"),F29," ")</f>
        <v> </v>
      </c>
      <c r="K29" s="180" t="str">
        <f aca="false">IF((D29="e"),F29," ")</f>
        <v> </v>
      </c>
      <c r="L29" s="180" t="str">
        <f aca="false">IF((D29="p"),F29," ")</f>
        <v> </v>
      </c>
      <c r="M29" s="180" t="str">
        <f aca="false">IF((D29="g"),F29," ")</f>
        <v> </v>
      </c>
      <c r="N29" s="180" t="str">
        <f aca="false">IF((D29="a"),F29," ")</f>
        <v> </v>
      </c>
      <c r="O29" s="180" t="str">
        <f aca="false">IF((D29="l"),F29," ")</f>
        <v> </v>
      </c>
      <c r="P29" s="180" t="str">
        <f aca="false">IF((D29="i"),F29," ")</f>
        <v> </v>
      </c>
      <c r="Q29" s="180" t="str">
        <f aca="false">IF((D29="b"),F29," ")</f>
        <v> </v>
      </c>
      <c r="R29" s="180" t="str">
        <f aca="false">IF((D29="o"),F29," ")</f>
        <v> </v>
      </c>
      <c r="S29" s="180" t="str">
        <f aca="false">IF((D29="f"),F29," ")</f>
        <v> </v>
      </c>
      <c r="U29" s="371"/>
    </row>
    <row r="30" customFormat="false" ht="12.75" hidden="false" customHeight="false" outlineLevel="0" collapsed="false">
      <c r="G30" s="180" t="str">
        <f aca="false">IF((D30="d"),F30," ")</f>
        <v> </v>
      </c>
      <c r="H30" s="180" t="str">
        <f aca="false">IF((D30="h"),F30," ")</f>
        <v> </v>
      </c>
      <c r="I30" s="180" t="str">
        <f aca="false">IF((D30="r"),F30," ")</f>
        <v> </v>
      </c>
      <c r="J30" s="180" t="str">
        <f aca="false">IF((D30="t"),F30," ")</f>
        <v> </v>
      </c>
      <c r="K30" s="180" t="str">
        <f aca="false">IF((D30="e"),F30," ")</f>
        <v> </v>
      </c>
      <c r="L30" s="180" t="str">
        <f aca="false">IF((D30="p"),F30," ")</f>
        <v> </v>
      </c>
      <c r="M30" s="180" t="str">
        <f aca="false">IF((D30="g"),F30," ")</f>
        <v> </v>
      </c>
      <c r="N30" s="180" t="str">
        <f aca="false">IF((D30="a"),F30," ")</f>
        <v> </v>
      </c>
      <c r="O30" s="180" t="str">
        <f aca="false">IF((D30="l"),F30," ")</f>
        <v> </v>
      </c>
      <c r="P30" s="180" t="str">
        <f aca="false">IF((D30="i"),F30," ")</f>
        <v> </v>
      </c>
      <c r="Q30" s="180" t="str">
        <f aca="false">IF((D30="b"),F30," ")</f>
        <v> </v>
      </c>
      <c r="R30" s="180" t="str">
        <f aca="false">IF((D30="o"),F30," ")</f>
        <v> </v>
      </c>
      <c r="S30" s="180" t="str">
        <f aca="false">IF((D30="f"),F30," ")</f>
        <v> </v>
      </c>
      <c r="U30" s="371"/>
    </row>
    <row r="31" customFormat="false" ht="12.75" hidden="false" customHeight="false" outlineLevel="0" collapsed="false">
      <c r="G31" s="180" t="str">
        <f aca="false">IF((D31="d"),F31," ")</f>
        <v> </v>
      </c>
      <c r="H31" s="180" t="str">
        <f aca="false">IF((D31="h"),F31," ")</f>
        <v> </v>
      </c>
      <c r="I31" s="180" t="str">
        <f aca="false">IF((D31="r"),F31," ")</f>
        <v> </v>
      </c>
      <c r="J31" s="180" t="str">
        <f aca="false">IF((D31="t"),F31," ")</f>
        <v> </v>
      </c>
      <c r="K31" s="180" t="str">
        <f aca="false">IF((D31="e"),F31," ")</f>
        <v> </v>
      </c>
      <c r="L31" s="180" t="str">
        <f aca="false">IF((D31="p"),F31," ")</f>
        <v> </v>
      </c>
      <c r="M31" s="180" t="str">
        <f aca="false">IF((D31="g"),F31," ")</f>
        <v> </v>
      </c>
      <c r="N31" s="180" t="str">
        <f aca="false">IF((D31="a"),F31," ")</f>
        <v> </v>
      </c>
      <c r="O31" s="180" t="str">
        <f aca="false">IF((D31="l"),F31," ")</f>
        <v> </v>
      </c>
      <c r="P31" s="180" t="str">
        <f aca="false">IF((D31="i"),F31," ")</f>
        <v> </v>
      </c>
      <c r="Q31" s="180" t="str">
        <f aca="false">IF((D31="b"),F31," ")</f>
        <v> </v>
      </c>
      <c r="R31" s="180" t="str">
        <f aca="false">IF((D31="o"),F31," ")</f>
        <v> </v>
      </c>
      <c r="S31" s="180" t="str">
        <f aca="false">IF((D31="f"),F31," ")</f>
        <v> </v>
      </c>
      <c r="U31" s="371"/>
    </row>
    <row r="32" customFormat="false" ht="12.75" hidden="false" customHeight="false" outlineLevel="0" collapsed="false">
      <c r="G32" s="180" t="str">
        <f aca="false">IF((D32="d"),F32," ")</f>
        <v> </v>
      </c>
      <c r="H32" s="180" t="str">
        <f aca="false">IF((D32="h"),F32," ")</f>
        <v> </v>
      </c>
      <c r="I32" s="180" t="str">
        <f aca="false">IF((D32="r"),F32," ")</f>
        <v> </v>
      </c>
      <c r="J32" s="180" t="str">
        <f aca="false">IF((D32="t"),F32," ")</f>
        <v> </v>
      </c>
      <c r="K32" s="180" t="str">
        <f aca="false">IF((D32="e"),F32," ")</f>
        <v> </v>
      </c>
      <c r="L32" s="180" t="str">
        <f aca="false">IF((D32="p"),F32," ")</f>
        <v> </v>
      </c>
      <c r="M32" s="180" t="str">
        <f aca="false">IF((D32="g"),F32," ")</f>
        <v> </v>
      </c>
      <c r="N32" s="180" t="str">
        <f aca="false">IF((D32="a"),F32," ")</f>
        <v> </v>
      </c>
      <c r="O32" s="180" t="str">
        <f aca="false">IF((D32="l"),F32," ")</f>
        <v> </v>
      </c>
      <c r="P32" s="180" t="str">
        <f aca="false">IF((D32="i"),F32," ")</f>
        <v> </v>
      </c>
      <c r="Q32" s="180" t="str">
        <f aca="false">IF((D32="b"),F32," ")</f>
        <v> </v>
      </c>
      <c r="R32" s="180" t="str">
        <f aca="false">IF((D32="o"),F32," ")</f>
        <v> </v>
      </c>
      <c r="S32" s="180" t="str">
        <f aca="false">IF((D32="f"),F32," ")</f>
        <v> </v>
      </c>
      <c r="U32" s="371"/>
    </row>
    <row r="33" customFormat="false" ht="12.75" hidden="false" customHeight="false" outlineLevel="0" collapsed="false">
      <c r="G33" s="180" t="str">
        <f aca="false">IF((D33="d"),F33," ")</f>
        <v> </v>
      </c>
      <c r="H33" s="180" t="str">
        <f aca="false">IF((D33="h"),F33," ")</f>
        <v> </v>
      </c>
      <c r="I33" s="180" t="str">
        <f aca="false">IF((D33="r"),F33," ")</f>
        <v> </v>
      </c>
      <c r="J33" s="180" t="str">
        <f aca="false">IF((D33="t"),F33," ")</f>
        <v> </v>
      </c>
      <c r="K33" s="180" t="str">
        <f aca="false">IF((D33="e"),F33," ")</f>
        <v> </v>
      </c>
      <c r="L33" s="180" t="str">
        <f aca="false">IF((D33="p"),F33," ")</f>
        <v> </v>
      </c>
      <c r="M33" s="180" t="str">
        <f aca="false">IF((D33="g"),F33," ")</f>
        <v> </v>
      </c>
      <c r="N33" s="180" t="str">
        <f aca="false">IF((D33="a"),F33," ")</f>
        <v> </v>
      </c>
      <c r="O33" s="180" t="str">
        <f aca="false">IF((D33="l"),F33," ")</f>
        <v> </v>
      </c>
      <c r="P33" s="180" t="str">
        <f aca="false">IF((D33="i"),F33," ")</f>
        <v> </v>
      </c>
      <c r="Q33" s="180" t="str">
        <f aca="false">IF((D33="b"),F33," ")</f>
        <v> </v>
      </c>
      <c r="R33" s="180" t="str">
        <f aca="false">IF((D33="o"),F33," ")</f>
        <v> </v>
      </c>
      <c r="S33" s="180" t="str">
        <f aca="false">IF((D33="f"),F33," ")</f>
        <v> </v>
      </c>
      <c r="U33" s="371"/>
    </row>
    <row r="34" customFormat="false" ht="12.75" hidden="false" customHeight="false" outlineLevel="0" collapsed="false">
      <c r="G34" s="180" t="str">
        <f aca="false">IF((D34="d"),F34," ")</f>
        <v> </v>
      </c>
      <c r="H34" s="180" t="str">
        <f aca="false">IF((D34="h"),F34," ")</f>
        <v> </v>
      </c>
      <c r="I34" s="180" t="str">
        <f aca="false">IF((D34="r"),F34," ")</f>
        <v> </v>
      </c>
      <c r="J34" s="180" t="str">
        <f aca="false">IF((D34="t"),F34," ")</f>
        <v> </v>
      </c>
      <c r="K34" s="180" t="str">
        <f aca="false">IF((D34="e"),F34," ")</f>
        <v> </v>
      </c>
      <c r="L34" s="180" t="str">
        <f aca="false">IF((D34="p"),F34," ")</f>
        <v> </v>
      </c>
      <c r="M34" s="180" t="str">
        <f aca="false">IF((D34="g"),F34," ")</f>
        <v> </v>
      </c>
      <c r="N34" s="180" t="str">
        <f aca="false">IF((D34="a"),F34," ")</f>
        <v> </v>
      </c>
      <c r="O34" s="180" t="str">
        <f aca="false">IF((D34="l"),F34," ")</f>
        <v> </v>
      </c>
      <c r="P34" s="180" t="str">
        <f aca="false">IF((D34="i"),F34," ")</f>
        <v> </v>
      </c>
      <c r="Q34" s="180" t="str">
        <f aca="false">IF((D34="b"),F34," ")</f>
        <v> </v>
      </c>
      <c r="R34" s="180" t="str">
        <f aca="false">IF((D34="o"),F34," ")</f>
        <v> </v>
      </c>
      <c r="S34" s="180" t="str">
        <f aca="false">IF((D34="f"),F34," ")</f>
        <v> </v>
      </c>
      <c r="U34" s="371"/>
    </row>
    <row r="35" customFormat="false" ht="12.75" hidden="false" customHeight="false" outlineLevel="0" collapsed="false">
      <c r="G35" s="180" t="str">
        <f aca="false">IF((D35="d"),F35," ")</f>
        <v> </v>
      </c>
      <c r="H35" s="180" t="str">
        <f aca="false">IF((D35="h"),F35," ")</f>
        <v> </v>
      </c>
      <c r="I35" s="180" t="str">
        <f aca="false">IF((D35="r"),F35," ")</f>
        <v> </v>
      </c>
      <c r="J35" s="180" t="str">
        <f aca="false">IF((D35="t"),F35," ")</f>
        <v> </v>
      </c>
      <c r="K35" s="180" t="str">
        <f aca="false">IF((D35="e"),F35," ")</f>
        <v> </v>
      </c>
      <c r="L35" s="180" t="str">
        <f aca="false">IF((D35="p"),F35," ")</f>
        <v> </v>
      </c>
      <c r="M35" s="180" t="str">
        <f aca="false">IF((D35="g"),F35," ")</f>
        <v> </v>
      </c>
      <c r="N35" s="180" t="str">
        <f aca="false">IF((D35="a"),F35," ")</f>
        <v> </v>
      </c>
      <c r="O35" s="180" t="str">
        <f aca="false">IF((D35="l"),F35," ")</f>
        <v> </v>
      </c>
      <c r="P35" s="180" t="str">
        <f aca="false">IF((D35="i"),F35," ")</f>
        <v> </v>
      </c>
      <c r="Q35" s="180" t="str">
        <f aca="false">IF((D35="b"),F35," ")</f>
        <v> </v>
      </c>
      <c r="R35" s="180" t="str">
        <f aca="false">IF((D35="o"),F35," ")</f>
        <v> </v>
      </c>
      <c r="S35" s="180" t="str">
        <f aca="false">IF((D35="f"),F35," ")</f>
        <v> </v>
      </c>
      <c r="U35" s="371"/>
    </row>
    <row r="36" customFormat="false" ht="12.75" hidden="false" customHeight="false" outlineLevel="0" collapsed="false">
      <c r="G36" s="180" t="str">
        <f aca="false">IF((D36="d"),F36," ")</f>
        <v> </v>
      </c>
      <c r="H36" s="180" t="str">
        <f aca="false">IF((D36="h"),F36," ")</f>
        <v> </v>
      </c>
      <c r="I36" s="180" t="str">
        <f aca="false">IF((D36="r"),F36," ")</f>
        <v> </v>
      </c>
      <c r="J36" s="180" t="str">
        <f aca="false">IF((D36="t"),F36," ")</f>
        <v> </v>
      </c>
      <c r="K36" s="180" t="str">
        <f aca="false">IF((D36="e"),F36," ")</f>
        <v> </v>
      </c>
      <c r="L36" s="180" t="str">
        <f aca="false">IF((D36="p"),F36," ")</f>
        <v> </v>
      </c>
      <c r="M36" s="180" t="str">
        <f aca="false">IF((D36="g"),F36," ")</f>
        <v> </v>
      </c>
      <c r="N36" s="180" t="str">
        <f aca="false">IF((D36="a"),F36," ")</f>
        <v> </v>
      </c>
      <c r="O36" s="180" t="str">
        <f aca="false">IF((D36="l"),F36," ")</f>
        <v> </v>
      </c>
      <c r="P36" s="180" t="str">
        <f aca="false">IF((D36="i"),F36," ")</f>
        <v> </v>
      </c>
      <c r="Q36" s="180" t="str">
        <f aca="false">IF((D36="b"),F36," ")</f>
        <v> </v>
      </c>
      <c r="R36" s="180" t="str">
        <f aca="false">IF((D36="o"),F36," ")</f>
        <v> </v>
      </c>
      <c r="S36" s="180" t="str">
        <f aca="false">IF((D36="f"),F36," ")</f>
        <v> </v>
      </c>
      <c r="U36" s="371"/>
    </row>
    <row r="37" customFormat="false" ht="12.75" hidden="false" customHeight="false" outlineLevel="0" collapsed="false">
      <c r="D37" s="371" t="str">
        <f aca="false">IF((F37&lt;&gt;0),"Enter Letter"," ")</f>
        <v> </v>
      </c>
      <c r="G37" s="180" t="str">
        <f aca="false">IF((D37="d"),F37," ")</f>
        <v> </v>
      </c>
      <c r="H37" s="180" t="str">
        <f aca="false">IF((D37="h"),F37," ")</f>
        <v> </v>
      </c>
      <c r="I37" s="180" t="str">
        <f aca="false">IF((D37="r"),F37," ")</f>
        <v> </v>
      </c>
      <c r="J37" s="180" t="str">
        <f aca="false">IF((D37="t"),F37," ")</f>
        <v> </v>
      </c>
      <c r="K37" s="180" t="str">
        <f aca="false">IF((D37="e"),F37," ")</f>
        <v> </v>
      </c>
      <c r="L37" s="180" t="str">
        <f aca="false">IF((D37="p"),F37," ")</f>
        <v> </v>
      </c>
      <c r="M37" s="180" t="str">
        <f aca="false">IF((D37="g"),F37," ")</f>
        <v> </v>
      </c>
      <c r="N37" s="180" t="str">
        <f aca="false">IF((D37="a"),F37," ")</f>
        <v> </v>
      </c>
      <c r="O37" s="180" t="str">
        <f aca="false">IF((D37="l"),F37," ")</f>
        <v> </v>
      </c>
      <c r="P37" s="180" t="str">
        <f aca="false">IF((D37="i"),F37," ")</f>
        <v> </v>
      </c>
      <c r="Q37" s="180" t="str">
        <f aca="false">IF((D37="b"),F37," ")</f>
        <v> </v>
      </c>
      <c r="R37" s="180" t="str">
        <f aca="false">IF((D37="o"),F37," ")</f>
        <v> </v>
      </c>
      <c r="S37" s="180" t="str">
        <f aca="false">IF((D37="f"),F37," ")</f>
        <v> </v>
      </c>
      <c r="U37" s="371"/>
    </row>
    <row r="38" customFormat="false" ht="12.75" hidden="false" customHeight="false" outlineLevel="0" collapsed="false">
      <c r="D38" s="371" t="str">
        <f aca="false">IF((F38&lt;&gt;0),"Enter Letter"," ")</f>
        <v> </v>
      </c>
      <c r="G38" s="180" t="str">
        <f aca="false">IF((D38="d"),F38," ")</f>
        <v> </v>
      </c>
      <c r="H38" s="180" t="str">
        <f aca="false">IF((D38="h"),F38," ")</f>
        <v> </v>
      </c>
      <c r="I38" s="180" t="str">
        <f aca="false">IF((D38="r"),F38," ")</f>
        <v> </v>
      </c>
      <c r="J38" s="180" t="str">
        <f aca="false">IF((D38="t"),F38," ")</f>
        <v> </v>
      </c>
      <c r="K38" s="180" t="str">
        <f aca="false">IF((D38="e"),F38," ")</f>
        <v> </v>
      </c>
      <c r="L38" s="180" t="str">
        <f aca="false">IF((D38="p"),F38," ")</f>
        <v> </v>
      </c>
      <c r="M38" s="180" t="str">
        <f aca="false">IF((D38="g"),F38," ")</f>
        <v> </v>
      </c>
      <c r="N38" s="180" t="str">
        <f aca="false">IF((D38="a"),F38," ")</f>
        <v> </v>
      </c>
      <c r="O38" s="180" t="str">
        <f aca="false">IF((D38="l"),F38," ")</f>
        <v> </v>
      </c>
      <c r="P38" s="180" t="str">
        <f aca="false">IF((D38="i"),F38," ")</f>
        <v> </v>
      </c>
      <c r="Q38" s="180" t="str">
        <f aca="false">IF((D38="b"),F38," ")</f>
        <v> </v>
      </c>
      <c r="R38" s="180" t="str">
        <f aca="false">IF((D38="o"),F38," ")</f>
        <v> </v>
      </c>
      <c r="S38" s="180" t="str">
        <f aca="false">IF((D38="f"),F38," ")</f>
        <v> </v>
      </c>
      <c r="U38" s="371"/>
    </row>
    <row r="39" customFormat="false" ht="12.75" hidden="false" customHeight="false" outlineLevel="0" collapsed="false">
      <c r="D39" s="371" t="str">
        <f aca="false">IF((F39&lt;&gt;0),"Enter Letter"," ")</f>
        <v> </v>
      </c>
      <c r="G39" s="180" t="str">
        <f aca="false">IF((D39="d"),F39," ")</f>
        <v> </v>
      </c>
      <c r="H39" s="180" t="str">
        <f aca="false">IF((D39="h"),F39," ")</f>
        <v> </v>
      </c>
      <c r="I39" s="180" t="str">
        <f aca="false">IF((D39="r"),F39," ")</f>
        <v> </v>
      </c>
      <c r="J39" s="180" t="str">
        <f aca="false">IF((D39="t"),F39," ")</f>
        <v> </v>
      </c>
      <c r="K39" s="180" t="str">
        <f aca="false">IF((D39="e"),F39," ")</f>
        <v> </v>
      </c>
      <c r="L39" s="180" t="str">
        <f aca="false">IF((D39="p"),F39," ")</f>
        <v> </v>
      </c>
      <c r="M39" s="180" t="str">
        <f aca="false">IF((D39="g"),F39," ")</f>
        <v> </v>
      </c>
      <c r="N39" s="180" t="str">
        <f aca="false">IF((D39="a"),F39," ")</f>
        <v> </v>
      </c>
      <c r="O39" s="180" t="str">
        <f aca="false">IF((D39="l"),F39," ")</f>
        <v> </v>
      </c>
      <c r="P39" s="180" t="str">
        <f aca="false">IF((D39="i"),F39," ")</f>
        <v> </v>
      </c>
      <c r="Q39" s="180" t="str">
        <f aca="false">IF((D39="b"),F39," ")</f>
        <v> </v>
      </c>
      <c r="R39" s="180" t="str">
        <f aca="false">IF((D39="o"),F39," ")</f>
        <v> </v>
      </c>
      <c r="S39" s="180" t="str">
        <f aca="false">IF((D39="f"),F39," ")</f>
        <v> </v>
      </c>
      <c r="U39" s="371"/>
    </row>
    <row r="40" customFormat="false" ht="12.75" hidden="false" customHeight="false" outlineLevel="0" collapsed="false">
      <c r="D40" s="371" t="str">
        <f aca="false">IF((F40&lt;&gt;0),"Enter Letter"," ")</f>
        <v> </v>
      </c>
      <c r="G40" s="180" t="str">
        <f aca="false">IF((D40="d"),F40," ")</f>
        <v> </v>
      </c>
      <c r="H40" s="180" t="str">
        <f aca="false">IF((D40="h"),F40," ")</f>
        <v> </v>
      </c>
      <c r="I40" s="180" t="str">
        <f aca="false">IF((D40="r"),F40," ")</f>
        <v> </v>
      </c>
      <c r="J40" s="180" t="str">
        <f aca="false">IF((D40="t"),F40," ")</f>
        <v> </v>
      </c>
      <c r="K40" s="180" t="str">
        <f aca="false">IF((D40="e"),F40," ")</f>
        <v> </v>
      </c>
      <c r="L40" s="180" t="str">
        <f aca="false">IF((D40="p"),F40," ")</f>
        <v> </v>
      </c>
      <c r="M40" s="180" t="str">
        <f aca="false">IF((D40="g"),F40," ")</f>
        <v> </v>
      </c>
      <c r="N40" s="180" t="str">
        <f aca="false">IF((D40="a"),F40," ")</f>
        <v> </v>
      </c>
      <c r="O40" s="180" t="str">
        <f aca="false">IF((D40="l"),F40," ")</f>
        <v> </v>
      </c>
      <c r="P40" s="180" t="str">
        <f aca="false">IF((D40="i"),F40," ")</f>
        <v> </v>
      </c>
      <c r="Q40" s="180" t="str">
        <f aca="false">IF((D40="b"),F40," ")</f>
        <v> </v>
      </c>
      <c r="R40" s="180" t="str">
        <f aca="false">IF((D40="o"),F40," ")</f>
        <v> </v>
      </c>
      <c r="S40" s="180" t="str">
        <f aca="false">IF((D40="f"),F40," ")</f>
        <v> </v>
      </c>
      <c r="U40" s="371"/>
    </row>
    <row r="41" customFormat="false" ht="12.75" hidden="false" customHeight="false" outlineLevel="0" collapsed="false">
      <c r="D41" s="371" t="str">
        <f aca="false">IF((F41&lt;&gt;0),"Enter Letter"," ")</f>
        <v> </v>
      </c>
      <c r="G41" s="180" t="str">
        <f aca="false">IF((D41="d"),F41," ")</f>
        <v> </v>
      </c>
      <c r="H41" s="180" t="str">
        <f aca="false">IF((D41="h"),F41," ")</f>
        <v> </v>
      </c>
      <c r="I41" s="180" t="str">
        <f aca="false">IF((D41="r"),F41," ")</f>
        <v> </v>
      </c>
      <c r="J41" s="180" t="str">
        <f aca="false">IF((D41="t"),F41," ")</f>
        <v> </v>
      </c>
      <c r="K41" s="180" t="str">
        <f aca="false">IF((D41="e"),F41," ")</f>
        <v> </v>
      </c>
      <c r="L41" s="180" t="str">
        <f aca="false">IF((D41="p"),F41," ")</f>
        <v> </v>
      </c>
      <c r="M41" s="180" t="str">
        <f aca="false">IF((D41="g"),F41," ")</f>
        <v> </v>
      </c>
      <c r="N41" s="180" t="str">
        <f aca="false">IF((D41="a"),F41," ")</f>
        <v> </v>
      </c>
      <c r="O41" s="180" t="str">
        <f aca="false">IF((D41="l"),F41," ")</f>
        <v> </v>
      </c>
      <c r="P41" s="180" t="str">
        <f aca="false">IF((D41="i"),F41," ")</f>
        <v> </v>
      </c>
      <c r="Q41" s="180" t="str">
        <f aca="false">IF((D41="b"),F41," ")</f>
        <v> </v>
      </c>
      <c r="R41" s="180" t="str">
        <f aca="false">IF((D41="o"),F41," ")</f>
        <v> </v>
      </c>
      <c r="S41" s="180" t="str">
        <f aca="false">IF((D41="f"),F41," ")</f>
        <v> </v>
      </c>
      <c r="U41" s="371"/>
    </row>
    <row r="42" customFormat="false" ht="12.75" hidden="false" customHeight="false" outlineLevel="0" collapsed="false">
      <c r="D42" s="371" t="str">
        <f aca="false">IF((F42&lt;&gt;0),"Enter Letter"," ")</f>
        <v> </v>
      </c>
      <c r="G42" s="180" t="str">
        <f aca="false">IF((D42="d"),F42," ")</f>
        <v> </v>
      </c>
      <c r="H42" s="180" t="str">
        <f aca="false">IF((D42="h"),F42," ")</f>
        <v> </v>
      </c>
      <c r="I42" s="180" t="str">
        <f aca="false">IF((D42="r"),F42," ")</f>
        <v> </v>
      </c>
      <c r="J42" s="180" t="str">
        <f aca="false">IF((D42="t"),F42," ")</f>
        <v> </v>
      </c>
      <c r="K42" s="180" t="str">
        <f aca="false">IF((D42="e"),F42," ")</f>
        <v> </v>
      </c>
      <c r="L42" s="180" t="str">
        <f aca="false">IF((D42="p"),F42," ")</f>
        <v> </v>
      </c>
      <c r="M42" s="180" t="str">
        <f aca="false">IF((D42="g"),F42," ")</f>
        <v> </v>
      </c>
      <c r="N42" s="180" t="str">
        <f aca="false">IF((D42="a"),F42," ")</f>
        <v> </v>
      </c>
      <c r="O42" s="180" t="str">
        <f aca="false">IF((D42="l"),F42," ")</f>
        <v> </v>
      </c>
      <c r="P42" s="180" t="str">
        <f aca="false">IF((D42="i"),F42," ")</f>
        <v> </v>
      </c>
      <c r="Q42" s="180" t="str">
        <f aca="false">IF((D42="b"),F42," ")</f>
        <v> </v>
      </c>
      <c r="R42" s="180" t="str">
        <f aca="false">IF((D42="o"),F42," ")</f>
        <v> </v>
      </c>
      <c r="S42" s="180" t="str">
        <f aca="false">IF((D42="f"),F42," ")</f>
        <v> </v>
      </c>
      <c r="U42" s="371"/>
    </row>
    <row r="43" customFormat="false" ht="12.75" hidden="false" customHeight="false" outlineLevel="0" collapsed="false">
      <c r="D43" s="371" t="str">
        <f aca="false">IF((F43&lt;&gt;0),"Enter Letter"," ")</f>
        <v> </v>
      </c>
      <c r="G43" s="180" t="str">
        <f aca="false">IF((D43="d"),F43," ")</f>
        <v> </v>
      </c>
      <c r="H43" s="180" t="str">
        <f aca="false">IF((D43="h"),F43," ")</f>
        <v> </v>
      </c>
      <c r="I43" s="180" t="str">
        <f aca="false">IF((D43="r"),F43," ")</f>
        <v> </v>
      </c>
      <c r="J43" s="180" t="str">
        <f aca="false">IF((D43="t"),F43," ")</f>
        <v> </v>
      </c>
      <c r="K43" s="180" t="str">
        <f aca="false">IF((D43="e"),F43," ")</f>
        <v> </v>
      </c>
      <c r="L43" s="180" t="str">
        <f aca="false">IF((D43="p"),F43," ")</f>
        <v> </v>
      </c>
      <c r="M43" s="180" t="str">
        <f aca="false">IF((D43="g"),F43," ")</f>
        <v> </v>
      </c>
      <c r="N43" s="180" t="str">
        <f aca="false">IF((D43="a"),F43," ")</f>
        <v> </v>
      </c>
      <c r="O43" s="180" t="str">
        <f aca="false">IF((D43="l"),F43," ")</f>
        <v> </v>
      </c>
      <c r="P43" s="180" t="str">
        <f aca="false">IF((D43="i"),F43," ")</f>
        <v> </v>
      </c>
      <c r="Q43" s="180" t="str">
        <f aca="false">IF((D43="b"),F43," ")</f>
        <v> </v>
      </c>
      <c r="R43" s="180" t="str">
        <f aca="false">IF((D43="o"),F43," ")</f>
        <v> </v>
      </c>
      <c r="S43" s="180" t="str">
        <f aca="false">IF((D43="f"),F43," ")</f>
        <v> </v>
      </c>
      <c r="U43" s="371"/>
    </row>
    <row r="44" customFormat="false" ht="12.75" hidden="false" customHeight="false" outlineLevel="0" collapsed="false">
      <c r="D44" s="371" t="str">
        <f aca="false">IF((F44&lt;&gt;0),"Enter Letter"," ")</f>
        <v> </v>
      </c>
      <c r="G44" s="180" t="str">
        <f aca="false">IF((D44="d"),F44," ")</f>
        <v> </v>
      </c>
      <c r="H44" s="180" t="str">
        <f aca="false">IF((D44="h"),F44," ")</f>
        <v> </v>
      </c>
      <c r="I44" s="180" t="str">
        <f aca="false">IF((D44="r"),F44," ")</f>
        <v> </v>
      </c>
      <c r="J44" s="180" t="str">
        <f aca="false">IF((D44="t"),F44," ")</f>
        <v> </v>
      </c>
      <c r="K44" s="180" t="str">
        <f aca="false">IF((D44="e"),F44," ")</f>
        <v> </v>
      </c>
      <c r="L44" s="180" t="str">
        <f aca="false">IF((D44="p"),F44," ")</f>
        <v> </v>
      </c>
      <c r="M44" s="180" t="str">
        <f aca="false">IF((D44="g"),F44," ")</f>
        <v> </v>
      </c>
      <c r="N44" s="180" t="str">
        <f aca="false">IF((D44="a"),F44," ")</f>
        <v> </v>
      </c>
      <c r="O44" s="180" t="str">
        <f aca="false">IF((D44="l"),F44," ")</f>
        <v> </v>
      </c>
      <c r="P44" s="180" t="str">
        <f aca="false">IF((D44="i"),F44," ")</f>
        <v> </v>
      </c>
      <c r="Q44" s="180" t="str">
        <f aca="false">IF((D44="b"),F44," ")</f>
        <v> </v>
      </c>
      <c r="R44" s="180" t="str">
        <f aca="false">IF((D44="o"),F44," ")</f>
        <v> </v>
      </c>
      <c r="S44" s="180" t="str">
        <f aca="false">IF((D44="f"),F44," ")</f>
        <v> </v>
      </c>
      <c r="U44" s="371"/>
    </row>
    <row r="45" customFormat="false" ht="12.75" hidden="false" customHeight="false" outlineLevel="0" collapsed="false">
      <c r="D45" s="371" t="str">
        <f aca="false">IF((F45&lt;&gt;0),"Enter Letter"," ")</f>
        <v> </v>
      </c>
      <c r="G45" s="180" t="str">
        <f aca="false">IF((D45="d"),F45," ")</f>
        <v> </v>
      </c>
      <c r="H45" s="180" t="str">
        <f aca="false">IF((D45="h"),F45," ")</f>
        <v> </v>
      </c>
      <c r="I45" s="180" t="str">
        <f aca="false">IF((D45="r"),F45," ")</f>
        <v> </v>
      </c>
      <c r="J45" s="180" t="str">
        <f aca="false">IF((D45="t"),F45," ")</f>
        <v> </v>
      </c>
      <c r="K45" s="180" t="str">
        <f aca="false">IF((D45="e"),F45," ")</f>
        <v> </v>
      </c>
      <c r="L45" s="180" t="str">
        <f aca="false">IF((D45="p"),F45," ")</f>
        <v> </v>
      </c>
      <c r="M45" s="180" t="str">
        <f aca="false">IF((D45="g"),F45," ")</f>
        <v> </v>
      </c>
      <c r="N45" s="180" t="str">
        <f aca="false">IF((D45="a"),F45," ")</f>
        <v> </v>
      </c>
      <c r="O45" s="180" t="str">
        <f aca="false">IF((D45="l"),F45," ")</f>
        <v> </v>
      </c>
      <c r="P45" s="180" t="str">
        <f aca="false">IF((D45="i"),F45," ")</f>
        <v> </v>
      </c>
      <c r="Q45" s="180" t="str">
        <f aca="false">IF((D45="b"),F45," ")</f>
        <v> </v>
      </c>
      <c r="R45" s="180" t="str">
        <f aca="false">IF((D45="o"),F45," ")</f>
        <v> </v>
      </c>
      <c r="S45" s="180" t="str">
        <f aca="false">IF((D45="f"),F45," ")</f>
        <v> </v>
      </c>
      <c r="U45" s="371"/>
    </row>
    <row r="46" customFormat="false" ht="12.75" hidden="false" customHeight="false" outlineLevel="0" collapsed="false">
      <c r="D46" s="371" t="str">
        <f aca="false">IF((F46&lt;&gt;0),"Enter Letter"," ")</f>
        <v> </v>
      </c>
      <c r="G46" s="180" t="str">
        <f aca="false">IF((D46="d"),F46," ")</f>
        <v> </v>
      </c>
      <c r="H46" s="180" t="str">
        <f aca="false">IF((D46="h"),F46," ")</f>
        <v> </v>
      </c>
      <c r="I46" s="180" t="str">
        <f aca="false">IF((D46="r"),F46," ")</f>
        <v> </v>
      </c>
      <c r="J46" s="180" t="str">
        <f aca="false">IF((D46="t"),F46," ")</f>
        <v> </v>
      </c>
      <c r="K46" s="180" t="str">
        <f aca="false">IF((D46="e"),F46," ")</f>
        <v> </v>
      </c>
      <c r="L46" s="180" t="str">
        <f aca="false">IF((D46="p"),F46," ")</f>
        <v> </v>
      </c>
      <c r="M46" s="180" t="str">
        <f aca="false">IF((D46="g"),F46," ")</f>
        <v> </v>
      </c>
      <c r="N46" s="180" t="str">
        <f aca="false">IF((D46="a"),F46," ")</f>
        <v> </v>
      </c>
      <c r="O46" s="180" t="str">
        <f aca="false">IF((D46="l"),F46," ")</f>
        <v> </v>
      </c>
      <c r="P46" s="180" t="str">
        <f aca="false">IF((D46="i"),F46," ")</f>
        <v> </v>
      </c>
      <c r="Q46" s="180" t="str">
        <f aca="false">IF((D46="b"),F46," ")</f>
        <v> </v>
      </c>
      <c r="R46" s="180" t="str">
        <f aca="false">IF((D46="o"),F46," ")</f>
        <v> </v>
      </c>
      <c r="S46" s="180" t="str">
        <f aca="false">IF((D46="f"),F46," ")</f>
        <v> </v>
      </c>
      <c r="U46" s="371"/>
    </row>
    <row r="47" customFormat="false" ht="12.75" hidden="false" customHeight="false" outlineLevel="0" collapsed="false">
      <c r="D47" s="371" t="str">
        <f aca="false">IF((F47&lt;&gt;0),"Enter Letter"," ")</f>
        <v> </v>
      </c>
      <c r="G47" s="180" t="str">
        <f aca="false">IF((D47="d"),F47," ")</f>
        <v> </v>
      </c>
      <c r="H47" s="180" t="str">
        <f aca="false">IF((D47="h"),F47," ")</f>
        <v> </v>
      </c>
      <c r="I47" s="180" t="str">
        <f aca="false">IF((D47="r"),F47," ")</f>
        <v> </v>
      </c>
      <c r="J47" s="180" t="str">
        <f aca="false">IF((D47="t"),F47," ")</f>
        <v> </v>
      </c>
      <c r="K47" s="180" t="str">
        <f aca="false">IF((D47="e"),F47," ")</f>
        <v> </v>
      </c>
      <c r="L47" s="180" t="str">
        <f aca="false">IF((D47="p"),F47," ")</f>
        <v> </v>
      </c>
      <c r="M47" s="180" t="str">
        <f aca="false">IF((D47="g"),F47," ")</f>
        <v> </v>
      </c>
      <c r="N47" s="180" t="str">
        <f aca="false">IF((D47="a"),F47," ")</f>
        <v> </v>
      </c>
      <c r="O47" s="180" t="str">
        <f aca="false">IF((D47="l"),F47," ")</f>
        <v> </v>
      </c>
      <c r="P47" s="180" t="str">
        <f aca="false">IF((D47="i"),F47," ")</f>
        <v> </v>
      </c>
      <c r="Q47" s="180" t="str">
        <f aca="false">IF((D47="b"),F47," ")</f>
        <v> </v>
      </c>
      <c r="R47" s="180" t="str">
        <f aca="false">IF((D47="o"),F47," ")</f>
        <v> </v>
      </c>
      <c r="S47" s="180" t="str">
        <f aca="false">IF((D47="f"),F47," ")</f>
        <v> </v>
      </c>
      <c r="U47" s="371"/>
    </row>
    <row r="48" customFormat="false" ht="12.75" hidden="false" customHeight="false" outlineLevel="0" collapsed="false">
      <c r="D48" s="371" t="str">
        <f aca="false">IF((F48&lt;&gt;0),"Enter Letter"," ")</f>
        <v> </v>
      </c>
      <c r="G48" s="180" t="str">
        <f aca="false">IF((D48="d"),F48," ")</f>
        <v> </v>
      </c>
      <c r="H48" s="180" t="str">
        <f aca="false">IF((D48="h"),F48," ")</f>
        <v> </v>
      </c>
      <c r="I48" s="180" t="str">
        <f aca="false">IF((D48="r"),F48," ")</f>
        <v> </v>
      </c>
      <c r="J48" s="180" t="str">
        <f aca="false">IF((D48="t"),F48," ")</f>
        <v> </v>
      </c>
      <c r="K48" s="180" t="str">
        <f aca="false">IF((D48="e"),F48," ")</f>
        <v> </v>
      </c>
      <c r="L48" s="180" t="str">
        <f aca="false">IF((D48="p"),F48," ")</f>
        <v> </v>
      </c>
      <c r="M48" s="180" t="str">
        <f aca="false">IF((D48="g"),F48," ")</f>
        <v> </v>
      </c>
      <c r="N48" s="180" t="str">
        <f aca="false">IF((D48="a"),F48," ")</f>
        <v> </v>
      </c>
      <c r="O48" s="180" t="str">
        <f aca="false">IF((D48="l"),F48," ")</f>
        <v> </v>
      </c>
      <c r="P48" s="180" t="str">
        <f aca="false">IF((D48="i"),F48," ")</f>
        <v> </v>
      </c>
      <c r="Q48" s="180" t="str">
        <f aca="false">IF((D48="b"),F48," ")</f>
        <v> </v>
      </c>
      <c r="R48" s="180" t="str">
        <f aca="false">IF((D48="o"),F48," ")</f>
        <v> </v>
      </c>
      <c r="S48" s="180" t="str">
        <f aca="false">IF((D48="f"),F48," ")</f>
        <v> </v>
      </c>
      <c r="U48" s="371"/>
    </row>
    <row r="49" customFormat="false" ht="12.75" hidden="false" customHeight="false" outlineLevel="0" collapsed="false">
      <c r="D49" s="371" t="str">
        <f aca="false">IF((F49&lt;&gt;0),"Enter Letter"," ")</f>
        <v> </v>
      </c>
      <c r="G49" s="180" t="str">
        <f aca="false">IF((D49="d"),F49," ")</f>
        <v> </v>
      </c>
      <c r="H49" s="180" t="str">
        <f aca="false">IF((D49="h"),F49," ")</f>
        <v> </v>
      </c>
      <c r="I49" s="180" t="str">
        <f aca="false">IF((D49="r"),F49," ")</f>
        <v> </v>
      </c>
      <c r="J49" s="180" t="str">
        <f aca="false">IF((D49="t"),F49," ")</f>
        <v> </v>
      </c>
      <c r="K49" s="180" t="str">
        <f aca="false">IF((D49="e"),F49," ")</f>
        <v> </v>
      </c>
      <c r="L49" s="180" t="str">
        <f aca="false">IF((D49="p"),F49," ")</f>
        <v> </v>
      </c>
      <c r="M49" s="180" t="str">
        <f aca="false">IF((D49="g"),F49," ")</f>
        <v> </v>
      </c>
      <c r="N49" s="180" t="str">
        <f aca="false">IF((D49="a"),F49," ")</f>
        <v> </v>
      </c>
      <c r="O49" s="180" t="str">
        <f aca="false">IF((D49="l"),F49," ")</f>
        <v> </v>
      </c>
      <c r="P49" s="180" t="str">
        <f aca="false">IF((D49="i"),F49," ")</f>
        <v> </v>
      </c>
      <c r="Q49" s="180" t="str">
        <f aca="false">IF((D49="b"),F49," ")</f>
        <v> </v>
      </c>
      <c r="R49" s="180" t="str">
        <f aca="false">IF((D49="o"),F49," ")</f>
        <v> </v>
      </c>
      <c r="S49" s="180" t="str">
        <f aca="false">IF((D49="f"),F49," ")</f>
        <v> </v>
      </c>
      <c r="U49" s="371"/>
    </row>
    <row r="50" customFormat="false" ht="12.75" hidden="false" customHeight="false" outlineLevel="0" collapsed="false">
      <c r="D50" s="371" t="str">
        <f aca="false">IF((F50&lt;&gt;0),"Enter Letter"," ")</f>
        <v> </v>
      </c>
      <c r="G50" s="180" t="str">
        <f aca="false">IF((D50="d"),F50," ")</f>
        <v> </v>
      </c>
      <c r="H50" s="180" t="str">
        <f aca="false">IF((D50="h"),F50," ")</f>
        <v> </v>
      </c>
      <c r="I50" s="180" t="str">
        <f aca="false">IF((D50="r"),F50," ")</f>
        <v> </v>
      </c>
      <c r="J50" s="180" t="str">
        <f aca="false">IF((D50="t"),F50," ")</f>
        <v> </v>
      </c>
      <c r="K50" s="180" t="str">
        <f aca="false">IF((D50="e"),F50," ")</f>
        <v> </v>
      </c>
      <c r="L50" s="180" t="str">
        <f aca="false">IF((D50="p"),F50," ")</f>
        <v> </v>
      </c>
      <c r="M50" s="180" t="str">
        <f aca="false">IF((D50="g"),F50," ")</f>
        <v> </v>
      </c>
      <c r="N50" s="180" t="str">
        <f aca="false">IF((D50="a"),F50," ")</f>
        <v> </v>
      </c>
      <c r="O50" s="180" t="str">
        <f aca="false">IF((D50="l"),F50," ")</f>
        <v> </v>
      </c>
      <c r="P50" s="180" t="str">
        <f aca="false">IF((D50="i"),F50," ")</f>
        <v> </v>
      </c>
      <c r="Q50" s="180" t="str">
        <f aca="false">IF((D50="b"),F50," ")</f>
        <v> </v>
      </c>
      <c r="R50" s="180" t="str">
        <f aca="false">IF((D50="o"),F50," ")</f>
        <v> </v>
      </c>
      <c r="S50" s="180" t="str">
        <f aca="false">IF((D50="f"),F50," ")</f>
        <v> </v>
      </c>
      <c r="U50" s="371"/>
    </row>
    <row r="51" customFormat="false" ht="12.75" hidden="false" customHeight="false" outlineLevel="0" collapsed="false">
      <c r="D51" s="371" t="str">
        <f aca="false">IF((F51&lt;&gt;0),"Enter Letter"," ")</f>
        <v> </v>
      </c>
      <c r="G51" s="180" t="str">
        <f aca="false">IF((D51="d"),F51," ")</f>
        <v> </v>
      </c>
      <c r="H51" s="180" t="str">
        <f aca="false">IF((D51="h"),F51," ")</f>
        <v> </v>
      </c>
      <c r="I51" s="180" t="str">
        <f aca="false">IF((D51="r"),F51," ")</f>
        <v> </v>
      </c>
      <c r="J51" s="180" t="str">
        <f aca="false">IF((D51="t"),F51," ")</f>
        <v> </v>
      </c>
      <c r="K51" s="180" t="str">
        <f aca="false">IF((D51="e"),F51," ")</f>
        <v> </v>
      </c>
      <c r="L51" s="180" t="str">
        <f aca="false">IF((D51="p"),F51," ")</f>
        <v> </v>
      </c>
      <c r="M51" s="180" t="str">
        <f aca="false">IF((D51="g"),F51," ")</f>
        <v> </v>
      </c>
      <c r="N51" s="180" t="str">
        <f aca="false">IF((D51="a"),F51," ")</f>
        <v> </v>
      </c>
      <c r="O51" s="180" t="str">
        <f aca="false">IF((D51="l"),F51," ")</f>
        <v> </v>
      </c>
      <c r="P51" s="180" t="str">
        <f aca="false">IF((D51="i"),F51," ")</f>
        <v> </v>
      </c>
      <c r="Q51" s="180" t="str">
        <f aca="false">IF((D51="b"),F51," ")</f>
        <v> </v>
      </c>
      <c r="R51" s="180" t="str">
        <f aca="false">IF((D51="o"),F51," ")</f>
        <v> </v>
      </c>
      <c r="S51" s="180" t="str">
        <f aca="false">IF((D51="f"),F51," ")</f>
        <v> </v>
      </c>
      <c r="U51" s="371"/>
    </row>
    <row r="52" customFormat="false" ht="12.75" hidden="false" customHeight="false" outlineLevel="0" collapsed="false">
      <c r="D52" s="371" t="str">
        <f aca="false">IF((F52&lt;&gt;0),"Enter Letter"," ")</f>
        <v> </v>
      </c>
      <c r="G52" s="180" t="str">
        <f aca="false">IF((D52="d"),F52," ")</f>
        <v> </v>
      </c>
      <c r="H52" s="180" t="str">
        <f aca="false">IF((D52="h"),F52," ")</f>
        <v> </v>
      </c>
      <c r="I52" s="180" t="str">
        <f aca="false">IF((D52="r"),F52," ")</f>
        <v> </v>
      </c>
      <c r="J52" s="180" t="str">
        <f aca="false">IF((D52="t"),F52," ")</f>
        <v> </v>
      </c>
      <c r="K52" s="180" t="str">
        <f aca="false">IF((D52="e"),F52," ")</f>
        <v> </v>
      </c>
      <c r="L52" s="180" t="str">
        <f aca="false">IF((D52="p"),F52," ")</f>
        <v> </v>
      </c>
      <c r="M52" s="180" t="str">
        <f aca="false">IF((D52="g"),F52," ")</f>
        <v> </v>
      </c>
      <c r="N52" s="180" t="str">
        <f aca="false">IF((D52="a"),F52," ")</f>
        <v> </v>
      </c>
      <c r="O52" s="180" t="str">
        <f aca="false">IF((D52="l"),F52," ")</f>
        <v> </v>
      </c>
      <c r="P52" s="180" t="str">
        <f aca="false">IF((D52="i"),F52," ")</f>
        <v> </v>
      </c>
      <c r="Q52" s="180" t="str">
        <f aca="false">IF((D52="b"),F52," ")</f>
        <v> </v>
      </c>
      <c r="R52" s="180" t="str">
        <f aca="false">IF((D52="o"),F52," ")</f>
        <v> </v>
      </c>
      <c r="S52" s="180" t="str">
        <f aca="false">IF((D52="f"),F52," ")</f>
        <v> </v>
      </c>
      <c r="U52" s="371"/>
    </row>
    <row r="53" customFormat="false" ht="12.75" hidden="false" customHeight="false" outlineLevel="0" collapsed="false">
      <c r="D53" s="371" t="str">
        <f aca="false">IF((F53&lt;&gt;0),"Enter Letter"," ")</f>
        <v> </v>
      </c>
      <c r="G53" s="180" t="str">
        <f aca="false">IF((D53="d"),F53," ")</f>
        <v> </v>
      </c>
      <c r="H53" s="180" t="str">
        <f aca="false">IF((D53="h"),F53," ")</f>
        <v> </v>
      </c>
      <c r="I53" s="180" t="str">
        <f aca="false">IF((D53="r"),F53," ")</f>
        <v> </v>
      </c>
      <c r="J53" s="180" t="str">
        <f aca="false">IF((D53="t"),F53," ")</f>
        <v> </v>
      </c>
      <c r="K53" s="180" t="str">
        <f aca="false">IF((D53="e"),F53," ")</f>
        <v> </v>
      </c>
      <c r="L53" s="180" t="str">
        <f aca="false">IF((D53="p"),F53," ")</f>
        <v> </v>
      </c>
      <c r="M53" s="180" t="str">
        <f aca="false">IF((D53="g"),F53," ")</f>
        <v> </v>
      </c>
      <c r="N53" s="180" t="str">
        <f aca="false">IF((D53="a"),F53," ")</f>
        <v> </v>
      </c>
      <c r="O53" s="180" t="str">
        <f aca="false">IF((D53="l"),F53," ")</f>
        <v> </v>
      </c>
      <c r="P53" s="180" t="str">
        <f aca="false">IF((D53="i"),F53," ")</f>
        <v> </v>
      </c>
      <c r="Q53" s="180" t="str">
        <f aca="false">IF((D53="b"),F53," ")</f>
        <v> </v>
      </c>
      <c r="R53" s="180" t="str">
        <f aca="false">IF((D53="o"),F53," ")</f>
        <v> </v>
      </c>
      <c r="S53" s="180" t="str">
        <f aca="false">IF((D53="f"),F53," ")</f>
        <v> </v>
      </c>
      <c r="U53" s="371"/>
    </row>
    <row r="54" customFormat="false" ht="12.75" hidden="false" customHeight="false" outlineLevel="0" collapsed="false">
      <c r="D54" s="371" t="str">
        <f aca="false">IF((F54&lt;&gt;0),"Enter Letter"," ")</f>
        <v> </v>
      </c>
      <c r="G54" s="180" t="str">
        <f aca="false">IF((D54="d"),F54," ")</f>
        <v> </v>
      </c>
      <c r="H54" s="180" t="str">
        <f aca="false">IF((D54="h"),F54," ")</f>
        <v> </v>
      </c>
      <c r="I54" s="180" t="str">
        <f aca="false">IF((D54="r"),F54," ")</f>
        <v> </v>
      </c>
      <c r="J54" s="180" t="str">
        <f aca="false">IF((D54="t"),F54," ")</f>
        <v> </v>
      </c>
      <c r="K54" s="180" t="str">
        <f aca="false">IF((D54="e"),F54," ")</f>
        <v> </v>
      </c>
      <c r="L54" s="180" t="str">
        <f aca="false">IF((D54="p"),F54," ")</f>
        <v> </v>
      </c>
      <c r="M54" s="180" t="str">
        <f aca="false">IF((D54="g"),F54," ")</f>
        <v> </v>
      </c>
      <c r="N54" s="180" t="str">
        <f aca="false">IF((D54="a"),F54," ")</f>
        <v> </v>
      </c>
      <c r="O54" s="180" t="str">
        <f aca="false">IF((D54="l"),F54," ")</f>
        <v> </v>
      </c>
      <c r="P54" s="180" t="str">
        <f aca="false">IF((D54="i"),F54," ")</f>
        <v> </v>
      </c>
      <c r="Q54" s="180" t="str">
        <f aca="false">IF((D54="b"),F54," ")</f>
        <v> </v>
      </c>
      <c r="R54" s="180" t="str">
        <f aca="false">IF((D54="o"),F54," ")</f>
        <v> </v>
      </c>
      <c r="S54" s="180" t="str">
        <f aca="false">IF((D54="f"),F54," ")</f>
        <v> </v>
      </c>
      <c r="U54" s="371"/>
    </row>
    <row r="55" customFormat="false" ht="12.75" hidden="false" customHeight="false" outlineLevel="0" collapsed="false">
      <c r="D55" s="371" t="str">
        <f aca="false">IF((F55&lt;&gt;0),"Enter Letter"," ")</f>
        <v> </v>
      </c>
      <c r="G55" s="180" t="str">
        <f aca="false">IF((D55="d"),F55," ")</f>
        <v> </v>
      </c>
      <c r="H55" s="180" t="str">
        <f aca="false">IF((D55="h"),F55," ")</f>
        <v> </v>
      </c>
      <c r="I55" s="180" t="str">
        <f aca="false">IF((D55="r"),F55," ")</f>
        <v> </v>
      </c>
      <c r="J55" s="180" t="str">
        <f aca="false">IF((D55="t"),F55," ")</f>
        <v> </v>
      </c>
      <c r="K55" s="180" t="str">
        <f aca="false">IF((D55="e"),F55," ")</f>
        <v> </v>
      </c>
      <c r="L55" s="180" t="str">
        <f aca="false">IF((D55="p"),F55," ")</f>
        <v> </v>
      </c>
      <c r="M55" s="180" t="str">
        <f aca="false">IF((D55="g"),F55," ")</f>
        <v> </v>
      </c>
      <c r="N55" s="180" t="str">
        <f aca="false">IF((D55="a"),F55," ")</f>
        <v> </v>
      </c>
      <c r="O55" s="180" t="str">
        <f aca="false">IF((D55="l"),F55," ")</f>
        <v> </v>
      </c>
      <c r="P55" s="180" t="str">
        <f aca="false">IF((D55="i"),F55," ")</f>
        <v> </v>
      </c>
      <c r="Q55" s="180" t="str">
        <f aca="false">IF((D55="b"),F55," ")</f>
        <v> </v>
      </c>
      <c r="R55" s="180" t="str">
        <f aca="false">IF((D55="o"),F55," ")</f>
        <v> </v>
      </c>
      <c r="S55" s="180" t="str">
        <f aca="false">IF((D55="f"),F55," ")</f>
        <v> </v>
      </c>
      <c r="U55" s="371"/>
    </row>
    <row r="56" customFormat="false" ht="12.75" hidden="false" customHeight="false" outlineLevel="0" collapsed="false">
      <c r="D56" s="371" t="str">
        <f aca="false">IF((F56&lt;&gt;0),"Enter Letter"," ")</f>
        <v> </v>
      </c>
      <c r="G56" s="180" t="str">
        <f aca="false">IF((D56="d"),F56," ")</f>
        <v> </v>
      </c>
      <c r="H56" s="180" t="str">
        <f aca="false">IF((D56="h"),F56," ")</f>
        <v> </v>
      </c>
      <c r="I56" s="180" t="str">
        <f aca="false">IF((D56="r"),F56," ")</f>
        <v> </v>
      </c>
      <c r="J56" s="180" t="str">
        <f aca="false">IF((D56="t"),F56," ")</f>
        <v> </v>
      </c>
      <c r="K56" s="180" t="str">
        <f aca="false">IF((D56="e"),F56," ")</f>
        <v> </v>
      </c>
      <c r="L56" s="180" t="str">
        <f aca="false">IF((D56="p"),F56," ")</f>
        <v> </v>
      </c>
      <c r="M56" s="180" t="str">
        <f aca="false">IF((D56="g"),F56," ")</f>
        <v> </v>
      </c>
      <c r="N56" s="180" t="str">
        <f aca="false">IF((D56="a"),F56," ")</f>
        <v> </v>
      </c>
      <c r="O56" s="180" t="str">
        <f aca="false">IF((D56="l"),F56," ")</f>
        <v> </v>
      </c>
      <c r="P56" s="180" t="str">
        <f aca="false">IF((D56="i"),F56," ")</f>
        <v> </v>
      </c>
      <c r="Q56" s="180" t="str">
        <f aca="false">IF((D56="b"),F56," ")</f>
        <v> </v>
      </c>
      <c r="R56" s="180" t="str">
        <f aca="false">IF((D56="o"),F56," ")</f>
        <v> </v>
      </c>
      <c r="S56" s="180" t="str">
        <f aca="false">IF((D56="f"),F56," ")</f>
        <v> </v>
      </c>
      <c r="U56" s="371"/>
    </row>
    <row r="57" customFormat="false" ht="12.75" hidden="false" customHeight="false" outlineLevel="0" collapsed="false">
      <c r="D57" s="371" t="str">
        <f aca="false">IF((F57&lt;&gt;0),"Enter Letter"," ")</f>
        <v> </v>
      </c>
      <c r="G57" s="180" t="str">
        <f aca="false">IF((D57="d"),F57," ")</f>
        <v> </v>
      </c>
      <c r="H57" s="180" t="str">
        <f aca="false">IF((D57="h"),F57," ")</f>
        <v> </v>
      </c>
      <c r="I57" s="180" t="str">
        <f aca="false">IF((D57="r"),F57," ")</f>
        <v> </v>
      </c>
      <c r="J57" s="180" t="str">
        <f aca="false">IF((D57="t"),F57," ")</f>
        <v> </v>
      </c>
      <c r="K57" s="180" t="str">
        <f aca="false">IF((D57="e"),F57," ")</f>
        <v> </v>
      </c>
      <c r="L57" s="180" t="str">
        <f aca="false">IF((D57="p"),F57," ")</f>
        <v> </v>
      </c>
      <c r="M57" s="180" t="str">
        <f aca="false">IF((D57="g"),F57," ")</f>
        <v> </v>
      </c>
      <c r="N57" s="180" t="str">
        <f aca="false">IF((D57="a"),F57," ")</f>
        <v> </v>
      </c>
      <c r="O57" s="180" t="str">
        <f aca="false">IF((D57="l"),F57," ")</f>
        <v> </v>
      </c>
      <c r="P57" s="180" t="str">
        <f aca="false">IF((D57="i"),F57," ")</f>
        <v> </v>
      </c>
      <c r="Q57" s="180" t="str">
        <f aca="false">IF((D57="b"),F57," ")</f>
        <v> </v>
      </c>
      <c r="R57" s="180" t="str">
        <f aca="false">IF((D57="o"),F57," ")</f>
        <v> </v>
      </c>
      <c r="S57" s="180" t="str">
        <f aca="false">IF((D57="f"),F57," ")</f>
        <v> </v>
      </c>
      <c r="U57" s="371"/>
    </row>
    <row r="58" customFormat="false" ht="12.75" hidden="false" customHeight="false" outlineLevel="0" collapsed="false">
      <c r="D58" s="371" t="str">
        <f aca="false">IF((F58&lt;&gt;0),"Enter Letter"," ")</f>
        <v> </v>
      </c>
      <c r="G58" s="180" t="str">
        <f aca="false">IF((D58="d"),F58," ")</f>
        <v> </v>
      </c>
      <c r="H58" s="180" t="str">
        <f aca="false">IF((D58="h"),F58," ")</f>
        <v> </v>
      </c>
      <c r="I58" s="180" t="str">
        <f aca="false">IF((D58="r"),F58," ")</f>
        <v> </v>
      </c>
      <c r="J58" s="180" t="str">
        <f aca="false">IF((D58="t"),F58," ")</f>
        <v> </v>
      </c>
      <c r="K58" s="180" t="str">
        <f aca="false">IF((D58="e"),F58," ")</f>
        <v> </v>
      </c>
      <c r="L58" s="180" t="str">
        <f aca="false">IF((D58="p"),F58," ")</f>
        <v> </v>
      </c>
      <c r="M58" s="180" t="str">
        <f aca="false">IF((D58="g"),F58," ")</f>
        <v> </v>
      </c>
      <c r="N58" s="180" t="str">
        <f aca="false">IF((D58="a"),F58," ")</f>
        <v> </v>
      </c>
      <c r="O58" s="180" t="str">
        <f aca="false">IF((D58="l"),F58," ")</f>
        <v> </v>
      </c>
      <c r="P58" s="180" t="str">
        <f aca="false">IF((D58="i"),F58," ")</f>
        <v> </v>
      </c>
      <c r="Q58" s="180" t="str">
        <f aca="false">IF((D58="b"),F58," ")</f>
        <v> </v>
      </c>
      <c r="R58" s="180" t="str">
        <f aca="false">IF((D58="o"),F58," ")</f>
        <v> </v>
      </c>
      <c r="S58" s="180" t="str">
        <f aca="false">IF((D58="f"),F58," ")</f>
        <v> </v>
      </c>
      <c r="U58" s="371"/>
    </row>
    <row r="59" customFormat="false" ht="12.75" hidden="false" customHeight="false" outlineLevel="0" collapsed="false">
      <c r="D59" s="371" t="str">
        <f aca="false">IF((F59&lt;&gt;0),"Enter Letter"," ")</f>
        <v> </v>
      </c>
      <c r="G59" s="180" t="str">
        <f aca="false">IF((D59="d"),F59," ")</f>
        <v> </v>
      </c>
      <c r="H59" s="180" t="str">
        <f aca="false">IF((D59="h"),F59," ")</f>
        <v> </v>
      </c>
      <c r="I59" s="180" t="str">
        <f aca="false">IF((D59="r"),F59," ")</f>
        <v> </v>
      </c>
      <c r="J59" s="180" t="str">
        <f aca="false">IF((D59="t"),F59," ")</f>
        <v> </v>
      </c>
      <c r="K59" s="180" t="str">
        <f aca="false">IF((D59="e"),F59," ")</f>
        <v> </v>
      </c>
      <c r="L59" s="180" t="str">
        <f aca="false">IF((D59="p"),F59," ")</f>
        <v> </v>
      </c>
      <c r="M59" s="180" t="str">
        <f aca="false">IF((D59="g"),F59," ")</f>
        <v> </v>
      </c>
      <c r="N59" s="180" t="str">
        <f aca="false">IF((D59="a"),F59," ")</f>
        <v> </v>
      </c>
      <c r="O59" s="180" t="str">
        <f aca="false">IF((D59="l"),F59," ")</f>
        <v> </v>
      </c>
      <c r="P59" s="180" t="str">
        <f aca="false">IF((D59="i"),F59," ")</f>
        <v> </v>
      </c>
      <c r="Q59" s="180" t="str">
        <f aca="false">IF((D59="b"),F59," ")</f>
        <v> </v>
      </c>
      <c r="R59" s="180" t="str">
        <f aca="false">IF((D59="o"),F59," ")</f>
        <v> </v>
      </c>
      <c r="S59" s="180" t="str">
        <f aca="false">IF((D59="f"),F59," ")</f>
        <v> </v>
      </c>
      <c r="U59" s="371"/>
    </row>
    <row r="60" customFormat="false" ht="12.75" hidden="false" customHeight="false" outlineLevel="0" collapsed="false">
      <c r="D60" s="371" t="str">
        <f aca="false">IF((F60&lt;&gt;0),"Enter Letter"," ")</f>
        <v> </v>
      </c>
      <c r="G60" s="180" t="str">
        <f aca="false">IF((D60="d"),F60," ")</f>
        <v> </v>
      </c>
      <c r="H60" s="180" t="str">
        <f aca="false">IF((D60="h"),F60," ")</f>
        <v> </v>
      </c>
      <c r="I60" s="180" t="str">
        <f aca="false">IF((D60="r"),F60," ")</f>
        <v> </v>
      </c>
      <c r="J60" s="180" t="str">
        <f aca="false">IF((D60="t"),F60," ")</f>
        <v> </v>
      </c>
      <c r="K60" s="180" t="str">
        <f aca="false">IF((D60="e"),F60," ")</f>
        <v> </v>
      </c>
      <c r="L60" s="180" t="str">
        <f aca="false">IF((D60="p"),F60," ")</f>
        <v> </v>
      </c>
      <c r="M60" s="180" t="str">
        <f aca="false">IF((D60="g"),F60," ")</f>
        <v> </v>
      </c>
      <c r="N60" s="180" t="str">
        <f aca="false">IF((D60="a"),F60," ")</f>
        <v> </v>
      </c>
      <c r="O60" s="180" t="str">
        <f aca="false">IF((D60="l"),F60," ")</f>
        <v> </v>
      </c>
      <c r="P60" s="180" t="str">
        <f aca="false">IF((D60="i"),F60," ")</f>
        <v> </v>
      </c>
      <c r="Q60" s="180" t="str">
        <f aca="false">IF((D60="b"),F60," ")</f>
        <v> </v>
      </c>
      <c r="R60" s="180" t="str">
        <f aca="false">IF((D60="o"),F60," ")</f>
        <v> </v>
      </c>
      <c r="S60" s="180" t="str">
        <f aca="false">IF((D60="f"),F60," ")</f>
        <v> </v>
      </c>
      <c r="U60" s="371"/>
    </row>
    <row r="61" customFormat="false" ht="12.75" hidden="false" customHeight="false" outlineLevel="0" collapsed="false">
      <c r="D61" s="371" t="str">
        <f aca="false">IF((F61&lt;&gt;0),"Enter Letter"," ")</f>
        <v> </v>
      </c>
      <c r="G61" s="180" t="str">
        <f aca="false">IF((D61="d"),F61," ")</f>
        <v> </v>
      </c>
      <c r="H61" s="180" t="str">
        <f aca="false">IF((D61="h"),F61," ")</f>
        <v> </v>
      </c>
      <c r="I61" s="180" t="str">
        <f aca="false">IF((D61="r"),F61," ")</f>
        <v> </v>
      </c>
      <c r="J61" s="180" t="str">
        <f aca="false">IF((D61="t"),F61," ")</f>
        <v> </v>
      </c>
      <c r="K61" s="180" t="str">
        <f aca="false">IF((D61="e"),F61," ")</f>
        <v> </v>
      </c>
      <c r="L61" s="180" t="str">
        <f aca="false">IF((D61="p"),F61," ")</f>
        <v> </v>
      </c>
      <c r="M61" s="180" t="str">
        <f aca="false">IF((D61="g"),F61," ")</f>
        <v> </v>
      </c>
      <c r="N61" s="180" t="str">
        <f aca="false">IF((D61="a"),F61," ")</f>
        <v> </v>
      </c>
      <c r="O61" s="180" t="str">
        <f aca="false">IF((D61="l"),F61," ")</f>
        <v> </v>
      </c>
      <c r="P61" s="180" t="str">
        <f aca="false">IF((D61="i"),F61," ")</f>
        <v> </v>
      </c>
      <c r="Q61" s="180" t="str">
        <f aca="false">IF((D61="b"),F61," ")</f>
        <v> </v>
      </c>
      <c r="R61" s="180" t="str">
        <f aca="false">IF((D61="o"),F61," ")</f>
        <v> </v>
      </c>
      <c r="S61" s="180" t="str">
        <f aca="false">IF((D61="f"),F61," ")</f>
        <v> </v>
      </c>
      <c r="U61" s="371"/>
    </row>
    <row r="62" customFormat="false" ht="12.75" hidden="false" customHeight="false" outlineLevel="0" collapsed="false">
      <c r="D62" s="371" t="str">
        <f aca="false">IF((F62&lt;&gt;0),"Enter Letter"," ")</f>
        <v> </v>
      </c>
      <c r="G62" s="180" t="str">
        <f aca="false">IF((D62="d"),F62," ")</f>
        <v> </v>
      </c>
      <c r="H62" s="180" t="str">
        <f aca="false">IF((D62="h"),F62," ")</f>
        <v> </v>
      </c>
      <c r="I62" s="180" t="str">
        <f aca="false">IF((D62="r"),F62," ")</f>
        <v> </v>
      </c>
      <c r="J62" s="180" t="str">
        <f aca="false">IF((D62="t"),F62," ")</f>
        <v> </v>
      </c>
      <c r="K62" s="180" t="str">
        <f aca="false">IF((D62="e"),F62," ")</f>
        <v> </v>
      </c>
      <c r="L62" s="180" t="str">
        <f aca="false">IF((D62="p"),F62," ")</f>
        <v> </v>
      </c>
      <c r="M62" s="180" t="str">
        <f aca="false">IF((D62="g"),F62," ")</f>
        <v> </v>
      </c>
      <c r="N62" s="180" t="str">
        <f aca="false">IF((D62="a"),F62," ")</f>
        <v> </v>
      </c>
      <c r="O62" s="180" t="str">
        <f aca="false">IF((D62="l"),F62," ")</f>
        <v> </v>
      </c>
      <c r="P62" s="180" t="str">
        <f aca="false">IF((D62="i"),F62," ")</f>
        <v> </v>
      </c>
      <c r="Q62" s="180" t="str">
        <f aca="false">IF((D62="b"),F62," ")</f>
        <v> </v>
      </c>
      <c r="R62" s="180" t="str">
        <f aca="false">IF((D62="o"),F62," ")</f>
        <v> </v>
      </c>
      <c r="S62" s="180" t="str">
        <f aca="false">IF((D62="f"),F62," ")</f>
        <v> </v>
      </c>
      <c r="U62" s="371"/>
    </row>
    <row r="63" customFormat="false" ht="12.75" hidden="false" customHeight="false" outlineLevel="0" collapsed="false">
      <c r="D63" s="371" t="str">
        <f aca="false">IF((F63&lt;&gt;0),"Enter Letter"," ")</f>
        <v> </v>
      </c>
      <c r="G63" s="180" t="str">
        <f aca="false">IF((D63="d"),F63," ")</f>
        <v> </v>
      </c>
      <c r="H63" s="180" t="str">
        <f aca="false">IF((D63="h"),F63," ")</f>
        <v> </v>
      </c>
      <c r="I63" s="180" t="str">
        <f aca="false">IF((D63="r"),F63," ")</f>
        <v> </v>
      </c>
      <c r="J63" s="180" t="str">
        <f aca="false">IF((D63="t"),F63," ")</f>
        <v> </v>
      </c>
      <c r="K63" s="180" t="str">
        <f aca="false">IF((D63="e"),F63," ")</f>
        <v> </v>
      </c>
      <c r="L63" s="180" t="str">
        <f aca="false">IF((D63="p"),F63," ")</f>
        <v> </v>
      </c>
      <c r="M63" s="180" t="str">
        <f aca="false">IF((D63="g"),F63," ")</f>
        <v> </v>
      </c>
      <c r="N63" s="180" t="str">
        <f aca="false">IF((D63="a"),F63," ")</f>
        <v> </v>
      </c>
      <c r="O63" s="180" t="str">
        <f aca="false">IF((D63="l"),F63," ")</f>
        <v> </v>
      </c>
      <c r="P63" s="180" t="str">
        <f aca="false">IF((D63="i"),F63," ")</f>
        <v> </v>
      </c>
      <c r="Q63" s="180" t="str">
        <f aca="false">IF((D63="b"),F63," ")</f>
        <v> </v>
      </c>
      <c r="R63" s="180" t="str">
        <f aca="false">IF((D63="o"),F63," ")</f>
        <v> </v>
      </c>
      <c r="S63" s="180" t="str">
        <f aca="false">IF((D63="f"),F63," ")</f>
        <v> </v>
      </c>
      <c r="U63" s="371"/>
    </row>
    <row r="64" customFormat="false" ht="12.75" hidden="false" customHeight="false" outlineLevel="0" collapsed="false">
      <c r="D64" s="371" t="str">
        <f aca="false">IF((F64&lt;&gt;0),"Enter Letter"," ")</f>
        <v> </v>
      </c>
      <c r="G64" s="180" t="str">
        <f aca="false">IF((D64="d"),F64," ")</f>
        <v> </v>
      </c>
      <c r="H64" s="180" t="str">
        <f aca="false">IF((D64="h"),F64," ")</f>
        <v> </v>
      </c>
      <c r="I64" s="180" t="str">
        <f aca="false">IF((D64="r"),F64," ")</f>
        <v> </v>
      </c>
      <c r="J64" s="180" t="str">
        <f aca="false">IF((D64="t"),F64," ")</f>
        <v> </v>
      </c>
      <c r="K64" s="180" t="str">
        <f aca="false">IF((D64="e"),F64," ")</f>
        <v> </v>
      </c>
      <c r="L64" s="180" t="str">
        <f aca="false">IF((D64="p"),F64," ")</f>
        <v> </v>
      </c>
      <c r="M64" s="180" t="str">
        <f aca="false">IF((D64="g"),F64," ")</f>
        <v> </v>
      </c>
      <c r="N64" s="180" t="str">
        <f aca="false">IF((D64="a"),F64," ")</f>
        <v> </v>
      </c>
      <c r="O64" s="180" t="str">
        <f aca="false">IF((D64="l"),F64," ")</f>
        <v> </v>
      </c>
      <c r="P64" s="180" t="str">
        <f aca="false">IF((D64="i"),F64," ")</f>
        <v> </v>
      </c>
      <c r="Q64" s="180" t="str">
        <f aca="false">IF((D64="b"),F64," ")</f>
        <v> </v>
      </c>
      <c r="R64" s="180" t="str">
        <f aca="false">IF((D64="o"),F64," ")</f>
        <v> </v>
      </c>
      <c r="S64" s="180" t="str">
        <f aca="false">IF((D64="f"),F64," ")</f>
        <v> </v>
      </c>
      <c r="U64" s="371"/>
    </row>
    <row r="65" customFormat="false" ht="12.75" hidden="false" customHeight="false" outlineLevel="0" collapsed="false">
      <c r="D65" s="371" t="str">
        <f aca="false">IF((F65&lt;&gt;0),"Enter Letter"," ")</f>
        <v> </v>
      </c>
      <c r="G65" s="180" t="str">
        <f aca="false">IF((D65="d"),F65," ")</f>
        <v> </v>
      </c>
      <c r="H65" s="180" t="str">
        <f aca="false">IF((D65="h"),F65," ")</f>
        <v> </v>
      </c>
      <c r="I65" s="180" t="str">
        <f aca="false">IF((D65="r"),F65," ")</f>
        <v> </v>
      </c>
      <c r="J65" s="180" t="str">
        <f aca="false">IF((D65="t"),F65," ")</f>
        <v> </v>
      </c>
      <c r="K65" s="180" t="str">
        <f aca="false">IF((D65="e"),F65," ")</f>
        <v> </v>
      </c>
      <c r="L65" s="180" t="str">
        <f aca="false">IF((D65="p"),F65," ")</f>
        <v> </v>
      </c>
      <c r="M65" s="180" t="str">
        <f aca="false">IF((D65="g"),F65," ")</f>
        <v> </v>
      </c>
      <c r="N65" s="180" t="str">
        <f aca="false">IF((D65="a"),F65," ")</f>
        <v> </v>
      </c>
      <c r="O65" s="180" t="str">
        <f aca="false">IF((D65="l"),F65," ")</f>
        <v> </v>
      </c>
      <c r="P65" s="180" t="str">
        <f aca="false">IF((D65="i"),F65," ")</f>
        <v> </v>
      </c>
      <c r="Q65" s="180" t="str">
        <f aca="false">IF((D65="b"),F65," ")</f>
        <v> </v>
      </c>
      <c r="R65" s="180" t="str">
        <f aca="false">IF((D65="o"),F65," ")</f>
        <v> </v>
      </c>
      <c r="S65" s="180" t="str">
        <f aca="false">IF((D65="f"),F65," ")</f>
        <v> </v>
      </c>
      <c r="U65" s="371"/>
    </row>
    <row r="66" customFormat="false" ht="12.75" hidden="false" customHeight="false" outlineLevel="0" collapsed="false">
      <c r="D66" s="371" t="str">
        <f aca="false">IF((F66&lt;&gt;0),"Enter Letter"," ")</f>
        <v> </v>
      </c>
      <c r="G66" s="180" t="str">
        <f aca="false">IF((D66="d"),F66," ")</f>
        <v> </v>
      </c>
      <c r="H66" s="180" t="str">
        <f aca="false">IF((D66="h"),F66," ")</f>
        <v> </v>
      </c>
      <c r="I66" s="180" t="str">
        <f aca="false">IF((D66="r"),F66," ")</f>
        <v> </v>
      </c>
      <c r="J66" s="180" t="str">
        <f aca="false">IF((D66="t"),F66," ")</f>
        <v> </v>
      </c>
      <c r="K66" s="180" t="str">
        <f aca="false">IF((D66="e"),F66," ")</f>
        <v> </v>
      </c>
      <c r="L66" s="180" t="str">
        <f aca="false">IF((D66="p"),F66," ")</f>
        <v> </v>
      </c>
      <c r="M66" s="180" t="str">
        <f aca="false">IF((D66="g"),F66," ")</f>
        <v> </v>
      </c>
      <c r="N66" s="180" t="str">
        <f aca="false">IF((D66="a"),F66," ")</f>
        <v> </v>
      </c>
      <c r="O66" s="180" t="str">
        <f aca="false">IF((D66="l"),F66," ")</f>
        <v> </v>
      </c>
      <c r="P66" s="180" t="str">
        <f aca="false">IF((D66="i"),F66," ")</f>
        <v> </v>
      </c>
      <c r="Q66" s="180" t="str">
        <f aca="false">IF((D66="b"),F66," ")</f>
        <v> </v>
      </c>
      <c r="R66" s="180" t="str">
        <f aca="false">IF((D66="o"),F66," ")</f>
        <v> </v>
      </c>
      <c r="S66" s="180" t="str">
        <f aca="false">IF((D66="f"),F66," ")</f>
        <v> </v>
      </c>
      <c r="U66" s="371"/>
    </row>
    <row r="67" customFormat="false" ht="12.75" hidden="false" customHeight="false" outlineLevel="0" collapsed="false">
      <c r="D67" s="371" t="str">
        <f aca="false">IF((F67&lt;&gt;0),"Enter Letter"," ")</f>
        <v> </v>
      </c>
      <c r="G67" s="180" t="str">
        <f aca="false">IF((D67="d"),F67," ")</f>
        <v> </v>
      </c>
      <c r="H67" s="180" t="str">
        <f aca="false">IF((D67="h"),F67," ")</f>
        <v> </v>
      </c>
      <c r="I67" s="180" t="str">
        <f aca="false">IF((D67="r"),F67," ")</f>
        <v> </v>
      </c>
      <c r="J67" s="180" t="str">
        <f aca="false">IF((D67="t"),F67," ")</f>
        <v> </v>
      </c>
      <c r="K67" s="180" t="str">
        <f aca="false">IF((D67="e"),F67," ")</f>
        <v> </v>
      </c>
      <c r="L67" s="180" t="str">
        <f aca="false">IF((D67="p"),F67," ")</f>
        <v> </v>
      </c>
      <c r="M67" s="180" t="str">
        <f aca="false">IF((D67="g"),F67," ")</f>
        <v> </v>
      </c>
      <c r="N67" s="180" t="str">
        <f aca="false">IF((D67="a"),F67," ")</f>
        <v> </v>
      </c>
      <c r="O67" s="180" t="str">
        <f aca="false">IF((D67="l"),F67," ")</f>
        <v> </v>
      </c>
      <c r="P67" s="180" t="str">
        <f aca="false">IF((D67="i"),F67," ")</f>
        <v> </v>
      </c>
      <c r="Q67" s="180" t="str">
        <f aca="false">IF((D67="b"),F67," ")</f>
        <v> </v>
      </c>
      <c r="R67" s="180" t="str">
        <f aca="false">IF((D67="o"),F67," ")</f>
        <v> </v>
      </c>
      <c r="S67" s="180" t="str">
        <f aca="false">IF((D67="f"),F67," ")</f>
        <v> </v>
      </c>
      <c r="U67" s="371"/>
    </row>
    <row r="68" customFormat="false" ht="12.75" hidden="false" customHeight="false" outlineLevel="0" collapsed="false">
      <c r="D68" s="371" t="str">
        <f aca="false">IF((F68&lt;&gt;0),"Enter Letter"," ")</f>
        <v> </v>
      </c>
      <c r="G68" s="180" t="str">
        <f aca="false">IF((D68="d"),F68," ")</f>
        <v> </v>
      </c>
      <c r="H68" s="180" t="str">
        <f aca="false">IF((D68="h"),F68," ")</f>
        <v> </v>
      </c>
      <c r="I68" s="180" t="str">
        <f aca="false">IF((D68="r"),F68," ")</f>
        <v> </v>
      </c>
      <c r="J68" s="180" t="str">
        <f aca="false">IF((D68="t"),F68," ")</f>
        <v> </v>
      </c>
      <c r="K68" s="180" t="str">
        <f aca="false">IF((D68="e"),F68," ")</f>
        <v> </v>
      </c>
      <c r="L68" s="180" t="str">
        <f aca="false">IF((D68="p"),F68," ")</f>
        <v> </v>
      </c>
      <c r="M68" s="180" t="str">
        <f aca="false">IF((D68="g"),F68," ")</f>
        <v> </v>
      </c>
      <c r="N68" s="180" t="str">
        <f aca="false">IF((D68="a"),F68," ")</f>
        <v> </v>
      </c>
      <c r="O68" s="180" t="str">
        <f aca="false">IF((D68="l"),F68," ")</f>
        <v> </v>
      </c>
      <c r="P68" s="180" t="str">
        <f aca="false">IF((D68="i"),F68," ")</f>
        <v> </v>
      </c>
      <c r="Q68" s="180" t="str">
        <f aca="false">IF((D68="b"),F68," ")</f>
        <v> </v>
      </c>
      <c r="R68" s="180" t="str">
        <f aca="false">IF((D68="o"),F68," ")</f>
        <v> </v>
      </c>
      <c r="S68" s="180" t="str">
        <f aca="false">IF((D68="f"),F68," ")</f>
        <v> </v>
      </c>
      <c r="U68" s="371"/>
    </row>
    <row r="69" customFormat="false" ht="12.75" hidden="false" customHeight="false" outlineLevel="0" collapsed="false">
      <c r="D69" s="371" t="str">
        <f aca="false">IF((F69&lt;&gt;0),"Enter Letter"," ")</f>
        <v> </v>
      </c>
      <c r="G69" s="180" t="str">
        <f aca="false">IF((D69="d"),F69," ")</f>
        <v> </v>
      </c>
      <c r="H69" s="180" t="str">
        <f aca="false">IF((D69="h"),F69," ")</f>
        <v> </v>
      </c>
      <c r="I69" s="180" t="str">
        <f aca="false">IF((D69="r"),F69," ")</f>
        <v> </v>
      </c>
      <c r="J69" s="180" t="str">
        <f aca="false">IF((D69="t"),F69," ")</f>
        <v> </v>
      </c>
      <c r="K69" s="180" t="str">
        <f aca="false">IF((D69="e"),F69," ")</f>
        <v> </v>
      </c>
      <c r="L69" s="180" t="str">
        <f aca="false">IF((D69="p"),F69," ")</f>
        <v> </v>
      </c>
      <c r="M69" s="180" t="str">
        <f aca="false">IF((D69="g"),F69," ")</f>
        <v> </v>
      </c>
      <c r="N69" s="180" t="str">
        <f aca="false">IF((D69="a"),F69," ")</f>
        <v> </v>
      </c>
      <c r="O69" s="180" t="str">
        <f aca="false">IF((D69="l"),F69," ")</f>
        <v> </v>
      </c>
      <c r="P69" s="180" t="str">
        <f aca="false">IF((D69="i"),F69," ")</f>
        <v> </v>
      </c>
      <c r="Q69" s="180" t="str">
        <f aca="false">IF((D69="b"),F69," ")</f>
        <v> </v>
      </c>
      <c r="R69" s="180" t="str">
        <f aca="false">IF((D69="o"),F69," ")</f>
        <v> </v>
      </c>
      <c r="S69" s="180" t="str">
        <f aca="false">IF((D69="f"),F69," ")</f>
        <v> </v>
      </c>
      <c r="U69" s="371"/>
    </row>
    <row r="70" customFormat="false" ht="12.75" hidden="false" customHeight="false" outlineLevel="0" collapsed="false">
      <c r="D70" s="371" t="str">
        <f aca="false">IF((F70&lt;&gt;0),"Enter Letter"," ")</f>
        <v> </v>
      </c>
      <c r="G70" s="180" t="str">
        <f aca="false">IF((D70="d"),F70," ")</f>
        <v> </v>
      </c>
      <c r="H70" s="180" t="str">
        <f aca="false">IF((D70="h"),F70," ")</f>
        <v> </v>
      </c>
      <c r="I70" s="180" t="str">
        <f aca="false">IF((D70="r"),F70," ")</f>
        <v> </v>
      </c>
      <c r="J70" s="180" t="str">
        <f aca="false">IF((D70="t"),F70," ")</f>
        <v> </v>
      </c>
      <c r="K70" s="180" t="str">
        <f aca="false">IF((D70="e"),F70," ")</f>
        <v> </v>
      </c>
      <c r="L70" s="180" t="str">
        <f aca="false">IF((D70="p"),F70," ")</f>
        <v> </v>
      </c>
      <c r="M70" s="180" t="str">
        <f aca="false">IF((D70="g"),F70," ")</f>
        <v> </v>
      </c>
      <c r="N70" s="180" t="str">
        <f aca="false">IF((D70="a"),F70," ")</f>
        <v> </v>
      </c>
      <c r="O70" s="180" t="str">
        <f aca="false">IF((D70="l"),F70," ")</f>
        <v> </v>
      </c>
      <c r="P70" s="180" t="str">
        <f aca="false">IF((D70="i"),F70," ")</f>
        <v> </v>
      </c>
      <c r="Q70" s="180" t="str">
        <f aca="false">IF((D70="b"),F70," ")</f>
        <v> </v>
      </c>
      <c r="R70" s="180" t="str">
        <f aca="false">IF((D70="o"),F70," ")</f>
        <v> </v>
      </c>
      <c r="S70" s="180" t="str">
        <f aca="false">IF((D70="f"),F70," ")</f>
        <v> </v>
      </c>
      <c r="U70" s="371"/>
    </row>
    <row r="71" customFormat="false" ht="12.75" hidden="false" customHeight="false" outlineLevel="0" collapsed="false">
      <c r="D71" s="371" t="str">
        <f aca="false">IF((F71&lt;&gt;0),"Enter Letter"," ")</f>
        <v> </v>
      </c>
      <c r="G71" s="180" t="str">
        <f aca="false">IF((D71="d"),F71," ")</f>
        <v> </v>
      </c>
      <c r="H71" s="180" t="str">
        <f aca="false">IF((D71="h"),F71," ")</f>
        <v> </v>
      </c>
      <c r="I71" s="180" t="str">
        <f aca="false">IF((D71="r"),F71," ")</f>
        <v> </v>
      </c>
      <c r="J71" s="180" t="str">
        <f aca="false">IF((D71="t"),F71," ")</f>
        <v> </v>
      </c>
      <c r="K71" s="180" t="str">
        <f aca="false">IF((D71="e"),F71," ")</f>
        <v> </v>
      </c>
      <c r="L71" s="180" t="str">
        <f aca="false">IF((D71="p"),F71," ")</f>
        <v> </v>
      </c>
      <c r="M71" s="180" t="str">
        <f aca="false">IF((D71="g"),F71," ")</f>
        <v> </v>
      </c>
      <c r="N71" s="180" t="str">
        <f aca="false">IF((D71="a"),F71," ")</f>
        <v> </v>
      </c>
      <c r="O71" s="180" t="str">
        <f aca="false">IF((D71="l"),F71," ")</f>
        <v> </v>
      </c>
      <c r="P71" s="180" t="str">
        <f aca="false">IF((D71="i"),F71," ")</f>
        <v> </v>
      </c>
      <c r="Q71" s="180" t="str">
        <f aca="false">IF((D71="b"),F71," ")</f>
        <v> </v>
      </c>
      <c r="R71" s="180" t="str">
        <f aca="false">IF((D71="o"),F71," ")</f>
        <v> </v>
      </c>
      <c r="S71" s="180" t="str">
        <f aca="false">IF((D71="f"),F71," ")</f>
        <v> </v>
      </c>
      <c r="U71" s="371"/>
    </row>
    <row r="72" customFormat="false" ht="12.75" hidden="false" customHeight="false" outlineLevel="0" collapsed="false">
      <c r="D72" s="371" t="str">
        <f aca="false">IF((F72&lt;&gt;0),"Enter Letter"," ")</f>
        <v> </v>
      </c>
      <c r="G72" s="180" t="str">
        <f aca="false">IF((D72="d"),F72," ")</f>
        <v> </v>
      </c>
      <c r="H72" s="180" t="str">
        <f aca="false">IF((D72="h"),F72," ")</f>
        <v> </v>
      </c>
      <c r="I72" s="180" t="str">
        <f aca="false">IF((D72="r"),F72," ")</f>
        <v> </v>
      </c>
      <c r="J72" s="180" t="str">
        <f aca="false">IF((D72="t"),F72," ")</f>
        <v> </v>
      </c>
      <c r="K72" s="180" t="str">
        <f aca="false">IF((D72="e"),F72," ")</f>
        <v> </v>
      </c>
      <c r="L72" s="180" t="str">
        <f aca="false">IF((D72="p"),F72," ")</f>
        <v> </v>
      </c>
      <c r="M72" s="180" t="str">
        <f aca="false">IF((D72="g"),F72," ")</f>
        <v> </v>
      </c>
      <c r="N72" s="180" t="str">
        <f aca="false">IF((D72="a"),F72," ")</f>
        <v> </v>
      </c>
      <c r="O72" s="180" t="str">
        <f aca="false">IF((D72="l"),F72," ")</f>
        <v> </v>
      </c>
      <c r="P72" s="180" t="str">
        <f aca="false">IF((D72="i"),F72," ")</f>
        <v> </v>
      </c>
      <c r="Q72" s="180" t="str">
        <f aca="false">IF((D72="b"),F72," ")</f>
        <v> </v>
      </c>
      <c r="R72" s="180" t="str">
        <f aca="false">IF((D72="o"),F72," ")</f>
        <v> </v>
      </c>
      <c r="S72" s="180" t="str">
        <f aca="false">IF((D72="f"),F72," ")</f>
        <v> </v>
      </c>
      <c r="U72" s="371"/>
    </row>
    <row r="73" customFormat="false" ht="12.75" hidden="false" customHeight="false" outlineLevel="0" collapsed="false">
      <c r="D73" s="371" t="str">
        <f aca="false">IF((F73&lt;&gt;0),"Enter Letter"," ")</f>
        <v> </v>
      </c>
      <c r="G73" s="180" t="str">
        <f aca="false">IF((D73="d"),F73," ")</f>
        <v> </v>
      </c>
      <c r="H73" s="180" t="str">
        <f aca="false">IF((D73="h"),F73," ")</f>
        <v> </v>
      </c>
      <c r="I73" s="180" t="str">
        <f aca="false">IF((D73="r"),F73," ")</f>
        <v> </v>
      </c>
      <c r="J73" s="180" t="str">
        <f aca="false">IF((D73="t"),F73," ")</f>
        <v> </v>
      </c>
      <c r="K73" s="180" t="str">
        <f aca="false">IF((D73="e"),F73," ")</f>
        <v> </v>
      </c>
      <c r="L73" s="180" t="str">
        <f aca="false">IF((D73="p"),F73," ")</f>
        <v> </v>
      </c>
      <c r="M73" s="180" t="str">
        <f aca="false">IF((D73="g"),F73," ")</f>
        <v> </v>
      </c>
      <c r="N73" s="180" t="str">
        <f aca="false">IF((D73="a"),F73," ")</f>
        <v> </v>
      </c>
      <c r="O73" s="180" t="str">
        <f aca="false">IF((D73="l"),F73," ")</f>
        <v> </v>
      </c>
      <c r="P73" s="180" t="str">
        <f aca="false">IF((D73="i"),F73," ")</f>
        <v> </v>
      </c>
      <c r="Q73" s="180" t="str">
        <f aca="false">IF((D73="b"),F73," ")</f>
        <v> </v>
      </c>
      <c r="R73" s="180" t="str">
        <f aca="false">IF((D73="o"),F73," ")</f>
        <v> </v>
      </c>
      <c r="S73" s="180" t="str">
        <f aca="false">IF((D73="f"),F73," ")</f>
        <v> </v>
      </c>
      <c r="U73" s="371"/>
    </row>
    <row r="74" customFormat="false" ht="12.75" hidden="false" customHeight="false" outlineLevel="0" collapsed="false">
      <c r="D74" s="371" t="str">
        <f aca="false">IF((F74&lt;&gt;0),"Enter Letter"," ")</f>
        <v> </v>
      </c>
      <c r="G74" s="180" t="str">
        <f aca="false">IF((D74="d"),F74," ")</f>
        <v> </v>
      </c>
      <c r="H74" s="180" t="str">
        <f aca="false">IF((D74="h"),F74," ")</f>
        <v> </v>
      </c>
      <c r="I74" s="180" t="str">
        <f aca="false">IF((D74="r"),F74," ")</f>
        <v> </v>
      </c>
      <c r="J74" s="180" t="str">
        <f aca="false">IF((D74="t"),F74," ")</f>
        <v> </v>
      </c>
      <c r="K74" s="180" t="str">
        <f aca="false">IF((D74="e"),F74," ")</f>
        <v> </v>
      </c>
      <c r="L74" s="180" t="str">
        <f aca="false">IF((D74="p"),F74," ")</f>
        <v> </v>
      </c>
      <c r="M74" s="180" t="str">
        <f aca="false">IF((D74="g"),F74," ")</f>
        <v> </v>
      </c>
      <c r="N74" s="180" t="str">
        <f aca="false">IF((D74="a"),F74," ")</f>
        <v> </v>
      </c>
      <c r="O74" s="180" t="str">
        <f aca="false">IF((D74="l"),F74," ")</f>
        <v> </v>
      </c>
      <c r="P74" s="180" t="str">
        <f aca="false">IF((D74="i"),F74," ")</f>
        <v> </v>
      </c>
      <c r="Q74" s="180" t="str">
        <f aca="false">IF((D74="b"),F74," ")</f>
        <v> </v>
      </c>
      <c r="R74" s="180" t="str">
        <f aca="false">IF((D74="o"),F74," ")</f>
        <v> </v>
      </c>
      <c r="S74" s="180" t="str">
        <f aca="false">IF((D74="f"),F74," ")</f>
        <v> </v>
      </c>
      <c r="U74" s="371"/>
    </row>
    <row r="75" customFormat="false" ht="12.75" hidden="false" customHeight="false" outlineLevel="0" collapsed="false">
      <c r="D75" s="371" t="str">
        <f aca="false">IF((F75&lt;&gt;0),"Enter Letter"," ")</f>
        <v> </v>
      </c>
      <c r="G75" s="180" t="str">
        <f aca="false">IF((D75="d"),F75," ")</f>
        <v> </v>
      </c>
      <c r="H75" s="180" t="str">
        <f aca="false">IF((D75="h"),F75," ")</f>
        <v> </v>
      </c>
      <c r="I75" s="180" t="str">
        <f aca="false">IF((D75="r"),F75," ")</f>
        <v> </v>
      </c>
      <c r="J75" s="180" t="str">
        <f aca="false">IF((D75="t"),F75," ")</f>
        <v> </v>
      </c>
      <c r="K75" s="180" t="str">
        <f aca="false">IF((D75="e"),F75," ")</f>
        <v> </v>
      </c>
      <c r="L75" s="180" t="str">
        <f aca="false">IF((D75="p"),F75," ")</f>
        <v> </v>
      </c>
      <c r="M75" s="180" t="str">
        <f aca="false">IF((D75="g"),F75," ")</f>
        <v> </v>
      </c>
      <c r="N75" s="180" t="str">
        <f aca="false">IF((D75="a"),F75," ")</f>
        <v> </v>
      </c>
      <c r="O75" s="180" t="str">
        <f aca="false">IF((D75="l"),F75," ")</f>
        <v> </v>
      </c>
      <c r="P75" s="180" t="str">
        <f aca="false">IF((D75="i"),F75," ")</f>
        <v> </v>
      </c>
      <c r="Q75" s="180" t="str">
        <f aca="false">IF((D75="b"),F75," ")</f>
        <v> </v>
      </c>
      <c r="R75" s="180" t="str">
        <f aca="false">IF((D75="o"),F75," ")</f>
        <v> </v>
      </c>
      <c r="S75" s="180" t="str">
        <f aca="false">IF((D75="f"),F75," ")</f>
        <v> </v>
      </c>
      <c r="U75" s="371"/>
    </row>
    <row r="76" customFormat="false" ht="12.75" hidden="false" customHeight="false" outlineLevel="0" collapsed="false">
      <c r="D76" s="371" t="str">
        <f aca="false">IF((F76&lt;&gt;0),"Enter Letter"," ")</f>
        <v> </v>
      </c>
      <c r="G76" s="180" t="str">
        <f aca="false">IF((D76="d"),F76," ")</f>
        <v> </v>
      </c>
      <c r="H76" s="180" t="str">
        <f aca="false">IF((D76="h"),F76," ")</f>
        <v> </v>
      </c>
      <c r="I76" s="180" t="str">
        <f aca="false">IF((D76="r"),F76," ")</f>
        <v> </v>
      </c>
      <c r="J76" s="180" t="str">
        <f aca="false">IF((D76="t"),F76," ")</f>
        <v> </v>
      </c>
      <c r="K76" s="180" t="str">
        <f aca="false">IF((D76="e"),F76," ")</f>
        <v> </v>
      </c>
      <c r="L76" s="180" t="str">
        <f aca="false">IF((D76="p"),F76," ")</f>
        <v> </v>
      </c>
      <c r="M76" s="180" t="str">
        <f aca="false">IF((D76="g"),F76," ")</f>
        <v> </v>
      </c>
      <c r="N76" s="180" t="str">
        <f aca="false">IF((D76="a"),F76," ")</f>
        <v> </v>
      </c>
      <c r="O76" s="180" t="str">
        <f aca="false">IF((D76="l"),F76," ")</f>
        <v> </v>
      </c>
      <c r="P76" s="180" t="str">
        <f aca="false">IF((D76="i"),F76," ")</f>
        <v> </v>
      </c>
      <c r="Q76" s="180" t="str">
        <f aca="false">IF((D76="b"),F76," ")</f>
        <v> </v>
      </c>
      <c r="R76" s="180" t="str">
        <f aca="false">IF((D76="o"),F76," ")</f>
        <v> </v>
      </c>
      <c r="S76" s="180" t="str">
        <f aca="false">IF((D76="f"),F76," ")</f>
        <v> </v>
      </c>
      <c r="U76" s="371"/>
    </row>
    <row r="77" customFormat="false" ht="12.75" hidden="false" customHeight="false" outlineLevel="0" collapsed="false">
      <c r="D77" s="371" t="str">
        <f aca="false">IF((F77&lt;&gt;0),"Enter Letter"," ")</f>
        <v> </v>
      </c>
      <c r="G77" s="180" t="str">
        <f aca="false">IF((D77="d"),F77," ")</f>
        <v> </v>
      </c>
      <c r="H77" s="180" t="str">
        <f aca="false">IF((D77="h"),F77," ")</f>
        <v> </v>
      </c>
      <c r="I77" s="180" t="str">
        <f aca="false">IF((D77="r"),F77," ")</f>
        <v> </v>
      </c>
      <c r="J77" s="180" t="str">
        <f aca="false">IF((D77="t"),F77," ")</f>
        <v> </v>
      </c>
      <c r="K77" s="180" t="str">
        <f aca="false">IF((D77="e"),F77," ")</f>
        <v> </v>
      </c>
      <c r="L77" s="180" t="str">
        <f aca="false">IF((D77="p"),F77," ")</f>
        <v> </v>
      </c>
      <c r="M77" s="180" t="str">
        <f aca="false">IF((D77="g"),F77," ")</f>
        <v> </v>
      </c>
      <c r="N77" s="180" t="str">
        <f aca="false">IF((D77="a"),F77," ")</f>
        <v> </v>
      </c>
      <c r="O77" s="180" t="str">
        <f aca="false">IF((D77="l"),F77," ")</f>
        <v> </v>
      </c>
      <c r="P77" s="180" t="str">
        <f aca="false">IF((D77="i"),F77," ")</f>
        <v> </v>
      </c>
      <c r="Q77" s="180" t="str">
        <f aca="false">IF((D77="b"),F77," ")</f>
        <v> </v>
      </c>
      <c r="R77" s="180" t="str">
        <f aca="false">IF((D77="o"),F77," ")</f>
        <v> </v>
      </c>
      <c r="S77" s="180" t="str">
        <f aca="false">IF((D77="f"),F77," ")</f>
        <v> </v>
      </c>
      <c r="U77" s="371"/>
    </row>
    <row r="78" customFormat="false" ht="12.75" hidden="false" customHeight="false" outlineLevel="0" collapsed="false">
      <c r="D78" s="371" t="str">
        <f aca="false">IF((F78&lt;&gt;0),"Enter Letter"," ")</f>
        <v> </v>
      </c>
      <c r="G78" s="180" t="str">
        <f aca="false">IF((D78="d"),F78," ")</f>
        <v> </v>
      </c>
      <c r="H78" s="180" t="str">
        <f aca="false">IF((D78="h"),F78," ")</f>
        <v> </v>
      </c>
      <c r="I78" s="180" t="str">
        <f aca="false">IF((D78="r"),F78," ")</f>
        <v> </v>
      </c>
      <c r="J78" s="180" t="str">
        <f aca="false">IF((D78="t"),F78," ")</f>
        <v> </v>
      </c>
      <c r="K78" s="180" t="str">
        <f aca="false">IF((D78="e"),F78," ")</f>
        <v> </v>
      </c>
      <c r="L78" s="180" t="str">
        <f aca="false">IF((D78="p"),F78," ")</f>
        <v> </v>
      </c>
      <c r="M78" s="180" t="str">
        <f aca="false">IF((D78="g"),F78," ")</f>
        <v> </v>
      </c>
      <c r="N78" s="180" t="str">
        <f aca="false">IF((D78="a"),F78," ")</f>
        <v> </v>
      </c>
      <c r="O78" s="180" t="str">
        <f aca="false">IF((D78="l"),F78," ")</f>
        <v> </v>
      </c>
      <c r="P78" s="180" t="str">
        <f aca="false">IF((D78="i"),F78," ")</f>
        <v> </v>
      </c>
      <c r="Q78" s="180" t="str">
        <f aca="false">IF((D78="b"),F78," ")</f>
        <v> </v>
      </c>
      <c r="R78" s="180" t="str">
        <f aca="false">IF((D78="o"),F78," ")</f>
        <v> </v>
      </c>
      <c r="S78" s="180" t="str">
        <f aca="false">IF((D78="f"),F78," ")</f>
        <v> </v>
      </c>
      <c r="U78" s="371"/>
    </row>
    <row r="79" customFormat="false" ht="12.75" hidden="false" customHeight="false" outlineLevel="0" collapsed="false">
      <c r="D79" s="371" t="str">
        <f aca="false">IF((F79&lt;&gt;0),"Enter Letter"," ")</f>
        <v> </v>
      </c>
      <c r="G79" s="180" t="str">
        <f aca="false">IF((D79="d"),F79," ")</f>
        <v> </v>
      </c>
      <c r="H79" s="180" t="str">
        <f aca="false">IF((D79="h"),F79," ")</f>
        <v> </v>
      </c>
      <c r="I79" s="180" t="str">
        <f aca="false">IF((D79="r"),F79," ")</f>
        <v> </v>
      </c>
      <c r="J79" s="180" t="str">
        <f aca="false">IF((D79="t"),F79," ")</f>
        <v> </v>
      </c>
      <c r="K79" s="180" t="str">
        <f aca="false">IF((D79="e"),F79," ")</f>
        <v> </v>
      </c>
      <c r="L79" s="180" t="str">
        <f aca="false">IF((D79="p"),F79," ")</f>
        <v> </v>
      </c>
      <c r="M79" s="180" t="str">
        <f aca="false">IF((D79="g"),F79," ")</f>
        <v> </v>
      </c>
      <c r="N79" s="180" t="str">
        <f aca="false">IF((D79="a"),F79," ")</f>
        <v> </v>
      </c>
      <c r="O79" s="180" t="str">
        <f aca="false">IF((D79="l"),F79," ")</f>
        <v> </v>
      </c>
      <c r="P79" s="180" t="str">
        <f aca="false">IF((D79="i"),F79," ")</f>
        <v> </v>
      </c>
      <c r="Q79" s="180" t="str">
        <f aca="false">IF((D79="b"),F79," ")</f>
        <v> </v>
      </c>
      <c r="R79" s="180" t="str">
        <f aca="false">IF((D79="o"),F79," ")</f>
        <v> </v>
      </c>
      <c r="S79" s="180" t="str">
        <f aca="false">IF((D79="f"),F79," ")</f>
        <v> </v>
      </c>
      <c r="U79" s="371"/>
    </row>
    <row r="80" customFormat="false" ht="12.75" hidden="false" customHeight="false" outlineLevel="0" collapsed="false">
      <c r="D80" s="371" t="str">
        <f aca="false">IF((F80&lt;&gt;0),"Enter Letter"," ")</f>
        <v> </v>
      </c>
      <c r="G80" s="180" t="str">
        <f aca="false">IF((D80="d"),F80," ")</f>
        <v> </v>
      </c>
      <c r="H80" s="180" t="str">
        <f aca="false">IF((D80="h"),F80," ")</f>
        <v> </v>
      </c>
      <c r="I80" s="180" t="str">
        <f aca="false">IF((D80="r"),F80," ")</f>
        <v> </v>
      </c>
      <c r="J80" s="180" t="str">
        <f aca="false">IF((D80="t"),F80," ")</f>
        <v> </v>
      </c>
      <c r="K80" s="180" t="str">
        <f aca="false">IF((D80="e"),F80," ")</f>
        <v> </v>
      </c>
      <c r="L80" s="180" t="str">
        <f aca="false">IF((D80="p"),F80," ")</f>
        <v> </v>
      </c>
      <c r="M80" s="180" t="str">
        <f aca="false">IF((D80="g"),F80," ")</f>
        <v> </v>
      </c>
      <c r="N80" s="180" t="str">
        <f aca="false">IF((D80="a"),F80," ")</f>
        <v> </v>
      </c>
      <c r="O80" s="180" t="str">
        <f aca="false">IF((D80="l"),F80," ")</f>
        <v> </v>
      </c>
      <c r="P80" s="180" t="str">
        <f aca="false">IF((D80="i"),F80," ")</f>
        <v> </v>
      </c>
      <c r="Q80" s="180" t="str">
        <f aca="false">IF((D80="b"),F80," ")</f>
        <v> </v>
      </c>
      <c r="R80" s="180" t="str">
        <f aca="false">IF((D80="o"),F80," ")</f>
        <v> </v>
      </c>
      <c r="S80" s="180" t="str">
        <f aca="false">IF((D80="f"),F80," ")</f>
        <v> </v>
      </c>
      <c r="U80" s="371"/>
    </row>
    <row r="81" customFormat="false" ht="12.75" hidden="false" customHeight="false" outlineLevel="0" collapsed="false">
      <c r="D81" s="371" t="str">
        <f aca="false">IF((F81&lt;&gt;0),"Enter Letter"," ")</f>
        <v> </v>
      </c>
      <c r="G81" s="180" t="str">
        <f aca="false">IF((D81="d"),F81," ")</f>
        <v> </v>
      </c>
      <c r="H81" s="180" t="str">
        <f aca="false">IF((D81="h"),F81," ")</f>
        <v> </v>
      </c>
      <c r="I81" s="180" t="str">
        <f aca="false">IF((D81="r"),F81," ")</f>
        <v> </v>
      </c>
      <c r="J81" s="180" t="str">
        <f aca="false">IF((D81="t"),F81," ")</f>
        <v> </v>
      </c>
      <c r="K81" s="180" t="str">
        <f aca="false">IF((D81="e"),F81," ")</f>
        <v> </v>
      </c>
      <c r="L81" s="180" t="str">
        <f aca="false">IF((D81="p"),F81," ")</f>
        <v> </v>
      </c>
      <c r="M81" s="180" t="str">
        <f aca="false">IF((D81="g"),F81," ")</f>
        <v> </v>
      </c>
      <c r="N81" s="180" t="str">
        <f aca="false">IF((D81="a"),F81," ")</f>
        <v> </v>
      </c>
      <c r="O81" s="180" t="str">
        <f aca="false">IF((D81="l"),F81," ")</f>
        <v> </v>
      </c>
      <c r="P81" s="180" t="str">
        <f aca="false">IF((D81="i"),F81," ")</f>
        <v> </v>
      </c>
      <c r="Q81" s="180" t="str">
        <f aca="false">IF((D81="b"),F81," ")</f>
        <v> </v>
      </c>
      <c r="R81" s="180" t="str">
        <f aca="false">IF((D81="o"),F81," ")</f>
        <v> </v>
      </c>
      <c r="S81" s="180" t="str">
        <f aca="false">IF((D81="f"),F81," ")</f>
        <v> </v>
      </c>
      <c r="U81" s="371"/>
    </row>
    <row r="82" customFormat="false" ht="12.75" hidden="false" customHeight="false" outlineLevel="0" collapsed="false">
      <c r="D82" s="371" t="str">
        <f aca="false">IF((F82&lt;&gt;0),"Enter Letter"," ")</f>
        <v> </v>
      </c>
      <c r="G82" s="180" t="str">
        <f aca="false">IF((D82="d"),F82," ")</f>
        <v> </v>
      </c>
      <c r="H82" s="180" t="str">
        <f aca="false">IF((D82="h"),F82," ")</f>
        <v> </v>
      </c>
      <c r="I82" s="180" t="str">
        <f aca="false">IF((D82="r"),F82," ")</f>
        <v> </v>
      </c>
      <c r="J82" s="180" t="str">
        <f aca="false">IF((D82="t"),F82," ")</f>
        <v> </v>
      </c>
      <c r="K82" s="180" t="str">
        <f aca="false">IF((D82="e"),F82," ")</f>
        <v> </v>
      </c>
      <c r="L82" s="180" t="str">
        <f aca="false">IF((D82="p"),F82," ")</f>
        <v> </v>
      </c>
      <c r="M82" s="180" t="str">
        <f aca="false">IF((D82="g"),F82," ")</f>
        <v> </v>
      </c>
      <c r="N82" s="180" t="str">
        <f aca="false">IF((D82="a"),F82," ")</f>
        <v> </v>
      </c>
      <c r="O82" s="180" t="str">
        <f aca="false">IF((D82="l"),F82," ")</f>
        <v> </v>
      </c>
      <c r="P82" s="180" t="str">
        <f aca="false">IF((D82="i"),F82," ")</f>
        <v> </v>
      </c>
      <c r="Q82" s="180" t="str">
        <f aca="false">IF((D82="b"),F82," ")</f>
        <v> </v>
      </c>
      <c r="R82" s="180" t="str">
        <f aca="false">IF((D82="o"),F82," ")</f>
        <v> </v>
      </c>
      <c r="S82" s="180" t="str">
        <f aca="false">IF((D82="f"),F82," ")</f>
        <v> </v>
      </c>
      <c r="U82" s="371"/>
    </row>
    <row r="83" customFormat="false" ht="12.75" hidden="false" customHeight="false" outlineLevel="0" collapsed="false">
      <c r="D83" s="371" t="str">
        <f aca="false">IF((F83&lt;&gt;0),"Enter Letter"," ")</f>
        <v> </v>
      </c>
      <c r="G83" s="180" t="str">
        <f aca="false">IF((D83="d"),F83," ")</f>
        <v> </v>
      </c>
      <c r="H83" s="180" t="str">
        <f aca="false">IF((D83="h"),F83," ")</f>
        <v> </v>
      </c>
      <c r="I83" s="180" t="str">
        <f aca="false">IF((D83="r"),F83," ")</f>
        <v> </v>
      </c>
      <c r="J83" s="180" t="str">
        <f aca="false">IF((D83="t"),F83," ")</f>
        <v> </v>
      </c>
      <c r="K83" s="180" t="str">
        <f aca="false">IF((D83="e"),F83," ")</f>
        <v> </v>
      </c>
      <c r="L83" s="180" t="str">
        <f aca="false">IF((D83="p"),F83," ")</f>
        <v> </v>
      </c>
      <c r="M83" s="180" t="str">
        <f aca="false">IF((D83="g"),F83," ")</f>
        <v> </v>
      </c>
      <c r="N83" s="180" t="str">
        <f aca="false">IF((D83="a"),F83," ")</f>
        <v> </v>
      </c>
      <c r="O83" s="180" t="str">
        <f aca="false">IF((D83="l"),F83," ")</f>
        <v> </v>
      </c>
      <c r="P83" s="180" t="str">
        <f aca="false">IF((D83="i"),F83," ")</f>
        <v> </v>
      </c>
      <c r="Q83" s="180" t="str">
        <f aca="false">IF((D83="b"),F83," ")</f>
        <v> </v>
      </c>
      <c r="R83" s="180" t="str">
        <f aca="false">IF((D83="o"),F83," ")</f>
        <v> </v>
      </c>
      <c r="S83" s="180" t="str">
        <f aca="false">IF((D83="f"),F83," ")</f>
        <v> </v>
      </c>
      <c r="U83" s="371"/>
    </row>
    <row r="84" customFormat="false" ht="12.75" hidden="false" customHeight="false" outlineLevel="0" collapsed="false">
      <c r="D84" s="371" t="str">
        <f aca="false">IF((F84&lt;&gt;0),"Enter Letter"," ")</f>
        <v> </v>
      </c>
      <c r="G84" s="180" t="str">
        <f aca="false">IF((D84="d"),F84," ")</f>
        <v> </v>
      </c>
      <c r="H84" s="180" t="str">
        <f aca="false">IF((D84="h"),F84," ")</f>
        <v> </v>
      </c>
      <c r="I84" s="180" t="str">
        <f aca="false">IF((D84="r"),F84," ")</f>
        <v> </v>
      </c>
      <c r="J84" s="180" t="str">
        <f aca="false">IF((D84="t"),F84," ")</f>
        <v> </v>
      </c>
      <c r="K84" s="180" t="str">
        <f aca="false">IF((D84="e"),F84," ")</f>
        <v> </v>
      </c>
      <c r="L84" s="180" t="str">
        <f aca="false">IF((D84="p"),F84," ")</f>
        <v> </v>
      </c>
      <c r="M84" s="180" t="str">
        <f aca="false">IF((D84="g"),F84," ")</f>
        <v> </v>
      </c>
      <c r="N84" s="180" t="str">
        <f aca="false">IF((D84="a"),F84," ")</f>
        <v> </v>
      </c>
      <c r="O84" s="180" t="str">
        <f aca="false">IF((D84="l"),F84," ")</f>
        <v> </v>
      </c>
      <c r="P84" s="180" t="str">
        <f aca="false">IF((D84="i"),F84," ")</f>
        <v> </v>
      </c>
      <c r="Q84" s="180" t="str">
        <f aca="false">IF((D84="b"),F84," ")</f>
        <v> </v>
      </c>
      <c r="R84" s="180" t="str">
        <f aca="false">IF((D84="o"),F84," ")</f>
        <v> </v>
      </c>
      <c r="S84" s="180" t="str">
        <f aca="false">IF((D84="f"),F84," ")</f>
        <v> </v>
      </c>
      <c r="U84" s="371"/>
    </row>
    <row r="85" customFormat="false" ht="12.75" hidden="false" customHeight="false" outlineLevel="0" collapsed="false">
      <c r="D85" s="371" t="str">
        <f aca="false">IF((F85&lt;&gt;0),"Enter Letter"," ")</f>
        <v> </v>
      </c>
      <c r="G85" s="180" t="str">
        <f aca="false">IF((D85="d"),F85," ")</f>
        <v> </v>
      </c>
      <c r="H85" s="180" t="str">
        <f aca="false">IF((D85="h"),F85," ")</f>
        <v> </v>
      </c>
      <c r="I85" s="180" t="str">
        <f aca="false">IF((D85="r"),F85," ")</f>
        <v> </v>
      </c>
      <c r="J85" s="180" t="str">
        <f aca="false">IF((D85="t"),F85," ")</f>
        <v> </v>
      </c>
      <c r="K85" s="180" t="str">
        <f aca="false">IF((D85="e"),F85," ")</f>
        <v> </v>
      </c>
      <c r="L85" s="180" t="str">
        <f aca="false">IF((D85="p"),F85," ")</f>
        <v> </v>
      </c>
      <c r="M85" s="180" t="str">
        <f aca="false">IF((D85="g"),F85," ")</f>
        <v> </v>
      </c>
      <c r="N85" s="180" t="str">
        <f aca="false">IF((D85="a"),F85," ")</f>
        <v> </v>
      </c>
      <c r="O85" s="180" t="str">
        <f aca="false">IF((D85="l"),F85," ")</f>
        <v> </v>
      </c>
      <c r="P85" s="180" t="str">
        <f aca="false">IF((D85="i"),F85," ")</f>
        <v> </v>
      </c>
      <c r="Q85" s="180" t="str">
        <f aca="false">IF((D85="b"),F85," ")</f>
        <v> </v>
      </c>
      <c r="R85" s="180" t="str">
        <f aca="false">IF((D85="o"),F85," ")</f>
        <v> </v>
      </c>
      <c r="S85" s="180" t="str">
        <f aca="false">IF((D85="f"),F85," ")</f>
        <v> </v>
      </c>
      <c r="U85" s="371"/>
    </row>
    <row r="86" customFormat="false" ht="12.75" hidden="false" customHeight="false" outlineLevel="0" collapsed="false">
      <c r="D86" s="371" t="str">
        <f aca="false">IF((F86&lt;&gt;0),"Enter Letter"," ")</f>
        <v> </v>
      </c>
      <c r="G86" s="180" t="str">
        <f aca="false">IF((D86="d"),F86," ")</f>
        <v> </v>
      </c>
      <c r="H86" s="180" t="str">
        <f aca="false">IF((D86="h"),F86," ")</f>
        <v> </v>
      </c>
      <c r="I86" s="180" t="str">
        <f aca="false">IF((D86="r"),F86," ")</f>
        <v> </v>
      </c>
      <c r="J86" s="180" t="str">
        <f aca="false">IF((D86="t"),F86," ")</f>
        <v> </v>
      </c>
      <c r="K86" s="180" t="str">
        <f aca="false">IF((D86="e"),F86," ")</f>
        <v> </v>
      </c>
      <c r="L86" s="180" t="str">
        <f aca="false">IF((D86="p"),F86," ")</f>
        <v> </v>
      </c>
      <c r="M86" s="180" t="str">
        <f aca="false">IF((D86="g"),F86," ")</f>
        <v> </v>
      </c>
      <c r="N86" s="180" t="str">
        <f aca="false">IF((D86="a"),F86," ")</f>
        <v> </v>
      </c>
      <c r="O86" s="180" t="str">
        <f aca="false">IF((D86="l"),F86," ")</f>
        <v> </v>
      </c>
      <c r="P86" s="180" t="str">
        <f aca="false">IF((D86="i"),F86," ")</f>
        <v> </v>
      </c>
      <c r="Q86" s="180" t="str">
        <f aca="false">IF((D86="b"),F86," ")</f>
        <v> </v>
      </c>
      <c r="R86" s="180" t="str">
        <f aca="false">IF((D86="o"),F86," ")</f>
        <v> </v>
      </c>
      <c r="S86" s="180" t="str">
        <f aca="false">IF((D86="f"),F86," ")</f>
        <v> </v>
      </c>
      <c r="U86" s="371"/>
    </row>
    <row r="87" customFormat="false" ht="12.75" hidden="false" customHeight="false" outlineLevel="0" collapsed="false">
      <c r="D87" s="371" t="str">
        <f aca="false">IF((F87&lt;&gt;0),"Enter Letter"," ")</f>
        <v> </v>
      </c>
      <c r="G87" s="180" t="str">
        <f aca="false">IF((D87="d"),F87," ")</f>
        <v> </v>
      </c>
      <c r="H87" s="180" t="str">
        <f aca="false">IF((D87="h"),F87," ")</f>
        <v> </v>
      </c>
      <c r="I87" s="180" t="str">
        <f aca="false">IF((D87="r"),F87," ")</f>
        <v> </v>
      </c>
      <c r="J87" s="180" t="str">
        <f aca="false">IF((D87="t"),F87," ")</f>
        <v> </v>
      </c>
      <c r="K87" s="180" t="str">
        <f aca="false">IF((D87="e"),F87," ")</f>
        <v> </v>
      </c>
      <c r="L87" s="180" t="str">
        <f aca="false">IF((D87="p"),F87," ")</f>
        <v> </v>
      </c>
      <c r="M87" s="180" t="str">
        <f aca="false">IF((D87="g"),F87," ")</f>
        <v> </v>
      </c>
      <c r="N87" s="180" t="str">
        <f aca="false">IF((D87="a"),F87," ")</f>
        <v> </v>
      </c>
      <c r="O87" s="180" t="str">
        <f aca="false">IF((D87="l"),F87," ")</f>
        <v> </v>
      </c>
      <c r="P87" s="180" t="str">
        <f aca="false">IF((D87="i"),F87," ")</f>
        <v> </v>
      </c>
      <c r="Q87" s="180" t="str">
        <f aca="false">IF((D87="b"),F87," ")</f>
        <v> </v>
      </c>
      <c r="R87" s="180" t="str">
        <f aca="false">IF((D87="o"),F87," ")</f>
        <v> </v>
      </c>
      <c r="S87" s="180" t="str">
        <f aca="false">IF((D87="f"),F87," ")</f>
        <v> </v>
      </c>
      <c r="U87" s="371"/>
    </row>
    <row r="88" customFormat="false" ht="12.75" hidden="false" customHeight="false" outlineLevel="0" collapsed="false">
      <c r="D88" s="371" t="str">
        <f aca="false">IF((F88&lt;&gt;0),"Enter Letter"," ")</f>
        <v> </v>
      </c>
      <c r="G88" s="180" t="str">
        <f aca="false">IF((D88="d"),F88," ")</f>
        <v> </v>
      </c>
      <c r="H88" s="180" t="str">
        <f aca="false">IF((D88="h"),F88," ")</f>
        <v> </v>
      </c>
      <c r="I88" s="180" t="str">
        <f aca="false">IF((D88="r"),F88," ")</f>
        <v> </v>
      </c>
      <c r="J88" s="180" t="str">
        <f aca="false">IF((D88="t"),F88," ")</f>
        <v> </v>
      </c>
      <c r="K88" s="180" t="str">
        <f aca="false">IF((D88="e"),F88," ")</f>
        <v> </v>
      </c>
      <c r="L88" s="180" t="str">
        <f aca="false">IF((D88="p"),F88," ")</f>
        <v> </v>
      </c>
      <c r="M88" s="180" t="str">
        <f aca="false">IF((D88="g"),F88," ")</f>
        <v> </v>
      </c>
      <c r="N88" s="180" t="str">
        <f aca="false">IF((D88="a"),F88," ")</f>
        <v> </v>
      </c>
      <c r="O88" s="180" t="str">
        <f aca="false">IF((D88="l"),F88," ")</f>
        <v> </v>
      </c>
      <c r="P88" s="180" t="str">
        <f aca="false">IF((D88="i"),F88," ")</f>
        <v> </v>
      </c>
      <c r="Q88" s="180" t="str">
        <f aca="false">IF((D88="b"),F88," ")</f>
        <v> </v>
      </c>
      <c r="R88" s="180" t="str">
        <f aca="false">IF((D88="o"),F88," ")</f>
        <v> </v>
      </c>
      <c r="S88" s="180" t="str">
        <f aca="false">IF((D88="f"),F88," ")</f>
        <v> </v>
      </c>
      <c r="U88" s="371"/>
    </row>
    <row r="89" customFormat="false" ht="12.75" hidden="false" customHeight="false" outlineLevel="0" collapsed="false">
      <c r="D89" s="371" t="str">
        <f aca="false">IF((F89&lt;&gt;0),"Enter Letter"," ")</f>
        <v> </v>
      </c>
      <c r="G89" s="180" t="str">
        <f aca="false">IF((D89="d"),F89," ")</f>
        <v> </v>
      </c>
      <c r="H89" s="180" t="str">
        <f aca="false">IF((D89="h"),F89," ")</f>
        <v> </v>
      </c>
      <c r="I89" s="180" t="str">
        <f aca="false">IF((D89="r"),F89," ")</f>
        <v> </v>
      </c>
      <c r="J89" s="180" t="str">
        <f aca="false">IF((D89="t"),F89," ")</f>
        <v> </v>
      </c>
      <c r="K89" s="180" t="str">
        <f aca="false">IF((D89="e"),F89," ")</f>
        <v> </v>
      </c>
      <c r="L89" s="180" t="str">
        <f aca="false">IF((D89="p"),F89," ")</f>
        <v> </v>
      </c>
      <c r="M89" s="180" t="str">
        <f aca="false">IF((D89="g"),F89," ")</f>
        <v> </v>
      </c>
      <c r="N89" s="180" t="str">
        <f aca="false">IF((D89="a"),F89," ")</f>
        <v> </v>
      </c>
      <c r="O89" s="180" t="str">
        <f aca="false">IF((D89="l"),F89," ")</f>
        <v> </v>
      </c>
      <c r="P89" s="180" t="str">
        <f aca="false">IF((D89="i"),F89," ")</f>
        <v> </v>
      </c>
      <c r="Q89" s="180" t="str">
        <f aca="false">IF((D89="b"),F89," ")</f>
        <v> </v>
      </c>
      <c r="R89" s="180" t="str">
        <f aca="false">IF((D89="o"),F89," ")</f>
        <v> </v>
      </c>
      <c r="S89" s="180" t="str">
        <f aca="false">IF((D89="f"),F89," ")</f>
        <v> </v>
      </c>
      <c r="U89" s="371"/>
    </row>
    <row r="90" customFormat="false" ht="12.75" hidden="false" customHeight="false" outlineLevel="0" collapsed="false">
      <c r="D90" s="371" t="str">
        <f aca="false">IF((F90&lt;&gt;0),"Enter Letter"," ")</f>
        <v> </v>
      </c>
      <c r="G90" s="180" t="str">
        <f aca="false">IF((D90="d"),F90," ")</f>
        <v> </v>
      </c>
      <c r="H90" s="180" t="str">
        <f aca="false">IF((D90="h"),F90," ")</f>
        <v> </v>
      </c>
      <c r="I90" s="180" t="str">
        <f aca="false">IF((D90="r"),F90," ")</f>
        <v> </v>
      </c>
      <c r="J90" s="180" t="str">
        <f aca="false">IF((D90="t"),F90," ")</f>
        <v> </v>
      </c>
      <c r="K90" s="180" t="str">
        <f aca="false">IF((D90="e"),F90," ")</f>
        <v> </v>
      </c>
      <c r="L90" s="180" t="str">
        <f aca="false">IF((D90="p"),F90," ")</f>
        <v> </v>
      </c>
      <c r="M90" s="180" t="str">
        <f aca="false">IF((D90="g"),F90," ")</f>
        <v> </v>
      </c>
      <c r="N90" s="180" t="str">
        <f aca="false">IF((D90="a"),F90," ")</f>
        <v> </v>
      </c>
      <c r="O90" s="180" t="str">
        <f aca="false">IF((D90="l"),F90," ")</f>
        <v> </v>
      </c>
      <c r="P90" s="180" t="str">
        <f aca="false">IF((D90="i"),F90," ")</f>
        <v> </v>
      </c>
      <c r="Q90" s="180" t="str">
        <f aca="false">IF((D90="b"),F90," ")</f>
        <v> </v>
      </c>
      <c r="R90" s="180" t="str">
        <f aca="false">IF((D90="o"),F90," ")</f>
        <v> </v>
      </c>
      <c r="S90" s="180" t="str">
        <f aca="false">IF((D90="f"),F90," ")</f>
        <v> </v>
      </c>
      <c r="U90" s="371"/>
    </row>
    <row r="91" customFormat="false" ht="12.75" hidden="false" customHeight="false" outlineLevel="0" collapsed="false">
      <c r="D91" s="371" t="str">
        <f aca="false">IF((F91&lt;&gt;0),"Enter Letter"," ")</f>
        <v> </v>
      </c>
      <c r="G91" s="180" t="str">
        <f aca="false">IF((D91="d"),F91," ")</f>
        <v> </v>
      </c>
      <c r="H91" s="180" t="str">
        <f aca="false">IF((D91="h"),F91," ")</f>
        <v> </v>
      </c>
      <c r="I91" s="180" t="str">
        <f aca="false">IF((D91="r"),F91," ")</f>
        <v> </v>
      </c>
      <c r="J91" s="180" t="str">
        <f aca="false">IF((D91="t"),F91," ")</f>
        <v> </v>
      </c>
      <c r="K91" s="180" t="str">
        <f aca="false">IF((D91="e"),F91," ")</f>
        <v> </v>
      </c>
      <c r="L91" s="180" t="str">
        <f aca="false">IF((D91="p"),F91," ")</f>
        <v> </v>
      </c>
      <c r="M91" s="180" t="str">
        <f aca="false">IF((D91="g"),F91," ")</f>
        <v> </v>
      </c>
      <c r="N91" s="180" t="str">
        <f aca="false">IF((D91="a"),F91," ")</f>
        <v> </v>
      </c>
      <c r="O91" s="180" t="str">
        <f aca="false">IF((D91="l"),F91," ")</f>
        <v> </v>
      </c>
      <c r="P91" s="180" t="str">
        <f aca="false">IF((D91="i"),F91," ")</f>
        <v> </v>
      </c>
      <c r="Q91" s="180" t="str">
        <f aca="false">IF((D91="b"),F91," ")</f>
        <v> </v>
      </c>
      <c r="R91" s="180" t="str">
        <f aca="false">IF((D91="o"),F91," ")</f>
        <v> </v>
      </c>
      <c r="S91" s="180" t="str">
        <f aca="false">IF((D91="f"),F91," ")</f>
        <v> </v>
      </c>
      <c r="U91" s="371"/>
    </row>
    <row r="92" customFormat="false" ht="12.75" hidden="false" customHeight="false" outlineLevel="0" collapsed="false">
      <c r="D92" s="371" t="str">
        <f aca="false">IF((F92&lt;&gt;0),"Enter Letter"," ")</f>
        <v> </v>
      </c>
      <c r="G92" s="180" t="str">
        <f aca="false">IF((D92="d"),F92," ")</f>
        <v> </v>
      </c>
      <c r="H92" s="180" t="str">
        <f aca="false">IF((D92="h"),F92," ")</f>
        <v> </v>
      </c>
      <c r="I92" s="180" t="str">
        <f aca="false">IF((D92="r"),F92," ")</f>
        <v> </v>
      </c>
      <c r="J92" s="180" t="str">
        <f aca="false">IF((D92="t"),F92," ")</f>
        <v> </v>
      </c>
      <c r="K92" s="180" t="str">
        <f aca="false">IF((D92="e"),F92," ")</f>
        <v> </v>
      </c>
      <c r="L92" s="180" t="str">
        <f aca="false">IF((D92="p"),F92," ")</f>
        <v> </v>
      </c>
      <c r="M92" s="180" t="str">
        <f aca="false">IF((D92="g"),F92," ")</f>
        <v> </v>
      </c>
      <c r="N92" s="180" t="str">
        <f aca="false">IF((D92="a"),F92," ")</f>
        <v> </v>
      </c>
      <c r="O92" s="180" t="str">
        <f aca="false">IF((D92="l"),F92," ")</f>
        <v> </v>
      </c>
      <c r="P92" s="180" t="str">
        <f aca="false">IF((D92="i"),F92," ")</f>
        <v> </v>
      </c>
      <c r="Q92" s="180" t="str">
        <f aca="false">IF((D92="b"),F92," ")</f>
        <v> </v>
      </c>
      <c r="R92" s="180" t="str">
        <f aca="false">IF((D92="o"),F92," ")</f>
        <v> </v>
      </c>
      <c r="S92" s="180" t="str">
        <f aca="false">IF((D92="f"),F92," ")</f>
        <v> </v>
      </c>
      <c r="U92" s="371"/>
    </row>
    <row r="93" customFormat="false" ht="12.75" hidden="false" customHeight="false" outlineLevel="0" collapsed="false">
      <c r="D93" s="371" t="str">
        <f aca="false">IF((F93&lt;&gt;0),"Enter Letter"," ")</f>
        <v> </v>
      </c>
      <c r="G93" s="180" t="str">
        <f aca="false">IF((D93="d"),F93," ")</f>
        <v> </v>
      </c>
      <c r="H93" s="180" t="str">
        <f aca="false">IF((D93="h"),F93," ")</f>
        <v> </v>
      </c>
      <c r="I93" s="180" t="str">
        <f aca="false">IF((D93="r"),F93," ")</f>
        <v> </v>
      </c>
      <c r="J93" s="180" t="str">
        <f aca="false">IF((D93="t"),F93," ")</f>
        <v> </v>
      </c>
      <c r="K93" s="180" t="str">
        <f aca="false">IF((D93="e"),F93," ")</f>
        <v> </v>
      </c>
      <c r="L93" s="180" t="str">
        <f aca="false">IF((D93="p"),F93," ")</f>
        <v> </v>
      </c>
      <c r="M93" s="180" t="str">
        <f aca="false">IF((D93="g"),F93," ")</f>
        <v> </v>
      </c>
      <c r="N93" s="180" t="str">
        <f aca="false">IF((D93="a"),F93," ")</f>
        <v> </v>
      </c>
      <c r="O93" s="180" t="str">
        <f aca="false">IF((D93="l"),F93," ")</f>
        <v> </v>
      </c>
      <c r="P93" s="180" t="str">
        <f aca="false">IF((D93="i"),F93," ")</f>
        <v> </v>
      </c>
      <c r="Q93" s="180" t="str">
        <f aca="false">IF((D93="b"),F93," ")</f>
        <v> </v>
      </c>
      <c r="R93" s="180" t="str">
        <f aca="false">IF((D93="o"),F93," ")</f>
        <v> </v>
      </c>
      <c r="S93" s="180" t="str">
        <f aca="false">IF((D93="f"),F93," ")</f>
        <v> </v>
      </c>
      <c r="U93" s="371"/>
    </row>
    <row r="94" customFormat="false" ht="12.75" hidden="false" customHeight="false" outlineLevel="0" collapsed="false">
      <c r="D94" s="371" t="str">
        <f aca="false">IF((F94&lt;&gt;0),"Enter Letter"," ")</f>
        <v> </v>
      </c>
      <c r="G94" s="180" t="str">
        <f aca="false">IF((D94="d"),F94," ")</f>
        <v> </v>
      </c>
      <c r="H94" s="180" t="str">
        <f aca="false">IF((D94="h"),F94," ")</f>
        <v> </v>
      </c>
      <c r="I94" s="180" t="str">
        <f aca="false">IF((D94="r"),F94," ")</f>
        <v> </v>
      </c>
      <c r="J94" s="180" t="str">
        <f aca="false">IF((D94="t"),F94," ")</f>
        <v> </v>
      </c>
      <c r="K94" s="180" t="str">
        <f aca="false">IF((D94="e"),F94," ")</f>
        <v> </v>
      </c>
      <c r="L94" s="180" t="str">
        <f aca="false">IF((D94="p"),F94," ")</f>
        <v> </v>
      </c>
      <c r="M94" s="180" t="str">
        <f aca="false">IF((D94="g"),F94," ")</f>
        <v> </v>
      </c>
      <c r="N94" s="180" t="str">
        <f aca="false">IF((D94="a"),F94," ")</f>
        <v> </v>
      </c>
      <c r="O94" s="180" t="str">
        <f aca="false">IF((D94="l"),F94," ")</f>
        <v> </v>
      </c>
      <c r="P94" s="180" t="str">
        <f aca="false">IF((D94="i"),F94," ")</f>
        <v> </v>
      </c>
      <c r="Q94" s="180" t="str">
        <f aca="false">IF((D94="b"),F94," ")</f>
        <v> </v>
      </c>
      <c r="R94" s="180" t="str">
        <f aca="false">IF((D94="o"),F94," ")</f>
        <v> </v>
      </c>
      <c r="S94" s="180" t="str">
        <f aca="false">IF((D94="f"),F94," ")</f>
        <v> </v>
      </c>
      <c r="U94" s="371"/>
    </row>
    <row r="95" customFormat="false" ht="12.75" hidden="false" customHeight="false" outlineLevel="0" collapsed="false">
      <c r="D95" s="371" t="str">
        <f aca="false">IF((F95&lt;&gt;0),"Enter Letter"," ")</f>
        <v> </v>
      </c>
      <c r="G95" s="180" t="str">
        <f aca="false">IF((D95="d"),F95," ")</f>
        <v> </v>
      </c>
      <c r="H95" s="180" t="str">
        <f aca="false">IF((D95="h"),F95," ")</f>
        <v> </v>
      </c>
      <c r="I95" s="180" t="str">
        <f aca="false">IF((D95="r"),F95," ")</f>
        <v> </v>
      </c>
      <c r="J95" s="180" t="str">
        <f aca="false">IF((D95="t"),F95," ")</f>
        <v> </v>
      </c>
      <c r="K95" s="180" t="str">
        <f aca="false">IF((D95="e"),F95," ")</f>
        <v> </v>
      </c>
      <c r="L95" s="180" t="str">
        <f aca="false">IF((D95="p"),F95," ")</f>
        <v> </v>
      </c>
      <c r="M95" s="180" t="str">
        <f aca="false">IF((D95="g"),F95," ")</f>
        <v> </v>
      </c>
      <c r="N95" s="180" t="str">
        <f aca="false">IF((D95="a"),F95," ")</f>
        <v> </v>
      </c>
      <c r="O95" s="180" t="str">
        <f aca="false">IF((D95="l"),F95," ")</f>
        <v> </v>
      </c>
      <c r="P95" s="180" t="str">
        <f aca="false">IF((D95="i"),F95," ")</f>
        <v> </v>
      </c>
      <c r="Q95" s="180" t="str">
        <f aca="false">IF((D95="b"),F95," ")</f>
        <v> </v>
      </c>
      <c r="R95" s="180" t="str">
        <f aca="false">IF((D95="o"),F95," ")</f>
        <v> </v>
      </c>
      <c r="S95" s="180" t="str">
        <f aca="false">IF((D95="f"),F95," ")</f>
        <v> </v>
      </c>
      <c r="U95" s="371"/>
    </row>
    <row r="96" customFormat="false" ht="12.75" hidden="false" customHeight="false" outlineLevel="0" collapsed="false">
      <c r="D96" s="371" t="str">
        <f aca="false">IF((F96&lt;&gt;0),"Enter Letter"," ")</f>
        <v> </v>
      </c>
      <c r="G96" s="180" t="str">
        <f aca="false">IF((D96="d"),F96," ")</f>
        <v> </v>
      </c>
      <c r="H96" s="180" t="str">
        <f aca="false">IF((D96="h"),F96," ")</f>
        <v> </v>
      </c>
      <c r="I96" s="180" t="str">
        <f aca="false">IF((D96="r"),F96," ")</f>
        <v> </v>
      </c>
      <c r="J96" s="180" t="str">
        <f aca="false">IF((D96="t"),F96," ")</f>
        <v> </v>
      </c>
      <c r="K96" s="180" t="str">
        <f aca="false">IF((D96="e"),F96," ")</f>
        <v> </v>
      </c>
      <c r="L96" s="180" t="str">
        <f aca="false">IF((D96="p"),F96," ")</f>
        <v> </v>
      </c>
      <c r="M96" s="180" t="str">
        <f aca="false">IF((D96="g"),F96," ")</f>
        <v> </v>
      </c>
      <c r="N96" s="180" t="str">
        <f aca="false">IF((D96="a"),F96," ")</f>
        <v> </v>
      </c>
      <c r="O96" s="180" t="str">
        <f aca="false">IF((D96="l"),F96," ")</f>
        <v> </v>
      </c>
      <c r="P96" s="180" t="str">
        <f aca="false">IF((D96="i"),F96," ")</f>
        <v> </v>
      </c>
      <c r="Q96" s="180" t="str">
        <f aca="false">IF((D96="b"),F96," ")</f>
        <v> </v>
      </c>
      <c r="R96" s="180" t="str">
        <f aca="false">IF((D96="o"),F96," ")</f>
        <v> </v>
      </c>
      <c r="S96" s="180" t="str">
        <f aca="false">IF((D96="f"),F96," ")</f>
        <v> </v>
      </c>
      <c r="U96" s="371"/>
    </row>
    <row r="97" customFormat="false" ht="12.75" hidden="false" customHeight="false" outlineLevel="0" collapsed="false">
      <c r="D97" s="371" t="str">
        <f aca="false">IF((F97&lt;&gt;0),"Enter Letter"," ")</f>
        <v> </v>
      </c>
      <c r="G97" s="180" t="str">
        <f aca="false">IF((D97="d"),F97," ")</f>
        <v> </v>
      </c>
      <c r="H97" s="180" t="str">
        <f aca="false">IF((D97="h"),F97," ")</f>
        <v> </v>
      </c>
      <c r="I97" s="180" t="str">
        <f aca="false">IF((D97="r"),F97," ")</f>
        <v> </v>
      </c>
      <c r="J97" s="180" t="str">
        <f aca="false">IF((D97="t"),F97," ")</f>
        <v> </v>
      </c>
      <c r="K97" s="180" t="str">
        <f aca="false">IF((D97="e"),F97," ")</f>
        <v> </v>
      </c>
      <c r="L97" s="180" t="str">
        <f aca="false">IF((D97="p"),F97," ")</f>
        <v> </v>
      </c>
      <c r="M97" s="180" t="str">
        <f aca="false">IF((D97="g"),F97," ")</f>
        <v> </v>
      </c>
      <c r="N97" s="180" t="str">
        <f aca="false">IF((D97="a"),F97," ")</f>
        <v> </v>
      </c>
      <c r="O97" s="180" t="str">
        <f aca="false">IF((D97="l"),F97," ")</f>
        <v> </v>
      </c>
      <c r="P97" s="180" t="str">
        <f aca="false">IF((D97="i"),F97," ")</f>
        <v> </v>
      </c>
      <c r="Q97" s="180" t="str">
        <f aca="false">IF((D97="b"),F97," ")</f>
        <v> </v>
      </c>
      <c r="R97" s="180" t="str">
        <f aca="false">IF((D97="o"),F97," ")</f>
        <v> </v>
      </c>
      <c r="S97" s="180" t="str">
        <f aca="false">IF((D97="f"),F97," ")</f>
        <v> </v>
      </c>
      <c r="U97" s="371"/>
    </row>
    <row r="98" customFormat="false" ht="12.75" hidden="false" customHeight="false" outlineLevel="0" collapsed="false">
      <c r="D98" s="371" t="str">
        <f aca="false">IF((F98&lt;&gt;0),"Enter Letter"," ")</f>
        <v> </v>
      </c>
      <c r="G98" s="180" t="str">
        <f aca="false">IF((D98="d"),F98," ")</f>
        <v> </v>
      </c>
      <c r="H98" s="180" t="str">
        <f aca="false">IF((D98="h"),F98," ")</f>
        <v> </v>
      </c>
      <c r="I98" s="180" t="str">
        <f aca="false">IF((D98="r"),F98," ")</f>
        <v> </v>
      </c>
      <c r="J98" s="180" t="str">
        <f aca="false">IF((D98="t"),F98," ")</f>
        <v> </v>
      </c>
      <c r="K98" s="180" t="str">
        <f aca="false">IF((D98="e"),F98," ")</f>
        <v> </v>
      </c>
      <c r="L98" s="180" t="str">
        <f aca="false">IF((D98="p"),F98," ")</f>
        <v> </v>
      </c>
      <c r="M98" s="180" t="str">
        <f aca="false">IF((D98="g"),F98," ")</f>
        <v> </v>
      </c>
      <c r="N98" s="180" t="str">
        <f aca="false">IF((D98="a"),F98," ")</f>
        <v> </v>
      </c>
      <c r="O98" s="180" t="str">
        <f aca="false">IF((D98="l"),F98," ")</f>
        <v> </v>
      </c>
      <c r="P98" s="180" t="str">
        <f aca="false">IF((D98="i"),F98," ")</f>
        <v> </v>
      </c>
      <c r="Q98" s="180" t="str">
        <f aca="false">IF((D98="b"),F98," ")</f>
        <v> </v>
      </c>
      <c r="R98" s="180" t="str">
        <f aca="false">IF((D98="o"),F98," ")</f>
        <v> </v>
      </c>
      <c r="S98" s="180" t="str">
        <f aca="false">IF((D98="f"),F98," ")</f>
        <v> </v>
      </c>
      <c r="U98" s="371"/>
    </row>
    <row r="99" customFormat="false" ht="12.75" hidden="false" customHeight="false" outlineLevel="0" collapsed="false">
      <c r="D99" s="371" t="str">
        <f aca="false">IF((F99&lt;&gt;0),"Enter Letter"," ")</f>
        <v> </v>
      </c>
      <c r="G99" s="180" t="str">
        <f aca="false">IF((D99="d"),F99," ")</f>
        <v> </v>
      </c>
      <c r="H99" s="180" t="str">
        <f aca="false">IF((D99="h"),F99," ")</f>
        <v> </v>
      </c>
      <c r="I99" s="180" t="str">
        <f aca="false">IF((D99="r"),F99," ")</f>
        <v> </v>
      </c>
      <c r="J99" s="180" t="str">
        <f aca="false">IF((D99="t"),F99," ")</f>
        <v> </v>
      </c>
      <c r="K99" s="180" t="str">
        <f aca="false">IF((D99="e"),F99," ")</f>
        <v> </v>
      </c>
      <c r="L99" s="180" t="str">
        <f aca="false">IF((D99="p"),F99," ")</f>
        <v> </v>
      </c>
      <c r="M99" s="180" t="str">
        <f aca="false">IF((D99="g"),F99," ")</f>
        <v> </v>
      </c>
      <c r="N99" s="180" t="str">
        <f aca="false">IF((D99="a"),F99," ")</f>
        <v> </v>
      </c>
      <c r="O99" s="180" t="str">
        <f aca="false">IF((D99="l"),F99," ")</f>
        <v> </v>
      </c>
      <c r="P99" s="180" t="str">
        <f aca="false">IF((D99="i"),F99," ")</f>
        <v> </v>
      </c>
      <c r="Q99" s="180" t="str">
        <f aca="false">IF((D99="b"),F99," ")</f>
        <v> </v>
      </c>
      <c r="R99" s="180" t="str">
        <f aca="false">IF((D99="o"),F99," ")</f>
        <v> </v>
      </c>
      <c r="S99" s="180" t="str">
        <f aca="false">IF((D99="f"),F99," ")</f>
        <v> </v>
      </c>
      <c r="U99" s="371"/>
    </row>
    <row r="100" customFormat="false" ht="12.75" hidden="false" customHeight="false" outlineLevel="0" collapsed="false">
      <c r="D100" s="371" t="str">
        <f aca="false">IF((F100&lt;&gt;0),"Enter Letter"," ")</f>
        <v> </v>
      </c>
      <c r="G100" s="180" t="str">
        <f aca="false">IF((D100="d"),F100," ")</f>
        <v> </v>
      </c>
      <c r="H100" s="180" t="str">
        <f aca="false">IF((D100="h"),F100," ")</f>
        <v> </v>
      </c>
      <c r="I100" s="180" t="str">
        <f aca="false">IF((D100="r"),F100," ")</f>
        <v> </v>
      </c>
      <c r="J100" s="180" t="str">
        <f aca="false">IF((D100="t"),F100," ")</f>
        <v> </v>
      </c>
      <c r="K100" s="180" t="str">
        <f aca="false">IF((D100="e"),F100," ")</f>
        <v> </v>
      </c>
      <c r="L100" s="180" t="str">
        <f aca="false">IF((D100="p"),F100," ")</f>
        <v> </v>
      </c>
      <c r="M100" s="180" t="str">
        <f aca="false">IF((D100="g"),F100," ")</f>
        <v> </v>
      </c>
      <c r="N100" s="180" t="str">
        <f aca="false">IF((D100="a"),F100," ")</f>
        <v> </v>
      </c>
      <c r="O100" s="180" t="str">
        <f aca="false">IF((D100="l"),F100," ")</f>
        <v> </v>
      </c>
      <c r="P100" s="180" t="str">
        <f aca="false">IF((D100="i"),F100," ")</f>
        <v> </v>
      </c>
      <c r="Q100" s="180" t="str">
        <f aca="false">IF((D100="b"),F100," ")</f>
        <v> </v>
      </c>
      <c r="R100" s="180" t="str">
        <f aca="false">IF((D100="o"),F100," ")</f>
        <v> </v>
      </c>
      <c r="S100" s="180" t="str">
        <f aca="false">IF((D100="f"),F100," ")</f>
        <v> </v>
      </c>
      <c r="U100" s="371"/>
    </row>
    <row r="101" customFormat="false" ht="12.75" hidden="false" customHeight="false" outlineLevel="0" collapsed="false">
      <c r="D101" s="371" t="str">
        <f aca="false">IF((F101&lt;&gt;0),"Enter Letter"," ")</f>
        <v> </v>
      </c>
      <c r="G101" s="180" t="str">
        <f aca="false">IF((D101="d"),F101," ")</f>
        <v> </v>
      </c>
      <c r="H101" s="180" t="str">
        <f aca="false">IF((D101="h"),F101," ")</f>
        <v> </v>
      </c>
      <c r="I101" s="180" t="str">
        <f aca="false">IF((D101="r"),F101," ")</f>
        <v> </v>
      </c>
      <c r="J101" s="180" t="str">
        <f aca="false">IF((D101="t"),F101," ")</f>
        <v> </v>
      </c>
      <c r="K101" s="180" t="str">
        <f aca="false">IF((D101="e"),F101," ")</f>
        <v> </v>
      </c>
      <c r="L101" s="180" t="str">
        <f aca="false">IF((D101="p"),F101," ")</f>
        <v> </v>
      </c>
      <c r="M101" s="180" t="str">
        <f aca="false">IF((D101="g"),F101," ")</f>
        <v> </v>
      </c>
      <c r="N101" s="180" t="str">
        <f aca="false">IF((D101="a"),F101," ")</f>
        <v> </v>
      </c>
      <c r="O101" s="180" t="str">
        <f aca="false">IF((D101="l"),F101," ")</f>
        <v> </v>
      </c>
      <c r="P101" s="180" t="str">
        <f aca="false">IF((D101="i"),F101," ")</f>
        <v> </v>
      </c>
      <c r="Q101" s="180" t="str">
        <f aca="false">IF((D101="b"),F101," ")</f>
        <v> </v>
      </c>
      <c r="R101" s="180" t="str">
        <f aca="false">IF((D101="o"),F101," ")</f>
        <v> </v>
      </c>
      <c r="S101" s="180" t="str">
        <f aca="false">IF((D101="f"),F101," ")</f>
        <v> </v>
      </c>
      <c r="U101" s="371"/>
    </row>
    <row r="102" customFormat="false" ht="12.75" hidden="false" customHeight="false" outlineLevel="0" collapsed="false">
      <c r="D102" s="371" t="str">
        <f aca="false">IF((F102&lt;&gt;0),"Enter Letter"," ")</f>
        <v> </v>
      </c>
      <c r="G102" s="180" t="str">
        <f aca="false">IF((D102="d"),F102," ")</f>
        <v> </v>
      </c>
      <c r="H102" s="180" t="str">
        <f aca="false">IF((D102="h"),F102," ")</f>
        <v> </v>
      </c>
      <c r="I102" s="180" t="str">
        <f aca="false">IF((D102="r"),F102," ")</f>
        <v> </v>
      </c>
      <c r="J102" s="180" t="str">
        <f aca="false">IF((D102="t"),F102," ")</f>
        <v> </v>
      </c>
      <c r="K102" s="180" t="str">
        <f aca="false">IF((D102="e"),F102," ")</f>
        <v> </v>
      </c>
      <c r="L102" s="180" t="str">
        <f aca="false">IF((D102="p"),F102," ")</f>
        <v> </v>
      </c>
      <c r="M102" s="180" t="str">
        <f aca="false">IF((D102="g"),F102," ")</f>
        <v> </v>
      </c>
      <c r="N102" s="180" t="str">
        <f aca="false">IF((D102="a"),F102," ")</f>
        <v> </v>
      </c>
      <c r="O102" s="180" t="str">
        <f aca="false">IF((D102="l"),F102," ")</f>
        <v> </v>
      </c>
      <c r="P102" s="180" t="str">
        <f aca="false">IF((D102="i"),F102," ")</f>
        <v> </v>
      </c>
      <c r="Q102" s="180" t="str">
        <f aca="false">IF((D102="b"),F102," ")</f>
        <v> </v>
      </c>
      <c r="R102" s="180" t="str">
        <f aca="false">IF((D102="o"),F102," ")</f>
        <v> </v>
      </c>
      <c r="S102" s="180" t="str">
        <f aca="false">IF((D102="f"),F102," ")</f>
        <v> </v>
      </c>
      <c r="U102" s="371"/>
    </row>
    <row r="103" customFormat="false" ht="12.75" hidden="false" customHeight="false" outlineLevel="0" collapsed="false">
      <c r="D103" s="371" t="str">
        <f aca="false">IF((F103&lt;&gt;0),"Enter Letter"," ")</f>
        <v> </v>
      </c>
      <c r="G103" s="180" t="str">
        <f aca="false">IF((D103="d"),F103," ")</f>
        <v> </v>
      </c>
      <c r="H103" s="180" t="str">
        <f aca="false">IF((D103="h"),F103," ")</f>
        <v> </v>
      </c>
      <c r="I103" s="180" t="str">
        <f aca="false">IF((D103="r"),F103," ")</f>
        <v> </v>
      </c>
      <c r="J103" s="180" t="str">
        <f aca="false">IF((D103="t"),F103," ")</f>
        <v> </v>
      </c>
      <c r="K103" s="180" t="str">
        <f aca="false">IF((D103="e"),F103," ")</f>
        <v> </v>
      </c>
      <c r="L103" s="180" t="str">
        <f aca="false">IF((D103="p"),F103," ")</f>
        <v> </v>
      </c>
      <c r="M103" s="180" t="str">
        <f aca="false">IF((D103="g"),F103," ")</f>
        <v> </v>
      </c>
      <c r="N103" s="180" t="str">
        <f aca="false">IF((D103="a"),F103," ")</f>
        <v> </v>
      </c>
      <c r="O103" s="180" t="str">
        <f aca="false">IF((D103="l"),F103," ")</f>
        <v> </v>
      </c>
      <c r="P103" s="180" t="str">
        <f aca="false">IF((D103="i"),F103," ")</f>
        <v> </v>
      </c>
      <c r="Q103" s="180" t="str">
        <f aca="false">IF((D103="b"),F103," ")</f>
        <v> </v>
      </c>
      <c r="R103" s="180" t="str">
        <f aca="false">IF((D103="o"),F103," ")</f>
        <v> </v>
      </c>
      <c r="S103" s="180" t="str">
        <f aca="false">IF((D103="f"),F103," ")</f>
        <v> </v>
      </c>
      <c r="U103" s="371"/>
    </row>
    <row r="104" customFormat="false" ht="12.75" hidden="false" customHeight="false" outlineLevel="0" collapsed="false">
      <c r="D104" s="371" t="str">
        <f aca="false">IF((F104&lt;&gt;0),"Enter Letter"," ")</f>
        <v> </v>
      </c>
      <c r="G104" s="180" t="str">
        <f aca="false">IF((D104="d"),F104," ")</f>
        <v> </v>
      </c>
      <c r="H104" s="180" t="str">
        <f aca="false">IF((D104="h"),F104," ")</f>
        <v> </v>
      </c>
      <c r="I104" s="180" t="str">
        <f aca="false">IF((D104="r"),F104," ")</f>
        <v> </v>
      </c>
      <c r="J104" s="180" t="str">
        <f aca="false">IF((D104="t"),F104," ")</f>
        <v> </v>
      </c>
      <c r="K104" s="180" t="str">
        <f aca="false">IF((D104="e"),F104," ")</f>
        <v> </v>
      </c>
      <c r="L104" s="180" t="str">
        <f aca="false">IF((D104="p"),F104," ")</f>
        <v> </v>
      </c>
      <c r="M104" s="180" t="str">
        <f aca="false">IF((D104="g"),F104," ")</f>
        <v> </v>
      </c>
      <c r="N104" s="180" t="str">
        <f aca="false">IF((D104="a"),F104," ")</f>
        <v> </v>
      </c>
      <c r="O104" s="180" t="str">
        <f aca="false">IF((D104="l"),F104," ")</f>
        <v> </v>
      </c>
      <c r="P104" s="180" t="str">
        <f aca="false">IF((D104="i"),F104," ")</f>
        <v> </v>
      </c>
      <c r="Q104" s="180" t="str">
        <f aca="false">IF((D104="b"),F104," ")</f>
        <v> </v>
      </c>
      <c r="R104" s="180" t="str">
        <f aca="false">IF((D104="o"),F104," ")</f>
        <v> </v>
      </c>
      <c r="S104" s="180" t="str">
        <f aca="false">IF((D104="f"),F104," ")</f>
        <v> </v>
      </c>
      <c r="U104" s="371"/>
    </row>
    <row r="105" customFormat="false" ht="12.75" hidden="false" customHeight="false" outlineLevel="0" collapsed="false">
      <c r="D105" s="371" t="str">
        <f aca="false">IF((F105&lt;&gt;0),"Enter Letter"," ")</f>
        <v> </v>
      </c>
      <c r="G105" s="180" t="str">
        <f aca="false">IF((D105="d"),F105," ")</f>
        <v> </v>
      </c>
      <c r="H105" s="180" t="str">
        <f aca="false">IF((D105="h"),F105," ")</f>
        <v> </v>
      </c>
      <c r="I105" s="180" t="str">
        <f aca="false">IF((D105="r"),F105," ")</f>
        <v> </v>
      </c>
      <c r="J105" s="180" t="str">
        <f aca="false">IF((D105="t"),F105," ")</f>
        <v> </v>
      </c>
      <c r="K105" s="180" t="str">
        <f aca="false">IF((D105="e"),F105," ")</f>
        <v> </v>
      </c>
      <c r="L105" s="180" t="str">
        <f aca="false">IF((D105="p"),F105," ")</f>
        <v> </v>
      </c>
      <c r="M105" s="180" t="str">
        <f aca="false">IF((D105="g"),F105," ")</f>
        <v> </v>
      </c>
      <c r="N105" s="180" t="str">
        <f aca="false">IF((D105="a"),F105," ")</f>
        <v> </v>
      </c>
      <c r="O105" s="180" t="str">
        <f aca="false">IF((D105="l"),F105," ")</f>
        <v> </v>
      </c>
      <c r="P105" s="180" t="str">
        <f aca="false">IF((D105="i"),F105," ")</f>
        <v> </v>
      </c>
      <c r="Q105" s="180" t="str">
        <f aca="false">IF((D105="b"),F105," ")</f>
        <v> </v>
      </c>
      <c r="R105" s="180" t="str">
        <f aca="false">IF((D105="o"),F105," ")</f>
        <v> </v>
      </c>
      <c r="S105" s="180" t="str">
        <f aca="false">IF((D105="f"),F105," ")</f>
        <v> </v>
      </c>
      <c r="U105" s="371"/>
    </row>
    <row r="106" customFormat="false" ht="12.75" hidden="false" customHeight="false" outlineLevel="0" collapsed="false">
      <c r="D106" s="371" t="str">
        <f aca="false">IF((F106&lt;&gt;0),"Enter Letter"," ")</f>
        <v> </v>
      </c>
      <c r="G106" s="180" t="str">
        <f aca="false">IF((D106="d"),F106," ")</f>
        <v> </v>
      </c>
      <c r="H106" s="180" t="str">
        <f aca="false">IF((D106="h"),F106," ")</f>
        <v> </v>
      </c>
      <c r="I106" s="180" t="str">
        <f aca="false">IF((D106="r"),F106," ")</f>
        <v> </v>
      </c>
      <c r="J106" s="180" t="str">
        <f aca="false">IF((D106="t"),F106," ")</f>
        <v> </v>
      </c>
      <c r="K106" s="180" t="str">
        <f aca="false">IF((D106="e"),F106," ")</f>
        <v> </v>
      </c>
      <c r="L106" s="180" t="str">
        <f aca="false">IF((D106="p"),F106," ")</f>
        <v> </v>
      </c>
      <c r="M106" s="180" t="str">
        <f aca="false">IF((D106="g"),F106," ")</f>
        <v> </v>
      </c>
      <c r="N106" s="180" t="str">
        <f aca="false">IF((D106="a"),F106," ")</f>
        <v> </v>
      </c>
      <c r="O106" s="180" t="str">
        <f aca="false">IF((D106="l"),F106," ")</f>
        <v> </v>
      </c>
      <c r="P106" s="180" t="str">
        <f aca="false">IF((D106="i"),F106," ")</f>
        <v> </v>
      </c>
      <c r="Q106" s="180" t="str">
        <f aca="false">IF((D106="b"),F106," ")</f>
        <v> </v>
      </c>
      <c r="R106" s="180" t="str">
        <f aca="false">IF((D106="o"),F106," ")</f>
        <v> </v>
      </c>
      <c r="S106" s="180" t="str">
        <f aca="false">IF((D106="f"),F106," ")</f>
        <v> </v>
      </c>
      <c r="U106" s="371"/>
    </row>
    <row r="107" customFormat="false" ht="12.75" hidden="false" customHeight="false" outlineLevel="0" collapsed="false">
      <c r="D107" s="371" t="str">
        <f aca="false">IF((F107&lt;&gt;0),"Enter Letter"," ")</f>
        <v> </v>
      </c>
      <c r="G107" s="180" t="str">
        <f aca="false">IF((D107="d"),F107," ")</f>
        <v> </v>
      </c>
      <c r="H107" s="180" t="str">
        <f aca="false">IF((D107="h"),F107," ")</f>
        <v> </v>
      </c>
      <c r="I107" s="180" t="str">
        <f aca="false">IF((D107="r"),F107," ")</f>
        <v> </v>
      </c>
      <c r="J107" s="180" t="str">
        <f aca="false">IF((D107="t"),F107," ")</f>
        <v> </v>
      </c>
      <c r="K107" s="180" t="str">
        <f aca="false">IF((D107="e"),F107," ")</f>
        <v> </v>
      </c>
      <c r="L107" s="180" t="str">
        <f aca="false">IF((D107="p"),F107," ")</f>
        <v> </v>
      </c>
      <c r="M107" s="180" t="str">
        <f aca="false">IF((D107="g"),F107," ")</f>
        <v> </v>
      </c>
      <c r="N107" s="180" t="str">
        <f aca="false">IF((D107="a"),F107," ")</f>
        <v> </v>
      </c>
      <c r="O107" s="180" t="str">
        <f aca="false">IF((D107="l"),F107," ")</f>
        <v> </v>
      </c>
      <c r="P107" s="180" t="str">
        <f aca="false">IF((D107="i"),F107," ")</f>
        <v> </v>
      </c>
      <c r="Q107" s="180" t="str">
        <f aca="false">IF((D107="b"),F107," ")</f>
        <v> </v>
      </c>
      <c r="R107" s="180" t="str">
        <f aca="false">IF((D107="o"),F107," ")</f>
        <v> </v>
      </c>
      <c r="S107" s="180" t="str">
        <f aca="false">IF((D107="f"),F107," ")</f>
        <v> </v>
      </c>
      <c r="U107" s="371"/>
    </row>
    <row r="108" customFormat="false" ht="12.75" hidden="false" customHeight="false" outlineLevel="0" collapsed="false">
      <c r="D108" s="371" t="str">
        <f aca="false">IF((F108&lt;&gt;0),"Enter Letter"," ")</f>
        <v> </v>
      </c>
      <c r="G108" s="180" t="str">
        <f aca="false">IF((D108="d"),F108," ")</f>
        <v> </v>
      </c>
      <c r="H108" s="180" t="str">
        <f aca="false">IF((D108="h"),F108," ")</f>
        <v> </v>
      </c>
      <c r="I108" s="180" t="str">
        <f aca="false">IF((D108="r"),F108," ")</f>
        <v> </v>
      </c>
      <c r="J108" s="180" t="str">
        <f aca="false">IF((D108="t"),F108," ")</f>
        <v> </v>
      </c>
      <c r="K108" s="180" t="str">
        <f aca="false">IF((D108="e"),F108," ")</f>
        <v> </v>
      </c>
      <c r="L108" s="180" t="str">
        <f aca="false">IF((D108="p"),F108," ")</f>
        <v> </v>
      </c>
      <c r="M108" s="180" t="str">
        <f aca="false">IF((D108="g"),F108," ")</f>
        <v> </v>
      </c>
      <c r="N108" s="180" t="str">
        <f aca="false">IF((D108="a"),F108," ")</f>
        <v> </v>
      </c>
      <c r="O108" s="180" t="str">
        <f aca="false">IF((D108="l"),F108," ")</f>
        <v> </v>
      </c>
      <c r="P108" s="180" t="str">
        <f aca="false">IF((D108="i"),F108," ")</f>
        <v> </v>
      </c>
      <c r="Q108" s="180" t="str">
        <f aca="false">IF((D108="b"),F108," ")</f>
        <v> </v>
      </c>
      <c r="R108" s="180" t="str">
        <f aca="false">IF((D108="o"),F108," ")</f>
        <v> </v>
      </c>
      <c r="S108" s="180" t="str">
        <f aca="false">IF((D108="f"),F108," ")</f>
        <v> </v>
      </c>
      <c r="U108" s="371"/>
    </row>
    <row r="109" customFormat="false" ht="12.75" hidden="false" customHeight="false" outlineLevel="0" collapsed="false">
      <c r="D109" s="371" t="str">
        <f aca="false">IF((F109&lt;&gt;0),"Enter Letter"," ")</f>
        <v> </v>
      </c>
      <c r="G109" s="180" t="str">
        <f aca="false">IF((D109="d"),F109," ")</f>
        <v> </v>
      </c>
      <c r="H109" s="180" t="str">
        <f aca="false">IF((D109="h"),F109," ")</f>
        <v> </v>
      </c>
      <c r="I109" s="180" t="str">
        <f aca="false">IF((D109="r"),F109," ")</f>
        <v> </v>
      </c>
      <c r="J109" s="180" t="str">
        <f aca="false">IF((D109="t"),F109," ")</f>
        <v> </v>
      </c>
      <c r="K109" s="180" t="str">
        <f aca="false">IF((D109="e"),F109," ")</f>
        <v> </v>
      </c>
      <c r="L109" s="180" t="str">
        <f aca="false">IF((D109="p"),F109," ")</f>
        <v> </v>
      </c>
      <c r="M109" s="180" t="str">
        <f aca="false">IF((D109="g"),F109," ")</f>
        <v> </v>
      </c>
      <c r="N109" s="180" t="str">
        <f aca="false">IF((D109="a"),F109," ")</f>
        <v> </v>
      </c>
      <c r="O109" s="180" t="str">
        <f aca="false">IF((D109="l"),F109," ")</f>
        <v> </v>
      </c>
      <c r="P109" s="180" t="str">
        <f aca="false">IF((D109="i"),F109," ")</f>
        <v> </v>
      </c>
      <c r="Q109" s="180" t="str">
        <f aca="false">IF((D109="b"),F109," ")</f>
        <v> </v>
      </c>
      <c r="R109" s="180" t="str">
        <f aca="false">IF((D109="o"),F109," ")</f>
        <v> </v>
      </c>
      <c r="S109" s="180" t="str">
        <f aca="false">IF((D109="f"),F109," ")</f>
        <v> </v>
      </c>
      <c r="U109" s="371"/>
    </row>
    <row r="110" customFormat="false" ht="12.75" hidden="false" customHeight="false" outlineLevel="0" collapsed="false">
      <c r="D110" s="371" t="str">
        <f aca="false">IF((F110&lt;&gt;0),"Enter Letter"," ")</f>
        <v> </v>
      </c>
      <c r="G110" s="180" t="str">
        <f aca="false">IF((D110="d"),F110," ")</f>
        <v> </v>
      </c>
      <c r="H110" s="180" t="str">
        <f aca="false">IF((D110="h"),F110," ")</f>
        <v> </v>
      </c>
      <c r="I110" s="180" t="str">
        <f aca="false">IF((D110="r"),F110," ")</f>
        <v> </v>
      </c>
      <c r="J110" s="180" t="str">
        <f aca="false">IF((D110="t"),F110," ")</f>
        <v> </v>
      </c>
      <c r="K110" s="180" t="str">
        <f aca="false">IF((D110="e"),F110," ")</f>
        <v> </v>
      </c>
      <c r="L110" s="180" t="str">
        <f aca="false">IF((D110="p"),F110," ")</f>
        <v> </v>
      </c>
      <c r="M110" s="180" t="str">
        <f aca="false">IF((D110="g"),F110," ")</f>
        <v> </v>
      </c>
      <c r="N110" s="180" t="str">
        <f aca="false">IF((D110="a"),F110," ")</f>
        <v> </v>
      </c>
      <c r="O110" s="180" t="str">
        <f aca="false">IF((D110="l"),F110," ")</f>
        <v> </v>
      </c>
      <c r="P110" s="180" t="str">
        <f aca="false">IF((D110="i"),F110," ")</f>
        <v> </v>
      </c>
      <c r="Q110" s="180" t="str">
        <f aca="false">IF((D110="b"),F110," ")</f>
        <v> </v>
      </c>
      <c r="R110" s="180" t="str">
        <f aca="false">IF((D110="o"),F110," ")</f>
        <v> </v>
      </c>
      <c r="S110" s="180" t="str">
        <f aca="false">IF((D110="f"),F110," ")</f>
        <v> </v>
      </c>
      <c r="U110" s="371"/>
    </row>
    <row r="111" customFormat="false" ht="12.75" hidden="false" customHeight="false" outlineLevel="0" collapsed="false">
      <c r="D111" s="371" t="str">
        <f aca="false">IF((F111&lt;&gt;0),"Enter Letter"," ")</f>
        <v> </v>
      </c>
      <c r="G111" s="180" t="str">
        <f aca="false">IF((D111="d"),F111," ")</f>
        <v> </v>
      </c>
      <c r="H111" s="180" t="str">
        <f aca="false">IF((D111="h"),F111," ")</f>
        <v> </v>
      </c>
      <c r="I111" s="180" t="str">
        <f aca="false">IF((D111="r"),F111," ")</f>
        <v> </v>
      </c>
      <c r="J111" s="180" t="str">
        <f aca="false">IF((D111="t"),F111," ")</f>
        <v> </v>
      </c>
      <c r="K111" s="180" t="str">
        <f aca="false">IF((D111="e"),F111," ")</f>
        <v> </v>
      </c>
      <c r="L111" s="180" t="str">
        <f aca="false">IF((D111="p"),F111," ")</f>
        <v> </v>
      </c>
      <c r="M111" s="180" t="str">
        <f aca="false">IF((D111="g"),F111," ")</f>
        <v> </v>
      </c>
      <c r="N111" s="180" t="str">
        <f aca="false">IF((D111="a"),F111," ")</f>
        <v> </v>
      </c>
      <c r="O111" s="180" t="str">
        <f aca="false">IF((D111="l"),F111," ")</f>
        <v> </v>
      </c>
      <c r="P111" s="180" t="str">
        <f aca="false">IF((D111="i"),F111," ")</f>
        <v> </v>
      </c>
      <c r="Q111" s="180" t="str">
        <f aca="false">IF((D111="b"),F111," ")</f>
        <v> </v>
      </c>
      <c r="R111" s="180" t="str">
        <f aca="false">IF((D111="o"),F111," ")</f>
        <v> </v>
      </c>
      <c r="S111" s="180" t="str">
        <f aca="false">IF((D111="f"),F111," ")</f>
        <v> </v>
      </c>
      <c r="U111" s="371"/>
    </row>
    <row r="112" customFormat="false" ht="12.75" hidden="false" customHeight="false" outlineLevel="0" collapsed="false">
      <c r="D112" s="371" t="str">
        <f aca="false">IF((F112&lt;&gt;0),"Enter Letter"," ")</f>
        <v> </v>
      </c>
      <c r="G112" s="180" t="str">
        <f aca="false">IF((D112="d"),F112," ")</f>
        <v> </v>
      </c>
      <c r="H112" s="180" t="str">
        <f aca="false">IF((D112="h"),F112," ")</f>
        <v> </v>
      </c>
      <c r="I112" s="180" t="str">
        <f aca="false">IF((D112="r"),F112," ")</f>
        <v> </v>
      </c>
      <c r="J112" s="180" t="str">
        <f aca="false">IF((D112="t"),F112," ")</f>
        <v> </v>
      </c>
      <c r="K112" s="180" t="str">
        <f aca="false">IF((D112="e"),F112," ")</f>
        <v> </v>
      </c>
      <c r="L112" s="180" t="str">
        <f aca="false">IF((D112="p"),F112," ")</f>
        <v> </v>
      </c>
      <c r="M112" s="180" t="str">
        <f aca="false">IF((D112="g"),F112," ")</f>
        <v> </v>
      </c>
      <c r="N112" s="180" t="str">
        <f aca="false">IF((D112="a"),F112," ")</f>
        <v> </v>
      </c>
      <c r="O112" s="180" t="str">
        <f aca="false">IF((D112="l"),F112," ")</f>
        <v> </v>
      </c>
      <c r="P112" s="180" t="str">
        <f aca="false">IF((D112="i"),F112," ")</f>
        <v> </v>
      </c>
      <c r="Q112" s="180" t="str">
        <f aca="false">IF((D112="b"),F112," ")</f>
        <v> </v>
      </c>
      <c r="R112" s="180" t="str">
        <f aca="false">IF((D112="o"),F112," ")</f>
        <v> </v>
      </c>
      <c r="S112" s="180" t="str">
        <f aca="false">IF((D112="f"),F112," ")</f>
        <v> </v>
      </c>
      <c r="U112" s="371"/>
    </row>
    <row r="113" customFormat="false" ht="12.75" hidden="false" customHeight="false" outlineLevel="0" collapsed="false">
      <c r="D113" s="371" t="str">
        <f aca="false">IF((F113&lt;&gt;0),"Enter Letter"," ")</f>
        <v> </v>
      </c>
      <c r="G113" s="180" t="str">
        <f aca="false">IF((D113="d"),F113," ")</f>
        <v> </v>
      </c>
      <c r="H113" s="180" t="str">
        <f aca="false">IF((D113="h"),F113," ")</f>
        <v> </v>
      </c>
      <c r="I113" s="180" t="str">
        <f aca="false">IF((D113="r"),F113," ")</f>
        <v> </v>
      </c>
      <c r="J113" s="180" t="str">
        <f aca="false">IF((D113="t"),F113," ")</f>
        <v> </v>
      </c>
      <c r="K113" s="180" t="str">
        <f aca="false">IF((D113="e"),F113," ")</f>
        <v> </v>
      </c>
      <c r="L113" s="180" t="str">
        <f aca="false">IF((D113="p"),F113," ")</f>
        <v> </v>
      </c>
      <c r="M113" s="180" t="str">
        <f aca="false">IF((D113="g"),F113," ")</f>
        <v> </v>
      </c>
      <c r="N113" s="180" t="str">
        <f aca="false">IF((D113="a"),F113," ")</f>
        <v> </v>
      </c>
      <c r="O113" s="180" t="str">
        <f aca="false">IF((D113="l"),F113," ")</f>
        <v> </v>
      </c>
      <c r="P113" s="180" t="str">
        <f aca="false">IF((D113="i"),F113," ")</f>
        <v> </v>
      </c>
      <c r="Q113" s="180" t="str">
        <f aca="false">IF((D113="b"),F113," ")</f>
        <v> </v>
      </c>
      <c r="R113" s="180" t="str">
        <f aca="false">IF((D113="o"),F113," ")</f>
        <v> </v>
      </c>
      <c r="S113" s="180" t="str">
        <f aca="false">IF((D113="f"),F113," ")</f>
        <v> </v>
      </c>
      <c r="U113" s="371"/>
    </row>
    <row r="114" customFormat="false" ht="12.75" hidden="false" customHeight="false" outlineLevel="0" collapsed="false">
      <c r="D114" s="371" t="str">
        <f aca="false">IF((F114&lt;&gt;0),"Enter Letter"," ")</f>
        <v> </v>
      </c>
      <c r="G114" s="180" t="str">
        <f aca="false">IF((D114="d"),F114," ")</f>
        <v> </v>
      </c>
      <c r="H114" s="180" t="str">
        <f aca="false">IF((D114="h"),F114," ")</f>
        <v> </v>
      </c>
      <c r="I114" s="180" t="str">
        <f aca="false">IF((D114="r"),F114," ")</f>
        <v> </v>
      </c>
      <c r="J114" s="180" t="str">
        <f aca="false">IF((D114="t"),F114," ")</f>
        <v> </v>
      </c>
      <c r="K114" s="180" t="str">
        <f aca="false">IF((D114="e"),F114," ")</f>
        <v> </v>
      </c>
      <c r="L114" s="180" t="str">
        <f aca="false">IF((D114="p"),F114," ")</f>
        <v> </v>
      </c>
      <c r="M114" s="180" t="str">
        <f aca="false">IF((D114="g"),F114," ")</f>
        <v> </v>
      </c>
      <c r="N114" s="180" t="str">
        <f aca="false">IF((D114="a"),F114," ")</f>
        <v> </v>
      </c>
      <c r="O114" s="180" t="str">
        <f aca="false">IF((D114="l"),F114," ")</f>
        <v> </v>
      </c>
      <c r="P114" s="180" t="str">
        <f aca="false">IF((D114="i"),F114," ")</f>
        <v> </v>
      </c>
      <c r="Q114" s="180" t="str">
        <f aca="false">IF((D114="b"),F114," ")</f>
        <v> </v>
      </c>
      <c r="R114" s="180" t="str">
        <f aca="false">IF((D114="o"),F114," ")</f>
        <v> </v>
      </c>
      <c r="S114" s="180" t="str">
        <f aca="false">IF((D114="f"),F114," ")</f>
        <v> </v>
      </c>
      <c r="U114" s="371"/>
    </row>
    <row r="115" customFormat="false" ht="12.75" hidden="false" customHeight="false" outlineLevel="0" collapsed="false">
      <c r="D115" s="371" t="str">
        <f aca="false">IF((F115&lt;&gt;0),"Enter Letter"," ")</f>
        <v> </v>
      </c>
      <c r="G115" s="180" t="str">
        <f aca="false">IF((D115="d"),F115," ")</f>
        <v> </v>
      </c>
      <c r="H115" s="180" t="str">
        <f aca="false">IF((D115="h"),F115," ")</f>
        <v> </v>
      </c>
      <c r="I115" s="180" t="str">
        <f aca="false">IF((D115="r"),F115," ")</f>
        <v> </v>
      </c>
      <c r="J115" s="180" t="str">
        <f aca="false">IF((D115="t"),F115," ")</f>
        <v> </v>
      </c>
      <c r="K115" s="180" t="str">
        <f aca="false">IF((D115="e"),F115," ")</f>
        <v> </v>
      </c>
      <c r="L115" s="180" t="str">
        <f aca="false">IF((D115="p"),F115," ")</f>
        <v> </v>
      </c>
      <c r="M115" s="180" t="str">
        <f aca="false">IF((D115="g"),F115," ")</f>
        <v> </v>
      </c>
      <c r="N115" s="180" t="str">
        <f aca="false">IF((D115="a"),F115," ")</f>
        <v> </v>
      </c>
      <c r="O115" s="180" t="str">
        <f aca="false">IF((D115="l"),F115," ")</f>
        <v> </v>
      </c>
      <c r="P115" s="180" t="str">
        <f aca="false">IF((D115="i"),F115," ")</f>
        <v> </v>
      </c>
      <c r="Q115" s="180" t="str">
        <f aca="false">IF((D115="b"),F115," ")</f>
        <v> </v>
      </c>
      <c r="R115" s="180" t="str">
        <f aca="false">IF((D115="o"),F115," ")</f>
        <v> </v>
      </c>
      <c r="S115" s="180" t="str">
        <f aca="false">IF((D115="f"),F115," ")</f>
        <v> </v>
      </c>
      <c r="U115" s="371"/>
    </row>
    <row r="116" customFormat="false" ht="12.75" hidden="false" customHeight="false" outlineLevel="0" collapsed="false">
      <c r="D116" s="371" t="str">
        <f aca="false">IF((F116&lt;&gt;0),"Enter Letter"," ")</f>
        <v> </v>
      </c>
      <c r="G116" s="180" t="str">
        <f aca="false">IF((D116="d"),F116," ")</f>
        <v> </v>
      </c>
      <c r="H116" s="180" t="str">
        <f aca="false">IF((D116="h"),F116," ")</f>
        <v> </v>
      </c>
      <c r="I116" s="180" t="str">
        <f aca="false">IF((D116="r"),F116," ")</f>
        <v> </v>
      </c>
      <c r="J116" s="180" t="str">
        <f aca="false">IF((D116="t"),F116," ")</f>
        <v> </v>
      </c>
      <c r="K116" s="180" t="str">
        <f aca="false">IF((D116="e"),F116," ")</f>
        <v> </v>
      </c>
      <c r="L116" s="180" t="str">
        <f aca="false">IF((D116="p"),F116," ")</f>
        <v> </v>
      </c>
      <c r="M116" s="180" t="str">
        <f aca="false">IF((D116="g"),F116," ")</f>
        <v> </v>
      </c>
      <c r="N116" s="180" t="str">
        <f aca="false">IF((D116="a"),F116," ")</f>
        <v> </v>
      </c>
      <c r="O116" s="180" t="str">
        <f aca="false">IF((D116="l"),F116," ")</f>
        <v> </v>
      </c>
      <c r="P116" s="180" t="str">
        <f aca="false">IF((D116="i"),F116," ")</f>
        <v> </v>
      </c>
      <c r="Q116" s="180" t="str">
        <f aca="false">IF((D116="b"),F116," ")</f>
        <v> </v>
      </c>
      <c r="R116" s="180" t="str">
        <f aca="false">IF((D116="o"),F116," ")</f>
        <v> </v>
      </c>
      <c r="S116" s="180" t="str">
        <f aca="false">IF((D116="f"),F116," ")</f>
        <v> </v>
      </c>
      <c r="U116" s="371"/>
    </row>
    <row r="117" customFormat="false" ht="12.75" hidden="false" customHeight="false" outlineLevel="0" collapsed="false">
      <c r="D117" s="371" t="str">
        <f aca="false">IF((F117&lt;&gt;0),"Enter Letter"," ")</f>
        <v> </v>
      </c>
      <c r="G117" s="180" t="str">
        <f aca="false">IF((D117="d"),F117," ")</f>
        <v> </v>
      </c>
      <c r="H117" s="180" t="str">
        <f aca="false">IF((D117="h"),F117," ")</f>
        <v> </v>
      </c>
      <c r="I117" s="180" t="str">
        <f aca="false">IF((D117="r"),F117," ")</f>
        <v> </v>
      </c>
      <c r="J117" s="180" t="str">
        <f aca="false">IF((D117="t"),F117," ")</f>
        <v> </v>
      </c>
      <c r="K117" s="180" t="str">
        <f aca="false">IF((D117="e"),F117," ")</f>
        <v> </v>
      </c>
      <c r="L117" s="180" t="str">
        <f aca="false">IF((D117="p"),F117," ")</f>
        <v> </v>
      </c>
      <c r="M117" s="180" t="str">
        <f aca="false">IF((D117="g"),F117," ")</f>
        <v> </v>
      </c>
      <c r="N117" s="180" t="str">
        <f aca="false">IF((D117="a"),F117," ")</f>
        <v> </v>
      </c>
      <c r="O117" s="180" t="str">
        <f aca="false">IF((D117="l"),F117," ")</f>
        <v> </v>
      </c>
      <c r="P117" s="180" t="str">
        <f aca="false">IF((D117="i"),F117," ")</f>
        <v> </v>
      </c>
      <c r="Q117" s="180" t="str">
        <f aca="false">IF((D117="b"),F117," ")</f>
        <v> </v>
      </c>
      <c r="R117" s="180" t="str">
        <f aca="false">IF((D117="o"),F117," ")</f>
        <v> </v>
      </c>
      <c r="S117" s="180" t="str">
        <f aca="false">IF((D117="f"),F117," ")</f>
        <v> </v>
      </c>
      <c r="U117" s="371"/>
    </row>
    <row r="118" customFormat="false" ht="12.75" hidden="false" customHeight="false" outlineLevel="0" collapsed="false">
      <c r="D118" s="371" t="str">
        <f aca="false">IF((F118&lt;&gt;0),"Enter Letter"," ")</f>
        <v> </v>
      </c>
      <c r="G118" s="180" t="str">
        <f aca="false">IF((D118="d"),F118," ")</f>
        <v> </v>
      </c>
      <c r="H118" s="180" t="str">
        <f aca="false">IF((D118="h"),F118," ")</f>
        <v> </v>
      </c>
      <c r="I118" s="180" t="str">
        <f aca="false">IF((D118="r"),F118," ")</f>
        <v> </v>
      </c>
      <c r="J118" s="180" t="str">
        <f aca="false">IF((D118="t"),F118," ")</f>
        <v> </v>
      </c>
      <c r="K118" s="180" t="str">
        <f aca="false">IF((D118="e"),F118," ")</f>
        <v> </v>
      </c>
      <c r="L118" s="180" t="str">
        <f aca="false">IF((D118="p"),F118," ")</f>
        <v> </v>
      </c>
      <c r="M118" s="180" t="str">
        <f aca="false">IF((D118="g"),F118," ")</f>
        <v> </v>
      </c>
      <c r="N118" s="180" t="str">
        <f aca="false">IF((D118="a"),F118," ")</f>
        <v> </v>
      </c>
      <c r="O118" s="180" t="str">
        <f aca="false">IF((D118="l"),F118," ")</f>
        <v> </v>
      </c>
      <c r="P118" s="180" t="str">
        <f aca="false">IF((D118="i"),F118," ")</f>
        <v> </v>
      </c>
      <c r="Q118" s="180" t="str">
        <f aca="false">IF((D118="b"),F118," ")</f>
        <v> </v>
      </c>
      <c r="R118" s="180" t="str">
        <f aca="false">IF((D118="o"),F118," ")</f>
        <v> </v>
      </c>
      <c r="S118" s="180" t="str">
        <f aca="false">IF((D118="f"),F118," ")</f>
        <v> </v>
      </c>
      <c r="U118" s="371"/>
    </row>
    <row r="119" customFormat="false" ht="12.75" hidden="false" customHeight="false" outlineLevel="0" collapsed="false">
      <c r="D119" s="371" t="str">
        <f aca="false">IF((F119&lt;&gt;0),"Enter Letter"," ")</f>
        <v> </v>
      </c>
      <c r="G119" s="180" t="str">
        <f aca="false">IF((D119="d"),F119," ")</f>
        <v> </v>
      </c>
      <c r="H119" s="180" t="str">
        <f aca="false">IF((D119="h"),F119," ")</f>
        <v> </v>
      </c>
      <c r="I119" s="180" t="str">
        <f aca="false">IF((D119="r"),F119," ")</f>
        <v> </v>
      </c>
      <c r="J119" s="180" t="str">
        <f aca="false">IF((D119="t"),F119," ")</f>
        <v> </v>
      </c>
      <c r="K119" s="180" t="str">
        <f aca="false">IF((D119="e"),F119," ")</f>
        <v> </v>
      </c>
      <c r="L119" s="180" t="str">
        <f aca="false">IF((D119="p"),F119," ")</f>
        <v> </v>
      </c>
      <c r="M119" s="180" t="str">
        <f aca="false">IF((D119="g"),F119," ")</f>
        <v> </v>
      </c>
      <c r="N119" s="180" t="str">
        <f aca="false">IF((D119="a"),F119," ")</f>
        <v> </v>
      </c>
      <c r="O119" s="180" t="str">
        <f aca="false">IF((D119="l"),F119," ")</f>
        <v> </v>
      </c>
      <c r="P119" s="180" t="str">
        <f aca="false">IF((D119="i"),F119," ")</f>
        <v> </v>
      </c>
      <c r="Q119" s="180" t="str">
        <f aca="false">IF((D119="b"),F119," ")</f>
        <v> </v>
      </c>
      <c r="R119" s="180" t="str">
        <f aca="false">IF((D119="o"),F119," ")</f>
        <v> </v>
      </c>
      <c r="S119" s="180" t="str">
        <f aca="false">IF((D119="f"),F119," ")</f>
        <v> </v>
      </c>
      <c r="U119" s="371"/>
    </row>
    <row r="120" customFormat="false" ht="12.75" hidden="false" customHeight="false" outlineLevel="0" collapsed="false">
      <c r="D120" s="371" t="str">
        <f aca="false">IF((F120&lt;&gt;0),"Enter Letter"," ")</f>
        <v> </v>
      </c>
      <c r="G120" s="180" t="str">
        <f aca="false">IF((D120="d"),F120," ")</f>
        <v> </v>
      </c>
      <c r="H120" s="180" t="str">
        <f aca="false">IF((D120="h"),F120," ")</f>
        <v> </v>
      </c>
      <c r="I120" s="180" t="str">
        <f aca="false">IF((D120="r"),F120," ")</f>
        <v> </v>
      </c>
      <c r="J120" s="180" t="str">
        <f aca="false">IF((D120="t"),F120," ")</f>
        <v> </v>
      </c>
      <c r="K120" s="180" t="str">
        <f aca="false">IF((D120="e"),F120," ")</f>
        <v> </v>
      </c>
      <c r="L120" s="180" t="str">
        <f aca="false">IF((D120="p"),F120," ")</f>
        <v> </v>
      </c>
      <c r="M120" s="180" t="str">
        <f aca="false">IF((D120="g"),F120," ")</f>
        <v> </v>
      </c>
      <c r="N120" s="180" t="str">
        <f aca="false">IF((D120="a"),F120," ")</f>
        <v> </v>
      </c>
      <c r="O120" s="180" t="str">
        <f aca="false">IF((D120="l"),F120," ")</f>
        <v> </v>
      </c>
      <c r="P120" s="180" t="str">
        <f aca="false">IF((D120="i"),F120," ")</f>
        <v> </v>
      </c>
      <c r="Q120" s="180" t="str">
        <f aca="false">IF((D120="b"),F120," ")</f>
        <v> </v>
      </c>
      <c r="R120" s="180" t="str">
        <f aca="false">IF((D120="o"),F120," ")</f>
        <v> </v>
      </c>
      <c r="S120" s="180" t="str">
        <f aca="false">IF((D120="f"),F120," ")</f>
        <v> </v>
      </c>
      <c r="U120" s="371"/>
    </row>
    <row r="121" customFormat="false" ht="12.75" hidden="false" customHeight="false" outlineLevel="0" collapsed="false">
      <c r="D121" s="371" t="str">
        <f aca="false">IF((F121&lt;&gt;0),"Enter Letter"," ")</f>
        <v> </v>
      </c>
      <c r="G121" s="180" t="str">
        <f aca="false">IF((D121="d"),F121," ")</f>
        <v> </v>
      </c>
      <c r="H121" s="180" t="str">
        <f aca="false">IF((D121="h"),F121," ")</f>
        <v> </v>
      </c>
      <c r="I121" s="180" t="str">
        <f aca="false">IF((D121="r"),F121," ")</f>
        <v> </v>
      </c>
      <c r="J121" s="180" t="str">
        <f aca="false">IF((D121="t"),F121," ")</f>
        <v> </v>
      </c>
      <c r="K121" s="180" t="str">
        <f aca="false">IF((D121="e"),F121," ")</f>
        <v> </v>
      </c>
      <c r="L121" s="180" t="str">
        <f aca="false">IF((D121="p"),F121," ")</f>
        <v> </v>
      </c>
      <c r="M121" s="180" t="str">
        <f aca="false">IF((D121="g"),F121," ")</f>
        <v> </v>
      </c>
      <c r="N121" s="180" t="str">
        <f aca="false">IF((D121="a"),F121," ")</f>
        <v> </v>
      </c>
      <c r="O121" s="180" t="str">
        <f aca="false">IF((D121="l"),F121," ")</f>
        <v> </v>
      </c>
      <c r="P121" s="180" t="str">
        <f aca="false">IF((D121="i"),F121," ")</f>
        <v> </v>
      </c>
      <c r="Q121" s="180" t="str">
        <f aca="false">IF((D121="b"),F121," ")</f>
        <v> </v>
      </c>
      <c r="R121" s="180" t="str">
        <f aca="false">IF((D121="o"),F121," ")</f>
        <v> </v>
      </c>
      <c r="S121" s="180" t="str">
        <f aca="false">IF((D121="f"),F121," ")</f>
        <v> </v>
      </c>
      <c r="U121" s="371"/>
    </row>
    <row r="122" customFormat="false" ht="12.75" hidden="false" customHeight="false" outlineLevel="0" collapsed="false">
      <c r="D122" s="371" t="str">
        <f aca="false">IF((F122&lt;&gt;0),"Enter Letter"," ")</f>
        <v> </v>
      </c>
      <c r="G122" s="180" t="str">
        <f aca="false">IF((D122="d"),F122," ")</f>
        <v> </v>
      </c>
      <c r="H122" s="180" t="str">
        <f aca="false">IF((D122="h"),F122," ")</f>
        <v> </v>
      </c>
      <c r="I122" s="180" t="str">
        <f aca="false">IF((D122="r"),F122," ")</f>
        <v> </v>
      </c>
      <c r="J122" s="180" t="str">
        <f aca="false">IF((D122="t"),F122," ")</f>
        <v> </v>
      </c>
      <c r="K122" s="180" t="str">
        <f aca="false">IF((D122="e"),F122," ")</f>
        <v> </v>
      </c>
      <c r="L122" s="180" t="str">
        <f aca="false">IF((D122="p"),F122," ")</f>
        <v> </v>
      </c>
      <c r="M122" s="180" t="str">
        <f aca="false">IF((D122="g"),F122," ")</f>
        <v> </v>
      </c>
      <c r="N122" s="180" t="str">
        <f aca="false">IF((D122="a"),F122," ")</f>
        <v> </v>
      </c>
      <c r="O122" s="180" t="str">
        <f aca="false">IF((D122="l"),F122," ")</f>
        <v> </v>
      </c>
      <c r="P122" s="180" t="str">
        <f aca="false">IF((D122="i"),F122," ")</f>
        <v> </v>
      </c>
      <c r="Q122" s="180" t="str">
        <f aca="false">IF((D122="b"),F122," ")</f>
        <v> </v>
      </c>
      <c r="R122" s="180" t="str">
        <f aca="false">IF((D122="o"),F122," ")</f>
        <v> </v>
      </c>
      <c r="S122" s="180" t="str">
        <f aca="false">IF((D122="f"),F122," ")</f>
        <v> </v>
      </c>
      <c r="U122" s="371"/>
    </row>
    <row r="123" customFormat="false" ht="12.75" hidden="false" customHeight="false" outlineLevel="0" collapsed="false">
      <c r="D123" s="371" t="str">
        <f aca="false">IF((F123&lt;&gt;0),"Enter Letter"," ")</f>
        <v> </v>
      </c>
      <c r="G123" s="180" t="str">
        <f aca="false">IF((D123="d"),F123," ")</f>
        <v> </v>
      </c>
      <c r="H123" s="180" t="str">
        <f aca="false">IF((D123="h"),F123," ")</f>
        <v> </v>
      </c>
      <c r="I123" s="180" t="str">
        <f aca="false">IF((D123="r"),F123," ")</f>
        <v> </v>
      </c>
      <c r="J123" s="180" t="str">
        <f aca="false">IF((D123="t"),F123," ")</f>
        <v> </v>
      </c>
      <c r="K123" s="180" t="str">
        <f aca="false">IF((D123="e"),F123," ")</f>
        <v> </v>
      </c>
      <c r="L123" s="180" t="str">
        <f aca="false">IF((D123="p"),F123," ")</f>
        <v> </v>
      </c>
      <c r="M123" s="180" t="str">
        <f aca="false">IF((D123="g"),F123," ")</f>
        <v> </v>
      </c>
      <c r="N123" s="180" t="str">
        <f aca="false">IF((D123="a"),F123," ")</f>
        <v> </v>
      </c>
      <c r="O123" s="180" t="str">
        <f aca="false">IF((D123="l"),F123," ")</f>
        <v> </v>
      </c>
      <c r="P123" s="180" t="str">
        <f aca="false">IF((D123="i"),F123," ")</f>
        <v> </v>
      </c>
      <c r="Q123" s="180" t="str">
        <f aca="false">IF((D123="b"),F123," ")</f>
        <v> </v>
      </c>
      <c r="R123" s="180" t="str">
        <f aca="false">IF((D123="o"),F123," ")</f>
        <v> </v>
      </c>
      <c r="S123" s="180" t="str">
        <f aca="false">IF((D123="f"),F123," ")</f>
        <v> </v>
      </c>
      <c r="U123" s="371"/>
    </row>
    <row r="124" customFormat="false" ht="12.75" hidden="false" customHeight="false" outlineLevel="0" collapsed="false">
      <c r="D124" s="371" t="str">
        <f aca="false">IF((F124&lt;&gt;0),"Enter Letter"," ")</f>
        <v> </v>
      </c>
      <c r="G124" s="180" t="str">
        <f aca="false">IF((D124="d"),F124," ")</f>
        <v> </v>
      </c>
      <c r="H124" s="180" t="str">
        <f aca="false">IF((D124="h"),F124," ")</f>
        <v> </v>
      </c>
      <c r="I124" s="180" t="str">
        <f aca="false">IF((D124="r"),F124," ")</f>
        <v> </v>
      </c>
      <c r="J124" s="180" t="str">
        <f aca="false">IF((D124="t"),F124," ")</f>
        <v> </v>
      </c>
      <c r="K124" s="180" t="str">
        <f aca="false">IF((D124="e"),F124," ")</f>
        <v> </v>
      </c>
      <c r="L124" s="180" t="str">
        <f aca="false">IF((D124="p"),F124," ")</f>
        <v> </v>
      </c>
      <c r="M124" s="180" t="str">
        <f aca="false">IF((D124="g"),F124," ")</f>
        <v> </v>
      </c>
      <c r="N124" s="180" t="str">
        <f aca="false">IF((D124="a"),F124," ")</f>
        <v> </v>
      </c>
      <c r="O124" s="180" t="str">
        <f aca="false">IF((D124="l"),F124," ")</f>
        <v> </v>
      </c>
      <c r="P124" s="180" t="str">
        <f aca="false">IF((D124="i"),F124," ")</f>
        <v> </v>
      </c>
      <c r="Q124" s="180" t="str">
        <f aca="false">IF((D124="b"),F124," ")</f>
        <v> </v>
      </c>
      <c r="R124" s="180" t="str">
        <f aca="false">IF((D124="o"),F124," ")</f>
        <v> </v>
      </c>
      <c r="S124" s="180" t="str">
        <f aca="false">IF((D124="f"),F124," ")</f>
        <v> </v>
      </c>
      <c r="U124" s="371"/>
    </row>
    <row r="125" customFormat="false" ht="12.75" hidden="false" customHeight="false" outlineLevel="0" collapsed="false">
      <c r="D125" s="371" t="str">
        <f aca="false">IF((F125&lt;&gt;0),"Enter Letter"," ")</f>
        <v> </v>
      </c>
      <c r="G125" s="180" t="str">
        <f aca="false">IF((D125="d"),F125," ")</f>
        <v> </v>
      </c>
      <c r="H125" s="180" t="str">
        <f aca="false">IF((D125="h"),F125," ")</f>
        <v> </v>
      </c>
      <c r="I125" s="180" t="str">
        <f aca="false">IF((D125="r"),F125," ")</f>
        <v> </v>
      </c>
      <c r="J125" s="180" t="str">
        <f aca="false">IF((D125="t"),F125," ")</f>
        <v> </v>
      </c>
      <c r="K125" s="180" t="str">
        <f aca="false">IF((D125="e"),F125," ")</f>
        <v> </v>
      </c>
      <c r="L125" s="180" t="str">
        <f aca="false">IF((D125="p"),F125," ")</f>
        <v> </v>
      </c>
      <c r="M125" s="180" t="str">
        <f aca="false">IF((D125="g"),F125," ")</f>
        <v> </v>
      </c>
      <c r="N125" s="180" t="str">
        <f aca="false">IF((D125="a"),F125," ")</f>
        <v> </v>
      </c>
      <c r="O125" s="180" t="str">
        <f aca="false">IF((D125="l"),F125," ")</f>
        <v> </v>
      </c>
      <c r="P125" s="180" t="str">
        <f aca="false">IF((D125="i"),F125," ")</f>
        <v> </v>
      </c>
      <c r="Q125" s="180" t="str">
        <f aca="false">IF((D125="b"),F125," ")</f>
        <v> </v>
      </c>
      <c r="R125" s="180" t="str">
        <f aca="false">IF((D125="o"),F125," ")</f>
        <v> </v>
      </c>
      <c r="S125" s="180" t="str">
        <f aca="false">IF((D125="f"),F125," ")</f>
        <v> </v>
      </c>
      <c r="U125" s="371"/>
    </row>
    <row r="126" customFormat="false" ht="12.75" hidden="false" customHeight="false" outlineLevel="0" collapsed="false">
      <c r="D126" s="371" t="str">
        <f aca="false">IF((F126&lt;&gt;0),"Enter Letter"," ")</f>
        <v> </v>
      </c>
      <c r="G126" s="180" t="str">
        <f aca="false">IF((D126="d"),F126," ")</f>
        <v> </v>
      </c>
      <c r="H126" s="180" t="str">
        <f aca="false">IF((D126="h"),F126," ")</f>
        <v> </v>
      </c>
      <c r="I126" s="180" t="str">
        <f aca="false">IF((D126="r"),F126," ")</f>
        <v> </v>
      </c>
      <c r="J126" s="180" t="str">
        <f aca="false">IF((D126="t"),F126," ")</f>
        <v> </v>
      </c>
      <c r="K126" s="180" t="str">
        <f aca="false">IF((D126="e"),F126," ")</f>
        <v> </v>
      </c>
      <c r="L126" s="180" t="str">
        <f aca="false">IF((D126="p"),F126," ")</f>
        <v> </v>
      </c>
      <c r="M126" s="180" t="str">
        <f aca="false">IF((D126="g"),F126," ")</f>
        <v> </v>
      </c>
      <c r="N126" s="180" t="str">
        <f aca="false">IF((D126="a"),F126," ")</f>
        <v> </v>
      </c>
      <c r="O126" s="180" t="str">
        <f aca="false">IF((D126="l"),F126," ")</f>
        <v> </v>
      </c>
      <c r="P126" s="180" t="str">
        <f aca="false">IF((D126="i"),F126," ")</f>
        <v> </v>
      </c>
      <c r="Q126" s="180" t="str">
        <f aca="false">IF((D126="b"),F126," ")</f>
        <v> </v>
      </c>
      <c r="R126" s="180" t="str">
        <f aca="false">IF((D126="o"),F126," ")</f>
        <v> </v>
      </c>
      <c r="S126" s="180" t="str">
        <f aca="false">IF((D126="f"),F126," ")</f>
        <v> </v>
      </c>
      <c r="U126" s="371"/>
    </row>
    <row r="127" customFormat="false" ht="12.75" hidden="false" customHeight="false" outlineLevel="0" collapsed="false">
      <c r="D127" s="371" t="str">
        <f aca="false">IF((F127&lt;&gt;0),"Enter Letter"," ")</f>
        <v> </v>
      </c>
      <c r="G127" s="180" t="str">
        <f aca="false">IF((D127="d"),F127," ")</f>
        <v> </v>
      </c>
      <c r="H127" s="180" t="str">
        <f aca="false">IF((D127="h"),F127," ")</f>
        <v> </v>
      </c>
      <c r="I127" s="180" t="str">
        <f aca="false">IF((D127="r"),F127," ")</f>
        <v> </v>
      </c>
      <c r="J127" s="180" t="str">
        <f aca="false">IF((D127="t"),F127," ")</f>
        <v> </v>
      </c>
      <c r="K127" s="180" t="str">
        <f aca="false">IF((D127="e"),F127," ")</f>
        <v> </v>
      </c>
      <c r="L127" s="180" t="str">
        <f aca="false">IF((D127="p"),F127," ")</f>
        <v> </v>
      </c>
      <c r="M127" s="180" t="str">
        <f aca="false">IF((D127="g"),F127," ")</f>
        <v> </v>
      </c>
      <c r="N127" s="180" t="str">
        <f aca="false">IF((D127="a"),F127," ")</f>
        <v> </v>
      </c>
      <c r="O127" s="180" t="str">
        <f aca="false">IF((D127="l"),F127," ")</f>
        <v> </v>
      </c>
      <c r="P127" s="180" t="str">
        <f aca="false">IF((D127="i"),F127," ")</f>
        <v> </v>
      </c>
      <c r="Q127" s="180" t="str">
        <f aca="false">IF((D127="b"),F127," ")</f>
        <v> </v>
      </c>
      <c r="R127" s="180" t="str">
        <f aca="false">IF((D127="o"),F127," ")</f>
        <v> </v>
      </c>
      <c r="S127" s="180" t="str">
        <f aca="false">IF((D127="f"),F127," ")</f>
        <v> </v>
      </c>
      <c r="U127" s="371"/>
    </row>
    <row r="128" customFormat="false" ht="12.75" hidden="false" customHeight="false" outlineLevel="0" collapsed="false">
      <c r="D128" s="371" t="str">
        <f aca="false">IF((F128&lt;&gt;0),"Enter Letter"," ")</f>
        <v> </v>
      </c>
      <c r="G128" s="180" t="str">
        <f aca="false">IF((D128="d"),F128," ")</f>
        <v> </v>
      </c>
      <c r="H128" s="180" t="str">
        <f aca="false">IF((D128="h"),F128," ")</f>
        <v> </v>
      </c>
      <c r="I128" s="180" t="str">
        <f aca="false">IF((D128="r"),F128," ")</f>
        <v> </v>
      </c>
      <c r="J128" s="180" t="str">
        <f aca="false">IF((D128="t"),F128," ")</f>
        <v> </v>
      </c>
      <c r="K128" s="180" t="str">
        <f aca="false">IF((D128="e"),F128," ")</f>
        <v> </v>
      </c>
      <c r="L128" s="180" t="str">
        <f aca="false">IF((D128="p"),F128," ")</f>
        <v> </v>
      </c>
      <c r="M128" s="180" t="str">
        <f aca="false">IF((D128="g"),F128," ")</f>
        <v> </v>
      </c>
      <c r="N128" s="180" t="str">
        <f aca="false">IF((D128="a"),F128," ")</f>
        <v> </v>
      </c>
      <c r="O128" s="180" t="str">
        <f aca="false">IF((D128="l"),F128," ")</f>
        <v> </v>
      </c>
      <c r="P128" s="180" t="str">
        <f aca="false">IF((D128="i"),F128," ")</f>
        <v> </v>
      </c>
      <c r="Q128" s="180" t="str">
        <f aca="false">IF((D128="b"),F128," ")</f>
        <v> </v>
      </c>
      <c r="R128" s="180" t="str">
        <f aca="false">IF((D128="o"),F128," ")</f>
        <v> </v>
      </c>
      <c r="S128" s="180" t="str">
        <f aca="false">IF((D128="f"),F128," ")</f>
        <v> </v>
      </c>
      <c r="U128" s="371"/>
    </row>
    <row r="129" customFormat="false" ht="12.75" hidden="false" customHeight="false" outlineLevel="0" collapsed="false">
      <c r="D129" s="371" t="str">
        <f aca="false">IF((F129&lt;&gt;0),"Enter Letter"," ")</f>
        <v> </v>
      </c>
      <c r="G129" s="180" t="str">
        <f aca="false">IF((D129="d"),F129," ")</f>
        <v> </v>
      </c>
      <c r="H129" s="180" t="str">
        <f aca="false">IF((D129="h"),F129," ")</f>
        <v> </v>
      </c>
      <c r="I129" s="180" t="str">
        <f aca="false">IF((D129="r"),F129," ")</f>
        <v> </v>
      </c>
      <c r="J129" s="180" t="str">
        <f aca="false">IF((D129="t"),F129," ")</f>
        <v> </v>
      </c>
      <c r="K129" s="180" t="str">
        <f aca="false">IF((D129="e"),F129," ")</f>
        <v> </v>
      </c>
      <c r="L129" s="180" t="str">
        <f aca="false">IF((D129="p"),F129," ")</f>
        <v> </v>
      </c>
      <c r="M129" s="180" t="str">
        <f aca="false">IF((D129="g"),F129," ")</f>
        <v> </v>
      </c>
      <c r="N129" s="180" t="str">
        <f aca="false">IF((D129="a"),F129," ")</f>
        <v> </v>
      </c>
      <c r="O129" s="180" t="str">
        <f aca="false">IF((D129="l"),F129," ")</f>
        <v> </v>
      </c>
      <c r="P129" s="180" t="str">
        <f aca="false">IF((D129="i"),F129," ")</f>
        <v> </v>
      </c>
      <c r="Q129" s="180" t="str">
        <f aca="false">IF((D129="b"),F129," ")</f>
        <v> </v>
      </c>
      <c r="R129" s="180" t="str">
        <f aca="false">IF((D129="o"),F129," ")</f>
        <v> </v>
      </c>
      <c r="S129" s="180" t="str">
        <f aca="false">IF((D129="f"),F129," ")</f>
        <v> </v>
      </c>
      <c r="U129" s="371"/>
    </row>
    <row r="130" customFormat="false" ht="12.75" hidden="false" customHeight="false" outlineLevel="0" collapsed="false">
      <c r="D130" s="371" t="str">
        <f aca="false">IF((F130&lt;&gt;0),"Enter Letter"," ")</f>
        <v> </v>
      </c>
      <c r="G130" s="180" t="str">
        <f aca="false">IF((D130="d"),F130," ")</f>
        <v> </v>
      </c>
      <c r="H130" s="180" t="str">
        <f aca="false">IF((D130="h"),F130," ")</f>
        <v> </v>
      </c>
      <c r="I130" s="180" t="str">
        <f aca="false">IF((D130="r"),F130," ")</f>
        <v> </v>
      </c>
      <c r="J130" s="180" t="str">
        <f aca="false">IF((D130="t"),F130," ")</f>
        <v> </v>
      </c>
      <c r="K130" s="180" t="str">
        <f aca="false">IF((D130="e"),F130," ")</f>
        <v> </v>
      </c>
      <c r="L130" s="180" t="str">
        <f aca="false">IF((D130="p"),F130," ")</f>
        <v> </v>
      </c>
      <c r="M130" s="180" t="str">
        <f aca="false">IF((D130="g"),F130," ")</f>
        <v> </v>
      </c>
      <c r="N130" s="180" t="str">
        <f aca="false">IF((D130="a"),F130," ")</f>
        <v> </v>
      </c>
      <c r="O130" s="180" t="str">
        <f aca="false">IF((D130="l"),F130," ")</f>
        <v> </v>
      </c>
      <c r="P130" s="180" t="str">
        <f aca="false">IF((D130="i"),F130," ")</f>
        <v> </v>
      </c>
      <c r="Q130" s="180" t="str">
        <f aca="false">IF((D130="b"),F130," ")</f>
        <v> </v>
      </c>
      <c r="R130" s="180" t="str">
        <f aca="false">IF((D130="o"),F130," ")</f>
        <v> </v>
      </c>
      <c r="S130" s="180" t="str">
        <f aca="false">IF((D130="f"),F130," ")</f>
        <v> </v>
      </c>
      <c r="U130" s="371"/>
    </row>
    <row r="131" customFormat="false" ht="12.75" hidden="false" customHeight="false" outlineLevel="0" collapsed="false">
      <c r="D131" s="371" t="str">
        <f aca="false">IF((F131&lt;&gt;0),"Enter Letter"," ")</f>
        <v> </v>
      </c>
      <c r="G131" s="180" t="str">
        <f aca="false">IF((D131="d"),F131," ")</f>
        <v> </v>
      </c>
      <c r="H131" s="180" t="str">
        <f aca="false">IF((D131="h"),F131," ")</f>
        <v> </v>
      </c>
      <c r="I131" s="180" t="str">
        <f aca="false">IF((D131="r"),F131," ")</f>
        <v> </v>
      </c>
      <c r="J131" s="180" t="str">
        <f aca="false">IF((D131="t"),F131," ")</f>
        <v> </v>
      </c>
      <c r="K131" s="180" t="str">
        <f aca="false">IF((D131="e"),F131," ")</f>
        <v> </v>
      </c>
      <c r="L131" s="180" t="str">
        <f aca="false">IF((D131="p"),F131," ")</f>
        <v> </v>
      </c>
      <c r="M131" s="180" t="str">
        <f aca="false">IF((D131="g"),F131," ")</f>
        <v> </v>
      </c>
      <c r="N131" s="180" t="str">
        <f aca="false">IF((D131="a"),F131," ")</f>
        <v> </v>
      </c>
      <c r="O131" s="180" t="str">
        <f aca="false">IF((D131="l"),F131," ")</f>
        <v> </v>
      </c>
      <c r="P131" s="180" t="str">
        <f aca="false">IF((D131="i"),F131," ")</f>
        <v> </v>
      </c>
      <c r="Q131" s="180" t="str">
        <f aca="false">IF((D131="b"),F131," ")</f>
        <v> </v>
      </c>
      <c r="R131" s="180" t="str">
        <f aca="false">IF((D131="o"),F131," ")</f>
        <v> </v>
      </c>
      <c r="S131" s="180" t="str">
        <f aca="false">IF((D131="f"),F131," ")</f>
        <v> </v>
      </c>
      <c r="U131" s="371"/>
    </row>
    <row r="132" customFormat="false" ht="12.75" hidden="false" customHeight="false" outlineLevel="0" collapsed="false">
      <c r="D132" s="371" t="str">
        <f aca="false">IF((F132&lt;&gt;0),"Enter Letter"," ")</f>
        <v> </v>
      </c>
      <c r="G132" s="180" t="str">
        <f aca="false">IF((D132="d"),F132," ")</f>
        <v> </v>
      </c>
      <c r="H132" s="180" t="str">
        <f aca="false">IF((D132="h"),F132," ")</f>
        <v> </v>
      </c>
      <c r="I132" s="180" t="str">
        <f aca="false">IF((D132="r"),F132," ")</f>
        <v> </v>
      </c>
      <c r="J132" s="180" t="str">
        <f aca="false">IF((D132="t"),F132," ")</f>
        <v> </v>
      </c>
      <c r="K132" s="180" t="str">
        <f aca="false">IF((D132="e"),F132," ")</f>
        <v> </v>
      </c>
      <c r="L132" s="180" t="str">
        <f aca="false">IF((D132="p"),F132," ")</f>
        <v> </v>
      </c>
      <c r="M132" s="180" t="str">
        <f aca="false">IF((D132="g"),F132," ")</f>
        <v> </v>
      </c>
      <c r="N132" s="180" t="str">
        <f aca="false">IF((D132="a"),F132," ")</f>
        <v> </v>
      </c>
      <c r="O132" s="180" t="str">
        <f aca="false">IF((D132="l"),F132," ")</f>
        <v> </v>
      </c>
      <c r="P132" s="180" t="str">
        <f aca="false">IF((D132="i"),F132," ")</f>
        <v> </v>
      </c>
      <c r="Q132" s="180" t="str">
        <f aca="false">IF((D132="b"),F132," ")</f>
        <v> </v>
      </c>
      <c r="R132" s="180" t="str">
        <f aca="false">IF((D132="o"),F132," ")</f>
        <v> </v>
      </c>
      <c r="S132" s="180" t="str">
        <f aca="false">IF((D132="f"),F132," ")</f>
        <v> </v>
      </c>
      <c r="U132" s="371"/>
    </row>
    <row r="133" customFormat="false" ht="12.75" hidden="false" customHeight="false" outlineLevel="0" collapsed="false">
      <c r="D133" s="371" t="str">
        <f aca="false">IF((F133&lt;&gt;0),"Enter Letter"," ")</f>
        <v> </v>
      </c>
      <c r="G133" s="180" t="str">
        <f aca="false">IF((D133="d"),F133," ")</f>
        <v> </v>
      </c>
      <c r="H133" s="180" t="str">
        <f aca="false">IF((D133="h"),F133," ")</f>
        <v> </v>
      </c>
      <c r="I133" s="180" t="str">
        <f aca="false">IF((D133="r"),F133," ")</f>
        <v> </v>
      </c>
      <c r="J133" s="180" t="str">
        <f aca="false">IF((D133="t"),F133," ")</f>
        <v> </v>
      </c>
      <c r="K133" s="180" t="str">
        <f aca="false">IF((D133="e"),F133," ")</f>
        <v> </v>
      </c>
      <c r="L133" s="180" t="str">
        <f aca="false">IF((D133="p"),F133," ")</f>
        <v> </v>
      </c>
      <c r="M133" s="180" t="str">
        <f aca="false">IF((D133="g"),F133," ")</f>
        <v> </v>
      </c>
      <c r="N133" s="180" t="str">
        <f aca="false">IF((D133="a"),F133," ")</f>
        <v> </v>
      </c>
      <c r="O133" s="180" t="str">
        <f aca="false">IF((D133="l"),F133," ")</f>
        <v> </v>
      </c>
      <c r="P133" s="180" t="str">
        <f aca="false">IF((D133="i"),F133," ")</f>
        <v> </v>
      </c>
      <c r="Q133" s="180" t="str">
        <f aca="false">IF((D133="b"),F133," ")</f>
        <v> </v>
      </c>
      <c r="R133" s="180" t="str">
        <f aca="false">IF((D133="o"),F133," ")</f>
        <v> </v>
      </c>
      <c r="S133" s="180" t="str">
        <f aca="false">IF((D133="f"),F133," ")</f>
        <v> </v>
      </c>
      <c r="U133" s="371"/>
    </row>
    <row r="134" customFormat="false" ht="12.75" hidden="false" customHeight="false" outlineLevel="0" collapsed="false">
      <c r="D134" s="371" t="str">
        <f aca="false">IF((F134&lt;&gt;0),"Enter Letter"," ")</f>
        <v> </v>
      </c>
      <c r="G134" s="180" t="str">
        <f aca="false">IF((D134="d"),F134," ")</f>
        <v> </v>
      </c>
      <c r="H134" s="180" t="str">
        <f aca="false">IF((D134="h"),F134," ")</f>
        <v> </v>
      </c>
      <c r="I134" s="180" t="str">
        <f aca="false">IF((D134="r"),F134," ")</f>
        <v> </v>
      </c>
      <c r="J134" s="180" t="str">
        <f aca="false">IF((D134="t"),F134," ")</f>
        <v> </v>
      </c>
      <c r="K134" s="180" t="str">
        <f aca="false">IF((D134="e"),F134," ")</f>
        <v> </v>
      </c>
      <c r="L134" s="180" t="str">
        <f aca="false">IF((D134="p"),F134," ")</f>
        <v> </v>
      </c>
      <c r="M134" s="180" t="str">
        <f aca="false">IF((D134="g"),F134," ")</f>
        <v> </v>
      </c>
      <c r="N134" s="180" t="str">
        <f aca="false">IF((D134="a"),F134," ")</f>
        <v> </v>
      </c>
      <c r="O134" s="180" t="str">
        <f aca="false">IF((D134="l"),F134," ")</f>
        <v> </v>
      </c>
      <c r="P134" s="180" t="str">
        <f aca="false">IF((D134="i"),F134," ")</f>
        <v> </v>
      </c>
      <c r="Q134" s="180" t="str">
        <f aca="false">IF((D134="b"),F134," ")</f>
        <v> </v>
      </c>
      <c r="R134" s="180" t="str">
        <f aca="false">IF((D134="o"),F134," ")</f>
        <v> </v>
      </c>
      <c r="S134" s="180" t="str">
        <f aca="false">IF((D134="f"),F134," ")</f>
        <v> </v>
      </c>
      <c r="U134" s="371"/>
    </row>
    <row r="135" customFormat="false" ht="12.75" hidden="false" customHeight="false" outlineLevel="0" collapsed="false">
      <c r="D135" s="371" t="str">
        <f aca="false">IF((F135&lt;&gt;0),"Enter Letter"," ")</f>
        <v> </v>
      </c>
      <c r="G135" s="180" t="str">
        <f aca="false">IF((D135="d"),F135," ")</f>
        <v> </v>
      </c>
      <c r="H135" s="180" t="str">
        <f aca="false">IF((D135="h"),F135," ")</f>
        <v> </v>
      </c>
      <c r="I135" s="180" t="str">
        <f aca="false">IF((D135="r"),F135," ")</f>
        <v> </v>
      </c>
      <c r="J135" s="180" t="str">
        <f aca="false">IF((D135="t"),F135," ")</f>
        <v> </v>
      </c>
      <c r="K135" s="180" t="str">
        <f aca="false">IF((D135="e"),F135," ")</f>
        <v> </v>
      </c>
      <c r="L135" s="180" t="str">
        <f aca="false">IF((D135="p"),F135," ")</f>
        <v> </v>
      </c>
      <c r="M135" s="180" t="str">
        <f aca="false">IF((D135="g"),F135," ")</f>
        <v> </v>
      </c>
      <c r="N135" s="180" t="str">
        <f aca="false">IF((D135="a"),F135," ")</f>
        <v> </v>
      </c>
      <c r="O135" s="180" t="str">
        <f aca="false">IF((D135="l"),F135," ")</f>
        <v> </v>
      </c>
      <c r="P135" s="180" t="str">
        <f aca="false">IF((D135="i"),F135," ")</f>
        <v> </v>
      </c>
      <c r="Q135" s="180" t="str">
        <f aca="false">IF((D135="b"),F135," ")</f>
        <v> </v>
      </c>
      <c r="R135" s="180" t="str">
        <f aca="false">IF((D135="o"),F135," ")</f>
        <v> </v>
      </c>
      <c r="S135" s="180" t="str">
        <f aca="false">IF((D135="f"),F135," ")</f>
        <v> </v>
      </c>
      <c r="U135" s="371"/>
    </row>
    <row r="136" customFormat="false" ht="12.75" hidden="false" customHeight="false" outlineLevel="0" collapsed="false">
      <c r="D136" s="371" t="str">
        <f aca="false">IF((F136&lt;&gt;0),"Enter Letter"," ")</f>
        <v> </v>
      </c>
      <c r="G136" s="180" t="str">
        <f aca="false">IF((D136="d"),F136," ")</f>
        <v> </v>
      </c>
      <c r="H136" s="180" t="str">
        <f aca="false">IF((D136="h"),F136," ")</f>
        <v> </v>
      </c>
      <c r="I136" s="180" t="str">
        <f aca="false">IF((D136="r"),F136," ")</f>
        <v> </v>
      </c>
      <c r="J136" s="180" t="str">
        <f aca="false">IF((D136="t"),F136," ")</f>
        <v> </v>
      </c>
      <c r="K136" s="180" t="str">
        <f aca="false">IF((D136="e"),F136," ")</f>
        <v> </v>
      </c>
      <c r="L136" s="180" t="str">
        <f aca="false">IF((D136="p"),F136," ")</f>
        <v> </v>
      </c>
      <c r="M136" s="180" t="str">
        <f aca="false">IF((D136="g"),F136," ")</f>
        <v> </v>
      </c>
      <c r="N136" s="180" t="str">
        <f aca="false">IF((D136="a"),F136," ")</f>
        <v> </v>
      </c>
      <c r="O136" s="180" t="str">
        <f aca="false">IF((D136="l"),F136," ")</f>
        <v> </v>
      </c>
      <c r="P136" s="180" t="str">
        <f aca="false">IF((D136="i"),F136," ")</f>
        <v> </v>
      </c>
      <c r="Q136" s="180" t="str">
        <f aca="false">IF((D136="b"),F136," ")</f>
        <v> </v>
      </c>
      <c r="R136" s="180" t="str">
        <f aca="false">IF((D136="o"),F136," ")</f>
        <v> </v>
      </c>
      <c r="S136" s="180" t="str">
        <f aca="false">IF((D136="f"),F136," ")</f>
        <v> </v>
      </c>
      <c r="U136" s="371"/>
    </row>
    <row r="137" customFormat="false" ht="12.75" hidden="false" customHeight="false" outlineLevel="0" collapsed="false">
      <c r="D137" s="371" t="str">
        <f aca="false">IF((F137&lt;&gt;0),"Enter Letter"," ")</f>
        <v> </v>
      </c>
      <c r="G137" s="180" t="str">
        <f aca="false">IF((D137="d"),F137," ")</f>
        <v> </v>
      </c>
      <c r="H137" s="180" t="str">
        <f aca="false">IF((D137="h"),F137," ")</f>
        <v> </v>
      </c>
      <c r="I137" s="180" t="str">
        <f aca="false">IF((D137="r"),F137," ")</f>
        <v> </v>
      </c>
      <c r="J137" s="180" t="str">
        <f aca="false">IF((D137="t"),F137," ")</f>
        <v> </v>
      </c>
      <c r="K137" s="180" t="str">
        <f aca="false">IF((D137="e"),F137," ")</f>
        <v> </v>
      </c>
      <c r="L137" s="180" t="str">
        <f aca="false">IF((D137="p"),F137," ")</f>
        <v> </v>
      </c>
      <c r="M137" s="180" t="str">
        <f aca="false">IF((D137="g"),F137," ")</f>
        <v> </v>
      </c>
      <c r="N137" s="180" t="str">
        <f aca="false">IF((D137="a"),F137," ")</f>
        <v> </v>
      </c>
      <c r="O137" s="180" t="str">
        <f aca="false">IF((D137="l"),F137," ")</f>
        <v> </v>
      </c>
      <c r="P137" s="180" t="str">
        <f aca="false">IF((D137="i"),F137," ")</f>
        <v> </v>
      </c>
      <c r="Q137" s="180" t="str">
        <f aca="false">IF((D137="b"),F137," ")</f>
        <v> </v>
      </c>
      <c r="R137" s="180" t="str">
        <f aca="false">IF((D137="o"),F137," ")</f>
        <v> </v>
      </c>
      <c r="S137" s="180" t="str">
        <f aca="false">IF((D137="f"),F137," ")</f>
        <v> </v>
      </c>
      <c r="U137" s="371"/>
    </row>
    <row r="138" customFormat="false" ht="12.75" hidden="false" customHeight="false" outlineLevel="0" collapsed="false">
      <c r="D138" s="371" t="str">
        <f aca="false">IF((F138&lt;&gt;0),"Enter Letter"," ")</f>
        <v> </v>
      </c>
      <c r="G138" s="180" t="str">
        <f aca="false">IF((D138="d"),F138," ")</f>
        <v> </v>
      </c>
      <c r="H138" s="180" t="str">
        <f aca="false">IF((D138="h"),F138," ")</f>
        <v> </v>
      </c>
      <c r="I138" s="180" t="str">
        <f aca="false">IF((D138="r"),F138," ")</f>
        <v> </v>
      </c>
      <c r="J138" s="180" t="str">
        <f aca="false">IF((D138="t"),F138," ")</f>
        <v> </v>
      </c>
      <c r="K138" s="180" t="str">
        <f aca="false">IF((D138="e"),F138," ")</f>
        <v> </v>
      </c>
      <c r="L138" s="180" t="str">
        <f aca="false">IF((D138="p"),F138," ")</f>
        <v> </v>
      </c>
      <c r="M138" s="180" t="str">
        <f aca="false">IF((D138="g"),F138," ")</f>
        <v> </v>
      </c>
      <c r="N138" s="180" t="str">
        <f aca="false">IF((D138="a"),F138," ")</f>
        <v> </v>
      </c>
      <c r="O138" s="180" t="str">
        <f aca="false">IF((D138="l"),F138," ")</f>
        <v> </v>
      </c>
      <c r="P138" s="180" t="str">
        <f aca="false">IF((D138="i"),F138," ")</f>
        <v> </v>
      </c>
      <c r="Q138" s="180" t="str">
        <f aca="false">IF((D138="b"),F138," ")</f>
        <v> </v>
      </c>
      <c r="R138" s="180" t="str">
        <f aca="false">IF((D138="o"),F138," ")</f>
        <v> </v>
      </c>
      <c r="S138" s="180" t="str">
        <f aca="false">IF((D138="f"),F138," ")</f>
        <v> </v>
      </c>
      <c r="U138" s="371"/>
    </row>
    <row r="139" customFormat="false" ht="12.75" hidden="false" customHeight="false" outlineLevel="0" collapsed="false">
      <c r="D139" s="371" t="str">
        <f aca="false">IF((F139&lt;&gt;0),"Enter Letter"," ")</f>
        <v> </v>
      </c>
      <c r="G139" s="180" t="str">
        <f aca="false">IF((D139="d"),F139," ")</f>
        <v> </v>
      </c>
      <c r="H139" s="180" t="str">
        <f aca="false">IF((D139="h"),F139," ")</f>
        <v> </v>
      </c>
      <c r="I139" s="180" t="str">
        <f aca="false">IF((D139="r"),F139," ")</f>
        <v> </v>
      </c>
      <c r="J139" s="180" t="str">
        <f aca="false">IF((D139="t"),F139," ")</f>
        <v> </v>
      </c>
      <c r="K139" s="180" t="str">
        <f aca="false">IF((D139="e"),F139," ")</f>
        <v> </v>
      </c>
      <c r="L139" s="180" t="str">
        <f aca="false">IF((D139="p"),F139," ")</f>
        <v> </v>
      </c>
      <c r="M139" s="180" t="str">
        <f aca="false">IF((D139="g"),F139," ")</f>
        <v> </v>
      </c>
      <c r="N139" s="180" t="str">
        <f aca="false">IF((D139="a"),F139," ")</f>
        <v> </v>
      </c>
      <c r="O139" s="180" t="str">
        <f aca="false">IF((D139="l"),F139," ")</f>
        <v> </v>
      </c>
      <c r="P139" s="180" t="str">
        <f aca="false">IF((D139="i"),F139," ")</f>
        <v> </v>
      </c>
      <c r="Q139" s="180" t="str">
        <f aca="false">IF((D139="b"),F139," ")</f>
        <v> </v>
      </c>
      <c r="R139" s="180" t="str">
        <f aca="false">IF((D139="o"),F139," ")</f>
        <v> </v>
      </c>
      <c r="S139" s="180" t="str">
        <f aca="false">IF((D139="f"),F139," ")</f>
        <v> </v>
      </c>
      <c r="U139" s="371"/>
    </row>
    <row r="140" customFormat="false" ht="12.75" hidden="false" customHeight="false" outlineLevel="0" collapsed="false">
      <c r="D140" s="371" t="str">
        <f aca="false">IF((F140&lt;&gt;0),"Enter Letter"," ")</f>
        <v> </v>
      </c>
      <c r="G140" s="180" t="str">
        <f aca="false">IF((D140="d"),F140," ")</f>
        <v> </v>
      </c>
      <c r="H140" s="180" t="str">
        <f aca="false">IF((D140="h"),F140," ")</f>
        <v> </v>
      </c>
      <c r="I140" s="180" t="str">
        <f aca="false">IF((D140="r"),F140," ")</f>
        <v> </v>
      </c>
      <c r="J140" s="180" t="str">
        <f aca="false">IF((D140="t"),F140," ")</f>
        <v> </v>
      </c>
      <c r="K140" s="180" t="str">
        <f aca="false">IF((D140="e"),F140," ")</f>
        <v> </v>
      </c>
      <c r="L140" s="180" t="str">
        <f aca="false">IF((D140="p"),F140," ")</f>
        <v> </v>
      </c>
      <c r="M140" s="180" t="str">
        <f aca="false">IF((D140="g"),F140," ")</f>
        <v> </v>
      </c>
      <c r="N140" s="180" t="str">
        <f aca="false">IF((D140="a"),F140," ")</f>
        <v> </v>
      </c>
      <c r="O140" s="180" t="str">
        <f aca="false">IF((D140="l"),F140," ")</f>
        <v> </v>
      </c>
      <c r="P140" s="180" t="str">
        <f aca="false">IF((D140="i"),F140," ")</f>
        <v> </v>
      </c>
      <c r="Q140" s="180" t="str">
        <f aca="false">IF((D140="b"),F140," ")</f>
        <v> </v>
      </c>
      <c r="R140" s="180" t="str">
        <f aca="false">IF((D140="o"),F140," ")</f>
        <v> </v>
      </c>
      <c r="S140" s="180" t="str">
        <f aca="false">IF((D140="f"),F140," ")</f>
        <v> </v>
      </c>
      <c r="U140" s="371"/>
    </row>
    <row r="141" customFormat="false" ht="12.75" hidden="false" customHeight="false" outlineLevel="0" collapsed="false">
      <c r="D141" s="371" t="str">
        <f aca="false">IF((F141&lt;&gt;0),"Enter Letter"," ")</f>
        <v> </v>
      </c>
      <c r="G141" s="180" t="str">
        <f aca="false">IF((D141="d"),F141," ")</f>
        <v> </v>
      </c>
      <c r="H141" s="180" t="str">
        <f aca="false">IF((D141="h"),F141," ")</f>
        <v> </v>
      </c>
      <c r="I141" s="180" t="str">
        <f aca="false">IF((D141="r"),F141," ")</f>
        <v> </v>
      </c>
      <c r="J141" s="180" t="str">
        <f aca="false">IF((D141="t"),F141," ")</f>
        <v> </v>
      </c>
      <c r="K141" s="180" t="str">
        <f aca="false">IF((D141="e"),F141," ")</f>
        <v> </v>
      </c>
      <c r="L141" s="180" t="str">
        <f aca="false">IF((D141="p"),F141," ")</f>
        <v> </v>
      </c>
      <c r="M141" s="180" t="str">
        <f aca="false">IF((D141="g"),F141," ")</f>
        <v> </v>
      </c>
      <c r="N141" s="180" t="str">
        <f aca="false">IF((D141="a"),F141," ")</f>
        <v> </v>
      </c>
      <c r="O141" s="180" t="str">
        <f aca="false">IF((D141="l"),F141," ")</f>
        <v> </v>
      </c>
      <c r="P141" s="180" t="str">
        <f aca="false">IF((D141="i"),F141," ")</f>
        <v> </v>
      </c>
      <c r="Q141" s="180" t="str">
        <f aca="false">IF((D141="b"),F141," ")</f>
        <v> </v>
      </c>
      <c r="R141" s="180" t="str">
        <f aca="false">IF((D141="o"),F141," ")</f>
        <v> </v>
      </c>
      <c r="S141" s="180" t="str">
        <f aca="false">IF((D141="f"),F141," ")</f>
        <v> </v>
      </c>
      <c r="U141" s="371"/>
    </row>
    <row r="142" customFormat="false" ht="12.75" hidden="false" customHeight="false" outlineLevel="0" collapsed="false">
      <c r="D142" s="371" t="str">
        <f aca="false">IF((F142&lt;&gt;0),"Enter Letter"," ")</f>
        <v> </v>
      </c>
      <c r="G142" s="180" t="str">
        <f aca="false">IF((D142="d"),F142," ")</f>
        <v> </v>
      </c>
      <c r="H142" s="180" t="str">
        <f aca="false">IF((D142="h"),F142," ")</f>
        <v> </v>
      </c>
      <c r="I142" s="180" t="str">
        <f aca="false">IF((D142="r"),F142," ")</f>
        <v> </v>
      </c>
      <c r="J142" s="180" t="str">
        <f aca="false">IF((D142="t"),F142," ")</f>
        <v> </v>
      </c>
      <c r="K142" s="180" t="str">
        <f aca="false">IF((D142="e"),F142," ")</f>
        <v> </v>
      </c>
      <c r="L142" s="180" t="str">
        <f aca="false">IF((D142="p"),F142," ")</f>
        <v> </v>
      </c>
      <c r="M142" s="180" t="str">
        <f aca="false">IF((D142="g"),F142," ")</f>
        <v> </v>
      </c>
      <c r="N142" s="180" t="str">
        <f aca="false">IF((D142="a"),F142," ")</f>
        <v> </v>
      </c>
      <c r="O142" s="180" t="str">
        <f aca="false">IF((D142="l"),F142," ")</f>
        <v> </v>
      </c>
      <c r="P142" s="180" t="str">
        <f aca="false">IF((D142="i"),F142," ")</f>
        <v> </v>
      </c>
      <c r="Q142" s="180" t="str">
        <f aca="false">IF((D142="b"),F142," ")</f>
        <v> </v>
      </c>
      <c r="R142" s="180" t="str">
        <f aca="false">IF((D142="o"),F142," ")</f>
        <v> </v>
      </c>
      <c r="S142" s="180" t="str">
        <f aca="false">IF((D142="f"),F142," ")</f>
        <v> </v>
      </c>
      <c r="U142" s="371"/>
    </row>
    <row r="143" customFormat="false" ht="12.75" hidden="false" customHeight="false" outlineLevel="0" collapsed="false">
      <c r="D143" s="371" t="str">
        <f aca="false">IF((F143&lt;&gt;0),"Enter Letter"," ")</f>
        <v> </v>
      </c>
      <c r="G143" s="180" t="str">
        <f aca="false">IF((D143="d"),F143," ")</f>
        <v> </v>
      </c>
      <c r="H143" s="180" t="str">
        <f aca="false">IF((D143="h"),F143," ")</f>
        <v> </v>
      </c>
      <c r="I143" s="180" t="str">
        <f aca="false">IF((D143="r"),F143," ")</f>
        <v> </v>
      </c>
      <c r="J143" s="180" t="str">
        <f aca="false">IF((D143="t"),F143," ")</f>
        <v> </v>
      </c>
      <c r="K143" s="180" t="str">
        <f aca="false">IF((D143="e"),F143," ")</f>
        <v> </v>
      </c>
      <c r="L143" s="180" t="str">
        <f aca="false">IF((D143="p"),F143," ")</f>
        <v> </v>
      </c>
      <c r="M143" s="180" t="str">
        <f aca="false">IF((D143="g"),F143," ")</f>
        <v> </v>
      </c>
      <c r="N143" s="180" t="str">
        <f aca="false">IF((D143="a"),F143," ")</f>
        <v> </v>
      </c>
      <c r="O143" s="180" t="str">
        <f aca="false">IF((D143="l"),F143," ")</f>
        <v> </v>
      </c>
      <c r="P143" s="180" t="str">
        <f aca="false">IF((D143="i"),F143," ")</f>
        <v> </v>
      </c>
      <c r="Q143" s="180" t="str">
        <f aca="false">IF((D143="b"),F143," ")</f>
        <v> </v>
      </c>
      <c r="R143" s="180" t="str">
        <f aca="false">IF((D143="o"),F143," ")</f>
        <v> </v>
      </c>
      <c r="S143" s="180" t="str">
        <f aca="false">IF((D143="f"),F143," ")</f>
        <v> </v>
      </c>
      <c r="U143" s="371"/>
    </row>
    <row r="144" customFormat="false" ht="12.75" hidden="false" customHeight="false" outlineLevel="0" collapsed="false">
      <c r="D144" s="371" t="str">
        <f aca="false">IF((F144&lt;&gt;0),"Enter Letter"," ")</f>
        <v> </v>
      </c>
      <c r="G144" s="180" t="str">
        <f aca="false">IF((D144="d"),F144," ")</f>
        <v> </v>
      </c>
      <c r="H144" s="180" t="str">
        <f aca="false">IF((D144="h"),F144," ")</f>
        <v> </v>
      </c>
      <c r="I144" s="180" t="str">
        <f aca="false">IF((D144="r"),F144," ")</f>
        <v> </v>
      </c>
      <c r="J144" s="180" t="str">
        <f aca="false">IF((D144="t"),F144," ")</f>
        <v> </v>
      </c>
      <c r="K144" s="180" t="str">
        <f aca="false">IF((D144="e"),F144," ")</f>
        <v> </v>
      </c>
      <c r="L144" s="180" t="str">
        <f aca="false">IF((D144="p"),F144," ")</f>
        <v> </v>
      </c>
      <c r="M144" s="180" t="str">
        <f aca="false">IF((D144="g"),F144," ")</f>
        <v> </v>
      </c>
      <c r="N144" s="180" t="str">
        <f aca="false">IF((D144="a"),F144," ")</f>
        <v> </v>
      </c>
      <c r="O144" s="180" t="str">
        <f aca="false">IF((D144="l"),F144," ")</f>
        <v> </v>
      </c>
      <c r="P144" s="180" t="str">
        <f aca="false">IF((D144="i"),F144," ")</f>
        <v> </v>
      </c>
      <c r="Q144" s="180" t="str">
        <f aca="false">IF((D144="b"),F144," ")</f>
        <v> </v>
      </c>
      <c r="R144" s="180" t="str">
        <f aca="false">IF((D144="o"),F144," ")</f>
        <v> </v>
      </c>
      <c r="S144" s="180" t="str">
        <f aca="false">IF((D144="f"),F144," ")</f>
        <v> </v>
      </c>
      <c r="U144" s="371"/>
    </row>
    <row r="145" customFormat="false" ht="12.75" hidden="false" customHeight="false" outlineLevel="0" collapsed="false">
      <c r="D145" s="371" t="str">
        <f aca="false">IF((F145&lt;&gt;0),"Enter Letter"," ")</f>
        <v> </v>
      </c>
      <c r="G145" s="180" t="str">
        <f aca="false">IF((D145="d"),F145," ")</f>
        <v> </v>
      </c>
      <c r="H145" s="180" t="str">
        <f aca="false">IF((D145="h"),F145," ")</f>
        <v> </v>
      </c>
      <c r="I145" s="180" t="str">
        <f aca="false">IF((D145="r"),F145," ")</f>
        <v> </v>
      </c>
      <c r="J145" s="180" t="str">
        <f aca="false">IF((D145="t"),F145," ")</f>
        <v> </v>
      </c>
      <c r="K145" s="180" t="str">
        <f aca="false">IF((D145="e"),F145," ")</f>
        <v> </v>
      </c>
      <c r="L145" s="180" t="str">
        <f aca="false">IF((D145="p"),F145," ")</f>
        <v> </v>
      </c>
      <c r="M145" s="180" t="str">
        <f aca="false">IF((D145="g"),F145," ")</f>
        <v> </v>
      </c>
      <c r="N145" s="180" t="str">
        <f aca="false">IF((D145="a"),F145," ")</f>
        <v> </v>
      </c>
      <c r="O145" s="180" t="str">
        <f aca="false">IF((D145="l"),F145," ")</f>
        <v> </v>
      </c>
      <c r="P145" s="180" t="str">
        <f aca="false">IF((D145="i"),F145," ")</f>
        <v> </v>
      </c>
      <c r="Q145" s="180" t="str">
        <f aca="false">IF((D145="b"),F145," ")</f>
        <v> </v>
      </c>
      <c r="R145" s="180" t="str">
        <f aca="false">IF((D145="o"),F145," ")</f>
        <v> </v>
      </c>
      <c r="S145" s="180" t="str">
        <f aca="false">IF((D145="f"),F145," ")</f>
        <v> </v>
      </c>
      <c r="U145" s="371"/>
    </row>
    <row r="146" customFormat="false" ht="12.75" hidden="false" customHeight="false" outlineLevel="0" collapsed="false">
      <c r="D146" s="371" t="str">
        <f aca="false">IF((F146&lt;&gt;0),"Enter Letter"," ")</f>
        <v> </v>
      </c>
      <c r="G146" s="180" t="str">
        <f aca="false">IF((D146="d"),F146," ")</f>
        <v> </v>
      </c>
      <c r="H146" s="180" t="str">
        <f aca="false">IF((D146="h"),F146," ")</f>
        <v> </v>
      </c>
      <c r="I146" s="180" t="str">
        <f aca="false">IF((D146="r"),F146," ")</f>
        <v> </v>
      </c>
      <c r="J146" s="180" t="str">
        <f aca="false">IF((D146="t"),F146," ")</f>
        <v> </v>
      </c>
      <c r="K146" s="180" t="str">
        <f aca="false">IF((D146="e"),F146," ")</f>
        <v> </v>
      </c>
      <c r="L146" s="180" t="str">
        <f aca="false">IF((D146="p"),F146," ")</f>
        <v> </v>
      </c>
      <c r="M146" s="180" t="str">
        <f aca="false">IF((D146="g"),F146," ")</f>
        <v> </v>
      </c>
      <c r="N146" s="180" t="str">
        <f aca="false">IF((D146="a"),F146," ")</f>
        <v> </v>
      </c>
      <c r="O146" s="180" t="str">
        <f aca="false">IF((D146="l"),F146," ")</f>
        <v> </v>
      </c>
      <c r="P146" s="180" t="str">
        <f aca="false">IF((D146="i"),F146," ")</f>
        <v> </v>
      </c>
      <c r="Q146" s="180" t="str">
        <f aca="false">IF((D146="b"),F146," ")</f>
        <v> </v>
      </c>
      <c r="R146" s="180" t="str">
        <f aca="false">IF((D146="o"),F146," ")</f>
        <v> </v>
      </c>
      <c r="S146" s="180" t="str">
        <f aca="false">IF((D146="f"),F146," ")</f>
        <v> </v>
      </c>
      <c r="U146" s="371"/>
    </row>
    <row r="147" customFormat="false" ht="12.75" hidden="false" customHeight="false" outlineLevel="0" collapsed="false">
      <c r="D147" s="371" t="str">
        <f aca="false">IF((F147&lt;&gt;0),"Enter Letter"," ")</f>
        <v> </v>
      </c>
      <c r="G147" s="180" t="str">
        <f aca="false">IF((D147="d"),F147," ")</f>
        <v> </v>
      </c>
      <c r="H147" s="180" t="str">
        <f aca="false">IF((D147="h"),F147," ")</f>
        <v> </v>
      </c>
      <c r="I147" s="180" t="str">
        <f aca="false">IF((D147="r"),F147," ")</f>
        <v> </v>
      </c>
      <c r="J147" s="180" t="str">
        <f aca="false">IF((D147="t"),F147," ")</f>
        <v> </v>
      </c>
      <c r="K147" s="180" t="str">
        <f aca="false">IF((D147="e"),F147," ")</f>
        <v> </v>
      </c>
      <c r="L147" s="180" t="str">
        <f aca="false">IF((D147="p"),F147," ")</f>
        <v> </v>
      </c>
      <c r="M147" s="180" t="str">
        <f aca="false">IF((D147="g"),F147," ")</f>
        <v> </v>
      </c>
      <c r="N147" s="180" t="str">
        <f aca="false">IF((D147="a"),F147," ")</f>
        <v> </v>
      </c>
      <c r="O147" s="180" t="str">
        <f aca="false">IF((D147="l"),F147," ")</f>
        <v> </v>
      </c>
      <c r="P147" s="180" t="str">
        <f aca="false">IF((D147="i"),F147," ")</f>
        <v> </v>
      </c>
      <c r="Q147" s="180" t="str">
        <f aca="false">IF((D147="b"),F147," ")</f>
        <v> </v>
      </c>
      <c r="R147" s="180" t="str">
        <f aca="false">IF((D147="o"),F147," ")</f>
        <v> </v>
      </c>
      <c r="S147" s="180" t="str">
        <f aca="false">IF((D147="f"),F147," ")</f>
        <v> </v>
      </c>
      <c r="U147" s="371"/>
    </row>
    <row r="148" customFormat="false" ht="12.75" hidden="false" customHeight="false" outlineLevel="0" collapsed="false">
      <c r="D148" s="371" t="str">
        <f aca="false">IF((F148&lt;&gt;0),"Enter Letter"," ")</f>
        <v> </v>
      </c>
      <c r="G148" s="180" t="str">
        <f aca="false">IF((D148="d"),F148," ")</f>
        <v> </v>
      </c>
      <c r="H148" s="180" t="str">
        <f aca="false">IF((D148="h"),F148," ")</f>
        <v> </v>
      </c>
      <c r="I148" s="180" t="str">
        <f aca="false">IF((D148="r"),F148," ")</f>
        <v> </v>
      </c>
      <c r="J148" s="180" t="str">
        <f aca="false">IF((D148="t"),F148," ")</f>
        <v> </v>
      </c>
      <c r="K148" s="180" t="str">
        <f aca="false">IF((D148="e"),F148," ")</f>
        <v> </v>
      </c>
      <c r="L148" s="180" t="str">
        <f aca="false">IF((D148="p"),F148," ")</f>
        <v> </v>
      </c>
      <c r="M148" s="180" t="str">
        <f aca="false">IF((D148="g"),F148," ")</f>
        <v> </v>
      </c>
      <c r="N148" s="180" t="str">
        <f aca="false">IF((D148="a"),F148," ")</f>
        <v> </v>
      </c>
      <c r="O148" s="180" t="str">
        <f aca="false">IF((D148="l"),F148," ")</f>
        <v> </v>
      </c>
      <c r="P148" s="180" t="str">
        <f aca="false">IF((D148="i"),F148," ")</f>
        <v> </v>
      </c>
      <c r="Q148" s="180" t="str">
        <f aca="false">IF((D148="b"),F148," ")</f>
        <v> </v>
      </c>
      <c r="R148" s="180" t="str">
        <f aca="false">IF((D148="o"),F148," ")</f>
        <v> </v>
      </c>
      <c r="S148" s="180" t="str">
        <f aca="false">IF((D148="f"),F148," ")</f>
        <v> </v>
      </c>
      <c r="U148" s="371"/>
    </row>
    <row r="149" customFormat="false" ht="12.75" hidden="false" customHeight="false" outlineLevel="0" collapsed="false">
      <c r="D149" s="371" t="str">
        <f aca="false">IF((F149&lt;&gt;0),"Enter Letter"," ")</f>
        <v> </v>
      </c>
      <c r="G149" s="180" t="str">
        <f aca="false">IF((D149="d"),F149," ")</f>
        <v> </v>
      </c>
      <c r="H149" s="180" t="str">
        <f aca="false">IF((D149="h"),F149," ")</f>
        <v> </v>
      </c>
      <c r="I149" s="180" t="str">
        <f aca="false">IF((D149="r"),F149," ")</f>
        <v> </v>
      </c>
      <c r="J149" s="180" t="str">
        <f aca="false">IF((D149="t"),F149," ")</f>
        <v> </v>
      </c>
      <c r="K149" s="180" t="str">
        <f aca="false">IF((D149="e"),F149," ")</f>
        <v> </v>
      </c>
      <c r="L149" s="180" t="str">
        <f aca="false">IF((D149="p"),F149," ")</f>
        <v> </v>
      </c>
      <c r="M149" s="180" t="str">
        <f aca="false">IF((D149="g"),F149," ")</f>
        <v> </v>
      </c>
      <c r="N149" s="180" t="str">
        <f aca="false">IF((D149="a"),F149," ")</f>
        <v> </v>
      </c>
      <c r="O149" s="180" t="str">
        <f aca="false">IF((D149="l"),F149," ")</f>
        <v> </v>
      </c>
      <c r="P149" s="180" t="str">
        <f aca="false">IF((D149="i"),F149," ")</f>
        <v> </v>
      </c>
      <c r="Q149" s="180" t="str">
        <f aca="false">IF((D149="b"),F149," ")</f>
        <v> </v>
      </c>
      <c r="R149" s="180" t="str">
        <f aca="false">IF((D149="o"),F149," ")</f>
        <v> </v>
      </c>
      <c r="S149" s="180" t="str">
        <f aca="false">IF((D149="f"),F149," ")</f>
        <v> </v>
      </c>
      <c r="U149" s="371"/>
    </row>
    <row r="150" customFormat="false" ht="12.75" hidden="false" customHeight="false" outlineLevel="0" collapsed="false">
      <c r="D150" s="371" t="str">
        <f aca="false">IF((F150&lt;&gt;0),"Enter Letter"," ")</f>
        <v> </v>
      </c>
      <c r="G150" s="180" t="str">
        <f aca="false">IF((D150="d"),F150," ")</f>
        <v> </v>
      </c>
      <c r="H150" s="180" t="str">
        <f aca="false">IF((D150="h"),F150," ")</f>
        <v> </v>
      </c>
      <c r="I150" s="180" t="str">
        <f aca="false">IF((D150="r"),F150," ")</f>
        <v> </v>
      </c>
      <c r="J150" s="180" t="str">
        <f aca="false">IF((D150="t"),F150," ")</f>
        <v> </v>
      </c>
      <c r="K150" s="180" t="str">
        <f aca="false">IF((D150="e"),F150," ")</f>
        <v> </v>
      </c>
      <c r="L150" s="180" t="str">
        <f aca="false">IF((D150="p"),F150," ")</f>
        <v> </v>
      </c>
      <c r="M150" s="180" t="str">
        <f aca="false">IF((D150="g"),F150," ")</f>
        <v> </v>
      </c>
      <c r="N150" s="180" t="str">
        <f aca="false">IF((D150="a"),F150," ")</f>
        <v> </v>
      </c>
      <c r="O150" s="180" t="str">
        <f aca="false">IF((D150="l"),F150," ")</f>
        <v> </v>
      </c>
      <c r="P150" s="180" t="str">
        <f aca="false">IF((D150="i"),F150," ")</f>
        <v> </v>
      </c>
      <c r="Q150" s="180" t="str">
        <f aca="false">IF((D150="b"),F150," ")</f>
        <v> </v>
      </c>
      <c r="R150" s="180" t="str">
        <f aca="false">IF((D150="o"),F150," ")</f>
        <v> </v>
      </c>
      <c r="S150" s="180" t="str">
        <f aca="false">IF((D150="f"),F150," ")</f>
        <v> </v>
      </c>
      <c r="U150" s="371"/>
    </row>
    <row r="151" customFormat="false" ht="12.75" hidden="false" customHeight="false" outlineLevel="0" collapsed="false">
      <c r="D151" s="371" t="str">
        <f aca="false">IF((F151&lt;&gt;0),"Enter Letter"," ")</f>
        <v> </v>
      </c>
      <c r="G151" s="180" t="str">
        <f aca="false">IF((D151="d"),F151," ")</f>
        <v> </v>
      </c>
      <c r="H151" s="180" t="str">
        <f aca="false">IF((D151="h"),F151," ")</f>
        <v> </v>
      </c>
      <c r="I151" s="180" t="str">
        <f aca="false">IF((D151="r"),F151," ")</f>
        <v> </v>
      </c>
      <c r="J151" s="180" t="str">
        <f aca="false">IF((D151="t"),F151," ")</f>
        <v> </v>
      </c>
      <c r="K151" s="180" t="str">
        <f aca="false">IF((D151="e"),F151," ")</f>
        <v> </v>
      </c>
      <c r="L151" s="180" t="str">
        <f aca="false">IF((D151="p"),F151," ")</f>
        <v> </v>
      </c>
      <c r="M151" s="180" t="str">
        <f aca="false">IF((D151="g"),F151," ")</f>
        <v> </v>
      </c>
      <c r="N151" s="180" t="str">
        <f aca="false">IF((D151="a"),F151," ")</f>
        <v> </v>
      </c>
      <c r="O151" s="180" t="str">
        <f aca="false">IF((D151="l"),F151," ")</f>
        <v> </v>
      </c>
      <c r="P151" s="180" t="str">
        <f aca="false">IF((D151="i"),F151," ")</f>
        <v> </v>
      </c>
      <c r="Q151" s="180" t="str">
        <f aca="false">IF((D151="b"),F151," ")</f>
        <v> </v>
      </c>
      <c r="R151" s="180" t="str">
        <f aca="false">IF((D151="o"),F151," ")</f>
        <v> </v>
      </c>
      <c r="S151" s="180" t="str">
        <f aca="false">IF((D151="f"),F151," ")</f>
        <v> </v>
      </c>
      <c r="U151" s="371"/>
    </row>
    <row r="152" customFormat="false" ht="12.75" hidden="false" customHeight="false" outlineLevel="0" collapsed="false">
      <c r="D152" s="371" t="str">
        <f aca="false">IF((F152&lt;&gt;0),"Enter Letter"," ")</f>
        <v> </v>
      </c>
      <c r="G152" s="180" t="str">
        <f aca="false">IF((D152="d"),F152," ")</f>
        <v> </v>
      </c>
      <c r="H152" s="180" t="str">
        <f aca="false">IF((D152="h"),F152," ")</f>
        <v> </v>
      </c>
      <c r="I152" s="180" t="str">
        <f aca="false">IF((D152="r"),F152," ")</f>
        <v> </v>
      </c>
      <c r="J152" s="180" t="str">
        <f aca="false">IF((D152="t"),F152," ")</f>
        <v> </v>
      </c>
      <c r="K152" s="180" t="str">
        <f aca="false">IF((D152="e"),F152," ")</f>
        <v> </v>
      </c>
      <c r="L152" s="180" t="str">
        <f aca="false">IF((D152="p"),F152," ")</f>
        <v> </v>
      </c>
      <c r="M152" s="180" t="str">
        <f aca="false">IF((D152="g"),F152," ")</f>
        <v> </v>
      </c>
      <c r="N152" s="180" t="str">
        <f aca="false">IF((D152="a"),F152," ")</f>
        <v> </v>
      </c>
      <c r="O152" s="180" t="str">
        <f aca="false">IF((D152="l"),F152," ")</f>
        <v> </v>
      </c>
      <c r="P152" s="180" t="str">
        <f aca="false">IF((D152="i"),F152," ")</f>
        <v> </v>
      </c>
      <c r="Q152" s="180" t="str">
        <f aca="false">IF((D152="b"),F152," ")</f>
        <v> </v>
      </c>
      <c r="R152" s="180" t="str">
        <f aca="false">IF((D152="o"),F152," ")</f>
        <v> </v>
      </c>
      <c r="S152" s="180" t="str">
        <f aca="false">IF((D152="f"),F152," ")</f>
        <v> </v>
      </c>
      <c r="U152" s="371"/>
    </row>
    <row r="153" customFormat="false" ht="12.75" hidden="false" customHeight="false" outlineLevel="0" collapsed="false">
      <c r="D153" s="371" t="str">
        <f aca="false">IF((F153&lt;&gt;0),"Enter Letter"," ")</f>
        <v> </v>
      </c>
      <c r="G153" s="180" t="str">
        <f aca="false">IF((D153="d"),F153," ")</f>
        <v> </v>
      </c>
      <c r="H153" s="180" t="str">
        <f aca="false">IF((D153="h"),F153," ")</f>
        <v> </v>
      </c>
      <c r="I153" s="180" t="str">
        <f aca="false">IF((D153="r"),F153," ")</f>
        <v> </v>
      </c>
      <c r="J153" s="180" t="str">
        <f aca="false">IF((D153="t"),F153," ")</f>
        <v> </v>
      </c>
      <c r="K153" s="180" t="str">
        <f aca="false">IF((D153="e"),F153," ")</f>
        <v> </v>
      </c>
      <c r="L153" s="180" t="str">
        <f aca="false">IF((D153="p"),F153," ")</f>
        <v> </v>
      </c>
      <c r="M153" s="180" t="str">
        <f aca="false">IF((D153="g"),F153," ")</f>
        <v> </v>
      </c>
      <c r="N153" s="180" t="str">
        <f aca="false">IF((D153="a"),F153," ")</f>
        <v> </v>
      </c>
      <c r="O153" s="180" t="str">
        <f aca="false">IF((D153="l"),F153," ")</f>
        <v> </v>
      </c>
      <c r="P153" s="180" t="str">
        <f aca="false">IF((D153="i"),F153," ")</f>
        <v> </v>
      </c>
      <c r="Q153" s="180" t="str">
        <f aca="false">IF((D153="b"),F153," ")</f>
        <v> </v>
      </c>
      <c r="R153" s="180" t="str">
        <f aca="false">IF((D153="o"),F153," ")</f>
        <v> </v>
      </c>
      <c r="S153" s="180" t="str">
        <f aca="false">IF((D153="f"),F153," ")</f>
        <v> </v>
      </c>
      <c r="U153" s="371"/>
    </row>
    <row r="154" customFormat="false" ht="12.75" hidden="false" customHeight="false" outlineLevel="0" collapsed="false">
      <c r="D154" s="371" t="str">
        <f aca="false">IF((F154&lt;&gt;0),"Enter Letter"," ")</f>
        <v> </v>
      </c>
      <c r="G154" s="180" t="str">
        <f aca="false">IF((D154="d"),F154," ")</f>
        <v> </v>
      </c>
      <c r="H154" s="180" t="str">
        <f aca="false">IF((D154="h"),F154," ")</f>
        <v> </v>
      </c>
      <c r="I154" s="180" t="str">
        <f aca="false">IF((D154="r"),F154," ")</f>
        <v> </v>
      </c>
      <c r="J154" s="180" t="str">
        <f aca="false">IF((D154="t"),F154," ")</f>
        <v> </v>
      </c>
      <c r="K154" s="180" t="str">
        <f aca="false">IF((D154="e"),F154," ")</f>
        <v> </v>
      </c>
      <c r="L154" s="180" t="str">
        <f aca="false">IF((D154="p"),F154," ")</f>
        <v> </v>
      </c>
      <c r="M154" s="180" t="str">
        <f aca="false">IF((D154="g"),F154," ")</f>
        <v> </v>
      </c>
      <c r="N154" s="180" t="str">
        <f aca="false">IF((D154="a"),F154," ")</f>
        <v> </v>
      </c>
      <c r="O154" s="180" t="str">
        <f aca="false">IF((D154="l"),F154," ")</f>
        <v> </v>
      </c>
      <c r="P154" s="180" t="str">
        <f aca="false">IF((D154="i"),F154," ")</f>
        <v> </v>
      </c>
      <c r="Q154" s="180" t="str">
        <f aca="false">IF((D154="b"),F154," ")</f>
        <v> </v>
      </c>
      <c r="R154" s="180" t="str">
        <f aca="false">IF((D154="o"),F154," ")</f>
        <v> </v>
      </c>
      <c r="S154" s="180" t="str">
        <f aca="false">IF((D154="f"),F154," ")</f>
        <v> </v>
      </c>
      <c r="U154" s="371"/>
    </row>
    <row r="155" customFormat="false" ht="12.75" hidden="false" customHeight="false" outlineLevel="0" collapsed="false">
      <c r="D155" s="371" t="str">
        <f aca="false">IF((F155&lt;&gt;0),"Enter Letter"," ")</f>
        <v> </v>
      </c>
      <c r="G155" s="180" t="str">
        <f aca="false">IF((D155="d"),F155," ")</f>
        <v> </v>
      </c>
      <c r="H155" s="180" t="str">
        <f aca="false">IF((D155="h"),F155," ")</f>
        <v> </v>
      </c>
      <c r="I155" s="180" t="str">
        <f aca="false">IF((D155="r"),F155," ")</f>
        <v> </v>
      </c>
      <c r="J155" s="180" t="str">
        <f aca="false">IF((D155="t"),F155," ")</f>
        <v> </v>
      </c>
      <c r="K155" s="180" t="str">
        <f aca="false">IF((D155="e"),F155," ")</f>
        <v> </v>
      </c>
      <c r="L155" s="180" t="str">
        <f aca="false">IF((D155="p"),F155," ")</f>
        <v> </v>
      </c>
      <c r="M155" s="180" t="str">
        <f aca="false">IF((D155="g"),F155," ")</f>
        <v> </v>
      </c>
      <c r="N155" s="180" t="str">
        <f aca="false">IF((D155="a"),F155," ")</f>
        <v> </v>
      </c>
      <c r="O155" s="180" t="str">
        <f aca="false">IF((D155="l"),F155," ")</f>
        <v> </v>
      </c>
      <c r="P155" s="180" t="str">
        <f aca="false">IF((D155="i"),F155," ")</f>
        <v> </v>
      </c>
      <c r="Q155" s="180" t="str">
        <f aca="false">IF((D155="b"),F155," ")</f>
        <v> </v>
      </c>
      <c r="R155" s="180" t="str">
        <f aca="false">IF((D155="o"),F155," ")</f>
        <v> </v>
      </c>
      <c r="S155" s="180" t="str">
        <f aca="false">IF((D155="f"),F155," ")</f>
        <v> </v>
      </c>
      <c r="U155" s="371"/>
    </row>
    <row r="156" customFormat="false" ht="12.75" hidden="false" customHeight="false" outlineLevel="0" collapsed="false">
      <c r="D156" s="371" t="str">
        <f aca="false">IF((F156&lt;&gt;0),"Enter Letter"," ")</f>
        <v> </v>
      </c>
      <c r="G156" s="180" t="str">
        <f aca="false">IF((D156="d"),F156," ")</f>
        <v> </v>
      </c>
      <c r="H156" s="180" t="str">
        <f aca="false">IF((D156="h"),F156," ")</f>
        <v> </v>
      </c>
      <c r="I156" s="180" t="str">
        <f aca="false">IF((D156="r"),F156," ")</f>
        <v> </v>
      </c>
      <c r="J156" s="180" t="str">
        <f aca="false">IF((D156="t"),F156," ")</f>
        <v> </v>
      </c>
      <c r="K156" s="180" t="str">
        <f aca="false">IF((D156="e"),F156," ")</f>
        <v> </v>
      </c>
      <c r="L156" s="180" t="str">
        <f aca="false">IF((D156="p"),F156," ")</f>
        <v> </v>
      </c>
      <c r="M156" s="180" t="str">
        <f aca="false">IF((D156="g"),F156," ")</f>
        <v> </v>
      </c>
      <c r="N156" s="180" t="str">
        <f aca="false">IF((D156="a"),F156," ")</f>
        <v> </v>
      </c>
      <c r="O156" s="180" t="str">
        <f aca="false">IF((D156="l"),F156," ")</f>
        <v> </v>
      </c>
      <c r="P156" s="180" t="str">
        <f aca="false">IF((D156="i"),F156," ")</f>
        <v> </v>
      </c>
      <c r="Q156" s="180" t="str">
        <f aca="false">IF((D156="b"),F156," ")</f>
        <v> </v>
      </c>
      <c r="R156" s="180" t="str">
        <f aca="false">IF((D156="o"),F156," ")</f>
        <v> </v>
      </c>
      <c r="S156" s="180" t="str">
        <f aca="false">IF((D156="f"),F156," ")</f>
        <v> </v>
      </c>
      <c r="U156" s="371"/>
    </row>
    <row r="157" customFormat="false" ht="12.75" hidden="false" customHeight="false" outlineLevel="0" collapsed="false">
      <c r="D157" s="371" t="str">
        <f aca="false">IF((F157&lt;&gt;0),"Enter Letter"," ")</f>
        <v> </v>
      </c>
      <c r="G157" s="180" t="str">
        <f aca="false">IF((D157="d"),F157," ")</f>
        <v> </v>
      </c>
      <c r="H157" s="180" t="str">
        <f aca="false">IF((D157="h"),F157," ")</f>
        <v> </v>
      </c>
      <c r="I157" s="180" t="str">
        <f aca="false">IF((D157="r"),F157," ")</f>
        <v> </v>
      </c>
      <c r="J157" s="180" t="str">
        <f aca="false">IF((D157="t"),F157," ")</f>
        <v> </v>
      </c>
      <c r="K157" s="180" t="str">
        <f aca="false">IF((D157="e"),F157," ")</f>
        <v> </v>
      </c>
      <c r="L157" s="180" t="str">
        <f aca="false">IF((D157="p"),F157," ")</f>
        <v> </v>
      </c>
      <c r="M157" s="180" t="str">
        <f aca="false">IF((D157="g"),F157," ")</f>
        <v> </v>
      </c>
      <c r="N157" s="180" t="str">
        <f aca="false">IF((D157="a"),F157," ")</f>
        <v> </v>
      </c>
      <c r="O157" s="180" t="str">
        <f aca="false">IF((D157="l"),F157," ")</f>
        <v> </v>
      </c>
      <c r="P157" s="180" t="str">
        <f aca="false">IF((D157="i"),F157," ")</f>
        <v> </v>
      </c>
      <c r="Q157" s="180" t="str">
        <f aca="false">IF((D157="b"),F157," ")</f>
        <v> </v>
      </c>
      <c r="R157" s="180" t="str">
        <f aca="false">IF((D157="o"),F157," ")</f>
        <v> </v>
      </c>
      <c r="S157" s="180" t="str">
        <f aca="false">IF((D157="f"),F157," ")</f>
        <v> </v>
      </c>
      <c r="U157" s="371"/>
    </row>
    <row r="158" customFormat="false" ht="12.75" hidden="false" customHeight="false" outlineLevel="0" collapsed="false">
      <c r="D158" s="371" t="str">
        <f aca="false">IF((F158&lt;&gt;0),"Enter Letter"," ")</f>
        <v> </v>
      </c>
      <c r="G158" s="180" t="str">
        <f aca="false">IF((D158="d"),F158," ")</f>
        <v> </v>
      </c>
      <c r="H158" s="180" t="str">
        <f aca="false">IF((D158="h"),F158," ")</f>
        <v> </v>
      </c>
      <c r="I158" s="180" t="str">
        <f aca="false">IF((D158="r"),F158," ")</f>
        <v> </v>
      </c>
      <c r="J158" s="180" t="str">
        <f aca="false">IF((D158="t"),F158," ")</f>
        <v> </v>
      </c>
      <c r="K158" s="180" t="str">
        <f aca="false">IF((D158="e"),F158," ")</f>
        <v> </v>
      </c>
      <c r="L158" s="180" t="str">
        <f aca="false">IF((D158="p"),F158," ")</f>
        <v> </v>
      </c>
      <c r="M158" s="180" t="str">
        <f aca="false">IF((D158="g"),F158," ")</f>
        <v> </v>
      </c>
      <c r="N158" s="180" t="str">
        <f aca="false">IF((D158="a"),F158," ")</f>
        <v> </v>
      </c>
      <c r="O158" s="180" t="str">
        <f aca="false">IF((D158="l"),F158," ")</f>
        <v> </v>
      </c>
      <c r="P158" s="180" t="str">
        <f aca="false">IF((D158="i"),F158," ")</f>
        <v> </v>
      </c>
      <c r="Q158" s="180" t="str">
        <f aca="false">IF((D158="b"),F158," ")</f>
        <v> </v>
      </c>
      <c r="R158" s="180" t="str">
        <f aca="false">IF((D158="o"),F158," ")</f>
        <v> </v>
      </c>
      <c r="S158" s="180" t="str">
        <f aca="false">IF((D158="f"),F158," ")</f>
        <v> </v>
      </c>
      <c r="U158" s="371"/>
    </row>
    <row r="159" customFormat="false" ht="12.75" hidden="false" customHeight="false" outlineLevel="0" collapsed="false">
      <c r="D159" s="371" t="str">
        <f aca="false">IF((F159&lt;&gt;0),"Enter Letter"," ")</f>
        <v> </v>
      </c>
      <c r="G159" s="180" t="str">
        <f aca="false">IF((D159="d"),F159," ")</f>
        <v> </v>
      </c>
      <c r="H159" s="180" t="str">
        <f aca="false">IF((D159="h"),F159," ")</f>
        <v> </v>
      </c>
      <c r="I159" s="180" t="str">
        <f aca="false">IF((D159="r"),F159," ")</f>
        <v> </v>
      </c>
      <c r="J159" s="180" t="str">
        <f aca="false">IF((D159="t"),F159," ")</f>
        <v> </v>
      </c>
      <c r="K159" s="180" t="str">
        <f aca="false">IF((D159="e"),F159," ")</f>
        <v> </v>
      </c>
      <c r="L159" s="180" t="str">
        <f aca="false">IF((D159="p"),F159," ")</f>
        <v> </v>
      </c>
      <c r="M159" s="180" t="str">
        <f aca="false">IF((D159="g"),F159," ")</f>
        <v> </v>
      </c>
      <c r="N159" s="180" t="str">
        <f aca="false">IF((D159="a"),F159," ")</f>
        <v> </v>
      </c>
      <c r="O159" s="180" t="str">
        <f aca="false">IF((D159="l"),F159," ")</f>
        <v> </v>
      </c>
      <c r="P159" s="180" t="str">
        <f aca="false">IF((D159="i"),F159," ")</f>
        <v> </v>
      </c>
      <c r="Q159" s="180" t="str">
        <f aca="false">IF((D159="b"),F159," ")</f>
        <v> </v>
      </c>
      <c r="R159" s="180" t="str">
        <f aca="false">IF((D159="o"),F159," ")</f>
        <v> </v>
      </c>
      <c r="S159" s="180" t="str">
        <f aca="false">IF((D159="f"),F159," ")</f>
        <v> </v>
      </c>
      <c r="U159" s="371"/>
    </row>
    <row r="160" customFormat="false" ht="12.75" hidden="false" customHeight="false" outlineLevel="0" collapsed="false">
      <c r="D160" s="371" t="str">
        <f aca="false">IF((F160&lt;&gt;0),"Enter Letter"," ")</f>
        <v> </v>
      </c>
      <c r="G160" s="180" t="str">
        <f aca="false">IF((D160="d"),F160," ")</f>
        <v> </v>
      </c>
      <c r="H160" s="180" t="str">
        <f aca="false">IF((D160="h"),F160," ")</f>
        <v> </v>
      </c>
      <c r="I160" s="180" t="str">
        <f aca="false">IF((D160="r"),F160," ")</f>
        <v> </v>
      </c>
      <c r="J160" s="180" t="str">
        <f aca="false">IF((D160="t"),F160," ")</f>
        <v> </v>
      </c>
      <c r="K160" s="180" t="str">
        <f aca="false">IF((D160="e"),F160," ")</f>
        <v> </v>
      </c>
      <c r="L160" s="180" t="str">
        <f aca="false">IF((D160="p"),F160," ")</f>
        <v> </v>
      </c>
      <c r="M160" s="180" t="str">
        <f aca="false">IF((D160="g"),F160," ")</f>
        <v> </v>
      </c>
      <c r="N160" s="180" t="str">
        <f aca="false">IF((D160="a"),F160," ")</f>
        <v> </v>
      </c>
      <c r="O160" s="180" t="str">
        <f aca="false">IF((D160="l"),F160," ")</f>
        <v> </v>
      </c>
      <c r="P160" s="180" t="str">
        <f aca="false">IF((D160="i"),F160," ")</f>
        <v> </v>
      </c>
      <c r="Q160" s="180" t="str">
        <f aca="false">IF((D160="b"),F160," ")</f>
        <v> </v>
      </c>
      <c r="R160" s="180" t="str">
        <f aca="false">IF((D160="o"),F160," ")</f>
        <v> </v>
      </c>
      <c r="S160" s="180" t="str">
        <f aca="false">IF((D160="f"),F160," ")</f>
        <v> </v>
      </c>
      <c r="U160" s="371"/>
    </row>
    <row r="161" customFormat="false" ht="12.75" hidden="false" customHeight="false" outlineLevel="0" collapsed="false">
      <c r="D161" s="371" t="str">
        <f aca="false">IF((F161&lt;&gt;0),"Enter Letter"," ")</f>
        <v> </v>
      </c>
      <c r="G161" s="180" t="str">
        <f aca="false">IF((D161="d"),F161," ")</f>
        <v> </v>
      </c>
      <c r="H161" s="180" t="str">
        <f aca="false">IF((D161="h"),F161," ")</f>
        <v> </v>
      </c>
      <c r="I161" s="180" t="str">
        <f aca="false">IF((D161="r"),F161," ")</f>
        <v> </v>
      </c>
      <c r="J161" s="180" t="str">
        <f aca="false">IF((D161="t"),F161," ")</f>
        <v> </v>
      </c>
      <c r="K161" s="180" t="str">
        <f aca="false">IF((D161="e"),F161," ")</f>
        <v> </v>
      </c>
      <c r="L161" s="180" t="str">
        <f aca="false">IF((D161="p"),F161," ")</f>
        <v> </v>
      </c>
      <c r="M161" s="180" t="str">
        <f aca="false">IF((D161="g"),F161," ")</f>
        <v> </v>
      </c>
      <c r="N161" s="180" t="str">
        <f aca="false">IF((D161="a"),F161," ")</f>
        <v> </v>
      </c>
      <c r="O161" s="180" t="str">
        <f aca="false">IF((D161="l"),F161," ")</f>
        <v> </v>
      </c>
      <c r="P161" s="180" t="str">
        <f aca="false">IF((D161="i"),F161," ")</f>
        <v> </v>
      </c>
      <c r="Q161" s="180" t="str">
        <f aca="false">IF((D161="b"),F161," ")</f>
        <v> </v>
      </c>
      <c r="R161" s="180" t="str">
        <f aca="false">IF((D161="o"),F161," ")</f>
        <v> </v>
      </c>
      <c r="S161" s="180" t="str">
        <f aca="false">IF((D161="f"),F161," ")</f>
        <v> </v>
      </c>
      <c r="U161" s="371"/>
    </row>
    <row r="162" customFormat="false" ht="12.75" hidden="false" customHeight="false" outlineLevel="0" collapsed="false">
      <c r="D162" s="371" t="str">
        <f aca="false">IF((F162&lt;&gt;0),"Enter Letter"," ")</f>
        <v> </v>
      </c>
      <c r="G162" s="180" t="str">
        <f aca="false">IF((D162="d"),F162," ")</f>
        <v> </v>
      </c>
      <c r="H162" s="180" t="str">
        <f aca="false">IF((D162="h"),F162," ")</f>
        <v> </v>
      </c>
      <c r="I162" s="180" t="str">
        <f aca="false">IF((D162="r"),F162," ")</f>
        <v> </v>
      </c>
      <c r="J162" s="180" t="str">
        <f aca="false">IF((D162="t"),F162," ")</f>
        <v> </v>
      </c>
      <c r="K162" s="180" t="str">
        <f aca="false">IF((D162="e"),F162," ")</f>
        <v> </v>
      </c>
      <c r="L162" s="180" t="str">
        <f aca="false">IF((D162="p"),F162," ")</f>
        <v> </v>
      </c>
      <c r="M162" s="180" t="str">
        <f aca="false">IF((D162="g"),F162," ")</f>
        <v> </v>
      </c>
      <c r="N162" s="180" t="str">
        <f aca="false">IF((D162="a"),F162," ")</f>
        <v> </v>
      </c>
      <c r="O162" s="180" t="str">
        <f aca="false">IF((D162="l"),F162," ")</f>
        <v> </v>
      </c>
      <c r="P162" s="180" t="str">
        <f aca="false">IF((D162="i"),F162," ")</f>
        <v> </v>
      </c>
      <c r="Q162" s="180" t="str">
        <f aca="false">IF((D162="b"),F162," ")</f>
        <v> </v>
      </c>
      <c r="R162" s="180" t="str">
        <f aca="false">IF((D162="o"),F162," ")</f>
        <v> </v>
      </c>
      <c r="S162" s="180" t="str">
        <f aca="false">IF((D162="f"),F162," ")</f>
        <v> </v>
      </c>
      <c r="U162" s="371"/>
    </row>
    <row r="163" customFormat="false" ht="12.75" hidden="false" customHeight="false" outlineLevel="0" collapsed="false">
      <c r="D163" s="371" t="str">
        <f aca="false">IF((F163&lt;&gt;0),"Enter Letter"," ")</f>
        <v> </v>
      </c>
      <c r="G163" s="180" t="str">
        <f aca="false">IF((D163="d"),F163," ")</f>
        <v> </v>
      </c>
      <c r="H163" s="180" t="str">
        <f aca="false">IF((D163="h"),F163," ")</f>
        <v> </v>
      </c>
      <c r="I163" s="180" t="str">
        <f aca="false">IF((D163="r"),F163," ")</f>
        <v> </v>
      </c>
      <c r="J163" s="180" t="str">
        <f aca="false">IF((D163="t"),F163," ")</f>
        <v> </v>
      </c>
      <c r="K163" s="180" t="str">
        <f aca="false">IF((D163="e"),F163," ")</f>
        <v> </v>
      </c>
      <c r="L163" s="180" t="str">
        <f aca="false">IF((D163="p"),F163," ")</f>
        <v> </v>
      </c>
      <c r="M163" s="180" t="str">
        <f aca="false">IF((D163="g"),F163," ")</f>
        <v> </v>
      </c>
      <c r="N163" s="180" t="str">
        <f aca="false">IF((D163="a"),F163," ")</f>
        <v> </v>
      </c>
      <c r="O163" s="180" t="str">
        <f aca="false">IF((D163="l"),F163," ")</f>
        <v> </v>
      </c>
      <c r="P163" s="180" t="str">
        <f aca="false">IF((D163="i"),F163," ")</f>
        <v> </v>
      </c>
      <c r="Q163" s="180" t="str">
        <f aca="false">IF((D163="b"),F163," ")</f>
        <v> </v>
      </c>
      <c r="R163" s="180" t="str">
        <f aca="false">IF((D163="o"),F163," ")</f>
        <v> </v>
      </c>
      <c r="S163" s="180" t="str">
        <f aca="false">IF((D163="f"),F163," ")</f>
        <v> </v>
      </c>
      <c r="U163" s="371"/>
    </row>
    <row r="164" customFormat="false" ht="12.75" hidden="false" customHeight="false" outlineLevel="0" collapsed="false">
      <c r="D164" s="371" t="str">
        <f aca="false">IF((F164&lt;&gt;0),"Enter Letter"," ")</f>
        <v> </v>
      </c>
      <c r="G164" s="180" t="str">
        <f aca="false">IF((D164="d"),F164," ")</f>
        <v> </v>
      </c>
      <c r="H164" s="180" t="str">
        <f aca="false">IF((D164="h"),F164," ")</f>
        <v> </v>
      </c>
      <c r="I164" s="180" t="str">
        <f aca="false">IF((D164="r"),F164," ")</f>
        <v> </v>
      </c>
      <c r="J164" s="180" t="str">
        <f aca="false">IF((D164="t"),F164," ")</f>
        <v> </v>
      </c>
      <c r="K164" s="180" t="str">
        <f aca="false">IF((D164="e"),F164," ")</f>
        <v> </v>
      </c>
      <c r="L164" s="180" t="str">
        <f aca="false">IF((D164="p"),F164," ")</f>
        <v> </v>
      </c>
      <c r="M164" s="180" t="str">
        <f aca="false">IF((D164="g"),F164," ")</f>
        <v> </v>
      </c>
      <c r="N164" s="180" t="str">
        <f aca="false">IF((D164="a"),F164," ")</f>
        <v> </v>
      </c>
      <c r="O164" s="180" t="str">
        <f aca="false">IF((D164="l"),F164," ")</f>
        <v> </v>
      </c>
      <c r="P164" s="180" t="str">
        <f aca="false">IF((D164="i"),F164," ")</f>
        <v> </v>
      </c>
      <c r="Q164" s="180" t="str">
        <f aca="false">IF((D164="b"),F164," ")</f>
        <v> </v>
      </c>
      <c r="R164" s="180" t="str">
        <f aca="false">IF((D164="o"),F164," ")</f>
        <v> </v>
      </c>
      <c r="S164" s="180" t="str">
        <f aca="false">IF((D164="f"),F164," ")</f>
        <v> </v>
      </c>
      <c r="U164" s="371"/>
    </row>
    <row r="165" customFormat="false" ht="12.75" hidden="false" customHeight="false" outlineLevel="0" collapsed="false">
      <c r="D165" s="371" t="str">
        <f aca="false">IF((F165&lt;&gt;0),"Enter Letter"," ")</f>
        <v> </v>
      </c>
      <c r="G165" s="180" t="str">
        <f aca="false">IF((D165="d"),F165," ")</f>
        <v> </v>
      </c>
      <c r="H165" s="180" t="str">
        <f aca="false">IF((D165="h"),F165," ")</f>
        <v> </v>
      </c>
      <c r="I165" s="180" t="str">
        <f aca="false">IF((D165="r"),F165," ")</f>
        <v> </v>
      </c>
      <c r="J165" s="180" t="str">
        <f aca="false">IF((D165="t"),F165," ")</f>
        <v> </v>
      </c>
      <c r="K165" s="180" t="str">
        <f aca="false">IF((D165="e"),F165," ")</f>
        <v> </v>
      </c>
      <c r="L165" s="180" t="str">
        <f aca="false">IF((D165="p"),F165," ")</f>
        <v> </v>
      </c>
      <c r="M165" s="180" t="str">
        <f aca="false">IF((D165="g"),F165," ")</f>
        <v> </v>
      </c>
      <c r="N165" s="180" t="str">
        <f aca="false">IF((D165="a"),F165," ")</f>
        <v> </v>
      </c>
      <c r="O165" s="180" t="str">
        <f aca="false">IF((D165="l"),F165," ")</f>
        <v> </v>
      </c>
      <c r="P165" s="180" t="str">
        <f aca="false">IF((D165="i"),F165," ")</f>
        <v> </v>
      </c>
      <c r="Q165" s="180" t="str">
        <f aca="false">IF((D165="b"),F165," ")</f>
        <v> </v>
      </c>
      <c r="R165" s="180" t="str">
        <f aca="false">IF((D165="o"),F165," ")</f>
        <v> </v>
      </c>
      <c r="S165" s="180" t="str">
        <f aca="false">IF((D165="f"),F165," ")</f>
        <v> </v>
      </c>
      <c r="U165" s="371"/>
    </row>
    <row r="166" customFormat="false" ht="12.75" hidden="false" customHeight="false" outlineLevel="0" collapsed="false">
      <c r="D166" s="371" t="str">
        <f aca="false">IF((F166&lt;&gt;0),"Enter Letter"," ")</f>
        <v> </v>
      </c>
      <c r="G166" s="180" t="str">
        <f aca="false">IF((D166="d"),F166," ")</f>
        <v> </v>
      </c>
      <c r="H166" s="180" t="str">
        <f aca="false">IF((D166="h"),F166," ")</f>
        <v> </v>
      </c>
      <c r="I166" s="180" t="str">
        <f aca="false">IF((D166="r"),F166," ")</f>
        <v> </v>
      </c>
      <c r="J166" s="180" t="str">
        <f aca="false">IF((D166="t"),F166," ")</f>
        <v> </v>
      </c>
      <c r="K166" s="180" t="str">
        <f aca="false">IF((D166="e"),F166," ")</f>
        <v> </v>
      </c>
      <c r="L166" s="180" t="str">
        <f aca="false">IF((D166="p"),F166," ")</f>
        <v> </v>
      </c>
      <c r="M166" s="180" t="str">
        <f aca="false">IF((D166="g"),F166," ")</f>
        <v> </v>
      </c>
      <c r="N166" s="180" t="str">
        <f aca="false">IF((D166="a"),F166," ")</f>
        <v> </v>
      </c>
      <c r="O166" s="180" t="str">
        <f aca="false">IF((D166="l"),F166," ")</f>
        <v> </v>
      </c>
      <c r="P166" s="180" t="str">
        <f aca="false">IF((D166="i"),F166," ")</f>
        <v> </v>
      </c>
      <c r="Q166" s="180" t="str">
        <f aca="false">IF((D166="b"),F166," ")</f>
        <v> </v>
      </c>
      <c r="R166" s="180" t="str">
        <f aca="false">IF((D166="o"),F166," ")</f>
        <v> </v>
      </c>
      <c r="S166" s="180" t="str">
        <f aca="false">IF((D166="f"),F166," ")</f>
        <v> </v>
      </c>
      <c r="U166" s="371"/>
    </row>
    <row r="167" customFormat="false" ht="12.75" hidden="false" customHeight="false" outlineLevel="0" collapsed="false">
      <c r="D167" s="371" t="str">
        <f aca="false">IF((F167&lt;&gt;0),"Enter Letter"," ")</f>
        <v> </v>
      </c>
      <c r="G167" s="180" t="str">
        <f aca="false">IF((D167="d"),F167," ")</f>
        <v> </v>
      </c>
      <c r="H167" s="180" t="str">
        <f aca="false">IF((D167="h"),F167," ")</f>
        <v> </v>
      </c>
      <c r="I167" s="180" t="str">
        <f aca="false">IF((D167="r"),F167," ")</f>
        <v> </v>
      </c>
      <c r="J167" s="180" t="str">
        <f aca="false">IF((D167="t"),F167," ")</f>
        <v> </v>
      </c>
      <c r="K167" s="180" t="str">
        <f aca="false">IF((D167="e"),F167," ")</f>
        <v> </v>
      </c>
      <c r="L167" s="180" t="str">
        <f aca="false">IF((D167="p"),F167," ")</f>
        <v> </v>
      </c>
      <c r="M167" s="180" t="str">
        <f aca="false">IF((D167="g"),F167," ")</f>
        <v> </v>
      </c>
      <c r="N167" s="180" t="str">
        <f aca="false">IF((D167="a"),F167," ")</f>
        <v> </v>
      </c>
      <c r="O167" s="180" t="str">
        <f aca="false">IF((D167="l"),F167," ")</f>
        <v> </v>
      </c>
      <c r="P167" s="180" t="str">
        <f aca="false">IF((D167="i"),F167," ")</f>
        <v> </v>
      </c>
      <c r="Q167" s="180" t="str">
        <f aca="false">IF((D167="b"),F167," ")</f>
        <v> </v>
      </c>
      <c r="R167" s="180" t="str">
        <f aca="false">IF((D167="o"),F167," ")</f>
        <v> </v>
      </c>
      <c r="S167" s="180" t="str">
        <f aca="false">IF((D167="f"),F167," ")</f>
        <v> </v>
      </c>
      <c r="U167" s="371"/>
    </row>
    <row r="168" customFormat="false" ht="12.75" hidden="false" customHeight="false" outlineLevel="0" collapsed="false">
      <c r="D168" s="371" t="str">
        <f aca="false">IF((F168&lt;&gt;0),"Enter Letter"," ")</f>
        <v> </v>
      </c>
      <c r="G168" s="180" t="str">
        <f aca="false">IF((D168="d"),F168," ")</f>
        <v> </v>
      </c>
      <c r="H168" s="180" t="str">
        <f aca="false">IF((D168="h"),F168," ")</f>
        <v> </v>
      </c>
      <c r="I168" s="180" t="str">
        <f aca="false">IF((D168="r"),F168," ")</f>
        <v> </v>
      </c>
      <c r="J168" s="180" t="str">
        <f aca="false">IF((D168="t"),F168," ")</f>
        <v> </v>
      </c>
      <c r="K168" s="180" t="str">
        <f aca="false">IF((D168="e"),F168," ")</f>
        <v> </v>
      </c>
      <c r="L168" s="180" t="str">
        <f aca="false">IF((D168="p"),F168," ")</f>
        <v> </v>
      </c>
      <c r="M168" s="180" t="str">
        <f aca="false">IF((D168="g"),F168," ")</f>
        <v> </v>
      </c>
      <c r="N168" s="180" t="str">
        <f aca="false">IF((D168="a"),F168," ")</f>
        <v> </v>
      </c>
      <c r="O168" s="180" t="str">
        <f aca="false">IF((D168="l"),F168," ")</f>
        <v> </v>
      </c>
      <c r="P168" s="180" t="str">
        <f aca="false">IF((D168="i"),F168," ")</f>
        <v> </v>
      </c>
      <c r="Q168" s="180" t="str">
        <f aca="false">IF((D168="b"),F168," ")</f>
        <v> </v>
      </c>
      <c r="R168" s="180" t="str">
        <f aca="false">IF((D168="o"),F168," ")</f>
        <v> </v>
      </c>
      <c r="S168" s="180" t="str">
        <f aca="false">IF((D168="f"),F168," ")</f>
        <v> </v>
      </c>
      <c r="U168" s="371"/>
    </row>
    <row r="169" customFormat="false" ht="12.75" hidden="false" customHeight="false" outlineLevel="0" collapsed="false">
      <c r="D169" s="371" t="str">
        <f aca="false">IF((F169&lt;&gt;0),"Enter Letter"," ")</f>
        <v> </v>
      </c>
      <c r="G169" s="180" t="str">
        <f aca="false">IF((D169="d"),F169," ")</f>
        <v> </v>
      </c>
      <c r="H169" s="180" t="str">
        <f aca="false">IF((D169="h"),F169," ")</f>
        <v> </v>
      </c>
      <c r="I169" s="180" t="str">
        <f aca="false">IF((D169="r"),F169," ")</f>
        <v> </v>
      </c>
      <c r="J169" s="180" t="str">
        <f aca="false">IF((D169="t"),F169," ")</f>
        <v> </v>
      </c>
      <c r="K169" s="180" t="str">
        <f aca="false">IF((D169="e"),F169," ")</f>
        <v> </v>
      </c>
      <c r="L169" s="180" t="str">
        <f aca="false">IF((D169="p"),F169," ")</f>
        <v> </v>
      </c>
      <c r="M169" s="180" t="str">
        <f aca="false">IF((D169="g"),F169," ")</f>
        <v> </v>
      </c>
      <c r="N169" s="180" t="str">
        <f aca="false">IF((D169="a"),F169," ")</f>
        <v> </v>
      </c>
      <c r="O169" s="180" t="str">
        <f aca="false">IF((D169="l"),F169," ")</f>
        <v> </v>
      </c>
      <c r="P169" s="180" t="str">
        <f aca="false">IF((D169="i"),F169," ")</f>
        <v> </v>
      </c>
      <c r="Q169" s="180" t="str">
        <f aca="false">IF((D169="b"),F169," ")</f>
        <v> </v>
      </c>
      <c r="R169" s="180" t="str">
        <f aca="false">IF((D169="o"),F169," ")</f>
        <v> </v>
      </c>
      <c r="S169" s="180" t="str">
        <f aca="false">IF((D169="f"),F169," ")</f>
        <v> </v>
      </c>
      <c r="U169" s="371"/>
    </row>
    <row r="170" customFormat="false" ht="12.75" hidden="false" customHeight="false" outlineLevel="0" collapsed="false">
      <c r="D170" s="371" t="str">
        <f aca="false">IF((F170&lt;&gt;0),"Enter Letter"," ")</f>
        <v> </v>
      </c>
      <c r="G170" s="180" t="str">
        <f aca="false">IF((D170="d"),F170," ")</f>
        <v> </v>
      </c>
      <c r="H170" s="180" t="str">
        <f aca="false">IF((D170="h"),F170," ")</f>
        <v> </v>
      </c>
      <c r="I170" s="180" t="str">
        <f aca="false">IF((D170="r"),F170," ")</f>
        <v> </v>
      </c>
      <c r="J170" s="180" t="str">
        <f aca="false">IF((D170="t"),F170," ")</f>
        <v> </v>
      </c>
      <c r="K170" s="180" t="str">
        <f aca="false">IF((D170="e"),F170," ")</f>
        <v> </v>
      </c>
      <c r="L170" s="180" t="str">
        <f aca="false">IF((D170="p"),F170," ")</f>
        <v> </v>
      </c>
      <c r="M170" s="180" t="str">
        <f aca="false">IF((D170="g"),F170," ")</f>
        <v> </v>
      </c>
      <c r="N170" s="180" t="str">
        <f aca="false">IF((D170="a"),F170," ")</f>
        <v> </v>
      </c>
      <c r="O170" s="180" t="str">
        <f aca="false">IF((D170="l"),F170," ")</f>
        <v> </v>
      </c>
      <c r="P170" s="180" t="str">
        <f aca="false">IF((D170="i"),F170," ")</f>
        <v> </v>
      </c>
      <c r="Q170" s="180" t="str">
        <f aca="false">IF((D170="b"),F170," ")</f>
        <v> </v>
      </c>
      <c r="R170" s="180" t="str">
        <f aca="false">IF((D170="o"),F170," ")</f>
        <v> </v>
      </c>
      <c r="S170" s="180" t="str">
        <f aca="false">IF((D170="f"),F170," ")</f>
        <v> </v>
      </c>
      <c r="U170" s="371"/>
    </row>
    <row r="171" customFormat="false" ht="12.75" hidden="false" customHeight="false" outlineLevel="0" collapsed="false">
      <c r="D171" s="371" t="str">
        <f aca="false">IF((F171&lt;&gt;0),"Enter Letter"," ")</f>
        <v> </v>
      </c>
      <c r="G171" s="180" t="str">
        <f aca="false">IF((D171="d"),F171," ")</f>
        <v> </v>
      </c>
      <c r="H171" s="180" t="str">
        <f aca="false">IF((D171="h"),F171," ")</f>
        <v> </v>
      </c>
      <c r="I171" s="180" t="str">
        <f aca="false">IF((D171="r"),F171," ")</f>
        <v> </v>
      </c>
      <c r="J171" s="180" t="str">
        <f aca="false">IF((D171="t"),F171," ")</f>
        <v> </v>
      </c>
      <c r="K171" s="180" t="str">
        <f aca="false">IF((D171="e"),F171," ")</f>
        <v> </v>
      </c>
      <c r="L171" s="180" t="str">
        <f aca="false">IF((D171="p"),F171," ")</f>
        <v> </v>
      </c>
      <c r="M171" s="180" t="str">
        <f aca="false">IF((D171="g"),F171," ")</f>
        <v> </v>
      </c>
      <c r="N171" s="180" t="str">
        <f aca="false">IF((D171="a"),F171," ")</f>
        <v> </v>
      </c>
      <c r="O171" s="180" t="str">
        <f aca="false">IF((D171="l"),F171," ")</f>
        <v> </v>
      </c>
      <c r="P171" s="180" t="str">
        <f aca="false">IF((D171="i"),F171," ")</f>
        <v> </v>
      </c>
      <c r="Q171" s="180" t="str">
        <f aca="false">IF((D171="b"),F171," ")</f>
        <v> </v>
      </c>
      <c r="R171" s="180" t="str">
        <f aca="false">IF((D171="o"),F171," ")</f>
        <v> </v>
      </c>
      <c r="S171" s="180" t="str">
        <f aca="false">IF((D171="f"),F171," ")</f>
        <v> </v>
      </c>
      <c r="U171" s="371"/>
    </row>
    <row r="172" customFormat="false" ht="12.75" hidden="false" customHeight="false" outlineLevel="0" collapsed="false">
      <c r="D172" s="371" t="str">
        <f aca="false">IF((F172&lt;&gt;0),"Enter Letter"," ")</f>
        <v> </v>
      </c>
      <c r="G172" s="180" t="str">
        <f aca="false">IF((D172="d"),F172," ")</f>
        <v> </v>
      </c>
      <c r="H172" s="180" t="str">
        <f aca="false">IF((D172="h"),F172," ")</f>
        <v> </v>
      </c>
      <c r="I172" s="180" t="str">
        <f aca="false">IF((D172="r"),F172," ")</f>
        <v> </v>
      </c>
      <c r="J172" s="180" t="str">
        <f aca="false">IF((D172="t"),F172," ")</f>
        <v> </v>
      </c>
      <c r="K172" s="180" t="str">
        <f aca="false">IF((D172="e"),F172," ")</f>
        <v> </v>
      </c>
      <c r="L172" s="180" t="str">
        <f aca="false">IF((D172="p"),F172," ")</f>
        <v> </v>
      </c>
      <c r="M172" s="180" t="str">
        <f aca="false">IF((D172="g"),F172," ")</f>
        <v> </v>
      </c>
      <c r="N172" s="180" t="str">
        <f aca="false">IF((D172="a"),F172," ")</f>
        <v> </v>
      </c>
      <c r="O172" s="180" t="str">
        <f aca="false">IF((D172="l"),F172," ")</f>
        <v> </v>
      </c>
      <c r="P172" s="180" t="str">
        <f aca="false">IF((D172="i"),F172," ")</f>
        <v> </v>
      </c>
      <c r="Q172" s="180" t="str">
        <f aca="false">IF((D172="b"),F172," ")</f>
        <v> </v>
      </c>
      <c r="R172" s="180" t="str">
        <f aca="false">IF((D172="o"),F172," ")</f>
        <v> </v>
      </c>
      <c r="S172" s="180" t="str">
        <f aca="false">IF((D172="f"),F172," ")</f>
        <v> </v>
      </c>
      <c r="U172" s="371"/>
    </row>
    <row r="173" customFormat="false" ht="12.75" hidden="false" customHeight="false" outlineLevel="0" collapsed="false">
      <c r="D173" s="371" t="str">
        <f aca="false">IF((F173&lt;&gt;0),"Enter Letter"," ")</f>
        <v> </v>
      </c>
      <c r="G173" s="180" t="str">
        <f aca="false">IF((D173="d"),F173," ")</f>
        <v> </v>
      </c>
      <c r="H173" s="180" t="str">
        <f aca="false">IF((D173="h"),F173," ")</f>
        <v> </v>
      </c>
      <c r="I173" s="180" t="str">
        <f aca="false">IF((D173="r"),F173," ")</f>
        <v> </v>
      </c>
      <c r="J173" s="180" t="str">
        <f aca="false">IF((D173="t"),F173," ")</f>
        <v> </v>
      </c>
      <c r="K173" s="180" t="str">
        <f aca="false">IF((D173="e"),F173," ")</f>
        <v> </v>
      </c>
      <c r="L173" s="180" t="str">
        <f aca="false">IF((D173="p"),F173," ")</f>
        <v> </v>
      </c>
      <c r="M173" s="180" t="str">
        <f aca="false">IF((D173="g"),F173," ")</f>
        <v> </v>
      </c>
      <c r="N173" s="180" t="str">
        <f aca="false">IF((D173="a"),F173," ")</f>
        <v> </v>
      </c>
      <c r="O173" s="180" t="str">
        <f aca="false">IF((D173="l"),F173," ")</f>
        <v> </v>
      </c>
      <c r="P173" s="180" t="str">
        <f aca="false">IF((D173="i"),F173," ")</f>
        <v> </v>
      </c>
      <c r="Q173" s="180" t="str">
        <f aca="false">IF((D173="b"),F173," ")</f>
        <v> </v>
      </c>
      <c r="R173" s="180" t="str">
        <f aca="false">IF((D173="o"),F173," ")</f>
        <v> </v>
      </c>
      <c r="S173" s="180" t="str">
        <f aca="false">IF((D173="f"),F173," ")</f>
        <v> </v>
      </c>
      <c r="U173" s="371"/>
    </row>
    <row r="174" customFormat="false" ht="12.75" hidden="false" customHeight="false" outlineLevel="0" collapsed="false">
      <c r="D174" s="371" t="str">
        <f aca="false">IF((F174&lt;&gt;0),"Enter Letter"," ")</f>
        <v> </v>
      </c>
      <c r="G174" s="180" t="str">
        <f aca="false">IF((D174="d"),F174," ")</f>
        <v> </v>
      </c>
      <c r="H174" s="180" t="str">
        <f aca="false">IF((D174="h"),F174," ")</f>
        <v> </v>
      </c>
      <c r="I174" s="180" t="str">
        <f aca="false">IF((D174="r"),F174," ")</f>
        <v> </v>
      </c>
      <c r="J174" s="180" t="str">
        <f aca="false">IF((D174="t"),F174," ")</f>
        <v> </v>
      </c>
      <c r="K174" s="180" t="str">
        <f aca="false">IF((D174="e"),F174," ")</f>
        <v> </v>
      </c>
      <c r="L174" s="180" t="str">
        <f aca="false">IF((D174="p"),F174," ")</f>
        <v> </v>
      </c>
      <c r="M174" s="180" t="str">
        <f aca="false">IF((D174="g"),F174," ")</f>
        <v> </v>
      </c>
      <c r="N174" s="180" t="str">
        <f aca="false">IF((D174="a"),F174," ")</f>
        <v> </v>
      </c>
      <c r="O174" s="180" t="str">
        <f aca="false">IF((D174="l"),F174," ")</f>
        <v> </v>
      </c>
      <c r="P174" s="180" t="str">
        <f aca="false">IF((D174="i"),F174," ")</f>
        <v> </v>
      </c>
      <c r="Q174" s="180" t="str">
        <f aca="false">IF((D174="b"),F174," ")</f>
        <v> </v>
      </c>
      <c r="R174" s="180" t="str">
        <f aca="false">IF((D174="o"),F174," ")</f>
        <v> </v>
      </c>
      <c r="S174" s="180" t="str">
        <f aca="false">IF((D174="f"),F174," ")</f>
        <v> </v>
      </c>
      <c r="U174" s="371"/>
    </row>
    <row r="175" customFormat="false" ht="12.75" hidden="false" customHeight="false" outlineLevel="0" collapsed="false">
      <c r="D175" s="371" t="str">
        <f aca="false">IF((F175&lt;&gt;0),"Enter Letter"," ")</f>
        <v> </v>
      </c>
      <c r="G175" s="180" t="str">
        <f aca="false">IF((D175="d"),F175," ")</f>
        <v> </v>
      </c>
      <c r="H175" s="180" t="str">
        <f aca="false">IF((D175="h"),F175," ")</f>
        <v> </v>
      </c>
      <c r="I175" s="180" t="str">
        <f aca="false">IF((D175="r"),F175," ")</f>
        <v> </v>
      </c>
      <c r="J175" s="180" t="str">
        <f aca="false">IF((D175="t"),F175," ")</f>
        <v> </v>
      </c>
      <c r="K175" s="180" t="str">
        <f aca="false">IF((D175="e"),F175," ")</f>
        <v> </v>
      </c>
      <c r="L175" s="180" t="str">
        <f aca="false">IF((D175="p"),F175," ")</f>
        <v> </v>
      </c>
      <c r="M175" s="180" t="str">
        <f aca="false">IF((D175="g"),F175," ")</f>
        <v> </v>
      </c>
      <c r="N175" s="180" t="str">
        <f aca="false">IF((D175="a"),F175," ")</f>
        <v> </v>
      </c>
      <c r="O175" s="180" t="str">
        <f aca="false">IF((D175="l"),F175," ")</f>
        <v> </v>
      </c>
      <c r="P175" s="180" t="str">
        <f aca="false">IF((D175="i"),F175," ")</f>
        <v> </v>
      </c>
      <c r="Q175" s="180" t="str">
        <f aca="false">IF((D175="b"),F175," ")</f>
        <v> </v>
      </c>
      <c r="R175" s="180" t="str">
        <f aca="false">IF((D175="o"),F175," ")</f>
        <v> </v>
      </c>
      <c r="S175" s="180" t="str">
        <f aca="false">IF((D175="f"),F175," ")</f>
        <v> </v>
      </c>
      <c r="U175" s="371"/>
    </row>
    <row r="176" customFormat="false" ht="12.75" hidden="false" customHeight="false" outlineLevel="0" collapsed="false">
      <c r="D176" s="371" t="str">
        <f aca="false">IF((F176&lt;&gt;0),"Enter Letter"," ")</f>
        <v> </v>
      </c>
      <c r="G176" s="180" t="str">
        <f aca="false">IF((D176="d"),F176," ")</f>
        <v> </v>
      </c>
      <c r="H176" s="180" t="str">
        <f aca="false">IF((D176="h"),F176," ")</f>
        <v> </v>
      </c>
      <c r="I176" s="180" t="str">
        <f aca="false">IF((D176="r"),F176," ")</f>
        <v> </v>
      </c>
      <c r="J176" s="180" t="str">
        <f aca="false">IF((D176="t"),F176," ")</f>
        <v> </v>
      </c>
      <c r="K176" s="180" t="str">
        <f aca="false">IF((D176="e"),F176," ")</f>
        <v> </v>
      </c>
      <c r="L176" s="180" t="str">
        <f aca="false">IF((D176="p"),F176," ")</f>
        <v> </v>
      </c>
      <c r="M176" s="180" t="str">
        <f aca="false">IF((D176="g"),F176," ")</f>
        <v> </v>
      </c>
      <c r="N176" s="180" t="str">
        <f aca="false">IF((D176="a"),F176," ")</f>
        <v> </v>
      </c>
      <c r="O176" s="180" t="str">
        <f aca="false">IF((D176="l"),F176," ")</f>
        <v> </v>
      </c>
      <c r="P176" s="180" t="str">
        <f aca="false">IF((D176="i"),F176," ")</f>
        <v> </v>
      </c>
      <c r="Q176" s="180" t="str">
        <f aca="false">IF((D176="b"),F176," ")</f>
        <v> </v>
      </c>
      <c r="R176" s="180" t="str">
        <f aca="false">IF((D176="o"),F176," ")</f>
        <v> </v>
      </c>
      <c r="S176" s="180" t="str">
        <f aca="false">IF((D176="f"),F176," ")</f>
        <v> </v>
      </c>
      <c r="U176" s="371"/>
    </row>
    <row r="177" customFormat="false" ht="12.75" hidden="false" customHeight="false" outlineLevel="0" collapsed="false">
      <c r="D177" s="371" t="str">
        <f aca="false">IF((F177&lt;&gt;0),"Enter Letter"," ")</f>
        <v> </v>
      </c>
      <c r="G177" s="180" t="str">
        <f aca="false">IF((D177="d"),F177," ")</f>
        <v> </v>
      </c>
      <c r="H177" s="180" t="str">
        <f aca="false">IF((D177="h"),F177," ")</f>
        <v> </v>
      </c>
      <c r="I177" s="180" t="str">
        <f aca="false">IF((D177="r"),F177," ")</f>
        <v> </v>
      </c>
      <c r="J177" s="180" t="str">
        <f aca="false">IF((D177="t"),F177," ")</f>
        <v> </v>
      </c>
      <c r="K177" s="180" t="str">
        <f aca="false">IF((D177="e"),F177," ")</f>
        <v> </v>
      </c>
      <c r="L177" s="180" t="str">
        <f aca="false">IF((D177="p"),F177," ")</f>
        <v> </v>
      </c>
      <c r="M177" s="180" t="str">
        <f aca="false">IF((D177="g"),F177," ")</f>
        <v> </v>
      </c>
      <c r="N177" s="180" t="str">
        <f aca="false">IF((D177="a"),F177," ")</f>
        <v> </v>
      </c>
      <c r="O177" s="180" t="str">
        <f aca="false">IF((D177="l"),F177," ")</f>
        <v> </v>
      </c>
      <c r="P177" s="180" t="str">
        <f aca="false">IF((D177="i"),F177," ")</f>
        <v> </v>
      </c>
      <c r="Q177" s="180" t="str">
        <f aca="false">IF((D177="b"),F177," ")</f>
        <v> </v>
      </c>
      <c r="R177" s="180" t="str">
        <f aca="false">IF((D177="o"),F177," ")</f>
        <v> </v>
      </c>
      <c r="S177" s="180" t="str">
        <f aca="false">IF((D177="f"),F177," ")</f>
        <v> </v>
      </c>
      <c r="U177" s="371"/>
    </row>
    <row r="178" customFormat="false" ht="12.75" hidden="false" customHeight="false" outlineLevel="0" collapsed="false">
      <c r="D178" s="371" t="str">
        <f aca="false">IF((F178&lt;&gt;0),"Enter Letter"," ")</f>
        <v> </v>
      </c>
      <c r="G178" s="180" t="str">
        <f aca="false">IF((D178="d"),F178," ")</f>
        <v> </v>
      </c>
      <c r="H178" s="180" t="str">
        <f aca="false">IF((D178="h"),F178," ")</f>
        <v> </v>
      </c>
      <c r="I178" s="180" t="str">
        <f aca="false">IF((D178="r"),F178," ")</f>
        <v> </v>
      </c>
      <c r="J178" s="180" t="str">
        <f aca="false">IF((D178="t"),F178," ")</f>
        <v> </v>
      </c>
      <c r="K178" s="180" t="str">
        <f aca="false">IF((D178="e"),F178," ")</f>
        <v> </v>
      </c>
      <c r="L178" s="180" t="str">
        <f aca="false">IF((D178="p"),F178," ")</f>
        <v> </v>
      </c>
      <c r="M178" s="180" t="str">
        <f aca="false">IF((D178="g"),F178," ")</f>
        <v> </v>
      </c>
      <c r="N178" s="180" t="str">
        <f aca="false">IF((D178="a"),F178," ")</f>
        <v> </v>
      </c>
      <c r="O178" s="180" t="str">
        <f aca="false">IF((D178="l"),F178," ")</f>
        <v> </v>
      </c>
      <c r="P178" s="180" t="str">
        <f aca="false">IF((D178="i"),F178," ")</f>
        <v> </v>
      </c>
      <c r="Q178" s="180" t="str">
        <f aca="false">IF((D178="b"),F178," ")</f>
        <v> </v>
      </c>
      <c r="R178" s="180" t="str">
        <f aca="false">IF((D178="o"),F178," ")</f>
        <v> </v>
      </c>
      <c r="S178" s="180" t="str">
        <f aca="false">IF((D178="f"),F178," ")</f>
        <v> </v>
      </c>
      <c r="U178" s="371"/>
    </row>
    <row r="179" customFormat="false" ht="12.75" hidden="false" customHeight="false" outlineLevel="0" collapsed="false">
      <c r="D179" s="371" t="str">
        <f aca="false">IF((F179&lt;&gt;0),"Enter Letter"," ")</f>
        <v> </v>
      </c>
      <c r="G179" s="180" t="str">
        <f aca="false">IF((D179="d"),F179," ")</f>
        <v> </v>
      </c>
      <c r="H179" s="180" t="str">
        <f aca="false">IF((D179="h"),F179," ")</f>
        <v> </v>
      </c>
      <c r="I179" s="180" t="str">
        <f aca="false">IF((D179="r"),F179," ")</f>
        <v> </v>
      </c>
      <c r="J179" s="180" t="str">
        <f aca="false">IF((D179="t"),F179," ")</f>
        <v> </v>
      </c>
      <c r="K179" s="180" t="str">
        <f aca="false">IF((D179="e"),F179," ")</f>
        <v> </v>
      </c>
      <c r="L179" s="180" t="str">
        <f aca="false">IF((D179="p"),F179," ")</f>
        <v> </v>
      </c>
      <c r="M179" s="180" t="str">
        <f aca="false">IF((D179="g"),F179," ")</f>
        <v> </v>
      </c>
      <c r="N179" s="180" t="str">
        <f aca="false">IF((D179="a"),F179," ")</f>
        <v> </v>
      </c>
      <c r="O179" s="180" t="str">
        <f aca="false">IF((D179="l"),F179," ")</f>
        <v> </v>
      </c>
      <c r="P179" s="180" t="str">
        <f aca="false">IF((D179="i"),F179," ")</f>
        <v> </v>
      </c>
      <c r="Q179" s="180" t="str">
        <f aca="false">IF((D179="b"),F179," ")</f>
        <v> </v>
      </c>
      <c r="R179" s="180" t="str">
        <f aca="false">IF((D179="o"),F179," ")</f>
        <v> </v>
      </c>
      <c r="S179" s="180" t="str">
        <f aca="false">IF((D179="f"),F179," ")</f>
        <v> </v>
      </c>
      <c r="U179" s="371"/>
    </row>
    <row r="180" customFormat="false" ht="12.75" hidden="false" customHeight="false" outlineLevel="0" collapsed="false">
      <c r="D180" s="371" t="str">
        <f aca="false">IF((F180&lt;&gt;0),"Enter Letter"," ")</f>
        <v> </v>
      </c>
      <c r="G180" s="180" t="str">
        <f aca="false">IF((D180="d"),F180," ")</f>
        <v> </v>
      </c>
      <c r="H180" s="180" t="str">
        <f aca="false">IF((D180="h"),F180," ")</f>
        <v> </v>
      </c>
      <c r="I180" s="180" t="str">
        <f aca="false">IF((D180="r"),F180," ")</f>
        <v> </v>
      </c>
      <c r="J180" s="180" t="str">
        <f aca="false">IF((D180="t"),F180," ")</f>
        <v> </v>
      </c>
      <c r="K180" s="180" t="str">
        <f aca="false">IF((D180="e"),F180," ")</f>
        <v> </v>
      </c>
      <c r="L180" s="180" t="str">
        <f aca="false">IF((D180="p"),F180," ")</f>
        <v> </v>
      </c>
      <c r="M180" s="180" t="str">
        <f aca="false">IF((D180="g"),F180," ")</f>
        <v> </v>
      </c>
      <c r="N180" s="180" t="str">
        <f aca="false">IF((D180="a"),F180," ")</f>
        <v> </v>
      </c>
      <c r="O180" s="180" t="str">
        <f aca="false">IF((D180="l"),F180," ")</f>
        <v> </v>
      </c>
      <c r="P180" s="180" t="str">
        <f aca="false">IF((D180="i"),F180," ")</f>
        <v> </v>
      </c>
      <c r="Q180" s="180" t="str">
        <f aca="false">IF((D180="b"),F180," ")</f>
        <v> </v>
      </c>
      <c r="R180" s="180" t="str">
        <f aca="false">IF((D180="o"),F180," ")</f>
        <v> </v>
      </c>
      <c r="S180" s="180" t="str">
        <f aca="false">IF((D180="f"),F180," ")</f>
        <v> </v>
      </c>
      <c r="U180" s="371"/>
    </row>
    <row r="181" customFormat="false" ht="12.75" hidden="false" customHeight="false" outlineLevel="0" collapsed="false">
      <c r="D181" s="371" t="str">
        <f aca="false">IF((F181&lt;&gt;0),"Enter Letter"," ")</f>
        <v> </v>
      </c>
      <c r="G181" s="180" t="str">
        <f aca="false">IF((D181="d"),F181," ")</f>
        <v> </v>
      </c>
      <c r="H181" s="180" t="str">
        <f aca="false">IF((D181="h"),F181," ")</f>
        <v> </v>
      </c>
      <c r="I181" s="180" t="str">
        <f aca="false">IF((D181="r"),F181," ")</f>
        <v> </v>
      </c>
      <c r="J181" s="180" t="str">
        <f aca="false">IF((D181="t"),F181," ")</f>
        <v> </v>
      </c>
      <c r="K181" s="180" t="str">
        <f aca="false">IF((D181="e"),F181," ")</f>
        <v> </v>
      </c>
      <c r="L181" s="180" t="str">
        <f aca="false">IF((D181="p"),F181," ")</f>
        <v> </v>
      </c>
      <c r="M181" s="180" t="str">
        <f aca="false">IF((D181="g"),F181," ")</f>
        <v> </v>
      </c>
      <c r="N181" s="180" t="str">
        <f aca="false">IF((D181="a"),F181," ")</f>
        <v> </v>
      </c>
      <c r="O181" s="180" t="str">
        <f aca="false">IF((D181="l"),F181," ")</f>
        <v> </v>
      </c>
      <c r="P181" s="180" t="str">
        <f aca="false">IF((D181="i"),F181," ")</f>
        <v> </v>
      </c>
      <c r="Q181" s="180" t="str">
        <f aca="false">IF((D181="b"),F181," ")</f>
        <v> </v>
      </c>
      <c r="R181" s="180" t="str">
        <f aca="false">IF((D181="o"),F181," ")</f>
        <v> </v>
      </c>
      <c r="S181" s="180" t="str">
        <f aca="false">IF((D181="f"),F181," ")</f>
        <v> </v>
      </c>
      <c r="U181" s="371"/>
    </row>
    <row r="182" customFormat="false" ht="12.75" hidden="false" customHeight="false" outlineLevel="0" collapsed="false">
      <c r="D182" s="371" t="str">
        <f aca="false">IF((F182&lt;&gt;0),"Enter Letter"," ")</f>
        <v> </v>
      </c>
      <c r="G182" s="180" t="str">
        <f aca="false">IF((D182="d"),F182," ")</f>
        <v> </v>
      </c>
      <c r="H182" s="180" t="str">
        <f aca="false">IF((D182="h"),F182," ")</f>
        <v> </v>
      </c>
      <c r="I182" s="180" t="str">
        <f aca="false">IF((D182="r"),F182," ")</f>
        <v> </v>
      </c>
      <c r="J182" s="180" t="str">
        <f aca="false">IF((D182="t"),F182," ")</f>
        <v> </v>
      </c>
      <c r="K182" s="180" t="str">
        <f aca="false">IF((D182="e"),F182," ")</f>
        <v> </v>
      </c>
      <c r="L182" s="180" t="str">
        <f aca="false">IF((D182="p"),F182," ")</f>
        <v> </v>
      </c>
      <c r="M182" s="180" t="str">
        <f aca="false">IF((D182="g"),F182," ")</f>
        <v> </v>
      </c>
      <c r="N182" s="180" t="str">
        <f aca="false">IF((D182="a"),F182," ")</f>
        <v> </v>
      </c>
      <c r="O182" s="180" t="str">
        <f aca="false">IF((D182="l"),F182," ")</f>
        <v> </v>
      </c>
      <c r="P182" s="180" t="str">
        <f aca="false">IF((D182="i"),F182," ")</f>
        <v> </v>
      </c>
      <c r="Q182" s="180" t="str">
        <f aca="false">IF((D182="b"),F182," ")</f>
        <v> </v>
      </c>
      <c r="R182" s="180" t="str">
        <f aca="false">IF((D182="o"),F182," ")</f>
        <v> </v>
      </c>
      <c r="S182" s="180" t="str">
        <f aca="false">IF((D182="f"),F182," ")</f>
        <v> </v>
      </c>
      <c r="U182" s="371"/>
    </row>
    <row r="183" customFormat="false" ht="12.75" hidden="false" customHeight="false" outlineLevel="0" collapsed="false">
      <c r="D183" s="371" t="str">
        <f aca="false">IF((F183&lt;&gt;0),"Enter Letter"," ")</f>
        <v> </v>
      </c>
      <c r="G183" s="180" t="str">
        <f aca="false">IF((D183="d"),F183," ")</f>
        <v> </v>
      </c>
      <c r="H183" s="180" t="str">
        <f aca="false">IF((D183="h"),F183," ")</f>
        <v> </v>
      </c>
      <c r="I183" s="180" t="str">
        <f aca="false">IF((D183="r"),F183," ")</f>
        <v> </v>
      </c>
      <c r="J183" s="180" t="str">
        <f aca="false">IF((D183="t"),F183," ")</f>
        <v> </v>
      </c>
      <c r="K183" s="180" t="str">
        <f aca="false">IF((D183="e"),F183," ")</f>
        <v> </v>
      </c>
      <c r="L183" s="180" t="str">
        <f aca="false">IF((D183="p"),F183," ")</f>
        <v> </v>
      </c>
      <c r="M183" s="180" t="str">
        <f aca="false">IF((D183="g"),F183," ")</f>
        <v> </v>
      </c>
      <c r="N183" s="180" t="str">
        <f aca="false">IF((D183="a"),F183," ")</f>
        <v> </v>
      </c>
      <c r="O183" s="180" t="str">
        <f aca="false">IF((D183="l"),F183," ")</f>
        <v> </v>
      </c>
      <c r="P183" s="180" t="str">
        <f aca="false">IF((D183="i"),F183," ")</f>
        <v> </v>
      </c>
      <c r="Q183" s="180" t="str">
        <f aca="false">IF((D183="b"),F183," ")</f>
        <v> </v>
      </c>
      <c r="R183" s="180" t="str">
        <f aca="false">IF((D183="o"),F183," ")</f>
        <v> </v>
      </c>
      <c r="S183" s="180" t="str">
        <f aca="false">IF((D183="f"),F183," ")</f>
        <v> </v>
      </c>
      <c r="U183" s="371"/>
    </row>
    <row r="184" customFormat="false" ht="12.75" hidden="false" customHeight="false" outlineLevel="0" collapsed="false">
      <c r="D184" s="371" t="str">
        <f aca="false">IF((F184&lt;&gt;0),"Enter Letter"," ")</f>
        <v> </v>
      </c>
      <c r="G184" s="180" t="str">
        <f aca="false">IF((D184="d"),F184," ")</f>
        <v> </v>
      </c>
      <c r="H184" s="180" t="str">
        <f aca="false">IF((D184="h"),F184," ")</f>
        <v> </v>
      </c>
      <c r="I184" s="180" t="str">
        <f aca="false">IF((D184="r"),F184," ")</f>
        <v> </v>
      </c>
      <c r="J184" s="180" t="str">
        <f aca="false">IF((D184="t"),F184," ")</f>
        <v> </v>
      </c>
      <c r="K184" s="180" t="str">
        <f aca="false">IF((D184="e"),F184," ")</f>
        <v> </v>
      </c>
      <c r="L184" s="180" t="str">
        <f aca="false">IF((D184="p"),F184," ")</f>
        <v> </v>
      </c>
      <c r="M184" s="180" t="str">
        <f aca="false">IF((D184="g"),F184," ")</f>
        <v> </v>
      </c>
      <c r="N184" s="180" t="str">
        <f aca="false">IF((D184="a"),F184," ")</f>
        <v> </v>
      </c>
      <c r="O184" s="180" t="str">
        <f aca="false">IF((D184="l"),F184," ")</f>
        <v> </v>
      </c>
      <c r="P184" s="180" t="str">
        <f aca="false">IF((D184="i"),F184," ")</f>
        <v> </v>
      </c>
      <c r="Q184" s="180" t="str">
        <f aca="false">IF((D184="b"),F184," ")</f>
        <v> </v>
      </c>
      <c r="R184" s="180" t="str">
        <f aca="false">IF((D184="o"),F184," ")</f>
        <v> </v>
      </c>
      <c r="S184" s="180" t="str">
        <f aca="false">IF((D184="f"),F184," ")</f>
        <v> </v>
      </c>
      <c r="U184" s="371"/>
    </row>
    <row r="185" customFormat="false" ht="12.75" hidden="false" customHeight="false" outlineLevel="0" collapsed="false">
      <c r="D185" s="371" t="str">
        <f aca="false">IF((F185&lt;&gt;0),"Enter Letter"," ")</f>
        <v> </v>
      </c>
      <c r="G185" s="180" t="str">
        <f aca="false">IF((D185="d"),F185," ")</f>
        <v> </v>
      </c>
      <c r="H185" s="180" t="str">
        <f aca="false">IF((D185="h"),F185," ")</f>
        <v> </v>
      </c>
      <c r="I185" s="180" t="str">
        <f aca="false">IF((D185="r"),F185," ")</f>
        <v> </v>
      </c>
      <c r="J185" s="180" t="str">
        <f aca="false">IF((D185="t"),F185," ")</f>
        <v> </v>
      </c>
      <c r="K185" s="180" t="str">
        <f aca="false">IF((D185="e"),F185," ")</f>
        <v> </v>
      </c>
      <c r="L185" s="180" t="str">
        <f aca="false">IF((D185="p"),F185," ")</f>
        <v> </v>
      </c>
      <c r="M185" s="180" t="str">
        <f aca="false">IF((D185="g"),F185," ")</f>
        <v> </v>
      </c>
      <c r="N185" s="180" t="str">
        <f aca="false">IF((D185="a"),F185," ")</f>
        <v> </v>
      </c>
      <c r="O185" s="180" t="str">
        <f aca="false">IF((D185="l"),F185," ")</f>
        <v> </v>
      </c>
      <c r="P185" s="180" t="str">
        <f aca="false">IF((D185="i"),F185," ")</f>
        <v> </v>
      </c>
      <c r="Q185" s="180" t="str">
        <f aca="false">IF((D185="b"),F185," ")</f>
        <v> </v>
      </c>
      <c r="R185" s="180" t="str">
        <f aca="false">IF((D185="o"),F185," ")</f>
        <v> </v>
      </c>
      <c r="S185" s="180" t="str">
        <f aca="false">IF((D185="f"),F185," ")</f>
        <v> </v>
      </c>
      <c r="U185" s="371"/>
    </row>
    <row r="186" customFormat="false" ht="12.75" hidden="false" customHeight="false" outlineLevel="0" collapsed="false">
      <c r="D186" s="371" t="str">
        <f aca="false">IF((F186&lt;&gt;0),"Enter Letter"," ")</f>
        <v> </v>
      </c>
      <c r="G186" s="180" t="str">
        <f aca="false">IF((D186="d"),F186," ")</f>
        <v> </v>
      </c>
      <c r="H186" s="180" t="str">
        <f aca="false">IF((D186="h"),F186," ")</f>
        <v> </v>
      </c>
      <c r="I186" s="180" t="str">
        <f aca="false">IF((D186="r"),F186," ")</f>
        <v> </v>
      </c>
      <c r="J186" s="180" t="str">
        <f aca="false">IF((D186="t"),F186," ")</f>
        <v> </v>
      </c>
      <c r="K186" s="180" t="str">
        <f aca="false">IF((D186="e"),F186," ")</f>
        <v> </v>
      </c>
      <c r="L186" s="180" t="str">
        <f aca="false">IF((D186="p"),F186," ")</f>
        <v> </v>
      </c>
      <c r="M186" s="180" t="str">
        <f aca="false">IF((D186="g"),F186," ")</f>
        <v> </v>
      </c>
      <c r="N186" s="180" t="str">
        <f aca="false">IF((D186="a"),F186," ")</f>
        <v> </v>
      </c>
      <c r="O186" s="180" t="str">
        <f aca="false">IF((D186="l"),F186," ")</f>
        <v> </v>
      </c>
      <c r="P186" s="180" t="str">
        <f aca="false">IF((D186="i"),F186," ")</f>
        <v> </v>
      </c>
      <c r="Q186" s="180" t="str">
        <f aca="false">IF((D186="b"),F186," ")</f>
        <v> </v>
      </c>
      <c r="R186" s="180" t="str">
        <f aca="false">IF((D186="o"),F186," ")</f>
        <v> </v>
      </c>
      <c r="S186" s="180" t="str">
        <f aca="false">IF((D186="f"),F186," ")</f>
        <v> </v>
      </c>
      <c r="U186" s="371"/>
    </row>
    <row r="187" customFormat="false" ht="12.75" hidden="false" customHeight="false" outlineLevel="0" collapsed="false">
      <c r="D187" s="371" t="str">
        <f aca="false">IF((F187&lt;&gt;0),"Enter Letter"," ")</f>
        <v> </v>
      </c>
      <c r="G187" s="180" t="str">
        <f aca="false">IF((D187="d"),F187," ")</f>
        <v> </v>
      </c>
      <c r="H187" s="180" t="str">
        <f aca="false">IF((D187="h"),F187," ")</f>
        <v> </v>
      </c>
      <c r="I187" s="180" t="str">
        <f aca="false">IF((D187="r"),F187," ")</f>
        <v> </v>
      </c>
      <c r="J187" s="180" t="str">
        <f aca="false">IF((D187="t"),F187," ")</f>
        <v> </v>
      </c>
      <c r="K187" s="180" t="str">
        <f aca="false">IF((D187="e"),F187," ")</f>
        <v> </v>
      </c>
      <c r="L187" s="180" t="str">
        <f aca="false">IF((D187="p"),F187," ")</f>
        <v> </v>
      </c>
      <c r="M187" s="180" t="str">
        <f aca="false">IF((D187="g"),F187," ")</f>
        <v> </v>
      </c>
      <c r="N187" s="180" t="str">
        <f aca="false">IF((D187="a"),F187," ")</f>
        <v> </v>
      </c>
      <c r="O187" s="180" t="str">
        <f aca="false">IF((D187="l"),F187," ")</f>
        <v> </v>
      </c>
      <c r="P187" s="180" t="str">
        <f aca="false">IF((D187="i"),F187," ")</f>
        <v> </v>
      </c>
      <c r="Q187" s="180" t="str">
        <f aca="false">IF((D187="b"),F187," ")</f>
        <v> </v>
      </c>
      <c r="R187" s="180" t="str">
        <f aca="false">IF((D187="o"),F187," ")</f>
        <v> </v>
      </c>
      <c r="S187" s="180" t="str">
        <f aca="false">IF((D187="f"),F187," ")</f>
        <v> </v>
      </c>
      <c r="U187" s="371"/>
    </row>
    <row r="188" customFormat="false" ht="12.75" hidden="false" customHeight="false" outlineLevel="0" collapsed="false">
      <c r="D188" s="371" t="str">
        <f aca="false">IF((F188&lt;&gt;0),"Enter Letter"," ")</f>
        <v> </v>
      </c>
      <c r="G188" s="180" t="str">
        <f aca="false">IF((D188="d"),F188," ")</f>
        <v> </v>
      </c>
      <c r="H188" s="180" t="str">
        <f aca="false">IF((D188="h"),F188," ")</f>
        <v> </v>
      </c>
      <c r="I188" s="180" t="str">
        <f aca="false">IF((D188="r"),F188," ")</f>
        <v> </v>
      </c>
      <c r="J188" s="180" t="str">
        <f aca="false">IF((D188="t"),F188," ")</f>
        <v> </v>
      </c>
      <c r="K188" s="180" t="str">
        <f aca="false">IF((D188="e"),F188," ")</f>
        <v> </v>
      </c>
      <c r="L188" s="180" t="str">
        <f aca="false">IF((D188="p"),F188," ")</f>
        <v> </v>
      </c>
      <c r="M188" s="180" t="str">
        <f aca="false">IF((D188="g"),F188," ")</f>
        <v> </v>
      </c>
      <c r="N188" s="180" t="str">
        <f aca="false">IF((D188="a"),F188," ")</f>
        <v> </v>
      </c>
      <c r="O188" s="180" t="str">
        <f aca="false">IF((D188="l"),F188," ")</f>
        <v> </v>
      </c>
      <c r="P188" s="180" t="str">
        <f aca="false">IF((D188="i"),F188," ")</f>
        <v> </v>
      </c>
      <c r="Q188" s="180" t="str">
        <f aca="false">IF((D188="b"),F188," ")</f>
        <v> </v>
      </c>
      <c r="R188" s="180" t="str">
        <f aca="false">IF((D188="o"),F188," ")</f>
        <v> </v>
      </c>
      <c r="S188" s="180" t="str">
        <f aca="false">IF((D188="f"),F188," ")</f>
        <v> </v>
      </c>
      <c r="U188" s="371"/>
    </row>
    <row r="189" customFormat="false" ht="12.75" hidden="false" customHeight="false" outlineLevel="0" collapsed="false">
      <c r="D189" s="371" t="str">
        <f aca="false">IF((F189&lt;&gt;0),"Enter Letter"," ")</f>
        <v> </v>
      </c>
      <c r="G189" s="180" t="str">
        <f aca="false">IF((D189="d"),F189," ")</f>
        <v> </v>
      </c>
      <c r="H189" s="180" t="str">
        <f aca="false">IF((D189="h"),F189," ")</f>
        <v> </v>
      </c>
      <c r="I189" s="180" t="str">
        <f aca="false">IF((D189="r"),F189," ")</f>
        <v> </v>
      </c>
      <c r="J189" s="180" t="str">
        <f aca="false">IF((D189="t"),F189," ")</f>
        <v> </v>
      </c>
      <c r="K189" s="180" t="str">
        <f aca="false">IF((D189="e"),F189," ")</f>
        <v> </v>
      </c>
      <c r="L189" s="180" t="str">
        <f aca="false">IF((D189="p"),F189," ")</f>
        <v> </v>
      </c>
      <c r="M189" s="180" t="str">
        <f aca="false">IF((D189="g"),F189," ")</f>
        <v> </v>
      </c>
      <c r="N189" s="180" t="str">
        <f aca="false">IF((D189="a"),F189," ")</f>
        <v> </v>
      </c>
      <c r="O189" s="180" t="str">
        <f aca="false">IF((D189="l"),F189," ")</f>
        <v> </v>
      </c>
      <c r="P189" s="180" t="str">
        <f aca="false">IF((D189="i"),F189," ")</f>
        <v> </v>
      </c>
      <c r="Q189" s="180" t="str">
        <f aca="false">IF((D189="b"),F189," ")</f>
        <v> </v>
      </c>
      <c r="R189" s="180" t="str">
        <f aca="false">IF((D189="o"),F189," ")</f>
        <v> </v>
      </c>
      <c r="S189" s="180" t="str">
        <f aca="false">IF((D189="f"),F189," ")</f>
        <v> </v>
      </c>
      <c r="U189" s="371"/>
    </row>
    <row r="190" customFormat="false" ht="12.75" hidden="false" customHeight="false" outlineLevel="0" collapsed="false">
      <c r="D190" s="371" t="str">
        <f aca="false">IF((F190&lt;&gt;0),"Enter Letter"," ")</f>
        <v> </v>
      </c>
      <c r="G190" s="180" t="str">
        <f aca="false">IF((D190="d"),F190," ")</f>
        <v> </v>
      </c>
      <c r="H190" s="180" t="str">
        <f aca="false">IF((D190="h"),F190," ")</f>
        <v> </v>
      </c>
      <c r="I190" s="180" t="str">
        <f aca="false">IF((D190="r"),F190," ")</f>
        <v> </v>
      </c>
      <c r="J190" s="180" t="str">
        <f aca="false">IF((D190="t"),F190," ")</f>
        <v> </v>
      </c>
      <c r="K190" s="180" t="str">
        <f aca="false">IF((D190="e"),F190," ")</f>
        <v> </v>
      </c>
      <c r="L190" s="180" t="str">
        <f aca="false">IF((D190="p"),F190," ")</f>
        <v> </v>
      </c>
      <c r="M190" s="180" t="str">
        <f aca="false">IF((D190="g"),F190," ")</f>
        <v> </v>
      </c>
      <c r="N190" s="180" t="str">
        <f aca="false">IF((D190="a"),F190," ")</f>
        <v> </v>
      </c>
      <c r="O190" s="180" t="str">
        <f aca="false">IF((D190="l"),F190," ")</f>
        <v> </v>
      </c>
      <c r="P190" s="180" t="str">
        <f aca="false">IF((D190="i"),F190," ")</f>
        <v> </v>
      </c>
      <c r="Q190" s="180" t="str">
        <f aca="false">IF((D190="b"),F190," ")</f>
        <v> </v>
      </c>
      <c r="R190" s="180" t="str">
        <f aca="false">IF((D190="o"),F190," ")</f>
        <v> </v>
      </c>
      <c r="S190" s="180" t="str">
        <f aca="false">IF((D190="f"),F190," ")</f>
        <v> </v>
      </c>
      <c r="U190" s="371"/>
    </row>
    <row r="191" customFormat="false" ht="12.75" hidden="false" customHeight="false" outlineLevel="0" collapsed="false">
      <c r="D191" s="371" t="str">
        <f aca="false">IF((F191&lt;&gt;0),"Enter Letter"," ")</f>
        <v> </v>
      </c>
      <c r="G191" s="180" t="str">
        <f aca="false">IF((D191="d"),F191," ")</f>
        <v> </v>
      </c>
      <c r="H191" s="180" t="str">
        <f aca="false">IF((D191="h"),F191," ")</f>
        <v> </v>
      </c>
      <c r="I191" s="180" t="str">
        <f aca="false">IF((D191="r"),F191," ")</f>
        <v> </v>
      </c>
      <c r="J191" s="180" t="str">
        <f aca="false">IF((D191="t"),F191," ")</f>
        <v> </v>
      </c>
      <c r="K191" s="180" t="str">
        <f aca="false">IF((D191="e"),F191," ")</f>
        <v> </v>
      </c>
      <c r="L191" s="180" t="str">
        <f aca="false">IF((D191="p"),F191," ")</f>
        <v> </v>
      </c>
      <c r="M191" s="180" t="str">
        <f aca="false">IF((D191="g"),F191," ")</f>
        <v> </v>
      </c>
      <c r="N191" s="180" t="str">
        <f aca="false">IF((D191="a"),F191," ")</f>
        <v> </v>
      </c>
      <c r="O191" s="180" t="str">
        <f aca="false">IF((D191="l"),F191," ")</f>
        <v> </v>
      </c>
      <c r="P191" s="180" t="str">
        <f aca="false">IF((D191="i"),F191," ")</f>
        <v> </v>
      </c>
      <c r="Q191" s="180" t="str">
        <f aca="false">IF((D191="b"),F191," ")</f>
        <v> </v>
      </c>
      <c r="R191" s="180" t="str">
        <f aca="false">IF((D191="o"),F191," ")</f>
        <v> </v>
      </c>
      <c r="S191" s="180" t="str">
        <f aca="false">IF((D191="f"),F191," ")</f>
        <v> </v>
      </c>
      <c r="U191" s="371"/>
    </row>
    <row r="192" customFormat="false" ht="12.75" hidden="false" customHeight="false" outlineLevel="0" collapsed="false">
      <c r="D192" s="371" t="str">
        <f aca="false">IF((F192&lt;&gt;0),"Enter Letter"," ")</f>
        <v> </v>
      </c>
      <c r="G192" s="180" t="str">
        <f aca="false">IF((D192="d"),F192," ")</f>
        <v> </v>
      </c>
      <c r="H192" s="180" t="str">
        <f aca="false">IF((D192="h"),F192," ")</f>
        <v> </v>
      </c>
      <c r="I192" s="180" t="str">
        <f aca="false">IF((D192="r"),F192," ")</f>
        <v> </v>
      </c>
      <c r="J192" s="180" t="str">
        <f aca="false">IF((D192="t"),F192," ")</f>
        <v> </v>
      </c>
      <c r="K192" s="180" t="str">
        <f aca="false">IF((D192="e"),F192," ")</f>
        <v> </v>
      </c>
      <c r="L192" s="180" t="str">
        <f aca="false">IF((D192="p"),F192," ")</f>
        <v> </v>
      </c>
      <c r="M192" s="180" t="str">
        <f aca="false">IF((D192="g"),F192," ")</f>
        <v> </v>
      </c>
      <c r="N192" s="180" t="str">
        <f aca="false">IF((D192="a"),F192," ")</f>
        <v> </v>
      </c>
      <c r="O192" s="180" t="str">
        <f aca="false">IF((D192="l"),F192," ")</f>
        <v> </v>
      </c>
      <c r="P192" s="180" t="str">
        <f aca="false">IF((D192="i"),F192," ")</f>
        <v> </v>
      </c>
      <c r="Q192" s="180" t="str">
        <f aca="false">IF((D192="b"),F192," ")</f>
        <v> </v>
      </c>
      <c r="R192" s="180" t="str">
        <f aca="false">IF((D192="o"),F192," ")</f>
        <v> </v>
      </c>
      <c r="S192" s="180" t="str">
        <f aca="false">IF((D192="f"),F192," ")</f>
        <v> </v>
      </c>
      <c r="U192" s="371"/>
    </row>
    <row r="193" customFormat="false" ht="12.75" hidden="false" customHeight="false" outlineLevel="0" collapsed="false">
      <c r="D193" s="371" t="str">
        <f aca="false">IF((F193&lt;&gt;0),"Enter Letter"," ")</f>
        <v> </v>
      </c>
      <c r="G193" s="180" t="str">
        <f aca="false">IF((D193="d"),F193," ")</f>
        <v> </v>
      </c>
      <c r="H193" s="180" t="str">
        <f aca="false">IF((D193="h"),F193," ")</f>
        <v> </v>
      </c>
      <c r="I193" s="180" t="str">
        <f aca="false">IF((D193="r"),F193," ")</f>
        <v> </v>
      </c>
      <c r="J193" s="180" t="str">
        <f aca="false">IF((D193="t"),F193," ")</f>
        <v> </v>
      </c>
      <c r="K193" s="180" t="str">
        <f aca="false">IF((D193="e"),F193," ")</f>
        <v> </v>
      </c>
      <c r="L193" s="180" t="str">
        <f aca="false">IF((D193="p"),F193," ")</f>
        <v> </v>
      </c>
      <c r="M193" s="180" t="str">
        <f aca="false">IF((D193="g"),F193," ")</f>
        <v> </v>
      </c>
      <c r="N193" s="180" t="str">
        <f aca="false">IF((D193="a"),F193," ")</f>
        <v> </v>
      </c>
      <c r="O193" s="180" t="str">
        <f aca="false">IF((D193="l"),F193," ")</f>
        <v> </v>
      </c>
      <c r="P193" s="180" t="str">
        <f aca="false">IF((D193="i"),F193," ")</f>
        <v> </v>
      </c>
      <c r="Q193" s="180" t="str">
        <f aca="false">IF((D193="b"),F193," ")</f>
        <v> </v>
      </c>
      <c r="R193" s="180" t="str">
        <f aca="false">IF((D193="o"),F193," ")</f>
        <v> </v>
      </c>
      <c r="S193" s="180" t="str">
        <f aca="false">IF((D193="f"),F193," ")</f>
        <v> </v>
      </c>
      <c r="U193" s="371"/>
    </row>
    <row r="194" customFormat="false" ht="12.75" hidden="false" customHeight="false" outlineLevel="0" collapsed="false">
      <c r="D194" s="371" t="str">
        <f aca="false">IF((F194&lt;&gt;0),"Enter Letter"," ")</f>
        <v> </v>
      </c>
      <c r="G194" s="180" t="str">
        <f aca="false">IF((D194="d"),F194," ")</f>
        <v> </v>
      </c>
      <c r="H194" s="180" t="str">
        <f aca="false">IF((D194="h"),F194," ")</f>
        <v> </v>
      </c>
      <c r="I194" s="180" t="str">
        <f aca="false">IF((D194="r"),F194," ")</f>
        <v> </v>
      </c>
      <c r="J194" s="180" t="str">
        <f aca="false">IF((D194="t"),F194," ")</f>
        <v> </v>
      </c>
      <c r="K194" s="180" t="str">
        <f aca="false">IF((D194="e"),F194," ")</f>
        <v> </v>
      </c>
      <c r="L194" s="180" t="str">
        <f aca="false">IF((D194="p"),F194," ")</f>
        <v> </v>
      </c>
      <c r="M194" s="180" t="str">
        <f aca="false">IF((D194="g"),F194," ")</f>
        <v> </v>
      </c>
      <c r="N194" s="180" t="str">
        <f aca="false">IF((D194="a"),F194," ")</f>
        <v> </v>
      </c>
      <c r="O194" s="180" t="str">
        <f aca="false">IF((D194="l"),F194," ")</f>
        <v> </v>
      </c>
      <c r="P194" s="180" t="str">
        <f aca="false">IF((D194="i"),F194," ")</f>
        <v> </v>
      </c>
      <c r="Q194" s="180" t="str">
        <f aca="false">IF((D194="b"),F194," ")</f>
        <v> </v>
      </c>
      <c r="R194" s="180" t="str">
        <f aca="false">IF((D194="o"),F194," ")</f>
        <v> </v>
      </c>
      <c r="S194" s="180" t="str">
        <f aca="false">IF((D194="f"),F194," ")</f>
        <v> </v>
      </c>
      <c r="U194" s="371"/>
    </row>
    <row r="195" customFormat="false" ht="12.75" hidden="false" customHeight="false" outlineLevel="0" collapsed="false">
      <c r="D195" s="371" t="str">
        <f aca="false">IF((F195&lt;&gt;0),"Enter Letter"," ")</f>
        <v> </v>
      </c>
      <c r="G195" s="180" t="str">
        <f aca="false">IF((D195="d"),F195," ")</f>
        <v> </v>
      </c>
      <c r="H195" s="180" t="str">
        <f aca="false">IF((D195="h"),F195," ")</f>
        <v> </v>
      </c>
      <c r="I195" s="180" t="str">
        <f aca="false">IF((D195="r"),F195," ")</f>
        <v> </v>
      </c>
      <c r="J195" s="180" t="str">
        <f aca="false">IF((D195="t"),F195," ")</f>
        <v> </v>
      </c>
      <c r="K195" s="180" t="str">
        <f aca="false">IF((D195="e"),F195," ")</f>
        <v> </v>
      </c>
      <c r="L195" s="180" t="str">
        <f aca="false">IF((D195="p"),F195," ")</f>
        <v> </v>
      </c>
      <c r="M195" s="180" t="str">
        <f aca="false">IF((D195="g"),F195," ")</f>
        <v> </v>
      </c>
      <c r="N195" s="180" t="str">
        <f aca="false">IF((D195="a"),F195," ")</f>
        <v> </v>
      </c>
      <c r="O195" s="180" t="str">
        <f aca="false">IF((D195="l"),F195," ")</f>
        <v> </v>
      </c>
      <c r="P195" s="180" t="str">
        <f aca="false">IF((D195="i"),F195," ")</f>
        <v> </v>
      </c>
      <c r="Q195" s="180" t="str">
        <f aca="false">IF((D195="b"),F195," ")</f>
        <v> </v>
      </c>
      <c r="R195" s="180" t="str">
        <f aca="false">IF((D195="o"),F195," ")</f>
        <v> </v>
      </c>
      <c r="S195" s="180" t="str">
        <f aca="false">IF((D195="f"),F195," ")</f>
        <v> </v>
      </c>
      <c r="U195" s="371"/>
    </row>
    <row r="196" customFormat="false" ht="12.75" hidden="false" customHeight="false" outlineLevel="0" collapsed="false">
      <c r="D196" s="371" t="str">
        <f aca="false">IF((F196&lt;&gt;0),"Enter Letter"," ")</f>
        <v> </v>
      </c>
      <c r="G196" s="180" t="str">
        <f aca="false">IF((D196="d"),F196," ")</f>
        <v> </v>
      </c>
      <c r="H196" s="180" t="str">
        <f aca="false">IF((D196="h"),F196," ")</f>
        <v> </v>
      </c>
      <c r="I196" s="180" t="str">
        <f aca="false">IF((D196="r"),F196," ")</f>
        <v> </v>
      </c>
      <c r="J196" s="180" t="str">
        <f aca="false">IF((D196="t"),F196," ")</f>
        <v> </v>
      </c>
      <c r="K196" s="180" t="str">
        <f aca="false">IF((D196="e"),F196," ")</f>
        <v> </v>
      </c>
      <c r="L196" s="180" t="str">
        <f aca="false">IF((D196="p"),F196," ")</f>
        <v> </v>
      </c>
      <c r="M196" s="180" t="str">
        <f aca="false">IF((D196="g"),F196," ")</f>
        <v> </v>
      </c>
      <c r="N196" s="180" t="str">
        <f aca="false">IF((D196="a"),F196," ")</f>
        <v> </v>
      </c>
      <c r="O196" s="180" t="str">
        <f aca="false">IF((D196="l"),F196," ")</f>
        <v> </v>
      </c>
      <c r="P196" s="180" t="str">
        <f aca="false">IF((D196="i"),F196," ")</f>
        <v> </v>
      </c>
      <c r="Q196" s="180" t="str">
        <f aca="false">IF((D196="b"),F196," ")</f>
        <v> </v>
      </c>
      <c r="R196" s="180" t="str">
        <f aca="false">IF((D196="o"),F196," ")</f>
        <v> </v>
      </c>
      <c r="S196" s="180" t="str">
        <f aca="false">IF((D196="f"),F196," ")</f>
        <v> </v>
      </c>
      <c r="U196" s="371"/>
    </row>
    <row r="197" customFormat="false" ht="12.75" hidden="false" customHeight="false" outlineLevel="0" collapsed="false">
      <c r="D197" s="371" t="str">
        <f aca="false">IF((F197&lt;&gt;0),"Enter Letter"," ")</f>
        <v> </v>
      </c>
      <c r="G197" s="180" t="str">
        <f aca="false">IF((D197="d"),F197," ")</f>
        <v> </v>
      </c>
      <c r="H197" s="180" t="str">
        <f aca="false">IF((D197="h"),F197," ")</f>
        <v> </v>
      </c>
      <c r="I197" s="180" t="str">
        <f aca="false">IF((D197="r"),F197," ")</f>
        <v> </v>
      </c>
      <c r="J197" s="180" t="str">
        <f aca="false">IF((D197="t"),F197," ")</f>
        <v> </v>
      </c>
      <c r="K197" s="180" t="str">
        <f aca="false">IF((D197="e"),F197," ")</f>
        <v> </v>
      </c>
      <c r="L197" s="180" t="str">
        <f aca="false">IF((D197="p"),F197," ")</f>
        <v> </v>
      </c>
      <c r="M197" s="180" t="str">
        <f aca="false">IF((D197="g"),F197," ")</f>
        <v> </v>
      </c>
      <c r="N197" s="180" t="str">
        <f aca="false">IF((D197="a"),F197," ")</f>
        <v> </v>
      </c>
      <c r="O197" s="180" t="str">
        <f aca="false">IF((D197="l"),F197," ")</f>
        <v> </v>
      </c>
      <c r="P197" s="180" t="str">
        <f aca="false">IF((D197="i"),F197," ")</f>
        <v> </v>
      </c>
      <c r="Q197" s="180" t="str">
        <f aca="false">IF((D197="b"),F197," ")</f>
        <v> </v>
      </c>
      <c r="R197" s="180" t="str">
        <f aca="false">IF((D197="o"),F197," ")</f>
        <v> </v>
      </c>
      <c r="S197" s="180" t="str">
        <f aca="false">IF((D197="f"),F197," ")</f>
        <v> </v>
      </c>
      <c r="U197" s="371"/>
    </row>
    <row r="198" customFormat="false" ht="12.75" hidden="false" customHeight="false" outlineLevel="0" collapsed="false">
      <c r="D198" s="371" t="str">
        <f aca="false">IF((F198&lt;&gt;0),"Enter Letter"," ")</f>
        <v> </v>
      </c>
      <c r="G198" s="180" t="str">
        <f aca="false">IF((D198="d"),F198," ")</f>
        <v> </v>
      </c>
      <c r="H198" s="180" t="str">
        <f aca="false">IF((D198="h"),F198," ")</f>
        <v> </v>
      </c>
      <c r="I198" s="180" t="str">
        <f aca="false">IF((D198="r"),F198," ")</f>
        <v> </v>
      </c>
      <c r="J198" s="180" t="str">
        <f aca="false">IF((D198="t"),F198," ")</f>
        <v> </v>
      </c>
      <c r="K198" s="180" t="str">
        <f aca="false">IF((D198="e"),F198," ")</f>
        <v> </v>
      </c>
      <c r="L198" s="180" t="str">
        <f aca="false">IF((D198="p"),F198," ")</f>
        <v> </v>
      </c>
      <c r="M198" s="180" t="str">
        <f aca="false">IF((D198="g"),F198," ")</f>
        <v> </v>
      </c>
      <c r="N198" s="180" t="str">
        <f aca="false">IF((D198="a"),F198," ")</f>
        <v> </v>
      </c>
      <c r="O198" s="180" t="str">
        <f aca="false">IF((D198="l"),F198," ")</f>
        <v> </v>
      </c>
      <c r="P198" s="180" t="str">
        <f aca="false">IF((D198="i"),F198," ")</f>
        <v> </v>
      </c>
      <c r="Q198" s="180" t="str">
        <f aca="false">IF((D198="b"),F198," ")</f>
        <v> </v>
      </c>
      <c r="R198" s="180" t="str">
        <f aca="false">IF((D198="o"),F198," ")</f>
        <v> </v>
      </c>
      <c r="S198" s="180" t="str">
        <f aca="false">IF((D198="f"),F198," ")</f>
        <v> </v>
      </c>
      <c r="U198" s="371"/>
    </row>
    <row r="199" customFormat="false" ht="12.75" hidden="false" customHeight="false" outlineLevel="0" collapsed="false">
      <c r="D199" s="371" t="str">
        <f aca="false">IF((F199&lt;&gt;0),"Enter Letter"," ")</f>
        <v> </v>
      </c>
      <c r="G199" s="180" t="str">
        <f aca="false">IF((D199="d"),F199," ")</f>
        <v> </v>
      </c>
      <c r="H199" s="180" t="str">
        <f aca="false">IF((D199="h"),F199," ")</f>
        <v> </v>
      </c>
      <c r="I199" s="180" t="str">
        <f aca="false">IF((D199="r"),F199," ")</f>
        <v> </v>
      </c>
      <c r="J199" s="180" t="str">
        <f aca="false">IF((D199="t"),F199," ")</f>
        <v> </v>
      </c>
      <c r="K199" s="180" t="str">
        <f aca="false">IF((D199="e"),F199," ")</f>
        <v> </v>
      </c>
      <c r="L199" s="180" t="str">
        <f aca="false">IF((D199="p"),F199," ")</f>
        <v> </v>
      </c>
      <c r="M199" s="180" t="str">
        <f aca="false">IF((D199="g"),F199," ")</f>
        <v> </v>
      </c>
      <c r="N199" s="180" t="str">
        <f aca="false">IF((D199="a"),F199," ")</f>
        <v> </v>
      </c>
      <c r="O199" s="180" t="str">
        <f aca="false">IF((D199="l"),F199," ")</f>
        <v> </v>
      </c>
      <c r="P199" s="180" t="str">
        <f aca="false">IF((D199="i"),F199," ")</f>
        <v> </v>
      </c>
      <c r="Q199" s="180" t="str">
        <f aca="false">IF((D199="b"),F199," ")</f>
        <v> </v>
      </c>
      <c r="R199" s="180" t="str">
        <f aca="false">IF((D199="o"),F199," ")</f>
        <v> </v>
      </c>
      <c r="S199" s="180" t="str">
        <f aca="false">IF((D199="f"),F199," ")</f>
        <v> </v>
      </c>
      <c r="U199" s="371"/>
    </row>
    <row r="200" customFormat="false" ht="12.75" hidden="false" customHeight="false" outlineLevel="0" collapsed="false">
      <c r="D200" s="371" t="str">
        <f aca="false">IF((F200&lt;&gt;0),"Enter Letter"," ")</f>
        <v> </v>
      </c>
      <c r="G200" s="180" t="str">
        <f aca="false">IF((D200="d"),F200," ")</f>
        <v> </v>
      </c>
      <c r="H200" s="180" t="str">
        <f aca="false">IF((D200="h"),F200," ")</f>
        <v> </v>
      </c>
      <c r="I200" s="180" t="str">
        <f aca="false">IF((D200="r"),F200," ")</f>
        <v> </v>
      </c>
      <c r="J200" s="180" t="str">
        <f aca="false">IF((D200="t"),F200," ")</f>
        <v> </v>
      </c>
      <c r="K200" s="180" t="str">
        <f aca="false">IF((D200="e"),F200," ")</f>
        <v> </v>
      </c>
      <c r="L200" s="180" t="str">
        <f aca="false">IF((D200="p"),F200," ")</f>
        <v> </v>
      </c>
      <c r="M200" s="180" t="str">
        <f aca="false">IF((D200="g"),F200," ")</f>
        <v> </v>
      </c>
      <c r="N200" s="180" t="str">
        <f aca="false">IF((D200="a"),F200," ")</f>
        <v> </v>
      </c>
      <c r="O200" s="180" t="str">
        <f aca="false">IF((D200="l"),F200," ")</f>
        <v> </v>
      </c>
      <c r="P200" s="180" t="str">
        <f aca="false">IF((D200="i"),F200," ")</f>
        <v> </v>
      </c>
      <c r="Q200" s="180" t="str">
        <f aca="false">IF((D200="b"),F200," ")</f>
        <v> </v>
      </c>
      <c r="R200" s="180" t="str">
        <f aca="false">IF((D200="o"),F200," ")</f>
        <v> </v>
      </c>
      <c r="S200" s="180" t="str">
        <f aca="false">IF((D200="f"),F200," ")</f>
        <v> </v>
      </c>
      <c r="U200" s="371"/>
    </row>
    <row r="201" customFormat="false" ht="12.75" hidden="false" customHeight="false" outlineLevel="0" collapsed="false">
      <c r="D201" s="371" t="str">
        <f aca="false">IF((F201&lt;&gt;0),"Enter Letter"," ")</f>
        <v> </v>
      </c>
      <c r="G201" s="180" t="str">
        <f aca="false">IF((D201="d"),F201," ")</f>
        <v> </v>
      </c>
      <c r="H201" s="180" t="str">
        <f aca="false">IF((D201="h"),F201," ")</f>
        <v> </v>
      </c>
      <c r="I201" s="180" t="str">
        <f aca="false">IF((D201="r"),F201," ")</f>
        <v> </v>
      </c>
      <c r="J201" s="180" t="str">
        <f aca="false">IF((D201="t"),F201," ")</f>
        <v> </v>
      </c>
      <c r="K201" s="180" t="str">
        <f aca="false">IF((D201="e"),F201," ")</f>
        <v> </v>
      </c>
      <c r="L201" s="180" t="str">
        <f aca="false">IF((D201="p"),F201," ")</f>
        <v> </v>
      </c>
      <c r="M201" s="180" t="str">
        <f aca="false">IF((D201="g"),F201," ")</f>
        <v> </v>
      </c>
      <c r="N201" s="180" t="str">
        <f aca="false">IF((D201="a"),F201," ")</f>
        <v> </v>
      </c>
      <c r="O201" s="180" t="str">
        <f aca="false">IF((D201="l"),F201," ")</f>
        <v> </v>
      </c>
      <c r="P201" s="180" t="str">
        <f aca="false">IF((D201="i"),F201," ")</f>
        <v> </v>
      </c>
      <c r="Q201" s="180" t="str">
        <f aca="false">IF((D201="b"),F201," ")</f>
        <v> </v>
      </c>
      <c r="R201" s="180" t="str">
        <f aca="false">IF((D201="o"),F201," ")</f>
        <v> </v>
      </c>
      <c r="S201" s="180" t="str">
        <f aca="false">IF((D201="f"),F201," ")</f>
        <v> </v>
      </c>
      <c r="U201" s="371"/>
    </row>
    <row r="202" customFormat="false" ht="12.75" hidden="false" customHeight="false" outlineLevel="0" collapsed="false">
      <c r="D202" s="371" t="str">
        <f aca="false">IF((F202&lt;&gt;0),"Enter Letter"," ")</f>
        <v> </v>
      </c>
      <c r="G202" s="180" t="str">
        <f aca="false">IF((D202="d"),F202," ")</f>
        <v> </v>
      </c>
      <c r="H202" s="180" t="str">
        <f aca="false">IF((D202="h"),F202," ")</f>
        <v> </v>
      </c>
      <c r="I202" s="180" t="str">
        <f aca="false">IF((D202="r"),F202," ")</f>
        <v> </v>
      </c>
      <c r="J202" s="180" t="str">
        <f aca="false">IF((D202="t"),F202," ")</f>
        <v> </v>
      </c>
      <c r="K202" s="180" t="str">
        <f aca="false">IF((D202="e"),F202," ")</f>
        <v> </v>
      </c>
      <c r="L202" s="180" t="str">
        <f aca="false">IF((D202="p"),F202," ")</f>
        <v> </v>
      </c>
      <c r="M202" s="180" t="str">
        <f aca="false">IF((D202="g"),F202," ")</f>
        <v> </v>
      </c>
      <c r="N202" s="180" t="str">
        <f aca="false">IF((D202="a"),F202," ")</f>
        <v> </v>
      </c>
      <c r="O202" s="180" t="str">
        <f aca="false">IF((D202="l"),F202," ")</f>
        <v> </v>
      </c>
      <c r="P202" s="180" t="str">
        <f aca="false">IF((D202="i"),F202," ")</f>
        <v> </v>
      </c>
      <c r="Q202" s="180" t="str">
        <f aca="false">IF((D202="b"),F202," ")</f>
        <v> </v>
      </c>
      <c r="R202" s="180" t="str">
        <f aca="false">IF((D202="o"),F202," ")</f>
        <v> </v>
      </c>
      <c r="S202" s="180" t="str">
        <f aca="false">IF((D202="f"),F202," ")</f>
        <v> </v>
      </c>
      <c r="U202" s="371"/>
    </row>
    <row r="203" customFormat="false" ht="12.75" hidden="false" customHeight="false" outlineLevel="0" collapsed="false">
      <c r="D203" s="371" t="str">
        <f aca="false">IF((F203&lt;&gt;0),"Enter Letter"," ")</f>
        <v> </v>
      </c>
      <c r="G203" s="180" t="str">
        <f aca="false">IF((D203="d"),F203," ")</f>
        <v> </v>
      </c>
      <c r="H203" s="180" t="str">
        <f aca="false">IF((D203="h"),F203," ")</f>
        <v> </v>
      </c>
      <c r="I203" s="180" t="str">
        <f aca="false">IF((D203="r"),F203," ")</f>
        <v> </v>
      </c>
      <c r="J203" s="180" t="str">
        <f aca="false">IF((D203="t"),F203," ")</f>
        <v> </v>
      </c>
      <c r="K203" s="180" t="str">
        <f aca="false">IF((D203="e"),F203," ")</f>
        <v> </v>
      </c>
      <c r="L203" s="180" t="str">
        <f aca="false">IF((D203="p"),F203," ")</f>
        <v> </v>
      </c>
      <c r="M203" s="180" t="str">
        <f aca="false">IF((D203="g"),F203," ")</f>
        <v> </v>
      </c>
      <c r="N203" s="180" t="str">
        <f aca="false">IF((D203="a"),F203," ")</f>
        <v> </v>
      </c>
      <c r="O203" s="180" t="str">
        <f aca="false">IF((D203="l"),F203," ")</f>
        <v> </v>
      </c>
      <c r="P203" s="180" t="str">
        <f aca="false">IF((D203="i"),F203," ")</f>
        <v> </v>
      </c>
      <c r="Q203" s="180" t="str">
        <f aca="false">IF((D203="b"),F203," ")</f>
        <v> </v>
      </c>
      <c r="R203" s="180" t="str">
        <f aca="false">IF((D203="o"),F203," ")</f>
        <v> </v>
      </c>
      <c r="S203" s="180" t="str">
        <f aca="false">IF((D203="f"),F203," ")</f>
        <v> </v>
      </c>
      <c r="U203" s="371"/>
    </row>
    <row r="204" customFormat="false" ht="12.75" hidden="false" customHeight="false" outlineLevel="0" collapsed="false">
      <c r="D204" s="371" t="str">
        <f aca="false">IF((F204&lt;&gt;0),"Enter Letter"," ")</f>
        <v> </v>
      </c>
      <c r="G204" s="180" t="str">
        <f aca="false">IF((D204="d"),F204," ")</f>
        <v> </v>
      </c>
      <c r="H204" s="180" t="str">
        <f aca="false">IF((D204="h"),F204," ")</f>
        <v> </v>
      </c>
      <c r="I204" s="180" t="str">
        <f aca="false">IF((D204="r"),F204," ")</f>
        <v> </v>
      </c>
      <c r="J204" s="180" t="str">
        <f aca="false">IF((D204="t"),F204," ")</f>
        <v> </v>
      </c>
      <c r="K204" s="180" t="str">
        <f aca="false">IF((D204="e"),F204," ")</f>
        <v> </v>
      </c>
      <c r="L204" s="180" t="str">
        <f aca="false">IF((D204="p"),F204," ")</f>
        <v> </v>
      </c>
      <c r="M204" s="180" t="str">
        <f aca="false">IF((D204="g"),F204," ")</f>
        <v> </v>
      </c>
      <c r="N204" s="180" t="str">
        <f aca="false">IF((D204="a"),F204," ")</f>
        <v> </v>
      </c>
      <c r="O204" s="180" t="str">
        <f aca="false">IF((D204="l"),F204," ")</f>
        <v> </v>
      </c>
      <c r="P204" s="180" t="str">
        <f aca="false">IF((D204="i"),F204," ")</f>
        <v> </v>
      </c>
      <c r="Q204" s="180" t="str">
        <f aca="false">IF((D204="b"),F204," ")</f>
        <v> </v>
      </c>
      <c r="R204" s="180" t="str">
        <f aca="false">IF((D204="o"),F204," ")</f>
        <v> </v>
      </c>
      <c r="S204" s="180" t="str">
        <f aca="false">IF((D204="f"),F204," ")</f>
        <v> </v>
      </c>
      <c r="U204" s="371"/>
    </row>
    <row r="205" customFormat="false" ht="12.75" hidden="false" customHeight="false" outlineLevel="0" collapsed="false">
      <c r="U205" s="371"/>
    </row>
    <row r="206" customFormat="false" ht="12.75" hidden="false" customHeight="false" outlineLevel="0" collapsed="false">
      <c r="U206" s="371"/>
    </row>
    <row r="207" customFormat="false" ht="12.75" hidden="false" customHeight="false" outlineLevel="0" collapsed="false">
      <c r="U207" s="371"/>
    </row>
    <row r="208" customFormat="false" ht="12.75" hidden="false" customHeight="false" outlineLevel="0" collapsed="false">
      <c r="U208" s="371"/>
    </row>
    <row r="209" customFormat="false" ht="12.75" hidden="false" customHeight="false" outlineLevel="0" collapsed="false">
      <c r="U209" s="371"/>
    </row>
    <row r="210" customFormat="false" ht="12.75" hidden="false" customHeight="false" outlineLevel="0" collapsed="false">
      <c r="U210" s="371"/>
    </row>
    <row r="211" customFormat="false" ht="12.75" hidden="false" customHeight="false" outlineLevel="0" collapsed="false">
      <c r="U211" s="371"/>
    </row>
    <row r="212" customFormat="false" ht="12.75" hidden="false" customHeight="false" outlineLevel="0" collapsed="false">
      <c r="U212" s="371"/>
    </row>
    <row r="213" customFormat="false" ht="12.75" hidden="false" customHeight="false" outlineLevel="0" collapsed="false">
      <c r="U213" s="371"/>
    </row>
    <row r="214" customFormat="false" ht="12.75" hidden="false" customHeight="false" outlineLevel="0" collapsed="false">
      <c r="U214" s="371"/>
    </row>
    <row r="215" customFormat="false" ht="12.75" hidden="false" customHeight="false" outlineLevel="0" collapsed="false">
      <c r="U215" s="371"/>
    </row>
    <row r="216" customFormat="false" ht="12.75" hidden="false" customHeight="false" outlineLevel="0" collapsed="false">
      <c r="U216" s="371"/>
    </row>
    <row r="217" customFormat="false" ht="12.75" hidden="false" customHeight="false" outlineLevel="0" collapsed="false">
      <c r="U217" s="371"/>
    </row>
    <row r="218" customFormat="false" ht="12.75" hidden="false" customHeight="false" outlineLevel="0" collapsed="false">
      <c r="U218" s="371"/>
    </row>
    <row r="219" customFormat="false" ht="12.75" hidden="false" customHeight="false" outlineLevel="0" collapsed="false">
      <c r="U219" s="371"/>
    </row>
    <row r="220" customFormat="false" ht="12.75" hidden="false" customHeight="false" outlineLevel="0" collapsed="false">
      <c r="U220" s="371"/>
    </row>
    <row r="221" customFormat="false" ht="12.75" hidden="false" customHeight="false" outlineLevel="0" collapsed="false">
      <c r="U221" s="371"/>
    </row>
    <row r="222" customFormat="false" ht="12.75" hidden="false" customHeight="false" outlineLevel="0" collapsed="false">
      <c r="U222" s="371"/>
    </row>
    <row r="223" customFormat="false" ht="12.75" hidden="false" customHeight="false" outlineLevel="0" collapsed="false">
      <c r="U223" s="371"/>
    </row>
    <row r="224" customFormat="false" ht="12.75" hidden="false" customHeight="false" outlineLevel="0" collapsed="false">
      <c r="U224" s="371"/>
    </row>
    <row r="225" customFormat="false" ht="12.75" hidden="false" customHeight="false" outlineLevel="0" collapsed="false">
      <c r="U225" s="371"/>
    </row>
    <row r="226" customFormat="false" ht="12.75" hidden="false" customHeight="false" outlineLevel="0" collapsed="false">
      <c r="U226" s="371"/>
    </row>
    <row r="227" customFormat="false" ht="12.75" hidden="false" customHeight="false" outlineLevel="0" collapsed="false">
      <c r="U227" s="371"/>
    </row>
    <row r="228" customFormat="false" ht="12.75" hidden="false" customHeight="false" outlineLevel="0" collapsed="false">
      <c r="U228" s="371"/>
    </row>
    <row r="229" customFormat="false" ht="12.75" hidden="false" customHeight="false" outlineLevel="0" collapsed="false">
      <c r="U229" s="371"/>
    </row>
    <row r="230" customFormat="false" ht="12.75" hidden="false" customHeight="false" outlineLevel="0" collapsed="false">
      <c r="U230" s="371"/>
    </row>
    <row r="231" customFormat="false" ht="12.75" hidden="false" customHeight="false" outlineLevel="0" collapsed="false">
      <c r="U231" s="371"/>
    </row>
    <row r="232" customFormat="false" ht="12.75" hidden="false" customHeight="false" outlineLevel="0" collapsed="false">
      <c r="U232" s="371"/>
    </row>
    <row r="233" customFormat="false" ht="12.75" hidden="false" customHeight="false" outlineLevel="0" collapsed="false">
      <c r="U233" s="371"/>
    </row>
    <row r="234" customFormat="false" ht="12.75" hidden="false" customHeight="false" outlineLevel="0" collapsed="false">
      <c r="U234" s="371"/>
    </row>
    <row r="235" customFormat="false" ht="12.75" hidden="false" customHeight="false" outlineLevel="0" collapsed="false">
      <c r="U235" s="371"/>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customHeight="false" zeroHeight="false" outlineLevelRow="0" outlineLevelCol="0"/>
  <cols>
    <col collapsed="false" customWidth="true" hidden="false" outlineLevel="0" max="1" min="1" style="344" width="9.66"/>
    <col collapsed="false" customWidth="true" hidden="false" outlineLevel="0" max="2" min="2" style="345" width="14.66"/>
    <col collapsed="false" customWidth="true" hidden="false" outlineLevel="0" max="3" min="3" style="180" width="13.66"/>
    <col collapsed="false" customWidth="true" hidden="false" outlineLevel="0" max="4" min="4" style="346" width="12.66"/>
    <col collapsed="false" customWidth="true" hidden="false" outlineLevel="0" max="5" min="5" style="347" width="12.66"/>
    <col collapsed="false" customWidth="true" hidden="false" outlineLevel="0" max="6" min="6" style="180" width="12.66"/>
    <col collapsed="false" customWidth="false" hidden="false" outlineLevel="0" max="257" min="7" style="180" width="9.15"/>
  </cols>
  <sheetData>
    <row r="1" customFormat="false" ht="12.75" hidden="false" customHeight="true" outlineLevel="0" collapsed="false">
      <c r="A1" s="348" t="s">
        <v>240</v>
      </c>
      <c r="B1" s="349" t="s">
        <v>241</v>
      </c>
      <c r="C1" s="350" t="s">
        <v>242</v>
      </c>
      <c r="D1" s="351" t="n">
        <f aca="false">SUM(D4:D58)</f>
        <v>0</v>
      </c>
      <c r="E1" s="350" t="n">
        <f aca="false">SUM(E4:E58)/2</f>
        <v>3000</v>
      </c>
      <c r="F1" s="350" t="n">
        <f aca="false">SUM(F4:F58)/2</f>
        <v>0</v>
      </c>
      <c r="G1" s="352"/>
      <c r="H1" s="352"/>
      <c r="I1" s="352"/>
      <c r="J1" s="352"/>
      <c r="K1" s="352"/>
      <c r="L1" s="352"/>
      <c r="M1" s="352"/>
      <c r="N1" s="352"/>
      <c r="O1" s="352"/>
      <c r="P1" s="352"/>
      <c r="Q1" s="352"/>
      <c r="R1" s="352"/>
      <c r="S1" s="352"/>
      <c r="T1" s="352"/>
      <c r="U1" s="352"/>
      <c r="V1" s="352"/>
      <c r="W1" s="352"/>
      <c r="X1" s="352"/>
      <c r="Y1" s="352"/>
      <c r="Z1" s="352"/>
      <c r="AA1" s="352"/>
      <c r="AB1" s="352"/>
      <c r="AC1" s="352"/>
      <c r="AD1" s="352"/>
      <c r="AE1" s="352"/>
      <c r="AF1" s="352"/>
      <c r="AG1" s="352"/>
      <c r="AH1" s="352"/>
      <c r="AI1" s="352"/>
      <c r="AJ1" s="352"/>
      <c r="AK1" s="352"/>
      <c r="AL1" s="352"/>
      <c r="AM1" s="352"/>
      <c r="AN1" s="352"/>
      <c r="AO1" s="352"/>
      <c r="AP1" s="352"/>
      <c r="AQ1" s="352"/>
      <c r="AR1" s="352"/>
      <c r="AS1" s="352"/>
      <c r="AT1" s="352"/>
      <c r="AU1" s="352"/>
      <c r="AV1" s="352"/>
      <c r="AW1" s="352"/>
      <c r="AX1" s="352"/>
      <c r="AY1" s="352"/>
      <c r="AZ1" s="352"/>
      <c r="BA1" s="352"/>
      <c r="BB1" s="352"/>
      <c r="BC1" s="352"/>
      <c r="BD1" s="352"/>
      <c r="BE1" s="352"/>
      <c r="BF1" s="352"/>
      <c r="BG1" s="352"/>
      <c r="BH1" s="352"/>
      <c r="BI1" s="352"/>
      <c r="BJ1" s="352"/>
      <c r="BK1" s="352"/>
      <c r="BL1" s="352"/>
      <c r="BM1" s="352"/>
      <c r="BN1" s="352"/>
      <c r="BO1" s="352"/>
      <c r="BP1" s="352"/>
      <c r="BQ1" s="352"/>
      <c r="BR1" s="352"/>
      <c r="BS1" s="352"/>
      <c r="BT1" s="352"/>
      <c r="BU1" s="352"/>
      <c r="BV1" s="352"/>
      <c r="BW1" s="352"/>
      <c r="BX1" s="352"/>
      <c r="BY1" s="352"/>
      <c r="BZ1" s="352"/>
      <c r="CA1" s="352"/>
      <c r="CB1" s="352"/>
      <c r="CC1" s="352"/>
      <c r="CD1" s="352"/>
      <c r="CE1" s="352"/>
      <c r="CF1" s="352"/>
      <c r="CG1" s="352"/>
      <c r="CH1" s="352"/>
      <c r="CI1" s="352"/>
      <c r="CJ1" s="352"/>
      <c r="CK1" s="352"/>
      <c r="CL1" s="352"/>
      <c r="CM1" s="352"/>
      <c r="CN1" s="352"/>
      <c r="CO1" s="352"/>
      <c r="CP1" s="352"/>
      <c r="CQ1" s="352"/>
      <c r="CR1" s="352"/>
      <c r="CS1" s="352"/>
      <c r="CT1" s="352"/>
      <c r="CU1" s="352"/>
      <c r="CV1" s="352"/>
      <c r="CW1" s="352"/>
      <c r="CX1" s="352"/>
      <c r="CY1" s="352"/>
      <c r="CZ1" s="352"/>
      <c r="DA1" s="352"/>
      <c r="DB1" s="352"/>
      <c r="DC1" s="352"/>
      <c r="DD1" s="352"/>
      <c r="DE1" s="352"/>
      <c r="DF1" s="352"/>
      <c r="DG1" s="352"/>
      <c r="DH1" s="352"/>
      <c r="DI1" s="352"/>
      <c r="DJ1" s="352"/>
      <c r="DK1" s="352"/>
      <c r="DL1" s="352"/>
      <c r="DM1" s="352"/>
      <c r="DN1" s="352"/>
      <c r="DO1" s="352"/>
      <c r="DP1" s="352"/>
      <c r="DQ1" s="352"/>
      <c r="DR1" s="352"/>
      <c r="DS1" s="352"/>
      <c r="DT1" s="352"/>
      <c r="DU1" s="352"/>
      <c r="DV1" s="352"/>
      <c r="DW1" s="352"/>
      <c r="DX1" s="352"/>
      <c r="DY1" s="352"/>
      <c r="DZ1" s="352"/>
      <c r="EA1" s="352"/>
      <c r="EB1" s="352"/>
      <c r="EC1" s="352"/>
      <c r="ED1" s="352"/>
      <c r="EE1" s="352"/>
      <c r="EF1" s="352"/>
      <c r="EG1" s="352"/>
      <c r="EH1" s="352"/>
      <c r="EI1" s="352"/>
      <c r="EJ1" s="352"/>
      <c r="EK1" s="352"/>
      <c r="EL1" s="352"/>
      <c r="EM1" s="352"/>
      <c r="EN1" s="352"/>
      <c r="EO1" s="352"/>
      <c r="EP1" s="352"/>
      <c r="EQ1" s="352"/>
      <c r="ER1" s="352"/>
      <c r="ES1" s="352"/>
      <c r="ET1" s="352"/>
      <c r="EU1" s="352"/>
      <c r="EV1" s="352"/>
      <c r="EW1" s="352"/>
      <c r="EX1" s="352"/>
      <c r="EY1" s="352"/>
      <c r="EZ1" s="352"/>
      <c r="FA1" s="352"/>
      <c r="FB1" s="352"/>
      <c r="FC1" s="352"/>
      <c r="FD1" s="352"/>
      <c r="FE1" s="352"/>
      <c r="FF1" s="352"/>
      <c r="FG1" s="352"/>
      <c r="FH1" s="352"/>
      <c r="FI1" s="352"/>
      <c r="FJ1" s="352"/>
      <c r="FK1" s="352"/>
      <c r="FL1" s="352"/>
      <c r="FM1" s="352"/>
      <c r="FN1" s="352"/>
      <c r="FO1" s="352"/>
      <c r="FP1" s="352"/>
      <c r="FQ1" s="352"/>
      <c r="FR1" s="352"/>
      <c r="FS1" s="352"/>
      <c r="FT1" s="352"/>
      <c r="FU1" s="352"/>
      <c r="FV1" s="352"/>
      <c r="FW1" s="352"/>
      <c r="FX1" s="352"/>
      <c r="FY1" s="352"/>
      <c r="FZ1" s="352"/>
      <c r="GA1" s="352"/>
      <c r="GB1" s="352"/>
      <c r="GC1" s="352"/>
      <c r="GD1" s="352"/>
      <c r="GE1" s="352"/>
      <c r="GF1" s="352"/>
      <c r="GG1" s="352"/>
      <c r="GH1" s="352"/>
      <c r="GI1" s="352"/>
      <c r="GJ1" s="352"/>
      <c r="GK1" s="352"/>
      <c r="GL1" s="352"/>
      <c r="GM1" s="352"/>
      <c r="GN1" s="352"/>
      <c r="GO1" s="352"/>
      <c r="GP1" s="352"/>
      <c r="GQ1" s="352"/>
      <c r="GR1" s="352"/>
      <c r="GS1" s="352"/>
      <c r="GT1" s="352"/>
      <c r="GU1" s="352"/>
      <c r="GV1" s="352"/>
      <c r="GW1" s="352"/>
      <c r="GX1" s="352"/>
      <c r="GY1" s="352"/>
      <c r="GZ1" s="352"/>
      <c r="HA1" s="352"/>
      <c r="HB1" s="352"/>
      <c r="HC1" s="352"/>
      <c r="HD1" s="352"/>
      <c r="HE1" s="352"/>
      <c r="HF1" s="352"/>
      <c r="HG1" s="352"/>
      <c r="HH1" s="352"/>
      <c r="HI1" s="352"/>
      <c r="HJ1" s="352"/>
      <c r="HK1" s="352"/>
      <c r="HL1" s="352"/>
      <c r="HM1" s="352"/>
      <c r="HN1" s="352"/>
      <c r="HO1" s="352"/>
      <c r="HP1" s="352"/>
      <c r="HQ1" s="352"/>
      <c r="HR1" s="352"/>
      <c r="HS1" s="352"/>
      <c r="HT1" s="352"/>
      <c r="HU1" s="352"/>
      <c r="HV1" s="352"/>
      <c r="HW1" s="352"/>
      <c r="HX1" s="352"/>
      <c r="HY1" s="352"/>
      <c r="HZ1" s="352"/>
      <c r="IA1" s="352"/>
      <c r="IB1" s="352"/>
      <c r="IC1" s="352"/>
      <c r="ID1" s="352"/>
      <c r="IE1" s="352"/>
      <c r="IF1" s="352"/>
      <c r="IG1" s="352"/>
      <c r="IH1" s="352"/>
      <c r="II1" s="352"/>
      <c r="IJ1" s="352"/>
      <c r="IK1" s="352"/>
      <c r="IL1" s="352"/>
      <c r="IM1" s="352"/>
      <c r="IN1" s="352"/>
      <c r="IO1" s="352"/>
      <c r="IP1" s="352"/>
      <c r="IQ1" s="352"/>
      <c r="IR1" s="352"/>
      <c r="IS1" s="352"/>
      <c r="IT1" s="352"/>
      <c r="IU1" s="352"/>
      <c r="IV1" s="352"/>
      <c r="IW1" s="352"/>
    </row>
    <row r="2" customFormat="false" ht="12.75" hidden="false" customHeight="true" outlineLevel="0" collapsed="false">
      <c r="A2" s="348"/>
      <c r="B2" s="349"/>
      <c r="C2" s="353" t="s">
        <v>243</v>
      </c>
      <c r="D2" s="354" t="s">
        <v>244</v>
      </c>
      <c r="E2" s="353" t="s">
        <v>245</v>
      </c>
      <c r="F2" s="353" t="s">
        <v>246</v>
      </c>
      <c r="G2" s="352"/>
      <c r="H2" s="352"/>
      <c r="I2" s="352"/>
      <c r="J2" s="352"/>
      <c r="K2" s="352"/>
      <c r="L2" s="352"/>
      <c r="M2" s="352"/>
      <c r="N2" s="352"/>
      <c r="O2" s="352"/>
      <c r="P2" s="352"/>
      <c r="Q2" s="352"/>
      <c r="R2" s="352"/>
      <c r="S2" s="352"/>
      <c r="T2" s="352"/>
      <c r="U2" s="352"/>
      <c r="V2" s="352"/>
      <c r="W2" s="352"/>
      <c r="X2" s="352"/>
      <c r="Y2" s="352"/>
      <c r="Z2" s="352"/>
      <c r="AA2" s="352"/>
      <c r="AB2" s="352"/>
      <c r="AC2" s="352"/>
      <c r="AD2" s="352"/>
      <c r="AE2" s="352"/>
      <c r="AF2" s="352"/>
      <c r="AG2" s="352"/>
      <c r="AH2" s="352"/>
      <c r="AI2" s="352"/>
      <c r="AJ2" s="352"/>
      <c r="AK2" s="352"/>
      <c r="AL2" s="352"/>
      <c r="AM2" s="352"/>
      <c r="AN2" s="352"/>
      <c r="AO2" s="352"/>
      <c r="AP2" s="352"/>
      <c r="AQ2" s="352"/>
      <c r="AR2" s="352"/>
      <c r="AS2" s="352"/>
      <c r="AT2" s="352"/>
      <c r="AU2" s="352"/>
      <c r="AV2" s="352"/>
      <c r="AW2" s="352"/>
      <c r="AX2" s="352"/>
      <c r="AY2" s="352"/>
      <c r="AZ2" s="352"/>
      <c r="BA2" s="352"/>
      <c r="BB2" s="352"/>
      <c r="BC2" s="352"/>
      <c r="BD2" s="352"/>
      <c r="BE2" s="352"/>
      <c r="BF2" s="352"/>
      <c r="BG2" s="352"/>
      <c r="BH2" s="352"/>
      <c r="BI2" s="352"/>
      <c r="BJ2" s="352"/>
      <c r="BK2" s="352"/>
      <c r="BL2" s="352"/>
      <c r="BM2" s="352"/>
      <c r="BN2" s="352"/>
      <c r="BO2" s="352"/>
      <c r="BP2" s="352"/>
      <c r="BQ2" s="352"/>
      <c r="BR2" s="352"/>
      <c r="BS2" s="352"/>
      <c r="BT2" s="352"/>
      <c r="BU2" s="352"/>
      <c r="BV2" s="352"/>
      <c r="BW2" s="352"/>
      <c r="BX2" s="352"/>
      <c r="BY2" s="352"/>
      <c r="BZ2" s="352"/>
      <c r="CA2" s="352"/>
      <c r="CB2" s="352"/>
      <c r="CC2" s="352"/>
      <c r="CD2" s="352"/>
      <c r="CE2" s="352"/>
      <c r="CF2" s="352"/>
      <c r="CG2" s="352"/>
      <c r="CH2" s="352"/>
      <c r="CI2" s="352"/>
      <c r="CJ2" s="352"/>
      <c r="CK2" s="352"/>
      <c r="CL2" s="352"/>
      <c r="CM2" s="352"/>
      <c r="CN2" s="352"/>
      <c r="CO2" s="352"/>
      <c r="CP2" s="352"/>
      <c r="CQ2" s="352"/>
      <c r="CR2" s="352"/>
      <c r="CS2" s="352"/>
      <c r="CT2" s="352"/>
      <c r="CU2" s="352"/>
      <c r="CV2" s="352"/>
      <c r="CW2" s="352"/>
      <c r="CX2" s="352"/>
      <c r="CY2" s="352"/>
      <c r="CZ2" s="352"/>
      <c r="DA2" s="352"/>
      <c r="DB2" s="352"/>
      <c r="DC2" s="352"/>
      <c r="DD2" s="352"/>
      <c r="DE2" s="352"/>
      <c r="DF2" s="352"/>
      <c r="DG2" s="352"/>
      <c r="DH2" s="352"/>
      <c r="DI2" s="352"/>
      <c r="DJ2" s="352"/>
      <c r="DK2" s="352"/>
      <c r="DL2" s="352"/>
      <c r="DM2" s="352"/>
      <c r="DN2" s="352"/>
      <c r="DO2" s="352"/>
      <c r="DP2" s="352"/>
      <c r="DQ2" s="352"/>
      <c r="DR2" s="352"/>
      <c r="DS2" s="352"/>
      <c r="DT2" s="352"/>
      <c r="DU2" s="352"/>
      <c r="DV2" s="352"/>
      <c r="DW2" s="352"/>
      <c r="DX2" s="352"/>
      <c r="DY2" s="352"/>
      <c r="DZ2" s="352"/>
      <c r="EA2" s="352"/>
      <c r="EB2" s="352"/>
      <c r="EC2" s="352"/>
      <c r="ED2" s="352"/>
      <c r="EE2" s="352"/>
      <c r="EF2" s="352"/>
      <c r="EG2" s="352"/>
      <c r="EH2" s="352"/>
      <c r="EI2" s="352"/>
      <c r="EJ2" s="352"/>
      <c r="EK2" s="352"/>
      <c r="EL2" s="352"/>
      <c r="EM2" s="352"/>
      <c r="EN2" s="352"/>
      <c r="EO2" s="352"/>
      <c r="EP2" s="352"/>
      <c r="EQ2" s="352"/>
      <c r="ER2" s="352"/>
      <c r="ES2" s="352"/>
      <c r="ET2" s="352"/>
      <c r="EU2" s="352"/>
      <c r="EV2" s="352"/>
      <c r="EW2" s="352"/>
      <c r="EX2" s="352"/>
      <c r="EY2" s="352"/>
      <c r="EZ2" s="352"/>
      <c r="FA2" s="352"/>
      <c r="FB2" s="352"/>
      <c r="FC2" s="352"/>
      <c r="FD2" s="352"/>
      <c r="FE2" s="352"/>
      <c r="FF2" s="352"/>
      <c r="FG2" s="352"/>
      <c r="FH2" s="352"/>
      <c r="FI2" s="352"/>
      <c r="FJ2" s="352"/>
      <c r="FK2" s="352"/>
      <c r="FL2" s="352"/>
      <c r="FM2" s="352"/>
      <c r="FN2" s="352"/>
      <c r="FO2" s="352"/>
      <c r="FP2" s="352"/>
      <c r="FQ2" s="352"/>
      <c r="FR2" s="352"/>
      <c r="FS2" s="352"/>
      <c r="FT2" s="352"/>
      <c r="FU2" s="352"/>
      <c r="FV2" s="352"/>
      <c r="FW2" s="352"/>
      <c r="FX2" s="352"/>
      <c r="FY2" s="352"/>
      <c r="FZ2" s="352"/>
      <c r="GA2" s="352"/>
      <c r="GB2" s="352"/>
      <c r="GC2" s="352"/>
      <c r="GD2" s="352"/>
      <c r="GE2" s="352"/>
      <c r="GF2" s="352"/>
      <c r="GG2" s="352"/>
      <c r="GH2" s="352"/>
      <c r="GI2" s="352"/>
      <c r="GJ2" s="352"/>
      <c r="GK2" s="352"/>
      <c r="GL2" s="352"/>
      <c r="GM2" s="352"/>
      <c r="GN2" s="352"/>
      <c r="GO2" s="352"/>
      <c r="GP2" s="352"/>
      <c r="GQ2" s="352"/>
      <c r="GR2" s="352"/>
      <c r="GS2" s="352"/>
      <c r="GT2" s="352"/>
      <c r="GU2" s="352"/>
      <c r="GV2" s="352"/>
      <c r="GW2" s="352"/>
      <c r="GX2" s="352"/>
      <c r="GY2" s="352"/>
      <c r="GZ2" s="352"/>
      <c r="HA2" s="352"/>
      <c r="HB2" s="352"/>
      <c r="HC2" s="352"/>
      <c r="HD2" s="352"/>
      <c r="HE2" s="352"/>
      <c r="HF2" s="352"/>
      <c r="HG2" s="352"/>
      <c r="HH2" s="352"/>
      <c r="HI2" s="352"/>
      <c r="HJ2" s="352"/>
      <c r="HK2" s="352"/>
      <c r="HL2" s="352"/>
      <c r="HM2" s="352"/>
      <c r="HN2" s="352"/>
      <c r="HO2" s="352"/>
      <c r="HP2" s="352"/>
      <c r="HQ2" s="352"/>
      <c r="HR2" s="352"/>
      <c r="HS2" s="352"/>
      <c r="HT2" s="352"/>
      <c r="HU2" s="352"/>
      <c r="HV2" s="352"/>
      <c r="HW2" s="352"/>
      <c r="HX2" s="352"/>
      <c r="HY2" s="352"/>
      <c r="HZ2" s="352"/>
      <c r="IA2" s="352"/>
      <c r="IB2" s="352"/>
      <c r="IC2" s="352"/>
      <c r="ID2" s="352"/>
      <c r="IE2" s="352"/>
      <c r="IF2" s="352"/>
      <c r="IG2" s="352"/>
      <c r="IH2" s="352"/>
      <c r="II2" s="352"/>
      <c r="IJ2" s="352"/>
      <c r="IK2" s="352"/>
      <c r="IL2" s="352"/>
      <c r="IM2" s="352"/>
      <c r="IN2" s="352"/>
      <c r="IO2" s="352"/>
      <c r="IP2" s="352"/>
      <c r="IQ2" s="352"/>
      <c r="IR2" s="352"/>
      <c r="IS2" s="352"/>
      <c r="IT2" s="352"/>
      <c r="IU2" s="352"/>
      <c r="IV2" s="352"/>
      <c r="IW2" s="352"/>
    </row>
    <row r="3" customFormat="false" ht="24" hidden="false" customHeight="true" outlineLevel="0" collapsed="false">
      <c r="A3" s="348"/>
      <c r="B3" s="349"/>
      <c r="C3" s="353"/>
      <c r="D3" s="354"/>
      <c r="E3" s="353"/>
      <c r="F3" s="353"/>
      <c r="G3" s="355"/>
      <c r="H3" s="355"/>
      <c r="I3" s="355"/>
      <c r="J3" s="355"/>
      <c r="K3" s="355"/>
      <c r="L3" s="355"/>
      <c r="M3" s="355"/>
      <c r="N3" s="355"/>
      <c r="O3" s="355"/>
      <c r="P3" s="355"/>
      <c r="Q3" s="355"/>
      <c r="R3" s="355"/>
      <c r="S3" s="355"/>
      <c r="T3" s="355"/>
      <c r="U3" s="355"/>
      <c r="V3" s="355"/>
      <c r="W3" s="355"/>
      <c r="X3" s="355"/>
      <c r="Y3" s="355"/>
      <c r="Z3" s="355"/>
      <c r="AA3" s="355"/>
      <c r="AB3" s="355"/>
      <c r="AC3" s="355"/>
      <c r="AD3" s="355"/>
      <c r="AE3" s="355"/>
      <c r="AF3" s="355"/>
      <c r="AG3" s="355"/>
      <c r="AH3" s="355"/>
      <c r="AI3" s="355"/>
      <c r="AJ3" s="355"/>
      <c r="AK3" s="355"/>
      <c r="AL3" s="355"/>
      <c r="AM3" s="355"/>
      <c r="AN3" s="355"/>
      <c r="AO3" s="355"/>
      <c r="AP3" s="355"/>
      <c r="AQ3" s="355"/>
      <c r="AR3" s="355"/>
      <c r="AS3" s="355"/>
      <c r="AT3" s="355"/>
      <c r="AU3" s="355"/>
      <c r="AV3" s="355"/>
      <c r="AW3" s="355"/>
      <c r="AX3" s="355"/>
      <c r="AY3" s="355"/>
      <c r="AZ3" s="355"/>
      <c r="BA3" s="355"/>
      <c r="BB3" s="355"/>
      <c r="BC3" s="355"/>
      <c r="BD3" s="355"/>
      <c r="BE3" s="355"/>
      <c r="BF3" s="355"/>
      <c r="BG3" s="355"/>
      <c r="BH3" s="355"/>
      <c r="BI3" s="355"/>
      <c r="BJ3" s="355"/>
      <c r="BK3" s="355"/>
      <c r="BL3" s="355"/>
      <c r="BM3" s="355"/>
      <c r="BN3" s="355"/>
      <c r="BO3" s="355"/>
      <c r="BP3" s="355"/>
      <c r="BQ3" s="355"/>
      <c r="BR3" s="355"/>
      <c r="BS3" s="355"/>
      <c r="BT3" s="355"/>
      <c r="BU3" s="355"/>
      <c r="BV3" s="355"/>
      <c r="BW3" s="355"/>
      <c r="BX3" s="355"/>
      <c r="BY3" s="355"/>
      <c r="BZ3" s="355"/>
      <c r="CA3" s="355"/>
      <c r="CB3" s="355"/>
      <c r="CC3" s="355"/>
      <c r="CD3" s="355"/>
      <c r="CE3" s="355"/>
      <c r="CF3" s="355"/>
      <c r="CG3" s="355"/>
      <c r="CH3" s="355"/>
      <c r="CI3" s="355"/>
      <c r="CJ3" s="355"/>
      <c r="CK3" s="355"/>
      <c r="CL3" s="355"/>
      <c r="CM3" s="355"/>
      <c r="CN3" s="355"/>
      <c r="CO3" s="355"/>
      <c r="CP3" s="355"/>
      <c r="CQ3" s="355"/>
      <c r="CR3" s="355"/>
      <c r="CS3" s="355"/>
      <c r="CT3" s="355"/>
      <c r="CU3" s="355"/>
      <c r="CV3" s="355"/>
      <c r="CW3" s="355"/>
      <c r="CX3" s="355"/>
      <c r="CY3" s="355"/>
      <c r="CZ3" s="355"/>
      <c r="DA3" s="355"/>
      <c r="DB3" s="355"/>
      <c r="DC3" s="355"/>
      <c r="DD3" s="355"/>
      <c r="DE3" s="355"/>
      <c r="DF3" s="355"/>
      <c r="DG3" s="355"/>
      <c r="DH3" s="355"/>
      <c r="DI3" s="355"/>
      <c r="DJ3" s="355"/>
      <c r="DK3" s="355"/>
      <c r="DL3" s="355"/>
      <c r="DM3" s="355"/>
      <c r="DN3" s="355"/>
      <c r="DO3" s="355"/>
      <c r="DP3" s="355"/>
      <c r="DQ3" s="355"/>
      <c r="DR3" s="355"/>
      <c r="DS3" s="355"/>
      <c r="DT3" s="355"/>
      <c r="DU3" s="355"/>
      <c r="DV3" s="355"/>
      <c r="DW3" s="355"/>
      <c r="DX3" s="355"/>
      <c r="DY3" s="355"/>
      <c r="DZ3" s="355"/>
      <c r="EA3" s="355"/>
      <c r="EB3" s="355"/>
      <c r="EC3" s="355"/>
      <c r="ED3" s="355"/>
      <c r="EE3" s="355"/>
      <c r="EF3" s="355"/>
      <c r="EG3" s="355"/>
      <c r="EH3" s="355"/>
      <c r="EI3" s="355"/>
      <c r="EJ3" s="355"/>
      <c r="EK3" s="355"/>
      <c r="EL3" s="355"/>
      <c r="EM3" s="355"/>
      <c r="EN3" s="355"/>
      <c r="EO3" s="355"/>
      <c r="EP3" s="355"/>
      <c r="EQ3" s="355"/>
      <c r="ER3" s="355"/>
      <c r="ES3" s="355"/>
      <c r="ET3" s="355"/>
      <c r="EU3" s="355"/>
      <c r="EV3" s="355"/>
      <c r="EW3" s="355"/>
      <c r="EX3" s="355"/>
      <c r="EY3" s="355"/>
      <c r="EZ3" s="355"/>
      <c r="FA3" s="355"/>
      <c r="FB3" s="355"/>
      <c r="FC3" s="355"/>
      <c r="FD3" s="355"/>
      <c r="FE3" s="355"/>
      <c r="FF3" s="355"/>
      <c r="FG3" s="355"/>
      <c r="FH3" s="355"/>
      <c r="FI3" s="355"/>
      <c r="FJ3" s="355"/>
      <c r="FK3" s="355"/>
      <c r="FL3" s="355"/>
      <c r="FM3" s="355"/>
      <c r="FN3" s="355"/>
      <c r="FO3" s="355"/>
      <c r="FP3" s="355"/>
      <c r="FQ3" s="355"/>
      <c r="FR3" s="355"/>
      <c r="FS3" s="355"/>
      <c r="FT3" s="355"/>
      <c r="FU3" s="355"/>
      <c r="FV3" s="355"/>
      <c r="FW3" s="355"/>
      <c r="FX3" s="355"/>
      <c r="FY3" s="355"/>
      <c r="FZ3" s="355"/>
      <c r="GA3" s="355"/>
      <c r="GB3" s="355"/>
      <c r="GC3" s="355"/>
      <c r="GD3" s="355"/>
      <c r="GE3" s="355"/>
      <c r="GF3" s="355"/>
      <c r="GG3" s="355"/>
      <c r="GH3" s="355"/>
      <c r="GI3" s="355"/>
      <c r="GJ3" s="355"/>
      <c r="GK3" s="355"/>
      <c r="GL3" s="355"/>
      <c r="GM3" s="355"/>
      <c r="GN3" s="355"/>
      <c r="GO3" s="355"/>
      <c r="GP3" s="355"/>
      <c r="GQ3" s="355"/>
      <c r="GR3" s="355"/>
      <c r="GS3" s="355"/>
      <c r="GT3" s="355"/>
      <c r="GU3" s="355"/>
      <c r="GV3" s="355"/>
      <c r="GW3" s="355"/>
      <c r="GX3" s="355"/>
      <c r="GY3" s="355"/>
      <c r="GZ3" s="355"/>
      <c r="HA3" s="355"/>
      <c r="HB3" s="355"/>
      <c r="HC3" s="355"/>
      <c r="HD3" s="355"/>
      <c r="HE3" s="355"/>
      <c r="HF3" s="355"/>
      <c r="HG3" s="355"/>
      <c r="HH3" s="355"/>
      <c r="HI3" s="355"/>
      <c r="HJ3" s="355"/>
      <c r="HK3" s="355"/>
      <c r="HL3" s="355"/>
      <c r="HM3" s="355"/>
      <c r="HN3" s="355"/>
      <c r="HO3" s="355"/>
      <c r="HP3" s="355"/>
      <c r="HQ3" s="355"/>
      <c r="HR3" s="355"/>
      <c r="HS3" s="355"/>
      <c r="HT3" s="355"/>
      <c r="HU3" s="355"/>
      <c r="HV3" s="355"/>
      <c r="HW3" s="355"/>
      <c r="HX3" s="355"/>
      <c r="HY3" s="355"/>
      <c r="HZ3" s="355"/>
      <c r="IA3" s="355"/>
      <c r="IB3" s="355"/>
      <c r="IC3" s="355"/>
      <c r="ID3" s="355"/>
      <c r="IE3" s="355"/>
      <c r="IF3" s="355"/>
      <c r="IG3" s="355"/>
      <c r="IH3" s="355"/>
      <c r="II3" s="355"/>
      <c r="IJ3" s="355"/>
      <c r="IK3" s="355"/>
      <c r="IL3" s="355"/>
      <c r="IM3" s="355"/>
      <c r="IN3" s="355"/>
      <c r="IO3" s="355"/>
      <c r="IP3" s="355"/>
      <c r="IQ3" s="355"/>
      <c r="IR3" s="355"/>
      <c r="IS3" s="355"/>
      <c r="IT3" s="355"/>
      <c r="IU3" s="355"/>
      <c r="IV3" s="355"/>
      <c r="IW3" s="355"/>
    </row>
    <row r="5" customFormat="false" ht="12.75" hidden="false" customHeight="false" outlineLevel="0" collapsed="false">
      <c r="A5" s="356" t="n">
        <v>46384</v>
      </c>
      <c r="B5" s="357" t="n">
        <v>46384</v>
      </c>
      <c r="C5" s="358"/>
      <c r="D5" s="359"/>
      <c r="E5" s="360"/>
      <c r="F5" s="361"/>
    </row>
    <row r="6" customFormat="false" ht="12.75" hidden="false" customHeight="false" outlineLevel="0" collapsed="false">
      <c r="A6" s="362" t="n">
        <v>46385</v>
      </c>
      <c r="B6" s="345" t="n">
        <v>46385</v>
      </c>
      <c r="F6" s="363"/>
    </row>
    <row r="7" customFormat="false" ht="12.75" hidden="false" customHeight="false" outlineLevel="0" collapsed="false">
      <c r="A7" s="362" t="n">
        <v>46386</v>
      </c>
      <c r="B7" s="345" t="n">
        <v>46386</v>
      </c>
      <c r="F7" s="363"/>
    </row>
    <row r="8" customFormat="false" ht="12.75" hidden="false" customHeight="false" outlineLevel="0" collapsed="false">
      <c r="A8" s="362" t="n">
        <v>46387</v>
      </c>
      <c r="B8" s="345" t="n">
        <v>46387</v>
      </c>
      <c r="F8" s="363"/>
    </row>
    <row r="9" customFormat="false" ht="12.75" hidden="false" customHeight="false" outlineLevel="0" collapsed="false">
      <c r="A9" s="362" t="n">
        <v>46388</v>
      </c>
      <c r="B9" s="345" t="n">
        <v>46388</v>
      </c>
      <c r="F9" s="363"/>
    </row>
    <row r="10" customFormat="false" ht="12.75" hidden="false" customHeight="false" outlineLevel="0" collapsed="false">
      <c r="A10" s="362" t="n">
        <v>46389</v>
      </c>
      <c r="B10" s="345" t="n">
        <v>46389</v>
      </c>
      <c r="F10" s="363"/>
    </row>
    <row r="11" customFormat="false" ht="12.75" hidden="false" customHeight="false" outlineLevel="0" collapsed="false">
      <c r="A11" s="362" t="n">
        <v>46390</v>
      </c>
      <c r="B11" s="345" t="n">
        <v>46390</v>
      </c>
      <c r="F11" s="363"/>
    </row>
    <row r="12" customFormat="false" ht="12.75" hidden="false" customHeight="false" outlineLevel="0" collapsed="false">
      <c r="A12" s="362" t="n">
        <v>46390</v>
      </c>
      <c r="B12" s="345" t="s">
        <v>247</v>
      </c>
      <c r="F12" s="363"/>
    </row>
    <row r="13" customFormat="false" ht="12.75" hidden="false" customHeight="false" outlineLevel="0" collapsed="false">
      <c r="A13" s="362" t="n">
        <v>46390</v>
      </c>
      <c r="B13" s="345" t="s">
        <v>248</v>
      </c>
      <c r="F13" s="363"/>
    </row>
    <row r="14" customFormat="false" ht="12.75" hidden="false" customHeight="false" outlineLevel="0" collapsed="false">
      <c r="A14" s="364"/>
      <c r="B14" s="365"/>
      <c r="C14" s="366"/>
      <c r="D14" s="367"/>
      <c r="E14" s="368" t="n">
        <f aca="false">SUM(E5:E13)</f>
        <v>0</v>
      </c>
      <c r="F14" s="369" t="n">
        <f aca="false">SUM(F5:F13)</f>
        <v>0</v>
      </c>
    </row>
    <row r="16" customFormat="false" ht="12.75" hidden="false" customHeight="false" outlineLevel="0" collapsed="false">
      <c r="A16" s="356" t="n">
        <v>46391</v>
      </c>
      <c r="B16" s="357" t="n">
        <v>46391</v>
      </c>
      <c r="C16" s="358"/>
      <c r="D16" s="359"/>
      <c r="E16" s="360"/>
      <c r="F16" s="361"/>
    </row>
    <row r="17" customFormat="false" ht="12.75" hidden="false" customHeight="false" outlineLevel="0" collapsed="false">
      <c r="A17" s="362" t="n">
        <v>46392</v>
      </c>
      <c r="B17" s="345" t="n">
        <v>46392</v>
      </c>
      <c r="E17" s="347" t="n">
        <v>200</v>
      </c>
      <c r="F17" s="363"/>
    </row>
    <row r="18" customFormat="false" ht="12.75" hidden="false" customHeight="false" outlineLevel="0" collapsed="false">
      <c r="A18" s="362" t="n">
        <v>46393</v>
      </c>
      <c r="B18" s="345" t="n">
        <v>46393</v>
      </c>
      <c r="E18" s="347" t="n">
        <v>200</v>
      </c>
      <c r="F18" s="363"/>
    </row>
    <row r="19" customFormat="false" ht="12.75" hidden="false" customHeight="false" outlineLevel="0" collapsed="false">
      <c r="A19" s="362" t="n">
        <v>46394</v>
      </c>
      <c r="B19" s="345" t="n">
        <v>46394</v>
      </c>
      <c r="E19" s="347" t="n">
        <v>200</v>
      </c>
      <c r="F19" s="363"/>
    </row>
    <row r="20" customFormat="false" ht="12.75" hidden="false" customHeight="false" outlineLevel="0" collapsed="false">
      <c r="A20" s="362" t="n">
        <v>46395</v>
      </c>
      <c r="B20" s="345" t="n">
        <v>46395</v>
      </c>
      <c r="E20" s="347" t="n">
        <v>200</v>
      </c>
      <c r="F20" s="363"/>
    </row>
    <row r="21" customFormat="false" ht="12.75" hidden="false" customHeight="false" outlineLevel="0" collapsed="false">
      <c r="A21" s="362" t="n">
        <v>46396</v>
      </c>
      <c r="B21" s="345" t="n">
        <v>46396</v>
      </c>
      <c r="E21" s="347" t="n">
        <v>200</v>
      </c>
      <c r="F21" s="363"/>
    </row>
    <row r="22" customFormat="false" ht="12.75" hidden="false" customHeight="false" outlineLevel="0" collapsed="false">
      <c r="A22" s="362" t="n">
        <v>46397</v>
      </c>
      <c r="B22" s="345" t="n">
        <v>46397</v>
      </c>
      <c r="F22" s="363"/>
    </row>
    <row r="23" customFormat="false" ht="12.75" hidden="false" customHeight="false" outlineLevel="0" collapsed="false">
      <c r="A23" s="362" t="n">
        <v>46397</v>
      </c>
      <c r="B23" s="345" t="s">
        <v>247</v>
      </c>
      <c r="F23" s="363"/>
    </row>
    <row r="24" customFormat="false" ht="12.75" hidden="false" customHeight="false" outlineLevel="0" collapsed="false">
      <c r="A24" s="362" t="n">
        <v>46397</v>
      </c>
      <c r="B24" s="345" t="s">
        <v>248</v>
      </c>
      <c r="F24" s="363"/>
    </row>
    <row r="25" customFormat="false" ht="12.75" hidden="false" customHeight="false" outlineLevel="0" collapsed="false">
      <c r="A25" s="364"/>
      <c r="B25" s="365"/>
      <c r="C25" s="366"/>
      <c r="D25" s="367"/>
      <c r="E25" s="368" t="n">
        <f aca="false">SUM(E16:E24)</f>
        <v>1000</v>
      </c>
      <c r="F25" s="369" t="n">
        <f aca="false">SUM(F16:F24)</f>
        <v>0</v>
      </c>
    </row>
    <row r="27" customFormat="false" ht="12.75" hidden="false" customHeight="false" outlineLevel="0" collapsed="false">
      <c r="A27" s="356" t="n">
        <v>46398</v>
      </c>
      <c r="B27" s="357" t="n">
        <v>46398</v>
      </c>
      <c r="C27" s="358"/>
      <c r="D27" s="359"/>
      <c r="E27" s="360"/>
      <c r="F27" s="361"/>
    </row>
    <row r="28" customFormat="false" ht="12.75" hidden="false" customHeight="false" outlineLevel="0" collapsed="false">
      <c r="A28" s="362" t="n">
        <v>46399</v>
      </c>
      <c r="B28" s="345" t="n">
        <v>46399</v>
      </c>
      <c r="E28" s="347" t="n">
        <v>200</v>
      </c>
      <c r="F28" s="363"/>
    </row>
    <row r="29" customFormat="false" ht="12.75" hidden="false" customHeight="false" outlineLevel="0" collapsed="false">
      <c r="A29" s="362" t="n">
        <v>46400</v>
      </c>
      <c r="B29" s="345" t="n">
        <v>46400</v>
      </c>
      <c r="E29" s="347" t="n">
        <v>200</v>
      </c>
      <c r="F29" s="363"/>
    </row>
    <row r="30" customFormat="false" ht="12.75" hidden="false" customHeight="false" outlineLevel="0" collapsed="false">
      <c r="A30" s="362" t="n">
        <v>46401</v>
      </c>
      <c r="B30" s="345" t="n">
        <v>46401</v>
      </c>
      <c r="E30" s="347" t="n">
        <v>200</v>
      </c>
      <c r="F30" s="363"/>
    </row>
    <row r="31" customFormat="false" ht="12.75" hidden="false" customHeight="false" outlineLevel="0" collapsed="false">
      <c r="A31" s="362" t="n">
        <v>46402</v>
      </c>
      <c r="B31" s="345" t="n">
        <v>46402</v>
      </c>
      <c r="E31" s="347" t="n">
        <v>200</v>
      </c>
      <c r="F31" s="363"/>
    </row>
    <row r="32" customFormat="false" ht="12.75" hidden="false" customHeight="false" outlineLevel="0" collapsed="false">
      <c r="A32" s="362" t="n">
        <v>46403</v>
      </c>
      <c r="B32" s="345" t="n">
        <v>46403</v>
      </c>
      <c r="E32" s="347" t="n">
        <v>200</v>
      </c>
      <c r="F32" s="363"/>
    </row>
    <row r="33" customFormat="false" ht="12.75" hidden="false" customHeight="false" outlineLevel="0" collapsed="false">
      <c r="A33" s="362" t="n">
        <v>46404</v>
      </c>
      <c r="B33" s="345" t="n">
        <v>46404</v>
      </c>
      <c r="F33" s="363"/>
    </row>
    <row r="34" customFormat="false" ht="12.75" hidden="false" customHeight="false" outlineLevel="0" collapsed="false">
      <c r="A34" s="362" t="n">
        <v>46404</v>
      </c>
      <c r="B34" s="345" t="s">
        <v>247</v>
      </c>
      <c r="F34" s="363"/>
    </row>
    <row r="35" customFormat="false" ht="12.75" hidden="false" customHeight="false" outlineLevel="0" collapsed="false">
      <c r="A35" s="362" t="n">
        <v>46404</v>
      </c>
      <c r="B35" s="345" t="s">
        <v>248</v>
      </c>
      <c r="F35" s="363"/>
    </row>
    <row r="36" customFormat="false" ht="12.75" hidden="false" customHeight="false" outlineLevel="0" collapsed="false">
      <c r="A36" s="364"/>
      <c r="B36" s="365"/>
      <c r="C36" s="366"/>
      <c r="D36" s="367"/>
      <c r="E36" s="368" t="n">
        <f aca="false">SUM(E27:E35)</f>
        <v>1000</v>
      </c>
      <c r="F36" s="369" t="n">
        <f aca="false">SUM(F27:F35)</f>
        <v>0</v>
      </c>
    </row>
    <row r="38" customFormat="false" ht="12.75" hidden="false" customHeight="false" outlineLevel="0" collapsed="false">
      <c r="A38" s="356" t="n">
        <v>46405</v>
      </c>
      <c r="B38" s="357" t="n">
        <v>46405</v>
      </c>
      <c r="C38" s="358"/>
      <c r="D38" s="359"/>
      <c r="E38" s="360"/>
      <c r="F38" s="361"/>
    </row>
    <row r="39" customFormat="false" ht="12.75" hidden="false" customHeight="false" outlineLevel="0" collapsed="false">
      <c r="A39" s="362" t="n">
        <v>46406</v>
      </c>
      <c r="B39" s="345" t="n">
        <v>46406</v>
      </c>
      <c r="E39" s="347" t="n">
        <v>200</v>
      </c>
      <c r="F39" s="363"/>
    </row>
    <row r="40" customFormat="false" ht="12.75" hidden="false" customHeight="false" outlineLevel="0" collapsed="false">
      <c r="A40" s="362" t="n">
        <v>46407</v>
      </c>
      <c r="B40" s="345" t="n">
        <v>46407</v>
      </c>
      <c r="E40" s="347" t="n">
        <v>200</v>
      </c>
      <c r="F40" s="363"/>
    </row>
    <row r="41" customFormat="false" ht="12.75" hidden="false" customHeight="false" outlineLevel="0" collapsed="false">
      <c r="A41" s="362" t="n">
        <v>46408</v>
      </c>
      <c r="B41" s="345" t="n">
        <v>46408</v>
      </c>
      <c r="E41" s="347" t="n">
        <v>200</v>
      </c>
      <c r="F41" s="363"/>
    </row>
    <row r="42" customFormat="false" ht="12.75" hidden="false" customHeight="false" outlineLevel="0" collapsed="false">
      <c r="A42" s="362" t="n">
        <v>46409</v>
      </c>
      <c r="B42" s="345" t="n">
        <v>46409</v>
      </c>
      <c r="E42" s="347" t="n">
        <v>200</v>
      </c>
      <c r="F42" s="363"/>
    </row>
    <row r="43" customFormat="false" ht="12.75" hidden="false" customHeight="false" outlineLevel="0" collapsed="false">
      <c r="A43" s="362" t="n">
        <v>46410</v>
      </c>
      <c r="B43" s="345" t="n">
        <v>46410</v>
      </c>
      <c r="E43" s="347" t="n">
        <v>200</v>
      </c>
      <c r="F43" s="363"/>
    </row>
    <row r="44" customFormat="false" ht="12.75" hidden="false" customHeight="false" outlineLevel="0" collapsed="false">
      <c r="A44" s="362" t="n">
        <v>46411</v>
      </c>
      <c r="B44" s="345" t="n">
        <v>46411</v>
      </c>
      <c r="F44" s="363"/>
    </row>
    <row r="45" customFormat="false" ht="12.75" hidden="false" customHeight="false" outlineLevel="0" collapsed="false">
      <c r="A45" s="362" t="n">
        <v>46411</v>
      </c>
      <c r="B45" s="345" t="s">
        <v>247</v>
      </c>
      <c r="F45" s="363"/>
    </row>
    <row r="46" customFormat="false" ht="12.75" hidden="false" customHeight="false" outlineLevel="0" collapsed="false">
      <c r="A46" s="362" t="n">
        <v>46411</v>
      </c>
      <c r="B46" s="345" t="s">
        <v>248</v>
      </c>
      <c r="F46" s="363"/>
    </row>
    <row r="47" customFormat="false" ht="12.75" hidden="false" customHeight="false" outlineLevel="0" collapsed="false">
      <c r="A47" s="364"/>
      <c r="B47" s="365"/>
      <c r="C47" s="366"/>
      <c r="D47" s="367"/>
      <c r="E47" s="368" t="n">
        <f aca="false">SUM(E38:E46)</f>
        <v>1000</v>
      </c>
      <c r="F47" s="369" t="n">
        <f aca="false">SUM(F38:F46)</f>
        <v>0</v>
      </c>
    </row>
    <row r="49" customFormat="false" ht="12.75" hidden="false" customHeight="false" outlineLevel="0" collapsed="false">
      <c r="A49" s="356" t="n">
        <v>46412</v>
      </c>
      <c r="B49" s="357" t="n">
        <v>46412</v>
      </c>
      <c r="C49" s="358"/>
      <c r="D49" s="359"/>
      <c r="E49" s="360"/>
      <c r="F49" s="361"/>
    </row>
    <row r="50" customFormat="false" ht="12.75" hidden="false" customHeight="false" outlineLevel="0" collapsed="false">
      <c r="A50" s="362" t="n">
        <v>46413</v>
      </c>
      <c r="B50" s="345" t="n">
        <v>46413</v>
      </c>
      <c r="F50" s="363"/>
    </row>
    <row r="51" customFormat="false" ht="12.75" hidden="false" customHeight="false" outlineLevel="0" collapsed="false">
      <c r="A51" s="362" t="n">
        <v>46414</v>
      </c>
      <c r="B51" s="345" t="n">
        <v>46414</v>
      </c>
      <c r="F51" s="363"/>
    </row>
    <row r="52" customFormat="false" ht="12.75" hidden="false" customHeight="false" outlineLevel="0" collapsed="false">
      <c r="A52" s="362" t="n">
        <v>46415</v>
      </c>
      <c r="B52" s="345" t="n">
        <v>46415</v>
      </c>
      <c r="F52" s="363"/>
    </row>
    <row r="53" customFormat="false" ht="12.75" hidden="false" customHeight="false" outlineLevel="0" collapsed="false">
      <c r="A53" s="362" t="n">
        <v>46416</v>
      </c>
      <c r="B53" s="345" t="n">
        <v>46416</v>
      </c>
      <c r="F53" s="363"/>
    </row>
    <row r="54" customFormat="false" ht="12.75" hidden="false" customHeight="false" outlineLevel="0" collapsed="false">
      <c r="A54" s="362" t="n">
        <v>46417</v>
      </c>
      <c r="B54" s="345" t="n">
        <v>46417</v>
      </c>
      <c r="F54" s="363"/>
    </row>
    <row r="55" customFormat="false" ht="12.75" hidden="false" customHeight="false" outlineLevel="0" collapsed="false">
      <c r="A55" s="362" t="n">
        <v>46418</v>
      </c>
      <c r="B55" s="345" t="n">
        <v>46418</v>
      </c>
      <c r="F55" s="363"/>
    </row>
    <row r="56" customFormat="false" ht="12.75" hidden="false" customHeight="false" outlineLevel="0" collapsed="false">
      <c r="A56" s="362" t="n">
        <v>46418</v>
      </c>
      <c r="B56" s="345" t="s">
        <v>247</v>
      </c>
      <c r="F56" s="363"/>
    </row>
    <row r="57" customFormat="false" ht="12.75" hidden="false" customHeight="false" outlineLevel="0" collapsed="false">
      <c r="A57" s="362" t="n">
        <v>46418</v>
      </c>
      <c r="B57" s="345" t="s">
        <v>248</v>
      </c>
      <c r="F57" s="363"/>
    </row>
    <row r="58" customFormat="false" ht="12.75" hidden="false" customHeight="false" outlineLevel="0" collapsed="false">
      <c r="A58" s="364"/>
      <c r="B58" s="365"/>
      <c r="C58" s="366"/>
      <c r="D58" s="367"/>
      <c r="E58" s="368" t="n">
        <f aca="false">SUM(E49:E57)</f>
        <v>0</v>
      </c>
      <c r="F58" s="369" t="n">
        <f aca="false">SUM(F49:F57)</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customHeight="false" zeroHeight="false" outlineLevelRow="0" outlineLevelCol="0"/>
  <cols>
    <col collapsed="false" customWidth="true" hidden="false" outlineLevel="0" max="1" min="1" style="370" width="9.66"/>
    <col collapsed="false" customWidth="true" hidden="false" outlineLevel="0" max="2" min="2" style="179" width="23.99"/>
    <col collapsed="false" customWidth="true" hidden="false" outlineLevel="0" max="3" min="3" style="179" width="15.99"/>
    <col collapsed="false" customWidth="false" hidden="false" outlineLevel="0" max="5" min="4" style="371" width="9.15"/>
    <col collapsed="false" customWidth="true" hidden="false" outlineLevel="0" max="6" min="6" style="372" width="12.66"/>
    <col collapsed="false" customWidth="true" hidden="false" outlineLevel="0" max="8" min="7" style="180" width="9.82"/>
    <col collapsed="false" customWidth="true" hidden="false" outlineLevel="0" max="10" min="9" style="180" width="8.33"/>
    <col collapsed="false" customWidth="true" hidden="false" outlineLevel="0" max="12" min="11" style="180" width="7.66"/>
    <col collapsed="false" customWidth="true" hidden="false" outlineLevel="0" max="13" min="13" style="180" width="8.99"/>
    <col collapsed="false" customWidth="false" hidden="false" outlineLevel="0" max="14" min="14" style="180" width="9.15"/>
    <col collapsed="false" customWidth="true" hidden="false" outlineLevel="0" max="15" min="15" style="180" width="9.33"/>
    <col collapsed="false" customWidth="true" hidden="false" outlineLevel="0" max="18" min="16" style="180" width="7.66"/>
    <col collapsed="false" customWidth="true" hidden="false" outlineLevel="0" max="19" min="19" style="180" width="8.49"/>
    <col collapsed="false" customWidth="true" hidden="false" outlineLevel="0" max="20" min="20" style="179" width="12.82"/>
    <col collapsed="false" customWidth="true" hidden="false" outlineLevel="0" max="21" min="21" style="180" width="8.15"/>
    <col collapsed="false" customWidth="false" hidden="false" outlineLevel="0" max="257" min="22" style="179" width="9.15"/>
  </cols>
  <sheetData>
    <row r="1" customFormat="false" ht="13.5" hidden="false" customHeight="true" outlineLevel="0" collapsed="false">
      <c r="A1" s="389" t="n">
        <f aca="false">E1+SalesJan!$D$1+PurchasesDec!A1</f>
        <v>0</v>
      </c>
      <c r="B1" s="390" t="s">
        <v>249</v>
      </c>
      <c r="C1" s="391" t="s">
        <v>242</v>
      </c>
      <c r="D1" s="375" t="str">
        <f aca="false">IF((F1-SUM(G1:S1)&lt;&gt;0),(F1-SUM(G1:S1))," ")</f>
        <v> </v>
      </c>
      <c r="E1" s="351" t="n">
        <f aca="false">SUM(E5:E199)</f>
        <v>0</v>
      </c>
      <c r="F1" s="350" t="n">
        <f aca="false">SUM(F5:F199)</f>
        <v>920</v>
      </c>
      <c r="G1" s="350" t="n">
        <f aca="false">SUM(G5:G199)</f>
        <v>300</v>
      </c>
      <c r="H1" s="350" t="n">
        <f aca="false">SUM(H5:H199)</f>
        <v>0</v>
      </c>
      <c r="I1" s="350" t="n">
        <f aca="false">SUM(I5:I199)</f>
        <v>0</v>
      </c>
      <c r="J1" s="350" t="n">
        <f aca="false">SUM(J5:J199)</f>
        <v>0</v>
      </c>
      <c r="K1" s="350" t="n">
        <f aca="false">SUM(K5:K199)</f>
        <v>0</v>
      </c>
      <c r="L1" s="350" t="n">
        <f aca="false">SUM(L5:L199)</f>
        <v>0</v>
      </c>
      <c r="M1" s="350" t="n">
        <f aca="false">SUM(M5:M199)</f>
        <v>120</v>
      </c>
      <c r="N1" s="350" t="n">
        <f aca="false">SUM(N5:N199)</f>
        <v>0</v>
      </c>
      <c r="O1" s="350" t="n">
        <f aca="false">SUM(O5:O199)</f>
        <v>500</v>
      </c>
      <c r="P1" s="350" t="n">
        <f aca="false">SUM(P5:P199)</f>
        <v>0</v>
      </c>
      <c r="Q1" s="350" t="n">
        <f aca="false">SUM(Q5:Q199)</f>
        <v>0</v>
      </c>
      <c r="R1" s="350" t="n">
        <f aca="false">SUM(R5:R199)</f>
        <v>0</v>
      </c>
      <c r="S1" s="392" t="n">
        <f aca="false">SUM(S5:S199)</f>
        <v>0</v>
      </c>
      <c r="T1" s="393" t="n">
        <f aca="false">S1+PurchasesDec!T1</f>
        <v>8000</v>
      </c>
      <c r="U1" s="392" t="n">
        <f aca="false">SUM(U4:U199)</f>
        <v>0</v>
      </c>
      <c r="V1" s="180"/>
      <c r="W1" s="180"/>
      <c r="X1" s="180"/>
      <c r="Y1" s="180"/>
      <c r="Z1" s="180"/>
      <c r="AA1" s="180"/>
      <c r="AB1" s="180"/>
      <c r="AC1" s="180"/>
      <c r="AD1" s="180"/>
      <c r="AE1" s="180"/>
      <c r="AF1" s="180"/>
      <c r="AG1" s="180"/>
      <c r="AH1" s="180"/>
      <c r="AI1" s="180"/>
      <c r="AJ1" s="180"/>
      <c r="AK1" s="180"/>
      <c r="AL1" s="180"/>
      <c r="AM1" s="180"/>
      <c r="AN1" s="180"/>
      <c r="AO1" s="180"/>
      <c r="AP1" s="180"/>
      <c r="AQ1" s="180"/>
      <c r="AR1" s="180"/>
      <c r="AS1" s="180"/>
      <c r="AT1" s="180"/>
      <c r="AU1" s="180"/>
      <c r="AV1" s="180"/>
      <c r="AW1" s="180"/>
      <c r="AX1" s="180"/>
      <c r="AY1" s="180"/>
      <c r="AZ1" s="180"/>
      <c r="BA1" s="180"/>
      <c r="BB1" s="180"/>
      <c r="BC1" s="180"/>
      <c r="BD1" s="180"/>
      <c r="BE1" s="180"/>
      <c r="BF1" s="180"/>
      <c r="BG1" s="180"/>
      <c r="BH1" s="180"/>
      <c r="BI1" s="180"/>
      <c r="BJ1" s="180"/>
      <c r="BK1" s="180"/>
      <c r="BL1" s="180"/>
      <c r="BM1" s="180"/>
      <c r="BN1" s="180"/>
      <c r="BO1" s="180"/>
      <c r="BP1" s="180"/>
      <c r="BQ1" s="180"/>
      <c r="BR1" s="180"/>
      <c r="BS1" s="180"/>
      <c r="BT1" s="180"/>
      <c r="BU1" s="180"/>
      <c r="BV1" s="180"/>
      <c r="BW1" s="180"/>
      <c r="BX1" s="180"/>
      <c r="BY1" s="180"/>
      <c r="BZ1" s="180"/>
      <c r="CA1" s="180"/>
      <c r="CB1" s="180"/>
      <c r="CC1" s="180"/>
      <c r="CD1" s="180"/>
      <c r="CE1" s="180"/>
      <c r="CF1" s="180"/>
      <c r="CG1" s="180"/>
      <c r="CH1" s="180"/>
      <c r="CI1" s="180"/>
      <c r="CJ1" s="180"/>
      <c r="CK1" s="180"/>
      <c r="CL1" s="180"/>
      <c r="CM1" s="180"/>
      <c r="CN1" s="180"/>
      <c r="CO1" s="180"/>
      <c r="CP1" s="180"/>
      <c r="CQ1" s="180"/>
      <c r="CR1" s="180"/>
      <c r="CS1" s="180"/>
      <c r="CT1" s="180"/>
      <c r="CU1" s="180"/>
      <c r="CV1" s="180"/>
      <c r="CW1" s="180"/>
      <c r="CX1" s="180"/>
      <c r="CY1" s="180"/>
      <c r="CZ1" s="180"/>
      <c r="DA1" s="180"/>
      <c r="DB1" s="180"/>
      <c r="DC1" s="180"/>
      <c r="DD1" s="180"/>
      <c r="DE1" s="180"/>
      <c r="DF1" s="180"/>
      <c r="DG1" s="180"/>
      <c r="DH1" s="180"/>
      <c r="DI1" s="180"/>
      <c r="DJ1" s="180"/>
      <c r="DK1" s="180"/>
      <c r="DL1" s="180"/>
      <c r="DM1" s="180"/>
      <c r="DN1" s="180"/>
      <c r="DO1" s="180"/>
      <c r="DP1" s="180"/>
      <c r="DQ1" s="180"/>
      <c r="DR1" s="180"/>
      <c r="DS1" s="180"/>
      <c r="DT1" s="180"/>
      <c r="DU1" s="180"/>
      <c r="DV1" s="180"/>
      <c r="DW1" s="180"/>
      <c r="DX1" s="180"/>
      <c r="DY1" s="180"/>
      <c r="DZ1" s="180"/>
      <c r="EA1" s="180"/>
      <c r="EB1" s="180"/>
      <c r="EC1" s="180"/>
      <c r="ED1" s="180"/>
      <c r="EE1" s="180"/>
      <c r="EF1" s="180"/>
      <c r="EG1" s="180"/>
      <c r="EH1" s="180"/>
      <c r="EI1" s="180"/>
      <c r="EJ1" s="180"/>
      <c r="EK1" s="180"/>
      <c r="EL1" s="180"/>
      <c r="EM1" s="180"/>
      <c r="EN1" s="180"/>
      <c r="EO1" s="180"/>
      <c r="EP1" s="180"/>
      <c r="EQ1" s="180"/>
      <c r="ER1" s="180"/>
      <c r="ES1" s="180"/>
      <c r="ET1" s="180"/>
      <c r="EU1" s="180"/>
      <c r="EV1" s="180"/>
      <c r="EW1" s="180"/>
      <c r="EX1" s="180"/>
      <c r="EY1" s="180"/>
      <c r="EZ1" s="180"/>
      <c r="FA1" s="180"/>
      <c r="FB1" s="180"/>
      <c r="FC1" s="180"/>
      <c r="FD1" s="180"/>
      <c r="FE1" s="180"/>
      <c r="FF1" s="180"/>
      <c r="FG1" s="180"/>
      <c r="FH1" s="180"/>
      <c r="FI1" s="180"/>
      <c r="FJ1" s="180"/>
      <c r="FK1" s="180"/>
      <c r="FL1" s="180"/>
      <c r="FM1" s="180"/>
      <c r="FN1" s="180"/>
      <c r="FO1" s="180"/>
      <c r="FP1" s="180"/>
      <c r="FQ1" s="180"/>
      <c r="FR1" s="180"/>
      <c r="FS1" s="180"/>
      <c r="FT1" s="180"/>
      <c r="FU1" s="180"/>
      <c r="FV1" s="180"/>
      <c r="FW1" s="180"/>
      <c r="FX1" s="180"/>
      <c r="FY1" s="180"/>
      <c r="FZ1" s="180"/>
      <c r="GA1" s="180"/>
      <c r="GB1" s="180"/>
      <c r="GC1" s="180"/>
      <c r="GD1" s="180"/>
      <c r="GE1" s="180"/>
      <c r="GF1" s="180"/>
      <c r="GG1" s="180"/>
      <c r="GH1" s="180"/>
      <c r="GI1" s="180"/>
      <c r="GJ1" s="180"/>
      <c r="GK1" s="180"/>
      <c r="GL1" s="180"/>
      <c r="GM1" s="180"/>
      <c r="GN1" s="180"/>
      <c r="GO1" s="180"/>
      <c r="GP1" s="180"/>
      <c r="GQ1" s="180"/>
      <c r="GR1" s="180"/>
      <c r="GS1" s="180"/>
      <c r="GT1" s="180"/>
      <c r="GU1" s="180"/>
      <c r="GV1" s="180"/>
      <c r="GW1" s="180"/>
      <c r="GX1" s="180"/>
      <c r="GY1" s="180"/>
      <c r="GZ1" s="180"/>
      <c r="HA1" s="180"/>
      <c r="HB1" s="180"/>
      <c r="HC1" s="180"/>
      <c r="HD1" s="180"/>
      <c r="HE1" s="180"/>
      <c r="HF1" s="180"/>
      <c r="HG1" s="180"/>
      <c r="HH1" s="180"/>
      <c r="HI1" s="180"/>
      <c r="HJ1" s="180"/>
      <c r="HK1" s="180"/>
      <c r="HL1" s="180"/>
      <c r="HM1" s="180"/>
      <c r="HN1" s="180"/>
      <c r="HO1" s="180"/>
      <c r="HP1" s="180"/>
      <c r="HQ1" s="180"/>
      <c r="HR1" s="180"/>
      <c r="HS1" s="180"/>
      <c r="HT1" s="180"/>
      <c r="HU1" s="180"/>
      <c r="HV1" s="180"/>
      <c r="HW1" s="180"/>
      <c r="HX1" s="180"/>
      <c r="HY1" s="180"/>
      <c r="HZ1" s="180"/>
      <c r="IA1" s="180"/>
      <c r="IB1" s="180"/>
      <c r="IC1" s="180"/>
      <c r="ID1" s="180"/>
      <c r="IE1" s="180"/>
      <c r="IF1" s="180"/>
      <c r="IG1" s="180"/>
      <c r="IH1" s="180"/>
      <c r="II1" s="180"/>
      <c r="IJ1" s="180"/>
      <c r="IK1" s="180"/>
      <c r="IL1" s="180"/>
      <c r="IM1" s="180"/>
      <c r="IN1" s="180"/>
      <c r="IO1" s="180"/>
      <c r="IP1" s="180"/>
      <c r="IQ1" s="180"/>
      <c r="IR1" s="180"/>
      <c r="IS1" s="180"/>
      <c r="IT1" s="180"/>
      <c r="IU1" s="180"/>
      <c r="IV1" s="180"/>
      <c r="IW1" s="180"/>
    </row>
    <row r="2" customFormat="false" ht="13.5" hidden="false" customHeight="true" outlineLevel="0" collapsed="false">
      <c r="A2" s="394" t="n">
        <f aca="false">U1+PurchasesDec!A2</f>
        <v>0</v>
      </c>
      <c r="B2" s="239" t="s">
        <v>250</v>
      </c>
      <c r="C2" s="378" t="s">
        <v>251</v>
      </c>
      <c r="D2" s="378" t="s">
        <v>252</v>
      </c>
      <c r="E2" s="378" t="s">
        <v>253</v>
      </c>
      <c r="F2" s="206" t="s">
        <v>254</v>
      </c>
      <c r="G2" s="379" t="s">
        <v>255</v>
      </c>
      <c r="H2" s="379"/>
      <c r="I2" s="380" t="n">
        <f aca="false">G1+H1+I1+J1+PurchasesDec!I2</f>
        <v>4380</v>
      </c>
      <c r="J2" s="380"/>
      <c r="K2" s="206" t="s">
        <v>256</v>
      </c>
      <c r="L2" s="206" t="s">
        <v>257</v>
      </c>
      <c r="M2" s="206" t="s">
        <v>258</v>
      </c>
      <c r="N2" s="206" t="s">
        <v>290</v>
      </c>
      <c r="O2" s="206" t="s">
        <v>260</v>
      </c>
      <c r="P2" s="206" t="s">
        <v>261</v>
      </c>
      <c r="Q2" s="206" t="s">
        <v>262</v>
      </c>
      <c r="R2" s="206" t="s">
        <v>263</v>
      </c>
      <c r="S2" s="381" t="s">
        <v>264</v>
      </c>
      <c r="T2" s="382" t="str">
        <f aca="false">IF(T1&gt;'Fixed Assets'!$D$74,"ENTER VEHICLE CHANGES        on Fixed Asset schedule","Motor Vehicles: make, model, date reg. and reg. Mark")</f>
        <v>ENTER VEHICLE CHANGES        on Fixed Asset schedule</v>
      </c>
      <c r="U2" s="381" t="s">
        <v>118</v>
      </c>
      <c r="V2" s="180"/>
      <c r="W2" s="180"/>
      <c r="X2" s="180"/>
      <c r="Y2" s="180"/>
      <c r="Z2" s="180"/>
      <c r="AA2" s="180"/>
      <c r="AB2" s="180"/>
      <c r="AC2" s="180"/>
      <c r="AD2" s="180"/>
      <c r="AE2" s="180"/>
      <c r="AF2" s="180"/>
      <c r="AG2" s="180"/>
      <c r="AH2" s="180"/>
      <c r="AI2" s="180"/>
      <c r="AJ2" s="180"/>
      <c r="AK2" s="180"/>
      <c r="AL2" s="180"/>
      <c r="AM2" s="180"/>
      <c r="AN2" s="180"/>
      <c r="AO2" s="180"/>
      <c r="AP2" s="180"/>
      <c r="AQ2" s="180"/>
      <c r="AR2" s="180"/>
      <c r="AS2" s="180"/>
      <c r="AT2" s="180"/>
      <c r="AU2" s="180"/>
      <c r="AV2" s="180"/>
      <c r="AW2" s="180"/>
      <c r="AX2" s="180"/>
      <c r="AY2" s="180"/>
      <c r="AZ2" s="180"/>
      <c r="BA2" s="180"/>
      <c r="BB2" s="180"/>
      <c r="BC2" s="180"/>
      <c r="BD2" s="180"/>
      <c r="BE2" s="180"/>
      <c r="BF2" s="180"/>
      <c r="BG2" s="180"/>
      <c r="BH2" s="180"/>
      <c r="BI2" s="180"/>
      <c r="BJ2" s="180"/>
      <c r="BK2" s="180"/>
      <c r="BL2" s="180"/>
      <c r="BM2" s="180"/>
      <c r="BN2" s="180"/>
      <c r="BO2" s="180"/>
      <c r="BP2" s="180"/>
      <c r="BQ2" s="180"/>
      <c r="BR2" s="180"/>
      <c r="BS2" s="180"/>
      <c r="BT2" s="180"/>
      <c r="BU2" s="180"/>
      <c r="BV2" s="180"/>
      <c r="BW2" s="180"/>
      <c r="BX2" s="180"/>
      <c r="BY2" s="180"/>
      <c r="BZ2" s="180"/>
      <c r="CA2" s="180"/>
      <c r="CB2" s="180"/>
      <c r="CC2" s="180"/>
      <c r="CD2" s="180"/>
      <c r="CE2" s="180"/>
      <c r="CF2" s="180"/>
      <c r="CG2" s="180"/>
      <c r="CH2" s="180"/>
      <c r="CI2" s="180"/>
      <c r="CJ2" s="180"/>
      <c r="CK2" s="180"/>
      <c r="CL2" s="180"/>
      <c r="CM2" s="180"/>
      <c r="CN2" s="180"/>
      <c r="CO2" s="180"/>
      <c r="CP2" s="180"/>
      <c r="CQ2" s="180"/>
      <c r="CR2" s="180"/>
      <c r="CS2" s="180"/>
      <c r="CT2" s="180"/>
      <c r="CU2" s="180"/>
      <c r="CV2" s="180"/>
      <c r="CW2" s="180"/>
      <c r="CX2" s="180"/>
      <c r="CY2" s="180"/>
      <c r="CZ2" s="180"/>
      <c r="DA2" s="180"/>
      <c r="DB2" s="180"/>
      <c r="DC2" s="180"/>
      <c r="DD2" s="180"/>
      <c r="DE2" s="180"/>
      <c r="DF2" s="180"/>
      <c r="DG2" s="180"/>
      <c r="DH2" s="180"/>
      <c r="DI2" s="180"/>
      <c r="DJ2" s="180"/>
      <c r="DK2" s="180"/>
      <c r="DL2" s="180"/>
      <c r="DM2" s="180"/>
      <c r="DN2" s="180"/>
      <c r="DO2" s="180"/>
      <c r="DP2" s="180"/>
      <c r="DQ2" s="180"/>
      <c r="DR2" s="180"/>
      <c r="DS2" s="180"/>
      <c r="DT2" s="180"/>
      <c r="DU2" s="180"/>
      <c r="DV2" s="180"/>
      <c r="DW2" s="180"/>
      <c r="DX2" s="180"/>
      <c r="DY2" s="180"/>
      <c r="DZ2" s="180"/>
      <c r="EA2" s="180"/>
      <c r="EB2" s="180"/>
      <c r="EC2" s="180"/>
      <c r="ED2" s="180"/>
      <c r="EE2" s="180"/>
      <c r="EF2" s="180"/>
      <c r="EG2" s="180"/>
      <c r="EH2" s="180"/>
      <c r="EI2" s="180"/>
      <c r="EJ2" s="180"/>
      <c r="EK2" s="180"/>
      <c r="EL2" s="180"/>
      <c r="EM2" s="180"/>
      <c r="EN2" s="180"/>
      <c r="EO2" s="180"/>
      <c r="EP2" s="180"/>
      <c r="EQ2" s="180"/>
      <c r="ER2" s="180"/>
      <c r="ES2" s="180"/>
      <c r="ET2" s="180"/>
      <c r="EU2" s="180"/>
      <c r="EV2" s="180"/>
      <c r="EW2" s="180"/>
      <c r="EX2" s="180"/>
      <c r="EY2" s="180"/>
      <c r="EZ2" s="180"/>
      <c r="FA2" s="180"/>
      <c r="FB2" s="180"/>
      <c r="FC2" s="180"/>
      <c r="FD2" s="180"/>
      <c r="FE2" s="180"/>
      <c r="FF2" s="180"/>
      <c r="FG2" s="180"/>
      <c r="FH2" s="180"/>
      <c r="FI2" s="180"/>
      <c r="FJ2" s="180"/>
      <c r="FK2" s="180"/>
      <c r="FL2" s="180"/>
      <c r="FM2" s="180"/>
      <c r="FN2" s="180"/>
      <c r="FO2" s="180"/>
      <c r="FP2" s="180"/>
      <c r="FQ2" s="180"/>
      <c r="FR2" s="180"/>
      <c r="FS2" s="180"/>
      <c r="FT2" s="180"/>
      <c r="FU2" s="180"/>
      <c r="FV2" s="180"/>
      <c r="FW2" s="180"/>
      <c r="FX2" s="180"/>
      <c r="FY2" s="180"/>
      <c r="FZ2" s="180"/>
      <c r="GA2" s="180"/>
      <c r="GB2" s="180"/>
      <c r="GC2" s="180"/>
      <c r="GD2" s="180"/>
      <c r="GE2" s="180"/>
      <c r="GF2" s="180"/>
      <c r="GG2" s="180"/>
      <c r="GH2" s="180"/>
      <c r="GI2" s="180"/>
      <c r="GJ2" s="180"/>
      <c r="GK2" s="180"/>
      <c r="GL2" s="180"/>
      <c r="GM2" s="180"/>
      <c r="GN2" s="180"/>
      <c r="GO2" s="180"/>
      <c r="GP2" s="180"/>
      <c r="GQ2" s="180"/>
      <c r="GR2" s="180"/>
      <c r="GS2" s="180"/>
      <c r="GT2" s="180"/>
      <c r="GU2" s="180"/>
      <c r="GV2" s="180"/>
      <c r="GW2" s="180"/>
      <c r="GX2" s="180"/>
      <c r="GY2" s="180"/>
      <c r="GZ2" s="180"/>
      <c r="HA2" s="180"/>
      <c r="HB2" s="180"/>
      <c r="HC2" s="180"/>
      <c r="HD2" s="180"/>
      <c r="HE2" s="180"/>
      <c r="HF2" s="180"/>
      <c r="HG2" s="180"/>
      <c r="HH2" s="180"/>
      <c r="HI2" s="180"/>
      <c r="HJ2" s="180"/>
      <c r="HK2" s="180"/>
      <c r="HL2" s="180"/>
      <c r="HM2" s="180"/>
      <c r="HN2" s="180"/>
      <c r="HO2" s="180"/>
      <c r="HP2" s="180"/>
      <c r="HQ2" s="180"/>
      <c r="HR2" s="180"/>
      <c r="HS2" s="180"/>
      <c r="HT2" s="180"/>
      <c r="HU2" s="180"/>
      <c r="HV2" s="180"/>
      <c r="HW2" s="180"/>
      <c r="HX2" s="180"/>
      <c r="HY2" s="180"/>
      <c r="HZ2" s="180"/>
      <c r="IA2" s="180"/>
      <c r="IB2" s="180"/>
      <c r="IC2" s="180"/>
      <c r="ID2" s="180"/>
      <c r="IE2" s="180"/>
      <c r="IF2" s="180"/>
      <c r="IG2" s="180"/>
      <c r="IH2" s="180"/>
      <c r="II2" s="180"/>
      <c r="IJ2" s="180"/>
      <c r="IK2" s="180"/>
      <c r="IL2" s="180"/>
      <c r="IM2" s="180"/>
      <c r="IN2" s="180"/>
      <c r="IO2" s="180"/>
      <c r="IP2" s="180"/>
      <c r="IQ2" s="180"/>
      <c r="IR2" s="180"/>
      <c r="IS2" s="180"/>
      <c r="IT2" s="180"/>
      <c r="IU2" s="180"/>
      <c r="IV2" s="180"/>
      <c r="IW2" s="180"/>
    </row>
    <row r="3" customFormat="false" ht="45" hidden="false" customHeight="true" outlineLevel="0" collapsed="false">
      <c r="A3" s="383" t="s">
        <v>265</v>
      </c>
      <c r="B3" s="206" t="s">
        <v>266</v>
      </c>
      <c r="C3" s="378"/>
      <c r="D3" s="378"/>
      <c r="E3" s="378"/>
      <c r="F3" s="378"/>
      <c r="G3" s="206" t="s">
        <v>113</v>
      </c>
      <c r="H3" s="206" t="s">
        <v>267</v>
      </c>
      <c r="I3" s="206" t="s">
        <v>115</v>
      </c>
      <c r="J3" s="206" t="s">
        <v>116</v>
      </c>
      <c r="K3" s="206"/>
      <c r="L3" s="206"/>
      <c r="M3" s="206"/>
      <c r="N3" s="206"/>
      <c r="O3" s="206"/>
      <c r="P3" s="206"/>
      <c r="Q3" s="206"/>
      <c r="R3" s="206"/>
      <c r="S3" s="381"/>
      <c r="T3" s="382"/>
      <c r="U3" s="381"/>
      <c r="V3" s="384"/>
      <c r="W3" s="384"/>
      <c r="X3" s="384"/>
      <c r="Y3" s="384"/>
      <c r="Z3" s="384"/>
      <c r="AA3" s="384"/>
      <c r="AB3" s="384"/>
      <c r="AC3" s="384"/>
      <c r="AD3" s="384"/>
      <c r="AE3" s="384"/>
      <c r="AF3" s="384"/>
      <c r="AG3" s="384"/>
      <c r="AH3" s="384"/>
      <c r="AI3" s="384"/>
      <c r="AJ3" s="384"/>
      <c r="AK3" s="384"/>
      <c r="AL3" s="384"/>
      <c r="AM3" s="384"/>
      <c r="AN3" s="384"/>
      <c r="AO3" s="384"/>
      <c r="AP3" s="384"/>
      <c r="AQ3" s="384"/>
      <c r="AR3" s="384"/>
      <c r="AS3" s="384"/>
      <c r="AT3" s="384"/>
      <c r="AU3" s="384"/>
      <c r="AV3" s="384"/>
      <c r="AW3" s="384"/>
      <c r="AX3" s="384"/>
      <c r="AY3" s="384"/>
      <c r="AZ3" s="384"/>
      <c r="BA3" s="384"/>
      <c r="BB3" s="384"/>
      <c r="BC3" s="384"/>
      <c r="BD3" s="384"/>
      <c r="BE3" s="384"/>
      <c r="BF3" s="384"/>
      <c r="BG3" s="384"/>
      <c r="BH3" s="384"/>
      <c r="BI3" s="384"/>
      <c r="BJ3" s="384"/>
      <c r="BK3" s="384"/>
      <c r="BL3" s="384"/>
      <c r="BM3" s="384"/>
      <c r="BN3" s="384"/>
      <c r="BO3" s="384"/>
      <c r="BP3" s="384"/>
      <c r="BQ3" s="384"/>
      <c r="BR3" s="384"/>
      <c r="BS3" s="384"/>
      <c r="BT3" s="384"/>
      <c r="BU3" s="384"/>
      <c r="BV3" s="384"/>
      <c r="BW3" s="384"/>
      <c r="BX3" s="384"/>
      <c r="BY3" s="384"/>
      <c r="BZ3" s="384"/>
      <c r="CA3" s="384"/>
      <c r="CB3" s="384"/>
      <c r="CC3" s="384"/>
      <c r="CD3" s="384"/>
      <c r="CE3" s="384"/>
      <c r="CF3" s="384"/>
      <c r="CG3" s="384"/>
      <c r="CH3" s="384"/>
      <c r="CI3" s="384"/>
      <c r="CJ3" s="384"/>
      <c r="CK3" s="384"/>
      <c r="CL3" s="384"/>
      <c r="CM3" s="384"/>
      <c r="CN3" s="384"/>
      <c r="CO3" s="384"/>
      <c r="CP3" s="384"/>
      <c r="CQ3" s="384"/>
      <c r="CR3" s="384"/>
      <c r="CS3" s="384"/>
      <c r="CT3" s="384"/>
      <c r="CU3" s="384"/>
      <c r="CV3" s="384"/>
      <c r="CW3" s="384"/>
      <c r="CX3" s="384"/>
      <c r="CY3" s="384"/>
      <c r="CZ3" s="384"/>
      <c r="DA3" s="384"/>
      <c r="DB3" s="384"/>
      <c r="DC3" s="384"/>
      <c r="DD3" s="384"/>
      <c r="DE3" s="384"/>
      <c r="DF3" s="384"/>
      <c r="DG3" s="384"/>
      <c r="DH3" s="384"/>
      <c r="DI3" s="384"/>
      <c r="DJ3" s="384"/>
      <c r="DK3" s="384"/>
      <c r="DL3" s="384"/>
      <c r="DM3" s="384"/>
      <c r="DN3" s="384"/>
      <c r="DO3" s="384"/>
      <c r="DP3" s="384"/>
      <c r="DQ3" s="384"/>
      <c r="DR3" s="384"/>
      <c r="DS3" s="384"/>
      <c r="DT3" s="384"/>
      <c r="DU3" s="384"/>
      <c r="DV3" s="384"/>
      <c r="DW3" s="384"/>
      <c r="DX3" s="384"/>
      <c r="DY3" s="384"/>
      <c r="DZ3" s="384"/>
      <c r="EA3" s="384"/>
      <c r="EB3" s="384"/>
      <c r="EC3" s="384"/>
      <c r="ED3" s="384"/>
      <c r="EE3" s="384"/>
      <c r="EF3" s="384"/>
      <c r="EG3" s="384"/>
      <c r="EH3" s="384"/>
      <c r="EI3" s="384"/>
      <c r="EJ3" s="384"/>
      <c r="EK3" s="384"/>
      <c r="EL3" s="384"/>
      <c r="EM3" s="384"/>
      <c r="EN3" s="384"/>
      <c r="EO3" s="384"/>
      <c r="EP3" s="384"/>
      <c r="EQ3" s="384"/>
      <c r="ER3" s="384"/>
      <c r="ES3" s="384"/>
      <c r="ET3" s="384"/>
      <c r="EU3" s="384"/>
      <c r="EV3" s="384"/>
      <c r="EW3" s="384"/>
      <c r="EX3" s="384"/>
      <c r="EY3" s="384"/>
      <c r="EZ3" s="384"/>
      <c r="FA3" s="384"/>
      <c r="FB3" s="384"/>
      <c r="FC3" s="384"/>
      <c r="FD3" s="384"/>
      <c r="FE3" s="384"/>
      <c r="FF3" s="384"/>
      <c r="FG3" s="384"/>
      <c r="FH3" s="384"/>
      <c r="FI3" s="384"/>
      <c r="FJ3" s="384"/>
      <c r="FK3" s="384"/>
      <c r="FL3" s="384"/>
      <c r="FM3" s="384"/>
      <c r="FN3" s="384"/>
      <c r="FO3" s="384"/>
      <c r="FP3" s="384"/>
      <c r="FQ3" s="384"/>
      <c r="FR3" s="384"/>
      <c r="FS3" s="384"/>
      <c r="FT3" s="384"/>
      <c r="FU3" s="384"/>
      <c r="FV3" s="384"/>
      <c r="FW3" s="384"/>
      <c r="FX3" s="384"/>
      <c r="FY3" s="384"/>
      <c r="FZ3" s="384"/>
      <c r="GA3" s="384"/>
      <c r="GB3" s="384"/>
      <c r="GC3" s="384"/>
      <c r="GD3" s="384"/>
      <c r="GE3" s="384"/>
      <c r="GF3" s="384"/>
      <c r="GG3" s="384"/>
      <c r="GH3" s="384"/>
      <c r="GI3" s="384"/>
      <c r="GJ3" s="384"/>
      <c r="GK3" s="384"/>
      <c r="GL3" s="384"/>
      <c r="GM3" s="384"/>
      <c r="GN3" s="384"/>
      <c r="GO3" s="384"/>
      <c r="GP3" s="384"/>
      <c r="GQ3" s="384"/>
      <c r="GR3" s="384"/>
      <c r="GS3" s="384"/>
      <c r="GT3" s="384"/>
      <c r="GU3" s="384"/>
      <c r="GV3" s="384"/>
      <c r="GW3" s="384"/>
      <c r="GX3" s="384"/>
      <c r="GY3" s="384"/>
      <c r="GZ3" s="384"/>
      <c r="HA3" s="384"/>
      <c r="HB3" s="384"/>
      <c r="HC3" s="384"/>
      <c r="HD3" s="384"/>
      <c r="HE3" s="384"/>
      <c r="HF3" s="384"/>
      <c r="HG3" s="384"/>
      <c r="HH3" s="384"/>
      <c r="HI3" s="384"/>
      <c r="HJ3" s="384"/>
      <c r="HK3" s="384"/>
      <c r="HL3" s="384"/>
      <c r="HM3" s="384"/>
      <c r="HN3" s="384"/>
      <c r="HO3" s="384"/>
      <c r="HP3" s="384"/>
      <c r="HQ3" s="384"/>
      <c r="HR3" s="384"/>
      <c r="HS3" s="384"/>
      <c r="HT3" s="384"/>
      <c r="HU3" s="384"/>
      <c r="HV3" s="384"/>
      <c r="HW3" s="384"/>
      <c r="HX3" s="384"/>
      <c r="HY3" s="384"/>
      <c r="HZ3" s="384"/>
      <c r="IA3" s="384"/>
      <c r="IB3" s="384"/>
      <c r="IC3" s="384"/>
      <c r="ID3" s="384"/>
      <c r="IE3" s="384"/>
      <c r="IF3" s="384"/>
      <c r="IG3" s="384"/>
      <c r="IH3" s="384"/>
      <c r="II3" s="384"/>
      <c r="IJ3" s="384"/>
      <c r="IK3" s="384"/>
      <c r="IL3" s="384"/>
      <c r="IM3" s="384"/>
      <c r="IN3" s="384"/>
      <c r="IO3" s="384"/>
      <c r="IP3" s="384"/>
      <c r="IQ3" s="384"/>
      <c r="IR3" s="384"/>
      <c r="IS3" s="384"/>
      <c r="IT3" s="384"/>
      <c r="IU3" s="384"/>
      <c r="IV3" s="384"/>
      <c r="IW3" s="384"/>
    </row>
    <row r="4" customFormat="false" ht="12.75" hidden="false" customHeight="false" outlineLevel="0" collapsed="false">
      <c r="A4" s="385" t="str">
        <f aca="false">IF((E1&lt;&gt;0),Admin!$B$14," ")</f>
        <v> </v>
      </c>
      <c r="B4" s="206"/>
      <c r="C4" s="206"/>
      <c r="D4" s="206"/>
      <c r="E4" s="206"/>
      <c r="F4" s="206"/>
      <c r="G4" s="374" t="s">
        <v>268</v>
      </c>
      <c r="H4" s="374" t="s">
        <v>269</v>
      </c>
      <c r="I4" s="374" t="s">
        <v>270</v>
      </c>
      <c r="J4" s="374" t="s">
        <v>271</v>
      </c>
      <c r="K4" s="374" t="s">
        <v>272</v>
      </c>
      <c r="L4" s="374" t="s">
        <v>273</v>
      </c>
      <c r="M4" s="374" t="s">
        <v>274</v>
      </c>
      <c r="N4" s="374" t="s">
        <v>275</v>
      </c>
      <c r="O4" s="374" t="s">
        <v>276</v>
      </c>
      <c r="P4" s="374" t="s">
        <v>277</v>
      </c>
      <c r="Q4" s="374" t="s">
        <v>278</v>
      </c>
      <c r="R4" s="374" t="s">
        <v>279</v>
      </c>
      <c r="S4" s="386" t="s">
        <v>280</v>
      </c>
      <c r="T4" s="382"/>
      <c r="U4" s="393" t="n">
        <f aca="false">IF((A1&lt;Admin!$F$22),((A1-PurchasesDec!A1)*Admin!$G$21),(A1*Admin!$G$21-(A1-Admin!$F$21)*(Admin!$G$21-Admin!$G$22)-PurchasesDec!A2))</f>
        <v>0</v>
      </c>
      <c r="V4" s="387"/>
      <c r="W4" s="387"/>
      <c r="X4" s="387"/>
      <c r="Y4" s="387"/>
      <c r="Z4" s="387"/>
      <c r="AA4" s="387"/>
      <c r="AB4" s="387"/>
      <c r="AC4" s="387"/>
      <c r="AD4" s="387"/>
      <c r="AE4" s="387"/>
      <c r="AF4" s="387"/>
      <c r="AG4" s="387"/>
      <c r="AH4" s="387"/>
      <c r="AI4" s="387"/>
      <c r="AJ4" s="387"/>
      <c r="AK4" s="387"/>
      <c r="AL4" s="387"/>
      <c r="AM4" s="387"/>
      <c r="AN4" s="387"/>
      <c r="AO4" s="387"/>
      <c r="AP4" s="387"/>
      <c r="AQ4" s="387"/>
      <c r="AR4" s="387"/>
      <c r="AS4" s="387"/>
      <c r="AT4" s="387"/>
      <c r="AU4" s="387"/>
      <c r="AV4" s="387"/>
      <c r="AW4" s="387"/>
      <c r="AX4" s="387"/>
      <c r="AY4" s="387"/>
      <c r="AZ4" s="387"/>
      <c r="BA4" s="387"/>
      <c r="BB4" s="387"/>
      <c r="BC4" s="387"/>
      <c r="BD4" s="387"/>
      <c r="BE4" s="387"/>
      <c r="BF4" s="387"/>
      <c r="BG4" s="387"/>
      <c r="BH4" s="387"/>
      <c r="BI4" s="387"/>
      <c r="BJ4" s="387"/>
      <c r="BK4" s="387"/>
      <c r="BL4" s="387"/>
      <c r="BM4" s="387"/>
      <c r="BN4" s="387"/>
      <c r="BO4" s="387"/>
      <c r="BP4" s="387"/>
      <c r="BQ4" s="387"/>
      <c r="BR4" s="387"/>
      <c r="BS4" s="387"/>
      <c r="BT4" s="387"/>
      <c r="BU4" s="387"/>
      <c r="BV4" s="387"/>
      <c r="BW4" s="387"/>
      <c r="BX4" s="387"/>
      <c r="BY4" s="387"/>
      <c r="BZ4" s="387"/>
      <c r="CA4" s="387"/>
      <c r="CB4" s="387"/>
      <c r="CC4" s="387"/>
      <c r="CD4" s="387"/>
      <c r="CE4" s="387"/>
      <c r="CF4" s="387"/>
      <c r="CG4" s="387"/>
      <c r="CH4" s="387"/>
      <c r="CI4" s="387"/>
      <c r="CJ4" s="387"/>
      <c r="CK4" s="387"/>
      <c r="CL4" s="387"/>
      <c r="CM4" s="387"/>
      <c r="CN4" s="387"/>
      <c r="CO4" s="387"/>
      <c r="CP4" s="387"/>
      <c r="CQ4" s="387"/>
      <c r="CR4" s="387"/>
      <c r="CS4" s="387"/>
      <c r="CT4" s="387"/>
      <c r="CU4" s="387"/>
      <c r="CV4" s="387"/>
      <c r="CW4" s="387"/>
      <c r="CX4" s="387"/>
      <c r="CY4" s="387"/>
      <c r="CZ4" s="387"/>
      <c r="DA4" s="387"/>
      <c r="DB4" s="387"/>
      <c r="DC4" s="387"/>
      <c r="DD4" s="387"/>
      <c r="DE4" s="387"/>
      <c r="DF4" s="387"/>
      <c r="DG4" s="387"/>
      <c r="DH4" s="387"/>
      <c r="DI4" s="387"/>
      <c r="DJ4" s="387"/>
      <c r="DK4" s="387"/>
      <c r="DL4" s="387"/>
      <c r="DM4" s="387"/>
      <c r="DN4" s="387"/>
      <c r="DO4" s="387"/>
      <c r="DP4" s="387"/>
      <c r="DQ4" s="387"/>
      <c r="DR4" s="387"/>
      <c r="DS4" s="387"/>
      <c r="DT4" s="387"/>
      <c r="DU4" s="387"/>
      <c r="DV4" s="387"/>
      <c r="DW4" s="387"/>
      <c r="DX4" s="387"/>
      <c r="DY4" s="387"/>
      <c r="DZ4" s="387"/>
      <c r="EA4" s="387"/>
      <c r="EB4" s="387"/>
      <c r="EC4" s="387"/>
      <c r="ED4" s="387"/>
      <c r="EE4" s="387"/>
      <c r="EF4" s="387"/>
      <c r="EG4" s="387"/>
      <c r="EH4" s="387"/>
      <c r="EI4" s="387"/>
      <c r="EJ4" s="387"/>
      <c r="EK4" s="387"/>
      <c r="EL4" s="387"/>
      <c r="EM4" s="387"/>
      <c r="EN4" s="387"/>
      <c r="EO4" s="387"/>
      <c r="EP4" s="387"/>
      <c r="EQ4" s="387"/>
      <c r="ER4" s="387"/>
      <c r="ES4" s="387"/>
      <c r="ET4" s="387"/>
      <c r="EU4" s="387"/>
      <c r="EV4" s="387"/>
      <c r="EW4" s="387"/>
      <c r="EX4" s="387"/>
      <c r="EY4" s="387"/>
      <c r="EZ4" s="387"/>
      <c r="FA4" s="387"/>
      <c r="FB4" s="387"/>
      <c r="FC4" s="387"/>
      <c r="FD4" s="387"/>
      <c r="FE4" s="387"/>
      <c r="FF4" s="387"/>
      <c r="FG4" s="387"/>
      <c r="FH4" s="387"/>
      <c r="FI4" s="387"/>
      <c r="FJ4" s="387"/>
      <c r="FK4" s="387"/>
      <c r="FL4" s="387"/>
      <c r="FM4" s="387"/>
      <c r="FN4" s="387"/>
      <c r="FO4" s="387"/>
      <c r="FP4" s="387"/>
      <c r="FQ4" s="387"/>
      <c r="FR4" s="387"/>
      <c r="FS4" s="387"/>
      <c r="FT4" s="387"/>
      <c r="FU4" s="387"/>
      <c r="FV4" s="387"/>
      <c r="FW4" s="387"/>
      <c r="FX4" s="387"/>
      <c r="FY4" s="387"/>
      <c r="FZ4" s="387"/>
      <c r="GA4" s="387"/>
      <c r="GB4" s="387"/>
      <c r="GC4" s="387"/>
      <c r="GD4" s="387"/>
      <c r="GE4" s="387"/>
      <c r="GF4" s="387"/>
      <c r="GG4" s="387"/>
      <c r="GH4" s="387"/>
      <c r="GI4" s="387"/>
      <c r="GJ4" s="387"/>
      <c r="GK4" s="387"/>
      <c r="GL4" s="387"/>
      <c r="GM4" s="387"/>
      <c r="GN4" s="387"/>
      <c r="GO4" s="387"/>
      <c r="GP4" s="387"/>
      <c r="GQ4" s="387"/>
      <c r="GR4" s="387"/>
      <c r="GS4" s="387"/>
      <c r="GT4" s="387"/>
      <c r="GU4" s="387"/>
      <c r="GV4" s="387"/>
      <c r="GW4" s="387"/>
      <c r="GX4" s="387"/>
      <c r="GY4" s="387"/>
      <c r="GZ4" s="387"/>
      <c r="HA4" s="387"/>
      <c r="HB4" s="387"/>
      <c r="HC4" s="387"/>
      <c r="HD4" s="387"/>
      <c r="HE4" s="387"/>
      <c r="HF4" s="387"/>
      <c r="HG4" s="387"/>
      <c r="HH4" s="387"/>
      <c r="HI4" s="387"/>
      <c r="HJ4" s="387"/>
      <c r="HK4" s="387"/>
      <c r="HL4" s="387"/>
      <c r="HM4" s="387"/>
      <c r="HN4" s="387"/>
      <c r="HO4" s="387"/>
      <c r="HP4" s="387"/>
      <c r="HQ4" s="387"/>
      <c r="HR4" s="387"/>
      <c r="HS4" s="387"/>
      <c r="HT4" s="387"/>
      <c r="HU4" s="387"/>
      <c r="HV4" s="387"/>
      <c r="HW4" s="387"/>
      <c r="HX4" s="387"/>
      <c r="HY4" s="387"/>
      <c r="HZ4" s="387"/>
      <c r="IA4" s="387"/>
      <c r="IB4" s="387"/>
      <c r="IC4" s="387"/>
      <c r="ID4" s="387"/>
      <c r="IE4" s="387"/>
      <c r="IF4" s="387"/>
      <c r="IG4" s="387"/>
      <c r="IH4" s="387"/>
      <c r="II4" s="387"/>
      <c r="IJ4" s="387"/>
      <c r="IK4" s="387"/>
      <c r="IL4" s="387"/>
      <c r="IM4" s="387"/>
      <c r="IN4" s="387"/>
      <c r="IO4" s="387"/>
      <c r="IP4" s="387"/>
      <c r="IQ4" s="387"/>
      <c r="IR4" s="387"/>
      <c r="IS4" s="387"/>
      <c r="IT4" s="387"/>
      <c r="IU4" s="387"/>
      <c r="IV4" s="387"/>
      <c r="IW4" s="387"/>
    </row>
    <row r="5" customFormat="false" ht="12.75" hidden="false" customHeight="false" outlineLevel="0" collapsed="false">
      <c r="A5" s="370" t="n">
        <v>46397</v>
      </c>
      <c r="B5" s="388" t="s">
        <v>288</v>
      </c>
      <c r="C5" s="371"/>
      <c r="D5" s="371" t="s">
        <v>289</v>
      </c>
      <c r="F5" s="371" t="n">
        <v>120</v>
      </c>
      <c r="G5" s="180" t="str">
        <f aca="false">IF((D5="d"),F5," ")</f>
        <v> </v>
      </c>
      <c r="H5" s="180" t="str">
        <f aca="false">IF((D5="h"),F5," ")</f>
        <v> </v>
      </c>
      <c r="I5" s="180" t="str">
        <f aca="false">IF((D5="r"),F5," ")</f>
        <v> </v>
      </c>
      <c r="J5" s="180" t="str">
        <f aca="false">IF((D5="t"),F5," ")</f>
        <v> </v>
      </c>
      <c r="K5" s="180" t="str">
        <f aca="false">IF((D5="e"),F5," ")</f>
        <v> </v>
      </c>
      <c r="L5" s="180" t="str">
        <f aca="false">IF((D5="p"),F5," ")</f>
        <v> </v>
      </c>
      <c r="M5" s="180" t="n">
        <f aca="false">IF((D5="g"),F5," ")</f>
        <v>120</v>
      </c>
      <c r="N5" s="180" t="str">
        <f aca="false">IF((D5="a"),F5," ")</f>
        <v> </v>
      </c>
      <c r="O5" s="180" t="str">
        <f aca="false">IF((D5="l"),F5," ")</f>
        <v> </v>
      </c>
      <c r="P5" s="180" t="str">
        <f aca="false">IF((D5="i"),F5," ")</f>
        <v> </v>
      </c>
      <c r="Q5" s="180" t="str">
        <f aca="false">IF((D5="b"),F5," ")</f>
        <v> </v>
      </c>
      <c r="R5" s="180" t="str">
        <f aca="false">IF((D5="o"),F5," ")</f>
        <v> </v>
      </c>
      <c r="S5" s="180" t="str">
        <f aca="false">IF((D5="f"),F5," ")</f>
        <v> </v>
      </c>
      <c r="T5" s="371"/>
      <c r="U5" s="371"/>
      <c r="V5" s="371"/>
      <c r="W5" s="371"/>
      <c r="X5" s="371"/>
      <c r="Y5" s="371"/>
      <c r="Z5" s="371"/>
      <c r="AA5" s="371"/>
      <c r="AB5" s="371"/>
      <c r="AC5" s="371"/>
      <c r="AD5" s="371"/>
      <c r="AE5" s="371"/>
      <c r="AF5" s="371"/>
      <c r="AG5" s="371"/>
      <c r="AH5" s="371"/>
      <c r="AI5" s="371"/>
      <c r="AJ5" s="371"/>
      <c r="AK5" s="371"/>
      <c r="AL5" s="371"/>
      <c r="AM5" s="371"/>
      <c r="AN5" s="371"/>
      <c r="AO5" s="371"/>
      <c r="AP5" s="371"/>
      <c r="AQ5" s="371"/>
      <c r="AR5" s="371"/>
      <c r="AS5" s="371"/>
      <c r="AT5" s="371"/>
      <c r="AU5" s="371"/>
      <c r="AV5" s="371"/>
      <c r="AW5" s="371"/>
      <c r="AX5" s="371"/>
      <c r="AY5" s="371"/>
      <c r="AZ5" s="371"/>
      <c r="BA5" s="371"/>
      <c r="BB5" s="371"/>
      <c r="BC5" s="371"/>
      <c r="BD5" s="371"/>
      <c r="BE5" s="371"/>
      <c r="BF5" s="371"/>
      <c r="BG5" s="371"/>
      <c r="BH5" s="371"/>
      <c r="BI5" s="371"/>
      <c r="BJ5" s="371"/>
      <c r="BK5" s="371"/>
      <c r="BL5" s="371"/>
      <c r="BM5" s="371"/>
      <c r="BN5" s="371"/>
      <c r="BO5" s="371"/>
      <c r="BP5" s="371"/>
      <c r="BQ5" s="371"/>
      <c r="BR5" s="371"/>
      <c r="BS5" s="371"/>
      <c r="BT5" s="371"/>
      <c r="BU5" s="371"/>
      <c r="BV5" s="371"/>
      <c r="BW5" s="371"/>
      <c r="BX5" s="371"/>
      <c r="BY5" s="371"/>
      <c r="BZ5" s="371"/>
      <c r="CA5" s="371"/>
      <c r="CB5" s="371"/>
      <c r="CC5" s="371"/>
      <c r="CD5" s="371"/>
      <c r="CE5" s="371"/>
      <c r="CF5" s="371"/>
      <c r="CG5" s="371"/>
      <c r="CH5" s="371"/>
      <c r="CI5" s="371"/>
      <c r="CJ5" s="371"/>
      <c r="CK5" s="371"/>
      <c r="CL5" s="371"/>
      <c r="CM5" s="371"/>
      <c r="CN5" s="371"/>
      <c r="CO5" s="371"/>
      <c r="CP5" s="371"/>
      <c r="CQ5" s="371"/>
      <c r="CR5" s="371"/>
      <c r="CS5" s="371"/>
      <c r="CT5" s="371"/>
      <c r="CU5" s="371"/>
      <c r="CV5" s="371"/>
      <c r="CW5" s="371"/>
      <c r="CX5" s="371"/>
      <c r="CY5" s="371"/>
      <c r="CZ5" s="371"/>
      <c r="DA5" s="371"/>
      <c r="DB5" s="371"/>
      <c r="DC5" s="371"/>
      <c r="DD5" s="371"/>
      <c r="DE5" s="371"/>
      <c r="DF5" s="371"/>
      <c r="DG5" s="371"/>
      <c r="DH5" s="371"/>
      <c r="DI5" s="371"/>
      <c r="DJ5" s="371"/>
      <c r="DK5" s="371"/>
      <c r="DL5" s="371"/>
      <c r="DM5" s="371"/>
      <c r="DN5" s="371"/>
      <c r="DO5" s="371"/>
      <c r="DP5" s="371"/>
      <c r="DQ5" s="371"/>
      <c r="DR5" s="371"/>
      <c r="DS5" s="371"/>
      <c r="DT5" s="371"/>
      <c r="DU5" s="371"/>
      <c r="DV5" s="371"/>
      <c r="DW5" s="371"/>
      <c r="DX5" s="371"/>
      <c r="DY5" s="371"/>
      <c r="DZ5" s="371"/>
      <c r="EA5" s="371"/>
      <c r="EB5" s="371"/>
      <c r="EC5" s="371"/>
      <c r="ED5" s="371"/>
      <c r="EE5" s="371"/>
      <c r="EF5" s="371"/>
      <c r="EG5" s="371"/>
      <c r="EH5" s="371"/>
      <c r="EI5" s="371"/>
      <c r="EJ5" s="371"/>
      <c r="EK5" s="371"/>
      <c r="EL5" s="371"/>
      <c r="EM5" s="371"/>
      <c r="EN5" s="371"/>
      <c r="EO5" s="371"/>
      <c r="EP5" s="371"/>
      <c r="EQ5" s="371"/>
      <c r="ER5" s="371"/>
      <c r="ES5" s="371"/>
      <c r="ET5" s="371"/>
      <c r="EU5" s="371"/>
      <c r="EV5" s="371"/>
      <c r="EW5" s="371"/>
      <c r="EX5" s="371"/>
      <c r="EY5" s="371"/>
      <c r="EZ5" s="371"/>
      <c r="FA5" s="371"/>
      <c r="FB5" s="371"/>
      <c r="FC5" s="371"/>
      <c r="FD5" s="371"/>
      <c r="FE5" s="371"/>
      <c r="FF5" s="371"/>
      <c r="FG5" s="371"/>
      <c r="FH5" s="371"/>
      <c r="FI5" s="371"/>
      <c r="FJ5" s="371"/>
      <c r="FK5" s="371"/>
      <c r="FL5" s="371"/>
      <c r="FM5" s="371"/>
      <c r="FN5" s="371"/>
      <c r="FO5" s="371"/>
      <c r="FP5" s="371"/>
      <c r="FQ5" s="371"/>
      <c r="FR5" s="371"/>
      <c r="FS5" s="371"/>
      <c r="FT5" s="371"/>
      <c r="FU5" s="371"/>
      <c r="FV5" s="371"/>
      <c r="FW5" s="371"/>
      <c r="FX5" s="371"/>
      <c r="FY5" s="371"/>
      <c r="FZ5" s="371"/>
      <c r="GA5" s="371"/>
      <c r="GB5" s="371"/>
      <c r="GC5" s="371"/>
      <c r="GD5" s="371"/>
      <c r="GE5" s="371"/>
      <c r="GF5" s="371"/>
      <c r="GG5" s="371"/>
      <c r="GH5" s="371"/>
      <c r="GI5" s="371"/>
      <c r="GJ5" s="371"/>
      <c r="GK5" s="371"/>
      <c r="GL5" s="371"/>
      <c r="GM5" s="371"/>
      <c r="GN5" s="371"/>
      <c r="GO5" s="371"/>
      <c r="GP5" s="371"/>
      <c r="GQ5" s="371"/>
      <c r="GR5" s="371"/>
      <c r="GS5" s="371"/>
      <c r="GT5" s="371"/>
      <c r="GU5" s="371"/>
      <c r="GV5" s="371"/>
      <c r="GW5" s="371"/>
      <c r="GX5" s="371"/>
      <c r="GY5" s="371"/>
      <c r="GZ5" s="371"/>
      <c r="HA5" s="371"/>
      <c r="HB5" s="371"/>
      <c r="HC5" s="371"/>
      <c r="HD5" s="371"/>
      <c r="HE5" s="371"/>
      <c r="HF5" s="371"/>
      <c r="HG5" s="371"/>
      <c r="HH5" s="371"/>
      <c r="HI5" s="371"/>
      <c r="HJ5" s="371"/>
      <c r="HK5" s="371"/>
      <c r="HL5" s="371"/>
      <c r="HM5" s="371"/>
      <c r="HN5" s="371"/>
      <c r="HO5" s="371"/>
      <c r="HP5" s="371"/>
      <c r="HQ5" s="371"/>
      <c r="HR5" s="371"/>
      <c r="HS5" s="371"/>
      <c r="HT5" s="371"/>
      <c r="HU5" s="371"/>
      <c r="HV5" s="371"/>
      <c r="HW5" s="371"/>
      <c r="HX5" s="371"/>
      <c r="HY5" s="371"/>
      <c r="HZ5" s="371"/>
      <c r="IA5" s="371"/>
      <c r="IB5" s="371"/>
      <c r="IC5" s="371"/>
      <c r="ID5" s="371"/>
      <c r="IE5" s="371"/>
      <c r="IF5" s="371"/>
      <c r="IG5" s="371"/>
      <c r="IH5" s="371"/>
      <c r="II5" s="371"/>
      <c r="IJ5" s="371"/>
      <c r="IK5" s="371"/>
      <c r="IL5" s="371"/>
      <c r="IM5" s="371"/>
      <c r="IN5" s="371"/>
      <c r="IO5" s="371"/>
      <c r="IP5" s="371"/>
      <c r="IQ5" s="371"/>
      <c r="IR5" s="371"/>
      <c r="IS5" s="371"/>
      <c r="IT5" s="371"/>
      <c r="IU5" s="371"/>
      <c r="IV5" s="371"/>
      <c r="IW5" s="371"/>
    </row>
    <row r="6" customFormat="false" ht="12.75" hidden="false" customHeight="false" outlineLevel="0" collapsed="false">
      <c r="A6" s="370" t="n">
        <v>46402</v>
      </c>
      <c r="B6" s="179" t="s">
        <v>286</v>
      </c>
      <c r="D6" s="371" t="s">
        <v>287</v>
      </c>
      <c r="F6" s="372" t="n">
        <v>300</v>
      </c>
      <c r="G6" s="180" t="n">
        <f aca="false">IF((D6="d"),F6," ")</f>
        <v>300</v>
      </c>
      <c r="H6" s="180" t="str">
        <f aca="false">IF((D6="h"),F6," ")</f>
        <v> </v>
      </c>
      <c r="I6" s="180" t="str">
        <f aca="false">IF((D6="r"),F6," ")</f>
        <v> </v>
      </c>
      <c r="J6" s="180" t="str">
        <f aca="false">IF((D6="t"),F6," ")</f>
        <v> </v>
      </c>
      <c r="K6" s="180" t="str">
        <f aca="false">IF((D6="e"),F6," ")</f>
        <v> </v>
      </c>
      <c r="L6" s="180" t="str">
        <f aca="false">IF((D6="p"),F6," ")</f>
        <v> </v>
      </c>
      <c r="M6" s="180" t="str">
        <f aca="false">IF((D6="g"),F6," ")</f>
        <v> </v>
      </c>
      <c r="N6" s="180" t="str">
        <f aca="false">IF((D6="a"),F6," ")</f>
        <v> </v>
      </c>
      <c r="O6" s="180" t="str">
        <f aca="false">IF((D6="l"),F6," ")</f>
        <v> </v>
      </c>
      <c r="P6" s="180" t="str">
        <f aca="false">IF((D6="i"),F6," ")</f>
        <v> </v>
      </c>
      <c r="Q6" s="180" t="str">
        <f aca="false">IF((D6="b"),F6," ")</f>
        <v> </v>
      </c>
      <c r="R6" s="180" t="str">
        <f aca="false">IF((D6="o"),F6," ")</f>
        <v> </v>
      </c>
      <c r="S6" s="180" t="str">
        <f aca="false">IF((D6="f"),F6," ")</f>
        <v> </v>
      </c>
      <c r="U6" s="371"/>
    </row>
    <row r="7" customFormat="false" ht="12.75" hidden="false" customHeight="false" outlineLevel="0" collapsed="false">
      <c r="A7" s="370" t="n">
        <v>46407</v>
      </c>
      <c r="B7" s="179" t="s">
        <v>294</v>
      </c>
      <c r="D7" s="371" t="s">
        <v>284</v>
      </c>
      <c r="F7" s="372" t="n">
        <v>500</v>
      </c>
      <c r="G7" s="180" t="str">
        <f aca="false">IF((D7="d"),F7," ")</f>
        <v> </v>
      </c>
      <c r="H7" s="180" t="str">
        <f aca="false">IF((D7="h"),F7," ")</f>
        <v> </v>
      </c>
      <c r="I7" s="180" t="str">
        <f aca="false">IF((D7="r"),F7," ")</f>
        <v> </v>
      </c>
      <c r="J7" s="180" t="str">
        <f aca="false">IF((D7="t"),F7," ")</f>
        <v> </v>
      </c>
      <c r="K7" s="180" t="str">
        <f aca="false">IF((D7="e"),F7," ")</f>
        <v> </v>
      </c>
      <c r="L7" s="180" t="str">
        <f aca="false">IF((D7="p"),F7," ")</f>
        <v> </v>
      </c>
      <c r="M7" s="180" t="str">
        <f aca="false">IF((D7="g"),F7," ")</f>
        <v> </v>
      </c>
      <c r="N7" s="180" t="str">
        <f aca="false">IF((D7="a"),F7," ")</f>
        <v> </v>
      </c>
      <c r="O7" s="180" t="n">
        <f aca="false">IF((D7="l"),F7," ")</f>
        <v>500</v>
      </c>
      <c r="P7" s="180" t="str">
        <f aca="false">IF((D7="i"),F7," ")</f>
        <v> </v>
      </c>
      <c r="Q7" s="180" t="str">
        <f aca="false">IF((D7="b"),F7," ")</f>
        <v> </v>
      </c>
      <c r="R7" s="180" t="str">
        <f aca="false">IF((D7="o"),F7," ")</f>
        <v> </v>
      </c>
      <c r="S7" s="180" t="str">
        <f aca="false">IF((D7="f"),F7," ")</f>
        <v> </v>
      </c>
      <c r="U7" s="371"/>
    </row>
    <row r="8" customFormat="false" ht="12.75" hidden="false" customHeight="false" outlineLevel="0" collapsed="false">
      <c r="G8" s="180" t="str">
        <f aca="false">IF((D8="d"),F8," ")</f>
        <v> </v>
      </c>
      <c r="H8" s="180" t="str">
        <f aca="false">IF((D8="h"),F8," ")</f>
        <v> </v>
      </c>
      <c r="I8" s="180" t="str">
        <f aca="false">IF((D8="r"),F8," ")</f>
        <v> </v>
      </c>
      <c r="J8" s="180" t="str">
        <f aca="false">IF((D8="t"),F8," ")</f>
        <v> </v>
      </c>
      <c r="K8" s="180" t="str">
        <f aca="false">IF((D8="e"),F8," ")</f>
        <v> </v>
      </c>
      <c r="L8" s="180" t="str">
        <f aca="false">IF((D8="p"),F8," ")</f>
        <v> </v>
      </c>
      <c r="M8" s="180" t="str">
        <f aca="false">IF((D8="g"),F8," ")</f>
        <v> </v>
      </c>
      <c r="N8" s="180" t="str">
        <f aca="false">IF((D8="a"),F8," ")</f>
        <v> </v>
      </c>
      <c r="O8" s="180" t="str">
        <f aca="false">IF((D8="l"),F8," ")</f>
        <v> </v>
      </c>
      <c r="P8" s="180" t="str">
        <f aca="false">IF((D8="i"),F8," ")</f>
        <v> </v>
      </c>
      <c r="Q8" s="180" t="str">
        <f aca="false">IF((D8="b"),F8," ")</f>
        <v> </v>
      </c>
      <c r="R8" s="180" t="str">
        <f aca="false">IF((D8="o"),F8," ")</f>
        <v> </v>
      </c>
      <c r="S8" s="180" t="str">
        <f aca="false">IF((D8="f"),F8," ")</f>
        <v> </v>
      </c>
      <c r="U8" s="371"/>
    </row>
    <row r="9" customFormat="false" ht="12.75" hidden="false" customHeight="false" outlineLevel="0" collapsed="false">
      <c r="G9" s="180" t="str">
        <f aca="false">IF((D9="d"),F9," ")</f>
        <v> </v>
      </c>
      <c r="H9" s="180" t="str">
        <f aca="false">IF((D9="h"),F9," ")</f>
        <v> </v>
      </c>
      <c r="I9" s="180" t="str">
        <f aca="false">IF((D9="r"),F9," ")</f>
        <v> </v>
      </c>
      <c r="J9" s="180" t="str">
        <f aca="false">IF((D9="t"),F9," ")</f>
        <v> </v>
      </c>
      <c r="K9" s="180" t="str">
        <f aca="false">IF((D9="e"),F9," ")</f>
        <v> </v>
      </c>
      <c r="L9" s="180" t="str">
        <f aca="false">IF((D9="p"),F9," ")</f>
        <v> </v>
      </c>
      <c r="M9" s="180" t="str">
        <f aca="false">IF((D9="g"),F9," ")</f>
        <v> </v>
      </c>
      <c r="N9" s="180" t="str">
        <f aca="false">IF((D9="a"),F9," ")</f>
        <v> </v>
      </c>
      <c r="O9" s="180" t="str">
        <f aca="false">IF((D9="l"),F9," ")</f>
        <v> </v>
      </c>
      <c r="P9" s="180" t="str">
        <f aca="false">IF((D9="i"),F9," ")</f>
        <v> </v>
      </c>
      <c r="Q9" s="180" t="str">
        <f aca="false">IF((D9="b"),F9," ")</f>
        <v> </v>
      </c>
      <c r="R9" s="180" t="str">
        <f aca="false">IF((D9="o"),F9," ")</f>
        <v> </v>
      </c>
      <c r="S9" s="180" t="str">
        <f aca="false">IF((D9="f"),F9," ")</f>
        <v> </v>
      </c>
      <c r="U9" s="371"/>
    </row>
    <row r="10" customFormat="false" ht="12.75" hidden="false" customHeight="false" outlineLevel="0" collapsed="false">
      <c r="G10" s="180" t="str">
        <f aca="false">IF((D10="d"),F10," ")</f>
        <v> </v>
      </c>
      <c r="H10" s="180" t="str">
        <f aca="false">IF((D10="h"),F10," ")</f>
        <v> </v>
      </c>
      <c r="I10" s="180" t="str">
        <f aca="false">IF((D10="r"),F10," ")</f>
        <v> </v>
      </c>
      <c r="J10" s="180" t="str">
        <f aca="false">IF((D10="t"),F10," ")</f>
        <v> </v>
      </c>
      <c r="K10" s="180" t="str">
        <f aca="false">IF((D10="e"),F10," ")</f>
        <v> </v>
      </c>
      <c r="L10" s="180" t="str">
        <f aca="false">IF((D10="p"),F10," ")</f>
        <v> </v>
      </c>
      <c r="M10" s="180" t="str">
        <f aca="false">IF((D10="g"),F10," ")</f>
        <v> </v>
      </c>
      <c r="N10" s="180" t="str">
        <f aca="false">IF((D10="a"),F10," ")</f>
        <v> </v>
      </c>
      <c r="O10" s="180" t="str">
        <f aca="false">IF((D10="l"),F10," ")</f>
        <v> </v>
      </c>
      <c r="P10" s="180" t="str">
        <f aca="false">IF((D10="i"),F10," ")</f>
        <v> </v>
      </c>
      <c r="Q10" s="180" t="str">
        <f aca="false">IF((D10="b"),F10," ")</f>
        <v> </v>
      </c>
      <c r="R10" s="180" t="str">
        <f aca="false">IF((D10="o"),F10," ")</f>
        <v> </v>
      </c>
      <c r="S10" s="180" t="str">
        <f aca="false">IF((D10="f"),F10," ")</f>
        <v> </v>
      </c>
      <c r="U10" s="371"/>
    </row>
    <row r="11" customFormat="false" ht="12.75" hidden="false" customHeight="false" outlineLevel="0" collapsed="false">
      <c r="G11" s="180" t="str">
        <f aca="false">IF((D11="d"),F11," ")</f>
        <v> </v>
      </c>
      <c r="H11" s="180" t="str">
        <f aca="false">IF((D11="h"),F11," ")</f>
        <v> </v>
      </c>
      <c r="I11" s="180" t="str">
        <f aca="false">IF((D11="r"),F11," ")</f>
        <v> </v>
      </c>
      <c r="J11" s="180" t="str">
        <f aca="false">IF((D11="t"),F11," ")</f>
        <v> </v>
      </c>
      <c r="K11" s="180" t="str">
        <f aca="false">IF((D11="e"),F11," ")</f>
        <v> </v>
      </c>
      <c r="L11" s="180" t="str">
        <f aca="false">IF((D11="p"),F11," ")</f>
        <v> </v>
      </c>
      <c r="M11" s="180" t="str">
        <f aca="false">IF((D11="g"),F11," ")</f>
        <v> </v>
      </c>
      <c r="N11" s="180" t="str">
        <f aca="false">IF((D11="a"),F11," ")</f>
        <v> </v>
      </c>
      <c r="O11" s="180" t="str">
        <f aca="false">IF((D11="l"),F11," ")</f>
        <v> </v>
      </c>
      <c r="P11" s="180" t="str">
        <f aca="false">IF((D11="i"),F11," ")</f>
        <v> </v>
      </c>
      <c r="Q11" s="180" t="str">
        <f aca="false">IF((D11="b"),F11," ")</f>
        <v> </v>
      </c>
      <c r="R11" s="180" t="str">
        <f aca="false">IF((D11="o"),F11," ")</f>
        <v> </v>
      </c>
      <c r="S11" s="180" t="str">
        <f aca="false">IF((D11="f"),F11," ")</f>
        <v> </v>
      </c>
      <c r="U11" s="371"/>
    </row>
    <row r="12" customFormat="false" ht="12.75" hidden="false" customHeight="false" outlineLevel="0" collapsed="false">
      <c r="G12" s="180" t="str">
        <f aca="false">IF((D12="d"),F12," ")</f>
        <v> </v>
      </c>
      <c r="H12" s="180" t="str">
        <f aca="false">IF((D12="h"),F12," ")</f>
        <v> </v>
      </c>
      <c r="I12" s="180" t="str">
        <f aca="false">IF((D12="r"),F12," ")</f>
        <v> </v>
      </c>
      <c r="J12" s="180" t="str">
        <f aca="false">IF((D12="t"),F12," ")</f>
        <v> </v>
      </c>
      <c r="K12" s="180" t="str">
        <f aca="false">IF((D12="e"),F12," ")</f>
        <v> </v>
      </c>
      <c r="L12" s="180" t="str">
        <f aca="false">IF((D12="p"),F12," ")</f>
        <v> </v>
      </c>
      <c r="M12" s="180" t="str">
        <f aca="false">IF((D12="g"),F12," ")</f>
        <v> </v>
      </c>
      <c r="N12" s="180" t="str">
        <f aca="false">IF((D12="a"),F12," ")</f>
        <v> </v>
      </c>
      <c r="O12" s="180" t="str">
        <f aca="false">IF((D12="l"),F12," ")</f>
        <v> </v>
      </c>
      <c r="P12" s="180" t="str">
        <f aca="false">IF((D12="i"),F12," ")</f>
        <v> </v>
      </c>
      <c r="Q12" s="180" t="str">
        <f aca="false">IF((D12="b"),F12," ")</f>
        <v> </v>
      </c>
      <c r="R12" s="180" t="str">
        <f aca="false">IF((D12="o"),F12," ")</f>
        <v> </v>
      </c>
      <c r="S12" s="180" t="str">
        <f aca="false">IF((D12="f"),F12," ")</f>
        <v> </v>
      </c>
      <c r="U12" s="371"/>
    </row>
    <row r="13" customFormat="false" ht="12.75" hidden="false" customHeight="false" outlineLevel="0" collapsed="false">
      <c r="G13" s="180" t="str">
        <f aca="false">IF((D13="d"),F13," ")</f>
        <v> </v>
      </c>
      <c r="H13" s="180" t="str">
        <f aca="false">IF((D13="h"),F13," ")</f>
        <v> </v>
      </c>
      <c r="I13" s="180" t="str">
        <f aca="false">IF((D13="r"),F13," ")</f>
        <v> </v>
      </c>
      <c r="J13" s="180" t="str">
        <f aca="false">IF((D13="t"),F13," ")</f>
        <v> </v>
      </c>
      <c r="K13" s="180" t="str">
        <f aca="false">IF((D13="e"),F13," ")</f>
        <v> </v>
      </c>
      <c r="L13" s="180" t="str">
        <f aca="false">IF((D13="p"),F13," ")</f>
        <v> </v>
      </c>
      <c r="M13" s="180" t="str">
        <f aca="false">IF((D13="g"),F13," ")</f>
        <v> </v>
      </c>
      <c r="N13" s="180" t="str">
        <f aca="false">IF((D13="a"),F13," ")</f>
        <v> </v>
      </c>
      <c r="O13" s="180" t="str">
        <f aca="false">IF((D13="l"),F13," ")</f>
        <v> </v>
      </c>
      <c r="P13" s="180" t="str">
        <f aca="false">IF((D13="i"),F13," ")</f>
        <v> </v>
      </c>
      <c r="Q13" s="180" t="str">
        <f aca="false">IF((D13="b"),F13," ")</f>
        <v> </v>
      </c>
      <c r="R13" s="180" t="str">
        <f aca="false">IF((D13="o"),F13," ")</f>
        <v> </v>
      </c>
      <c r="S13" s="180" t="str">
        <f aca="false">IF((D13="f"),F13," ")</f>
        <v> </v>
      </c>
      <c r="U13" s="371"/>
    </row>
    <row r="14" customFormat="false" ht="12.75" hidden="false" customHeight="false" outlineLevel="0" collapsed="false">
      <c r="G14" s="180" t="str">
        <f aca="false">IF((D14="d"),F14," ")</f>
        <v> </v>
      </c>
      <c r="H14" s="180" t="str">
        <f aca="false">IF((D14="h"),F14," ")</f>
        <v> </v>
      </c>
      <c r="I14" s="180" t="str">
        <f aca="false">IF((D14="r"),F14," ")</f>
        <v> </v>
      </c>
      <c r="J14" s="180" t="str">
        <f aca="false">IF((D14="t"),F14," ")</f>
        <v> </v>
      </c>
      <c r="K14" s="180" t="str">
        <f aca="false">IF((D14="e"),F14," ")</f>
        <v> </v>
      </c>
      <c r="L14" s="180" t="str">
        <f aca="false">IF((D14="p"),F14," ")</f>
        <v> </v>
      </c>
      <c r="M14" s="180" t="str">
        <f aca="false">IF((D14="g"),F14," ")</f>
        <v> </v>
      </c>
      <c r="N14" s="180" t="str">
        <f aca="false">IF((D14="a"),F14," ")</f>
        <v> </v>
      </c>
      <c r="O14" s="180" t="str">
        <f aca="false">IF((D14="l"),F14," ")</f>
        <v> </v>
      </c>
      <c r="P14" s="180" t="str">
        <f aca="false">IF((D14="i"),F14," ")</f>
        <v> </v>
      </c>
      <c r="Q14" s="180" t="str">
        <f aca="false">IF((D14="b"),F14," ")</f>
        <v> </v>
      </c>
      <c r="R14" s="180" t="str">
        <f aca="false">IF((D14="o"),F14," ")</f>
        <v> </v>
      </c>
      <c r="S14" s="180" t="str">
        <f aca="false">IF((D14="f"),F14," ")</f>
        <v> </v>
      </c>
      <c r="U14" s="371"/>
    </row>
    <row r="15" customFormat="false" ht="12.75" hidden="false" customHeight="false" outlineLevel="0" collapsed="false">
      <c r="G15" s="180" t="str">
        <f aca="false">IF((D15="d"),F15," ")</f>
        <v> </v>
      </c>
      <c r="H15" s="180" t="str">
        <f aca="false">IF((D15="h"),F15," ")</f>
        <v> </v>
      </c>
      <c r="I15" s="180" t="str">
        <f aca="false">IF((D15="r"),F15," ")</f>
        <v> </v>
      </c>
      <c r="J15" s="180" t="str">
        <f aca="false">IF((D15="t"),F15," ")</f>
        <v> </v>
      </c>
      <c r="K15" s="180" t="str">
        <f aca="false">IF((D15="e"),F15," ")</f>
        <v> </v>
      </c>
      <c r="L15" s="180" t="str">
        <f aca="false">IF((D15="p"),F15," ")</f>
        <v> </v>
      </c>
      <c r="M15" s="180" t="str">
        <f aca="false">IF((D15="g"),F15," ")</f>
        <v> </v>
      </c>
      <c r="N15" s="180" t="str">
        <f aca="false">IF((D15="a"),F15," ")</f>
        <v> </v>
      </c>
      <c r="O15" s="180" t="str">
        <f aca="false">IF((D15="l"),F15," ")</f>
        <v> </v>
      </c>
      <c r="P15" s="180" t="str">
        <f aca="false">IF((D15="i"),F15," ")</f>
        <v> </v>
      </c>
      <c r="Q15" s="180" t="str">
        <f aca="false">IF((D15="b"),F15," ")</f>
        <v> </v>
      </c>
      <c r="R15" s="180" t="str">
        <f aca="false">IF((D15="o"),F15," ")</f>
        <v> </v>
      </c>
      <c r="S15" s="180" t="str">
        <f aca="false">IF((D15="f"),F15," ")</f>
        <v> </v>
      </c>
      <c r="U15" s="371"/>
    </row>
    <row r="16" customFormat="false" ht="12.75" hidden="false" customHeight="false" outlineLevel="0" collapsed="false">
      <c r="G16" s="180" t="str">
        <f aca="false">IF((D16="d"),F16," ")</f>
        <v> </v>
      </c>
      <c r="H16" s="180" t="str">
        <f aca="false">IF((D16="h"),F16," ")</f>
        <v> </v>
      </c>
      <c r="I16" s="180" t="str">
        <f aca="false">IF((D16="r"),F16," ")</f>
        <v> </v>
      </c>
      <c r="J16" s="180" t="str">
        <f aca="false">IF((D16="t"),F16," ")</f>
        <v> </v>
      </c>
      <c r="K16" s="180" t="str">
        <f aca="false">IF((D16="e"),F16," ")</f>
        <v> </v>
      </c>
      <c r="L16" s="180" t="str">
        <f aca="false">IF((D16="p"),F16," ")</f>
        <v> </v>
      </c>
      <c r="M16" s="180" t="str">
        <f aca="false">IF((D16="g"),F16," ")</f>
        <v> </v>
      </c>
      <c r="N16" s="180" t="str">
        <f aca="false">IF((D16="a"),F16," ")</f>
        <v> </v>
      </c>
      <c r="O16" s="180" t="str">
        <f aca="false">IF((D16="l"),F16," ")</f>
        <v> </v>
      </c>
      <c r="P16" s="180" t="str">
        <f aca="false">IF((D16="i"),F16," ")</f>
        <v> </v>
      </c>
      <c r="Q16" s="180" t="str">
        <f aca="false">IF((D16="b"),F16," ")</f>
        <v> </v>
      </c>
      <c r="R16" s="180" t="str">
        <f aca="false">IF((D16="o"),F16," ")</f>
        <v> </v>
      </c>
      <c r="S16" s="180" t="str">
        <f aca="false">IF((D16="f"),F16," ")</f>
        <v> </v>
      </c>
      <c r="U16" s="371"/>
    </row>
    <row r="17" customFormat="false" ht="12.75" hidden="false" customHeight="false" outlineLevel="0" collapsed="false">
      <c r="G17" s="180" t="str">
        <f aca="false">IF((D17="d"),F17," ")</f>
        <v> </v>
      </c>
      <c r="H17" s="180" t="str">
        <f aca="false">IF((D17="h"),F17," ")</f>
        <v> </v>
      </c>
      <c r="I17" s="180" t="str">
        <f aca="false">IF((D17="r"),F17," ")</f>
        <v> </v>
      </c>
      <c r="J17" s="180" t="str">
        <f aca="false">IF((D17="t"),F17," ")</f>
        <v> </v>
      </c>
      <c r="K17" s="180" t="str">
        <f aca="false">IF((D17="e"),F17," ")</f>
        <v> </v>
      </c>
      <c r="L17" s="180" t="str">
        <f aca="false">IF((D17="p"),F17," ")</f>
        <v> </v>
      </c>
      <c r="M17" s="180" t="str">
        <f aca="false">IF((D17="g"),F17," ")</f>
        <v> </v>
      </c>
      <c r="N17" s="180" t="str">
        <f aca="false">IF((D17="a"),F17," ")</f>
        <v> </v>
      </c>
      <c r="O17" s="180" t="str">
        <f aca="false">IF((D17="l"),F17," ")</f>
        <v> </v>
      </c>
      <c r="P17" s="180" t="str">
        <f aca="false">IF((D17="i"),F17," ")</f>
        <v> </v>
      </c>
      <c r="Q17" s="180" t="str">
        <f aca="false">IF((D17="b"),F17," ")</f>
        <v> </v>
      </c>
      <c r="R17" s="180" t="str">
        <f aca="false">IF((D17="o"),F17," ")</f>
        <v> </v>
      </c>
      <c r="S17" s="180" t="str">
        <f aca="false">IF((D17="f"),F17," ")</f>
        <v> </v>
      </c>
      <c r="U17" s="371"/>
    </row>
    <row r="18" customFormat="false" ht="12.75" hidden="false" customHeight="false" outlineLevel="0" collapsed="false">
      <c r="G18" s="180" t="str">
        <f aca="false">IF((D18="d"),F18," ")</f>
        <v> </v>
      </c>
      <c r="H18" s="180" t="str">
        <f aca="false">IF((D18="h"),F18," ")</f>
        <v> </v>
      </c>
      <c r="I18" s="180" t="str">
        <f aca="false">IF((D18="r"),F18," ")</f>
        <v> </v>
      </c>
      <c r="J18" s="180" t="str">
        <f aca="false">IF((D18="t"),F18," ")</f>
        <v> </v>
      </c>
      <c r="K18" s="180" t="str">
        <f aca="false">IF((D18="e"),F18," ")</f>
        <v> </v>
      </c>
      <c r="L18" s="180" t="str">
        <f aca="false">IF((D18="p"),F18," ")</f>
        <v> </v>
      </c>
      <c r="M18" s="180" t="str">
        <f aca="false">IF((D18="g"),F18," ")</f>
        <v> </v>
      </c>
      <c r="N18" s="180" t="str">
        <f aca="false">IF((D18="a"),F18," ")</f>
        <v> </v>
      </c>
      <c r="O18" s="180" t="str">
        <f aca="false">IF((D18="l"),F18," ")</f>
        <v> </v>
      </c>
      <c r="P18" s="180" t="str">
        <f aca="false">IF((D18="i"),F18," ")</f>
        <v> </v>
      </c>
      <c r="Q18" s="180" t="str">
        <f aca="false">IF((D18="b"),F18," ")</f>
        <v> </v>
      </c>
      <c r="R18" s="180" t="str">
        <f aca="false">IF((D18="o"),F18," ")</f>
        <v> </v>
      </c>
      <c r="S18" s="180" t="str">
        <f aca="false">IF((D18="f"),F18," ")</f>
        <v> </v>
      </c>
      <c r="U18" s="371"/>
    </row>
    <row r="19" customFormat="false" ht="12.75" hidden="false" customHeight="false" outlineLevel="0" collapsed="false">
      <c r="G19" s="180" t="str">
        <f aca="false">IF((D19="d"),F19," ")</f>
        <v> </v>
      </c>
      <c r="H19" s="180" t="str">
        <f aca="false">IF((D19="h"),F19," ")</f>
        <v> </v>
      </c>
      <c r="I19" s="180" t="str">
        <f aca="false">IF((D19="r"),F19," ")</f>
        <v> </v>
      </c>
      <c r="J19" s="180" t="str">
        <f aca="false">IF((D19="t"),F19," ")</f>
        <v> </v>
      </c>
      <c r="K19" s="180" t="str">
        <f aca="false">IF((D19="e"),F19," ")</f>
        <v> </v>
      </c>
      <c r="L19" s="180" t="str">
        <f aca="false">IF((D19="p"),F19," ")</f>
        <v> </v>
      </c>
      <c r="M19" s="180" t="str">
        <f aca="false">IF((D19="g"),F19," ")</f>
        <v> </v>
      </c>
      <c r="N19" s="180" t="str">
        <f aca="false">IF((D19="a"),F19," ")</f>
        <v> </v>
      </c>
      <c r="O19" s="180" t="str">
        <f aca="false">IF((D19="l"),F19," ")</f>
        <v> </v>
      </c>
      <c r="P19" s="180" t="str">
        <f aca="false">IF((D19="i"),F19," ")</f>
        <v> </v>
      </c>
      <c r="Q19" s="180" t="str">
        <f aca="false">IF((D19="b"),F19," ")</f>
        <v> </v>
      </c>
      <c r="R19" s="180" t="str">
        <f aca="false">IF((D19="o"),F19," ")</f>
        <v> </v>
      </c>
      <c r="S19" s="180" t="str">
        <f aca="false">IF((D19="f"),F19," ")</f>
        <v> </v>
      </c>
      <c r="U19" s="371"/>
    </row>
    <row r="20" customFormat="false" ht="12.75" hidden="false" customHeight="false" outlineLevel="0" collapsed="false">
      <c r="G20" s="180" t="str">
        <f aca="false">IF((D20="d"),F20," ")</f>
        <v> </v>
      </c>
      <c r="H20" s="180" t="str">
        <f aca="false">IF((D20="h"),F20," ")</f>
        <v> </v>
      </c>
      <c r="I20" s="180" t="str">
        <f aca="false">IF((D20="r"),F20," ")</f>
        <v> </v>
      </c>
      <c r="J20" s="180" t="str">
        <f aca="false">IF((D20="t"),F20," ")</f>
        <v> </v>
      </c>
      <c r="K20" s="180" t="str">
        <f aca="false">IF((D20="e"),F20," ")</f>
        <v> </v>
      </c>
      <c r="L20" s="180" t="str">
        <f aca="false">IF((D20="p"),F20," ")</f>
        <v> </v>
      </c>
      <c r="M20" s="180" t="str">
        <f aca="false">IF((D20="g"),F20," ")</f>
        <v> </v>
      </c>
      <c r="N20" s="180" t="str">
        <f aca="false">IF((D20="a"),F20," ")</f>
        <v> </v>
      </c>
      <c r="O20" s="180" t="str">
        <f aca="false">IF((D20="l"),F20," ")</f>
        <v> </v>
      </c>
      <c r="P20" s="180" t="str">
        <f aca="false">IF((D20="i"),F20," ")</f>
        <v> </v>
      </c>
      <c r="Q20" s="180" t="str">
        <f aca="false">IF((D20="b"),F20," ")</f>
        <v> </v>
      </c>
      <c r="R20" s="180" t="str">
        <f aca="false">IF((D20="o"),F20," ")</f>
        <v> </v>
      </c>
      <c r="S20" s="180" t="str">
        <f aca="false">IF((D20="f"),F20," ")</f>
        <v> </v>
      </c>
      <c r="U20" s="371"/>
    </row>
    <row r="21" customFormat="false" ht="12.75" hidden="false" customHeight="false" outlineLevel="0" collapsed="false">
      <c r="G21" s="180" t="str">
        <f aca="false">IF((D21="d"),F21," ")</f>
        <v> </v>
      </c>
      <c r="H21" s="180" t="str">
        <f aca="false">IF((D21="h"),F21," ")</f>
        <v> </v>
      </c>
      <c r="I21" s="180" t="str">
        <f aca="false">IF((D21="r"),F21," ")</f>
        <v> </v>
      </c>
      <c r="J21" s="180" t="str">
        <f aca="false">IF((D21="t"),F21," ")</f>
        <v> </v>
      </c>
      <c r="K21" s="180" t="str">
        <f aca="false">IF((D21="e"),F21," ")</f>
        <v> </v>
      </c>
      <c r="L21" s="180" t="str">
        <f aca="false">IF((D21="p"),F21," ")</f>
        <v> </v>
      </c>
      <c r="M21" s="180" t="str">
        <f aca="false">IF((D21="g"),F21," ")</f>
        <v> </v>
      </c>
      <c r="N21" s="180" t="str">
        <f aca="false">IF((D21="a"),F21," ")</f>
        <v> </v>
      </c>
      <c r="O21" s="180" t="str">
        <f aca="false">IF((D21="l"),F21," ")</f>
        <v> </v>
      </c>
      <c r="P21" s="180" t="str">
        <f aca="false">IF((D21="i"),F21," ")</f>
        <v> </v>
      </c>
      <c r="Q21" s="180" t="str">
        <f aca="false">IF((D21="b"),F21," ")</f>
        <v> </v>
      </c>
      <c r="R21" s="180" t="str">
        <f aca="false">IF((D21="o"),F21," ")</f>
        <v> </v>
      </c>
      <c r="S21" s="180" t="str">
        <f aca="false">IF((D21="f"),F21," ")</f>
        <v> </v>
      </c>
      <c r="U21" s="371"/>
    </row>
    <row r="22" customFormat="false" ht="12.75" hidden="false" customHeight="false" outlineLevel="0" collapsed="false">
      <c r="G22" s="180" t="str">
        <f aca="false">IF((D22="d"),F22," ")</f>
        <v> </v>
      </c>
      <c r="H22" s="180" t="str">
        <f aca="false">IF((D22="h"),F22," ")</f>
        <v> </v>
      </c>
      <c r="I22" s="180" t="str">
        <f aca="false">IF((D22="r"),F22," ")</f>
        <v> </v>
      </c>
      <c r="J22" s="180" t="str">
        <f aca="false">IF((D22="t"),F22," ")</f>
        <v> </v>
      </c>
      <c r="K22" s="180" t="str">
        <f aca="false">IF((D22="e"),F22," ")</f>
        <v> </v>
      </c>
      <c r="L22" s="180" t="str">
        <f aca="false">IF((D22="p"),F22," ")</f>
        <v> </v>
      </c>
      <c r="M22" s="180" t="str">
        <f aca="false">IF((D22="g"),F22," ")</f>
        <v> </v>
      </c>
      <c r="N22" s="180" t="str">
        <f aca="false">IF((D22="a"),F22," ")</f>
        <v> </v>
      </c>
      <c r="O22" s="180" t="str">
        <f aca="false">IF((D22="l"),F22," ")</f>
        <v> </v>
      </c>
      <c r="P22" s="180" t="str">
        <f aca="false">IF((D22="i"),F22," ")</f>
        <v> </v>
      </c>
      <c r="Q22" s="180" t="str">
        <f aca="false">IF((D22="b"),F22," ")</f>
        <v> </v>
      </c>
      <c r="R22" s="180" t="str">
        <f aca="false">IF((D22="o"),F22," ")</f>
        <v> </v>
      </c>
      <c r="S22" s="180" t="str">
        <f aca="false">IF((D22="f"),F22," ")</f>
        <v> </v>
      </c>
      <c r="U22" s="371"/>
    </row>
    <row r="23" customFormat="false" ht="12.75" hidden="false" customHeight="false" outlineLevel="0" collapsed="false">
      <c r="G23" s="180" t="str">
        <f aca="false">IF((D23="d"),F23," ")</f>
        <v> </v>
      </c>
      <c r="H23" s="180" t="str">
        <f aca="false">IF((D23="h"),F23," ")</f>
        <v> </v>
      </c>
      <c r="I23" s="180" t="str">
        <f aca="false">IF((D23="r"),F23," ")</f>
        <v> </v>
      </c>
      <c r="J23" s="180" t="str">
        <f aca="false">IF((D23="t"),F23," ")</f>
        <v> </v>
      </c>
      <c r="K23" s="180" t="str">
        <f aca="false">IF((D23="e"),F23," ")</f>
        <v> </v>
      </c>
      <c r="L23" s="180" t="str">
        <f aca="false">IF((D23="p"),F23," ")</f>
        <v> </v>
      </c>
      <c r="M23" s="180" t="str">
        <f aca="false">IF((D23="g"),F23," ")</f>
        <v> </v>
      </c>
      <c r="N23" s="180" t="str">
        <f aca="false">IF((D23="a"),F23," ")</f>
        <v> </v>
      </c>
      <c r="O23" s="180" t="str">
        <f aca="false">IF((D23="l"),F23," ")</f>
        <v> </v>
      </c>
      <c r="P23" s="180" t="str">
        <f aca="false">IF((D23="i"),F23," ")</f>
        <v> </v>
      </c>
      <c r="Q23" s="180" t="str">
        <f aca="false">IF((D23="b"),F23," ")</f>
        <v> </v>
      </c>
      <c r="R23" s="180" t="str">
        <f aca="false">IF((D23="o"),F23," ")</f>
        <v> </v>
      </c>
      <c r="S23" s="180" t="str">
        <f aca="false">IF((D23="f"),F23," ")</f>
        <v> </v>
      </c>
      <c r="U23" s="371"/>
    </row>
    <row r="24" customFormat="false" ht="12.75" hidden="false" customHeight="false" outlineLevel="0" collapsed="false">
      <c r="G24" s="180" t="str">
        <f aca="false">IF((D24="d"),F24," ")</f>
        <v> </v>
      </c>
      <c r="H24" s="180" t="str">
        <f aca="false">IF((D24="h"),F24," ")</f>
        <v> </v>
      </c>
      <c r="I24" s="180" t="str">
        <f aca="false">IF((D24="r"),F24," ")</f>
        <v> </v>
      </c>
      <c r="J24" s="180" t="str">
        <f aca="false">IF((D24="t"),F24," ")</f>
        <v> </v>
      </c>
      <c r="K24" s="180" t="str">
        <f aca="false">IF((D24="e"),F24," ")</f>
        <v> </v>
      </c>
      <c r="L24" s="180" t="str">
        <f aca="false">IF((D24="p"),F24," ")</f>
        <v> </v>
      </c>
      <c r="M24" s="180" t="str">
        <f aca="false">IF((D24="g"),F24," ")</f>
        <v> </v>
      </c>
      <c r="N24" s="180" t="str">
        <f aca="false">IF((D24="a"),F24," ")</f>
        <v> </v>
      </c>
      <c r="O24" s="180" t="str">
        <f aca="false">IF((D24="l"),F24," ")</f>
        <v> </v>
      </c>
      <c r="P24" s="180" t="str">
        <f aca="false">IF((D24="i"),F24," ")</f>
        <v> </v>
      </c>
      <c r="Q24" s="180" t="str">
        <f aca="false">IF((D24="b"),F24," ")</f>
        <v> </v>
      </c>
      <c r="R24" s="180" t="str">
        <f aca="false">IF((D24="o"),F24," ")</f>
        <v> </v>
      </c>
      <c r="S24" s="180" t="str">
        <f aca="false">IF((D24="f"),F24," ")</f>
        <v> </v>
      </c>
      <c r="U24" s="371"/>
    </row>
    <row r="25" customFormat="false" ht="12.75" hidden="false" customHeight="false" outlineLevel="0" collapsed="false">
      <c r="G25" s="180" t="str">
        <f aca="false">IF((D25="d"),F25," ")</f>
        <v> </v>
      </c>
      <c r="H25" s="180" t="str">
        <f aca="false">IF((D25="h"),F25," ")</f>
        <v> </v>
      </c>
      <c r="I25" s="180" t="str">
        <f aca="false">IF((D25="r"),F25," ")</f>
        <v> </v>
      </c>
      <c r="J25" s="180" t="str">
        <f aca="false">IF((D25="t"),F25," ")</f>
        <v> </v>
      </c>
      <c r="K25" s="180" t="str">
        <f aca="false">IF((D25="e"),F25," ")</f>
        <v> </v>
      </c>
      <c r="L25" s="180" t="str">
        <f aca="false">IF((D25="p"),F25," ")</f>
        <v> </v>
      </c>
      <c r="M25" s="180" t="str">
        <f aca="false">IF((D25="g"),F25," ")</f>
        <v> </v>
      </c>
      <c r="N25" s="180" t="str">
        <f aca="false">IF((D25="a"),F25," ")</f>
        <v> </v>
      </c>
      <c r="O25" s="180" t="str">
        <f aca="false">IF((D25="l"),F25," ")</f>
        <v> </v>
      </c>
      <c r="P25" s="180" t="str">
        <f aca="false">IF((D25="i"),F25," ")</f>
        <v> </v>
      </c>
      <c r="Q25" s="180" t="str">
        <f aca="false">IF((D25="b"),F25," ")</f>
        <v> </v>
      </c>
      <c r="R25" s="180" t="str">
        <f aca="false">IF((D25="o"),F25," ")</f>
        <v> </v>
      </c>
      <c r="S25" s="180" t="str">
        <f aca="false">IF((D25="f"),F25," ")</f>
        <v> </v>
      </c>
      <c r="U25" s="371"/>
    </row>
    <row r="26" customFormat="false" ht="12.75" hidden="false" customHeight="false" outlineLevel="0" collapsed="false">
      <c r="G26" s="180" t="str">
        <f aca="false">IF((D26="d"),F26," ")</f>
        <v> </v>
      </c>
      <c r="H26" s="180" t="str">
        <f aca="false">IF((D26="h"),F26," ")</f>
        <v> </v>
      </c>
      <c r="I26" s="180" t="str">
        <f aca="false">IF((D26="r"),F26," ")</f>
        <v> </v>
      </c>
      <c r="J26" s="180" t="str">
        <f aca="false">IF((D26="t"),F26," ")</f>
        <v> </v>
      </c>
      <c r="K26" s="180" t="str">
        <f aca="false">IF((D26="e"),F26," ")</f>
        <v> </v>
      </c>
      <c r="L26" s="180" t="str">
        <f aca="false">IF((D26="p"),F26," ")</f>
        <v> </v>
      </c>
      <c r="M26" s="180" t="str">
        <f aca="false">IF((D26="g"),F26," ")</f>
        <v> </v>
      </c>
      <c r="N26" s="180" t="str">
        <f aca="false">IF((D26="a"),F26," ")</f>
        <v> </v>
      </c>
      <c r="O26" s="180" t="str">
        <f aca="false">IF((D26="l"),F26," ")</f>
        <v> </v>
      </c>
      <c r="P26" s="180" t="str">
        <f aca="false">IF((D26="i"),F26," ")</f>
        <v> </v>
      </c>
      <c r="Q26" s="180" t="str">
        <f aca="false">IF((D26="b"),F26," ")</f>
        <v> </v>
      </c>
      <c r="R26" s="180" t="str">
        <f aca="false">IF((D26="o"),F26," ")</f>
        <v> </v>
      </c>
      <c r="S26" s="180" t="str">
        <f aca="false">IF((D26="f"),F26," ")</f>
        <v> </v>
      </c>
      <c r="U26" s="371"/>
    </row>
    <row r="27" customFormat="false" ht="12.75" hidden="false" customHeight="false" outlineLevel="0" collapsed="false">
      <c r="G27" s="180" t="str">
        <f aca="false">IF((D27="d"),F27," ")</f>
        <v> </v>
      </c>
      <c r="H27" s="180" t="str">
        <f aca="false">IF((D27="h"),F27," ")</f>
        <v> </v>
      </c>
      <c r="I27" s="180" t="str">
        <f aca="false">IF((D27="r"),F27," ")</f>
        <v> </v>
      </c>
      <c r="J27" s="180" t="str">
        <f aca="false">IF((D27="t"),F27," ")</f>
        <v> </v>
      </c>
      <c r="K27" s="180" t="str">
        <f aca="false">IF((D27="e"),F27," ")</f>
        <v> </v>
      </c>
      <c r="L27" s="180" t="str">
        <f aca="false">IF((D27="p"),F27," ")</f>
        <v> </v>
      </c>
      <c r="M27" s="180" t="str">
        <f aca="false">IF((D27="g"),F27," ")</f>
        <v> </v>
      </c>
      <c r="N27" s="180" t="str">
        <f aca="false">IF((D27="a"),F27," ")</f>
        <v> </v>
      </c>
      <c r="O27" s="180" t="str">
        <f aca="false">IF((D27="l"),F27," ")</f>
        <v> </v>
      </c>
      <c r="P27" s="180" t="str">
        <f aca="false">IF((D27="i"),F27," ")</f>
        <v> </v>
      </c>
      <c r="Q27" s="180" t="str">
        <f aca="false">IF((D27="b"),F27," ")</f>
        <v> </v>
      </c>
      <c r="R27" s="180" t="str">
        <f aca="false">IF((D27="o"),F27," ")</f>
        <v> </v>
      </c>
      <c r="S27" s="180" t="str">
        <f aca="false">IF((D27="f"),F27," ")</f>
        <v> </v>
      </c>
      <c r="U27" s="371"/>
    </row>
    <row r="28" customFormat="false" ht="12.75" hidden="false" customHeight="false" outlineLevel="0" collapsed="false">
      <c r="G28" s="180" t="str">
        <f aca="false">IF((D28="d"),F28," ")</f>
        <v> </v>
      </c>
      <c r="H28" s="180" t="str">
        <f aca="false">IF((D28="h"),F28," ")</f>
        <v> </v>
      </c>
      <c r="I28" s="180" t="str">
        <f aca="false">IF((D28="r"),F28," ")</f>
        <v> </v>
      </c>
      <c r="J28" s="180" t="str">
        <f aca="false">IF((D28="t"),F28," ")</f>
        <v> </v>
      </c>
      <c r="K28" s="180" t="str">
        <f aca="false">IF((D28="e"),F28," ")</f>
        <v> </v>
      </c>
      <c r="L28" s="180" t="str">
        <f aca="false">IF((D28="p"),F28," ")</f>
        <v> </v>
      </c>
      <c r="M28" s="180" t="str">
        <f aca="false">IF((D28="g"),F28," ")</f>
        <v> </v>
      </c>
      <c r="N28" s="180" t="str">
        <f aca="false">IF((D28="a"),F28," ")</f>
        <v> </v>
      </c>
      <c r="O28" s="180" t="str">
        <f aca="false">IF((D28="l"),F28," ")</f>
        <v> </v>
      </c>
      <c r="P28" s="180" t="str">
        <f aca="false">IF((D28="i"),F28," ")</f>
        <v> </v>
      </c>
      <c r="Q28" s="180" t="str">
        <f aca="false">IF((D28="b"),F28," ")</f>
        <v> </v>
      </c>
      <c r="R28" s="180" t="str">
        <f aca="false">IF((D28="o"),F28," ")</f>
        <v> </v>
      </c>
      <c r="S28" s="180" t="str">
        <f aca="false">IF((D28="f"),F28," ")</f>
        <v> </v>
      </c>
      <c r="U28" s="371"/>
    </row>
    <row r="29" customFormat="false" ht="12.75" hidden="false" customHeight="false" outlineLevel="0" collapsed="false">
      <c r="G29" s="180" t="str">
        <f aca="false">IF((D29="d"),F29," ")</f>
        <v> </v>
      </c>
      <c r="H29" s="180" t="str">
        <f aca="false">IF((D29="h"),F29," ")</f>
        <v> </v>
      </c>
      <c r="I29" s="180" t="str">
        <f aca="false">IF((D29="r"),F29," ")</f>
        <v> </v>
      </c>
      <c r="J29" s="180" t="str">
        <f aca="false">IF((D29="t"),F29," ")</f>
        <v> </v>
      </c>
      <c r="K29" s="180" t="str">
        <f aca="false">IF((D29="e"),F29," ")</f>
        <v> </v>
      </c>
      <c r="L29" s="180" t="str">
        <f aca="false">IF((D29="p"),F29," ")</f>
        <v> </v>
      </c>
      <c r="M29" s="180" t="str">
        <f aca="false">IF((D29="g"),F29," ")</f>
        <v> </v>
      </c>
      <c r="N29" s="180" t="str">
        <f aca="false">IF((D29="a"),F29," ")</f>
        <v> </v>
      </c>
      <c r="O29" s="180" t="str">
        <f aca="false">IF((D29="l"),F29," ")</f>
        <v> </v>
      </c>
      <c r="P29" s="180" t="str">
        <f aca="false">IF((D29="i"),F29," ")</f>
        <v> </v>
      </c>
      <c r="Q29" s="180" t="str">
        <f aca="false">IF((D29="b"),F29," ")</f>
        <v> </v>
      </c>
      <c r="R29" s="180" t="str">
        <f aca="false">IF((D29="o"),F29," ")</f>
        <v> </v>
      </c>
      <c r="S29" s="180" t="str">
        <f aca="false">IF((D29="f"),F29," ")</f>
        <v> </v>
      </c>
      <c r="U29" s="371"/>
    </row>
    <row r="30" customFormat="false" ht="12.75" hidden="false" customHeight="false" outlineLevel="0" collapsed="false">
      <c r="G30" s="180" t="str">
        <f aca="false">IF((D30="d"),F30," ")</f>
        <v> </v>
      </c>
      <c r="H30" s="180" t="str">
        <f aca="false">IF((D30="h"),F30," ")</f>
        <v> </v>
      </c>
      <c r="I30" s="180" t="str">
        <f aca="false">IF((D30="r"),F30," ")</f>
        <v> </v>
      </c>
      <c r="J30" s="180" t="str">
        <f aca="false">IF((D30="t"),F30," ")</f>
        <v> </v>
      </c>
      <c r="K30" s="180" t="str">
        <f aca="false">IF((D30="e"),F30," ")</f>
        <v> </v>
      </c>
      <c r="L30" s="180" t="str">
        <f aca="false">IF((D30="p"),F30," ")</f>
        <v> </v>
      </c>
      <c r="M30" s="180" t="str">
        <f aca="false">IF((D30="g"),F30," ")</f>
        <v> </v>
      </c>
      <c r="N30" s="180" t="str">
        <f aca="false">IF((D30="a"),F30," ")</f>
        <v> </v>
      </c>
      <c r="O30" s="180" t="str">
        <f aca="false">IF((D30="l"),F30," ")</f>
        <v> </v>
      </c>
      <c r="P30" s="180" t="str">
        <f aca="false">IF((D30="i"),F30," ")</f>
        <v> </v>
      </c>
      <c r="Q30" s="180" t="str">
        <f aca="false">IF((D30="b"),F30," ")</f>
        <v> </v>
      </c>
      <c r="R30" s="180" t="str">
        <f aca="false">IF((D30="o"),F30," ")</f>
        <v> </v>
      </c>
      <c r="S30" s="180" t="str">
        <f aca="false">IF((D30="f"),F30," ")</f>
        <v> </v>
      </c>
      <c r="U30" s="371"/>
    </row>
    <row r="31" customFormat="false" ht="12.75" hidden="false" customHeight="false" outlineLevel="0" collapsed="false">
      <c r="G31" s="180" t="str">
        <f aca="false">IF((D31="d"),F31," ")</f>
        <v> </v>
      </c>
      <c r="H31" s="180" t="str">
        <f aca="false">IF((D31="h"),F31," ")</f>
        <v> </v>
      </c>
      <c r="I31" s="180" t="str">
        <f aca="false">IF((D31="r"),F31," ")</f>
        <v> </v>
      </c>
      <c r="J31" s="180" t="str">
        <f aca="false">IF((D31="t"),F31," ")</f>
        <v> </v>
      </c>
      <c r="K31" s="180" t="str">
        <f aca="false">IF((D31="e"),F31," ")</f>
        <v> </v>
      </c>
      <c r="L31" s="180" t="str">
        <f aca="false">IF((D31="p"),F31," ")</f>
        <v> </v>
      </c>
      <c r="M31" s="180" t="str">
        <f aca="false">IF((D31="g"),F31," ")</f>
        <v> </v>
      </c>
      <c r="N31" s="180" t="str">
        <f aca="false">IF((D31="a"),F31," ")</f>
        <v> </v>
      </c>
      <c r="O31" s="180" t="str">
        <f aca="false">IF((D31="l"),F31," ")</f>
        <v> </v>
      </c>
      <c r="P31" s="180" t="str">
        <f aca="false">IF((D31="i"),F31," ")</f>
        <v> </v>
      </c>
      <c r="Q31" s="180" t="str">
        <f aca="false">IF((D31="b"),F31," ")</f>
        <v> </v>
      </c>
      <c r="R31" s="180" t="str">
        <f aca="false">IF((D31="o"),F31," ")</f>
        <v> </v>
      </c>
      <c r="S31" s="180" t="str">
        <f aca="false">IF((D31="f"),F31," ")</f>
        <v> </v>
      </c>
      <c r="U31" s="371"/>
    </row>
    <row r="32" customFormat="false" ht="12.75" hidden="false" customHeight="false" outlineLevel="0" collapsed="false">
      <c r="G32" s="180" t="str">
        <f aca="false">IF((D32="d"),F32," ")</f>
        <v> </v>
      </c>
      <c r="H32" s="180" t="str">
        <f aca="false">IF((D32="h"),F32," ")</f>
        <v> </v>
      </c>
      <c r="I32" s="180" t="str">
        <f aca="false">IF((D32="r"),F32," ")</f>
        <v> </v>
      </c>
      <c r="J32" s="180" t="str">
        <f aca="false">IF((D32="t"),F32," ")</f>
        <v> </v>
      </c>
      <c r="K32" s="180" t="str">
        <f aca="false">IF((D32="e"),F32," ")</f>
        <v> </v>
      </c>
      <c r="L32" s="180" t="str">
        <f aca="false">IF((D32="p"),F32," ")</f>
        <v> </v>
      </c>
      <c r="M32" s="180" t="str">
        <f aca="false">IF((D32="g"),F32," ")</f>
        <v> </v>
      </c>
      <c r="N32" s="180" t="str">
        <f aca="false">IF((D32="a"),F32," ")</f>
        <v> </v>
      </c>
      <c r="O32" s="180" t="str">
        <f aca="false">IF((D32="l"),F32," ")</f>
        <v> </v>
      </c>
      <c r="P32" s="180" t="str">
        <f aca="false">IF((D32="i"),F32," ")</f>
        <v> </v>
      </c>
      <c r="Q32" s="180" t="str">
        <f aca="false">IF((D32="b"),F32," ")</f>
        <v> </v>
      </c>
      <c r="R32" s="180" t="str">
        <f aca="false">IF((D32="o"),F32," ")</f>
        <v> </v>
      </c>
      <c r="S32" s="180" t="str">
        <f aca="false">IF((D32="f"),F32," ")</f>
        <v> </v>
      </c>
      <c r="U32" s="371"/>
    </row>
    <row r="33" customFormat="false" ht="12.75" hidden="false" customHeight="false" outlineLevel="0" collapsed="false">
      <c r="G33" s="180" t="str">
        <f aca="false">IF((D33="d"),F33," ")</f>
        <v> </v>
      </c>
      <c r="H33" s="180" t="str">
        <f aca="false">IF((D33="h"),F33," ")</f>
        <v> </v>
      </c>
      <c r="I33" s="180" t="str">
        <f aca="false">IF((D33="r"),F33," ")</f>
        <v> </v>
      </c>
      <c r="J33" s="180" t="str">
        <f aca="false">IF((D33="t"),F33," ")</f>
        <v> </v>
      </c>
      <c r="K33" s="180" t="str">
        <f aca="false">IF((D33="e"),F33," ")</f>
        <v> </v>
      </c>
      <c r="L33" s="180" t="str">
        <f aca="false">IF((D33="p"),F33," ")</f>
        <v> </v>
      </c>
      <c r="M33" s="180" t="str">
        <f aca="false">IF((D33="g"),F33," ")</f>
        <v> </v>
      </c>
      <c r="N33" s="180" t="str">
        <f aca="false">IF((D33="a"),F33," ")</f>
        <v> </v>
      </c>
      <c r="O33" s="180" t="str">
        <f aca="false">IF((D33="l"),F33," ")</f>
        <v> </v>
      </c>
      <c r="P33" s="180" t="str">
        <f aca="false">IF((D33="i"),F33," ")</f>
        <v> </v>
      </c>
      <c r="Q33" s="180" t="str">
        <f aca="false">IF((D33="b"),F33," ")</f>
        <v> </v>
      </c>
      <c r="R33" s="180" t="str">
        <f aca="false">IF((D33="o"),F33," ")</f>
        <v> </v>
      </c>
      <c r="S33" s="180" t="str">
        <f aca="false">IF((D33="f"),F33," ")</f>
        <v> </v>
      </c>
      <c r="U33" s="371"/>
    </row>
    <row r="34" customFormat="false" ht="12.75" hidden="false" customHeight="false" outlineLevel="0" collapsed="false">
      <c r="G34" s="180" t="str">
        <f aca="false">IF((D34="d"),F34," ")</f>
        <v> </v>
      </c>
      <c r="H34" s="180" t="str">
        <f aca="false">IF((D34="h"),F34," ")</f>
        <v> </v>
      </c>
      <c r="I34" s="180" t="str">
        <f aca="false">IF((D34="r"),F34," ")</f>
        <v> </v>
      </c>
      <c r="J34" s="180" t="str">
        <f aca="false">IF((D34="t"),F34," ")</f>
        <v> </v>
      </c>
      <c r="K34" s="180" t="str">
        <f aca="false">IF((D34="e"),F34," ")</f>
        <v> </v>
      </c>
      <c r="L34" s="180" t="str">
        <f aca="false">IF((D34="p"),F34," ")</f>
        <v> </v>
      </c>
      <c r="M34" s="180" t="str">
        <f aca="false">IF((D34="g"),F34," ")</f>
        <v> </v>
      </c>
      <c r="N34" s="180" t="str">
        <f aca="false">IF((D34="a"),F34," ")</f>
        <v> </v>
      </c>
      <c r="O34" s="180" t="str">
        <f aca="false">IF((D34="l"),F34," ")</f>
        <v> </v>
      </c>
      <c r="P34" s="180" t="str">
        <f aca="false">IF((D34="i"),F34," ")</f>
        <v> </v>
      </c>
      <c r="Q34" s="180" t="str">
        <f aca="false">IF((D34="b"),F34," ")</f>
        <v> </v>
      </c>
      <c r="R34" s="180" t="str">
        <f aca="false">IF((D34="o"),F34," ")</f>
        <v> </v>
      </c>
      <c r="S34" s="180" t="str">
        <f aca="false">IF((D34="f"),F34," ")</f>
        <v> </v>
      </c>
      <c r="U34" s="371"/>
    </row>
    <row r="35" customFormat="false" ht="12.75" hidden="false" customHeight="false" outlineLevel="0" collapsed="false">
      <c r="G35" s="180" t="str">
        <f aca="false">IF((D35="d"),F35," ")</f>
        <v> </v>
      </c>
      <c r="H35" s="180" t="str">
        <f aca="false">IF((D35="h"),F35," ")</f>
        <v> </v>
      </c>
      <c r="I35" s="180" t="str">
        <f aca="false">IF((D35="r"),F35," ")</f>
        <v> </v>
      </c>
      <c r="J35" s="180" t="str">
        <f aca="false">IF((D35="t"),F35," ")</f>
        <v> </v>
      </c>
      <c r="K35" s="180" t="str">
        <f aca="false">IF((D35="e"),F35," ")</f>
        <v> </v>
      </c>
      <c r="L35" s="180" t="str">
        <f aca="false">IF((D35="p"),F35," ")</f>
        <v> </v>
      </c>
      <c r="M35" s="180" t="str">
        <f aca="false">IF((D35="g"),F35," ")</f>
        <v> </v>
      </c>
      <c r="N35" s="180" t="str">
        <f aca="false">IF((D35="a"),F35," ")</f>
        <v> </v>
      </c>
      <c r="O35" s="180" t="str">
        <f aca="false">IF((D35="l"),F35," ")</f>
        <v> </v>
      </c>
      <c r="P35" s="180" t="str">
        <f aca="false">IF((D35="i"),F35," ")</f>
        <v> </v>
      </c>
      <c r="Q35" s="180" t="str">
        <f aca="false">IF((D35="b"),F35," ")</f>
        <v> </v>
      </c>
      <c r="R35" s="180" t="str">
        <f aca="false">IF((D35="o"),F35," ")</f>
        <v> </v>
      </c>
      <c r="S35" s="180" t="str">
        <f aca="false">IF((D35="f"),F35," ")</f>
        <v> </v>
      </c>
      <c r="U35" s="371"/>
    </row>
    <row r="36" customFormat="false" ht="12.75" hidden="false" customHeight="false" outlineLevel="0" collapsed="false">
      <c r="G36" s="180" t="str">
        <f aca="false">IF((D36="d"),F36," ")</f>
        <v> </v>
      </c>
      <c r="H36" s="180" t="str">
        <f aca="false">IF((D36="h"),F36," ")</f>
        <v> </v>
      </c>
      <c r="I36" s="180" t="str">
        <f aca="false">IF((D36="r"),F36," ")</f>
        <v> </v>
      </c>
      <c r="J36" s="180" t="str">
        <f aca="false">IF((D36="t"),F36," ")</f>
        <v> </v>
      </c>
      <c r="K36" s="180" t="str">
        <f aca="false">IF((D36="e"),F36," ")</f>
        <v> </v>
      </c>
      <c r="L36" s="180" t="str">
        <f aca="false">IF((D36="p"),F36," ")</f>
        <v> </v>
      </c>
      <c r="M36" s="180" t="str">
        <f aca="false">IF((D36="g"),F36," ")</f>
        <v> </v>
      </c>
      <c r="N36" s="180" t="str">
        <f aca="false">IF((D36="a"),F36," ")</f>
        <v> </v>
      </c>
      <c r="O36" s="180" t="str">
        <f aca="false">IF((D36="l"),F36," ")</f>
        <v> </v>
      </c>
      <c r="P36" s="180" t="str">
        <f aca="false">IF((D36="i"),F36," ")</f>
        <v> </v>
      </c>
      <c r="Q36" s="180" t="str">
        <f aca="false">IF((D36="b"),F36," ")</f>
        <v> </v>
      </c>
      <c r="R36" s="180" t="str">
        <f aca="false">IF((D36="o"),F36," ")</f>
        <v> </v>
      </c>
      <c r="S36" s="180" t="str">
        <f aca="false">IF((D36="f"),F36," ")</f>
        <v> </v>
      </c>
      <c r="U36" s="371"/>
    </row>
    <row r="37" customFormat="false" ht="12.75" hidden="false" customHeight="false" outlineLevel="0" collapsed="false">
      <c r="D37" s="371" t="str">
        <f aca="false">IF((F37&lt;&gt;0),"Enter Letter"," ")</f>
        <v> </v>
      </c>
      <c r="G37" s="180" t="str">
        <f aca="false">IF((D37="d"),F37," ")</f>
        <v> </v>
      </c>
      <c r="H37" s="180" t="str">
        <f aca="false">IF((D37="h"),F37," ")</f>
        <v> </v>
      </c>
      <c r="I37" s="180" t="str">
        <f aca="false">IF((D37="r"),F37," ")</f>
        <v> </v>
      </c>
      <c r="J37" s="180" t="str">
        <f aca="false">IF((D37="t"),F37," ")</f>
        <v> </v>
      </c>
      <c r="K37" s="180" t="str">
        <f aca="false">IF((D37="e"),F37," ")</f>
        <v> </v>
      </c>
      <c r="L37" s="180" t="str">
        <f aca="false">IF((D37="p"),F37," ")</f>
        <v> </v>
      </c>
      <c r="M37" s="180" t="str">
        <f aca="false">IF((D37="g"),F37," ")</f>
        <v> </v>
      </c>
      <c r="N37" s="180" t="str">
        <f aca="false">IF((D37="a"),F37," ")</f>
        <v> </v>
      </c>
      <c r="O37" s="180" t="str">
        <f aca="false">IF((D37="l"),F37," ")</f>
        <v> </v>
      </c>
      <c r="P37" s="180" t="str">
        <f aca="false">IF((D37="i"),F37," ")</f>
        <v> </v>
      </c>
      <c r="Q37" s="180" t="str">
        <f aca="false">IF((D37="b"),F37," ")</f>
        <v> </v>
      </c>
      <c r="R37" s="180" t="str">
        <f aca="false">IF((D37="o"),F37," ")</f>
        <v> </v>
      </c>
      <c r="S37" s="180" t="str">
        <f aca="false">IF((D37="f"),F37," ")</f>
        <v> </v>
      </c>
      <c r="U37" s="371"/>
    </row>
    <row r="38" customFormat="false" ht="12.75" hidden="false" customHeight="false" outlineLevel="0" collapsed="false">
      <c r="D38" s="371" t="str">
        <f aca="false">IF((F38&lt;&gt;0),"Enter Letter"," ")</f>
        <v> </v>
      </c>
      <c r="G38" s="180" t="str">
        <f aca="false">IF((D38="d"),F38," ")</f>
        <v> </v>
      </c>
      <c r="H38" s="180" t="str">
        <f aca="false">IF((D38="h"),F38," ")</f>
        <v> </v>
      </c>
      <c r="I38" s="180" t="str">
        <f aca="false">IF((D38="r"),F38," ")</f>
        <v> </v>
      </c>
      <c r="J38" s="180" t="str">
        <f aca="false">IF((D38="t"),F38," ")</f>
        <v> </v>
      </c>
      <c r="K38" s="180" t="str">
        <f aca="false">IF((D38="e"),F38," ")</f>
        <v> </v>
      </c>
      <c r="L38" s="180" t="str">
        <f aca="false">IF((D38="p"),F38," ")</f>
        <v> </v>
      </c>
      <c r="M38" s="180" t="str">
        <f aca="false">IF((D38="g"),F38," ")</f>
        <v> </v>
      </c>
      <c r="N38" s="180" t="str">
        <f aca="false">IF((D38="a"),F38," ")</f>
        <v> </v>
      </c>
      <c r="O38" s="180" t="str">
        <f aca="false">IF((D38="l"),F38," ")</f>
        <v> </v>
      </c>
      <c r="P38" s="180" t="str">
        <f aca="false">IF((D38="i"),F38," ")</f>
        <v> </v>
      </c>
      <c r="Q38" s="180" t="str">
        <f aca="false">IF((D38="b"),F38," ")</f>
        <v> </v>
      </c>
      <c r="R38" s="180" t="str">
        <f aca="false">IF((D38="o"),F38," ")</f>
        <v> </v>
      </c>
      <c r="S38" s="180" t="str">
        <f aca="false">IF((D38="f"),F38," ")</f>
        <v> </v>
      </c>
      <c r="U38" s="371"/>
    </row>
    <row r="39" customFormat="false" ht="12.75" hidden="false" customHeight="false" outlineLevel="0" collapsed="false">
      <c r="D39" s="371" t="str">
        <f aca="false">IF((F39&lt;&gt;0),"Enter Letter"," ")</f>
        <v> </v>
      </c>
      <c r="G39" s="180" t="str">
        <f aca="false">IF((D39="d"),F39," ")</f>
        <v> </v>
      </c>
      <c r="H39" s="180" t="str">
        <f aca="false">IF((D39="h"),F39," ")</f>
        <v> </v>
      </c>
      <c r="I39" s="180" t="str">
        <f aca="false">IF((D39="r"),F39," ")</f>
        <v> </v>
      </c>
      <c r="J39" s="180" t="str">
        <f aca="false">IF((D39="t"),F39," ")</f>
        <v> </v>
      </c>
      <c r="K39" s="180" t="str">
        <f aca="false">IF((D39="e"),F39," ")</f>
        <v> </v>
      </c>
      <c r="L39" s="180" t="str">
        <f aca="false">IF((D39="p"),F39," ")</f>
        <v> </v>
      </c>
      <c r="M39" s="180" t="str">
        <f aca="false">IF((D39="g"),F39," ")</f>
        <v> </v>
      </c>
      <c r="N39" s="180" t="str">
        <f aca="false">IF((D39="a"),F39," ")</f>
        <v> </v>
      </c>
      <c r="O39" s="180" t="str">
        <f aca="false">IF((D39="l"),F39," ")</f>
        <v> </v>
      </c>
      <c r="P39" s="180" t="str">
        <f aca="false">IF((D39="i"),F39," ")</f>
        <v> </v>
      </c>
      <c r="Q39" s="180" t="str">
        <f aca="false">IF((D39="b"),F39," ")</f>
        <v> </v>
      </c>
      <c r="R39" s="180" t="str">
        <f aca="false">IF((D39="o"),F39," ")</f>
        <v> </v>
      </c>
      <c r="S39" s="180" t="str">
        <f aca="false">IF((D39="f"),F39," ")</f>
        <v> </v>
      </c>
      <c r="U39" s="371"/>
    </row>
    <row r="40" customFormat="false" ht="12.75" hidden="false" customHeight="false" outlineLevel="0" collapsed="false">
      <c r="D40" s="371" t="str">
        <f aca="false">IF((F40&lt;&gt;0),"Enter Letter"," ")</f>
        <v> </v>
      </c>
      <c r="G40" s="180" t="str">
        <f aca="false">IF((D40="d"),F40," ")</f>
        <v> </v>
      </c>
      <c r="H40" s="180" t="str">
        <f aca="false">IF((D40="h"),F40," ")</f>
        <v> </v>
      </c>
      <c r="I40" s="180" t="str">
        <f aca="false">IF((D40="r"),F40," ")</f>
        <v> </v>
      </c>
      <c r="J40" s="180" t="str">
        <f aca="false">IF((D40="t"),F40," ")</f>
        <v> </v>
      </c>
      <c r="K40" s="180" t="str">
        <f aca="false">IF((D40="e"),F40," ")</f>
        <v> </v>
      </c>
      <c r="L40" s="180" t="str">
        <f aca="false">IF((D40="p"),F40," ")</f>
        <v> </v>
      </c>
      <c r="M40" s="180" t="str">
        <f aca="false">IF((D40="g"),F40," ")</f>
        <v> </v>
      </c>
      <c r="N40" s="180" t="str">
        <f aca="false">IF((D40="a"),F40," ")</f>
        <v> </v>
      </c>
      <c r="O40" s="180" t="str">
        <f aca="false">IF((D40="l"),F40," ")</f>
        <v> </v>
      </c>
      <c r="P40" s="180" t="str">
        <f aca="false">IF((D40="i"),F40," ")</f>
        <v> </v>
      </c>
      <c r="Q40" s="180" t="str">
        <f aca="false">IF((D40="b"),F40," ")</f>
        <v> </v>
      </c>
      <c r="R40" s="180" t="str">
        <f aca="false">IF((D40="o"),F40," ")</f>
        <v> </v>
      </c>
      <c r="S40" s="180" t="str">
        <f aca="false">IF((D40="f"),F40," ")</f>
        <v> </v>
      </c>
      <c r="U40" s="371"/>
    </row>
    <row r="41" customFormat="false" ht="12.75" hidden="false" customHeight="false" outlineLevel="0" collapsed="false">
      <c r="D41" s="371" t="str">
        <f aca="false">IF((F41&lt;&gt;0),"Enter Letter"," ")</f>
        <v> </v>
      </c>
      <c r="G41" s="180" t="str">
        <f aca="false">IF((D41="d"),F41," ")</f>
        <v> </v>
      </c>
      <c r="H41" s="180" t="str">
        <f aca="false">IF((D41="h"),F41," ")</f>
        <v> </v>
      </c>
      <c r="I41" s="180" t="str">
        <f aca="false">IF((D41="r"),F41," ")</f>
        <v> </v>
      </c>
      <c r="J41" s="180" t="str">
        <f aca="false">IF((D41="t"),F41," ")</f>
        <v> </v>
      </c>
      <c r="K41" s="180" t="str">
        <f aca="false">IF((D41="e"),F41," ")</f>
        <v> </v>
      </c>
      <c r="L41" s="180" t="str">
        <f aca="false">IF((D41="p"),F41," ")</f>
        <v> </v>
      </c>
      <c r="M41" s="180" t="str">
        <f aca="false">IF((D41="g"),F41," ")</f>
        <v> </v>
      </c>
      <c r="N41" s="180" t="str">
        <f aca="false">IF((D41="a"),F41," ")</f>
        <v> </v>
      </c>
      <c r="O41" s="180" t="str">
        <f aca="false">IF((D41="l"),F41," ")</f>
        <v> </v>
      </c>
      <c r="P41" s="180" t="str">
        <f aca="false">IF((D41="i"),F41," ")</f>
        <v> </v>
      </c>
      <c r="Q41" s="180" t="str">
        <f aca="false">IF((D41="b"),F41," ")</f>
        <v> </v>
      </c>
      <c r="R41" s="180" t="str">
        <f aca="false">IF((D41="o"),F41," ")</f>
        <v> </v>
      </c>
      <c r="S41" s="180" t="str">
        <f aca="false">IF((D41="f"),F41," ")</f>
        <v> </v>
      </c>
      <c r="U41" s="371"/>
    </row>
    <row r="42" customFormat="false" ht="12.75" hidden="false" customHeight="false" outlineLevel="0" collapsed="false">
      <c r="D42" s="371" t="str">
        <f aca="false">IF((F42&lt;&gt;0),"Enter Letter"," ")</f>
        <v> </v>
      </c>
      <c r="G42" s="180" t="str">
        <f aca="false">IF((D42="d"),F42," ")</f>
        <v> </v>
      </c>
      <c r="H42" s="180" t="str">
        <f aca="false">IF((D42="h"),F42," ")</f>
        <v> </v>
      </c>
      <c r="I42" s="180" t="str">
        <f aca="false">IF((D42="r"),F42," ")</f>
        <v> </v>
      </c>
      <c r="J42" s="180" t="str">
        <f aca="false">IF((D42="t"),F42," ")</f>
        <v> </v>
      </c>
      <c r="K42" s="180" t="str">
        <f aca="false">IF((D42="e"),F42," ")</f>
        <v> </v>
      </c>
      <c r="L42" s="180" t="str">
        <f aca="false">IF((D42="p"),F42," ")</f>
        <v> </v>
      </c>
      <c r="M42" s="180" t="str">
        <f aca="false">IF((D42="g"),F42," ")</f>
        <v> </v>
      </c>
      <c r="N42" s="180" t="str">
        <f aca="false">IF((D42="a"),F42," ")</f>
        <v> </v>
      </c>
      <c r="O42" s="180" t="str">
        <f aca="false">IF((D42="l"),F42," ")</f>
        <v> </v>
      </c>
      <c r="P42" s="180" t="str">
        <f aca="false">IF((D42="i"),F42," ")</f>
        <v> </v>
      </c>
      <c r="Q42" s="180" t="str">
        <f aca="false">IF((D42="b"),F42," ")</f>
        <v> </v>
      </c>
      <c r="R42" s="180" t="str">
        <f aca="false">IF((D42="o"),F42," ")</f>
        <v> </v>
      </c>
      <c r="S42" s="180" t="str">
        <f aca="false">IF((D42="f"),F42," ")</f>
        <v> </v>
      </c>
      <c r="U42" s="371"/>
    </row>
    <row r="43" customFormat="false" ht="12.75" hidden="false" customHeight="false" outlineLevel="0" collapsed="false">
      <c r="D43" s="371" t="str">
        <f aca="false">IF((F43&lt;&gt;0),"Enter Letter"," ")</f>
        <v> </v>
      </c>
      <c r="G43" s="180" t="str">
        <f aca="false">IF((D43="d"),F43," ")</f>
        <v> </v>
      </c>
      <c r="H43" s="180" t="str">
        <f aca="false">IF((D43="h"),F43," ")</f>
        <v> </v>
      </c>
      <c r="I43" s="180" t="str">
        <f aca="false">IF((D43="r"),F43," ")</f>
        <v> </v>
      </c>
      <c r="J43" s="180" t="str">
        <f aca="false">IF((D43="t"),F43," ")</f>
        <v> </v>
      </c>
      <c r="K43" s="180" t="str">
        <f aca="false">IF((D43="e"),F43," ")</f>
        <v> </v>
      </c>
      <c r="L43" s="180" t="str">
        <f aca="false">IF((D43="p"),F43," ")</f>
        <v> </v>
      </c>
      <c r="M43" s="180" t="str">
        <f aca="false">IF((D43="g"),F43," ")</f>
        <v> </v>
      </c>
      <c r="N43" s="180" t="str">
        <f aca="false">IF((D43="a"),F43," ")</f>
        <v> </v>
      </c>
      <c r="O43" s="180" t="str">
        <f aca="false">IF((D43="l"),F43," ")</f>
        <v> </v>
      </c>
      <c r="P43" s="180" t="str">
        <f aca="false">IF((D43="i"),F43," ")</f>
        <v> </v>
      </c>
      <c r="Q43" s="180" t="str">
        <f aca="false">IF((D43="b"),F43," ")</f>
        <v> </v>
      </c>
      <c r="R43" s="180" t="str">
        <f aca="false">IF((D43="o"),F43," ")</f>
        <v> </v>
      </c>
      <c r="S43" s="180" t="str">
        <f aca="false">IF((D43="f"),F43," ")</f>
        <v> </v>
      </c>
      <c r="U43" s="371"/>
    </row>
    <row r="44" customFormat="false" ht="12.75" hidden="false" customHeight="false" outlineLevel="0" collapsed="false">
      <c r="D44" s="371" t="str">
        <f aca="false">IF((F44&lt;&gt;0),"Enter Letter"," ")</f>
        <v> </v>
      </c>
      <c r="G44" s="180" t="str">
        <f aca="false">IF((D44="d"),F44," ")</f>
        <v> </v>
      </c>
      <c r="H44" s="180" t="str">
        <f aca="false">IF((D44="h"),F44," ")</f>
        <v> </v>
      </c>
      <c r="I44" s="180" t="str">
        <f aca="false">IF((D44="r"),F44," ")</f>
        <v> </v>
      </c>
      <c r="J44" s="180" t="str">
        <f aca="false">IF((D44="t"),F44," ")</f>
        <v> </v>
      </c>
      <c r="K44" s="180" t="str">
        <f aca="false">IF((D44="e"),F44," ")</f>
        <v> </v>
      </c>
      <c r="L44" s="180" t="str">
        <f aca="false">IF((D44="p"),F44," ")</f>
        <v> </v>
      </c>
      <c r="M44" s="180" t="str">
        <f aca="false">IF((D44="g"),F44," ")</f>
        <v> </v>
      </c>
      <c r="N44" s="180" t="str">
        <f aca="false">IF((D44="a"),F44," ")</f>
        <v> </v>
      </c>
      <c r="O44" s="180" t="str">
        <f aca="false">IF((D44="l"),F44," ")</f>
        <v> </v>
      </c>
      <c r="P44" s="180" t="str">
        <f aca="false">IF((D44="i"),F44," ")</f>
        <v> </v>
      </c>
      <c r="Q44" s="180" t="str">
        <f aca="false">IF((D44="b"),F44," ")</f>
        <v> </v>
      </c>
      <c r="R44" s="180" t="str">
        <f aca="false">IF((D44="o"),F44," ")</f>
        <v> </v>
      </c>
      <c r="S44" s="180" t="str">
        <f aca="false">IF((D44="f"),F44," ")</f>
        <v> </v>
      </c>
      <c r="U44" s="371"/>
    </row>
    <row r="45" customFormat="false" ht="12.75" hidden="false" customHeight="false" outlineLevel="0" collapsed="false">
      <c r="D45" s="371" t="str">
        <f aca="false">IF((F45&lt;&gt;0),"Enter Letter"," ")</f>
        <v> </v>
      </c>
      <c r="G45" s="180" t="str">
        <f aca="false">IF((D45="d"),F45," ")</f>
        <v> </v>
      </c>
      <c r="H45" s="180" t="str">
        <f aca="false">IF((D45="h"),F45," ")</f>
        <v> </v>
      </c>
      <c r="I45" s="180" t="str">
        <f aca="false">IF((D45="r"),F45," ")</f>
        <v> </v>
      </c>
      <c r="J45" s="180" t="str">
        <f aca="false">IF((D45="t"),F45," ")</f>
        <v> </v>
      </c>
      <c r="K45" s="180" t="str">
        <f aca="false">IF((D45="e"),F45," ")</f>
        <v> </v>
      </c>
      <c r="L45" s="180" t="str">
        <f aca="false">IF((D45="p"),F45," ")</f>
        <v> </v>
      </c>
      <c r="M45" s="180" t="str">
        <f aca="false">IF((D45="g"),F45," ")</f>
        <v> </v>
      </c>
      <c r="N45" s="180" t="str">
        <f aca="false">IF((D45="a"),F45," ")</f>
        <v> </v>
      </c>
      <c r="O45" s="180" t="str">
        <f aca="false">IF((D45="l"),F45," ")</f>
        <v> </v>
      </c>
      <c r="P45" s="180" t="str">
        <f aca="false">IF((D45="i"),F45," ")</f>
        <v> </v>
      </c>
      <c r="Q45" s="180" t="str">
        <f aca="false">IF((D45="b"),F45," ")</f>
        <v> </v>
      </c>
      <c r="R45" s="180" t="str">
        <f aca="false">IF((D45="o"),F45," ")</f>
        <v> </v>
      </c>
      <c r="S45" s="180" t="str">
        <f aca="false">IF((D45="f"),F45," ")</f>
        <v> </v>
      </c>
      <c r="U45" s="371"/>
    </row>
    <row r="46" customFormat="false" ht="12.75" hidden="false" customHeight="false" outlineLevel="0" collapsed="false">
      <c r="D46" s="371" t="str">
        <f aca="false">IF((F46&lt;&gt;0),"Enter Letter"," ")</f>
        <v> </v>
      </c>
      <c r="G46" s="180" t="str">
        <f aca="false">IF((D46="d"),F46," ")</f>
        <v> </v>
      </c>
      <c r="H46" s="180" t="str">
        <f aca="false">IF((D46="h"),F46," ")</f>
        <v> </v>
      </c>
      <c r="I46" s="180" t="str">
        <f aca="false">IF((D46="r"),F46," ")</f>
        <v> </v>
      </c>
      <c r="J46" s="180" t="str">
        <f aca="false">IF((D46="t"),F46," ")</f>
        <v> </v>
      </c>
      <c r="K46" s="180" t="str">
        <f aca="false">IF((D46="e"),F46," ")</f>
        <v> </v>
      </c>
      <c r="L46" s="180" t="str">
        <f aca="false">IF((D46="p"),F46," ")</f>
        <v> </v>
      </c>
      <c r="M46" s="180" t="str">
        <f aca="false">IF((D46="g"),F46," ")</f>
        <v> </v>
      </c>
      <c r="N46" s="180" t="str">
        <f aca="false">IF((D46="a"),F46," ")</f>
        <v> </v>
      </c>
      <c r="O46" s="180" t="str">
        <f aca="false">IF((D46="l"),F46," ")</f>
        <v> </v>
      </c>
      <c r="P46" s="180" t="str">
        <f aca="false">IF((D46="i"),F46," ")</f>
        <v> </v>
      </c>
      <c r="Q46" s="180" t="str">
        <f aca="false">IF((D46="b"),F46," ")</f>
        <v> </v>
      </c>
      <c r="R46" s="180" t="str">
        <f aca="false">IF((D46="o"),F46," ")</f>
        <v> </v>
      </c>
      <c r="S46" s="180" t="str">
        <f aca="false">IF((D46="f"),F46," ")</f>
        <v> </v>
      </c>
      <c r="U46" s="371"/>
    </row>
    <row r="47" customFormat="false" ht="12.75" hidden="false" customHeight="false" outlineLevel="0" collapsed="false">
      <c r="D47" s="371" t="str">
        <f aca="false">IF((F47&lt;&gt;0),"Enter Letter"," ")</f>
        <v> </v>
      </c>
      <c r="G47" s="180" t="str">
        <f aca="false">IF((D47="d"),F47," ")</f>
        <v> </v>
      </c>
      <c r="H47" s="180" t="str">
        <f aca="false">IF((D47="h"),F47," ")</f>
        <v> </v>
      </c>
      <c r="I47" s="180" t="str">
        <f aca="false">IF((D47="r"),F47," ")</f>
        <v> </v>
      </c>
      <c r="J47" s="180" t="str">
        <f aca="false">IF((D47="t"),F47," ")</f>
        <v> </v>
      </c>
      <c r="K47" s="180" t="str">
        <f aca="false">IF((D47="e"),F47," ")</f>
        <v> </v>
      </c>
      <c r="L47" s="180" t="str">
        <f aca="false">IF((D47="p"),F47," ")</f>
        <v> </v>
      </c>
      <c r="M47" s="180" t="str">
        <f aca="false">IF((D47="g"),F47," ")</f>
        <v> </v>
      </c>
      <c r="N47" s="180" t="str">
        <f aca="false">IF((D47="a"),F47," ")</f>
        <v> </v>
      </c>
      <c r="O47" s="180" t="str">
        <f aca="false">IF((D47="l"),F47," ")</f>
        <v> </v>
      </c>
      <c r="P47" s="180" t="str">
        <f aca="false">IF((D47="i"),F47," ")</f>
        <v> </v>
      </c>
      <c r="Q47" s="180" t="str">
        <f aca="false">IF((D47="b"),F47," ")</f>
        <v> </v>
      </c>
      <c r="R47" s="180" t="str">
        <f aca="false">IF((D47="o"),F47," ")</f>
        <v> </v>
      </c>
      <c r="S47" s="180" t="str">
        <f aca="false">IF((D47="f"),F47," ")</f>
        <v> </v>
      </c>
      <c r="U47" s="371"/>
    </row>
    <row r="48" customFormat="false" ht="12.75" hidden="false" customHeight="false" outlineLevel="0" collapsed="false">
      <c r="D48" s="371" t="str">
        <f aca="false">IF((F48&lt;&gt;0),"Enter Letter"," ")</f>
        <v> </v>
      </c>
      <c r="G48" s="180" t="str">
        <f aca="false">IF((D48="d"),F48," ")</f>
        <v> </v>
      </c>
      <c r="H48" s="180" t="str">
        <f aca="false">IF((D48="h"),F48," ")</f>
        <v> </v>
      </c>
      <c r="I48" s="180" t="str">
        <f aca="false">IF((D48="r"),F48," ")</f>
        <v> </v>
      </c>
      <c r="J48" s="180" t="str">
        <f aca="false">IF((D48="t"),F48," ")</f>
        <v> </v>
      </c>
      <c r="K48" s="180" t="str">
        <f aca="false">IF((D48="e"),F48," ")</f>
        <v> </v>
      </c>
      <c r="L48" s="180" t="str">
        <f aca="false">IF((D48="p"),F48," ")</f>
        <v> </v>
      </c>
      <c r="M48" s="180" t="str">
        <f aca="false">IF((D48="g"),F48," ")</f>
        <v> </v>
      </c>
      <c r="N48" s="180" t="str">
        <f aca="false">IF((D48="a"),F48," ")</f>
        <v> </v>
      </c>
      <c r="O48" s="180" t="str">
        <f aca="false">IF((D48="l"),F48," ")</f>
        <v> </v>
      </c>
      <c r="P48" s="180" t="str">
        <f aca="false">IF((D48="i"),F48," ")</f>
        <v> </v>
      </c>
      <c r="Q48" s="180" t="str">
        <f aca="false">IF((D48="b"),F48," ")</f>
        <v> </v>
      </c>
      <c r="R48" s="180" t="str">
        <f aca="false">IF((D48="o"),F48," ")</f>
        <v> </v>
      </c>
      <c r="S48" s="180" t="str">
        <f aca="false">IF((D48="f"),F48," ")</f>
        <v> </v>
      </c>
      <c r="U48" s="371"/>
    </row>
    <row r="49" customFormat="false" ht="12.75" hidden="false" customHeight="false" outlineLevel="0" collapsed="false">
      <c r="D49" s="371" t="str">
        <f aca="false">IF((F49&lt;&gt;0),"Enter Letter"," ")</f>
        <v> </v>
      </c>
      <c r="G49" s="180" t="str">
        <f aca="false">IF((D49="d"),F49," ")</f>
        <v> </v>
      </c>
      <c r="H49" s="180" t="str">
        <f aca="false">IF((D49="h"),F49," ")</f>
        <v> </v>
      </c>
      <c r="I49" s="180" t="str">
        <f aca="false">IF((D49="r"),F49," ")</f>
        <v> </v>
      </c>
      <c r="J49" s="180" t="str">
        <f aca="false">IF((D49="t"),F49," ")</f>
        <v> </v>
      </c>
      <c r="K49" s="180" t="str">
        <f aca="false">IF((D49="e"),F49," ")</f>
        <v> </v>
      </c>
      <c r="L49" s="180" t="str">
        <f aca="false">IF((D49="p"),F49," ")</f>
        <v> </v>
      </c>
      <c r="M49" s="180" t="str">
        <f aca="false">IF((D49="g"),F49," ")</f>
        <v> </v>
      </c>
      <c r="N49" s="180" t="str">
        <f aca="false">IF((D49="a"),F49," ")</f>
        <v> </v>
      </c>
      <c r="O49" s="180" t="str">
        <f aca="false">IF((D49="l"),F49," ")</f>
        <v> </v>
      </c>
      <c r="P49" s="180" t="str">
        <f aca="false">IF((D49="i"),F49," ")</f>
        <v> </v>
      </c>
      <c r="Q49" s="180" t="str">
        <f aca="false">IF((D49="b"),F49," ")</f>
        <v> </v>
      </c>
      <c r="R49" s="180" t="str">
        <f aca="false">IF((D49="o"),F49," ")</f>
        <v> </v>
      </c>
      <c r="S49" s="180" t="str">
        <f aca="false">IF((D49="f"),F49," ")</f>
        <v> </v>
      </c>
      <c r="U49" s="371"/>
    </row>
    <row r="50" customFormat="false" ht="12.75" hidden="false" customHeight="false" outlineLevel="0" collapsed="false">
      <c r="D50" s="371" t="str">
        <f aca="false">IF((F50&lt;&gt;0),"Enter Letter"," ")</f>
        <v> </v>
      </c>
      <c r="G50" s="180" t="str">
        <f aca="false">IF((D50="d"),F50," ")</f>
        <v> </v>
      </c>
      <c r="H50" s="180" t="str">
        <f aca="false">IF((D50="h"),F50," ")</f>
        <v> </v>
      </c>
      <c r="I50" s="180" t="str">
        <f aca="false">IF((D50="r"),F50," ")</f>
        <v> </v>
      </c>
      <c r="J50" s="180" t="str">
        <f aca="false">IF((D50="t"),F50," ")</f>
        <v> </v>
      </c>
      <c r="K50" s="180" t="str">
        <f aca="false">IF((D50="e"),F50," ")</f>
        <v> </v>
      </c>
      <c r="L50" s="180" t="str">
        <f aca="false">IF((D50="p"),F50," ")</f>
        <v> </v>
      </c>
      <c r="M50" s="180" t="str">
        <f aca="false">IF((D50="g"),F50," ")</f>
        <v> </v>
      </c>
      <c r="N50" s="180" t="str">
        <f aca="false">IF((D50="a"),F50," ")</f>
        <v> </v>
      </c>
      <c r="O50" s="180" t="str">
        <f aca="false">IF((D50="l"),F50," ")</f>
        <v> </v>
      </c>
      <c r="P50" s="180" t="str">
        <f aca="false">IF((D50="i"),F50," ")</f>
        <v> </v>
      </c>
      <c r="Q50" s="180" t="str">
        <f aca="false">IF((D50="b"),F50," ")</f>
        <v> </v>
      </c>
      <c r="R50" s="180" t="str">
        <f aca="false">IF((D50="o"),F50," ")</f>
        <v> </v>
      </c>
      <c r="S50" s="180" t="str">
        <f aca="false">IF((D50="f"),F50," ")</f>
        <v> </v>
      </c>
      <c r="U50" s="371"/>
    </row>
    <row r="51" customFormat="false" ht="12.75" hidden="false" customHeight="false" outlineLevel="0" collapsed="false">
      <c r="D51" s="371" t="str">
        <f aca="false">IF((F51&lt;&gt;0),"Enter Letter"," ")</f>
        <v> </v>
      </c>
      <c r="G51" s="180" t="str">
        <f aca="false">IF((D51="d"),F51," ")</f>
        <v> </v>
      </c>
      <c r="H51" s="180" t="str">
        <f aca="false">IF((D51="h"),F51," ")</f>
        <v> </v>
      </c>
      <c r="I51" s="180" t="str">
        <f aca="false">IF((D51="r"),F51," ")</f>
        <v> </v>
      </c>
      <c r="J51" s="180" t="str">
        <f aca="false">IF((D51="t"),F51," ")</f>
        <v> </v>
      </c>
      <c r="K51" s="180" t="str">
        <f aca="false">IF((D51="e"),F51," ")</f>
        <v> </v>
      </c>
      <c r="L51" s="180" t="str">
        <f aca="false">IF((D51="p"),F51," ")</f>
        <v> </v>
      </c>
      <c r="M51" s="180" t="str">
        <f aca="false">IF((D51="g"),F51," ")</f>
        <v> </v>
      </c>
      <c r="N51" s="180" t="str">
        <f aca="false">IF((D51="a"),F51," ")</f>
        <v> </v>
      </c>
      <c r="O51" s="180" t="str">
        <f aca="false">IF((D51="l"),F51," ")</f>
        <v> </v>
      </c>
      <c r="P51" s="180" t="str">
        <f aca="false">IF((D51="i"),F51," ")</f>
        <v> </v>
      </c>
      <c r="Q51" s="180" t="str">
        <f aca="false">IF((D51="b"),F51," ")</f>
        <v> </v>
      </c>
      <c r="R51" s="180" t="str">
        <f aca="false">IF((D51="o"),F51," ")</f>
        <v> </v>
      </c>
      <c r="S51" s="180" t="str">
        <f aca="false">IF((D51="f"),F51," ")</f>
        <v> </v>
      </c>
      <c r="U51" s="371"/>
    </row>
    <row r="52" customFormat="false" ht="12.75" hidden="false" customHeight="false" outlineLevel="0" collapsed="false">
      <c r="D52" s="371" t="str">
        <f aca="false">IF((F52&lt;&gt;0),"Enter Letter"," ")</f>
        <v> </v>
      </c>
      <c r="G52" s="180" t="str">
        <f aca="false">IF((D52="d"),F52," ")</f>
        <v> </v>
      </c>
      <c r="H52" s="180" t="str">
        <f aca="false">IF((D52="h"),F52," ")</f>
        <v> </v>
      </c>
      <c r="I52" s="180" t="str">
        <f aca="false">IF((D52="r"),F52," ")</f>
        <v> </v>
      </c>
      <c r="J52" s="180" t="str">
        <f aca="false">IF((D52="t"),F52," ")</f>
        <v> </v>
      </c>
      <c r="K52" s="180" t="str">
        <f aca="false">IF((D52="e"),F52," ")</f>
        <v> </v>
      </c>
      <c r="L52" s="180" t="str">
        <f aca="false">IF((D52="p"),F52," ")</f>
        <v> </v>
      </c>
      <c r="M52" s="180" t="str">
        <f aca="false">IF((D52="g"),F52," ")</f>
        <v> </v>
      </c>
      <c r="N52" s="180" t="str">
        <f aca="false">IF((D52="a"),F52," ")</f>
        <v> </v>
      </c>
      <c r="O52" s="180" t="str">
        <f aca="false">IF((D52="l"),F52," ")</f>
        <v> </v>
      </c>
      <c r="P52" s="180" t="str">
        <f aca="false">IF((D52="i"),F52," ")</f>
        <v> </v>
      </c>
      <c r="Q52" s="180" t="str">
        <f aca="false">IF((D52="b"),F52," ")</f>
        <v> </v>
      </c>
      <c r="R52" s="180" t="str">
        <f aca="false">IF((D52="o"),F52," ")</f>
        <v> </v>
      </c>
      <c r="S52" s="180" t="str">
        <f aca="false">IF((D52="f"),F52," ")</f>
        <v> </v>
      </c>
      <c r="U52" s="371"/>
    </row>
    <row r="53" customFormat="false" ht="12.75" hidden="false" customHeight="false" outlineLevel="0" collapsed="false">
      <c r="D53" s="371" t="str">
        <f aca="false">IF((F53&lt;&gt;0),"Enter Letter"," ")</f>
        <v> </v>
      </c>
      <c r="G53" s="180" t="str">
        <f aca="false">IF((D53="d"),F53," ")</f>
        <v> </v>
      </c>
      <c r="H53" s="180" t="str">
        <f aca="false">IF((D53="h"),F53," ")</f>
        <v> </v>
      </c>
      <c r="I53" s="180" t="str">
        <f aca="false">IF((D53="r"),F53," ")</f>
        <v> </v>
      </c>
      <c r="J53" s="180" t="str">
        <f aca="false">IF((D53="t"),F53," ")</f>
        <v> </v>
      </c>
      <c r="K53" s="180" t="str">
        <f aca="false">IF((D53="e"),F53," ")</f>
        <v> </v>
      </c>
      <c r="L53" s="180" t="str">
        <f aca="false">IF((D53="p"),F53," ")</f>
        <v> </v>
      </c>
      <c r="M53" s="180" t="str">
        <f aca="false">IF((D53="g"),F53," ")</f>
        <v> </v>
      </c>
      <c r="N53" s="180" t="str">
        <f aca="false">IF((D53="a"),F53," ")</f>
        <v> </v>
      </c>
      <c r="O53" s="180" t="str">
        <f aca="false">IF((D53="l"),F53," ")</f>
        <v> </v>
      </c>
      <c r="P53" s="180" t="str">
        <f aca="false">IF((D53="i"),F53," ")</f>
        <v> </v>
      </c>
      <c r="Q53" s="180" t="str">
        <f aca="false">IF((D53="b"),F53," ")</f>
        <v> </v>
      </c>
      <c r="R53" s="180" t="str">
        <f aca="false">IF((D53="o"),F53," ")</f>
        <v> </v>
      </c>
      <c r="S53" s="180" t="str">
        <f aca="false">IF((D53="f"),F53," ")</f>
        <v> </v>
      </c>
      <c r="U53" s="371"/>
    </row>
    <row r="54" customFormat="false" ht="12.75" hidden="false" customHeight="false" outlineLevel="0" collapsed="false">
      <c r="D54" s="371" t="str">
        <f aca="false">IF((F54&lt;&gt;0),"Enter Letter"," ")</f>
        <v> </v>
      </c>
      <c r="G54" s="180" t="str">
        <f aca="false">IF((D54="d"),F54," ")</f>
        <v> </v>
      </c>
      <c r="H54" s="180" t="str">
        <f aca="false">IF((D54="h"),F54," ")</f>
        <v> </v>
      </c>
      <c r="I54" s="180" t="str">
        <f aca="false">IF((D54="r"),F54," ")</f>
        <v> </v>
      </c>
      <c r="J54" s="180" t="str">
        <f aca="false">IF((D54="t"),F54," ")</f>
        <v> </v>
      </c>
      <c r="K54" s="180" t="str">
        <f aca="false">IF((D54="e"),F54," ")</f>
        <v> </v>
      </c>
      <c r="L54" s="180" t="str">
        <f aca="false">IF((D54="p"),F54," ")</f>
        <v> </v>
      </c>
      <c r="M54" s="180" t="str">
        <f aca="false">IF((D54="g"),F54," ")</f>
        <v> </v>
      </c>
      <c r="N54" s="180" t="str">
        <f aca="false">IF((D54="a"),F54," ")</f>
        <v> </v>
      </c>
      <c r="O54" s="180" t="str">
        <f aca="false">IF((D54="l"),F54," ")</f>
        <v> </v>
      </c>
      <c r="P54" s="180" t="str">
        <f aca="false">IF((D54="i"),F54," ")</f>
        <v> </v>
      </c>
      <c r="Q54" s="180" t="str">
        <f aca="false">IF((D54="b"),F54," ")</f>
        <v> </v>
      </c>
      <c r="R54" s="180" t="str">
        <f aca="false">IF((D54="o"),F54," ")</f>
        <v> </v>
      </c>
      <c r="S54" s="180" t="str">
        <f aca="false">IF((D54="f"),F54," ")</f>
        <v> </v>
      </c>
      <c r="U54" s="371"/>
    </row>
    <row r="55" customFormat="false" ht="12.75" hidden="false" customHeight="false" outlineLevel="0" collapsed="false">
      <c r="D55" s="371" t="str">
        <f aca="false">IF((F55&lt;&gt;0),"Enter Letter"," ")</f>
        <v> </v>
      </c>
      <c r="G55" s="180" t="str">
        <f aca="false">IF((D55="d"),F55," ")</f>
        <v> </v>
      </c>
      <c r="H55" s="180" t="str">
        <f aca="false">IF((D55="h"),F55," ")</f>
        <v> </v>
      </c>
      <c r="I55" s="180" t="str">
        <f aca="false">IF((D55="r"),F55," ")</f>
        <v> </v>
      </c>
      <c r="J55" s="180" t="str">
        <f aca="false">IF((D55="t"),F55," ")</f>
        <v> </v>
      </c>
      <c r="K55" s="180" t="str">
        <f aca="false">IF((D55="e"),F55," ")</f>
        <v> </v>
      </c>
      <c r="L55" s="180" t="str">
        <f aca="false">IF((D55="p"),F55," ")</f>
        <v> </v>
      </c>
      <c r="M55" s="180" t="str">
        <f aca="false">IF((D55="g"),F55," ")</f>
        <v> </v>
      </c>
      <c r="N55" s="180" t="str">
        <f aca="false">IF((D55="a"),F55," ")</f>
        <v> </v>
      </c>
      <c r="O55" s="180" t="str">
        <f aca="false">IF((D55="l"),F55," ")</f>
        <v> </v>
      </c>
      <c r="P55" s="180" t="str">
        <f aca="false">IF((D55="i"),F55," ")</f>
        <v> </v>
      </c>
      <c r="Q55" s="180" t="str">
        <f aca="false">IF((D55="b"),F55," ")</f>
        <v> </v>
      </c>
      <c r="R55" s="180" t="str">
        <f aca="false">IF((D55="o"),F55," ")</f>
        <v> </v>
      </c>
      <c r="S55" s="180" t="str">
        <f aca="false">IF((D55="f"),F55," ")</f>
        <v> </v>
      </c>
      <c r="U55" s="371"/>
    </row>
    <row r="56" customFormat="false" ht="12.75" hidden="false" customHeight="false" outlineLevel="0" collapsed="false">
      <c r="D56" s="371" t="str">
        <f aca="false">IF((F56&lt;&gt;0),"Enter Letter"," ")</f>
        <v> </v>
      </c>
      <c r="G56" s="180" t="str">
        <f aca="false">IF((D56="d"),F56," ")</f>
        <v> </v>
      </c>
      <c r="H56" s="180" t="str">
        <f aca="false">IF((D56="h"),F56," ")</f>
        <v> </v>
      </c>
      <c r="I56" s="180" t="str">
        <f aca="false">IF((D56="r"),F56," ")</f>
        <v> </v>
      </c>
      <c r="J56" s="180" t="str">
        <f aca="false">IF((D56="t"),F56," ")</f>
        <v> </v>
      </c>
      <c r="K56" s="180" t="str">
        <f aca="false">IF((D56="e"),F56," ")</f>
        <v> </v>
      </c>
      <c r="L56" s="180" t="str">
        <f aca="false">IF((D56="p"),F56," ")</f>
        <v> </v>
      </c>
      <c r="M56" s="180" t="str">
        <f aca="false">IF((D56="g"),F56," ")</f>
        <v> </v>
      </c>
      <c r="N56" s="180" t="str">
        <f aca="false">IF((D56="a"),F56," ")</f>
        <v> </v>
      </c>
      <c r="O56" s="180" t="str">
        <f aca="false">IF((D56="l"),F56," ")</f>
        <v> </v>
      </c>
      <c r="P56" s="180" t="str">
        <f aca="false">IF((D56="i"),F56," ")</f>
        <v> </v>
      </c>
      <c r="Q56" s="180" t="str">
        <f aca="false">IF((D56="b"),F56," ")</f>
        <v> </v>
      </c>
      <c r="R56" s="180" t="str">
        <f aca="false">IF((D56="o"),F56," ")</f>
        <v> </v>
      </c>
      <c r="S56" s="180" t="str">
        <f aca="false">IF((D56="f"),F56," ")</f>
        <v> </v>
      </c>
      <c r="U56" s="371"/>
    </row>
    <row r="57" customFormat="false" ht="12.75" hidden="false" customHeight="false" outlineLevel="0" collapsed="false">
      <c r="D57" s="371" t="str">
        <f aca="false">IF((F57&lt;&gt;0),"Enter Letter"," ")</f>
        <v> </v>
      </c>
      <c r="G57" s="180" t="str">
        <f aca="false">IF((D57="d"),F57," ")</f>
        <v> </v>
      </c>
      <c r="H57" s="180" t="str">
        <f aca="false">IF((D57="h"),F57," ")</f>
        <v> </v>
      </c>
      <c r="I57" s="180" t="str">
        <f aca="false">IF((D57="r"),F57," ")</f>
        <v> </v>
      </c>
      <c r="J57" s="180" t="str">
        <f aca="false">IF((D57="t"),F57," ")</f>
        <v> </v>
      </c>
      <c r="K57" s="180" t="str">
        <f aca="false">IF((D57="e"),F57," ")</f>
        <v> </v>
      </c>
      <c r="L57" s="180" t="str">
        <f aca="false">IF((D57="p"),F57," ")</f>
        <v> </v>
      </c>
      <c r="M57" s="180" t="str">
        <f aca="false">IF((D57="g"),F57," ")</f>
        <v> </v>
      </c>
      <c r="N57" s="180" t="str">
        <f aca="false">IF((D57="a"),F57," ")</f>
        <v> </v>
      </c>
      <c r="O57" s="180" t="str">
        <f aca="false">IF((D57="l"),F57," ")</f>
        <v> </v>
      </c>
      <c r="P57" s="180" t="str">
        <f aca="false">IF((D57="i"),F57," ")</f>
        <v> </v>
      </c>
      <c r="Q57" s="180" t="str">
        <f aca="false">IF((D57="b"),F57," ")</f>
        <v> </v>
      </c>
      <c r="R57" s="180" t="str">
        <f aca="false">IF((D57="o"),F57," ")</f>
        <v> </v>
      </c>
      <c r="S57" s="180" t="str">
        <f aca="false">IF((D57="f"),F57," ")</f>
        <v> </v>
      </c>
      <c r="U57" s="371"/>
    </row>
    <row r="58" customFormat="false" ht="12.75" hidden="false" customHeight="false" outlineLevel="0" collapsed="false">
      <c r="D58" s="371" t="str">
        <f aca="false">IF((F58&lt;&gt;0),"Enter Letter"," ")</f>
        <v> </v>
      </c>
      <c r="G58" s="180" t="str">
        <f aca="false">IF((D58="d"),F58," ")</f>
        <v> </v>
      </c>
      <c r="H58" s="180" t="str">
        <f aca="false">IF((D58="h"),F58," ")</f>
        <v> </v>
      </c>
      <c r="I58" s="180" t="str">
        <f aca="false">IF((D58="r"),F58," ")</f>
        <v> </v>
      </c>
      <c r="J58" s="180" t="str">
        <f aca="false">IF((D58="t"),F58," ")</f>
        <v> </v>
      </c>
      <c r="K58" s="180" t="str">
        <f aca="false">IF((D58="e"),F58," ")</f>
        <v> </v>
      </c>
      <c r="L58" s="180" t="str">
        <f aca="false">IF((D58="p"),F58," ")</f>
        <v> </v>
      </c>
      <c r="M58" s="180" t="str">
        <f aca="false">IF((D58="g"),F58," ")</f>
        <v> </v>
      </c>
      <c r="N58" s="180" t="str">
        <f aca="false">IF((D58="a"),F58," ")</f>
        <v> </v>
      </c>
      <c r="O58" s="180" t="str">
        <f aca="false">IF((D58="l"),F58," ")</f>
        <v> </v>
      </c>
      <c r="P58" s="180" t="str">
        <f aca="false">IF((D58="i"),F58," ")</f>
        <v> </v>
      </c>
      <c r="Q58" s="180" t="str">
        <f aca="false">IF((D58="b"),F58," ")</f>
        <v> </v>
      </c>
      <c r="R58" s="180" t="str">
        <f aca="false">IF((D58="o"),F58," ")</f>
        <v> </v>
      </c>
      <c r="S58" s="180" t="str">
        <f aca="false">IF((D58="f"),F58," ")</f>
        <v> </v>
      </c>
      <c r="U58" s="371"/>
    </row>
    <row r="59" customFormat="false" ht="12.75" hidden="false" customHeight="false" outlineLevel="0" collapsed="false">
      <c r="D59" s="371" t="str">
        <f aca="false">IF((F59&lt;&gt;0),"Enter Letter"," ")</f>
        <v> </v>
      </c>
      <c r="G59" s="180" t="str">
        <f aca="false">IF((D59="d"),F59," ")</f>
        <v> </v>
      </c>
      <c r="H59" s="180" t="str">
        <f aca="false">IF((D59="h"),F59," ")</f>
        <v> </v>
      </c>
      <c r="I59" s="180" t="str">
        <f aca="false">IF((D59="r"),F59," ")</f>
        <v> </v>
      </c>
      <c r="J59" s="180" t="str">
        <f aca="false">IF((D59="t"),F59," ")</f>
        <v> </v>
      </c>
      <c r="K59" s="180" t="str">
        <f aca="false">IF((D59="e"),F59," ")</f>
        <v> </v>
      </c>
      <c r="L59" s="180" t="str">
        <f aca="false">IF((D59="p"),F59," ")</f>
        <v> </v>
      </c>
      <c r="M59" s="180" t="str">
        <f aca="false">IF((D59="g"),F59," ")</f>
        <v> </v>
      </c>
      <c r="N59" s="180" t="str">
        <f aca="false">IF((D59="a"),F59," ")</f>
        <v> </v>
      </c>
      <c r="O59" s="180" t="str">
        <f aca="false">IF((D59="l"),F59," ")</f>
        <v> </v>
      </c>
      <c r="P59" s="180" t="str">
        <f aca="false">IF((D59="i"),F59," ")</f>
        <v> </v>
      </c>
      <c r="Q59" s="180" t="str">
        <f aca="false">IF((D59="b"),F59," ")</f>
        <v> </v>
      </c>
      <c r="R59" s="180" t="str">
        <f aca="false">IF((D59="o"),F59," ")</f>
        <v> </v>
      </c>
      <c r="S59" s="180" t="str">
        <f aca="false">IF((D59="f"),F59," ")</f>
        <v> </v>
      </c>
      <c r="U59" s="371"/>
    </row>
    <row r="60" customFormat="false" ht="12.75" hidden="false" customHeight="false" outlineLevel="0" collapsed="false">
      <c r="D60" s="371" t="str">
        <f aca="false">IF((F60&lt;&gt;0),"Enter Letter"," ")</f>
        <v> </v>
      </c>
      <c r="G60" s="180" t="str">
        <f aca="false">IF((D60="d"),F60," ")</f>
        <v> </v>
      </c>
      <c r="H60" s="180" t="str">
        <f aca="false">IF((D60="h"),F60," ")</f>
        <v> </v>
      </c>
      <c r="I60" s="180" t="str">
        <f aca="false">IF((D60="r"),F60," ")</f>
        <v> </v>
      </c>
      <c r="J60" s="180" t="str">
        <f aca="false">IF((D60="t"),F60," ")</f>
        <v> </v>
      </c>
      <c r="K60" s="180" t="str">
        <f aca="false">IF((D60="e"),F60," ")</f>
        <v> </v>
      </c>
      <c r="L60" s="180" t="str">
        <f aca="false">IF((D60="p"),F60," ")</f>
        <v> </v>
      </c>
      <c r="M60" s="180" t="str">
        <f aca="false">IF((D60="g"),F60," ")</f>
        <v> </v>
      </c>
      <c r="N60" s="180" t="str">
        <f aca="false">IF((D60="a"),F60," ")</f>
        <v> </v>
      </c>
      <c r="O60" s="180" t="str">
        <f aca="false">IF((D60="l"),F60," ")</f>
        <v> </v>
      </c>
      <c r="P60" s="180" t="str">
        <f aca="false">IF((D60="i"),F60," ")</f>
        <v> </v>
      </c>
      <c r="Q60" s="180" t="str">
        <f aca="false">IF((D60="b"),F60," ")</f>
        <v> </v>
      </c>
      <c r="R60" s="180" t="str">
        <f aca="false">IF((D60="o"),F60," ")</f>
        <v> </v>
      </c>
      <c r="S60" s="180" t="str">
        <f aca="false">IF((D60="f"),F60," ")</f>
        <v> </v>
      </c>
      <c r="U60" s="371"/>
    </row>
    <row r="61" customFormat="false" ht="12.75" hidden="false" customHeight="false" outlineLevel="0" collapsed="false">
      <c r="D61" s="371" t="str">
        <f aca="false">IF((F61&lt;&gt;0),"Enter Letter"," ")</f>
        <v> </v>
      </c>
      <c r="G61" s="180" t="str">
        <f aca="false">IF((D61="d"),F61," ")</f>
        <v> </v>
      </c>
      <c r="H61" s="180" t="str">
        <f aca="false">IF((D61="h"),F61," ")</f>
        <v> </v>
      </c>
      <c r="I61" s="180" t="str">
        <f aca="false">IF((D61="r"),F61," ")</f>
        <v> </v>
      </c>
      <c r="J61" s="180" t="str">
        <f aca="false">IF((D61="t"),F61," ")</f>
        <v> </v>
      </c>
      <c r="K61" s="180" t="str">
        <f aca="false">IF((D61="e"),F61," ")</f>
        <v> </v>
      </c>
      <c r="L61" s="180" t="str">
        <f aca="false">IF((D61="p"),F61," ")</f>
        <v> </v>
      </c>
      <c r="M61" s="180" t="str">
        <f aca="false">IF((D61="g"),F61," ")</f>
        <v> </v>
      </c>
      <c r="N61" s="180" t="str">
        <f aca="false">IF((D61="a"),F61," ")</f>
        <v> </v>
      </c>
      <c r="O61" s="180" t="str">
        <f aca="false">IF((D61="l"),F61," ")</f>
        <v> </v>
      </c>
      <c r="P61" s="180" t="str">
        <f aca="false">IF((D61="i"),F61," ")</f>
        <v> </v>
      </c>
      <c r="Q61" s="180" t="str">
        <f aca="false">IF((D61="b"),F61," ")</f>
        <v> </v>
      </c>
      <c r="R61" s="180" t="str">
        <f aca="false">IF((D61="o"),F61," ")</f>
        <v> </v>
      </c>
      <c r="S61" s="180" t="str">
        <f aca="false">IF((D61="f"),F61," ")</f>
        <v> </v>
      </c>
      <c r="U61" s="371"/>
    </row>
    <row r="62" customFormat="false" ht="12.75" hidden="false" customHeight="false" outlineLevel="0" collapsed="false">
      <c r="D62" s="371" t="str">
        <f aca="false">IF((F62&lt;&gt;0),"Enter Letter"," ")</f>
        <v> </v>
      </c>
      <c r="G62" s="180" t="str">
        <f aca="false">IF((D62="d"),F62," ")</f>
        <v> </v>
      </c>
      <c r="H62" s="180" t="str">
        <f aca="false">IF((D62="h"),F62," ")</f>
        <v> </v>
      </c>
      <c r="I62" s="180" t="str">
        <f aca="false">IF((D62="r"),F62," ")</f>
        <v> </v>
      </c>
      <c r="J62" s="180" t="str">
        <f aca="false">IF((D62="t"),F62," ")</f>
        <v> </v>
      </c>
      <c r="K62" s="180" t="str">
        <f aca="false">IF((D62="e"),F62," ")</f>
        <v> </v>
      </c>
      <c r="L62" s="180" t="str">
        <f aca="false">IF((D62="p"),F62," ")</f>
        <v> </v>
      </c>
      <c r="M62" s="180" t="str">
        <f aca="false">IF((D62="g"),F62," ")</f>
        <v> </v>
      </c>
      <c r="N62" s="180" t="str">
        <f aca="false">IF((D62="a"),F62," ")</f>
        <v> </v>
      </c>
      <c r="O62" s="180" t="str">
        <f aca="false">IF((D62="l"),F62," ")</f>
        <v> </v>
      </c>
      <c r="P62" s="180" t="str">
        <f aca="false">IF((D62="i"),F62," ")</f>
        <v> </v>
      </c>
      <c r="Q62" s="180" t="str">
        <f aca="false">IF((D62="b"),F62," ")</f>
        <v> </v>
      </c>
      <c r="R62" s="180" t="str">
        <f aca="false">IF((D62="o"),F62," ")</f>
        <v> </v>
      </c>
      <c r="S62" s="180" t="str">
        <f aca="false">IF((D62="f"),F62," ")</f>
        <v> </v>
      </c>
      <c r="U62" s="371"/>
    </row>
    <row r="63" customFormat="false" ht="12.75" hidden="false" customHeight="false" outlineLevel="0" collapsed="false">
      <c r="D63" s="371" t="str">
        <f aca="false">IF((F63&lt;&gt;0),"Enter Letter"," ")</f>
        <v> </v>
      </c>
      <c r="G63" s="180" t="str">
        <f aca="false">IF((D63="d"),F63," ")</f>
        <v> </v>
      </c>
      <c r="H63" s="180" t="str">
        <f aca="false">IF((D63="h"),F63," ")</f>
        <v> </v>
      </c>
      <c r="I63" s="180" t="str">
        <f aca="false">IF((D63="r"),F63," ")</f>
        <v> </v>
      </c>
      <c r="J63" s="180" t="str">
        <f aca="false">IF((D63="t"),F63," ")</f>
        <v> </v>
      </c>
      <c r="K63" s="180" t="str">
        <f aca="false">IF((D63="e"),F63," ")</f>
        <v> </v>
      </c>
      <c r="L63" s="180" t="str">
        <f aca="false">IF((D63="p"),F63," ")</f>
        <v> </v>
      </c>
      <c r="M63" s="180" t="str">
        <f aca="false">IF((D63="g"),F63," ")</f>
        <v> </v>
      </c>
      <c r="N63" s="180" t="str">
        <f aca="false">IF((D63="a"),F63," ")</f>
        <v> </v>
      </c>
      <c r="O63" s="180" t="str">
        <f aca="false">IF((D63="l"),F63," ")</f>
        <v> </v>
      </c>
      <c r="P63" s="180" t="str">
        <f aca="false">IF((D63="i"),F63," ")</f>
        <v> </v>
      </c>
      <c r="Q63" s="180" t="str">
        <f aca="false">IF((D63="b"),F63," ")</f>
        <v> </v>
      </c>
      <c r="R63" s="180" t="str">
        <f aca="false">IF((D63="o"),F63," ")</f>
        <v> </v>
      </c>
      <c r="S63" s="180" t="str">
        <f aca="false">IF((D63="f"),F63," ")</f>
        <v> </v>
      </c>
      <c r="U63" s="371"/>
    </row>
    <row r="64" customFormat="false" ht="12.75" hidden="false" customHeight="false" outlineLevel="0" collapsed="false">
      <c r="D64" s="371" t="str">
        <f aca="false">IF((F64&lt;&gt;0),"Enter Letter"," ")</f>
        <v> </v>
      </c>
      <c r="G64" s="180" t="str">
        <f aca="false">IF((D64="d"),F64," ")</f>
        <v> </v>
      </c>
      <c r="H64" s="180" t="str">
        <f aca="false">IF((D64="h"),F64," ")</f>
        <v> </v>
      </c>
      <c r="I64" s="180" t="str">
        <f aca="false">IF((D64="r"),F64," ")</f>
        <v> </v>
      </c>
      <c r="J64" s="180" t="str">
        <f aca="false">IF((D64="t"),F64," ")</f>
        <v> </v>
      </c>
      <c r="K64" s="180" t="str">
        <f aca="false">IF((D64="e"),F64," ")</f>
        <v> </v>
      </c>
      <c r="L64" s="180" t="str">
        <f aca="false">IF((D64="p"),F64," ")</f>
        <v> </v>
      </c>
      <c r="M64" s="180" t="str">
        <f aca="false">IF((D64="g"),F64," ")</f>
        <v> </v>
      </c>
      <c r="N64" s="180" t="str">
        <f aca="false">IF((D64="a"),F64," ")</f>
        <v> </v>
      </c>
      <c r="O64" s="180" t="str">
        <f aca="false">IF((D64="l"),F64," ")</f>
        <v> </v>
      </c>
      <c r="P64" s="180" t="str">
        <f aca="false">IF((D64="i"),F64," ")</f>
        <v> </v>
      </c>
      <c r="Q64" s="180" t="str">
        <f aca="false">IF((D64="b"),F64," ")</f>
        <v> </v>
      </c>
      <c r="R64" s="180" t="str">
        <f aca="false">IF((D64="o"),F64," ")</f>
        <v> </v>
      </c>
      <c r="S64" s="180" t="str">
        <f aca="false">IF((D64="f"),F64," ")</f>
        <v> </v>
      </c>
      <c r="U64" s="371"/>
    </row>
    <row r="65" customFormat="false" ht="12.75" hidden="false" customHeight="false" outlineLevel="0" collapsed="false">
      <c r="D65" s="371" t="str">
        <f aca="false">IF((F65&lt;&gt;0),"Enter Letter"," ")</f>
        <v> </v>
      </c>
      <c r="G65" s="180" t="str">
        <f aca="false">IF((D65="d"),F65," ")</f>
        <v> </v>
      </c>
      <c r="H65" s="180" t="str">
        <f aca="false">IF((D65="h"),F65," ")</f>
        <v> </v>
      </c>
      <c r="I65" s="180" t="str">
        <f aca="false">IF((D65="r"),F65," ")</f>
        <v> </v>
      </c>
      <c r="J65" s="180" t="str">
        <f aca="false">IF((D65="t"),F65," ")</f>
        <v> </v>
      </c>
      <c r="K65" s="180" t="str">
        <f aca="false">IF((D65="e"),F65," ")</f>
        <v> </v>
      </c>
      <c r="L65" s="180" t="str">
        <f aca="false">IF((D65="p"),F65," ")</f>
        <v> </v>
      </c>
      <c r="M65" s="180" t="str">
        <f aca="false">IF((D65="g"),F65," ")</f>
        <v> </v>
      </c>
      <c r="N65" s="180" t="str">
        <f aca="false">IF((D65="a"),F65," ")</f>
        <v> </v>
      </c>
      <c r="O65" s="180" t="str">
        <f aca="false">IF((D65="l"),F65," ")</f>
        <v> </v>
      </c>
      <c r="P65" s="180" t="str">
        <f aca="false">IF((D65="i"),F65," ")</f>
        <v> </v>
      </c>
      <c r="Q65" s="180" t="str">
        <f aca="false">IF((D65="b"),F65," ")</f>
        <v> </v>
      </c>
      <c r="R65" s="180" t="str">
        <f aca="false">IF((D65="o"),F65," ")</f>
        <v> </v>
      </c>
      <c r="S65" s="180" t="str">
        <f aca="false">IF((D65="f"),F65," ")</f>
        <v> </v>
      </c>
      <c r="U65" s="371"/>
    </row>
    <row r="66" customFormat="false" ht="12.75" hidden="false" customHeight="false" outlineLevel="0" collapsed="false">
      <c r="D66" s="371" t="str">
        <f aca="false">IF((F66&lt;&gt;0),"Enter Letter"," ")</f>
        <v> </v>
      </c>
      <c r="G66" s="180" t="str">
        <f aca="false">IF((D66="d"),F66," ")</f>
        <v> </v>
      </c>
      <c r="H66" s="180" t="str">
        <f aca="false">IF((D66="h"),F66," ")</f>
        <v> </v>
      </c>
      <c r="I66" s="180" t="str">
        <f aca="false">IF((D66="r"),F66," ")</f>
        <v> </v>
      </c>
      <c r="J66" s="180" t="str">
        <f aca="false">IF((D66="t"),F66," ")</f>
        <v> </v>
      </c>
      <c r="K66" s="180" t="str">
        <f aca="false">IF((D66="e"),F66," ")</f>
        <v> </v>
      </c>
      <c r="L66" s="180" t="str">
        <f aca="false">IF((D66="p"),F66," ")</f>
        <v> </v>
      </c>
      <c r="M66" s="180" t="str">
        <f aca="false">IF((D66="g"),F66," ")</f>
        <v> </v>
      </c>
      <c r="N66" s="180" t="str">
        <f aca="false">IF((D66="a"),F66," ")</f>
        <v> </v>
      </c>
      <c r="O66" s="180" t="str">
        <f aca="false">IF((D66="l"),F66," ")</f>
        <v> </v>
      </c>
      <c r="P66" s="180" t="str">
        <f aca="false">IF((D66="i"),F66," ")</f>
        <v> </v>
      </c>
      <c r="Q66" s="180" t="str">
        <f aca="false">IF((D66="b"),F66," ")</f>
        <v> </v>
      </c>
      <c r="R66" s="180" t="str">
        <f aca="false">IF((D66="o"),F66," ")</f>
        <v> </v>
      </c>
      <c r="S66" s="180" t="str">
        <f aca="false">IF((D66="f"),F66," ")</f>
        <v> </v>
      </c>
      <c r="U66" s="371"/>
    </row>
    <row r="67" customFormat="false" ht="12.75" hidden="false" customHeight="false" outlineLevel="0" collapsed="false">
      <c r="D67" s="371" t="str">
        <f aca="false">IF((F67&lt;&gt;0),"Enter Letter"," ")</f>
        <v> </v>
      </c>
      <c r="G67" s="180" t="str">
        <f aca="false">IF((D67="d"),F67," ")</f>
        <v> </v>
      </c>
      <c r="H67" s="180" t="str">
        <f aca="false">IF((D67="h"),F67," ")</f>
        <v> </v>
      </c>
      <c r="I67" s="180" t="str">
        <f aca="false">IF((D67="r"),F67," ")</f>
        <v> </v>
      </c>
      <c r="J67" s="180" t="str">
        <f aca="false">IF((D67="t"),F67," ")</f>
        <v> </v>
      </c>
      <c r="K67" s="180" t="str">
        <f aca="false">IF((D67="e"),F67," ")</f>
        <v> </v>
      </c>
      <c r="L67" s="180" t="str">
        <f aca="false">IF((D67="p"),F67," ")</f>
        <v> </v>
      </c>
      <c r="M67" s="180" t="str">
        <f aca="false">IF((D67="g"),F67," ")</f>
        <v> </v>
      </c>
      <c r="N67" s="180" t="str">
        <f aca="false">IF((D67="a"),F67," ")</f>
        <v> </v>
      </c>
      <c r="O67" s="180" t="str">
        <f aca="false">IF((D67="l"),F67," ")</f>
        <v> </v>
      </c>
      <c r="P67" s="180" t="str">
        <f aca="false">IF((D67="i"),F67," ")</f>
        <v> </v>
      </c>
      <c r="Q67" s="180" t="str">
        <f aca="false">IF((D67="b"),F67," ")</f>
        <v> </v>
      </c>
      <c r="R67" s="180" t="str">
        <f aca="false">IF((D67="o"),F67," ")</f>
        <v> </v>
      </c>
      <c r="S67" s="180" t="str">
        <f aca="false">IF((D67="f"),F67," ")</f>
        <v> </v>
      </c>
      <c r="U67" s="371"/>
    </row>
    <row r="68" customFormat="false" ht="12.75" hidden="false" customHeight="false" outlineLevel="0" collapsed="false">
      <c r="D68" s="371" t="str">
        <f aca="false">IF((F68&lt;&gt;0),"Enter Letter"," ")</f>
        <v> </v>
      </c>
      <c r="G68" s="180" t="str">
        <f aca="false">IF((D68="d"),F68," ")</f>
        <v> </v>
      </c>
      <c r="H68" s="180" t="str">
        <f aca="false">IF((D68="h"),F68," ")</f>
        <v> </v>
      </c>
      <c r="I68" s="180" t="str">
        <f aca="false">IF((D68="r"),F68," ")</f>
        <v> </v>
      </c>
      <c r="J68" s="180" t="str">
        <f aca="false">IF((D68="t"),F68," ")</f>
        <v> </v>
      </c>
      <c r="K68" s="180" t="str">
        <f aca="false">IF((D68="e"),F68," ")</f>
        <v> </v>
      </c>
      <c r="L68" s="180" t="str">
        <f aca="false">IF((D68="p"),F68," ")</f>
        <v> </v>
      </c>
      <c r="M68" s="180" t="str">
        <f aca="false">IF((D68="g"),F68," ")</f>
        <v> </v>
      </c>
      <c r="N68" s="180" t="str">
        <f aca="false">IF((D68="a"),F68," ")</f>
        <v> </v>
      </c>
      <c r="O68" s="180" t="str">
        <f aca="false">IF((D68="l"),F68," ")</f>
        <v> </v>
      </c>
      <c r="P68" s="180" t="str">
        <f aca="false">IF((D68="i"),F68," ")</f>
        <v> </v>
      </c>
      <c r="Q68" s="180" t="str">
        <f aca="false">IF((D68="b"),F68," ")</f>
        <v> </v>
      </c>
      <c r="R68" s="180" t="str">
        <f aca="false">IF((D68="o"),F68," ")</f>
        <v> </v>
      </c>
      <c r="S68" s="180" t="str">
        <f aca="false">IF((D68="f"),F68," ")</f>
        <v> </v>
      </c>
      <c r="U68" s="371"/>
    </row>
    <row r="69" customFormat="false" ht="12.75" hidden="false" customHeight="false" outlineLevel="0" collapsed="false">
      <c r="D69" s="371" t="str">
        <f aca="false">IF((F69&lt;&gt;0),"Enter Letter"," ")</f>
        <v> </v>
      </c>
      <c r="G69" s="180" t="str">
        <f aca="false">IF((D69="d"),F69," ")</f>
        <v> </v>
      </c>
      <c r="H69" s="180" t="str">
        <f aca="false">IF((D69="h"),F69," ")</f>
        <v> </v>
      </c>
      <c r="I69" s="180" t="str">
        <f aca="false">IF((D69="r"),F69," ")</f>
        <v> </v>
      </c>
      <c r="J69" s="180" t="str">
        <f aca="false">IF((D69="t"),F69," ")</f>
        <v> </v>
      </c>
      <c r="K69" s="180" t="str">
        <f aca="false">IF((D69="e"),F69," ")</f>
        <v> </v>
      </c>
      <c r="L69" s="180" t="str">
        <f aca="false">IF((D69="p"),F69," ")</f>
        <v> </v>
      </c>
      <c r="M69" s="180" t="str">
        <f aca="false">IF((D69="g"),F69," ")</f>
        <v> </v>
      </c>
      <c r="N69" s="180" t="str">
        <f aca="false">IF((D69="a"),F69," ")</f>
        <v> </v>
      </c>
      <c r="O69" s="180" t="str">
        <f aca="false">IF((D69="l"),F69," ")</f>
        <v> </v>
      </c>
      <c r="P69" s="180" t="str">
        <f aca="false">IF((D69="i"),F69," ")</f>
        <v> </v>
      </c>
      <c r="Q69" s="180" t="str">
        <f aca="false">IF((D69="b"),F69," ")</f>
        <v> </v>
      </c>
      <c r="R69" s="180" t="str">
        <f aca="false">IF((D69="o"),F69," ")</f>
        <v> </v>
      </c>
      <c r="S69" s="180" t="str">
        <f aca="false">IF((D69="f"),F69," ")</f>
        <v> </v>
      </c>
      <c r="U69" s="371"/>
    </row>
    <row r="70" customFormat="false" ht="12.75" hidden="false" customHeight="false" outlineLevel="0" collapsed="false">
      <c r="D70" s="371" t="str">
        <f aca="false">IF((F70&lt;&gt;0),"Enter Letter"," ")</f>
        <v> </v>
      </c>
      <c r="G70" s="180" t="str">
        <f aca="false">IF((D70="d"),F70," ")</f>
        <v> </v>
      </c>
      <c r="H70" s="180" t="str">
        <f aca="false">IF((D70="h"),F70," ")</f>
        <v> </v>
      </c>
      <c r="I70" s="180" t="str">
        <f aca="false">IF((D70="r"),F70," ")</f>
        <v> </v>
      </c>
      <c r="J70" s="180" t="str">
        <f aca="false">IF((D70="t"),F70," ")</f>
        <v> </v>
      </c>
      <c r="K70" s="180" t="str">
        <f aca="false">IF((D70="e"),F70," ")</f>
        <v> </v>
      </c>
      <c r="L70" s="180" t="str">
        <f aca="false">IF((D70="p"),F70," ")</f>
        <v> </v>
      </c>
      <c r="M70" s="180" t="str">
        <f aca="false">IF((D70="g"),F70," ")</f>
        <v> </v>
      </c>
      <c r="N70" s="180" t="str">
        <f aca="false">IF((D70="a"),F70," ")</f>
        <v> </v>
      </c>
      <c r="O70" s="180" t="str">
        <f aca="false">IF((D70="l"),F70," ")</f>
        <v> </v>
      </c>
      <c r="P70" s="180" t="str">
        <f aca="false">IF((D70="i"),F70," ")</f>
        <v> </v>
      </c>
      <c r="Q70" s="180" t="str">
        <f aca="false">IF((D70="b"),F70," ")</f>
        <v> </v>
      </c>
      <c r="R70" s="180" t="str">
        <f aca="false">IF((D70="o"),F70," ")</f>
        <v> </v>
      </c>
      <c r="S70" s="180" t="str">
        <f aca="false">IF((D70="f"),F70," ")</f>
        <v> </v>
      </c>
      <c r="U70" s="371"/>
    </row>
    <row r="71" customFormat="false" ht="12.75" hidden="false" customHeight="false" outlineLevel="0" collapsed="false">
      <c r="D71" s="371" t="str">
        <f aca="false">IF((F71&lt;&gt;0),"Enter Letter"," ")</f>
        <v> </v>
      </c>
      <c r="G71" s="180" t="str">
        <f aca="false">IF((D71="d"),F71," ")</f>
        <v> </v>
      </c>
      <c r="H71" s="180" t="str">
        <f aca="false">IF((D71="h"),F71," ")</f>
        <v> </v>
      </c>
      <c r="I71" s="180" t="str">
        <f aca="false">IF((D71="r"),F71," ")</f>
        <v> </v>
      </c>
      <c r="J71" s="180" t="str">
        <f aca="false">IF((D71="t"),F71," ")</f>
        <v> </v>
      </c>
      <c r="K71" s="180" t="str">
        <f aca="false">IF((D71="e"),F71," ")</f>
        <v> </v>
      </c>
      <c r="L71" s="180" t="str">
        <f aca="false">IF((D71="p"),F71," ")</f>
        <v> </v>
      </c>
      <c r="M71" s="180" t="str">
        <f aca="false">IF((D71="g"),F71," ")</f>
        <v> </v>
      </c>
      <c r="N71" s="180" t="str">
        <f aca="false">IF((D71="a"),F71," ")</f>
        <v> </v>
      </c>
      <c r="O71" s="180" t="str">
        <f aca="false">IF((D71="l"),F71," ")</f>
        <v> </v>
      </c>
      <c r="P71" s="180" t="str">
        <f aca="false">IF((D71="i"),F71," ")</f>
        <v> </v>
      </c>
      <c r="Q71" s="180" t="str">
        <f aca="false">IF((D71="b"),F71," ")</f>
        <v> </v>
      </c>
      <c r="R71" s="180" t="str">
        <f aca="false">IF((D71="o"),F71," ")</f>
        <v> </v>
      </c>
      <c r="S71" s="180" t="str">
        <f aca="false">IF((D71="f"),F71," ")</f>
        <v> </v>
      </c>
      <c r="U71" s="371"/>
    </row>
    <row r="72" customFormat="false" ht="12.75" hidden="false" customHeight="false" outlineLevel="0" collapsed="false">
      <c r="D72" s="371" t="str">
        <f aca="false">IF((F72&lt;&gt;0),"Enter Letter"," ")</f>
        <v> </v>
      </c>
      <c r="G72" s="180" t="str">
        <f aca="false">IF((D72="d"),F72," ")</f>
        <v> </v>
      </c>
      <c r="H72" s="180" t="str">
        <f aca="false">IF((D72="h"),F72," ")</f>
        <v> </v>
      </c>
      <c r="I72" s="180" t="str">
        <f aca="false">IF((D72="r"),F72," ")</f>
        <v> </v>
      </c>
      <c r="J72" s="180" t="str">
        <f aca="false">IF((D72="t"),F72," ")</f>
        <v> </v>
      </c>
      <c r="K72" s="180" t="str">
        <f aca="false">IF((D72="e"),F72," ")</f>
        <v> </v>
      </c>
      <c r="L72" s="180" t="str">
        <f aca="false">IF((D72="p"),F72," ")</f>
        <v> </v>
      </c>
      <c r="M72" s="180" t="str">
        <f aca="false">IF((D72="g"),F72," ")</f>
        <v> </v>
      </c>
      <c r="N72" s="180" t="str">
        <f aca="false">IF((D72="a"),F72," ")</f>
        <v> </v>
      </c>
      <c r="O72" s="180" t="str">
        <f aca="false">IF((D72="l"),F72," ")</f>
        <v> </v>
      </c>
      <c r="P72" s="180" t="str">
        <f aca="false">IF((D72="i"),F72," ")</f>
        <v> </v>
      </c>
      <c r="Q72" s="180" t="str">
        <f aca="false">IF((D72="b"),F72," ")</f>
        <v> </v>
      </c>
      <c r="R72" s="180" t="str">
        <f aca="false">IF((D72="o"),F72," ")</f>
        <v> </v>
      </c>
      <c r="S72" s="180" t="str">
        <f aca="false">IF((D72="f"),F72," ")</f>
        <v> </v>
      </c>
      <c r="U72" s="371"/>
    </row>
    <row r="73" customFormat="false" ht="12.75" hidden="false" customHeight="false" outlineLevel="0" collapsed="false">
      <c r="D73" s="371" t="str">
        <f aca="false">IF((F73&lt;&gt;0),"Enter Letter"," ")</f>
        <v> </v>
      </c>
      <c r="G73" s="180" t="str">
        <f aca="false">IF((D73="d"),F73," ")</f>
        <v> </v>
      </c>
      <c r="H73" s="180" t="str">
        <f aca="false">IF((D73="h"),F73," ")</f>
        <v> </v>
      </c>
      <c r="I73" s="180" t="str">
        <f aca="false">IF((D73="r"),F73," ")</f>
        <v> </v>
      </c>
      <c r="J73" s="180" t="str">
        <f aca="false">IF((D73="t"),F73," ")</f>
        <v> </v>
      </c>
      <c r="K73" s="180" t="str">
        <f aca="false">IF((D73="e"),F73," ")</f>
        <v> </v>
      </c>
      <c r="L73" s="180" t="str">
        <f aca="false">IF((D73="p"),F73," ")</f>
        <v> </v>
      </c>
      <c r="M73" s="180" t="str">
        <f aca="false">IF((D73="g"),F73," ")</f>
        <v> </v>
      </c>
      <c r="N73" s="180" t="str">
        <f aca="false">IF((D73="a"),F73," ")</f>
        <v> </v>
      </c>
      <c r="O73" s="180" t="str">
        <f aca="false">IF((D73="l"),F73," ")</f>
        <v> </v>
      </c>
      <c r="P73" s="180" t="str">
        <f aca="false">IF((D73="i"),F73," ")</f>
        <v> </v>
      </c>
      <c r="Q73" s="180" t="str">
        <f aca="false">IF((D73="b"),F73," ")</f>
        <v> </v>
      </c>
      <c r="R73" s="180" t="str">
        <f aca="false">IF((D73="o"),F73," ")</f>
        <v> </v>
      </c>
      <c r="S73" s="180" t="str">
        <f aca="false">IF((D73="f"),F73," ")</f>
        <v> </v>
      </c>
      <c r="U73" s="371"/>
    </row>
    <row r="74" customFormat="false" ht="12.75" hidden="false" customHeight="false" outlineLevel="0" collapsed="false">
      <c r="D74" s="371" t="str">
        <f aca="false">IF((F74&lt;&gt;0),"Enter Letter"," ")</f>
        <v> </v>
      </c>
      <c r="G74" s="180" t="str">
        <f aca="false">IF((D74="d"),F74," ")</f>
        <v> </v>
      </c>
      <c r="H74" s="180" t="str">
        <f aca="false">IF((D74="h"),F74," ")</f>
        <v> </v>
      </c>
      <c r="I74" s="180" t="str">
        <f aca="false">IF((D74="r"),F74," ")</f>
        <v> </v>
      </c>
      <c r="J74" s="180" t="str">
        <f aca="false">IF((D74="t"),F74," ")</f>
        <v> </v>
      </c>
      <c r="K74" s="180" t="str">
        <f aca="false">IF((D74="e"),F74," ")</f>
        <v> </v>
      </c>
      <c r="L74" s="180" t="str">
        <f aca="false">IF((D74="p"),F74," ")</f>
        <v> </v>
      </c>
      <c r="M74" s="180" t="str">
        <f aca="false">IF((D74="g"),F74," ")</f>
        <v> </v>
      </c>
      <c r="N74" s="180" t="str">
        <f aca="false">IF((D74="a"),F74," ")</f>
        <v> </v>
      </c>
      <c r="O74" s="180" t="str">
        <f aca="false">IF((D74="l"),F74," ")</f>
        <v> </v>
      </c>
      <c r="P74" s="180" t="str">
        <f aca="false">IF((D74="i"),F74," ")</f>
        <v> </v>
      </c>
      <c r="Q74" s="180" t="str">
        <f aca="false">IF((D74="b"),F74," ")</f>
        <v> </v>
      </c>
      <c r="R74" s="180" t="str">
        <f aca="false">IF((D74="o"),F74," ")</f>
        <v> </v>
      </c>
      <c r="S74" s="180" t="str">
        <f aca="false">IF((D74="f"),F74," ")</f>
        <v> </v>
      </c>
      <c r="U74" s="371"/>
    </row>
    <row r="75" customFormat="false" ht="12.75" hidden="false" customHeight="false" outlineLevel="0" collapsed="false">
      <c r="D75" s="371" t="str">
        <f aca="false">IF((F75&lt;&gt;0),"Enter Letter"," ")</f>
        <v> </v>
      </c>
      <c r="G75" s="180" t="str">
        <f aca="false">IF((D75="d"),F75," ")</f>
        <v> </v>
      </c>
      <c r="H75" s="180" t="str">
        <f aca="false">IF((D75="h"),F75," ")</f>
        <v> </v>
      </c>
      <c r="I75" s="180" t="str">
        <f aca="false">IF((D75="r"),F75," ")</f>
        <v> </v>
      </c>
      <c r="J75" s="180" t="str">
        <f aca="false">IF((D75="t"),F75," ")</f>
        <v> </v>
      </c>
      <c r="K75" s="180" t="str">
        <f aca="false">IF((D75="e"),F75," ")</f>
        <v> </v>
      </c>
      <c r="L75" s="180" t="str">
        <f aca="false">IF((D75="p"),F75," ")</f>
        <v> </v>
      </c>
      <c r="M75" s="180" t="str">
        <f aca="false">IF((D75="g"),F75," ")</f>
        <v> </v>
      </c>
      <c r="N75" s="180" t="str">
        <f aca="false">IF((D75="a"),F75," ")</f>
        <v> </v>
      </c>
      <c r="O75" s="180" t="str">
        <f aca="false">IF((D75="l"),F75," ")</f>
        <v> </v>
      </c>
      <c r="P75" s="180" t="str">
        <f aca="false">IF((D75="i"),F75," ")</f>
        <v> </v>
      </c>
      <c r="Q75" s="180" t="str">
        <f aca="false">IF((D75="b"),F75," ")</f>
        <v> </v>
      </c>
      <c r="R75" s="180" t="str">
        <f aca="false">IF((D75="o"),F75," ")</f>
        <v> </v>
      </c>
      <c r="S75" s="180" t="str">
        <f aca="false">IF((D75="f"),F75," ")</f>
        <v> </v>
      </c>
      <c r="U75" s="371"/>
    </row>
    <row r="76" customFormat="false" ht="12.75" hidden="false" customHeight="false" outlineLevel="0" collapsed="false">
      <c r="D76" s="371" t="str">
        <f aca="false">IF((F76&lt;&gt;0),"Enter Letter"," ")</f>
        <v> </v>
      </c>
      <c r="G76" s="180" t="str">
        <f aca="false">IF((D76="d"),F76," ")</f>
        <v> </v>
      </c>
      <c r="H76" s="180" t="str">
        <f aca="false">IF((D76="h"),F76," ")</f>
        <v> </v>
      </c>
      <c r="I76" s="180" t="str">
        <f aca="false">IF((D76="r"),F76," ")</f>
        <v> </v>
      </c>
      <c r="J76" s="180" t="str">
        <f aca="false">IF((D76="t"),F76," ")</f>
        <v> </v>
      </c>
      <c r="K76" s="180" t="str">
        <f aca="false">IF((D76="e"),F76," ")</f>
        <v> </v>
      </c>
      <c r="L76" s="180" t="str">
        <f aca="false">IF((D76="p"),F76," ")</f>
        <v> </v>
      </c>
      <c r="M76" s="180" t="str">
        <f aca="false">IF((D76="g"),F76," ")</f>
        <v> </v>
      </c>
      <c r="N76" s="180" t="str">
        <f aca="false">IF((D76="a"),F76," ")</f>
        <v> </v>
      </c>
      <c r="O76" s="180" t="str">
        <f aca="false">IF((D76="l"),F76," ")</f>
        <v> </v>
      </c>
      <c r="P76" s="180" t="str">
        <f aca="false">IF((D76="i"),F76," ")</f>
        <v> </v>
      </c>
      <c r="Q76" s="180" t="str">
        <f aca="false">IF((D76="b"),F76," ")</f>
        <v> </v>
      </c>
      <c r="R76" s="180" t="str">
        <f aca="false">IF((D76="o"),F76," ")</f>
        <v> </v>
      </c>
      <c r="S76" s="180" t="str">
        <f aca="false">IF((D76="f"),F76," ")</f>
        <v> </v>
      </c>
      <c r="U76" s="371"/>
    </row>
    <row r="77" customFormat="false" ht="12.75" hidden="false" customHeight="false" outlineLevel="0" collapsed="false">
      <c r="D77" s="371" t="str">
        <f aca="false">IF((F77&lt;&gt;0),"Enter Letter"," ")</f>
        <v> </v>
      </c>
      <c r="G77" s="180" t="str">
        <f aca="false">IF((D77="d"),F77," ")</f>
        <v> </v>
      </c>
      <c r="H77" s="180" t="str">
        <f aca="false">IF((D77="h"),F77," ")</f>
        <v> </v>
      </c>
      <c r="I77" s="180" t="str">
        <f aca="false">IF((D77="r"),F77," ")</f>
        <v> </v>
      </c>
      <c r="J77" s="180" t="str">
        <f aca="false">IF((D77="t"),F77," ")</f>
        <v> </v>
      </c>
      <c r="K77" s="180" t="str">
        <f aca="false">IF((D77="e"),F77," ")</f>
        <v> </v>
      </c>
      <c r="L77" s="180" t="str">
        <f aca="false">IF((D77="p"),F77," ")</f>
        <v> </v>
      </c>
      <c r="M77" s="180" t="str">
        <f aca="false">IF((D77="g"),F77," ")</f>
        <v> </v>
      </c>
      <c r="N77" s="180" t="str">
        <f aca="false">IF((D77="a"),F77," ")</f>
        <v> </v>
      </c>
      <c r="O77" s="180" t="str">
        <f aca="false">IF((D77="l"),F77," ")</f>
        <v> </v>
      </c>
      <c r="P77" s="180" t="str">
        <f aca="false">IF((D77="i"),F77," ")</f>
        <v> </v>
      </c>
      <c r="Q77" s="180" t="str">
        <f aca="false">IF((D77="b"),F77," ")</f>
        <v> </v>
      </c>
      <c r="R77" s="180" t="str">
        <f aca="false">IF((D77="o"),F77," ")</f>
        <v> </v>
      </c>
      <c r="S77" s="180" t="str">
        <f aca="false">IF((D77="f"),F77," ")</f>
        <v> </v>
      </c>
      <c r="U77" s="371"/>
    </row>
    <row r="78" customFormat="false" ht="12.75" hidden="false" customHeight="false" outlineLevel="0" collapsed="false">
      <c r="D78" s="371" t="str">
        <f aca="false">IF((F78&lt;&gt;0),"Enter Letter"," ")</f>
        <v> </v>
      </c>
      <c r="G78" s="180" t="str">
        <f aca="false">IF((D78="d"),F78," ")</f>
        <v> </v>
      </c>
      <c r="H78" s="180" t="str">
        <f aca="false">IF((D78="h"),F78," ")</f>
        <v> </v>
      </c>
      <c r="I78" s="180" t="str">
        <f aca="false">IF((D78="r"),F78," ")</f>
        <v> </v>
      </c>
      <c r="J78" s="180" t="str">
        <f aca="false">IF((D78="t"),F78," ")</f>
        <v> </v>
      </c>
      <c r="K78" s="180" t="str">
        <f aca="false">IF((D78="e"),F78," ")</f>
        <v> </v>
      </c>
      <c r="L78" s="180" t="str">
        <f aca="false">IF((D78="p"),F78," ")</f>
        <v> </v>
      </c>
      <c r="M78" s="180" t="str">
        <f aca="false">IF((D78="g"),F78," ")</f>
        <v> </v>
      </c>
      <c r="N78" s="180" t="str">
        <f aca="false">IF((D78="a"),F78," ")</f>
        <v> </v>
      </c>
      <c r="O78" s="180" t="str">
        <f aca="false">IF((D78="l"),F78," ")</f>
        <v> </v>
      </c>
      <c r="P78" s="180" t="str">
        <f aca="false">IF((D78="i"),F78," ")</f>
        <v> </v>
      </c>
      <c r="Q78" s="180" t="str">
        <f aca="false">IF((D78="b"),F78," ")</f>
        <v> </v>
      </c>
      <c r="R78" s="180" t="str">
        <f aca="false">IF((D78="o"),F78," ")</f>
        <v> </v>
      </c>
      <c r="S78" s="180" t="str">
        <f aca="false">IF((D78="f"),F78," ")</f>
        <v> </v>
      </c>
      <c r="U78" s="371"/>
    </row>
    <row r="79" customFormat="false" ht="12.75" hidden="false" customHeight="false" outlineLevel="0" collapsed="false">
      <c r="D79" s="371" t="str">
        <f aca="false">IF((F79&lt;&gt;0),"Enter Letter"," ")</f>
        <v> </v>
      </c>
      <c r="G79" s="180" t="str">
        <f aca="false">IF((D79="d"),F79," ")</f>
        <v> </v>
      </c>
      <c r="H79" s="180" t="str">
        <f aca="false">IF((D79="h"),F79," ")</f>
        <v> </v>
      </c>
      <c r="I79" s="180" t="str">
        <f aca="false">IF((D79="r"),F79," ")</f>
        <v> </v>
      </c>
      <c r="J79" s="180" t="str">
        <f aca="false">IF((D79="t"),F79," ")</f>
        <v> </v>
      </c>
      <c r="K79" s="180" t="str">
        <f aca="false">IF((D79="e"),F79," ")</f>
        <v> </v>
      </c>
      <c r="L79" s="180" t="str">
        <f aca="false">IF((D79="p"),F79," ")</f>
        <v> </v>
      </c>
      <c r="M79" s="180" t="str">
        <f aca="false">IF((D79="g"),F79," ")</f>
        <v> </v>
      </c>
      <c r="N79" s="180" t="str">
        <f aca="false">IF((D79="a"),F79," ")</f>
        <v> </v>
      </c>
      <c r="O79" s="180" t="str">
        <f aca="false">IF((D79="l"),F79," ")</f>
        <v> </v>
      </c>
      <c r="P79" s="180" t="str">
        <f aca="false">IF((D79="i"),F79," ")</f>
        <v> </v>
      </c>
      <c r="Q79" s="180" t="str">
        <f aca="false">IF((D79="b"),F79," ")</f>
        <v> </v>
      </c>
      <c r="R79" s="180" t="str">
        <f aca="false">IF((D79="o"),F79," ")</f>
        <v> </v>
      </c>
      <c r="S79" s="180" t="str">
        <f aca="false">IF((D79="f"),F79," ")</f>
        <v> </v>
      </c>
      <c r="U79" s="371"/>
    </row>
    <row r="80" customFormat="false" ht="12.75" hidden="false" customHeight="false" outlineLevel="0" collapsed="false">
      <c r="D80" s="371" t="str">
        <f aca="false">IF((F80&lt;&gt;0),"Enter Letter"," ")</f>
        <v> </v>
      </c>
      <c r="G80" s="180" t="str">
        <f aca="false">IF((D80="d"),F80," ")</f>
        <v> </v>
      </c>
      <c r="H80" s="180" t="str">
        <f aca="false">IF((D80="h"),F80," ")</f>
        <v> </v>
      </c>
      <c r="I80" s="180" t="str">
        <f aca="false">IF((D80="r"),F80," ")</f>
        <v> </v>
      </c>
      <c r="J80" s="180" t="str">
        <f aca="false">IF((D80="t"),F80," ")</f>
        <v> </v>
      </c>
      <c r="K80" s="180" t="str">
        <f aca="false">IF((D80="e"),F80," ")</f>
        <v> </v>
      </c>
      <c r="L80" s="180" t="str">
        <f aca="false">IF((D80="p"),F80," ")</f>
        <v> </v>
      </c>
      <c r="M80" s="180" t="str">
        <f aca="false">IF((D80="g"),F80," ")</f>
        <v> </v>
      </c>
      <c r="N80" s="180" t="str">
        <f aca="false">IF((D80="a"),F80," ")</f>
        <v> </v>
      </c>
      <c r="O80" s="180" t="str">
        <f aca="false">IF((D80="l"),F80," ")</f>
        <v> </v>
      </c>
      <c r="P80" s="180" t="str">
        <f aca="false">IF((D80="i"),F80," ")</f>
        <v> </v>
      </c>
      <c r="Q80" s="180" t="str">
        <f aca="false">IF((D80="b"),F80," ")</f>
        <v> </v>
      </c>
      <c r="R80" s="180" t="str">
        <f aca="false">IF((D80="o"),F80," ")</f>
        <v> </v>
      </c>
      <c r="S80" s="180" t="str">
        <f aca="false">IF((D80="f"),F80," ")</f>
        <v> </v>
      </c>
      <c r="U80" s="371"/>
    </row>
    <row r="81" customFormat="false" ht="12.75" hidden="false" customHeight="false" outlineLevel="0" collapsed="false">
      <c r="D81" s="371" t="str">
        <f aca="false">IF((F81&lt;&gt;0),"Enter Letter"," ")</f>
        <v> </v>
      </c>
      <c r="G81" s="180" t="str">
        <f aca="false">IF((D81="d"),F81," ")</f>
        <v> </v>
      </c>
      <c r="H81" s="180" t="str">
        <f aca="false">IF((D81="h"),F81," ")</f>
        <v> </v>
      </c>
      <c r="I81" s="180" t="str">
        <f aca="false">IF((D81="r"),F81," ")</f>
        <v> </v>
      </c>
      <c r="J81" s="180" t="str">
        <f aca="false">IF((D81="t"),F81," ")</f>
        <v> </v>
      </c>
      <c r="K81" s="180" t="str">
        <f aca="false">IF((D81="e"),F81," ")</f>
        <v> </v>
      </c>
      <c r="L81" s="180" t="str">
        <f aca="false">IF((D81="p"),F81," ")</f>
        <v> </v>
      </c>
      <c r="M81" s="180" t="str">
        <f aca="false">IF((D81="g"),F81," ")</f>
        <v> </v>
      </c>
      <c r="N81" s="180" t="str">
        <f aca="false">IF((D81="a"),F81," ")</f>
        <v> </v>
      </c>
      <c r="O81" s="180" t="str">
        <f aca="false">IF((D81="l"),F81," ")</f>
        <v> </v>
      </c>
      <c r="P81" s="180" t="str">
        <f aca="false">IF((D81="i"),F81," ")</f>
        <v> </v>
      </c>
      <c r="Q81" s="180" t="str">
        <f aca="false">IF((D81="b"),F81," ")</f>
        <v> </v>
      </c>
      <c r="R81" s="180" t="str">
        <f aca="false">IF((D81="o"),F81," ")</f>
        <v> </v>
      </c>
      <c r="S81" s="180" t="str">
        <f aca="false">IF((D81="f"),F81," ")</f>
        <v> </v>
      </c>
      <c r="U81" s="371"/>
    </row>
    <row r="82" customFormat="false" ht="12.75" hidden="false" customHeight="false" outlineLevel="0" collapsed="false">
      <c r="D82" s="371" t="str">
        <f aca="false">IF((F82&lt;&gt;0),"Enter Letter"," ")</f>
        <v> </v>
      </c>
      <c r="G82" s="180" t="str">
        <f aca="false">IF((D82="d"),F82," ")</f>
        <v> </v>
      </c>
      <c r="H82" s="180" t="str">
        <f aca="false">IF((D82="h"),F82," ")</f>
        <v> </v>
      </c>
      <c r="I82" s="180" t="str">
        <f aca="false">IF((D82="r"),F82," ")</f>
        <v> </v>
      </c>
      <c r="J82" s="180" t="str">
        <f aca="false">IF((D82="t"),F82," ")</f>
        <v> </v>
      </c>
      <c r="K82" s="180" t="str">
        <f aca="false">IF((D82="e"),F82," ")</f>
        <v> </v>
      </c>
      <c r="L82" s="180" t="str">
        <f aca="false">IF((D82="p"),F82," ")</f>
        <v> </v>
      </c>
      <c r="M82" s="180" t="str">
        <f aca="false">IF((D82="g"),F82," ")</f>
        <v> </v>
      </c>
      <c r="N82" s="180" t="str">
        <f aca="false">IF((D82="a"),F82," ")</f>
        <v> </v>
      </c>
      <c r="O82" s="180" t="str">
        <f aca="false">IF((D82="l"),F82," ")</f>
        <v> </v>
      </c>
      <c r="P82" s="180" t="str">
        <f aca="false">IF((D82="i"),F82," ")</f>
        <v> </v>
      </c>
      <c r="Q82" s="180" t="str">
        <f aca="false">IF((D82="b"),F82," ")</f>
        <v> </v>
      </c>
      <c r="R82" s="180" t="str">
        <f aca="false">IF((D82="o"),F82," ")</f>
        <v> </v>
      </c>
      <c r="S82" s="180" t="str">
        <f aca="false">IF((D82="f"),F82," ")</f>
        <v> </v>
      </c>
      <c r="U82" s="371"/>
    </row>
    <row r="83" customFormat="false" ht="12.75" hidden="false" customHeight="false" outlineLevel="0" collapsed="false">
      <c r="D83" s="371" t="str">
        <f aca="false">IF((F83&lt;&gt;0),"Enter Letter"," ")</f>
        <v> </v>
      </c>
      <c r="G83" s="180" t="str">
        <f aca="false">IF((D83="d"),F83," ")</f>
        <v> </v>
      </c>
      <c r="H83" s="180" t="str">
        <f aca="false">IF((D83="h"),F83," ")</f>
        <v> </v>
      </c>
      <c r="I83" s="180" t="str">
        <f aca="false">IF((D83="r"),F83," ")</f>
        <v> </v>
      </c>
      <c r="J83" s="180" t="str">
        <f aca="false">IF((D83="t"),F83," ")</f>
        <v> </v>
      </c>
      <c r="K83" s="180" t="str">
        <f aca="false">IF((D83="e"),F83," ")</f>
        <v> </v>
      </c>
      <c r="L83" s="180" t="str">
        <f aca="false">IF((D83="p"),F83," ")</f>
        <v> </v>
      </c>
      <c r="M83" s="180" t="str">
        <f aca="false">IF((D83="g"),F83," ")</f>
        <v> </v>
      </c>
      <c r="N83" s="180" t="str">
        <f aca="false">IF((D83="a"),F83," ")</f>
        <v> </v>
      </c>
      <c r="O83" s="180" t="str">
        <f aca="false">IF((D83="l"),F83," ")</f>
        <v> </v>
      </c>
      <c r="P83" s="180" t="str">
        <f aca="false">IF((D83="i"),F83," ")</f>
        <v> </v>
      </c>
      <c r="Q83" s="180" t="str">
        <f aca="false">IF((D83="b"),F83," ")</f>
        <v> </v>
      </c>
      <c r="R83" s="180" t="str">
        <f aca="false">IF((D83="o"),F83," ")</f>
        <v> </v>
      </c>
      <c r="S83" s="180" t="str">
        <f aca="false">IF((D83="f"),F83," ")</f>
        <v> </v>
      </c>
      <c r="U83" s="371"/>
    </row>
    <row r="84" customFormat="false" ht="12.75" hidden="false" customHeight="false" outlineLevel="0" collapsed="false">
      <c r="D84" s="371" t="str">
        <f aca="false">IF((F84&lt;&gt;0),"Enter Letter"," ")</f>
        <v> </v>
      </c>
      <c r="G84" s="180" t="str">
        <f aca="false">IF((D84="d"),F84," ")</f>
        <v> </v>
      </c>
      <c r="H84" s="180" t="str">
        <f aca="false">IF((D84="h"),F84," ")</f>
        <v> </v>
      </c>
      <c r="I84" s="180" t="str">
        <f aca="false">IF((D84="r"),F84," ")</f>
        <v> </v>
      </c>
      <c r="J84" s="180" t="str">
        <f aca="false">IF((D84="t"),F84," ")</f>
        <v> </v>
      </c>
      <c r="K84" s="180" t="str">
        <f aca="false">IF((D84="e"),F84," ")</f>
        <v> </v>
      </c>
      <c r="L84" s="180" t="str">
        <f aca="false">IF((D84="p"),F84," ")</f>
        <v> </v>
      </c>
      <c r="M84" s="180" t="str">
        <f aca="false">IF((D84="g"),F84," ")</f>
        <v> </v>
      </c>
      <c r="N84" s="180" t="str">
        <f aca="false">IF((D84="a"),F84," ")</f>
        <v> </v>
      </c>
      <c r="O84" s="180" t="str">
        <f aca="false">IF((D84="l"),F84," ")</f>
        <v> </v>
      </c>
      <c r="P84" s="180" t="str">
        <f aca="false">IF((D84="i"),F84," ")</f>
        <v> </v>
      </c>
      <c r="Q84" s="180" t="str">
        <f aca="false">IF((D84="b"),F84," ")</f>
        <v> </v>
      </c>
      <c r="R84" s="180" t="str">
        <f aca="false">IF((D84="o"),F84," ")</f>
        <v> </v>
      </c>
      <c r="S84" s="180" t="str">
        <f aca="false">IF((D84="f"),F84," ")</f>
        <v> </v>
      </c>
      <c r="U84" s="371"/>
    </row>
    <row r="85" customFormat="false" ht="12.75" hidden="false" customHeight="false" outlineLevel="0" collapsed="false">
      <c r="D85" s="371" t="str">
        <f aca="false">IF((F85&lt;&gt;0),"Enter Letter"," ")</f>
        <v> </v>
      </c>
      <c r="G85" s="180" t="str">
        <f aca="false">IF((D85="d"),F85," ")</f>
        <v> </v>
      </c>
      <c r="H85" s="180" t="str">
        <f aca="false">IF((D85="h"),F85," ")</f>
        <v> </v>
      </c>
      <c r="I85" s="180" t="str">
        <f aca="false">IF((D85="r"),F85," ")</f>
        <v> </v>
      </c>
      <c r="J85" s="180" t="str">
        <f aca="false">IF((D85="t"),F85," ")</f>
        <v> </v>
      </c>
      <c r="K85" s="180" t="str">
        <f aca="false">IF((D85="e"),F85," ")</f>
        <v> </v>
      </c>
      <c r="L85" s="180" t="str">
        <f aca="false">IF((D85="p"),F85," ")</f>
        <v> </v>
      </c>
      <c r="M85" s="180" t="str">
        <f aca="false">IF((D85="g"),F85," ")</f>
        <v> </v>
      </c>
      <c r="N85" s="180" t="str">
        <f aca="false">IF((D85="a"),F85," ")</f>
        <v> </v>
      </c>
      <c r="O85" s="180" t="str">
        <f aca="false">IF((D85="l"),F85," ")</f>
        <v> </v>
      </c>
      <c r="P85" s="180" t="str">
        <f aca="false">IF((D85="i"),F85," ")</f>
        <v> </v>
      </c>
      <c r="Q85" s="180" t="str">
        <f aca="false">IF((D85="b"),F85," ")</f>
        <v> </v>
      </c>
      <c r="R85" s="180" t="str">
        <f aca="false">IF((D85="o"),F85," ")</f>
        <v> </v>
      </c>
      <c r="S85" s="180" t="str">
        <f aca="false">IF((D85="f"),F85," ")</f>
        <v> </v>
      </c>
      <c r="U85" s="371"/>
    </row>
    <row r="86" customFormat="false" ht="12.75" hidden="false" customHeight="false" outlineLevel="0" collapsed="false">
      <c r="D86" s="371" t="str">
        <f aca="false">IF((F86&lt;&gt;0),"Enter Letter"," ")</f>
        <v> </v>
      </c>
      <c r="G86" s="180" t="str">
        <f aca="false">IF((D86="d"),F86," ")</f>
        <v> </v>
      </c>
      <c r="H86" s="180" t="str">
        <f aca="false">IF((D86="h"),F86," ")</f>
        <v> </v>
      </c>
      <c r="I86" s="180" t="str">
        <f aca="false">IF((D86="r"),F86," ")</f>
        <v> </v>
      </c>
      <c r="J86" s="180" t="str">
        <f aca="false">IF((D86="t"),F86," ")</f>
        <v> </v>
      </c>
      <c r="K86" s="180" t="str">
        <f aca="false">IF((D86="e"),F86," ")</f>
        <v> </v>
      </c>
      <c r="L86" s="180" t="str">
        <f aca="false">IF((D86="p"),F86," ")</f>
        <v> </v>
      </c>
      <c r="M86" s="180" t="str">
        <f aca="false">IF((D86="g"),F86," ")</f>
        <v> </v>
      </c>
      <c r="N86" s="180" t="str">
        <f aca="false">IF((D86="a"),F86," ")</f>
        <v> </v>
      </c>
      <c r="O86" s="180" t="str">
        <f aca="false">IF((D86="l"),F86," ")</f>
        <v> </v>
      </c>
      <c r="P86" s="180" t="str">
        <f aca="false">IF((D86="i"),F86," ")</f>
        <v> </v>
      </c>
      <c r="Q86" s="180" t="str">
        <f aca="false">IF((D86="b"),F86," ")</f>
        <v> </v>
      </c>
      <c r="R86" s="180" t="str">
        <f aca="false">IF((D86="o"),F86," ")</f>
        <v> </v>
      </c>
      <c r="S86" s="180" t="str">
        <f aca="false">IF((D86="f"),F86," ")</f>
        <v> </v>
      </c>
      <c r="U86" s="371"/>
    </row>
    <row r="87" customFormat="false" ht="12.75" hidden="false" customHeight="false" outlineLevel="0" collapsed="false">
      <c r="D87" s="371" t="str">
        <f aca="false">IF((F87&lt;&gt;0),"Enter Letter"," ")</f>
        <v> </v>
      </c>
      <c r="G87" s="180" t="str">
        <f aca="false">IF((D87="d"),F87," ")</f>
        <v> </v>
      </c>
      <c r="H87" s="180" t="str">
        <f aca="false">IF((D87="h"),F87," ")</f>
        <v> </v>
      </c>
      <c r="I87" s="180" t="str">
        <f aca="false">IF((D87="r"),F87," ")</f>
        <v> </v>
      </c>
      <c r="J87" s="180" t="str">
        <f aca="false">IF((D87="t"),F87," ")</f>
        <v> </v>
      </c>
      <c r="K87" s="180" t="str">
        <f aca="false">IF((D87="e"),F87," ")</f>
        <v> </v>
      </c>
      <c r="L87" s="180" t="str">
        <f aca="false">IF((D87="p"),F87," ")</f>
        <v> </v>
      </c>
      <c r="M87" s="180" t="str">
        <f aca="false">IF((D87="g"),F87," ")</f>
        <v> </v>
      </c>
      <c r="N87" s="180" t="str">
        <f aca="false">IF((D87="a"),F87," ")</f>
        <v> </v>
      </c>
      <c r="O87" s="180" t="str">
        <f aca="false">IF((D87="l"),F87," ")</f>
        <v> </v>
      </c>
      <c r="P87" s="180" t="str">
        <f aca="false">IF((D87="i"),F87," ")</f>
        <v> </v>
      </c>
      <c r="Q87" s="180" t="str">
        <f aca="false">IF((D87="b"),F87," ")</f>
        <v> </v>
      </c>
      <c r="R87" s="180" t="str">
        <f aca="false">IF((D87="o"),F87," ")</f>
        <v> </v>
      </c>
      <c r="S87" s="180" t="str">
        <f aca="false">IF((D87="f"),F87," ")</f>
        <v> </v>
      </c>
      <c r="U87" s="371"/>
    </row>
    <row r="88" customFormat="false" ht="12.75" hidden="false" customHeight="false" outlineLevel="0" collapsed="false">
      <c r="D88" s="371" t="str">
        <f aca="false">IF((F88&lt;&gt;0),"Enter Letter"," ")</f>
        <v> </v>
      </c>
      <c r="G88" s="180" t="str">
        <f aca="false">IF((D88="d"),F88," ")</f>
        <v> </v>
      </c>
      <c r="H88" s="180" t="str">
        <f aca="false">IF((D88="h"),F88," ")</f>
        <v> </v>
      </c>
      <c r="I88" s="180" t="str">
        <f aca="false">IF((D88="r"),F88," ")</f>
        <v> </v>
      </c>
      <c r="J88" s="180" t="str">
        <f aca="false">IF((D88="t"),F88," ")</f>
        <v> </v>
      </c>
      <c r="K88" s="180" t="str">
        <f aca="false">IF((D88="e"),F88," ")</f>
        <v> </v>
      </c>
      <c r="L88" s="180" t="str">
        <f aca="false">IF((D88="p"),F88," ")</f>
        <v> </v>
      </c>
      <c r="M88" s="180" t="str">
        <f aca="false">IF((D88="g"),F88," ")</f>
        <v> </v>
      </c>
      <c r="N88" s="180" t="str">
        <f aca="false">IF((D88="a"),F88," ")</f>
        <v> </v>
      </c>
      <c r="O88" s="180" t="str">
        <f aca="false">IF((D88="l"),F88," ")</f>
        <v> </v>
      </c>
      <c r="P88" s="180" t="str">
        <f aca="false">IF((D88="i"),F88," ")</f>
        <v> </v>
      </c>
      <c r="Q88" s="180" t="str">
        <f aca="false">IF((D88="b"),F88," ")</f>
        <v> </v>
      </c>
      <c r="R88" s="180" t="str">
        <f aca="false">IF((D88="o"),F88," ")</f>
        <v> </v>
      </c>
      <c r="S88" s="180" t="str">
        <f aca="false">IF((D88="f"),F88," ")</f>
        <v> </v>
      </c>
      <c r="U88" s="371"/>
    </row>
    <row r="89" customFormat="false" ht="12.75" hidden="false" customHeight="false" outlineLevel="0" collapsed="false">
      <c r="D89" s="371" t="str">
        <f aca="false">IF((F89&lt;&gt;0),"Enter Letter"," ")</f>
        <v> </v>
      </c>
      <c r="G89" s="180" t="str">
        <f aca="false">IF((D89="d"),F89," ")</f>
        <v> </v>
      </c>
      <c r="H89" s="180" t="str">
        <f aca="false">IF((D89="h"),F89," ")</f>
        <v> </v>
      </c>
      <c r="I89" s="180" t="str">
        <f aca="false">IF((D89="r"),F89," ")</f>
        <v> </v>
      </c>
      <c r="J89" s="180" t="str">
        <f aca="false">IF((D89="t"),F89," ")</f>
        <v> </v>
      </c>
      <c r="K89" s="180" t="str">
        <f aca="false">IF((D89="e"),F89," ")</f>
        <v> </v>
      </c>
      <c r="L89" s="180" t="str">
        <f aca="false">IF((D89="p"),F89," ")</f>
        <v> </v>
      </c>
      <c r="M89" s="180" t="str">
        <f aca="false">IF((D89="g"),F89," ")</f>
        <v> </v>
      </c>
      <c r="N89" s="180" t="str">
        <f aca="false">IF((D89="a"),F89," ")</f>
        <v> </v>
      </c>
      <c r="O89" s="180" t="str">
        <f aca="false">IF((D89="l"),F89," ")</f>
        <v> </v>
      </c>
      <c r="P89" s="180" t="str">
        <f aca="false">IF((D89="i"),F89," ")</f>
        <v> </v>
      </c>
      <c r="Q89" s="180" t="str">
        <f aca="false">IF((D89="b"),F89," ")</f>
        <v> </v>
      </c>
      <c r="R89" s="180" t="str">
        <f aca="false">IF((D89="o"),F89," ")</f>
        <v> </v>
      </c>
      <c r="S89" s="180" t="str">
        <f aca="false">IF((D89="f"),F89," ")</f>
        <v> </v>
      </c>
      <c r="U89" s="371"/>
    </row>
    <row r="90" customFormat="false" ht="12.75" hidden="false" customHeight="false" outlineLevel="0" collapsed="false">
      <c r="D90" s="371" t="str">
        <f aca="false">IF((F90&lt;&gt;0),"Enter Letter"," ")</f>
        <v> </v>
      </c>
      <c r="G90" s="180" t="str">
        <f aca="false">IF((D90="d"),F90," ")</f>
        <v> </v>
      </c>
      <c r="H90" s="180" t="str">
        <f aca="false">IF((D90="h"),F90," ")</f>
        <v> </v>
      </c>
      <c r="I90" s="180" t="str">
        <f aca="false">IF((D90="r"),F90," ")</f>
        <v> </v>
      </c>
      <c r="J90" s="180" t="str">
        <f aca="false">IF((D90="t"),F90," ")</f>
        <v> </v>
      </c>
      <c r="K90" s="180" t="str">
        <f aca="false">IF((D90="e"),F90," ")</f>
        <v> </v>
      </c>
      <c r="L90" s="180" t="str">
        <f aca="false">IF((D90="p"),F90," ")</f>
        <v> </v>
      </c>
      <c r="M90" s="180" t="str">
        <f aca="false">IF((D90="g"),F90," ")</f>
        <v> </v>
      </c>
      <c r="N90" s="180" t="str">
        <f aca="false">IF((D90="a"),F90," ")</f>
        <v> </v>
      </c>
      <c r="O90" s="180" t="str">
        <f aca="false">IF((D90="l"),F90," ")</f>
        <v> </v>
      </c>
      <c r="P90" s="180" t="str">
        <f aca="false">IF((D90="i"),F90," ")</f>
        <v> </v>
      </c>
      <c r="Q90" s="180" t="str">
        <f aca="false">IF((D90="b"),F90," ")</f>
        <v> </v>
      </c>
      <c r="R90" s="180" t="str">
        <f aca="false">IF((D90="o"),F90," ")</f>
        <v> </v>
      </c>
      <c r="S90" s="180" t="str">
        <f aca="false">IF((D90="f"),F90," ")</f>
        <v> </v>
      </c>
      <c r="U90" s="371"/>
    </row>
    <row r="91" customFormat="false" ht="12.75" hidden="false" customHeight="false" outlineLevel="0" collapsed="false">
      <c r="D91" s="371" t="str">
        <f aca="false">IF((F91&lt;&gt;0),"Enter Letter"," ")</f>
        <v> </v>
      </c>
      <c r="G91" s="180" t="str">
        <f aca="false">IF((D91="d"),F91," ")</f>
        <v> </v>
      </c>
      <c r="H91" s="180" t="str">
        <f aca="false">IF((D91="h"),F91," ")</f>
        <v> </v>
      </c>
      <c r="I91" s="180" t="str">
        <f aca="false">IF((D91="r"),F91," ")</f>
        <v> </v>
      </c>
      <c r="J91" s="180" t="str">
        <f aca="false">IF((D91="t"),F91," ")</f>
        <v> </v>
      </c>
      <c r="K91" s="180" t="str">
        <f aca="false">IF((D91="e"),F91," ")</f>
        <v> </v>
      </c>
      <c r="L91" s="180" t="str">
        <f aca="false">IF((D91="p"),F91," ")</f>
        <v> </v>
      </c>
      <c r="M91" s="180" t="str">
        <f aca="false">IF((D91="g"),F91," ")</f>
        <v> </v>
      </c>
      <c r="N91" s="180" t="str">
        <f aca="false">IF((D91="a"),F91," ")</f>
        <v> </v>
      </c>
      <c r="O91" s="180" t="str">
        <f aca="false">IF((D91="l"),F91," ")</f>
        <v> </v>
      </c>
      <c r="P91" s="180" t="str">
        <f aca="false">IF((D91="i"),F91," ")</f>
        <v> </v>
      </c>
      <c r="Q91" s="180" t="str">
        <f aca="false">IF((D91="b"),F91," ")</f>
        <v> </v>
      </c>
      <c r="R91" s="180" t="str">
        <f aca="false">IF((D91="o"),F91," ")</f>
        <v> </v>
      </c>
      <c r="S91" s="180" t="str">
        <f aca="false">IF((D91="f"),F91," ")</f>
        <v> </v>
      </c>
      <c r="U91" s="371"/>
    </row>
    <row r="92" customFormat="false" ht="12.75" hidden="false" customHeight="false" outlineLevel="0" collapsed="false">
      <c r="D92" s="371" t="str">
        <f aca="false">IF((F92&lt;&gt;0),"Enter Letter"," ")</f>
        <v> </v>
      </c>
      <c r="G92" s="180" t="str">
        <f aca="false">IF((D92="d"),F92," ")</f>
        <v> </v>
      </c>
      <c r="H92" s="180" t="str">
        <f aca="false">IF((D92="h"),F92," ")</f>
        <v> </v>
      </c>
      <c r="I92" s="180" t="str">
        <f aca="false">IF((D92="r"),F92," ")</f>
        <v> </v>
      </c>
      <c r="J92" s="180" t="str">
        <f aca="false">IF((D92="t"),F92," ")</f>
        <v> </v>
      </c>
      <c r="K92" s="180" t="str">
        <f aca="false">IF((D92="e"),F92," ")</f>
        <v> </v>
      </c>
      <c r="L92" s="180" t="str">
        <f aca="false">IF((D92="p"),F92," ")</f>
        <v> </v>
      </c>
      <c r="M92" s="180" t="str">
        <f aca="false">IF((D92="g"),F92," ")</f>
        <v> </v>
      </c>
      <c r="N92" s="180" t="str">
        <f aca="false">IF((D92="a"),F92," ")</f>
        <v> </v>
      </c>
      <c r="O92" s="180" t="str">
        <f aca="false">IF((D92="l"),F92," ")</f>
        <v> </v>
      </c>
      <c r="P92" s="180" t="str">
        <f aca="false">IF((D92="i"),F92," ")</f>
        <v> </v>
      </c>
      <c r="Q92" s="180" t="str">
        <f aca="false">IF((D92="b"),F92," ")</f>
        <v> </v>
      </c>
      <c r="R92" s="180" t="str">
        <f aca="false">IF((D92="o"),F92," ")</f>
        <v> </v>
      </c>
      <c r="S92" s="180" t="str">
        <f aca="false">IF((D92="f"),F92," ")</f>
        <v> </v>
      </c>
      <c r="U92" s="371"/>
    </row>
    <row r="93" customFormat="false" ht="12.75" hidden="false" customHeight="false" outlineLevel="0" collapsed="false">
      <c r="D93" s="371" t="str">
        <f aca="false">IF((F93&lt;&gt;0),"Enter Letter"," ")</f>
        <v> </v>
      </c>
      <c r="G93" s="180" t="str">
        <f aca="false">IF((D93="d"),F93," ")</f>
        <v> </v>
      </c>
      <c r="H93" s="180" t="str">
        <f aca="false">IF((D93="h"),F93," ")</f>
        <v> </v>
      </c>
      <c r="I93" s="180" t="str">
        <f aca="false">IF((D93="r"),F93," ")</f>
        <v> </v>
      </c>
      <c r="J93" s="180" t="str">
        <f aca="false">IF((D93="t"),F93," ")</f>
        <v> </v>
      </c>
      <c r="K93" s="180" t="str">
        <f aca="false">IF((D93="e"),F93," ")</f>
        <v> </v>
      </c>
      <c r="L93" s="180" t="str">
        <f aca="false">IF((D93="p"),F93," ")</f>
        <v> </v>
      </c>
      <c r="M93" s="180" t="str">
        <f aca="false">IF((D93="g"),F93," ")</f>
        <v> </v>
      </c>
      <c r="N93" s="180" t="str">
        <f aca="false">IF((D93="a"),F93," ")</f>
        <v> </v>
      </c>
      <c r="O93" s="180" t="str">
        <f aca="false">IF((D93="l"),F93," ")</f>
        <v> </v>
      </c>
      <c r="P93" s="180" t="str">
        <f aca="false">IF((D93="i"),F93," ")</f>
        <v> </v>
      </c>
      <c r="Q93" s="180" t="str">
        <f aca="false">IF((D93="b"),F93," ")</f>
        <v> </v>
      </c>
      <c r="R93" s="180" t="str">
        <f aca="false">IF((D93="o"),F93," ")</f>
        <v> </v>
      </c>
      <c r="S93" s="180" t="str">
        <f aca="false">IF((D93="f"),F93," ")</f>
        <v> </v>
      </c>
      <c r="U93" s="371"/>
    </row>
    <row r="94" customFormat="false" ht="12.75" hidden="false" customHeight="false" outlineLevel="0" collapsed="false">
      <c r="D94" s="371" t="str">
        <f aca="false">IF((F94&lt;&gt;0),"Enter Letter"," ")</f>
        <v> </v>
      </c>
      <c r="G94" s="180" t="str">
        <f aca="false">IF((D94="d"),F94," ")</f>
        <v> </v>
      </c>
      <c r="H94" s="180" t="str">
        <f aca="false">IF((D94="h"),F94," ")</f>
        <v> </v>
      </c>
      <c r="I94" s="180" t="str">
        <f aca="false">IF((D94="r"),F94," ")</f>
        <v> </v>
      </c>
      <c r="J94" s="180" t="str">
        <f aca="false">IF((D94="t"),F94," ")</f>
        <v> </v>
      </c>
      <c r="K94" s="180" t="str">
        <f aca="false">IF((D94="e"),F94," ")</f>
        <v> </v>
      </c>
      <c r="L94" s="180" t="str">
        <f aca="false">IF((D94="p"),F94," ")</f>
        <v> </v>
      </c>
      <c r="M94" s="180" t="str">
        <f aca="false">IF((D94="g"),F94," ")</f>
        <v> </v>
      </c>
      <c r="N94" s="180" t="str">
        <f aca="false">IF((D94="a"),F94," ")</f>
        <v> </v>
      </c>
      <c r="O94" s="180" t="str">
        <f aca="false">IF((D94="l"),F94," ")</f>
        <v> </v>
      </c>
      <c r="P94" s="180" t="str">
        <f aca="false">IF((D94="i"),F94," ")</f>
        <v> </v>
      </c>
      <c r="Q94" s="180" t="str">
        <f aca="false">IF((D94="b"),F94," ")</f>
        <v> </v>
      </c>
      <c r="R94" s="180" t="str">
        <f aca="false">IF((D94="o"),F94," ")</f>
        <v> </v>
      </c>
      <c r="S94" s="180" t="str">
        <f aca="false">IF((D94="f"),F94," ")</f>
        <v> </v>
      </c>
      <c r="U94" s="371"/>
    </row>
    <row r="95" customFormat="false" ht="12.75" hidden="false" customHeight="false" outlineLevel="0" collapsed="false">
      <c r="D95" s="371" t="str">
        <f aca="false">IF((F95&lt;&gt;0),"Enter Letter"," ")</f>
        <v> </v>
      </c>
      <c r="G95" s="180" t="str">
        <f aca="false">IF((D95="d"),F95," ")</f>
        <v> </v>
      </c>
      <c r="H95" s="180" t="str">
        <f aca="false">IF((D95="h"),F95," ")</f>
        <v> </v>
      </c>
      <c r="I95" s="180" t="str">
        <f aca="false">IF((D95="r"),F95," ")</f>
        <v> </v>
      </c>
      <c r="J95" s="180" t="str">
        <f aca="false">IF((D95="t"),F95," ")</f>
        <v> </v>
      </c>
      <c r="K95" s="180" t="str">
        <f aca="false">IF((D95="e"),F95," ")</f>
        <v> </v>
      </c>
      <c r="L95" s="180" t="str">
        <f aca="false">IF((D95="p"),F95," ")</f>
        <v> </v>
      </c>
      <c r="M95" s="180" t="str">
        <f aca="false">IF((D95="g"),F95," ")</f>
        <v> </v>
      </c>
      <c r="N95" s="180" t="str">
        <f aca="false">IF((D95="a"),F95," ")</f>
        <v> </v>
      </c>
      <c r="O95" s="180" t="str">
        <f aca="false">IF((D95="l"),F95," ")</f>
        <v> </v>
      </c>
      <c r="P95" s="180" t="str">
        <f aca="false">IF((D95="i"),F95," ")</f>
        <v> </v>
      </c>
      <c r="Q95" s="180" t="str">
        <f aca="false">IF((D95="b"),F95," ")</f>
        <v> </v>
      </c>
      <c r="R95" s="180" t="str">
        <f aca="false">IF((D95="o"),F95," ")</f>
        <v> </v>
      </c>
      <c r="S95" s="180" t="str">
        <f aca="false">IF((D95="f"),F95," ")</f>
        <v> </v>
      </c>
      <c r="U95" s="371"/>
    </row>
    <row r="96" customFormat="false" ht="12.75" hidden="false" customHeight="false" outlineLevel="0" collapsed="false">
      <c r="D96" s="371" t="str">
        <f aca="false">IF((F96&lt;&gt;0),"Enter Letter"," ")</f>
        <v> </v>
      </c>
      <c r="G96" s="180" t="str">
        <f aca="false">IF((D96="d"),F96," ")</f>
        <v> </v>
      </c>
      <c r="H96" s="180" t="str">
        <f aca="false">IF((D96="h"),F96," ")</f>
        <v> </v>
      </c>
      <c r="I96" s="180" t="str">
        <f aca="false">IF((D96="r"),F96," ")</f>
        <v> </v>
      </c>
      <c r="J96" s="180" t="str">
        <f aca="false">IF((D96="t"),F96," ")</f>
        <v> </v>
      </c>
      <c r="K96" s="180" t="str">
        <f aca="false">IF((D96="e"),F96," ")</f>
        <v> </v>
      </c>
      <c r="L96" s="180" t="str">
        <f aca="false">IF((D96="p"),F96," ")</f>
        <v> </v>
      </c>
      <c r="M96" s="180" t="str">
        <f aca="false">IF((D96="g"),F96," ")</f>
        <v> </v>
      </c>
      <c r="N96" s="180" t="str">
        <f aca="false">IF((D96="a"),F96," ")</f>
        <v> </v>
      </c>
      <c r="O96" s="180" t="str">
        <f aca="false">IF((D96="l"),F96," ")</f>
        <v> </v>
      </c>
      <c r="P96" s="180" t="str">
        <f aca="false">IF((D96="i"),F96," ")</f>
        <v> </v>
      </c>
      <c r="Q96" s="180" t="str">
        <f aca="false">IF((D96="b"),F96," ")</f>
        <v> </v>
      </c>
      <c r="R96" s="180" t="str">
        <f aca="false">IF((D96="o"),F96," ")</f>
        <v> </v>
      </c>
      <c r="S96" s="180" t="str">
        <f aca="false">IF((D96="f"),F96," ")</f>
        <v> </v>
      </c>
      <c r="U96" s="371"/>
    </row>
    <row r="97" customFormat="false" ht="12.75" hidden="false" customHeight="false" outlineLevel="0" collapsed="false">
      <c r="D97" s="371" t="str">
        <f aca="false">IF((F97&lt;&gt;0),"Enter Letter"," ")</f>
        <v> </v>
      </c>
      <c r="G97" s="180" t="str">
        <f aca="false">IF((D97="d"),F97," ")</f>
        <v> </v>
      </c>
      <c r="H97" s="180" t="str">
        <f aca="false">IF((D97="h"),F97," ")</f>
        <v> </v>
      </c>
      <c r="I97" s="180" t="str">
        <f aca="false">IF((D97="r"),F97," ")</f>
        <v> </v>
      </c>
      <c r="J97" s="180" t="str">
        <f aca="false">IF((D97="t"),F97," ")</f>
        <v> </v>
      </c>
      <c r="K97" s="180" t="str">
        <f aca="false">IF((D97="e"),F97," ")</f>
        <v> </v>
      </c>
      <c r="L97" s="180" t="str">
        <f aca="false">IF((D97="p"),F97," ")</f>
        <v> </v>
      </c>
      <c r="M97" s="180" t="str">
        <f aca="false">IF((D97="g"),F97," ")</f>
        <v> </v>
      </c>
      <c r="N97" s="180" t="str">
        <f aca="false">IF((D97="a"),F97," ")</f>
        <v> </v>
      </c>
      <c r="O97" s="180" t="str">
        <f aca="false">IF((D97="l"),F97," ")</f>
        <v> </v>
      </c>
      <c r="P97" s="180" t="str">
        <f aca="false">IF((D97="i"),F97," ")</f>
        <v> </v>
      </c>
      <c r="Q97" s="180" t="str">
        <f aca="false">IF((D97="b"),F97," ")</f>
        <v> </v>
      </c>
      <c r="R97" s="180" t="str">
        <f aca="false">IF((D97="o"),F97," ")</f>
        <v> </v>
      </c>
      <c r="S97" s="180" t="str">
        <f aca="false">IF((D97="f"),F97," ")</f>
        <v> </v>
      </c>
      <c r="U97" s="371"/>
    </row>
    <row r="98" customFormat="false" ht="12.75" hidden="false" customHeight="false" outlineLevel="0" collapsed="false">
      <c r="D98" s="371" t="str">
        <f aca="false">IF((F98&lt;&gt;0),"Enter Letter"," ")</f>
        <v> </v>
      </c>
      <c r="G98" s="180" t="str">
        <f aca="false">IF((D98="d"),F98," ")</f>
        <v> </v>
      </c>
      <c r="H98" s="180" t="str">
        <f aca="false">IF((D98="h"),F98," ")</f>
        <v> </v>
      </c>
      <c r="I98" s="180" t="str">
        <f aca="false">IF((D98="r"),F98," ")</f>
        <v> </v>
      </c>
      <c r="J98" s="180" t="str">
        <f aca="false">IF((D98="t"),F98," ")</f>
        <v> </v>
      </c>
      <c r="K98" s="180" t="str">
        <f aca="false">IF((D98="e"),F98," ")</f>
        <v> </v>
      </c>
      <c r="L98" s="180" t="str">
        <f aca="false">IF((D98="p"),F98," ")</f>
        <v> </v>
      </c>
      <c r="M98" s="180" t="str">
        <f aca="false">IF((D98="g"),F98," ")</f>
        <v> </v>
      </c>
      <c r="N98" s="180" t="str">
        <f aca="false">IF((D98="a"),F98," ")</f>
        <v> </v>
      </c>
      <c r="O98" s="180" t="str">
        <f aca="false">IF((D98="l"),F98," ")</f>
        <v> </v>
      </c>
      <c r="P98" s="180" t="str">
        <f aca="false">IF((D98="i"),F98," ")</f>
        <v> </v>
      </c>
      <c r="Q98" s="180" t="str">
        <f aca="false">IF((D98="b"),F98," ")</f>
        <v> </v>
      </c>
      <c r="R98" s="180" t="str">
        <f aca="false">IF((D98="o"),F98," ")</f>
        <v> </v>
      </c>
      <c r="S98" s="180" t="str">
        <f aca="false">IF((D98="f"),F98," ")</f>
        <v> </v>
      </c>
      <c r="U98" s="371"/>
    </row>
    <row r="99" customFormat="false" ht="12.75" hidden="false" customHeight="false" outlineLevel="0" collapsed="false">
      <c r="D99" s="371" t="str">
        <f aca="false">IF((F99&lt;&gt;0),"Enter Letter"," ")</f>
        <v> </v>
      </c>
      <c r="G99" s="180" t="str">
        <f aca="false">IF((D99="d"),F99," ")</f>
        <v> </v>
      </c>
      <c r="H99" s="180" t="str">
        <f aca="false">IF((D99="h"),F99," ")</f>
        <v> </v>
      </c>
      <c r="I99" s="180" t="str">
        <f aca="false">IF((D99="r"),F99," ")</f>
        <v> </v>
      </c>
      <c r="J99" s="180" t="str">
        <f aca="false">IF((D99="t"),F99," ")</f>
        <v> </v>
      </c>
      <c r="K99" s="180" t="str">
        <f aca="false">IF((D99="e"),F99," ")</f>
        <v> </v>
      </c>
      <c r="L99" s="180" t="str">
        <f aca="false">IF((D99="p"),F99," ")</f>
        <v> </v>
      </c>
      <c r="M99" s="180" t="str">
        <f aca="false">IF((D99="g"),F99," ")</f>
        <v> </v>
      </c>
      <c r="N99" s="180" t="str">
        <f aca="false">IF((D99="a"),F99," ")</f>
        <v> </v>
      </c>
      <c r="O99" s="180" t="str">
        <f aca="false">IF((D99="l"),F99," ")</f>
        <v> </v>
      </c>
      <c r="P99" s="180" t="str">
        <f aca="false">IF((D99="i"),F99," ")</f>
        <v> </v>
      </c>
      <c r="Q99" s="180" t="str">
        <f aca="false">IF((D99="b"),F99," ")</f>
        <v> </v>
      </c>
      <c r="R99" s="180" t="str">
        <f aca="false">IF((D99="o"),F99," ")</f>
        <v> </v>
      </c>
      <c r="S99" s="180" t="str">
        <f aca="false">IF((D99="f"),F99," ")</f>
        <v> </v>
      </c>
      <c r="U99" s="371"/>
    </row>
    <row r="100" customFormat="false" ht="12.75" hidden="false" customHeight="false" outlineLevel="0" collapsed="false">
      <c r="D100" s="371" t="str">
        <f aca="false">IF((F100&lt;&gt;0),"Enter Letter"," ")</f>
        <v> </v>
      </c>
      <c r="G100" s="180" t="str">
        <f aca="false">IF((D100="d"),F100," ")</f>
        <v> </v>
      </c>
      <c r="H100" s="180" t="str">
        <f aca="false">IF((D100="h"),F100," ")</f>
        <v> </v>
      </c>
      <c r="I100" s="180" t="str">
        <f aca="false">IF((D100="r"),F100," ")</f>
        <v> </v>
      </c>
      <c r="J100" s="180" t="str">
        <f aca="false">IF((D100="t"),F100," ")</f>
        <v> </v>
      </c>
      <c r="K100" s="180" t="str">
        <f aca="false">IF((D100="e"),F100," ")</f>
        <v> </v>
      </c>
      <c r="L100" s="180" t="str">
        <f aca="false">IF((D100="p"),F100," ")</f>
        <v> </v>
      </c>
      <c r="M100" s="180" t="str">
        <f aca="false">IF((D100="g"),F100," ")</f>
        <v> </v>
      </c>
      <c r="N100" s="180" t="str">
        <f aca="false">IF((D100="a"),F100," ")</f>
        <v> </v>
      </c>
      <c r="O100" s="180" t="str">
        <f aca="false">IF((D100="l"),F100," ")</f>
        <v> </v>
      </c>
      <c r="P100" s="180" t="str">
        <f aca="false">IF((D100="i"),F100," ")</f>
        <v> </v>
      </c>
      <c r="Q100" s="180" t="str">
        <f aca="false">IF((D100="b"),F100," ")</f>
        <v> </v>
      </c>
      <c r="R100" s="180" t="str">
        <f aca="false">IF((D100="o"),F100," ")</f>
        <v> </v>
      </c>
      <c r="S100" s="180" t="str">
        <f aca="false">IF((D100="f"),F100," ")</f>
        <v> </v>
      </c>
      <c r="U100" s="371"/>
    </row>
    <row r="101" customFormat="false" ht="12.75" hidden="false" customHeight="false" outlineLevel="0" collapsed="false">
      <c r="D101" s="371" t="str">
        <f aca="false">IF((F101&lt;&gt;0),"Enter Letter"," ")</f>
        <v> </v>
      </c>
      <c r="G101" s="180" t="str">
        <f aca="false">IF((D101="d"),F101," ")</f>
        <v> </v>
      </c>
      <c r="H101" s="180" t="str">
        <f aca="false">IF((D101="h"),F101," ")</f>
        <v> </v>
      </c>
      <c r="I101" s="180" t="str">
        <f aca="false">IF((D101="r"),F101," ")</f>
        <v> </v>
      </c>
      <c r="J101" s="180" t="str">
        <f aca="false">IF((D101="t"),F101," ")</f>
        <v> </v>
      </c>
      <c r="K101" s="180" t="str">
        <f aca="false">IF((D101="e"),F101," ")</f>
        <v> </v>
      </c>
      <c r="L101" s="180" t="str">
        <f aca="false">IF((D101="p"),F101," ")</f>
        <v> </v>
      </c>
      <c r="M101" s="180" t="str">
        <f aca="false">IF((D101="g"),F101," ")</f>
        <v> </v>
      </c>
      <c r="N101" s="180" t="str">
        <f aca="false">IF((D101="a"),F101," ")</f>
        <v> </v>
      </c>
      <c r="O101" s="180" t="str">
        <f aca="false">IF((D101="l"),F101," ")</f>
        <v> </v>
      </c>
      <c r="P101" s="180" t="str">
        <f aca="false">IF((D101="i"),F101," ")</f>
        <v> </v>
      </c>
      <c r="Q101" s="180" t="str">
        <f aca="false">IF((D101="b"),F101," ")</f>
        <v> </v>
      </c>
      <c r="R101" s="180" t="str">
        <f aca="false">IF((D101="o"),F101," ")</f>
        <v> </v>
      </c>
      <c r="S101" s="180" t="str">
        <f aca="false">IF((D101="f"),F101," ")</f>
        <v> </v>
      </c>
      <c r="U101" s="371"/>
    </row>
    <row r="102" customFormat="false" ht="12.75" hidden="false" customHeight="false" outlineLevel="0" collapsed="false">
      <c r="D102" s="371" t="str">
        <f aca="false">IF((F102&lt;&gt;0),"Enter Letter"," ")</f>
        <v> </v>
      </c>
      <c r="G102" s="180" t="str">
        <f aca="false">IF((D102="d"),F102," ")</f>
        <v> </v>
      </c>
      <c r="H102" s="180" t="str">
        <f aca="false">IF((D102="h"),F102," ")</f>
        <v> </v>
      </c>
      <c r="I102" s="180" t="str">
        <f aca="false">IF((D102="r"),F102," ")</f>
        <v> </v>
      </c>
      <c r="J102" s="180" t="str">
        <f aca="false">IF((D102="t"),F102," ")</f>
        <v> </v>
      </c>
      <c r="K102" s="180" t="str">
        <f aca="false">IF((D102="e"),F102," ")</f>
        <v> </v>
      </c>
      <c r="L102" s="180" t="str">
        <f aca="false">IF((D102="p"),F102," ")</f>
        <v> </v>
      </c>
      <c r="M102" s="180" t="str">
        <f aca="false">IF((D102="g"),F102," ")</f>
        <v> </v>
      </c>
      <c r="N102" s="180" t="str">
        <f aca="false">IF((D102="a"),F102," ")</f>
        <v> </v>
      </c>
      <c r="O102" s="180" t="str">
        <f aca="false">IF((D102="l"),F102," ")</f>
        <v> </v>
      </c>
      <c r="P102" s="180" t="str">
        <f aca="false">IF((D102="i"),F102," ")</f>
        <v> </v>
      </c>
      <c r="Q102" s="180" t="str">
        <f aca="false">IF((D102="b"),F102," ")</f>
        <v> </v>
      </c>
      <c r="R102" s="180" t="str">
        <f aca="false">IF((D102="o"),F102," ")</f>
        <v> </v>
      </c>
      <c r="S102" s="180" t="str">
        <f aca="false">IF((D102="f"),F102," ")</f>
        <v> </v>
      </c>
      <c r="U102" s="371"/>
    </row>
    <row r="103" customFormat="false" ht="12.75" hidden="false" customHeight="false" outlineLevel="0" collapsed="false">
      <c r="D103" s="371" t="str">
        <f aca="false">IF((F103&lt;&gt;0),"Enter Letter"," ")</f>
        <v> </v>
      </c>
      <c r="G103" s="180" t="str">
        <f aca="false">IF((D103="d"),F103," ")</f>
        <v> </v>
      </c>
      <c r="H103" s="180" t="str">
        <f aca="false">IF((D103="h"),F103," ")</f>
        <v> </v>
      </c>
      <c r="I103" s="180" t="str">
        <f aca="false">IF((D103="r"),F103," ")</f>
        <v> </v>
      </c>
      <c r="J103" s="180" t="str">
        <f aca="false">IF((D103="t"),F103," ")</f>
        <v> </v>
      </c>
      <c r="K103" s="180" t="str">
        <f aca="false">IF((D103="e"),F103," ")</f>
        <v> </v>
      </c>
      <c r="L103" s="180" t="str">
        <f aca="false">IF((D103="p"),F103," ")</f>
        <v> </v>
      </c>
      <c r="M103" s="180" t="str">
        <f aca="false">IF((D103="g"),F103," ")</f>
        <v> </v>
      </c>
      <c r="N103" s="180" t="str">
        <f aca="false">IF((D103="a"),F103," ")</f>
        <v> </v>
      </c>
      <c r="O103" s="180" t="str">
        <f aca="false">IF((D103="l"),F103," ")</f>
        <v> </v>
      </c>
      <c r="P103" s="180" t="str">
        <f aca="false">IF((D103="i"),F103," ")</f>
        <v> </v>
      </c>
      <c r="Q103" s="180" t="str">
        <f aca="false">IF((D103="b"),F103," ")</f>
        <v> </v>
      </c>
      <c r="R103" s="180" t="str">
        <f aca="false">IF((D103="o"),F103," ")</f>
        <v> </v>
      </c>
      <c r="S103" s="180" t="str">
        <f aca="false">IF((D103="f"),F103," ")</f>
        <v> </v>
      </c>
      <c r="U103" s="371"/>
    </row>
    <row r="104" customFormat="false" ht="12.75" hidden="false" customHeight="false" outlineLevel="0" collapsed="false">
      <c r="D104" s="371" t="str">
        <f aca="false">IF((F104&lt;&gt;0),"Enter Letter"," ")</f>
        <v> </v>
      </c>
      <c r="G104" s="180" t="str">
        <f aca="false">IF((D104="d"),F104," ")</f>
        <v> </v>
      </c>
      <c r="H104" s="180" t="str">
        <f aca="false">IF((D104="h"),F104," ")</f>
        <v> </v>
      </c>
      <c r="I104" s="180" t="str">
        <f aca="false">IF((D104="r"),F104," ")</f>
        <v> </v>
      </c>
      <c r="J104" s="180" t="str">
        <f aca="false">IF((D104="t"),F104," ")</f>
        <v> </v>
      </c>
      <c r="K104" s="180" t="str">
        <f aca="false">IF((D104="e"),F104," ")</f>
        <v> </v>
      </c>
      <c r="L104" s="180" t="str">
        <f aca="false">IF((D104="p"),F104," ")</f>
        <v> </v>
      </c>
      <c r="M104" s="180" t="str">
        <f aca="false">IF((D104="g"),F104," ")</f>
        <v> </v>
      </c>
      <c r="N104" s="180" t="str">
        <f aca="false">IF((D104="a"),F104," ")</f>
        <v> </v>
      </c>
      <c r="O104" s="180" t="str">
        <f aca="false">IF((D104="l"),F104," ")</f>
        <v> </v>
      </c>
      <c r="P104" s="180" t="str">
        <f aca="false">IF((D104="i"),F104," ")</f>
        <v> </v>
      </c>
      <c r="Q104" s="180" t="str">
        <f aca="false">IF((D104="b"),F104," ")</f>
        <v> </v>
      </c>
      <c r="R104" s="180" t="str">
        <f aca="false">IF((D104="o"),F104," ")</f>
        <v> </v>
      </c>
      <c r="S104" s="180" t="str">
        <f aca="false">IF((D104="f"),F104," ")</f>
        <v> </v>
      </c>
      <c r="U104" s="371"/>
    </row>
    <row r="105" customFormat="false" ht="12.75" hidden="false" customHeight="false" outlineLevel="0" collapsed="false">
      <c r="D105" s="371" t="str">
        <f aca="false">IF((F105&lt;&gt;0),"Enter Letter"," ")</f>
        <v> </v>
      </c>
      <c r="G105" s="180" t="str">
        <f aca="false">IF((D105="d"),F105," ")</f>
        <v> </v>
      </c>
      <c r="H105" s="180" t="str">
        <f aca="false">IF((D105="h"),F105," ")</f>
        <v> </v>
      </c>
      <c r="I105" s="180" t="str">
        <f aca="false">IF((D105="r"),F105," ")</f>
        <v> </v>
      </c>
      <c r="J105" s="180" t="str">
        <f aca="false">IF((D105="t"),F105," ")</f>
        <v> </v>
      </c>
      <c r="K105" s="180" t="str">
        <f aca="false">IF((D105="e"),F105," ")</f>
        <v> </v>
      </c>
      <c r="L105" s="180" t="str">
        <f aca="false">IF((D105="p"),F105," ")</f>
        <v> </v>
      </c>
      <c r="M105" s="180" t="str">
        <f aca="false">IF((D105="g"),F105," ")</f>
        <v> </v>
      </c>
      <c r="N105" s="180" t="str">
        <f aca="false">IF((D105="a"),F105," ")</f>
        <v> </v>
      </c>
      <c r="O105" s="180" t="str">
        <f aca="false">IF((D105="l"),F105," ")</f>
        <v> </v>
      </c>
      <c r="P105" s="180" t="str">
        <f aca="false">IF((D105="i"),F105," ")</f>
        <v> </v>
      </c>
      <c r="Q105" s="180" t="str">
        <f aca="false">IF((D105="b"),F105," ")</f>
        <v> </v>
      </c>
      <c r="R105" s="180" t="str">
        <f aca="false">IF((D105="o"),F105," ")</f>
        <v> </v>
      </c>
      <c r="S105" s="180" t="str">
        <f aca="false">IF((D105="f"),F105," ")</f>
        <v> </v>
      </c>
      <c r="U105" s="371"/>
    </row>
    <row r="106" customFormat="false" ht="12.75" hidden="false" customHeight="false" outlineLevel="0" collapsed="false">
      <c r="D106" s="371" t="str">
        <f aca="false">IF((F106&lt;&gt;0),"Enter Letter"," ")</f>
        <v> </v>
      </c>
      <c r="G106" s="180" t="str">
        <f aca="false">IF((D106="d"),F106," ")</f>
        <v> </v>
      </c>
      <c r="H106" s="180" t="str">
        <f aca="false">IF((D106="h"),F106," ")</f>
        <v> </v>
      </c>
      <c r="I106" s="180" t="str">
        <f aca="false">IF((D106="r"),F106," ")</f>
        <v> </v>
      </c>
      <c r="J106" s="180" t="str">
        <f aca="false">IF((D106="t"),F106," ")</f>
        <v> </v>
      </c>
      <c r="K106" s="180" t="str">
        <f aca="false">IF((D106="e"),F106," ")</f>
        <v> </v>
      </c>
      <c r="L106" s="180" t="str">
        <f aca="false">IF((D106="p"),F106," ")</f>
        <v> </v>
      </c>
      <c r="M106" s="180" t="str">
        <f aca="false">IF((D106="g"),F106," ")</f>
        <v> </v>
      </c>
      <c r="N106" s="180" t="str">
        <f aca="false">IF((D106="a"),F106," ")</f>
        <v> </v>
      </c>
      <c r="O106" s="180" t="str">
        <f aca="false">IF((D106="l"),F106," ")</f>
        <v> </v>
      </c>
      <c r="P106" s="180" t="str">
        <f aca="false">IF((D106="i"),F106," ")</f>
        <v> </v>
      </c>
      <c r="Q106" s="180" t="str">
        <f aca="false">IF((D106="b"),F106," ")</f>
        <v> </v>
      </c>
      <c r="R106" s="180" t="str">
        <f aca="false">IF((D106="o"),F106," ")</f>
        <v> </v>
      </c>
      <c r="S106" s="180" t="str">
        <f aca="false">IF((D106="f"),F106," ")</f>
        <v> </v>
      </c>
      <c r="U106" s="371"/>
    </row>
    <row r="107" customFormat="false" ht="12.75" hidden="false" customHeight="false" outlineLevel="0" collapsed="false">
      <c r="D107" s="371" t="str">
        <f aca="false">IF((F107&lt;&gt;0),"Enter Letter"," ")</f>
        <v> </v>
      </c>
      <c r="G107" s="180" t="str">
        <f aca="false">IF((D107="d"),F107," ")</f>
        <v> </v>
      </c>
      <c r="H107" s="180" t="str">
        <f aca="false">IF((D107="h"),F107," ")</f>
        <v> </v>
      </c>
      <c r="I107" s="180" t="str">
        <f aca="false">IF((D107="r"),F107," ")</f>
        <v> </v>
      </c>
      <c r="J107" s="180" t="str">
        <f aca="false">IF((D107="t"),F107," ")</f>
        <v> </v>
      </c>
      <c r="K107" s="180" t="str">
        <f aca="false">IF((D107="e"),F107," ")</f>
        <v> </v>
      </c>
      <c r="L107" s="180" t="str">
        <f aca="false">IF((D107="p"),F107," ")</f>
        <v> </v>
      </c>
      <c r="M107" s="180" t="str">
        <f aca="false">IF((D107="g"),F107," ")</f>
        <v> </v>
      </c>
      <c r="N107" s="180" t="str">
        <f aca="false">IF((D107="a"),F107," ")</f>
        <v> </v>
      </c>
      <c r="O107" s="180" t="str">
        <f aca="false">IF((D107="l"),F107," ")</f>
        <v> </v>
      </c>
      <c r="P107" s="180" t="str">
        <f aca="false">IF((D107="i"),F107," ")</f>
        <v> </v>
      </c>
      <c r="Q107" s="180" t="str">
        <f aca="false">IF((D107="b"),F107," ")</f>
        <v> </v>
      </c>
      <c r="R107" s="180" t="str">
        <f aca="false">IF((D107="o"),F107," ")</f>
        <v> </v>
      </c>
      <c r="S107" s="180" t="str">
        <f aca="false">IF((D107="f"),F107," ")</f>
        <v> </v>
      </c>
      <c r="U107" s="371"/>
    </row>
    <row r="108" customFormat="false" ht="12.75" hidden="false" customHeight="false" outlineLevel="0" collapsed="false">
      <c r="D108" s="371" t="str">
        <f aca="false">IF((F108&lt;&gt;0),"Enter Letter"," ")</f>
        <v> </v>
      </c>
      <c r="G108" s="180" t="str">
        <f aca="false">IF((D108="d"),F108," ")</f>
        <v> </v>
      </c>
      <c r="H108" s="180" t="str">
        <f aca="false">IF((D108="h"),F108," ")</f>
        <v> </v>
      </c>
      <c r="I108" s="180" t="str">
        <f aca="false">IF((D108="r"),F108," ")</f>
        <v> </v>
      </c>
      <c r="J108" s="180" t="str">
        <f aca="false">IF((D108="t"),F108," ")</f>
        <v> </v>
      </c>
      <c r="K108" s="180" t="str">
        <f aca="false">IF((D108="e"),F108," ")</f>
        <v> </v>
      </c>
      <c r="L108" s="180" t="str">
        <f aca="false">IF((D108="p"),F108," ")</f>
        <v> </v>
      </c>
      <c r="M108" s="180" t="str">
        <f aca="false">IF((D108="g"),F108," ")</f>
        <v> </v>
      </c>
      <c r="N108" s="180" t="str">
        <f aca="false">IF((D108="a"),F108," ")</f>
        <v> </v>
      </c>
      <c r="O108" s="180" t="str">
        <f aca="false">IF((D108="l"),F108," ")</f>
        <v> </v>
      </c>
      <c r="P108" s="180" t="str">
        <f aca="false">IF((D108="i"),F108," ")</f>
        <v> </v>
      </c>
      <c r="Q108" s="180" t="str">
        <f aca="false">IF((D108="b"),F108," ")</f>
        <v> </v>
      </c>
      <c r="R108" s="180" t="str">
        <f aca="false">IF((D108="o"),F108," ")</f>
        <v> </v>
      </c>
      <c r="S108" s="180" t="str">
        <f aca="false">IF((D108="f"),F108," ")</f>
        <v> </v>
      </c>
      <c r="U108" s="371"/>
    </row>
    <row r="109" customFormat="false" ht="12.75" hidden="false" customHeight="false" outlineLevel="0" collapsed="false">
      <c r="D109" s="371" t="str">
        <f aca="false">IF((F109&lt;&gt;0),"Enter Letter"," ")</f>
        <v> </v>
      </c>
      <c r="G109" s="180" t="str">
        <f aca="false">IF((D109="d"),F109," ")</f>
        <v> </v>
      </c>
      <c r="H109" s="180" t="str">
        <f aca="false">IF((D109="h"),F109," ")</f>
        <v> </v>
      </c>
      <c r="I109" s="180" t="str">
        <f aca="false">IF((D109="r"),F109," ")</f>
        <v> </v>
      </c>
      <c r="J109" s="180" t="str">
        <f aca="false">IF((D109="t"),F109," ")</f>
        <v> </v>
      </c>
      <c r="K109" s="180" t="str">
        <f aca="false">IF((D109="e"),F109," ")</f>
        <v> </v>
      </c>
      <c r="L109" s="180" t="str">
        <f aca="false">IF((D109="p"),F109," ")</f>
        <v> </v>
      </c>
      <c r="M109" s="180" t="str">
        <f aca="false">IF((D109="g"),F109," ")</f>
        <v> </v>
      </c>
      <c r="N109" s="180" t="str">
        <f aca="false">IF((D109="a"),F109," ")</f>
        <v> </v>
      </c>
      <c r="O109" s="180" t="str">
        <f aca="false">IF((D109="l"),F109," ")</f>
        <v> </v>
      </c>
      <c r="P109" s="180" t="str">
        <f aca="false">IF((D109="i"),F109," ")</f>
        <v> </v>
      </c>
      <c r="Q109" s="180" t="str">
        <f aca="false">IF((D109="b"),F109," ")</f>
        <v> </v>
      </c>
      <c r="R109" s="180" t="str">
        <f aca="false">IF((D109="o"),F109," ")</f>
        <v> </v>
      </c>
      <c r="S109" s="180" t="str">
        <f aca="false">IF((D109="f"),F109," ")</f>
        <v> </v>
      </c>
      <c r="U109" s="371"/>
    </row>
    <row r="110" customFormat="false" ht="12.75" hidden="false" customHeight="false" outlineLevel="0" collapsed="false">
      <c r="D110" s="371" t="str">
        <f aca="false">IF((F110&lt;&gt;0),"Enter Letter"," ")</f>
        <v> </v>
      </c>
      <c r="G110" s="180" t="str">
        <f aca="false">IF((D110="d"),F110," ")</f>
        <v> </v>
      </c>
      <c r="H110" s="180" t="str">
        <f aca="false">IF((D110="h"),F110," ")</f>
        <v> </v>
      </c>
      <c r="I110" s="180" t="str">
        <f aca="false">IF((D110="r"),F110," ")</f>
        <v> </v>
      </c>
      <c r="J110" s="180" t="str">
        <f aca="false">IF((D110="t"),F110," ")</f>
        <v> </v>
      </c>
      <c r="K110" s="180" t="str">
        <f aca="false">IF((D110="e"),F110," ")</f>
        <v> </v>
      </c>
      <c r="L110" s="180" t="str">
        <f aca="false">IF((D110="p"),F110," ")</f>
        <v> </v>
      </c>
      <c r="M110" s="180" t="str">
        <f aca="false">IF((D110="g"),F110," ")</f>
        <v> </v>
      </c>
      <c r="N110" s="180" t="str">
        <f aca="false">IF((D110="a"),F110," ")</f>
        <v> </v>
      </c>
      <c r="O110" s="180" t="str">
        <f aca="false">IF((D110="l"),F110," ")</f>
        <v> </v>
      </c>
      <c r="P110" s="180" t="str">
        <f aca="false">IF((D110="i"),F110," ")</f>
        <v> </v>
      </c>
      <c r="Q110" s="180" t="str">
        <f aca="false">IF((D110="b"),F110," ")</f>
        <v> </v>
      </c>
      <c r="R110" s="180" t="str">
        <f aca="false">IF((D110="o"),F110," ")</f>
        <v> </v>
      </c>
      <c r="S110" s="180" t="str">
        <f aca="false">IF((D110="f"),F110," ")</f>
        <v> </v>
      </c>
      <c r="U110" s="371"/>
    </row>
    <row r="111" customFormat="false" ht="12.75" hidden="false" customHeight="false" outlineLevel="0" collapsed="false">
      <c r="D111" s="371" t="str">
        <f aca="false">IF((F111&lt;&gt;0),"Enter Letter"," ")</f>
        <v> </v>
      </c>
      <c r="G111" s="180" t="str">
        <f aca="false">IF((D111="d"),F111," ")</f>
        <v> </v>
      </c>
      <c r="H111" s="180" t="str">
        <f aca="false">IF((D111="h"),F111," ")</f>
        <v> </v>
      </c>
      <c r="I111" s="180" t="str">
        <f aca="false">IF((D111="r"),F111," ")</f>
        <v> </v>
      </c>
      <c r="J111" s="180" t="str">
        <f aca="false">IF((D111="t"),F111," ")</f>
        <v> </v>
      </c>
      <c r="K111" s="180" t="str">
        <f aca="false">IF((D111="e"),F111," ")</f>
        <v> </v>
      </c>
      <c r="L111" s="180" t="str">
        <f aca="false">IF((D111="p"),F111," ")</f>
        <v> </v>
      </c>
      <c r="M111" s="180" t="str">
        <f aca="false">IF((D111="g"),F111," ")</f>
        <v> </v>
      </c>
      <c r="N111" s="180" t="str">
        <f aca="false">IF((D111="a"),F111," ")</f>
        <v> </v>
      </c>
      <c r="O111" s="180" t="str">
        <f aca="false">IF((D111="l"),F111," ")</f>
        <v> </v>
      </c>
      <c r="P111" s="180" t="str">
        <f aca="false">IF((D111="i"),F111," ")</f>
        <v> </v>
      </c>
      <c r="Q111" s="180" t="str">
        <f aca="false">IF((D111="b"),F111," ")</f>
        <v> </v>
      </c>
      <c r="R111" s="180" t="str">
        <f aca="false">IF((D111="o"),F111," ")</f>
        <v> </v>
      </c>
      <c r="S111" s="180" t="str">
        <f aca="false">IF((D111="f"),F111," ")</f>
        <v> </v>
      </c>
      <c r="U111" s="371"/>
    </row>
    <row r="112" customFormat="false" ht="12.75" hidden="false" customHeight="false" outlineLevel="0" collapsed="false">
      <c r="D112" s="371" t="str">
        <f aca="false">IF((F112&lt;&gt;0),"Enter Letter"," ")</f>
        <v> </v>
      </c>
      <c r="G112" s="180" t="str">
        <f aca="false">IF((D112="d"),F112," ")</f>
        <v> </v>
      </c>
      <c r="H112" s="180" t="str">
        <f aca="false">IF((D112="h"),F112," ")</f>
        <v> </v>
      </c>
      <c r="I112" s="180" t="str">
        <f aca="false">IF((D112="r"),F112," ")</f>
        <v> </v>
      </c>
      <c r="J112" s="180" t="str">
        <f aca="false">IF((D112="t"),F112," ")</f>
        <v> </v>
      </c>
      <c r="K112" s="180" t="str">
        <f aca="false">IF((D112="e"),F112," ")</f>
        <v> </v>
      </c>
      <c r="L112" s="180" t="str">
        <f aca="false">IF((D112="p"),F112," ")</f>
        <v> </v>
      </c>
      <c r="M112" s="180" t="str">
        <f aca="false">IF((D112="g"),F112," ")</f>
        <v> </v>
      </c>
      <c r="N112" s="180" t="str">
        <f aca="false">IF((D112="a"),F112," ")</f>
        <v> </v>
      </c>
      <c r="O112" s="180" t="str">
        <f aca="false">IF((D112="l"),F112," ")</f>
        <v> </v>
      </c>
      <c r="P112" s="180" t="str">
        <f aca="false">IF((D112="i"),F112," ")</f>
        <v> </v>
      </c>
      <c r="Q112" s="180" t="str">
        <f aca="false">IF((D112="b"),F112," ")</f>
        <v> </v>
      </c>
      <c r="R112" s="180" t="str">
        <f aca="false">IF((D112="o"),F112," ")</f>
        <v> </v>
      </c>
      <c r="S112" s="180" t="str">
        <f aca="false">IF((D112="f"),F112," ")</f>
        <v> </v>
      </c>
      <c r="U112" s="371"/>
    </row>
    <row r="113" customFormat="false" ht="12.75" hidden="false" customHeight="false" outlineLevel="0" collapsed="false">
      <c r="D113" s="371" t="str">
        <f aca="false">IF((F113&lt;&gt;0),"Enter Letter"," ")</f>
        <v> </v>
      </c>
      <c r="G113" s="180" t="str">
        <f aca="false">IF((D113="d"),F113," ")</f>
        <v> </v>
      </c>
      <c r="H113" s="180" t="str">
        <f aca="false">IF((D113="h"),F113," ")</f>
        <v> </v>
      </c>
      <c r="I113" s="180" t="str">
        <f aca="false">IF((D113="r"),F113," ")</f>
        <v> </v>
      </c>
      <c r="J113" s="180" t="str">
        <f aca="false">IF((D113="t"),F113," ")</f>
        <v> </v>
      </c>
      <c r="K113" s="180" t="str">
        <f aca="false">IF((D113="e"),F113," ")</f>
        <v> </v>
      </c>
      <c r="L113" s="180" t="str">
        <f aca="false">IF((D113="p"),F113," ")</f>
        <v> </v>
      </c>
      <c r="M113" s="180" t="str">
        <f aca="false">IF((D113="g"),F113," ")</f>
        <v> </v>
      </c>
      <c r="N113" s="180" t="str">
        <f aca="false">IF((D113="a"),F113," ")</f>
        <v> </v>
      </c>
      <c r="O113" s="180" t="str">
        <f aca="false">IF((D113="l"),F113," ")</f>
        <v> </v>
      </c>
      <c r="P113" s="180" t="str">
        <f aca="false">IF((D113="i"),F113," ")</f>
        <v> </v>
      </c>
      <c r="Q113" s="180" t="str">
        <f aca="false">IF((D113="b"),F113," ")</f>
        <v> </v>
      </c>
      <c r="R113" s="180" t="str">
        <f aca="false">IF((D113="o"),F113," ")</f>
        <v> </v>
      </c>
      <c r="S113" s="180" t="str">
        <f aca="false">IF((D113="f"),F113," ")</f>
        <v> </v>
      </c>
      <c r="U113" s="371"/>
    </row>
    <row r="114" customFormat="false" ht="12.75" hidden="false" customHeight="false" outlineLevel="0" collapsed="false">
      <c r="D114" s="371" t="str">
        <f aca="false">IF((F114&lt;&gt;0),"Enter Letter"," ")</f>
        <v> </v>
      </c>
      <c r="G114" s="180" t="str">
        <f aca="false">IF((D114="d"),F114," ")</f>
        <v> </v>
      </c>
      <c r="H114" s="180" t="str">
        <f aca="false">IF((D114="h"),F114," ")</f>
        <v> </v>
      </c>
      <c r="I114" s="180" t="str">
        <f aca="false">IF((D114="r"),F114," ")</f>
        <v> </v>
      </c>
      <c r="J114" s="180" t="str">
        <f aca="false">IF((D114="t"),F114," ")</f>
        <v> </v>
      </c>
      <c r="K114" s="180" t="str">
        <f aca="false">IF((D114="e"),F114," ")</f>
        <v> </v>
      </c>
      <c r="L114" s="180" t="str">
        <f aca="false">IF((D114="p"),F114," ")</f>
        <v> </v>
      </c>
      <c r="M114" s="180" t="str">
        <f aca="false">IF((D114="g"),F114," ")</f>
        <v> </v>
      </c>
      <c r="N114" s="180" t="str">
        <f aca="false">IF((D114="a"),F114," ")</f>
        <v> </v>
      </c>
      <c r="O114" s="180" t="str">
        <f aca="false">IF((D114="l"),F114," ")</f>
        <v> </v>
      </c>
      <c r="P114" s="180" t="str">
        <f aca="false">IF((D114="i"),F114," ")</f>
        <v> </v>
      </c>
      <c r="Q114" s="180" t="str">
        <f aca="false">IF((D114="b"),F114," ")</f>
        <v> </v>
      </c>
      <c r="R114" s="180" t="str">
        <f aca="false">IF((D114="o"),F114," ")</f>
        <v> </v>
      </c>
      <c r="S114" s="180" t="str">
        <f aca="false">IF((D114="f"),F114," ")</f>
        <v> </v>
      </c>
      <c r="U114" s="371"/>
    </row>
    <row r="115" customFormat="false" ht="12.75" hidden="false" customHeight="false" outlineLevel="0" collapsed="false">
      <c r="D115" s="371" t="str">
        <f aca="false">IF((F115&lt;&gt;0),"Enter Letter"," ")</f>
        <v> </v>
      </c>
      <c r="G115" s="180" t="str">
        <f aca="false">IF((D115="d"),F115," ")</f>
        <v> </v>
      </c>
      <c r="H115" s="180" t="str">
        <f aca="false">IF((D115="h"),F115," ")</f>
        <v> </v>
      </c>
      <c r="I115" s="180" t="str">
        <f aca="false">IF((D115="r"),F115," ")</f>
        <v> </v>
      </c>
      <c r="J115" s="180" t="str">
        <f aca="false">IF((D115="t"),F115," ")</f>
        <v> </v>
      </c>
      <c r="K115" s="180" t="str">
        <f aca="false">IF((D115="e"),F115," ")</f>
        <v> </v>
      </c>
      <c r="L115" s="180" t="str">
        <f aca="false">IF((D115="p"),F115," ")</f>
        <v> </v>
      </c>
      <c r="M115" s="180" t="str">
        <f aca="false">IF((D115="g"),F115," ")</f>
        <v> </v>
      </c>
      <c r="N115" s="180" t="str">
        <f aca="false">IF((D115="a"),F115," ")</f>
        <v> </v>
      </c>
      <c r="O115" s="180" t="str">
        <f aca="false">IF((D115="l"),F115," ")</f>
        <v> </v>
      </c>
      <c r="P115" s="180" t="str">
        <f aca="false">IF((D115="i"),F115," ")</f>
        <v> </v>
      </c>
      <c r="Q115" s="180" t="str">
        <f aca="false">IF((D115="b"),F115," ")</f>
        <v> </v>
      </c>
      <c r="R115" s="180" t="str">
        <f aca="false">IF((D115="o"),F115," ")</f>
        <v> </v>
      </c>
      <c r="S115" s="180" t="str">
        <f aca="false">IF((D115="f"),F115," ")</f>
        <v> </v>
      </c>
      <c r="U115" s="371"/>
    </row>
    <row r="116" customFormat="false" ht="12.75" hidden="false" customHeight="false" outlineLevel="0" collapsed="false">
      <c r="D116" s="371" t="str">
        <f aca="false">IF((F116&lt;&gt;0),"Enter Letter"," ")</f>
        <v> </v>
      </c>
      <c r="G116" s="180" t="str">
        <f aca="false">IF((D116="d"),F116," ")</f>
        <v> </v>
      </c>
      <c r="H116" s="180" t="str">
        <f aca="false">IF((D116="h"),F116," ")</f>
        <v> </v>
      </c>
      <c r="I116" s="180" t="str">
        <f aca="false">IF((D116="r"),F116," ")</f>
        <v> </v>
      </c>
      <c r="J116" s="180" t="str">
        <f aca="false">IF((D116="t"),F116," ")</f>
        <v> </v>
      </c>
      <c r="K116" s="180" t="str">
        <f aca="false">IF((D116="e"),F116," ")</f>
        <v> </v>
      </c>
      <c r="L116" s="180" t="str">
        <f aca="false">IF((D116="p"),F116," ")</f>
        <v> </v>
      </c>
      <c r="M116" s="180" t="str">
        <f aca="false">IF((D116="g"),F116," ")</f>
        <v> </v>
      </c>
      <c r="N116" s="180" t="str">
        <f aca="false">IF((D116="a"),F116," ")</f>
        <v> </v>
      </c>
      <c r="O116" s="180" t="str">
        <f aca="false">IF((D116="l"),F116," ")</f>
        <v> </v>
      </c>
      <c r="P116" s="180" t="str">
        <f aca="false">IF((D116="i"),F116," ")</f>
        <v> </v>
      </c>
      <c r="Q116" s="180" t="str">
        <f aca="false">IF((D116="b"),F116," ")</f>
        <v> </v>
      </c>
      <c r="R116" s="180" t="str">
        <f aca="false">IF((D116="o"),F116," ")</f>
        <v> </v>
      </c>
      <c r="S116" s="180" t="str">
        <f aca="false">IF((D116="f"),F116," ")</f>
        <v> </v>
      </c>
      <c r="U116" s="371"/>
    </row>
    <row r="117" customFormat="false" ht="12.75" hidden="false" customHeight="false" outlineLevel="0" collapsed="false">
      <c r="D117" s="371" t="str">
        <f aca="false">IF((F117&lt;&gt;0),"Enter Letter"," ")</f>
        <v> </v>
      </c>
      <c r="G117" s="180" t="str">
        <f aca="false">IF((D117="d"),F117," ")</f>
        <v> </v>
      </c>
      <c r="H117" s="180" t="str">
        <f aca="false">IF((D117="h"),F117," ")</f>
        <v> </v>
      </c>
      <c r="I117" s="180" t="str">
        <f aca="false">IF((D117="r"),F117," ")</f>
        <v> </v>
      </c>
      <c r="J117" s="180" t="str">
        <f aca="false">IF((D117="t"),F117," ")</f>
        <v> </v>
      </c>
      <c r="K117" s="180" t="str">
        <f aca="false">IF((D117="e"),F117," ")</f>
        <v> </v>
      </c>
      <c r="L117" s="180" t="str">
        <f aca="false">IF((D117="p"),F117," ")</f>
        <v> </v>
      </c>
      <c r="M117" s="180" t="str">
        <f aca="false">IF((D117="g"),F117," ")</f>
        <v> </v>
      </c>
      <c r="N117" s="180" t="str">
        <f aca="false">IF((D117="a"),F117," ")</f>
        <v> </v>
      </c>
      <c r="O117" s="180" t="str">
        <f aca="false">IF((D117="l"),F117," ")</f>
        <v> </v>
      </c>
      <c r="P117" s="180" t="str">
        <f aca="false">IF((D117="i"),F117," ")</f>
        <v> </v>
      </c>
      <c r="Q117" s="180" t="str">
        <f aca="false">IF((D117="b"),F117," ")</f>
        <v> </v>
      </c>
      <c r="R117" s="180" t="str">
        <f aca="false">IF((D117="o"),F117," ")</f>
        <v> </v>
      </c>
      <c r="S117" s="180" t="str">
        <f aca="false">IF((D117="f"),F117," ")</f>
        <v> </v>
      </c>
      <c r="U117" s="371"/>
    </row>
    <row r="118" customFormat="false" ht="12.75" hidden="false" customHeight="false" outlineLevel="0" collapsed="false">
      <c r="D118" s="371" t="str">
        <f aca="false">IF((F118&lt;&gt;0),"Enter Letter"," ")</f>
        <v> </v>
      </c>
      <c r="G118" s="180" t="str">
        <f aca="false">IF((D118="d"),F118," ")</f>
        <v> </v>
      </c>
      <c r="H118" s="180" t="str">
        <f aca="false">IF((D118="h"),F118," ")</f>
        <v> </v>
      </c>
      <c r="I118" s="180" t="str">
        <f aca="false">IF((D118="r"),F118," ")</f>
        <v> </v>
      </c>
      <c r="J118" s="180" t="str">
        <f aca="false">IF((D118="t"),F118," ")</f>
        <v> </v>
      </c>
      <c r="K118" s="180" t="str">
        <f aca="false">IF((D118="e"),F118," ")</f>
        <v> </v>
      </c>
      <c r="L118" s="180" t="str">
        <f aca="false">IF((D118="p"),F118," ")</f>
        <v> </v>
      </c>
      <c r="M118" s="180" t="str">
        <f aca="false">IF((D118="g"),F118," ")</f>
        <v> </v>
      </c>
      <c r="N118" s="180" t="str">
        <f aca="false">IF((D118="a"),F118," ")</f>
        <v> </v>
      </c>
      <c r="O118" s="180" t="str">
        <f aca="false">IF((D118="l"),F118," ")</f>
        <v> </v>
      </c>
      <c r="P118" s="180" t="str">
        <f aca="false">IF((D118="i"),F118," ")</f>
        <v> </v>
      </c>
      <c r="Q118" s="180" t="str">
        <f aca="false">IF((D118="b"),F118," ")</f>
        <v> </v>
      </c>
      <c r="R118" s="180" t="str">
        <f aca="false">IF((D118="o"),F118," ")</f>
        <v> </v>
      </c>
      <c r="S118" s="180" t="str">
        <f aca="false">IF((D118="f"),F118," ")</f>
        <v> </v>
      </c>
      <c r="U118" s="371"/>
    </row>
    <row r="119" customFormat="false" ht="12.75" hidden="false" customHeight="false" outlineLevel="0" collapsed="false">
      <c r="D119" s="371" t="str">
        <f aca="false">IF((F119&lt;&gt;0),"Enter Letter"," ")</f>
        <v> </v>
      </c>
      <c r="G119" s="180" t="str">
        <f aca="false">IF((D119="d"),F119," ")</f>
        <v> </v>
      </c>
      <c r="H119" s="180" t="str">
        <f aca="false">IF((D119="h"),F119," ")</f>
        <v> </v>
      </c>
      <c r="I119" s="180" t="str">
        <f aca="false">IF((D119="r"),F119," ")</f>
        <v> </v>
      </c>
      <c r="J119" s="180" t="str">
        <f aca="false">IF((D119="t"),F119," ")</f>
        <v> </v>
      </c>
      <c r="K119" s="180" t="str">
        <f aca="false">IF((D119="e"),F119," ")</f>
        <v> </v>
      </c>
      <c r="L119" s="180" t="str">
        <f aca="false">IF((D119="p"),F119," ")</f>
        <v> </v>
      </c>
      <c r="M119" s="180" t="str">
        <f aca="false">IF((D119="g"),F119," ")</f>
        <v> </v>
      </c>
      <c r="N119" s="180" t="str">
        <f aca="false">IF((D119="a"),F119," ")</f>
        <v> </v>
      </c>
      <c r="O119" s="180" t="str">
        <f aca="false">IF((D119="l"),F119," ")</f>
        <v> </v>
      </c>
      <c r="P119" s="180" t="str">
        <f aca="false">IF((D119="i"),F119," ")</f>
        <v> </v>
      </c>
      <c r="Q119" s="180" t="str">
        <f aca="false">IF((D119="b"),F119," ")</f>
        <v> </v>
      </c>
      <c r="R119" s="180" t="str">
        <f aca="false">IF((D119="o"),F119," ")</f>
        <v> </v>
      </c>
      <c r="S119" s="180" t="str">
        <f aca="false">IF((D119="f"),F119," ")</f>
        <v> </v>
      </c>
      <c r="U119" s="371"/>
    </row>
    <row r="120" customFormat="false" ht="12.75" hidden="false" customHeight="false" outlineLevel="0" collapsed="false">
      <c r="D120" s="371" t="str">
        <f aca="false">IF((F120&lt;&gt;0),"Enter Letter"," ")</f>
        <v> </v>
      </c>
      <c r="G120" s="180" t="str">
        <f aca="false">IF((D120="d"),F120," ")</f>
        <v> </v>
      </c>
      <c r="H120" s="180" t="str">
        <f aca="false">IF((D120="h"),F120," ")</f>
        <v> </v>
      </c>
      <c r="I120" s="180" t="str">
        <f aca="false">IF((D120="r"),F120," ")</f>
        <v> </v>
      </c>
      <c r="J120" s="180" t="str">
        <f aca="false">IF((D120="t"),F120," ")</f>
        <v> </v>
      </c>
      <c r="K120" s="180" t="str">
        <f aca="false">IF((D120="e"),F120," ")</f>
        <v> </v>
      </c>
      <c r="L120" s="180" t="str">
        <f aca="false">IF((D120="p"),F120," ")</f>
        <v> </v>
      </c>
      <c r="M120" s="180" t="str">
        <f aca="false">IF((D120="g"),F120," ")</f>
        <v> </v>
      </c>
      <c r="N120" s="180" t="str">
        <f aca="false">IF((D120="a"),F120," ")</f>
        <v> </v>
      </c>
      <c r="O120" s="180" t="str">
        <f aca="false">IF((D120="l"),F120," ")</f>
        <v> </v>
      </c>
      <c r="P120" s="180" t="str">
        <f aca="false">IF((D120="i"),F120," ")</f>
        <v> </v>
      </c>
      <c r="Q120" s="180" t="str">
        <f aca="false">IF((D120="b"),F120," ")</f>
        <v> </v>
      </c>
      <c r="R120" s="180" t="str">
        <f aca="false">IF((D120="o"),F120," ")</f>
        <v> </v>
      </c>
      <c r="S120" s="180" t="str">
        <f aca="false">IF((D120="f"),F120," ")</f>
        <v> </v>
      </c>
      <c r="U120" s="371"/>
    </row>
    <row r="121" customFormat="false" ht="12.75" hidden="false" customHeight="false" outlineLevel="0" collapsed="false">
      <c r="D121" s="371" t="str">
        <f aca="false">IF((F121&lt;&gt;0),"Enter Letter"," ")</f>
        <v> </v>
      </c>
      <c r="G121" s="180" t="str">
        <f aca="false">IF((D121="d"),F121," ")</f>
        <v> </v>
      </c>
      <c r="H121" s="180" t="str">
        <f aca="false">IF((D121="h"),F121," ")</f>
        <v> </v>
      </c>
      <c r="I121" s="180" t="str">
        <f aca="false">IF((D121="r"),F121," ")</f>
        <v> </v>
      </c>
      <c r="J121" s="180" t="str">
        <f aca="false">IF((D121="t"),F121," ")</f>
        <v> </v>
      </c>
      <c r="K121" s="180" t="str">
        <f aca="false">IF((D121="e"),F121," ")</f>
        <v> </v>
      </c>
      <c r="L121" s="180" t="str">
        <f aca="false">IF((D121="p"),F121," ")</f>
        <v> </v>
      </c>
      <c r="M121" s="180" t="str">
        <f aca="false">IF((D121="g"),F121," ")</f>
        <v> </v>
      </c>
      <c r="N121" s="180" t="str">
        <f aca="false">IF((D121="a"),F121," ")</f>
        <v> </v>
      </c>
      <c r="O121" s="180" t="str">
        <f aca="false">IF((D121="l"),F121," ")</f>
        <v> </v>
      </c>
      <c r="P121" s="180" t="str">
        <f aca="false">IF((D121="i"),F121," ")</f>
        <v> </v>
      </c>
      <c r="Q121" s="180" t="str">
        <f aca="false">IF((D121="b"),F121," ")</f>
        <v> </v>
      </c>
      <c r="R121" s="180" t="str">
        <f aca="false">IF((D121="o"),F121," ")</f>
        <v> </v>
      </c>
      <c r="S121" s="180" t="str">
        <f aca="false">IF((D121="f"),F121," ")</f>
        <v> </v>
      </c>
      <c r="U121" s="371"/>
    </row>
    <row r="122" customFormat="false" ht="12.75" hidden="false" customHeight="false" outlineLevel="0" collapsed="false">
      <c r="D122" s="371" t="str">
        <f aca="false">IF((F122&lt;&gt;0),"Enter Letter"," ")</f>
        <v> </v>
      </c>
      <c r="G122" s="180" t="str">
        <f aca="false">IF((D122="d"),F122," ")</f>
        <v> </v>
      </c>
      <c r="H122" s="180" t="str">
        <f aca="false">IF((D122="h"),F122," ")</f>
        <v> </v>
      </c>
      <c r="I122" s="180" t="str">
        <f aca="false">IF((D122="r"),F122," ")</f>
        <v> </v>
      </c>
      <c r="J122" s="180" t="str">
        <f aca="false">IF((D122="t"),F122," ")</f>
        <v> </v>
      </c>
      <c r="K122" s="180" t="str">
        <f aca="false">IF((D122="e"),F122," ")</f>
        <v> </v>
      </c>
      <c r="L122" s="180" t="str">
        <f aca="false">IF((D122="p"),F122," ")</f>
        <v> </v>
      </c>
      <c r="M122" s="180" t="str">
        <f aca="false">IF((D122="g"),F122," ")</f>
        <v> </v>
      </c>
      <c r="N122" s="180" t="str">
        <f aca="false">IF((D122="a"),F122," ")</f>
        <v> </v>
      </c>
      <c r="O122" s="180" t="str">
        <f aca="false">IF((D122="l"),F122," ")</f>
        <v> </v>
      </c>
      <c r="P122" s="180" t="str">
        <f aca="false">IF((D122="i"),F122," ")</f>
        <v> </v>
      </c>
      <c r="Q122" s="180" t="str">
        <f aca="false">IF((D122="b"),F122," ")</f>
        <v> </v>
      </c>
      <c r="R122" s="180" t="str">
        <f aca="false">IF((D122="o"),F122," ")</f>
        <v> </v>
      </c>
      <c r="S122" s="180" t="str">
        <f aca="false">IF((D122="f"),F122," ")</f>
        <v> </v>
      </c>
      <c r="U122" s="371"/>
    </row>
    <row r="123" customFormat="false" ht="12.75" hidden="false" customHeight="false" outlineLevel="0" collapsed="false">
      <c r="D123" s="371" t="str">
        <f aca="false">IF((F123&lt;&gt;0),"Enter Letter"," ")</f>
        <v> </v>
      </c>
      <c r="G123" s="180" t="str">
        <f aca="false">IF((D123="d"),F123," ")</f>
        <v> </v>
      </c>
      <c r="H123" s="180" t="str">
        <f aca="false">IF((D123="h"),F123," ")</f>
        <v> </v>
      </c>
      <c r="I123" s="180" t="str">
        <f aca="false">IF((D123="r"),F123," ")</f>
        <v> </v>
      </c>
      <c r="J123" s="180" t="str">
        <f aca="false">IF((D123="t"),F123," ")</f>
        <v> </v>
      </c>
      <c r="K123" s="180" t="str">
        <f aca="false">IF((D123="e"),F123," ")</f>
        <v> </v>
      </c>
      <c r="L123" s="180" t="str">
        <f aca="false">IF((D123="p"),F123," ")</f>
        <v> </v>
      </c>
      <c r="M123" s="180" t="str">
        <f aca="false">IF((D123="g"),F123," ")</f>
        <v> </v>
      </c>
      <c r="N123" s="180" t="str">
        <f aca="false">IF((D123="a"),F123," ")</f>
        <v> </v>
      </c>
      <c r="O123" s="180" t="str">
        <f aca="false">IF((D123="l"),F123," ")</f>
        <v> </v>
      </c>
      <c r="P123" s="180" t="str">
        <f aca="false">IF((D123="i"),F123," ")</f>
        <v> </v>
      </c>
      <c r="Q123" s="180" t="str">
        <f aca="false">IF((D123="b"),F123," ")</f>
        <v> </v>
      </c>
      <c r="R123" s="180" t="str">
        <f aca="false">IF((D123="o"),F123," ")</f>
        <v> </v>
      </c>
      <c r="S123" s="180" t="str">
        <f aca="false">IF((D123="f"),F123," ")</f>
        <v> </v>
      </c>
      <c r="U123" s="371"/>
    </row>
    <row r="124" customFormat="false" ht="12.75" hidden="false" customHeight="false" outlineLevel="0" collapsed="false">
      <c r="D124" s="371" t="str">
        <f aca="false">IF((F124&lt;&gt;0),"Enter Letter"," ")</f>
        <v> </v>
      </c>
      <c r="G124" s="180" t="str">
        <f aca="false">IF((D124="d"),F124," ")</f>
        <v> </v>
      </c>
      <c r="H124" s="180" t="str">
        <f aca="false">IF((D124="h"),F124," ")</f>
        <v> </v>
      </c>
      <c r="I124" s="180" t="str">
        <f aca="false">IF((D124="r"),F124," ")</f>
        <v> </v>
      </c>
      <c r="J124" s="180" t="str">
        <f aca="false">IF((D124="t"),F124," ")</f>
        <v> </v>
      </c>
      <c r="K124" s="180" t="str">
        <f aca="false">IF((D124="e"),F124," ")</f>
        <v> </v>
      </c>
      <c r="L124" s="180" t="str">
        <f aca="false">IF((D124="p"),F124," ")</f>
        <v> </v>
      </c>
      <c r="M124" s="180" t="str">
        <f aca="false">IF((D124="g"),F124," ")</f>
        <v> </v>
      </c>
      <c r="N124" s="180" t="str">
        <f aca="false">IF((D124="a"),F124," ")</f>
        <v> </v>
      </c>
      <c r="O124" s="180" t="str">
        <f aca="false">IF((D124="l"),F124," ")</f>
        <v> </v>
      </c>
      <c r="P124" s="180" t="str">
        <f aca="false">IF((D124="i"),F124," ")</f>
        <v> </v>
      </c>
      <c r="Q124" s="180" t="str">
        <f aca="false">IF((D124="b"),F124," ")</f>
        <v> </v>
      </c>
      <c r="R124" s="180" t="str">
        <f aca="false">IF((D124="o"),F124," ")</f>
        <v> </v>
      </c>
      <c r="S124" s="180" t="str">
        <f aca="false">IF((D124="f"),F124," ")</f>
        <v> </v>
      </c>
      <c r="U124" s="371"/>
    </row>
    <row r="125" customFormat="false" ht="12.75" hidden="false" customHeight="false" outlineLevel="0" collapsed="false">
      <c r="D125" s="371" t="str">
        <f aca="false">IF((F125&lt;&gt;0),"Enter Letter"," ")</f>
        <v> </v>
      </c>
      <c r="G125" s="180" t="str">
        <f aca="false">IF((D125="d"),F125," ")</f>
        <v> </v>
      </c>
      <c r="H125" s="180" t="str">
        <f aca="false">IF((D125="h"),F125," ")</f>
        <v> </v>
      </c>
      <c r="I125" s="180" t="str">
        <f aca="false">IF((D125="r"),F125," ")</f>
        <v> </v>
      </c>
      <c r="J125" s="180" t="str">
        <f aca="false">IF((D125="t"),F125," ")</f>
        <v> </v>
      </c>
      <c r="K125" s="180" t="str">
        <f aca="false">IF((D125="e"),F125," ")</f>
        <v> </v>
      </c>
      <c r="L125" s="180" t="str">
        <f aca="false">IF((D125="p"),F125," ")</f>
        <v> </v>
      </c>
      <c r="M125" s="180" t="str">
        <f aca="false">IF((D125="g"),F125," ")</f>
        <v> </v>
      </c>
      <c r="N125" s="180" t="str">
        <f aca="false">IF((D125="a"),F125," ")</f>
        <v> </v>
      </c>
      <c r="O125" s="180" t="str">
        <f aca="false">IF((D125="l"),F125," ")</f>
        <v> </v>
      </c>
      <c r="P125" s="180" t="str">
        <f aca="false">IF((D125="i"),F125," ")</f>
        <v> </v>
      </c>
      <c r="Q125" s="180" t="str">
        <f aca="false">IF((D125="b"),F125," ")</f>
        <v> </v>
      </c>
      <c r="R125" s="180" t="str">
        <f aca="false">IF((D125="o"),F125," ")</f>
        <v> </v>
      </c>
      <c r="S125" s="180" t="str">
        <f aca="false">IF((D125="f"),F125," ")</f>
        <v> </v>
      </c>
      <c r="U125" s="371"/>
    </row>
    <row r="126" customFormat="false" ht="12.75" hidden="false" customHeight="false" outlineLevel="0" collapsed="false">
      <c r="D126" s="371" t="str">
        <f aca="false">IF((F126&lt;&gt;0),"Enter Letter"," ")</f>
        <v> </v>
      </c>
      <c r="G126" s="180" t="str">
        <f aca="false">IF((D126="d"),F126," ")</f>
        <v> </v>
      </c>
      <c r="H126" s="180" t="str">
        <f aca="false">IF((D126="h"),F126," ")</f>
        <v> </v>
      </c>
      <c r="I126" s="180" t="str">
        <f aca="false">IF((D126="r"),F126," ")</f>
        <v> </v>
      </c>
      <c r="J126" s="180" t="str">
        <f aca="false">IF((D126="t"),F126," ")</f>
        <v> </v>
      </c>
      <c r="K126" s="180" t="str">
        <f aca="false">IF((D126="e"),F126," ")</f>
        <v> </v>
      </c>
      <c r="L126" s="180" t="str">
        <f aca="false">IF((D126="p"),F126," ")</f>
        <v> </v>
      </c>
      <c r="M126" s="180" t="str">
        <f aca="false">IF((D126="g"),F126," ")</f>
        <v> </v>
      </c>
      <c r="N126" s="180" t="str">
        <f aca="false">IF((D126="a"),F126," ")</f>
        <v> </v>
      </c>
      <c r="O126" s="180" t="str">
        <f aca="false">IF((D126="l"),F126," ")</f>
        <v> </v>
      </c>
      <c r="P126" s="180" t="str">
        <f aca="false">IF((D126="i"),F126," ")</f>
        <v> </v>
      </c>
      <c r="Q126" s="180" t="str">
        <f aca="false">IF((D126="b"),F126," ")</f>
        <v> </v>
      </c>
      <c r="R126" s="180" t="str">
        <f aca="false">IF((D126="o"),F126," ")</f>
        <v> </v>
      </c>
      <c r="S126" s="180" t="str">
        <f aca="false">IF((D126="f"),F126," ")</f>
        <v> </v>
      </c>
      <c r="U126" s="371"/>
    </row>
    <row r="127" customFormat="false" ht="12.75" hidden="false" customHeight="false" outlineLevel="0" collapsed="false">
      <c r="D127" s="371" t="str">
        <f aca="false">IF((F127&lt;&gt;0),"Enter Letter"," ")</f>
        <v> </v>
      </c>
      <c r="G127" s="180" t="str">
        <f aca="false">IF((D127="d"),F127," ")</f>
        <v> </v>
      </c>
      <c r="H127" s="180" t="str">
        <f aca="false">IF((D127="h"),F127," ")</f>
        <v> </v>
      </c>
      <c r="I127" s="180" t="str">
        <f aca="false">IF((D127="r"),F127," ")</f>
        <v> </v>
      </c>
      <c r="J127" s="180" t="str">
        <f aca="false">IF((D127="t"),F127," ")</f>
        <v> </v>
      </c>
      <c r="K127" s="180" t="str">
        <f aca="false">IF((D127="e"),F127," ")</f>
        <v> </v>
      </c>
      <c r="L127" s="180" t="str">
        <f aca="false">IF((D127="p"),F127," ")</f>
        <v> </v>
      </c>
      <c r="M127" s="180" t="str">
        <f aca="false">IF((D127="g"),F127," ")</f>
        <v> </v>
      </c>
      <c r="N127" s="180" t="str">
        <f aca="false">IF((D127="a"),F127," ")</f>
        <v> </v>
      </c>
      <c r="O127" s="180" t="str">
        <f aca="false">IF((D127="l"),F127," ")</f>
        <v> </v>
      </c>
      <c r="P127" s="180" t="str">
        <f aca="false">IF((D127="i"),F127," ")</f>
        <v> </v>
      </c>
      <c r="Q127" s="180" t="str">
        <f aca="false">IF((D127="b"),F127," ")</f>
        <v> </v>
      </c>
      <c r="R127" s="180" t="str">
        <f aca="false">IF((D127="o"),F127," ")</f>
        <v> </v>
      </c>
      <c r="S127" s="180" t="str">
        <f aca="false">IF((D127="f"),F127," ")</f>
        <v> </v>
      </c>
      <c r="U127" s="371"/>
    </row>
    <row r="128" customFormat="false" ht="12.75" hidden="false" customHeight="false" outlineLevel="0" collapsed="false">
      <c r="D128" s="371" t="str">
        <f aca="false">IF((F128&lt;&gt;0),"Enter Letter"," ")</f>
        <v> </v>
      </c>
      <c r="G128" s="180" t="str">
        <f aca="false">IF((D128="d"),F128," ")</f>
        <v> </v>
      </c>
      <c r="H128" s="180" t="str">
        <f aca="false">IF((D128="h"),F128," ")</f>
        <v> </v>
      </c>
      <c r="I128" s="180" t="str">
        <f aca="false">IF((D128="r"),F128," ")</f>
        <v> </v>
      </c>
      <c r="J128" s="180" t="str">
        <f aca="false">IF((D128="t"),F128," ")</f>
        <v> </v>
      </c>
      <c r="K128" s="180" t="str">
        <f aca="false">IF((D128="e"),F128," ")</f>
        <v> </v>
      </c>
      <c r="L128" s="180" t="str">
        <f aca="false">IF((D128="p"),F128," ")</f>
        <v> </v>
      </c>
      <c r="M128" s="180" t="str">
        <f aca="false">IF((D128="g"),F128," ")</f>
        <v> </v>
      </c>
      <c r="N128" s="180" t="str">
        <f aca="false">IF((D128="a"),F128," ")</f>
        <v> </v>
      </c>
      <c r="O128" s="180" t="str">
        <f aca="false">IF((D128="l"),F128," ")</f>
        <v> </v>
      </c>
      <c r="P128" s="180" t="str">
        <f aca="false">IF((D128="i"),F128," ")</f>
        <v> </v>
      </c>
      <c r="Q128" s="180" t="str">
        <f aca="false">IF((D128="b"),F128," ")</f>
        <v> </v>
      </c>
      <c r="R128" s="180" t="str">
        <f aca="false">IF((D128="o"),F128," ")</f>
        <v> </v>
      </c>
      <c r="S128" s="180" t="str">
        <f aca="false">IF((D128="f"),F128," ")</f>
        <v> </v>
      </c>
      <c r="U128" s="371"/>
    </row>
    <row r="129" customFormat="false" ht="12.75" hidden="false" customHeight="false" outlineLevel="0" collapsed="false">
      <c r="D129" s="371" t="str">
        <f aca="false">IF((F129&lt;&gt;0),"Enter Letter"," ")</f>
        <v> </v>
      </c>
      <c r="G129" s="180" t="str">
        <f aca="false">IF((D129="d"),F129," ")</f>
        <v> </v>
      </c>
      <c r="H129" s="180" t="str">
        <f aca="false">IF((D129="h"),F129," ")</f>
        <v> </v>
      </c>
      <c r="I129" s="180" t="str">
        <f aca="false">IF((D129="r"),F129," ")</f>
        <v> </v>
      </c>
      <c r="J129" s="180" t="str">
        <f aca="false">IF((D129="t"),F129," ")</f>
        <v> </v>
      </c>
      <c r="K129" s="180" t="str">
        <f aca="false">IF((D129="e"),F129," ")</f>
        <v> </v>
      </c>
      <c r="L129" s="180" t="str">
        <f aca="false">IF((D129="p"),F129," ")</f>
        <v> </v>
      </c>
      <c r="M129" s="180" t="str">
        <f aca="false">IF((D129="g"),F129," ")</f>
        <v> </v>
      </c>
      <c r="N129" s="180" t="str">
        <f aca="false">IF((D129="a"),F129," ")</f>
        <v> </v>
      </c>
      <c r="O129" s="180" t="str">
        <f aca="false">IF((D129="l"),F129," ")</f>
        <v> </v>
      </c>
      <c r="P129" s="180" t="str">
        <f aca="false">IF((D129="i"),F129," ")</f>
        <v> </v>
      </c>
      <c r="Q129" s="180" t="str">
        <f aca="false">IF((D129="b"),F129," ")</f>
        <v> </v>
      </c>
      <c r="R129" s="180" t="str">
        <f aca="false">IF((D129="o"),F129," ")</f>
        <v> </v>
      </c>
      <c r="S129" s="180" t="str">
        <f aca="false">IF((D129="f"),F129," ")</f>
        <v> </v>
      </c>
      <c r="U129" s="371"/>
    </row>
    <row r="130" customFormat="false" ht="12.75" hidden="false" customHeight="false" outlineLevel="0" collapsed="false">
      <c r="D130" s="371" t="str">
        <f aca="false">IF((F130&lt;&gt;0),"Enter Letter"," ")</f>
        <v> </v>
      </c>
      <c r="G130" s="180" t="str">
        <f aca="false">IF((D130="d"),F130," ")</f>
        <v> </v>
      </c>
      <c r="H130" s="180" t="str">
        <f aca="false">IF((D130="h"),F130," ")</f>
        <v> </v>
      </c>
      <c r="I130" s="180" t="str">
        <f aca="false">IF((D130="r"),F130," ")</f>
        <v> </v>
      </c>
      <c r="J130" s="180" t="str">
        <f aca="false">IF((D130="t"),F130," ")</f>
        <v> </v>
      </c>
      <c r="K130" s="180" t="str">
        <f aca="false">IF((D130="e"),F130," ")</f>
        <v> </v>
      </c>
      <c r="L130" s="180" t="str">
        <f aca="false">IF((D130="p"),F130," ")</f>
        <v> </v>
      </c>
      <c r="M130" s="180" t="str">
        <f aca="false">IF((D130="g"),F130," ")</f>
        <v> </v>
      </c>
      <c r="N130" s="180" t="str">
        <f aca="false">IF((D130="a"),F130," ")</f>
        <v> </v>
      </c>
      <c r="O130" s="180" t="str">
        <f aca="false">IF((D130="l"),F130," ")</f>
        <v> </v>
      </c>
      <c r="P130" s="180" t="str">
        <f aca="false">IF((D130="i"),F130," ")</f>
        <v> </v>
      </c>
      <c r="Q130" s="180" t="str">
        <f aca="false">IF((D130="b"),F130," ")</f>
        <v> </v>
      </c>
      <c r="R130" s="180" t="str">
        <f aca="false">IF((D130="o"),F130," ")</f>
        <v> </v>
      </c>
      <c r="S130" s="180" t="str">
        <f aca="false">IF((D130="f"),F130," ")</f>
        <v> </v>
      </c>
      <c r="U130" s="371"/>
    </row>
    <row r="131" customFormat="false" ht="12.75" hidden="false" customHeight="false" outlineLevel="0" collapsed="false">
      <c r="D131" s="371" t="str">
        <f aca="false">IF((F131&lt;&gt;0),"Enter Letter"," ")</f>
        <v> </v>
      </c>
      <c r="G131" s="180" t="str">
        <f aca="false">IF((D131="d"),F131," ")</f>
        <v> </v>
      </c>
      <c r="H131" s="180" t="str">
        <f aca="false">IF((D131="h"),F131," ")</f>
        <v> </v>
      </c>
      <c r="I131" s="180" t="str">
        <f aca="false">IF((D131="r"),F131," ")</f>
        <v> </v>
      </c>
      <c r="J131" s="180" t="str">
        <f aca="false">IF((D131="t"),F131," ")</f>
        <v> </v>
      </c>
      <c r="K131" s="180" t="str">
        <f aca="false">IF((D131="e"),F131," ")</f>
        <v> </v>
      </c>
      <c r="L131" s="180" t="str">
        <f aca="false">IF((D131="p"),F131," ")</f>
        <v> </v>
      </c>
      <c r="M131" s="180" t="str">
        <f aca="false">IF((D131="g"),F131," ")</f>
        <v> </v>
      </c>
      <c r="N131" s="180" t="str">
        <f aca="false">IF((D131="a"),F131," ")</f>
        <v> </v>
      </c>
      <c r="O131" s="180" t="str">
        <f aca="false">IF((D131="l"),F131," ")</f>
        <v> </v>
      </c>
      <c r="P131" s="180" t="str">
        <f aca="false">IF((D131="i"),F131," ")</f>
        <v> </v>
      </c>
      <c r="Q131" s="180" t="str">
        <f aca="false">IF((D131="b"),F131," ")</f>
        <v> </v>
      </c>
      <c r="R131" s="180" t="str">
        <f aca="false">IF((D131="o"),F131," ")</f>
        <v> </v>
      </c>
      <c r="S131" s="180" t="str">
        <f aca="false">IF((D131="f"),F131," ")</f>
        <v> </v>
      </c>
      <c r="U131" s="371"/>
    </row>
    <row r="132" customFormat="false" ht="12.75" hidden="false" customHeight="false" outlineLevel="0" collapsed="false">
      <c r="D132" s="371" t="str">
        <f aca="false">IF((F132&lt;&gt;0),"Enter Letter"," ")</f>
        <v> </v>
      </c>
      <c r="G132" s="180" t="str">
        <f aca="false">IF((D132="d"),F132," ")</f>
        <v> </v>
      </c>
      <c r="H132" s="180" t="str">
        <f aca="false">IF((D132="h"),F132," ")</f>
        <v> </v>
      </c>
      <c r="I132" s="180" t="str">
        <f aca="false">IF((D132="r"),F132," ")</f>
        <v> </v>
      </c>
      <c r="J132" s="180" t="str">
        <f aca="false">IF((D132="t"),F132," ")</f>
        <v> </v>
      </c>
      <c r="K132" s="180" t="str">
        <f aca="false">IF((D132="e"),F132," ")</f>
        <v> </v>
      </c>
      <c r="L132" s="180" t="str">
        <f aca="false">IF((D132="p"),F132," ")</f>
        <v> </v>
      </c>
      <c r="M132" s="180" t="str">
        <f aca="false">IF((D132="g"),F132," ")</f>
        <v> </v>
      </c>
      <c r="N132" s="180" t="str">
        <f aca="false">IF((D132="a"),F132," ")</f>
        <v> </v>
      </c>
      <c r="O132" s="180" t="str">
        <f aca="false">IF((D132="l"),F132," ")</f>
        <v> </v>
      </c>
      <c r="P132" s="180" t="str">
        <f aca="false">IF((D132="i"),F132," ")</f>
        <v> </v>
      </c>
      <c r="Q132" s="180" t="str">
        <f aca="false">IF((D132="b"),F132," ")</f>
        <v> </v>
      </c>
      <c r="R132" s="180" t="str">
        <f aca="false">IF((D132="o"),F132," ")</f>
        <v> </v>
      </c>
      <c r="S132" s="180" t="str">
        <f aca="false">IF((D132="f"),F132," ")</f>
        <v> </v>
      </c>
      <c r="U132" s="371"/>
    </row>
    <row r="133" customFormat="false" ht="12.75" hidden="false" customHeight="false" outlineLevel="0" collapsed="false">
      <c r="D133" s="371" t="str">
        <f aca="false">IF((F133&lt;&gt;0),"Enter Letter"," ")</f>
        <v> </v>
      </c>
      <c r="G133" s="180" t="str">
        <f aca="false">IF((D133="d"),F133," ")</f>
        <v> </v>
      </c>
      <c r="H133" s="180" t="str">
        <f aca="false">IF((D133="h"),F133," ")</f>
        <v> </v>
      </c>
      <c r="I133" s="180" t="str">
        <f aca="false">IF((D133="r"),F133," ")</f>
        <v> </v>
      </c>
      <c r="J133" s="180" t="str">
        <f aca="false">IF((D133="t"),F133," ")</f>
        <v> </v>
      </c>
      <c r="K133" s="180" t="str">
        <f aca="false">IF((D133="e"),F133," ")</f>
        <v> </v>
      </c>
      <c r="L133" s="180" t="str">
        <f aca="false">IF((D133="p"),F133," ")</f>
        <v> </v>
      </c>
      <c r="M133" s="180" t="str">
        <f aca="false">IF((D133="g"),F133," ")</f>
        <v> </v>
      </c>
      <c r="N133" s="180" t="str">
        <f aca="false">IF((D133="a"),F133," ")</f>
        <v> </v>
      </c>
      <c r="O133" s="180" t="str">
        <f aca="false">IF((D133="l"),F133," ")</f>
        <v> </v>
      </c>
      <c r="P133" s="180" t="str">
        <f aca="false">IF((D133="i"),F133," ")</f>
        <v> </v>
      </c>
      <c r="Q133" s="180" t="str">
        <f aca="false">IF((D133="b"),F133," ")</f>
        <v> </v>
      </c>
      <c r="R133" s="180" t="str">
        <f aca="false">IF((D133="o"),F133," ")</f>
        <v> </v>
      </c>
      <c r="S133" s="180" t="str">
        <f aca="false">IF((D133="f"),F133," ")</f>
        <v> </v>
      </c>
      <c r="U133" s="371"/>
    </row>
    <row r="134" customFormat="false" ht="12.75" hidden="false" customHeight="false" outlineLevel="0" collapsed="false">
      <c r="D134" s="371" t="str">
        <f aca="false">IF((F134&lt;&gt;0),"Enter Letter"," ")</f>
        <v> </v>
      </c>
      <c r="G134" s="180" t="str">
        <f aca="false">IF((D134="d"),F134," ")</f>
        <v> </v>
      </c>
      <c r="H134" s="180" t="str">
        <f aca="false">IF((D134="h"),F134," ")</f>
        <v> </v>
      </c>
      <c r="I134" s="180" t="str">
        <f aca="false">IF((D134="r"),F134," ")</f>
        <v> </v>
      </c>
      <c r="J134" s="180" t="str">
        <f aca="false">IF((D134="t"),F134," ")</f>
        <v> </v>
      </c>
      <c r="K134" s="180" t="str">
        <f aca="false">IF((D134="e"),F134," ")</f>
        <v> </v>
      </c>
      <c r="L134" s="180" t="str">
        <f aca="false">IF((D134="p"),F134," ")</f>
        <v> </v>
      </c>
      <c r="M134" s="180" t="str">
        <f aca="false">IF((D134="g"),F134," ")</f>
        <v> </v>
      </c>
      <c r="N134" s="180" t="str">
        <f aca="false">IF((D134="a"),F134," ")</f>
        <v> </v>
      </c>
      <c r="O134" s="180" t="str">
        <f aca="false">IF((D134="l"),F134," ")</f>
        <v> </v>
      </c>
      <c r="P134" s="180" t="str">
        <f aca="false">IF((D134="i"),F134," ")</f>
        <v> </v>
      </c>
      <c r="Q134" s="180" t="str">
        <f aca="false">IF((D134="b"),F134," ")</f>
        <v> </v>
      </c>
      <c r="R134" s="180" t="str">
        <f aca="false">IF((D134="o"),F134," ")</f>
        <v> </v>
      </c>
      <c r="S134" s="180" t="str">
        <f aca="false">IF((D134="f"),F134," ")</f>
        <v> </v>
      </c>
      <c r="U134" s="371"/>
    </row>
    <row r="135" customFormat="false" ht="12.75" hidden="false" customHeight="false" outlineLevel="0" collapsed="false">
      <c r="D135" s="371" t="str">
        <f aca="false">IF((F135&lt;&gt;0),"Enter Letter"," ")</f>
        <v> </v>
      </c>
      <c r="G135" s="180" t="str">
        <f aca="false">IF((D135="d"),F135," ")</f>
        <v> </v>
      </c>
      <c r="H135" s="180" t="str">
        <f aca="false">IF((D135="h"),F135," ")</f>
        <v> </v>
      </c>
      <c r="I135" s="180" t="str">
        <f aca="false">IF((D135="r"),F135," ")</f>
        <v> </v>
      </c>
      <c r="J135" s="180" t="str">
        <f aca="false">IF((D135="t"),F135," ")</f>
        <v> </v>
      </c>
      <c r="K135" s="180" t="str">
        <f aca="false">IF((D135="e"),F135," ")</f>
        <v> </v>
      </c>
      <c r="L135" s="180" t="str">
        <f aca="false">IF((D135="p"),F135," ")</f>
        <v> </v>
      </c>
      <c r="M135" s="180" t="str">
        <f aca="false">IF((D135="g"),F135," ")</f>
        <v> </v>
      </c>
      <c r="N135" s="180" t="str">
        <f aca="false">IF((D135="a"),F135," ")</f>
        <v> </v>
      </c>
      <c r="O135" s="180" t="str">
        <f aca="false">IF((D135="l"),F135," ")</f>
        <v> </v>
      </c>
      <c r="P135" s="180" t="str">
        <f aca="false">IF((D135="i"),F135," ")</f>
        <v> </v>
      </c>
      <c r="Q135" s="180" t="str">
        <f aca="false">IF((D135="b"),F135," ")</f>
        <v> </v>
      </c>
      <c r="R135" s="180" t="str">
        <f aca="false">IF((D135="o"),F135," ")</f>
        <v> </v>
      </c>
      <c r="S135" s="180" t="str">
        <f aca="false">IF((D135="f"),F135," ")</f>
        <v> </v>
      </c>
      <c r="U135" s="371"/>
    </row>
    <row r="136" customFormat="false" ht="12.75" hidden="false" customHeight="false" outlineLevel="0" collapsed="false">
      <c r="D136" s="371" t="str">
        <f aca="false">IF((F136&lt;&gt;0),"Enter Letter"," ")</f>
        <v> </v>
      </c>
      <c r="G136" s="180" t="str">
        <f aca="false">IF((D136="d"),F136," ")</f>
        <v> </v>
      </c>
      <c r="H136" s="180" t="str">
        <f aca="false">IF((D136="h"),F136," ")</f>
        <v> </v>
      </c>
      <c r="I136" s="180" t="str">
        <f aca="false">IF((D136="r"),F136," ")</f>
        <v> </v>
      </c>
      <c r="J136" s="180" t="str">
        <f aca="false">IF((D136="t"),F136," ")</f>
        <v> </v>
      </c>
      <c r="K136" s="180" t="str">
        <f aca="false">IF((D136="e"),F136," ")</f>
        <v> </v>
      </c>
      <c r="L136" s="180" t="str">
        <f aca="false">IF((D136="p"),F136," ")</f>
        <v> </v>
      </c>
      <c r="M136" s="180" t="str">
        <f aca="false">IF((D136="g"),F136," ")</f>
        <v> </v>
      </c>
      <c r="N136" s="180" t="str">
        <f aca="false">IF((D136="a"),F136," ")</f>
        <v> </v>
      </c>
      <c r="O136" s="180" t="str">
        <f aca="false">IF((D136="l"),F136," ")</f>
        <v> </v>
      </c>
      <c r="P136" s="180" t="str">
        <f aca="false">IF((D136="i"),F136," ")</f>
        <v> </v>
      </c>
      <c r="Q136" s="180" t="str">
        <f aca="false">IF((D136="b"),F136," ")</f>
        <v> </v>
      </c>
      <c r="R136" s="180" t="str">
        <f aca="false">IF((D136="o"),F136," ")</f>
        <v> </v>
      </c>
      <c r="S136" s="180" t="str">
        <f aca="false">IF((D136="f"),F136," ")</f>
        <v> </v>
      </c>
      <c r="U136" s="371"/>
    </row>
    <row r="137" customFormat="false" ht="12.75" hidden="false" customHeight="false" outlineLevel="0" collapsed="false">
      <c r="D137" s="371" t="str">
        <f aca="false">IF((F137&lt;&gt;0),"Enter Letter"," ")</f>
        <v> </v>
      </c>
      <c r="G137" s="180" t="str">
        <f aca="false">IF((D137="d"),F137," ")</f>
        <v> </v>
      </c>
      <c r="H137" s="180" t="str">
        <f aca="false">IF((D137="h"),F137," ")</f>
        <v> </v>
      </c>
      <c r="I137" s="180" t="str">
        <f aca="false">IF((D137="r"),F137," ")</f>
        <v> </v>
      </c>
      <c r="J137" s="180" t="str">
        <f aca="false">IF((D137="t"),F137," ")</f>
        <v> </v>
      </c>
      <c r="K137" s="180" t="str">
        <f aca="false">IF((D137="e"),F137," ")</f>
        <v> </v>
      </c>
      <c r="L137" s="180" t="str">
        <f aca="false">IF((D137="p"),F137," ")</f>
        <v> </v>
      </c>
      <c r="M137" s="180" t="str">
        <f aca="false">IF((D137="g"),F137," ")</f>
        <v> </v>
      </c>
      <c r="N137" s="180" t="str">
        <f aca="false">IF((D137="a"),F137," ")</f>
        <v> </v>
      </c>
      <c r="O137" s="180" t="str">
        <f aca="false">IF((D137="l"),F137," ")</f>
        <v> </v>
      </c>
      <c r="P137" s="180" t="str">
        <f aca="false">IF((D137="i"),F137," ")</f>
        <v> </v>
      </c>
      <c r="Q137" s="180" t="str">
        <f aca="false">IF((D137="b"),F137," ")</f>
        <v> </v>
      </c>
      <c r="R137" s="180" t="str">
        <f aca="false">IF((D137="o"),F137," ")</f>
        <v> </v>
      </c>
      <c r="S137" s="180" t="str">
        <f aca="false">IF((D137="f"),F137," ")</f>
        <v> </v>
      </c>
      <c r="U137" s="371"/>
    </row>
    <row r="138" customFormat="false" ht="12.75" hidden="false" customHeight="false" outlineLevel="0" collapsed="false">
      <c r="D138" s="371" t="str">
        <f aca="false">IF((F138&lt;&gt;0),"Enter Letter"," ")</f>
        <v> </v>
      </c>
      <c r="G138" s="180" t="str">
        <f aca="false">IF((D138="d"),F138," ")</f>
        <v> </v>
      </c>
      <c r="H138" s="180" t="str">
        <f aca="false">IF((D138="h"),F138," ")</f>
        <v> </v>
      </c>
      <c r="I138" s="180" t="str">
        <f aca="false">IF((D138="r"),F138," ")</f>
        <v> </v>
      </c>
      <c r="J138" s="180" t="str">
        <f aca="false">IF((D138="t"),F138," ")</f>
        <v> </v>
      </c>
      <c r="K138" s="180" t="str">
        <f aca="false">IF((D138="e"),F138," ")</f>
        <v> </v>
      </c>
      <c r="L138" s="180" t="str">
        <f aca="false">IF((D138="p"),F138," ")</f>
        <v> </v>
      </c>
      <c r="M138" s="180" t="str">
        <f aca="false">IF((D138="g"),F138," ")</f>
        <v> </v>
      </c>
      <c r="N138" s="180" t="str">
        <f aca="false">IF((D138="a"),F138," ")</f>
        <v> </v>
      </c>
      <c r="O138" s="180" t="str">
        <f aca="false">IF((D138="l"),F138," ")</f>
        <v> </v>
      </c>
      <c r="P138" s="180" t="str">
        <f aca="false">IF((D138="i"),F138," ")</f>
        <v> </v>
      </c>
      <c r="Q138" s="180" t="str">
        <f aca="false">IF((D138="b"),F138," ")</f>
        <v> </v>
      </c>
      <c r="R138" s="180" t="str">
        <f aca="false">IF((D138="o"),F138," ")</f>
        <v> </v>
      </c>
      <c r="S138" s="180" t="str">
        <f aca="false">IF((D138="f"),F138," ")</f>
        <v> </v>
      </c>
      <c r="U138" s="371"/>
    </row>
    <row r="139" customFormat="false" ht="12.75" hidden="false" customHeight="false" outlineLevel="0" collapsed="false">
      <c r="D139" s="371" t="str">
        <f aca="false">IF((F139&lt;&gt;0),"Enter Letter"," ")</f>
        <v> </v>
      </c>
      <c r="G139" s="180" t="str">
        <f aca="false">IF((D139="d"),F139," ")</f>
        <v> </v>
      </c>
      <c r="H139" s="180" t="str">
        <f aca="false">IF((D139="h"),F139," ")</f>
        <v> </v>
      </c>
      <c r="I139" s="180" t="str">
        <f aca="false">IF((D139="r"),F139," ")</f>
        <v> </v>
      </c>
      <c r="J139" s="180" t="str">
        <f aca="false">IF((D139="t"),F139," ")</f>
        <v> </v>
      </c>
      <c r="K139" s="180" t="str">
        <f aca="false">IF((D139="e"),F139," ")</f>
        <v> </v>
      </c>
      <c r="L139" s="180" t="str">
        <f aca="false">IF((D139="p"),F139," ")</f>
        <v> </v>
      </c>
      <c r="M139" s="180" t="str">
        <f aca="false">IF((D139="g"),F139," ")</f>
        <v> </v>
      </c>
      <c r="N139" s="180" t="str">
        <f aca="false">IF((D139="a"),F139," ")</f>
        <v> </v>
      </c>
      <c r="O139" s="180" t="str">
        <f aca="false">IF((D139="l"),F139," ")</f>
        <v> </v>
      </c>
      <c r="P139" s="180" t="str">
        <f aca="false">IF((D139="i"),F139," ")</f>
        <v> </v>
      </c>
      <c r="Q139" s="180" t="str">
        <f aca="false">IF((D139="b"),F139," ")</f>
        <v> </v>
      </c>
      <c r="R139" s="180" t="str">
        <f aca="false">IF((D139="o"),F139," ")</f>
        <v> </v>
      </c>
      <c r="S139" s="180" t="str">
        <f aca="false">IF((D139="f"),F139," ")</f>
        <v> </v>
      </c>
      <c r="U139" s="371"/>
    </row>
    <row r="140" customFormat="false" ht="12.75" hidden="false" customHeight="false" outlineLevel="0" collapsed="false">
      <c r="D140" s="371" t="str">
        <f aca="false">IF((F140&lt;&gt;0),"Enter Letter"," ")</f>
        <v> </v>
      </c>
      <c r="G140" s="180" t="str">
        <f aca="false">IF((D140="d"),F140," ")</f>
        <v> </v>
      </c>
      <c r="H140" s="180" t="str">
        <f aca="false">IF((D140="h"),F140," ")</f>
        <v> </v>
      </c>
      <c r="I140" s="180" t="str">
        <f aca="false">IF((D140="r"),F140," ")</f>
        <v> </v>
      </c>
      <c r="J140" s="180" t="str">
        <f aca="false">IF((D140="t"),F140," ")</f>
        <v> </v>
      </c>
      <c r="K140" s="180" t="str">
        <f aca="false">IF((D140="e"),F140," ")</f>
        <v> </v>
      </c>
      <c r="L140" s="180" t="str">
        <f aca="false">IF((D140="p"),F140," ")</f>
        <v> </v>
      </c>
      <c r="M140" s="180" t="str">
        <f aca="false">IF((D140="g"),F140," ")</f>
        <v> </v>
      </c>
      <c r="N140" s="180" t="str">
        <f aca="false">IF((D140="a"),F140," ")</f>
        <v> </v>
      </c>
      <c r="O140" s="180" t="str">
        <f aca="false">IF((D140="l"),F140," ")</f>
        <v> </v>
      </c>
      <c r="P140" s="180" t="str">
        <f aca="false">IF((D140="i"),F140," ")</f>
        <v> </v>
      </c>
      <c r="Q140" s="180" t="str">
        <f aca="false">IF((D140="b"),F140," ")</f>
        <v> </v>
      </c>
      <c r="R140" s="180" t="str">
        <f aca="false">IF((D140="o"),F140," ")</f>
        <v> </v>
      </c>
      <c r="S140" s="180" t="str">
        <f aca="false">IF((D140="f"),F140," ")</f>
        <v> </v>
      </c>
      <c r="U140" s="371"/>
    </row>
    <row r="141" customFormat="false" ht="12.75" hidden="false" customHeight="false" outlineLevel="0" collapsed="false">
      <c r="D141" s="371" t="str">
        <f aca="false">IF((F141&lt;&gt;0),"Enter Letter"," ")</f>
        <v> </v>
      </c>
      <c r="G141" s="180" t="str">
        <f aca="false">IF((D141="d"),F141," ")</f>
        <v> </v>
      </c>
      <c r="H141" s="180" t="str">
        <f aca="false">IF((D141="h"),F141," ")</f>
        <v> </v>
      </c>
      <c r="I141" s="180" t="str">
        <f aca="false">IF((D141="r"),F141," ")</f>
        <v> </v>
      </c>
      <c r="J141" s="180" t="str">
        <f aca="false">IF((D141="t"),F141," ")</f>
        <v> </v>
      </c>
      <c r="K141" s="180" t="str">
        <f aca="false">IF((D141="e"),F141," ")</f>
        <v> </v>
      </c>
      <c r="L141" s="180" t="str">
        <f aca="false">IF((D141="p"),F141," ")</f>
        <v> </v>
      </c>
      <c r="M141" s="180" t="str">
        <f aca="false">IF((D141="g"),F141," ")</f>
        <v> </v>
      </c>
      <c r="N141" s="180" t="str">
        <f aca="false">IF((D141="a"),F141," ")</f>
        <v> </v>
      </c>
      <c r="O141" s="180" t="str">
        <f aca="false">IF((D141="l"),F141," ")</f>
        <v> </v>
      </c>
      <c r="P141" s="180" t="str">
        <f aca="false">IF((D141="i"),F141," ")</f>
        <v> </v>
      </c>
      <c r="Q141" s="180" t="str">
        <f aca="false">IF((D141="b"),F141," ")</f>
        <v> </v>
      </c>
      <c r="R141" s="180" t="str">
        <f aca="false">IF((D141="o"),F141," ")</f>
        <v> </v>
      </c>
      <c r="S141" s="180" t="str">
        <f aca="false">IF((D141="f"),F141," ")</f>
        <v> </v>
      </c>
      <c r="U141" s="371"/>
    </row>
    <row r="142" customFormat="false" ht="12.75" hidden="false" customHeight="false" outlineLevel="0" collapsed="false">
      <c r="D142" s="371" t="str">
        <f aca="false">IF((F142&lt;&gt;0),"Enter Letter"," ")</f>
        <v> </v>
      </c>
      <c r="G142" s="180" t="str">
        <f aca="false">IF((D142="d"),F142," ")</f>
        <v> </v>
      </c>
      <c r="H142" s="180" t="str">
        <f aca="false">IF((D142="h"),F142," ")</f>
        <v> </v>
      </c>
      <c r="I142" s="180" t="str">
        <f aca="false">IF((D142="r"),F142," ")</f>
        <v> </v>
      </c>
      <c r="J142" s="180" t="str">
        <f aca="false">IF((D142="t"),F142," ")</f>
        <v> </v>
      </c>
      <c r="K142" s="180" t="str">
        <f aca="false">IF((D142="e"),F142," ")</f>
        <v> </v>
      </c>
      <c r="L142" s="180" t="str">
        <f aca="false">IF((D142="p"),F142," ")</f>
        <v> </v>
      </c>
      <c r="M142" s="180" t="str">
        <f aca="false">IF((D142="g"),F142," ")</f>
        <v> </v>
      </c>
      <c r="N142" s="180" t="str">
        <f aca="false">IF((D142="a"),F142," ")</f>
        <v> </v>
      </c>
      <c r="O142" s="180" t="str">
        <f aca="false">IF((D142="l"),F142," ")</f>
        <v> </v>
      </c>
      <c r="P142" s="180" t="str">
        <f aca="false">IF((D142="i"),F142," ")</f>
        <v> </v>
      </c>
      <c r="Q142" s="180" t="str">
        <f aca="false">IF((D142="b"),F142," ")</f>
        <v> </v>
      </c>
      <c r="R142" s="180" t="str">
        <f aca="false">IF((D142="o"),F142," ")</f>
        <v> </v>
      </c>
      <c r="S142" s="180" t="str">
        <f aca="false">IF((D142="f"),F142," ")</f>
        <v> </v>
      </c>
      <c r="U142" s="371"/>
    </row>
    <row r="143" customFormat="false" ht="12.75" hidden="false" customHeight="false" outlineLevel="0" collapsed="false">
      <c r="D143" s="371" t="str">
        <f aca="false">IF((F143&lt;&gt;0),"Enter Letter"," ")</f>
        <v> </v>
      </c>
      <c r="G143" s="180" t="str">
        <f aca="false">IF((D143="d"),F143," ")</f>
        <v> </v>
      </c>
      <c r="H143" s="180" t="str">
        <f aca="false">IF((D143="h"),F143," ")</f>
        <v> </v>
      </c>
      <c r="I143" s="180" t="str">
        <f aca="false">IF((D143="r"),F143," ")</f>
        <v> </v>
      </c>
      <c r="J143" s="180" t="str">
        <f aca="false">IF((D143="t"),F143," ")</f>
        <v> </v>
      </c>
      <c r="K143" s="180" t="str">
        <f aca="false">IF((D143="e"),F143," ")</f>
        <v> </v>
      </c>
      <c r="L143" s="180" t="str">
        <f aca="false">IF((D143="p"),F143," ")</f>
        <v> </v>
      </c>
      <c r="M143" s="180" t="str">
        <f aca="false">IF((D143="g"),F143," ")</f>
        <v> </v>
      </c>
      <c r="N143" s="180" t="str">
        <f aca="false">IF((D143="a"),F143," ")</f>
        <v> </v>
      </c>
      <c r="O143" s="180" t="str">
        <f aca="false">IF((D143="l"),F143," ")</f>
        <v> </v>
      </c>
      <c r="P143" s="180" t="str">
        <f aca="false">IF((D143="i"),F143," ")</f>
        <v> </v>
      </c>
      <c r="Q143" s="180" t="str">
        <f aca="false">IF((D143="b"),F143," ")</f>
        <v> </v>
      </c>
      <c r="R143" s="180" t="str">
        <f aca="false">IF((D143="o"),F143," ")</f>
        <v> </v>
      </c>
      <c r="S143" s="180" t="str">
        <f aca="false">IF((D143="f"),F143," ")</f>
        <v> </v>
      </c>
      <c r="U143" s="371"/>
    </row>
    <row r="144" customFormat="false" ht="12.75" hidden="false" customHeight="false" outlineLevel="0" collapsed="false">
      <c r="D144" s="371" t="str">
        <f aca="false">IF((F144&lt;&gt;0),"Enter Letter"," ")</f>
        <v> </v>
      </c>
      <c r="G144" s="180" t="str">
        <f aca="false">IF((D144="d"),F144," ")</f>
        <v> </v>
      </c>
      <c r="H144" s="180" t="str">
        <f aca="false">IF((D144="h"),F144," ")</f>
        <v> </v>
      </c>
      <c r="I144" s="180" t="str">
        <f aca="false">IF((D144="r"),F144," ")</f>
        <v> </v>
      </c>
      <c r="J144" s="180" t="str">
        <f aca="false">IF((D144="t"),F144," ")</f>
        <v> </v>
      </c>
      <c r="K144" s="180" t="str">
        <f aca="false">IF((D144="e"),F144," ")</f>
        <v> </v>
      </c>
      <c r="L144" s="180" t="str">
        <f aca="false">IF((D144="p"),F144," ")</f>
        <v> </v>
      </c>
      <c r="M144" s="180" t="str">
        <f aca="false">IF((D144="g"),F144," ")</f>
        <v> </v>
      </c>
      <c r="N144" s="180" t="str">
        <f aca="false">IF((D144="a"),F144," ")</f>
        <v> </v>
      </c>
      <c r="O144" s="180" t="str">
        <f aca="false">IF((D144="l"),F144," ")</f>
        <v> </v>
      </c>
      <c r="P144" s="180" t="str">
        <f aca="false">IF((D144="i"),F144," ")</f>
        <v> </v>
      </c>
      <c r="Q144" s="180" t="str">
        <f aca="false">IF((D144="b"),F144," ")</f>
        <v> </v>
      </c>
      <c r="R144" s="180" t="str">
        <f aca="false">IF((D144="o"),F144," ")</f>
        <v> </v>
      </c>
      <c r="S144" s="180" t="str">
        <f aca="false">IF((D144="f"),F144," ")</f>
        <v> </v>
      </c>
      <c r="U144" s="371"/>
    </row>
    <row r="145" customFormat="false" ht="12.75" hidden="false" customHeight="false" outlineLevel="0" collapsed="false">
      <c r="D145" s="371" t="str">
        <f aca="false">IF((F145&lt;&gt;0),"Enter Letter"," ")</f>
        <v> </v>
      </c>
      <c r="G145" s="180" t="str">
        <f aca="false">IF((D145="d"),F145," ")</f>
        <v> </v>
      </c>
      <c r="H145" s="180" t="str">
        <f aca="false">IF((D145="h"),F145," ")</f>
        <v> </v>
      </c>
      <c r="I145" s="180" t="str">
        <f aca="false">IF((D145="r"),F145," ")</f>
        <v> </v>
      </c>
      <c r="J145" s="180" t="str">
        <f aca="false">IF((D145="t"),F145," ")</f>
        <v> </v>
      </c>
      <c r="K145" s="180" t="str">
        <f aca="false">IF((D145="e"),F145," ")</f>
        <v> </v>
      </c>
      <c r="L145" s="180" t="str">
        <f aca="false">IF((D145="p"),F145," ")</f>
        <v> </v>
      </c>
      <c r="M145" s="180" t="str">
        <f aca="false">IF((D145="g"),F145," ")</f>
        <v> </v>
      </c>
      <c r="N145" s="180" t="str">
        <f aca="false">IF((D145="a"),F145," ")</f>
        <v> </v>
      </c>
      <c r="O145" s="180" t="str">
        <f aca="false">IF((D145="l"),F145," ")</f>
        <v> </v>
      </c>
      <c r="P145" s="180" t="str">
        <f aca="false">IF((D145="i"),F145," ")</f>
        <v> </v>
      </c>
      <c r="Q145" s="180" t="str">
        <f aca="false">IF((D145="b"),F145," ")</f>
        <v> </v>
      </c>
      <c r="R145" s="180" t="str">
        <f aca="false">IF((D145="o"),F145," ")</f>
        <v> </v>
      </c>
      <c r="S145" s="180" t="str">
        <f aca="false">IF((D145="f"),F145," ")</f>
        <v> </v>
      </c>
      <c r="U145" s="371"/>
    </row>
    <row r="146" customFormat="false" ht="12.75" hidden="false" customHeight="false" outlineLevel="0" collapsed="false">
      <c r="D146" s="371" t="str">
        <f aca="false">IF((F146&lt;&gt;0),"Enter Letter"," ")</f>
        <v> </v>
      </c>
      <c r="G146" s="180" t="str">
        <f aca="false">IF((D146="d"),F146," ")</f>
        <v> </v>
      </c>
      <c r="H146" s="180" t="str">
        <f aca="false">IF((D146="h"),F146," ")</f>
        <v> </v>
      </c>
      <c r="I146" s="180" t="str">
        <f aca="false">IF((D146="r"),F146," ")</f>
        <v> </v>
      </c>
      <c r="J146" s="180" t="str">
        <f aca="false">IF((D146="t"),F146," ")</f>
        <v> </v>
      </c>
      <c r="K146" s="180" t="str">
        <f aca="false">IF((D146="e"),F146," ")</f>
        <v> </v>
      </c>
      <c r="L146" s="180" t="str">
        <f aca="false">IF((D146="p"),F146," ")</f>
        <v> </v>
      </c>
      <c r="M146" s="180" t="str">
        <f aca="false">IF((D146="g"),F146," ")</f>
        <v> </v>
      </c>
      <c r="N146" s="180" t="str">
        <f aca="false">IF((D146="a"),F146," ")</f>
        <v> </v>
      </c>
      <c r="O146" s="180" t="str">
        <f aca="false">IF((D146="l"),F146," ")</f>
        <v> </v>
      </c>
      <c r="P146" s="180" t="str">
        <f aca="false">IF((D146="i"),F146," ")</f>
        <v> </v>
      </c>
      <c r="Q146" s="180" t="str">
        <f aca="false">IF((D146="b"),F146," ")</f>
        <v> </v>
      </c>
      <c r="R146" s="180" t="str">
        <f aca="false">IF((D146="o"),F146," ")</f>
        <v> </v>
      </c>
      <c r="S146" s="180" t="str">
        <f aca="false">IF((D146="f"),F146," ")</f>
        <v> </v>
      </c>
      <c r="U146" s="371"/>
    </row>
    <row r="147" customFormat="false" ht="12.75" hidden="false" customHeight="false" outlineLevel="0" collapsed="false">
      <c r="D147" s="371" t="str">
        <f aca="false">IF((F147&lt;&gt;0),"Enter Letter"," ")</f>
        <v> </v>
      </c>
      <c r="G147" s="180" t="str">
        <f aca="false">IF((D147="d"),F147," ")</f>
        <v> </v>
      </c>
      <c r="H147" s="180" t="str">
        <f aca="false">IF((D147="h"),F147," ")</f>
        <v> </v>
      </c>
      <c r="I147" s="180" t="str">
        <f aca="false">IF((D147="r"),F147," ")</f>
        <v> </v>
      </c>
      <c r="J147" s="180" t="str">
        <f aca="false">IF((D147="t"),F147," ")</f>
        <v> </v>
      </c>
      <c r="K147" s="180" t="str">
        <f aca="false">IF((D147="e"),F147," ")</f>
        <v> </v>
      </c>
      <c r="L147" s="180" t="str">
        <f aca="false">IF((D147="p"),F147," ")</f>
        <v> </v>
      </c>
      <c r="M147" s="180" t="str">
        <f aca="false">IF((D147="g"),F147," ")</f>
        <v> </v>
      </c>
      <c r="N147" s="180" t="str">
        <f aca="false">IF((D147="a"),F147," ")</f>
        <v> </v>
      </c>
      <c r="O147" s="180" t="str">
        <f aca="false">IF((D147="l"),F147," ")</f>
        <v> </v>
      </c>
      <c r="P147" s="180" t="str">
        <f aca="false">IF((D147="i"),F147," ")</f>
        <v> </v>
      </c>
      <c r="Q147" s="180" t="str">
        <f aca="false">IF((D147="b"),F147," ")</f>
        <v> </v>
      </c>
      <c r="R147" s="180" t="str">
        <f aca="false">IF((D147="o"),F147," ")</f>
        <v> </v>
      </c>
      <c r="S147" s="180" t="str">
        <f aca="false">IF((D147="f"),F147," ")</f>
        <v> </v>
      </c>
      <c r="U147" s="371"/>
    </row>
    <row r="148" customFormat="false" ht="12.75" hidden="false" customHeight="false" outlineLevel="0" collapsed="false">
      <c r="D148" s="371" t="str">
        <f aca="false">IF((F148&lt;&gt;0),"Enter Letter"," ")</f>
        <v> </v>
      </c>
      <c r="G148" s="180" t="str">
        <f aca="false">IF((D148="d"),F148," ")</f>
        <v> </v>
      </c>
      <c r="H148" s="180" t="str">
        <f aca="false">IF((D148="h"),F148," ")</f>
        <v> </v>
      </c>
      <c r="I148" s="180" t="str">
        <f aca="false">IF((D148="r"),F148," ")</f>
        <v> </v>
      </c>
      <c r="J148" s="180" t="str">
        <f aca="false">IF((D148="t"),F148," ")</f>
        <v> </v>
      </c>
      <c r="K148" s="180" t="str">
        <f aca="false">IF((D148="e"),F148," ")</f>
        <v> </v>
      </c>
      <c r="L148" s="180" t="str">
        <f aca="false">IF((D148="p"),F148," ")</f>
        <v> </v>
      </c>
      <c r="M148" s="180" t="str">
        <f aca="false">IF((D148="g"),F148," ")</f>
        <v> </v>
      </c>
      <c r="N148" s="180" t="str">
        <f aca="false">IF((D148="a"),F148," ")</f>
        <v> </v>
      </c>
      <c r="O148" s="180" t="str">
        <f aca="false">IF((D148="l"),F148," ")</f>
        <v> </v>
      </c>
      <c r="P148" s="180" t="str">
        <f aca="false">IF((D148="i"),F148," ")</f>
        <v> </v>
      </c>
      <c r="Q148" s="180" t="str">
        <f aca="false">IF((D148="b"),F148," ")</f>
        <v> </v>
      </c>
      <c r="R148" s="180" t="str">
        <f aca="false">IF((D148="o"),F148," ")</f>
        <v> </v>
      </c>
      <c r="S148" s="180" t="str">
        <f aca="false">IF((D148="f"),F148," ")</f>
        <v> </v>
      </c>
      <c r="U148" s="371"/>
    </row>
    <row r="149" customFormat="false" ht="12.75" hidden="false" customHeight="false" outlineLevel="0" collapsed="false">
      <c r="D149" s="371" t="str">
        <f aca="false">IF((F149&lt;&gt;0),"Enter Letter"," ")</f>
        <v> </v>
      </c>
      <c r="G149" s="180" t="str">
        <f aca="false">IF((D149="d"),F149," ")</f>
        <v> </v>
      </c>
      <c r="H149" s="180" t="str">
        <f aca="false">IF((D149="h"),F149," ")</f>
        <v> </v>
      </c>
      <c r="I149" s="180" t="str">
        <f aca="false">IF((D149="r"),F149," ")</f>
        <v> </v>
      </c>
      <c r="J149" s="180" t="str">
        <f aca="false">IF((D149="t"),F149," ")</f>
        <v> </v>
      </c>
      <c r="K149" s="180" t="str">
        <f aca="false">IF((D149="e"),F149," ")</f>
        <v> </v>
      </c>
      <c r="L149" s="180" t="str">
        <f aca="false">IF((D149="p"),F149," ")</f>
        <v> </v>
      </c>
      <c r="M149" s="180" t="str">
        <f aca="false">IF((D149="g"),F149," ")</f>
        <v> </v>
      </c>
      <c r="N149" s="180" t="str">
        <f aca="false">IF((D149="a"),F149," ")</f>
        <v> </v>
      </c>
      <c r="O149" s="180" t="str">
        <f aca="false">IF((D149="l"),F149," ")</f>
        <v> </v>
      </c>
      <c r="P149" s="180" t="str">
        <f aca="false">IF((D149="i"),F149," ")</f>
        <v> </v>
      </c>
      <c r="Q149" s="180" t="str">
        <f aca="false">IF((D149="b"),F149," ")</f>
        <v> </v>
      </c>
      <c r="R149" s="180" t="str">
        <f aca="false">IF((D149="o"),F149," ")</f>
        <v> </v>
      </c>
      <c r="S149" s="180" t="str">
        <f aca="false">IF((D149="f"),F149," ")</f>
        <v> </v>
      </c>
      <c r="U149" s="371"/>
    </row>
    <row r="150" customFormat="false" ht="12.75" hidden="false" customHeight="false" outlineLevel="0" collapsed="false">
      <c r="D150" s="371" t="str">
        <f aca="false">IF((F150&lt;&gt;0),"Enter Letter"," ")</f>
        <v> </v>
      </c>
      <c r="G150" s="180" t="str">
        <f aca="false">IF((D150="d"),F150," ")</f>
        <v> </v>
      </c>
      <c r="H150" s="180" t="str">
        <f aca="false">IF((D150="h"),F150," ")</f>
        <v> </v>
      </c>
      <c r="I150" s="180" t="str">
        <f aca="false">IF((D150="r"),F150," ")</f>
        <v> </v>
      </c>
      <c r="J150" s="180" t="str">
        <f aca="false">IF((D150="t"),F150," ")</f>
        <v> </v>
      </c>
      <c r="K150" s="180" t="str">
        <f aca="false">IF((D150="e"),F150," ")</f>
        <v> </v>
      </c>
      <c r="L150" s="180" t="str">
        <f aca="false">IF((D150="p"),F150," ")</f>
        <v> </v>
      </c>
      <c r="M150" s="180" t="str">
        <f aca="false">IF((D150="g"),F150," ")</f>
        <v> </v>
      </c>
      <c r="N150" s="180" t="str">
        <f aca="false">IF((D150="a"),F150," ")</f>
        <v> </v>
      </c>
      <c r="O150" s="180" t="str">
        <f aca="false">IF((D150="l"),F150," ")</f>
        <v> </v>
      </c>
      <c r="P150" s="180" t="str">
        <f aca="false">IF((D150="i"),F150," ")</f>
        <v> </v>
      </c>
      <c r="Q150" s="180" t="str">
        <f aca="false">IF((D150="b"),F150," ")</f>
        <v> </v>
      </c>
      <c r="R150" s="180" t="str">
        <f aca="false">IF((D150="o"),F150," ")</f>
        <v> </v>
      </c>
      <c r="S150" s="180" t="str">
        <f aca="false">IF((D150="f"),F150," ")</f>
        <v> </v>
      </c>
      <c r="U150" s="371"/>
    </row>
    <row r="151" customFormat="false" ht="12.75" hidden="false" customHeight="false" outlineLevel="0" collapsed="false">
      <c r="D151" s="371" t="str">
        <f aca="false">IF((F151&lt;&gt;0),"Enter Letter"," ")</f>
        <v> </v>
      </c>
      <c r="G151" s="180" t="str">
        <f aca="false">IF((D151="d"),F151," ")</f>
        <v> </v>
      </c>
      <c r="H151" s="180" t="str">
        <f aca="false">IF((D151="h"),F151," ")</f>
        <v> </v>
      </c>
      <c r="I151" s="180" t="str">
        <f aca="false">IF((D151="r"),F151," ")</f>
        <v> </v>
      </c>
      <c r="J151" s="180" t="str">
        <f aca="false">IF((D151="t"),F151," ")</f>
        <v> </v>
      </c>
      <c r="K151" s="180" t="str">
        <f aca="false">IF((D151="e"),F151," ")</f>
        <v> </v>
      </c>
      <c r="L151" s="180" t="str">
        <f aca="false">IF((D151="p"),F151," ")</f>
        <v> </v>
      </c>
      <c r="M151" s="180" t="str">
        <f aca="false">IF((D151="g"),F151," ")</f>
        <v> </v>
      </c>
      <c r="N151" s="180" t="str">
        <f aca="false">IF((D151="a"),F151," ")</f>
        <v> </v>
      </c>
      <c r="O151" s="180" t="str">
        <f aca="false">IF((D151="l"),F151," ")</f>
        <v> </v>
      </c>
      <c r="P151" s="180" t="str">
        <f aca="false">IF((D151="i"),F151," ")</f>
        <v> </v>
      </c>
      <c r="Q151" s="180" t="str">
        <f aca="false">IF((D151="b"),F151," ")</f>
        <v> </v>
      </c>
      <c r="R151" s="180" t="str">
        <f aca="false">IF((D151="o"),F151," ")</f>
        <v> </v>
      </c>
      <c r="S151" s="180" t="str">
        <f aca="false">IF((D151="f"),F151," ")</f>
        <v> </v>
      </c>
      <c r="U151" s="371"/>
    </row>
    <row r="152" customFormat="false" ht="12.75" hidden="false" customHeight="false" outlineLevel="0" collapsed="false">
      <c r="D152" s="371" t="str">
        <f aca="false">IF((F152&lt;&gt;0),"Enter Letter"," ")</f>
        <v> </v>
      </c>
      <c r="G152" s="180" t="str">
        <f aca="false">IF((D152="d"),F152," ")</f>
        <v> </v>
      </c>
      <c r="H152" s="180" t="str">
        <f aca="false">IF((D152="h"),F152," ")</f>
        <v> </v>
      </c>
      <c r="I152" s="180" t="str">
        <f aca="false">IF((D152="r"),F152," ")</f>
        <v> </v>
      </c>
      <c r="J152" s="180" t="str">
        <f aca="false">IF((D152="t"),F152," ")</f>
        <v> </v>
      </c>
      <c r="K152" s="180" t="str">
        <f aca="false">IF((D152="e"),F152," ")</f>
        <v> </v>
      </c>
      <c r="L152" s="180" t="str">
        <f aca="false">IF((D152="p"),F152," ")</f>
        <v> </v>
      </c>
      <c r="M152" s="180" t="str">
        <f aca="false">IF((D152="g"),F152," ")</f>
        <v> </v>
      </c>
      <c r="N152" s="180" t="str">
        <f aca="false">IF((D152="a"),F152," ")</f>
        <v> </v>
      </c>
      <c r="O152" s="180" t="str">
        <f aca="false">IF((D152="l"),F152," ")</f>
        <v> </v>
      </c>
      <c r="P152" s="180" t="str">
        <f aca="false">IF((D152="i"),F152," ")</f>
        <v> </v>
      </c>
      <c r="Q152" s="180" t="str">
        <f aca="false">IF((D152="b"),F152," ")</f>
        <v> </v>
      </c>
      <c r="R152" s="180" t="str">
        <f aca="false">IF((D152="o"),F152," ")</f>
        <v> </v>
      </c>
      <c r="S152" s="180" t="str">
        <f aca="false">IF((D152="f"),F152," ")</f>
        <v> </v>
      </c>
      <c r="U152" s="371"/>
    </row>
    <row r="153" customFormat="false" ht="12.75" hidden="false" customHeight="false" outlineLevel="0" collapsed="false">
      <c r="D153" s="371" t="str">
        <f aca="false">IF((F153&lt;&gt;0),"Enter Letter"," ")</f>
        <v> </v>
      </c>
      <c r="G153" s="180" t="str">
        <f aca="false">IF((D153="d"),F153," ")</f>
        <v> </v>
      </c>
      <c r="H153" s="180" t="str">
        <f aca="false">IF((D153="h"),F153," ")</f>
        <v> </v>
      </c>
      <c r="I153" s="180" t="str">
        <f aca="false">IF((D153="r"),F153," ")</f>
        <v> </v>
      </c>
      <c r="J153" s="180" t="str">
        <f aca="false">IF((D153="t"),F153," ")</f>
        <v> </v>
      </c>
      <c r="K153" s="180" t="str">
        <f aca="false">IF((D153="e"),F153," ")</f>
        <v> </v>
      </c>
      <c r="L153" s="180" t="str">
        <f aca="false">IF((D153="p"),F153," ")</f>
        <v> </v>
      </c>
      <c r="M153" s="180" t="str">
        <f aca="false">IF((D153="g"),F153," ")</f>
        <v> </v>
      </c>
      <c r="N153" s="180" t="str">
        <f aca="false">IF((D153="a"),F153," ")</f>
        <v> </v>
      </c>
      <c r="O153" s="180" t="str">
        <f aca="false">IF((D153="l"),F153," ")</f>
        <v> </v>
      </c>
      <c r="P153" s="180" t="str">
        <f aca="false">IF((D153="i"),F153," ")</f>
        <v> </v>
      </c>
      <c r="Q153" s="180" t="str">
        <f aca="false">IF((D153="b"),F153," ")</f>
        <v> </v>
      </c>
      <c r="R153" s="180" t="str">
        <f aca="false">IF((D153="o"),F153," ")</f>
        <v> </v>
      </c>
      <c r="S153" s="180" t="str">
        <f aca="false">IF((D153="f"),F153," ")</f>
        <v> </v>
      </c>
      <c r="U153" s="371"/>
    </row>
    <row r="154" customFormat="false" ht="12.75" hidden="false" customHeight="false" outlineLevel="0" collapsed="false">
      <c r="D154" s="371" t="str">
        <f aca="false">IF((F154&lt;&gt;0),"Enter Letter"," ")</f>
        <v> </v>
      </c>
      <c r="G154" s="180" t="str">
        <f aca="false">IF((D154="d"),F154," ")</f>
        <v> </v>
      </c>
      <c r="H154" s="180" t="str">
        <f aca="false">IF((D154="h"),F154," ")</f>
        <v> </v>
      </c>
      <c r="I154" s="180" t="str">
        <f aca="false">IF((D154="r"),F154," ")</f>
        <v> </v>
      </c>
      <c r="J154" s="180" t="str">
        <f aca="false">IF((D154="t"),F154," ")</f>
        <v> </v>
      </c>
      <c r="K154" s="180" t="str">
        <f aca="false">IF((D154="e"),F154," ")</f>
        <v> </v>
      </c>
      <c r="L154" s="180" t="str">
        <f aca="false">IF((D154="p"),F154," ")</f>
        <v> </v>
      </c>
      <c r="M154" s="180" t="str">
        <f aca="false">IF((D154="g"),F154," ")</f>
        <v> </v>
      </c>
      <c r="N154" s="180" t="str">
        <f aca="false">IF((D154="a"),F154," ")</f>
        <v> </v>
      </c>
      <c r="O154" s="180" t="str">
        <f aca="false">IF((D154="l"),F154," ")</f>
        <v> </v>
      </c>
      <c r="P154" s="180" t="str">
        <f aca="false">IF((D154="i"),F154," ")</f>
        <v> </v>
      </c>
      <c r="Q154" s="180" t="str">
        <f aca="false">IF((D154="b"),F154," ")</f>
        <v> </v>
      </c>
      <c r="R154" s="180" t="str">
        <f aca="false">IF((D154="o"),F154," ")</f>
        <v> </v>
      </c>
      <c r="S154" s="180" t="str">
        <f aca="false">IF((D154="f"),F154," ")</f>
        <v> </v>
      </c>
      <c r="U154" s="371"/>
    </row>
    <row r="155" customFormat="false" ht="12.75" hidden="false" customHeight="false" outlineLevel="0" collapsed="false">
      <c r="D155" s="371" t="str">
        <f aca="false">IF((F155&lt;&gt;0),"Enter Letter"," ")</f>
        <v> </v>
      </c>
      <c r="G155" s="180" t="str">
        <f aca="false">IF((D155="d"),F155," ")</f>
        <v> </v>
      </c>
      <c r="H155" s="180" t="str">
        <f aca="false">IF((D155="h"),F155," ")</f>
        <v> </v>
      </c>
      <c r="I155" s="180" t="str">
        <f aca="false">IF((D155="r"),F155," ")</f>
        <v> </v>
      </c>
      <c r="J155" s="180" t="str">
        <f aca="false">IF((D155="t"),F155," ")</f>
        <v> </v>
      </c>
      <c r="K155" s="180" t="str">
        <f aca="false">IF((D155="e"),F155," ")</f>
        <v> </v>
      </c>
      <c r="L155" s="180" t="str">
        <f aca="false">IF((D155="p"),F155," ")</f>
        <v> </v>
      </c>
      <c r="M155" s="180" t="str">
        <f aca="false">IF((D155="g"),F155," ")</f>
        <v> </v>
      </c>
      <c r="N155" s="180" t="str">
        <f aca="false">IF((D155="a"),F155," ")</f>
        <v> </v>
      </c>
      <c r="O155" s="180" t="str">
        <f aca="false">IF((D155="l"),F155," ")</f>
        <v> </v>
      </c>
      <c r="P155" s="180" t="str">
        <f aca="false">IF((D155="i"),F155," ")</f>
        <v> </v>
      </c>
      <c r="Q155" s="180" t="str">
        <f aca="false">IF((D155="b"),F155," ")</f>
        <v> </v>
      </c>
      <c r="R155" s="180" t="str">
        <f aca="false">IF((D155="o"),F155," ")</f>
        <v> </v>
      </c>
      <c r="S155" s="180" t="str">
        <f aca="false">IF((D155="f"),F155," ")</f>
        <v> </v>
      </c>
      <c r="U155" s="371"/>
    </row>
    <row r="156" customFormat="false" ht="12.75" hidden="false" customHeight="false" outlineLevel="0" collapsed="false">
      <c r="D156" s="371" t="str">
        <f aca="false">IF((F156&lt;&gt;0),"Enter Letter"," ")</f>
        <v> </v>
      </c>
      <c r="G156" s="180" t="str">
        <f aca="false">IF((D156="d"),F156," ")</f>
        <v> </v>
      </c>
      <c r="H156" s="180" t="str">
        <f aca="false">IF((D156="h"),F156," ")</f>
        <v> </v>
      </c>
      <c r="I156" s="180" t="str">
        <f aca="false">IF((D156="r"),F156," ")</f>
        <v> </v>
      </c>
      <c r="J156" s="180" t="str">
        <f aca="false">IF((D156="t"),F156," ")</f>
        <v> </v>
      </c>
      <c r="K156" s="180" t="str">
        <f aca="false">IF((D156="e"),F156," ")</f>
        <v> </v>
      </c>
      <c r="L156" s="180" t="str">
        <f aca="false">IF((D156="p"),F156," ")</f>
        <v> </v>
      </c>
      <c r="M156" s="180" t="str">
        <f aca="false">IF((D156="g"),F156," ")</f>
        <v> </v>
      </c>
      <c r="N156" s="180" t="str">
        <f aca="false">IF((D156="a"),F156," ")</f>
        <v> </v>
      </c>
      <c r="O156" s="180" t="str">
        <f aca="false">IF((D156="l"),F156," ")</f>
        <v> </v>
      </c>
      <c r="P156" s="180" t="str">
        <f aca="false">IF((D156="i"),F156," ")</f>
        <v> </v>
      </c>
      <c r="Q156" s="180" t="str">
        <f aca="false">IF((D156="b"),F156," ")</f>
        <v> </v>
      </c>
      <c r="R156" s="180" t="str">
        <f aca="false">IF((D156="o"),F156," ")</f>
        <v> </v>
      </c>
      <c r="S156" s="180" t="str">
        <f aca="false">IF((D156="f"),F156," ")</f>
        <v> </v>
      </c>
      <c r="U156" s="371"/>
    </row>
    <row r="157" customFormat="false" ht="12.75" hidden="false" customHeight="false" outlineLevel="0" collapsed="false">
      <c r="D157" s="371" t="str">
        <f aca="false">IF((F157&lt;&gt;0),"Enter Letter"," ")</f>
        <v> </v>
      </c>
      <c r="G157" s="180" t="str">
        <f aca="false">IF((D157="d"),F157," ")</f>
        <v> </v>
      </c>
      <c r="H157" s="180" t="str">
        <f aca="false">IF((D157="h"),F157," ")</f>
        <v> </v>
      </c>
      <c r="I157" s="180" t="str">
        <f aca="false">IF((D157="r"),F157," ")</f>
        <v> </v>
      </c>
      <c r="J157" s="180" t="str">
        <f aca="false">IF((D157="t"),F157," ")</f>
        <v> </v>
      </c>
      <c r="K157" s="180" t="str">
        <f aca="false">IF((D157="e"),F157," ")</f>
        <v> </v>
      </c>
      <c r="L157" s="180" t="str">
        <f aca="false">IF((D157="p"),F157," ")</f>
        <v> </v>
      </c>
      <c r="M157" s="180" t="str">
        <f aca="false">IF((D157="g"),F157," ")</f>
        <v> </v>
      </c>
      <c r="N157" s="180" t="str">
        <f aca="false">IF((D157="a"),F157," ")</f>
        <v> </v>
      </c>
      <c r="O157" s="180" t="str">
        <f aca="false">IF((D157="l"),F157," ")</f>
        <v> </v>
      </c>
      <c r="P157" s="180" t="str">
        <f aca="false">IF((D157="i"),F157," ")</f>
        <v> </v>
      </c>
      <c r="Q157" s="180" t="str">
        <f aca="false">IF((D157="b"),F157," ")</f>
        <v> </v>
      </c>
      <c r="R157" s="180" t="str">
        <f aca="false">IF((D157="o"),F157," ")</f>
        <v> </v>
      </c>
      <c r="S157" s="180" t="str">
        <f aca="false">IF((D157="f"),F157," ")</f>
        <v> </v>
      </c>
      <c r="U157" s="371"/>
    </row>
    <row r="158" customFormat="false" ht="12.75" hidden="false" customHeight="false" outlineLevel="0" collapsed="false">
      <c r="D158" s="371" t="str">
        <f aca="false">IF((F158&lt;&gt;0),"Enter Letter"," ")</f>
        <v> </v>
      </c>
      <c r="G158" s="180" t="str">
        <f aca="false">IF((D158="d"),F158," ")</f>
        <v> </v>
      </c>
      <c r="H158" s="180" t="str">
        <f aca="false">IF((D158="h"),F158," ")</f>
        <v> </v>
      </c>
      <c r="I158" s="180" t="str">
        <f aca="false">IF((D158="r"),F158," ")</f>
        <v> </v>
      </c>
      <c r="J158" s="180" t="str">
        <f aca="false">IF((D158="t"),F158," ")</f>
        <v> </v>
      </c>
      <c r="K158" s="180" t="str">
        <f aca="false">IF((D158="e"),F158," ")</f>
        <v> </v>
      </c>
      <c r="L158" s="180" t="str">
        <f aca="false">IF((D158="p"),F158," ")</f>
        <v> </v>
      </c>
      <c r="M158" s="180" t="str">
        <f aca="false">IF((D158="g"),F158," ")</f>
        <v> </v>
      </c>
      <c r="N158" s="180" t="str">
        <f aca="false">IF((D158="a"),F158," ")</f>
        <v> </v>
      </c>
      <c r="O158" s="180" t="str">
        <f aca="false">IF((D158="l"),F158," ")</f>
        <v> </v>
      </c>
      <c r="P158" s="180" t="str">
        <f aca="false">IF((D158="i"),F158," ")</f>
        <v> </v>
      </c>
      <c r="Q158" s="180" t="str">
        <f aca="false">IF((D158="b"),F158," ")</f>
        <v> </v>
      </c>
      <c r="R158" s="180" t="str">
        <f aca="false">IF((D158="o"),F158," ")</f>
        <v> </v>
      </c>
      <c r="S158" s="180" t="str">
        <f aca="false">IF((D158="f"),F158," ")</f>
        <v> </v>
      </c>
      <c r="U158" s="371"/>
    </row>
    <row r="159" customFormat="false" ht="12.75" hidden="false" customHeight="false" outlineLevel="0" collapsed="false">
      <c r="D159" s="371" t="str">
        <f aca="false">IF((F159&lt;&gt;0),"Enter Letter"," ")</f>
        <v> </v>
      </c>
      <c r="G159" s="180" t="str">
        <f aca="false">IF((D159="d"),F159," ")</f>
        <v> </v>
      </c>
      <c r="H159" s="180" t="str">
        <f aca="false">IF((D159="h"),F159," ")</f>
        <v> </v>
      </c>
      <c r="I159" s="180" t="str">
        <f aca="false">IF((D159="r"),F159," ")</f>
        <v> </v>
      </c>
      <c r="J159" s="180" t="str">
        <f aca="false">IF((D159="t"),F159," ")</f>
        <v> </v>
      </c>
      <c r="K159" s="180" t="str">
        <f aca="false">IF((D159="e"),F159," ")</f>
        <v> </v>
      </c>
      <c r="L159" s="180" t="str">
        <f aca="false">IF((D159="p"),F159," ")</f>
        <v> </v>
      </c>
      <c r="M159" s="180" t="str">
        <f aca="false">IF((D159="g"),F159," ")</f>
        <v> </v>
      </c>
      <c r="N159" s="180" t="str">
        <f aca="false">IF((D159="a"),F159," ")</f>
        <v> </v>
      </c>
      <c r="O159" s="180" t="str">
        <f aca="false">IF((D159="l"),F159," ")</f>
        <v> </v>
      </c>
      <c r="P159" s="180" t="str">
        <f aca="false">IF((D159="i"),F159," ")</f>
        <v> </v>
      </c>
      <c r="Q159" s="180" t="str">
        <f aca="false">IF((D159="b"),F159," ")</f>
        <v> </v>
      </c>
      <c r="R159" s="180" t="str">
        <f aca="false">IF((D159="o"),F159," ")</f>
        <v> </v>
      </c>
      <c r="S159" s="180" t="str">
        <f aca="false">IF((D159="f"),F159," ")</f>
        <v> </v>
      </c>
      <c r="U159" s="371"/>
    </row>
    <row r="160" customFormat="false" ht="12.75" hidden="false" customHeight="false" outlineLevel="0" collapsed="false">
      <c r="D160" s="371" t="str">
        <f aca="false">IF((F160&lt;&gt;0),"Enter Letter"," ")</f>
        <v> </v>
      </c>
      <c r="G160" s="180" t="str">
        <f aca="false">IF((D160="d"),F160," ")</f>
        <v> </v>
      </c>
      <c r="H160" s="180" t="str">
        <f aca="false">IF((D160="h"),F160," ")</f>
        <v> </v>
      </c>
      <c r="I160" s="180" t="str">
        <f aca="false">IF((D160="r"),F160," ")</f>
        <v> </v>
      </c>
      <c r="J160" s="180" t="str">
        <f aca="false">IF((D160="t"),F160," ")</f>
        <v> </v>
      </c>
      <c r="K160" s="180" t="str">
        <f aca="false">IF((D160="e"),F160," ")</f>
        <v> </v>
      </c>
      <c r="L160" s="180" t="str">
        <f aca="false">IF((D160="p"),F160," ")</f>
        <v> </v>
      </c>
      <c r="M160" s="180" t="str">
        <f aca="false">IF((D160="g"),F160," ")</f>
        <v> </v>
      </c>
      <c r="N160" s="180" t="str">
        <f aca="false">IF((D160="a"),F160," ")</f>
        <v> </v>
      </c>
      <c r="O160" s="180" t="str">
        <f aca="false">IF((D160="l"),F160," ")</f>
        <v> </v>
      </c>
      <c r="P160" s="180" t="str">
        <f aca="false">IF((D160="i"),F160," ")</f>
        <v> </v>
      </c>
      <c r="Q160" s="180" t="str">
        <f aca="false">IF((D160="b"),F160," ")</f>
        <v> </v>
      </c>
      <c r="R160" s="180" t="str">
        <f aca="false">IF((D160="o"),F160," ")</f>
        <v> </v>
      </c>
      <c r="S160" s="180" t="str">
        <f aca="false">IF((D160="f"),F160," ")</f>
        <v> </v>
      </c>
      <c r="U160" s="371"/>
    </row>
    <row r="161" customFormat="false" ht="12.75" hidden="false" customHeight="false" outlineLevel="0" collapsed="false">
      <c r="D161" s="371" t="str">
        <f aca="false">IF((F161&lt;&gt;0),"Enter Letter"," ")</f>
        <v> </v>
      </c>
      <c r="G161" s="180" t="str">
        <f aca="false">IF((D161="d"),F161," ")</f>
        <v> </v>
      </c>
      <c r="H161" s="180" t="str">
        <f aca="false">IF((D161="h"),F161," ")</f>
        <v> </v>
      </c>
      <c r="I161" s="180" t="str">
        <f aca="false">IF((D161="r"),F161," ")</f>
        <v> </v>
      </c>
      <c r="J161" s="180" t="str">
        <f aca="false">IF((D161="t"),F161," ")</f>
        <v> </v>
      </c>
      <c r="K161" s="180" t="str">
        <f aca="false">IF((D161="e"),F161," ")</f>
        <v> </v>
      </c>
      <c r="L161" s="180" t="str">
        <f aca="false">IF((D161="p"),F161," ")</f>
        <v> </v>
      </c>
      <c r="M161" s="180" t="str">
        <f aca="false">IF((D161="g"),F161," ")</f>
        <v> </v>
      </c>
      <c r="N161" s="180" t="str">
        <f aca="false">IF((D161="a"),F161," ")</f>
        <v> </v>
      </c>
      <c r="O161" s="180" t="str">
        <f aca="false">IF((D161="l"),F161," ")</f>
        <v> </v>
      </c>
      <c r="P161" s="180" t="str">
        <f aca="false">IF((D161="i"),F161," ")</f>
        <v> </v>
      </c>
      <c r="Q161" s="180" t="str">
        <f aca="false">IF((D161="b"),F161," ")</f>
        <v> </v>
      </c>
      <c r="R161" s="180" t="str">
        <f aca="false">IF((D161="o"),F161," ")</f>
        <v> </v>
      </c>
      <c r="S161" s="180" t="str">
        <f aca="false">IF((D161="f"),F161," ")</f>
        <v> </v>
      </c>
      <c r="U161" s="371"/>
    </row>
    <row r="162" customFormat="false" ht="12.75" hidden="false" customHeight="false" outlineLevel="0" collapsed="false">
      <c r="D162" s="371" t="str">
        <f aca="false">IF((F162&lt;&gt;0),"Enter Letter"," ")</f>
        <v> </v>
      </c>
      <c r="G162" s="180" t="str">
        <f aca="false">IF((D162="d"),F162," ")</f>
        <v> </v>
      </c>
      <c r="H162" s="180" t="str">
        <f aca="false">IF((D162="h"),F162," ")</f>
        <v> </v>
      </c>
      <c r="I162" s="180" t="str">
        <f aca="false">IF((D162="r"),F162," ")</f>
        <v> </v>
      </c>
      <c r="J162" s="180" t="str">
        <f aca="false">IF((D162="t"),F162," ")</f>
        <v> </v>
      </c>
      <c r="K162" s="180" t="str">
        <f aca="false">IF((D162="e"),F162," ")</f>
        <v> </v>
      </c>
      <c r="L162" s="180" t="str">
        <f aca="false">IF((D162="p"),F162," ")</f>
        <v> </v>
      </c>
      <c r="M162" s="180" t="str">
        <f aca="false">IF((D162="g"),F162," ")</f>
        <v> </v>
      </c>
      <c r="N162" s="180" t="str">
        <f aca="false">IF((D162="a"),F162," ")</f>
        <v> </v>
      </c>
      <c r="O162" s="180" t="str">
        <f aca="false">IF((D162="l"),F162," ")</f>
        <v> </v>
      </c>
      <c r="P162" s="180" t="str">
        <f aca="false">IF((D162="i"),F162," ")</f>
        <v> </v>
      </c>
      <c r="Q162" s="180" t="str">
        <f aca="false">IF((D162="b"),F162," ")</f>
        <v> </v>
      </c>
      <c r="R162" s="180" t="str">
        <f aca="false">IF((D162="o"),F162," ")</f>
        <v> </v>
      </c>
      <c r="S162" s="180" t="str">
        <f aca="false">IF((D162="f"),F162," ")</f>
        <v> </v>
      </c>
      <c r="U162" s="371"/>
    </row>
    <row r="163" customFormat="false" ht="12.75" hidden="false" customHeight="false" outlineLevel="0" collapsed="false">
      <c r="D163" s="371" t="str">
        <f aca="false">IF((F163&lt;&gt;0),"Enter Letter"," ")</f>
        <v> </v>
      </c>
      <c r="G163" s="180" t="str">
        <f aca="false">IF((D163="d"),F163," ")</f>
        <v> </v>
      </c>
      <c r="H163" s="180" t="str">
        <f aca="false">IF((D163="h"),F163," ")</f>
        <v> </v>
      </c>
      <c r="I163" s="180" t="str">
        <f aca="false">IF((D163="r"),F163," ")</f>
        <v> </v>
      </c>
      <c r="J163" s="180" t="str">
        <f aca="false">IF((D163="t"),F163," ")</f>
        <v> </v>
      </c>
      <c r="K163" s="180" t="str">
        <f aca="false">IF((D163="e"),F163," ")</f>
        <v> </v>
      </c>
      <c r="L163" s="180" t="str">
        <f aca="false">IF((D163="p"),F163," ")</f>
        <v> </v>
      </c>
      <c r="M163" s="180" t="str">
        <f aca="false">IF((D163="g"),F163," ")</f>
        <v> </v>
      </c>
      <c r="N163" s="180" t="str">
        <f aca="false">IF((D163="a"),F163," ")</f>
        <v> </v>
      </c>
      <c r="O163" s="180" t="str">
        <f aca="false">IF((D163="l"),F163," ")</f>
        <v> </v>
      </c>
      <c r="P163" s="180" t="str">
        <f aca="false">IF((D163="i"),F163," ")</f>
        <v> </v>
      </c>
      <c r="Q163" s="180" t="str">
        <f aca="false">IF((D163="b"),F163," ")</f>
        <v> </v>
      </c>
      <c r="R163" s="180" t="str">
        <f aca="false">IF((D163="o"),F163," ")</f>
        <v> </v>
      </c>
      <c r="S163" s="180" t="str">
        <f aca="false">IF((D163="f"),F163," ")</f>
        <v> </v>
      </c>
      <c r="U163" s="371"/>
    </row>
    <row r="164" customFormat="false" ht="12.75" hidden="false" customHeight="false" outlineLevel="0" collapsed="false">
      <c r="D164" s="371" t="str">
        <f aca="false">IF((F164&lt;&gt;0),"Enter Letter"," ")</f>
        <v> </v>
      </c>
      <c r="G164" s="180" t="str">
        <f aca="false">IF((D164="d"),F164," ")</f>
        <v> </v>
      </c>
      <c r="H164" s="180" t="str">
        <f aca="false">IF((D164="h"),F164," ")</f>
        <v> </v>
      </c>
      <c r="I164" s="180" t="str">
        <f aca="false">IF((D164="r"),F164," ")</f>
        <v> </v>
      </c>
      <c r="J164" s="180" t="str">
        <f aca="false">IF((D164="t"),F164," ")</f>
        <v> </v>
      </c>
      <c r="K164" s="180" t="str">
        <f aca="false">IF((D164="e"),F164," ")</f>
        <v> </v>
      </c>
      <c r="L164" s="180" t="str">
        <f aca="false">IF((D164="p"),F164," ")</f>
        <v> </v>
      </c>
      <c r="M164" s="180" t="str">
        <f aca="false">IF((D164="g"),F164," ")</f>
        <v> </v>
      </c>
      <c r="N164" s="180" t="str">
        <f aca="false">IF((D164="a"),F164," ")</f>
        <v> </v>
      </c>
      <c r="O164" s="180" t="str">
        <f aca="false">IF((D164="l"),F164," ")</f>
        <v> </v>
      </c>
      <c r="P164" s="180" t="str">
        <f aca="false">IF((D164="i"),F164," ")</f>
        <v> </v>
      </c>
      <c r="Q164" s="180" t="str">
        <f aca="false">IF((D164="b"),F164," ")</f>
        <v> </v>
      </c>
      <c r="R164" s="180" t="str">
        <f aca="false">IF((D164="o"),F164," ")</f>
        <v> </v>
      </c>
      <c r="S164" s="180" t="str">
        <f aca="false">IF((D164="f"),F164," ")</f>
        <v> </v>
      </c>
      <c r="U164" s="371"/>
    </row>
    <row r="165" customFormat="false" ht="12.75" hidden="false" customHeight="false" outlineLevel="0" collapsed="false">
      <c r="D165" s="371" t="str">
        <f aca="false">IF((F165&lt;&gt;0),"Enter Letter"," ")</f>
        <v> </v>
      </c>
      <c r="G165" s="180" t="str">
        <f aca="false">IF((D165="d"),F165," ")</f>
        <v> </v>
      </c>
      <c r="H165" s="180" t="str">
        <f aca="false">IF((D165="h"),F165," ")</f>
        <v> </v>
      </c>
      <c r="I165" s="180" t="str">
        <f aca="false">IF((D165="r"),F165," ")</f>
        <v> </v>
      </c>
      <c r="J165" s="180" t="str">
        <f aca="false">IF((D165="t"),F165," ")</f>
        <v> </v>
      </c>
      <c r="K165" s="180" t="str">
        <f aca="false">IF((D165="e"),F165," ")</f>
        <v> </v>
      </c>
      <c r="L165" s="180" t="str">
        <f aca="false">IF((D165="p"),F165," ")</f>
        <v> </v>
      </c>
      <c r="M165" s="180" t="str">
        <f aca="false">IF((D165="g"),F165," ")</f>
        <v> </v>
      </c>
      <c r="N165" s="180" t="str">
        <f aca="false">IF((D165="a"),F165," ")</f>
        <v> </v>
      </c>
      <c r="O165" s="180" t="str">
        <f aca="false">IF((D165="l"),F165," ")</f>
        <v> </v>
      </c>
      <c r="P165" s="180" t="str">
        <f aca="false">IF((D165="i"),F165," ")</f>
        <v> </v>
      </c>
      <c r="Q165" s="180" t="str">
        <f aca="false">IF((D165="b"),F165," ")</f>
        <v> </v>
      </c>
      <c r="R165" s="180" t="str">
        <f aca="false">IF((D165="o"),F165," ")</f>
        <v> </v>
      </c>
      <c r="S165" s="180" t="str">
        <f aca="false">IF((D165="f"),F165," ")</f>
        <v> </v>
      </c>
      <c r="U165" s="371"/>
    </row>
    <row r="166" customFormat="false" ht="12.75" hidden="false" customHeight="false" outlineLevel="0" collapsed="false">
      <c r="D166" s="371" t="str">
        <f aca="false">IF((F166&lt;&gt;0),"Enter Letter"," ")</f>
        <v> </v>
      </c>
      <c r="G166" s="180" t="str">
        <f aca="false">IF((D166="d"),F166," ")</f>
        <v> </v>
      </c>
      <c r="H166" s="180" t="str">
        <f aca="false">IF((D166="h"),F166," ")</f>
        <v> </v>
      </c>
      <c r="I166" s="180" t="str">
        <f aca="false">IF((D166="r"),F166," ")</f>
        <v> </v>
      </c>
      <c r="J166" s="180" t="str">
        <f aca="false">IF((D166="t"),F166," ")</f>
        <v> </v>
      </c>
      <c r="K166" s="180" t="str">
        <f aca="false">IF((D166="e"),F166," ")</f>
        <v> </v>
      </c>
      <c r="L166" s="180" t="str">
        <f aca="false">IF((D166="p"),F166," ")</f>
        <v> </v>
      </c>
      <c r="M166" s="180" t="str">
        <f aca="false">IF((D166="g"),F166," ")</f>
        <v> </v>
      </c>
      <c r="N166" s="180" t="str">
        <f aca="false">IF((D166="a"),F166," ")</f>
        <v> </v>
      </c>
      <c r="O166" s="180" t="str">
        <f aca="false">IF((D166="l"),F166," ")</f>
        <v> </v>
      </c>
      <c r="P166" s="180" t="str">
        <f aca="false">IF((D166="i"),F166," ")</f>
        <v> </v>
      </c>
      <c r="Q166" s="180" t="str">
        <f aca="false">IF((D166="b"),F166," ")</f>
        <v> </v>
      </c>
      <c r="R166" s="180" t="str">
        <f aca="false">IF((D166="o"),F166," ")</f>
        <v> </v>
      </c>
      <c r="S166" s="180" t="str">
        <f aca="false">IF((D166="f"),F166," ")</f>
        <v> </v>
      </c>
      <c r="U166" s="371"/>
    </row>
    <row r="167" customFormat="false" ht="12.75" hidden="false" customHeight="false" outlineLevel="0" collapsed="false">
      <c r="D167" s="371" t="str">
        <f aca="false">IF((F167&lt;&gt;0),"Enter Letter"," ")</f>
        <v> </v>
      </c>
      <c r="G167" s="180" t="str">
        <f aca="false">IF((D167="d"),F167," ")</f>
        <v> </v>
      </c>
      <c r="H167" s="180" t="str">
        <f aca="false">IF((D167="h"),F167," ")</f>
        <v> </v>
      </c>
      <c r="I167" s="180" t="str">
        <f aca="false">IF((D167="r"),F167," ")</f>
        <v> </v>
      </c>
      <c r="J167" s="180" t="str">
        <f aca="false">IF((D167="t"),F167," ")</f>
        <v> </v>
      </c>
      <c r="K167" s="180" t="str">
        <f aca="false">IF((D167="e"),F167," ")</f>
        <v> </v>
      </c>
      <c r="L167" s="180" t="str">
        <f aca="false">IF((D167="p"),F167," ")</f>
        <v> </v>
      </c>
      <c r="M167" s="180" t="str">
        <f aca="false">IF((D167="g"),F167," ")</f>
        <v> </v>
      </c>
      <c r="N167" s="180" t="str">
        <f aca="false">IF((D167="a"),F167," ")</f>
        <v> </v>
      </c>
      <c r="O167" s="180" t="str">
        <f aca="false">IF((D167="l"),F167," ")</f>
        <v> </v>
      </c>
      <c r="P167" s="180" t="str">
        <f aca="false">IF((D167="i"),F167," ")</f>
        <v> </v>
      </c>
      <c r="Q167" s="180" t="str">
        <f aca="false">IF((D167="b"),F167," ")</f>
        <v> </v>
      </c>
      <c r="R167" s="180" t="str">
        <f aca="false">IF((D167="o"),F167," ")</f>
        <v> </v>
      </c>
      <c r="S167" s="180" t="str">
        <f aca="false">IF((D167="f"),F167," ")</f>
        <v> </v>
      </c>
      <c r="U167" s="371"/>
    </row>
    <row r="168" customFormat="false" ht="12.75" hidden="false" customHeight="false" outlineLevel="0" collapsed="false">
      <c r="D168" s="371" t="str">
        <f aca="false">IF((F168&lt;&gt;0),"Enter Letter"," ")</f>
        <v> </v>
      </c>
      <c r="G168" s="180" t="str">
        <f aca="false">IF((D168="d"),F168," ")</f>
        <v> </v>
      </c>
      <c r="H168" s="180" t="str">
        <f aca="false">IF((D168="h"),F168," ")</f>
        <v> </v>
      </c>
      <c r="I168" s="180" t="str">
        <f aca="false">IF((D168="r"),F168," ")</f>
        <v> </v>
      </c>
      <c r="J168" s="180" t="str">
        <f aca="false">IF((D168="t"),F168," ")</f>
        <v> </v>
      </c>
      <c r="K168" s="180" t="str">
        <f aca="false">IF((D168="e"),F168," ")</f>
        <v> </v>
      </c>
      <c r="L168" s="180" t="str">
        <f aca="false">IF((D168="p"),F168," ")</f>
        <v> </v>
      </c>
      <c r="M168" s="180" t="str">
        <f aca="false">IF((D168="g"),F168," ")</f>
        <v> </v>
      </c>
      <c r="N168" s="180" t="str">
        <f aca="false">IF((D168="a"),F168," ")</f>
        <v> </v>
      </c>
      <c r="O168" s="180" t="str">
        <f aca="false">IF((D168="l"),F168," ")</f>
        <v> </v>
      </c>
      <c r="P168" s="180" t="str">
        <f aca="false">IF((D168="i"),F168," ")</f>
        <v> </v>
      </c>
      <c r="Q168" s="180" t="str">
        <f aca="false">IF((D168="b"),F168," ")</f>
        <v> </v>
      </c>
      <c r="R168" s="180" t="str">
        <f aca="false">IF((D168="o"),F168," ")</f>
        <v> </v>
      </c>
      <c r="S168" s="180" t="str">
        <f aca="false">IF((D168="f"),F168," ")</f>
        <v> </v>
      </c>
      <c r="U168" s="371"/>
    </row>
    <row r="169" customFormat="false" ht="12.75" hidden="false" customHeight="false" outlineLevel="0" collapsed="false">
      <c r="D169" s="371" t="str">
        <f aca="false">IF((F169&lt;&gt;0),"Enter Letter"," ")</f>
        <v> </v>
      </c>
      <c r="G169" s="180" t="str">
        <f aca="false">IF((D169="d"),F169," ")</f>
        <v> </v>
      </c>
      <c r="H169" s="180" t="str">
        <f aca="false">IF((D169="h"),F169," ")</f>
        <v> </v>
      </c>
      <c r="I169" s="180" t="str">
        <f aca="false">IF((D169="r"),F169," ")</f>
        <v> </v>
      </c>
      <c r="J169" s="180" t="str">
        <f aca="false">IF((D169="t"),F169," ")</f>
        <v> </v>
      </c>
      <c r="K169" s="180" t="str">
        <f aca="false">IF((D169="e"),F169," ")</f>
        <v> </v>
      </c>
      <c r="L169" s="180" t="str">
        <f aca="false">IF((D169="p"),F169," ")</f>
        <v> </v>
      </c>
      <c r="M169" s="180" t="str">
        <f aca="false">IF((D169="g"),F169," ")</f>
        <v> </v>
      </c>
      <c r="N169" s="180" t="str">
        <f aca="false">IF((D169="a"),F169," ")</f>
        <v> </v>
      </c>
      <c r="O169" s="180" t="str">
        <f aca="false">IF((D169="l"),F169," ")</f>
        <v> </v>
      </c>
      <c r="P169" s="180" t="str">
        <f aca="false">IF((D169="i"),F169," ")</f>
        <v> </v>
      </c>
      <c r="Q169" s="180" t="str">
        <f aca="false">IF((D169="b"),F169," ")</f>
        <v> </v>
      </c>
      <c r="R169" s="180" t="str">
        <f aca="false">IF((D169="o"),F169," ")</f>
        <v> </v>
      </c>
      <c r="S169" s="180" t="str">
        <f aca="false">IF((D169="f"),F169," ")</f>
        <v> </v>
      </c>
      <c r="U169" s="371"/>
    </row>
    <row r="170" customFormat="false" ht="12.75" hidden="false" customHeight="false" outlineLevel="0" collapsed="false">
      <c r="D170" s="371" t="str">
        <f aca="false">IF((F170&lt;&gt;0),"Enter Letter"," ")</f>
        <v> </v>
      </c>
      <c r="G170" s="180" t="str">
        <f aca="false">IF((D170="d"),F170," ")</f>
        <v> </v>
      </c>
      <c r="H170" s="180" t="str">
        <f aca="false">IF((D170="h"),F170," ")</f>
        <v> </v>
      </c>
      <c r="I170" s="180" t="str">
        <f aca="false">IF((D170="r"),F170," ")</f>
        <v> </v>
      </c>
      <c r="J170" s="180" t="str">
        <f aca="false">IF((D170="t"),F170," ")</f>
        <v> </v>
      </c>
      <c r="K170" s="180" t="str">
        <f aca="false">IF((D170="e"),F170," ")</f>
        <v> </v>
      </c>
      <c r="L170" s="180" t="str">
        <f aca="false">IF((D170="p"),F170," ")</f>
        <v> </v>
      </c>
      <c r="M170" s="180" t="str">
        <f aca="false">IF((D170="g"),F170," ")</f>
        <v> </v>
      </c>
      <c r="N170" s="180" t="str">
        <f aca="false">IF((D170="a"),F170," ")</f>
        <v> </v>
      </c>
      <c r="O170" s="180" t="str">
        <f aca="false">IF((D170="l"),F170," ")</f>
        <v> </v>
      </c>
      <c r="P170" s="180" t="str">
        <f aca="false">IF((D170="i"),F170," ")</f>
        <v> </v>
      </c>
      <c r="Q170" s="180" t="str">
        <f aca="false">IF((D170="b"),F170," ")</f>
        <v> </v>
      </c>
      <c r="R170" s="180" t="str">
        <f aca="false">IF((D170="o"),F170," ")</f>
        <v> </v>
      </c>
      <c r="S170" s="180" t="str">
        <f aca="false">IF((D170="f"),F170," ")</f>
        <v> </v>
      </c>
      <c r="U170" s="371"/>
    </row>
    <row r="171" customFormat="false" ht="12.75" hidden="false" customHeight="false" outlineLevel="0" collapsed="false">
      <c r="D171" s="371" t="str">
        <f aca="false">IF((F171&lt;&gt;0),"Enter Letter"," ")</f>
        <v> </v>
      </c>
      <c r="G171" s="180" t="str">
        <f aca="false">IF((D171="d"),F171," ")</f>
        <v> </v>
      </c>
      <c r="H171" s="180" t="str">
        <f aca="false">IF((D171="h"),F171," ")</f>
        <v> </v>
      </c>
      <c r="I171" s="180" t="str">
        <f aca="false">IF((D171="r"),F171," ")</f>
        <v> </v>
      </c>
      <c r="J171" s="180" t="str">
        <f aca="false">IF((D171="t"),F171," ")</f>
        <v> </v>
      </c>
      <c r="K171" s="180" t="str">
        <f aca="false">IF((D171="e"),F171," ")</f>
        <v> </v>
      </c>
      <c r="L171" s="180" t="str">
        <f aca="false">IF((D171="p"),F171," ")</f>
        <v> </v>
      </c>
      <c r="M171" s="180" t="str">
        <f aca="false">IF((D171="g"),F171," ")</f>
        <v> </v>
      </c>
      <c r="N171" s="180" t="str">
        <f aca="false">IF((D171="a"),F171," ")</f>
        <v> </v>
      </c>
      <c r="O171" s="180" t="str">
        <f aca="false">IF((D171="l"),F171," ")</f>
        <v> </v>
      </c>
      <c r="P171" s="180" t="str">
        <f aca="false">IF((D171="i"),F171," ")</f>
        <v> </v>
      </c>
      <c r="Q171" s="180" t="str">
        <f aca="false">IF((D171="b"),F171," ")</f>
        <v> </v>
      </c>
      <c r="R171" s="180" t="str">
        <f aca="false">IF((D171="o"),F171," ")</f>
        <v> </v>
      </c>
      <c r="S171" s="180" t="str">
        <f aca="false">IF((D171="f"),F171," ")</f>
        <v> </v>
      </c>
      <c r="U171" s="371"/>
    </row>
    <row r="172" customFormat="false" ht="12.75" hidden="false" customHeight="false" outlineLevel="0" collapsed="false">
      <c r="D172" s="371" t="str">
        <f aca="false">IF((F172&lt;&gt;0),"Enter Letter"," ")</f>
        <v> </v>
      </c>
      <c r="G172" s="180" t="str">
        <f aca="false">IF((D172="d"),F172," ")</f>
        <v> </v>
      </c>
      <c r="H172" s="180" t="str">
        <f aca="false">IF((D172="h"),F172," ")</f>
        <v> </v>
      </c>
      <c r="I172" s="180" t="str">
        <f aca="false">IF((D172="r"),F172," ")</f>
        <v> </v>
      </c>
      <c r="J172" s="180" t="str">
        <f aca="false">IF((D172="t"),F172," ")</f>
        <v> </v>
      </c>
      <c r="K172" s="180" t="str">
        <f aca="false">IF((D172="e"),F172," ")</f>
        <v> </v>
      </c>
      <c r="L172" s="180" t="str">
        <f aca="false">IF((D172="p"),F172," ")</f>
        <v> </v>
      </c>
      <c r="M172" s="180" t="str">
        <f aca="false">IF((D172="g"),F172," ")</f>
        <v> </v>
      </c>
      <c r="N172" s="180" t="str">
        <f aca="false">IF((D172="a"),F172," ")</f>
        <v> </v>
      </c>
      <c r="O172" s="180" t="str">
        <f aca="false">IF((D172="l"),F172," ")</f>
        <v> </v>
      </c>
      <c r="P172" s="180" t="str">
        <f aca="false">IF((D172="i"),F172," ")</f>
        <v> </v>
      </c>
      <c r="Q172" s="180" t="str">
        <f aca="false">IF((D172="b"),F172," ")</f>
        <v> </v>
      </c>
      <c r="R172" s="180" t="str">
        <f aca="false">IF((D172="o"),F172," ")</f>
        <v> </v>
      </c>
      <c r="S172" s="180" t="str">
        <f aca="false">IF((D172="f"),F172," ")</f>
        <v> </v>
      </c>
      <c r="U172" s="371"/>
    </row>
    <row r="173" customFormat="false" ht="12.75" hidden="false" customHeight="false" outlineLevel="0" collapsed="false">
      <c r="D173" s="371" t="str">
        <f aca="false">IF((F173&lt;&gt;0),"Enter Letter"," ")</f>
        <v> </v>
      </c>
      <c r="G173" s="180" t="str">
        <f aca="false">IF((D173="d"),F173," ")</f>
        <v> </v>
      </c>
      <c r="H173" s="180" t="str">
        <f aca="false">IF((D173="h"),F173," ")</f>
        <v> </v>
      </c>
      <c r="I173" s="180" t="str">
        <f aca="false">IF((D173="r"),F173," ")</f>
        <v> </v>
      </c>
      <c r="J173" s="180" t="str">
        <f aca="false">IF((D173="t"),F173," ")</f>
        <v> </v>
      </c>
      <c r="K173" s="180" t="str">
        <f aca="false">IF((D173="e"),F173," ")</f>
        <v> </v>
      </c>
      <c r="L173" s="180" t="str">
        <f aca="false">IF((D173="p"),F173," ")</f>
        <v> </v>
      </c>
      <c r="M173" s="180" t="str">
        <f aca="false">IF((D173="g"),F173," ")</f>
        <v> </v>
      </c>
      <c r="N173" s="180" t="str">
        <f aca="false">IF((D173="a"),F173," ")</f>
        <v> </v>
      </c>
      <c r="O173" s="180" t="str">
        <f aca="false">IF((D173="l"),F173," ")</f>
        <v> </v>
      </c>
      <c r="P173" s="180" t="str">
        <f aca="false">IF((D173="i"),F173," ")</f>
        <v> </v>
      </c>
      <c r="Q173" s="180" t="str">
        <f aca="false">IF((D173="b"),F173," ")</f>
        <v> </v>
      </c>
      <c r="R173" s="180" t="str">
        <f aca="false">IF((D173="o"),F173," ")</f>
        <v> </v>
      </c>
      <c r="S173" s="180" t="str">
        <f aca="false">IF((D173="f"),F173," ")</f>
        <v> </v>
      </c>
      <c r="U173" s="371"/>
    </row>
    <row r="174" customFormat="false" ht="12.75" hidden="false" customHeight="false" outlineLevel="0" collapsed="false">
      <c r="D174" s="371" t="str">
        <f aca="false">IF((F174&lt;&gt;0),"Enter Letter"," ")</f>
        <v> </v>
      </c>
      <c r="G174" s="180" t="str">
        <f aca="false">IF((D174="d"),F174," ")</f>
        <v> </v>
      </c>
      <c r="H174" s="180" t="str">
        <f aca="false">IF((D174="h"),F174," ")</f>
        <v> </v>
      </c>
      <c r="I174" s="180" t="str">
        <f aca="false">IF((D174="r"),F174," ")</f>
        <v> </v>
      </c>
      <c r="J174" s="180" t="str">
        <f aca="false">IF((D174="t"),F174," ")</f>
        <v> </v>
      </c>
      <c r="K174" s="180" t="str">
        <f aca="false">IF((D174="e"),F174," ")</f>
        <v> </v>
      </c>
      <c r="L174" s="180" t="str">
        <f aca="false">IF((D174="p"),F174," ")</f>
        <v> </v>
      </c>
      <c r="M174" s="180" t="str">
        <f aca="false">IF((D174="g"),F174," ")</f>
        <v> </v>
      </c>
      <c r="N174" s="180" t="str">
        <f aca="false">IF((D174="a"),F174," ")</f>
        <v> </v>
      </c>
      <c r="O174" s="180" t="str">
        <f aca="false">IF((D174="l"),F174," ")</f>
        <v> </v>
      </c>
      <c r="P174" s="180" t="str">
        <f aca="false">IF((D174="i"),F174," ")</f>
        <v> </v>
      </c>
      <c r="Q174" s="180" t="str">
        <f aca="false">IF((D174="b"),F174," ")</f>
        <v> </v>
      </c>
      <c r="R174" s="180" t="str">
        <f aca="false">IF((D174="o"),F174," ")</f>
        <v> </v>
      </c>
      <c r="S174" s="180" t="str">
        <f aca="false">IF((D174="f"),F174," ")</f>
        <v> </v>
      </c>
      <c r="U174" s="371"/>
    </row>
    <row r="175" customFormat="false" ht="12.75" hidden="false" customHeight="false" outlineLevel="0" collapsed="false">
      <c r="D175" s="371" t="str">
        <f aca="false">IF((F175&lt;&gt;0),"Enter Letter"," ")</f>
        <v> </v>
      </c>
      <c r="G175" s="180" t="str">
        <f aca="false">IF((D175="d"),F175," ")</f>
        <v> </v>
      </c>
      <c r="H175" s="180" t="str">
        <f aca="false">IF((D175="h"),F175," ")</f>
        <v> </v>
      </c>
      <c r="I175" s="180" t="str">
        <f aca="false">IF((D175="r"),F175," ")</f>
        <v> </v>
      </c>
      <c r="J175" s="180" t="str">
        <f aca="false">IF((D175="t"),F175," ")</f>
        <v> </v>
      </c>
      <c r="K175" s="180" t="str">
        <f aca="false">IF((D175="e"),F175," ")</f>
        <v> </v>
      </c>
      <c r="L175" s="180" t="str">
        <f aca="false">IF((D175="p"),F175," ")</f>
        <v> </v>
      </c>
      <c r="M175" s="180" t="str">
        <f aca="false">IF((D175="g"),F175," ")</f>
        <v> </v>
      </c>
      <c r="N175" s="180" t="str">
        <f aca="false">IF((D175="a"),F175," ")</f>
        <v> </v>
      </c>
      <c r="O175" s="180" t="str">
        <f aca="false">IF((D175="l"),F175," ")</f>
        <v> </v>
      </c>
      <c r="P175" s="180" t="str">
        <f aca="false">IF((D175="i"),F175," ")</f>
        <v> </v>
      </c>
      <c r="Q175" s="180" t="str">
        <f aca="false">IF((D175="b"),F175," ")</f>
        <v> </v>
      </c>
      <c r="R175" s="180" t="str">
        <f aca="false">IF((D175="o"),F175," ")</f>
        <v> </v>
      </c>
      <c r="S175" s="180" t="str">
        <f aca="false">IF((D175="f"),F175," ")</f>
        <v> </v>
      </c>
      <c r="U175" s="371"/>
    </row>
    <row r="176" customFormat="false" ht="12.75" hidden="false" customHeight="false" outlineLevel="0" collapsed="false">
      <c r="D176" s="371" t="str">
        <f aca="false">IF((F176&lt;&gt;0),"Enter Letter"," ")</f>
        <v> </v>
      </c>
      <c r="G176" s="180" t="str">
        <f aca="false">IF((D176="d"),F176," ")</f>
        <v> </v>
      </c>
      <c r="H176" s="180" t="str">
        <f aca="false">IF((D176="h"),F176," ")</f>
        <v> </v>
      </c>
      <c r="I176" s="180" t="str">
        <f aca="false">IF((D176="r"),F176," ")</f>
        <v> </v>
      </c>
      <c r="J176" s="180" t="str">
        <f aca="false">IF((D176="t"),F176," ")</f>
        <v> </v>
      </c>
      <c r="K176" s="180" t="str">
        <f aca="false">IF((D176="e"),F176," ")</f>
        <v> </v>
      </c>
      <c r="L176" s="180" t="str">
        <f aca="false">IF((D176="p"),F176," ")</f>
        <v> </v>
      </c>
      <c r="M176" s="180" t="str">
        <f aca="false">IF((D176="g"),F176," ")</f>
        <v> </v>
      </c>
      <c r="N176" s="180" t="str">
        <f aca="false">IF((D176="a"),F176," ")</f>
        <v> </v>
      </c>
      <c r="O176" s="180" t="str">
        <f aca="false">IF((D176="l"),F176," ")</f>
        <v> </v>
      </c>
      <c r="P176" s="180" t="str">
        <f aca="false">IF((D176="i"),F176," ")</f>
        <v> </v>
      </c>
      <c r="Q176" s="180" t="str">
        <f aca="false">IF((D176="b"),F176," ")</f>
        <v> </v>
      </c>
      <c r="R176" s="180" t="str">
        <f aca="false">IF((D176="o"),F176," ")</f>
        <v> </v>
      </c>
      <c r="S176" s="180" t="str">
        <f aca="false">IF((D176="f"),F176," ")</f>
        <v> </v>
      </c>
      <c r="U176" s="371"/>
    </row>
    <row r="177" customFormat="false" ht="12.75" hidden="false" customHeight="false" outlineLevel="0" collapsed="false">
      <c r="D177" s="371" t="str">
        <f aca="false">IF((F177&lt;&gt;0),"Enter Letter"," ")</f>
        <v> </v>
      </c>
      <c r="G177" s="180" t="str">
        <f aca="false">IF((D177="d"),F177," ")</f>
        <v> </v>
      </c>
      <c r="H177" s="180" t="str">
        <f aca="false">IF((D177="h"),F177," ")</f>
        <v> </v>
      </c>
      <c r="I177" s="180" t="str">
        <f aca="false">IF((D177="r"),F177," ")</f>
        <v> </v>
      </c>
      <c r="J177" s="180" t="str">
        <f aca="false">IF((D177="t"),F177," ")</f>
        <v> </v>
      </c>
      <c r="K177" s="180" t="str">
        <f aca="false">IF((D177="e"),F177," ")</f>
        <v> </v>
      </c>
      <c r="L177" s="180" t="str">
        <f aca="false">IF((D177="p"),F177," ")</f>
        <v> </v>
      </c>
      <c r="M177" s="180" t="str">
        <f aca="false">IF((D177="g"),F177," ")</f>
        <v> </v>
      </c>
      <c r="N177" s="180" t="str">
        <f aca="false">IF((D177="a"),F177," ")</f>
        <v> </v>
      </c>
      <c r="O177" s="180" t="str">
        <f aca="false">IF((D177="l"),F177," ")</f>
        <v> </v>
      </c>
      <c r="P177" s="180" t="str">
        <f aca="false">IF((D177="i"),F177," ")</f>
        <v> </v>
      </c>
      <c r="Q177" s="180" t="str">
        <f aca="false">IF((D177="b"),F177," ")</f>
        <v> </v>
      </c>
      <c r="R177" s="180" t="str">
        <f aca="false">IF((D177="o"),F177," ")</f>
        <v> </v>
      </c>
      <c r="S177" s="180" t="str">
        <f aca="false">IF((D177="f"),F177," ")</f>
        <v> </v>
      </c>
      <c r="U177" s="371"/>
    </row>
    <row r="178" customFormat="false" ht="12.75" hidden="false" customHeight="false" outlineLevel="0" collapsed="false">
      <c r="D178" s="371" t="str">
        <f aca="false">IF((F178&lt;&gt;0),"Enter Letter"," ")</f>
        <v> </v>
      </c>
      <c r="G178" s="180" t="str">
        <f aca="false">IF((D178="d"),F178," ")</f>
        <v> </v>
      </c>
      <c r="H178" s="180" t="str">
        <f aca="false">IF((D178="h"),F178," ")</f>
        <v> </v>
      </c>
      <c r="I178" s="180" t="str">
        <f aca="false">IF((D178="r"),F178," ")</f>
        <v> </v>
      </c>
      <c r="J178" s="180" t="str">
        <f aca="false">IF((D178="t"),F178," ")</f>
        <v> </v>
      </c>
      <c r="K178" s="180" t="str">
        <f aca="false">IF((D178="e"),F178," ")</f>
        <v> </v>
      </c>
      <c r="L178" s="180" t="str">
        <f aca="false">IF((D178="p"),F178," ")</f>
        <v> </v>
      </c>
      <c r="M178" s="180" t="str">
        <f aca="false">IF((D178="g"),F178," ")</f>
        <v> </v>
      </c>
      <c r="N178" s="180" t="str">
        <f aca="false">IF((D178="a"),F178," ")</f>
        <v> </v>
      </c>
      <c r="O178" s="180" t="str">
        <f aca="false">IF((D178="l"),F178," ")</f>
        <v> </v>
      </c>
      <c r="P178" s="180" t="str">
        <f aca="false">IF((D178="i"),F178," ")</f>
        <v> </v>
      </c>
      <c r="Q178" s="180" t="str">
        <f aca="false">IF((D178="b"),F178," ")</f>
        <v> </v>
      </c>
      <c r="R178" s="180" t="str">
        <f aca="false">IF((D178="o"),F178," ")</f>
        <v> </v>
      </c>
      <c r="S178" s="180" t="str">
        <f aca="false">IF((D178="f"),F178," ")</f>
        <v> </v>
      </c>
      <c r="U178" s="371"/>
    </row>
    <row r="179" customFormat="false" ht="12.75" hidden="false" customHeight="false" outlineLevel="0" collapsed="false">
      <c r="D179" s="371" t="str">
        <f aca="false">IF((F179&lt;&gt;0),"Enter Letter"," ")</f>
        <v> </v>
      </c>
      <c r="G179" s="180" t="str">
        <f aca="false">IF((D179="d"),F179," ")</f>
        <v> </v>
      </c>
      <c r="H179" s="180" t="str">
        <f aca="false">IF((D179="h"),F179," ")</f>
        <v> </v>
      </c>
      <c r="I179" s="180" t="str">
        <f aca="false">IF((D179="r"),F179," ")</f>
        <v> </v>
      </c>
      <c r="J179" s="180" t="str">
        <f aca="false">IF((D179="t"),F179," ")</f>
        <v> </v>
      </c>
      <c r="K179" s="180" t="str">
        <f aca="false">IF((D179="e"),F179," ")</f>
        <v> </v>
      </c>
      <c r="L179" s="180" t="str">
        <f aca="false">IF((D179="p"),F179," ")</f>
        <v> </v>
      </c>
      <c r="M179" s="180" t="str">
        <f aca="false">IF((D179="g"),F179," ")</f>
        <v> </v>
      </c>
      <c r="N179" s="180" t="str">
        <f aca="false">IF((D179="a"),F179," ")</f>
        <v> </v>
      </c>
      <c r="O179" s="180" t="str">
        <f aca="false">IF((D179="l"),F179," ")</f>
        <v> </v>
      </c>
      <c r="P179" s="180" t="str">
        <f aca="false">IF((D179="i"),F179," ")</f>
        <v> </v>
      </c>
      <c r="Q179" s="180" t="str">
        <f aca="false">IF((D179="b"),F179," ")</f>
        <v> </v>
      </c>
      <c r="R179" s="180" t="str">
        <f aca="false">IF((D179="o"),F179," ")</f>
        <v> </v>
      </c>
      <c r="S179" s="180" t="str">
        <f aca="false">IF((D179="f"),F179," ")</f>
        <v> </v>
      </c>
      <c r="U179" s="371"/>
    </row>
    <row r="180" customFormat="false" ht="12.75" hidden="false" customHeight="false" outlineLevel="0" collapsed="false">
      <c r="D180" s="371" t="str">
        <f aca="false">IF((F180&lt;&gt;0),"Enter Letter"," ")</f>
        <v> </v>
      </c>
      <c r="G180" s="180" t="str">
        <f aca="false">IF((D180="d"),F180," ")</f>
        <v> </v>
      </c>
      <c r="H180" s="180" t="str">
        <f aca="false">IF((D180="h"),F180," ")</f>
        <v> </v>
      </c>
      <c r="I180" s="180" t="str">
        <f aca="false">IF((D180="r"),F180," ")</f>
        <v> </v>
      </c>
      <c r="J180" s="180" t="str">
        <f aca="false">IF((D180="t"),F180," ")</f>
        <v> </v>
      </c>
      <c r="K180" s="180" t="str">
        <f aca="false">IF((D180="e"),F180," ")</f>
        <v> </v>
      </c>
      <c r="L180" s="180" t="str">
        <f aca="false">IF((D180="p"),F180," ")</f>
        <v> </v>
      </c>
      <c r="M180" s="180" t="str">
        <f aca="false">IF((D180="g"),F180," ")</f>
        <v> </v>
      </c>
      <c r="N180" s="180" t="str">
        <f aca="false">IF((D180="a"),F180," ")</f>
        <v> </v>
      </c>
      <c r="O180" s="180" t="str">
        <f aca="false">IF((D180="l"),F180," ")</f>
        <v> </v>
      </c>
      <c r="P180" s="180" t="str">
        <f aca="false">IF((D180="i"),F180," ")</f>
        <v> </v>
      </c>
      <c r="Q180" s="180" t="str">
        <f aca="false">IF((D180="b"),F180," ")</f>
        <v> </v>
      </c>
      <c r="R180" s="180" t="str">
        <f aca="false">IF((D180="o"),F180," ")</f>
        <v> </v>
      </c>
      <c r="S180" s="180" t="str">
        <f aca="false">IF((D180="f"),F180," ")</f>
        <v> </v>
      </c>
      <c r="U180" s="371"/>
    </row>
    <row r="181" customFormat="false" ht="12.75" hidden="false" customHeight="false" outlineLevel="0" collapsed="false">
      <c r="D181" s="371" t="str">
        <f aca="false">IF((F181&lt;&gt;0),"Enter Letter"," ")</f>
        <v> </v>
      </c>
      <c r="G181" s="180" t="str">
        <f aca="false">IF((D181="d"),F181," ")</f>
        <v> </v>
      </c>
      <c r="H181" s="180" t="str">
        <f aca="false">IF((D181="h"),F181," ")</f>
        <v> </v>
      </c>
      <c r="I181" s="180" t="str">
        <f aca="false">IF((D181="r"),F181," ")</f>
        <v> </v>
      </c>
      <c r="J181" s="180" t="str">
        <f aca="false">IF((D181="t"),F181," ")</f>
        <v> </v>
      </c>
      <c r="K181" s="180" t="str">
        <f aca="false">IF((D181="e"),F181," ")</f>
        <v> </v>
      </c>
      <c r="L181" s="180" t="str">
        <f aca="false">IF((D181="p"),F181," ")</f>
        <v> </v>
      </c>
      <c r="M181" s="180" t="str">
        <f aca="false">IF((D181="g"),F181," ")</f>
        <v> </v>
      </c>
      <c r="N181" s="180" t="str">
        <f aca="false">IF((D181="a"),F181," ")</f>
        <v> </v>
      </c>
      <c r="O181" s="180" t="str">
        <f aca="false">IF((D181="l"),F181," ")</f>
        <v> </v>
      </c>
      <c r="P181" s="180" t="str">
        <f aca="false">IF((D181="i"),F181," ")</f>
        <v> </v>
      </c>
      <c r="Q181" s="180" t="str">
        <f aca="false">IF((D181="b"),F181," ")</f>
        <v> </v>
      </c>
      <c r="R181" s="180" t="str">
        <f aca="false">IF((D181="o"),F181," ")</f>
        <v> </v>
      </c>
      <c r="S181" s="180" t="str">
        <f aca="false">IF((D181="f"),F181," ")</f>
        <v> </v>
      </c>
      <c r="U181" s="371"/>
    </row>
    <row r="182" customFormat="false" ht="12.75" hidden="false" customHeight="false" outlineLevel="0" collapsed="false">
      <c r="D182" s="371" t="str">
        <f aca="false">IF((F182&lt;&gt;0),"Enter Letter"," ")</f>
        <v> </v>
      </c>
      <c r="G182" s="180" t="str">
        <f aca="false">IF((D182="d"),F182," ")</f>
        <v> </v>
      </c>
      <c r="H182" s="180" t="str">
        <f aca="false">IF((D182="h"),F182," ")</f>
        <v> </v>
      </c>
      <c r="I182" s="180" t="str">
        <f aca="false">IF((D182="r"),F182," ")</f>
        <v> </v>
      </c>
      <c r="J182" s="180" t="str">
        <f aca="false">IF((D182="t"),F182," ")</f>
        <v> </v>
      </c>
      <c r="K182" s="180" t="str">
        <f aca="false">IF((D182="e"),F182," ")</f>
        <v> </v>
      </c>
      <c r="L182" s="180" t="str">
        <f aca="false">IF((D182="p"),F182," ")</f>
        <v> </v>
      </c>
      <c r="M182" s="180" t="str">
        <f aca="false">IF((D182="g"),F182," ")</f>
        <v> </v>
      </c>
      <c r="N182" s="180" t="str">
        <f aca="false">IF((D182="a"),F182," ")</f>
        <v> </v>
      </c>
      <c r="O182" s="180" t="str">
        <f aca="false">IF((D182="l"),F182," ")</f>
        <v> </v>
      </c>
      <c r="P182" s="180" t="str">
        <f aca="false">IF((D182="i"),F182," ")</f>
        <v> </v>
      </c>
      <c r="Q182" s="180" t="str">
        <f aca="false">IF((D182="b"),F182," ")</f>
        <v> </v>
      </c>
      <c r="R182" s="180" t="str">
        <f aca="false">IF((D182="o"),F182," ")</f>
        <v> </v>
      </c>
      <c r="S182" s="180" t="str">
        <f aca="false">IF((D182="f"),F182," ")</f>
        <v> </v>
      </c>
      <c r="U182" s="371"/>
    </row>
    <row r="183" customFormat="false" ht="12.75" hidden="false" customHeight="false" outlineLevel="0" collapsed="false">
      <c r="D183" s="371" t="str">
        <f aca="false">IF((F183&lt;&gt;0),"Enter Letter"," ")</f>
        <v> </v>
      </c>
      <c r="G183" s="180" t="str">
        <f aca="false">IF((D183="d"),F183," ")</f>
        <v> </v>
      </c>
      <c r="H183" s="180" t="str">
        <f aca="false">IF((D183="h"),F183," ")</f>
        <v> </v>
      </c>
      <c r="I183" s="180" t="str">
        <f aca="false">IF((D183="r"),F183," ")</f>
        <v> </v>
      </c>
      <c r="J183" s="180" t="str">
        <f aca="false">IF((D183="t"),F183," ")</f>
        <v> </v>
      </c>
      <c r="K183" s="180" t="str">
        <f aca="false">IF((D183="e"),F183," ")</f>
        <v> </v>
      </c>
      <c r="L183" s="180" t="str">
        <f aca="false">IF((D183="p"),F183," ")</f>
        <v> </v>
      </c>
      <c r="M183" s="180" t="str">
        <f aca="false">IF((D183="g"),F183," ")</f>
        <v> </v>
      </c>
      <c r="N183" s="180" t="str">
        <f aca="false">IF((D183="a"),F183," ")</f>
        <v> </v>
      </c>
      <c r="O183" s="180" t="str">
        <f aca="false">IF((D183="l"),F183," ")</f>
        <v> </v>
      </c>
      <c r="P183" s="180" t="str">
        <f aca="false">IF((D183="i"),F183," ")</f>
        <v> </v>
      </c>
      <c r="Q183" s="180" t="str">
        <f aca="false">IF((D183="b"),F183," ")</f>
        <v> </v>
      </c>
      <c r="R183" s="180" t="str">
        <f aca="false">IF((D183="o"),F183," ")</f>
        <v> </v>
      </c>
      <c r="S183" s="180" t="str">
        <f aca="false">IF((D183="f"),F183," ")</f>
        <v> </v>
      </c>
      <c r="U183" s="371"/>
    </row>
    <row r="184" customFormat="false" ht="12.75" hidden="false" customHeight="false" outlineLevel="0" collapsed="false">
      <c r="D184" s="371" t="str">
        <f aca="false">IF((F184&lt;&gt;0),"Enter Letter"," ")</f>
        <v> </v>
      </c>
      <c r="G184" s="180" t="str">
        <f aca="false">IF((D184="d"),F184," ")</f>
        <v> </v>
      </c>
      <c r="H184" s="180" t="str">
        <f aca="false">IF((D184="h"),F184," ")</f>
        <v> </v>
      </c>
      <c r="I184" s="180" t="str">
        <f aca="false">IF((D184="r"),F184," ")</f>
        <v> </v>
      </c>
      <c r="J184" s="180" t="str">
        <f aca="false">IF((D184="t"),F184," ")</f>
        <v> </v>
      </c>
      <c r="K184" s="180" t="str">
        <f aca="false">IF((D184="e"),F184," ")</f>
        <v> </v>
      </c>
      <c r="L184" s="180" t="str">
        <f aca="false">IF((D184="p"),F184," ")</f>
        <v> </v>
      </c>
      <c r="M184" s="180" t="str">
        <f aca="false">IF((D184="g"),F184," ")</f>
        <v> </v>
      </c>
      <c r="N184" s="180" t="str">
        <f aca="false">IF((D184="a"),F184," ")</f>
        <v> </v>
      </c>
      <c r="O184" s="180" t="str">
        <f aca="false">IF((D184="l"),F184," ")</f>
        <v> </v>
      </c>
      <c r="P184" s="180" t="str">
        <f aca="false">IF((D184="i"),F184," ")</f>
        <v> </v>
      </c>
      <c r="Q184" s="180" t="str">
        <f aca="false">IF((D184="b"),F184," ")</f>
        <v> </v>
      </c>
      <c r="R184" s="180" t="str">
        <f aca="false">IF((D184="o"),F184," ")</f>
        <v> </v>
      </c>
      <c r="S184" s="180" t="str">
        <f aca="false">IF((D184="f"),F184," ")</f>
        <v> </v>
      </c>
      <c r="U184" s="371"/>
    </row>
    <row r="185" customFormat="false" ht="12.75" hidden="false" customHeight="false" outlineLevel="0" collapsed="false">
      <c r="D185" s="371" t="str">
        <f aca="false">IF((F185&lt;&gt;0),"Enter Letter"," ")</f>
        <v> </v>
      </c>
      <c r="G185" s="180" t="str">
        <f aca="false">IF((D185="d"),F185," ")</f>
        <v> </v>
      </c>
      <c r="H185" s="180" t="str">
        <f aca="false">IF((D185="h"),F185," ")</f>
        <v> </v>
      </c>
      <c r="I185" s="180" t="str">
        <f aca="false">IF((D185="r"),F185," ")</f>
        <v> </v>
      </c>
      <c r="J185" s="180" t="str">
        <f aca="false">IF((D185="t"),F185," ")</f>
        <v> </v>
      </c>
      <c r="K185" s="180" t="str">
        <f aca="false">IF((D185="e"),F185," ")</f>
        <v> </v>
      </c>
      <c r="L185" s="180" t="str">
        <f aca="false">IF((D185="p"),F185," ")</f>
        <v> </v>
      </c>
      <c r="M185" s="180" t="str">
        <f aca="false">IF((D185="g"),F185," ")</f>
        <v> </v>
      </c>
      <c r="N185" s="180" t="str">
        <f aca="false">IF((D185="a"),F185," ")</f>
        <v> </v>
      </c>
      <c r="O185" s="180" t="str">
        <f aca="false">IF((D185="l"),F185," ")</f>
        <v> </v>
      </c>
      <c r="P185" s="180" t="str">
        <f aca="false">IF((D185="i"),F185," ")</f>
        <v> </v>
      </c>
      <c r="Q185" s="180" t="str">
        <f aca="false">IF((D185="b"),F185," ")</f>
        <v> </v>
      </c>
      <c r="R185" s="180" t="str">
        <f aca="false">IF((D185="o"),F185," ")</f>
        <v> </v>
      </c>
      <c r="S185" s="180" t="str">
        <f aca="false">IF((D185="f"),F185," ")</f>
        <v> </v>
      </c>
      <c r="U185" s="371"/>
    </row>
    <row r="186" customFormat="false" ht="12.75" hidden="false" customHeight="false" outlineLevel="0" collapsed="false">
      <c r="D186" s="371" t="str">
        <f aca="false">IF((F186&lt;&gt;0),"Enter Letter"," ")</f>
        <v> </v>
      </c>
      <c r="G186" s="180" t="str">
        <f aca="false">IF((D186="d"),F186," ")</f>
        <v> </v>
      </c>
      <c r="H186" s="180" t="str">
        <f aca="false">IF((D186="h"),F186," ")</f>
        <v> </v>
      </c>
      <c r="I186" s="180" t="str">
        <f aca="false">IF((D186="r"),F186," ")</f>
        <v> </v>
      </c>
      <c r="J186" s="180" t="str">
        <f aca="false">IF((D186="t"),F186," ")</f>
        <v> </v>
      </c>
      <c r="K186" s="180" t="str">
        <f aca="false">IF((D186="e"),F186," ")</f>
        <v> </v>
      </c>
      <c r="L186" s="180" t="str">
        <f aca="false">IF((D186="p"),F186," ")</f>
        <v> </v>
      </c>
      <c r="M186" s="180" t="str">
        <f aca="false">IF((D186="g"),F186," ")</f>
        <v> </v>
      </c>
      <c r="N186" s="180" t="str">
        <f aca="false">IF((D186="a"),F186," ")</f>
        <v> </v>
      </c>
      <c r="O186" s="180" t="str">
        <f aca="false">IF((D186="l"),F186," ")</f>
        <v> </v>
      </c>
      <c r="P186" s="180" t="str">
        <f aca="false">IF((D186="i"),F186," ")</f>
        <v> </v>
      </c>
      <c r="Q186" s="180" t="str">
        <f aca="false">IF((D186="b"),F186," ")</f>
        <v> </v>
      </c>
      <c r="R186" s="180" t="str">
        <f aca="false">IF((D186="o"),F186," ")</f>
        <v> </v>
      </c>
      <c r="S186" s="180" t="str">
        <f aca="false">IF((D186="f"),F186," ")</f>
        <v> </v>
      </c>
      <c r="U186" s="371"/>
    </row>
    <row r="187" customFormat="false" ht="12.75" hidden="false" customHeight="false" outlineLevel="0" collapsed="false">
      <c r="D187" s="371" t="str">
        <f aca="false">IF((F187&lt;&gt;0),"Enter Letter"," ")</f>
        <v> </v>
      </c>
      <c r="G187" s="180" t="str">
        <f aca="false">IF((D187="d"),F187," ")</f>
        <v> </v>
      </c>
      <c r="H187" s="180" t="str">
        <f aca="false">IF((D187="h"),F187," ")</f>
        <v> </v>
      </c>
      <c r="I187" s="180" t="str">
        <f aca="false">IF((D187="r"),F187," ")</f>
        <v> </v>
      </c>
      <c r="J187" s="180" t="str">
        <f aca="false">IF((D187="t"),F187," ")</f>
        <v> </v>
      </c>
      <c r="K187" s="180" t="str">
        <f aca="false">IF((D187="e"),F187," ")</f>
        <v> </v>
      </c>
      <c r="L187" s="180" t="str">
        <f aca="false">IF((D187="p"),F187," ")</f>
        <v> </v>
      </c>
      <c r="M187" s="180" t="str">
        <f aca="false">IF((D187="g"),F187," ")</f>
        <v> </v>
      </c>
      <c r="N187" s="180" t="str">
        <f aca="false">IF((D187="a"),F187," ")</f>
        <v> </v>
      </c>
      <c r="O187" s="180" t="str">
        <f aca="false">IF((D187="l"),F187," ")</f>
        <v> </v>
      </c>
      <c r="P187" s="180" t="str">
        <f aca="false">IF((D187="i"),F187," ")</f>
        <v> </v>
      </c>
      <c r="Q187" s="180" t="str">
        <f aca="false">IF((D187="b"),F187," ")</f>
        <v> </v>
      </c>
      <c r="R187" s="180" t="str">
        <f aca="false">IF((D187="o"),F187," ")</f>
        <v> </v>
      </c>
      <c r="S187" s="180" t="str">
        <f aca="false">IF((D187="f"),F187," ")</f>
        <v> </v>
      </c>
      <c r="U187" s="371"/>
    </row>
    <row r="188" customFormat="false" ht="12.75" hidden="false" customHeight="false" outlineLevel="0" collapsed="false">
      <c r="D188" s="371" t="str">
        <f aca="false">IF((F188&lt;&gt;0),"Enter Letter"," ")</f>
        <v> </v>
      </c>
      <c r="G188" s="180" t="str">
        <f aca="false">IF((D188="d"),F188," ")</f>
        <v> </v>
      </c>
      <c r="H188" s="180" t="str">
        <f aca="false">IF((D188="h"),F188," ")</f>
        <v> </v>
      </c>
      <c r="I188" s="180" t="str">
        <f aca="false">IF((D188="r"),F188," ")</f>
        <v> </v>
      </c>
      <c r="J188" s="180" t="str">
        <f aca="false">IF((D188="t"),F188," ")</f>
        <v> </v>
      </c>
      <c r="K188" s="180" t="str">
        <f aca="false">IF((D188="e"),F188," ")</f>
        <v> </v>
      </c>
      <c r="L188" s="180" t="str">
        <f aca="false">IF((D188="p"),F188," ")</f>
        <v> </v>
      </c>
      <c r="M188" s="180" t="str">
        <f aca="false">IF((D188="g"),F188," ")</f>
        <v> </v>
      </c>
      <c r="N188" s="180" t="str">
        <f aca="false">IF((D188="a"),F188," ")</f>
        <v> </v>
      </c>
      <c r="O188" s="180" t="str">
        <f aca="false">IF((D188="l"),F188," ")</f>
        <v> </v>
      </c>
      <c r="P188" s="180" t="str">
        <f aca="false">IF((D188="i"),F188," ")</f>
        <v> </v>
      </c>
      <c r="Q188" s="180" t="str">
        <f aca="false">IF((D188="b"),F188," ")</f>
        <v> </v>
      </c>
      <c r="R188" s="180" t="str">
        <f aca="false">IF((D188="o"),F188," ")</f>
        <v> </v>
      </c>
      <c r="S188" s="180" t="str">
        <f aca="false">IF((D188="f"),F188," ")</f>
        <v> </v>
      </c>
      <c r="U188" s="371"/>
    </row>
    <row r="189" customFormat="false" ht="12.75" hidden="false" customHeight="false" outlineLevel="0" collapsed="false">
      <c r="D189" s="371" t="str">
        <f aca="false">IF((F189&lt;&gt;0),"Enter Letter"," ")</f>
        <v> </v>
      </c>
      <c r="G189" s="180" t="str">
        <f aca="false">IF((D189="d"),F189," ")</f>
        <v> </v>
      </c>
      <c r="H189" s="180" t="str">
        <f aca="false">IF((D189="h"),F189," ")</f>
        <v> </v>
      </c>
      <c r="I189" s="180" t="str">
        <f aca="false">IF((D189="r"),F189," ")</f>
        <v> </v>
      </c>
      <c r="J189" s="180" t="str">
        <f aca="false">IF((D189="t"),F189," ")</f>
        <v> </v>
      </c>
      <c r="K189" s="180" t="str">
        <f aca="false">IF((D189="e"),F189," ")</f>
        <v> </v>
      </c>
      <c r="L189" s="180" t="str">
        <f aca="false">IF((D189="p"),F189," ")</f>
        <v> </v>
      </c>
      <c r="M189" s="180" t="str">
        <f aca="false">IF((D189="g"),F189," ")</f>
        <v> </v>
      </c>
      <c r="N189" s="180" t="str">
        <f aca="false">IF((D189="a"),F189," ")</f>
        <v> </v>
      </c>
      <c r="O189" s="180" t="str">
        <f aca="false">IF((D189="l"),F189," ")</f>
        <v> </v>
      </c>
      <c r="P189" s="180" t="str">
        <f aca="false">IF((D189="i"),F189," ")</f>
        <v> </v>
      </c>
      <c r="Q189" s="180" t="str">
        <f aca="false">IF((D189="b"),F189," ")</f>
        <v> </v>
      </c>
      <c r="R189" s="180" t="str">
        <f aca="false">IF((D189="o"),F189," ")</f>
        <v> </v>
      </c>
      <c r="S189" s="180" t="str">
        <f aca="false">IF((D189="f"),F189," ")</f>
        <v> </v>
      </c>
      <c r="U189" s="371"/>
    </row>
    <row r="190" customFormat="false" ht="12.75" hidden="false" customHeight="false" outlineLevel="0" collapsed="false">
      <c r="D190" s="371" t="str">
        <f aca="false">IF((F190&lt;&gt;0),"Enter Letter"," ")</f>
        <v> </v>
      </c>
      <c r="G190" s="180" t="str">
        <f aca="false">IF((D190="d"),F190," ")</f>
        <v> </v>
      </c>
      <c r="H190" s="180" t="str">
        <f aca="false">IF((D190="h"),F190," ")</f>
        <v> </v>
      </c>
      <c r="I190" s="180" t="str">
        <f aca="false">IF((D190="r"),F190," ")</f>
        <v> </v>
      </c>
      <c r="J190" s="180" t="str">
        <f aca="false">IF((D190="t"),F190," ")</f>
        <v> </v>
      </c>
      <c r="K190" s="180" t="str">
        <f aca="false">IF((D190="e"),F190," ")</f>
        <v> </v>
      </c>
      <c r="L190" s="180" t="str">
        <f aca="false">IF((D190="p"),F190," ")</f>
        <v> </v>
      </c>
      <c r="M190" s="180" t="str">
        <f aca="false">IF((D190="g"),F190," ")</f>
        <v> </v>
      </c>
      <c r="N190" s="180" t="str">
        <f aca="false">IF((D190="a"),F190," ")</f>
        <v> </v>
      </c>
      <c r="O190" s="180" t="str">
        <f aca="false">IF((D190="l"),F190," ")</f>
        <v> </v>
      </c>
      <c r="P190" s="180" t="str">
        <f aca="false">IF((D190="i"),F190," ")</f>
        <v> </v>
      </c>
      <c r="Q190" s="180" t="str">
        <f aca="false">IF((D190="b"),F190," ")</f>
        <v> </v>
      </c>
      <c r="R190" s="180" t="str">
        <f aca="false">IF((D190="o"),F190," ")</f>
        <v> </v>
      </c>
      <c r="S190" s="180" t="str">
        <f aca="false">IF((D190="f"),F190," ")</f>
        <v> </v>
      </c>
      <c r="U190" s="371"/>
    </row>
    <row r="191" customFormat="false" ht="12.75" hidden="false" customHeight="false" outlineLevel="0" collapsed="false">
      <c r="D191" s="371" t="str">
        <f aca="false">IF((F191&lt;&gt;0),"Enter Letter"," ")</f>
        <v> </v>
      </c>
      <c r="G191" s="180" t="str">
        <f aca="false">IF((D191="d"),F191," ")</f>
        <v> </v>
      </c>
      <c r="H191" s="180" t="str">
        <f aca="false">IF((D191="h"),F191," ")</f>
        <v> </v>
      </c>
      <c r="I191" s="180" t="str">
        <f aca="false">IF((D191="r"),F191," ")</f>
        <v> </v>
      </c>
      <c r="J191" s="180" t="str">
        <f aca="false">IF((D191="t"),F191," ")</f>
        <v> </v>
      </c>
      <c r="K191" s="180" t="str">
        <f aca="false">IF((D191="e"),F191," ")</f>
        <v> </v>
      </c>
      <c r="L191" s="180" t="str">
        <f aca="false">IF((D191="p"),F191," ")</f>
        <v> </v>
      </c>
      <c r="M191" s="180" t="str">
        <f aca="false">IF((D191="g"),F191," ")</f>
        <v> </v>
      </c>
      <c r="N191" s="180" t="str">
        <f aca="false">IF((D191="a"),F191," ")</f>
        <v> </v>
      </c>
      <c r="O191" s="180" t="str">
        <f aca="false">IF((D191="l"),F191," ")</f>
        <v> </v>
      </c>
      <c r="P191" s="180" t="str">
        <f aca="false">IF((D191="i"),F191," ")</f>
        <v> </v>
      </c>
      <c r="Q191" s="180" t="str">
        <f aca="false">IF((D191="b"),F191," ")</f>
        <v> </v>
      </c>
      <c r="R191" s="180" t="str">
        <f aca="false">IF((D191="o"),F191," ")</f>
        <v> </v>
      </c>
      <c r="S191" s="180" t="str">
        <f aca="false">IF((D191="f"),F191," ")</f>
        <v> </v>
      </c>
      <c r="U191" s="371"/>
    </row>
    <row r="192" customFormat="false" ht="12.75" hidden="false" customHeight="false" outlineLevel="0" collapsed="false">
      <c r="D192" s="371" t="str">
        <f aca="false">IF((F192&lt;&gt;0),"Enter Letter"," ")</f>
        <v> </v>
      </c>
      <c r="G192" s="180" t="str">
        <f aca="false">IF((D192="d"),F192," ")</f>
        <v> </v>
      </c>
      <c r="H192" s="180" t="str">
        <f aca="false">IF((D192="h"),F192," ")</f>
        <v> </v>
      </c>
      <c r="I192" s="180" t="str">
        <f aca="false">IF((D192="r"),F192," ")</f>
        <v> </v>
      </c>
      <c r="J192" s="180" t="str">
        <f aca="false">IF((D192="t"),F192," ")</f>
        <v> </v>
      </c>
      <c r="K192" s="180" t="str">
        <f aca="false">IF((D192="e"),F192," ")</f>
        <v> </v>
      </c>
      <c r="L192" s="180" t="str">
        <f aca="false">IF((D192="p"),F192," ")</f>
        <v> </v>
      </c>
      <c r="M192" s="180" t="str">
        <f aca="false">IF((D192="g"),F192," ")</f>
        <v> </v>
      </c>
      <c r="N192" s="180" t="str">
        <f aca="false">IF((D192="a"),F192," ")</f>
        <v> </v>
      </c>
      <c r="O192" s="180" t="str">
        <f aca="false">IF((D192="l"),F192," ")</f>
        <v> </v>
      </c>
      <c r="P192" s="180" t="str">
        <f aca="false">IF((D192="i"),F192," ")</f>
        <v> </v>
      </c>
      <c r="Q192" s="180" t="str">
        <f aca="false">IF((D192="b"),F192," ")</f>
        <v> </v>
      </c>
      <c r="R192" s="180" t="str">
        <f aca="false">IF((D192="o"),F192," ")</f>
        <v> </v>
      </c>
      <c r="S192" s="180" t="str">
        <f aca="false">IF((D192="f"),F192," ")</f>
        <v> </v>
      </c>
      <c r="U192" s="371"/>
    </row>
    <row r="193" customFormat="false" ht="12.75" hidden="false" customHeight="false" outlineLevel="0" collapsed="false">
      <c r="D193" s="371" t="str">
        <f aca="false">IF((F193&lt;&gt;0),"Enter Letter"," ")</f>
        <v> </v>
      </c>
      <c r="G193" s="180" t="str">
        <f aca="false">IF((D193="d"),F193," ")</f>
        <v> </v>
      </c>
      <c r="H193" s="180" t="str">
        <f aca="false">IF((D193="h"),F193," ")</f>
        <v> </v>
      </c>
      <c r="I193" s="180" t="str">
        <f aca="false">IF((D193="r"),F193," ")</f>
        <v> </v>
      </c>
      <c r="J193" s="180" t="str">
        <f aca="false">IF((D193="t"),F193," ")</f>
        <v> </v>
      </c>
      <c r="K193" s="180" t="str">
        <f aca="false">IF((D193="e"),F193," ")</f>
        <v> </v>
      </c>
      <c r="L193" s="180" t="str">
        <f aca="false">IF((D193="p"),F193," ")</f>
        <v> </v>
      </c>
      <c r="M193" s="180" t="str">
        <f aca="false">IF((D193="g"),F193," ")</f>
        <v> </v>
      </c>
      <c r="N193" s="180" t="str">
        <f aca="false">IF((D193="a"),F193," ")</f>
        <v> </v>
      </c>
      <c r="O193" s="180" t="str">
        <f aca="false">IF((D193="l"),F193," ")</f>
        <v> </v>
      </c>
      <c r="P193" s="180" t="str">
        <f aca="false">IF((D193="i"),F193," ")</f>
        <v> </v>
      </c>
      <c r="Q193" s="180" t="str">
        <f aca="false">IF((D193="b"),F193," ")</f>
        <v> </v>
      </c>
      <c r="R193" s="180" t="str">
        <f aca="false">IF((D193="o"),F193," ")</f>
        <v> </v>
      </c>
      <c r="S193" s="180" t="str">
        <f aca="false">IF((D193="f"),F193," ")</f>
        <v> </v>
      </c>
      <c r="U193" s="371"/>
    </row>
    <row r="194" customFormat="false" ht="12.75" hidden="false" customHeight="false" outlineLevel="0" collapsed="false">
      <c r="D194" s="371" t="str">
        <f aca="false">IF((F194&lt;&gt;0),"Enter Letter"," ")</f>
        <v> </v>
      </c>
      <c r="G194" s="180" t="str">
        <f aca="false">IF((D194="d"),F194," ")</f>
        <v> </v>
      </c>
      <c r="H194" s="180" t="str">
        <f aca="false">IF((D194="h"),F194," ")</f>
        <v> </v>
      </c>
      <c r="I194" s="180" t="str">
        <f aca="false">IF((D194="r"),F194," ")</f>
        <v> </v>
      </c>
      <c r="J194" s="180" t="str">
        <f aca="false">IF((D194="t"),F194," ")</f>
        <v> </v>
      </c>
      <c r="K194" s="180" t="str">
        <f aca="false">IF((D194="e"),F194," ")</f>
        <v> </v>
      </c>
      <c r="L194" s="180" t="str">
        <f aca="false">IF((D194="p"),F194," ")</f>
        <v> </v>
      </c>
      <c r="M194" s="180" t="str">
        <f aca="false">IF((D194="g"),F194," ")</f>
        <v> </v>
      </c>
      <c r="N194" s="180" t="str">
        <f aca="false">IF((D194="a"),F194," ")</f>
        <v> </v>
      </c>
      <c r="O194" s="180" t="str">
        <f aca="false">IF((D194="l"),F194," ")</f>
        <v> </v>
      </c>
      <c r="P194" s="180" t="str">
        <f aca="false">IF((D194="i"),F194," ")</f>
        <v> </v>
      </c>
      <c r="Q194" s="180" t="str">
        <f aca="false">IF((D194="b"),F194," ")</f>
        <v> </v>
      </c>
      <c r="R194" s="180" t="str">
        <f aca="false">IF((D194="o"),F194," ")</f>
        <v> </v>
      </c>
      <c r="S194" s="180" t="str">
        <f aca="false">IF((D194="f"),F194," ")</f>
        <v> </v>
      </c>
      <c r="U194" s="371"/>
    </row>
    <row r="195" customFormat="false" ht="12.75" hidden="false" customHeight="false" outlineLevel="0" collapsed="false">
      <c r="D195" s="371" t="str">
        <f aca="false">IF((F195&lt;&gt;0),"Enter Letter"," ")</f>
        <v> </v>
      </c>
      <c r="G195" s="180" t="str">
        <f aca="false">IF((D195="d"),F195," ")</f>
        <v> </v>
      </c>
      <c r="H195" s="180" t="str">
        <f aca="false">IF((D195="h"),F195," ")</f>
        <v> </v>
      </c>
      <c r="I195" s="180" t="str">
        <f aca="false">IF((D195="r"),F195," ")</f>
        <v> </v>
      </c>
      <c r="J195" s="180" t="str">
        <f aca="false">IF((D195="t"),F195," ")</f>
        <v> </v>
      </c>
      <c r="K195" s="180" t="str">
        <f aca="false">IF((D195="e"),F195," ")</f>
        <v> </v>
      </c>
      <c r="L195" s="180" t="str">
        <f aca="false">IF((D195="p"),F195," ")</f>
        <v> </v>
      </c>
      <c r="M195" s="180" t="str">
        <f aca="false">IF((D195="g"),F195," ")</f>
        <v> </v>
      </c>
      <c r="N195" s="180" t="str">
        <f aca="false">IF((D195="a"),F195," ")</f>
        <v> </v>
      </c>
      <c r="O195" s="180" t="str">
        <f aca="false">IF((D195="l"),F195," ")</f>
        <v> </v>
      </c>
      <c r="P195" s="180" t="str">
        <f aca="false">IF((D195="i"),F195," ")</f>
        <v> </v>
      </c>
      <c r="Q195" s="180" t="str">
        <f aca="false">IF((D195="b"),F195," ")</f>
        <v> </v>
      </c>
      <c r="R195" s="180" t="str">
        <f aca="false">IF((D195="o"),F195," ")</f>
        <v> </v>
      </c>
      <c r="S195" s="180" t="str">
        <f aca="false">IF((D195="f"),F195," ")</f>
        <v> </v>
      </c>
      <c r="U195" s="371"/>
    </row>
    <row r="196" customFormat="false" ht="12.75" hidden="false" customHeight="false" outlineLevel="0" collapsed="false">
      <c r="D196" s="371" t="str">
        <f aca="false">IF((F196&lt;&gt;0),"Enter Letter"," ")</f>
        <v> </v>
      </c>
      <c r="G196" s="180" t="str">
        <f aca="false">IF((D196="d"),F196," ")</f>
        <v> </v>
      </c>
      <c r="H196" s="180" t="str">
        <f aca="false">IF((D196="h"),F196," ")</f>
        <v> </v>
      </c>
      <c r="I196" s="180" t="str">
        <f aca="false">IF((D196="r"),F196," ")</f>
        <v> </v>
      </c>
      <c r="J196" s="180" t="str">
        <f aca="false">IF((D196="t"),F196," ")</f>
        <v> </v>
      </c>
      <c r="K196" s="180" t="str">
        <f aca="false">IF((D196="e"),F196," ")</f>
        <v> </v>
      </c>
      <c r="L196" s="180" t="str">
        <f aca="false">IF((D196="p"),F196," ")</f>
        <v> </v>
      </c>
      <c r="M196" s="180" t="str">
        <f aca="false">IF((D196="g"),F196," ")</f>
        <v> </v>
      </c>
      <c r="N196" s="180" t="str">
        <f aca="false">IF((D196="a"),F196," ")</f>
        <v> </v>
      </c>
      <c r="O196" s="180" t="str">
        <f aca="false">IF((D196="l"),F196," ")</f>
        <v> </v>
      </c>
      <c r="P196" s="180" t="str">
        <f aca="false">IF((D196="i"),F196," ")</f>
        <v> </v>
      </c>
      <c r="Q196" s="180" t="str">
        <f aca="false">IF((D196="b"),F196," ")</f>
        <v> </v>
      </c>
      <c r="R196" s="180" t="str">
        <f aca="false">IF((D196="o"),F196," ")</f>
        <v> </v>
      </c>
      <c r="S196" s="180" t="str">
        <f aca="false">IF((D196="f"),F196," ")</f>
        <v> </v>
      </c>
      <c r="U196" s="371"/>
    </row>
    <row r="197" customFormat="false" ht="12.75" hidden="false" customHeight="false" outlineLevel="0" collapsed="false">
      <c r="D197" s="371" t="str">
        <f aca="false">IF((F197&lt;&gt;0),"Enter Letter"," ")</f>
        <v> </v>
      </c>
      <c r="G197" s="180" t="str">
        <f aca="false">IF((D197="d"),F197," ")</f>
        <v> </v>
      </c>
      <c r="H197" s="180" t="str">
        <f aca="false">IF((D197="h"),F197," ")</f>
        <v> </v>
      </c>
      <c r="I197" s="180" t="str">
        <f aca="false">IF((D197="r"),F197," ")</f>
        <v> </v>
      </c>
      <c r="J197" s="180" t="str">
        <f aca="false">IF((D197="t"),F197," ")</f>
        <v> </v>
      </c>
      <c r="K197" s="180" t="str">
        <f aca="false">IF((D197="e"),F197," ")</f>
        <v> </v>
      </c>
      <c r="L197" s="180" t="str">
        <f aca="false">IF((D197="p"),F197," ")</f>
        <v> </v>
      </c>
      <c r="M197" s="180" t="str">
        <f aca="false">IF((D197="g"),F197," ")</f>
        <v> </v>
      </c>
      <c r="N197" s="180" t="str">
        <f aca="false">IF((D197="a"),F197," ")</f>
        <v> </v>
      </c>
      <c r="O197" s="180" t="str">
        <f aca="false">IF((D197="l"),F197," ")</f>
        <v> </v>
      </c>
      <c r="P197" s="180" t="str">
        <f aca="false">IF((D197="i"),F197," ")</f>
        <v> </v>
      </c>
      <c r="Q197" s="180" t="str">
        <f aca="false">IF((D197="b"),F197," ")</f>
        <v> </v>
      </c>
      <c r="R197" s="180" t="str">
        <f aca="false">IF((D197="o"),F197," ")</f>
        <v> </v>
      </c>
      <c r="S197" s="180" t="str">
        <f aca="false">IF((D197="f"),F197," ")</f>
        <v> </v>
      </c>
      <c r="U197" s="371"/>
    </row>
    <row r="198" customFormat="false" ht="12.75" hidden="false" customHeight="false" outlineLevel="0" collapsed="false">
      <c r="D198" s="371" t="str">
        <f aca="false">IF((F198&lt;&gt;0),"Enter Letter"," ")</f>
        <v> </v>
      </c>
      <c r="G198" s="180" t="str">
        <f aca="false">IF((D198="d"),F198," ")</f>
        <v> </v>
      </c>
      <c r="H198" s="180" t="str">
        <f aca="false">IF((D198="h"),F198," ")</f>
        <v> </v>
      </c>
      <c r="I198" s="180" t="str">
        <f aca="false">IF((D198="r"),F198," ")</f>
        <v> </v>
      </c>
      <c r="J198" s="180" t="str">
        <f aca="false">IF((D198="t"),F198," ")</f>
        <v> </v>
      </c>
      <c r="K198" s="180" t="str">
        <f aca="false">IF((D198="e"),F198," ")</f>
        <v> </v>
      </c>
      <c r="L198" s="180" t="str">
        <f aca="false">IF((D198="p"),F198," ")</f>
        <v> </v>
      </c>
      <c r="M198" s="180" t="str">
        <f aca="false">IF((D198="g"),F198," ")</f>
        <v> </v>
      </c>
      <c r="N198" s="180" t="str">
        <f aca="false">IF((D198="a"),F198," ")</f>
        <v> </v>
      </c>
      <c r="O198" s="180" t="str">
        <f aca="false">IF((D198="l"),F198," ")</f>
        <v> </v>
      </c>
      <c r="P198" s="180" t="str">
        <f aca="false">IF((D198="i"),F198," ")</f>
        <v> </v>
      </c>
      <c r="Q198" s="180" t="str">
        <f aca="false">IF((D198="b"),F198," ")</f>
        <v> </v>
      </c>
      <c r="R198" s="180" t="str">
        <f aca="false">IF((D198="o"),F198," ")</f>
        <v> </v>
      </c>
      <c r="S198" s="180" t="str">
        <f aca="false">IF((D198="f"),F198," ")</f>
        <v> </v>
      </c>
      <c r="U198" s="371"/>
    </row>
    <row r="199" customFormat="false" ht="12.75" hidden="false" customHeight="false" outlineLevel="0" collapsed="false">
      <c r="D199" s="371" t="str">
        <f aca="false">IF((F199&lt;&gt;0),"Enter Letter"," ")</f>
        <v> </v>
      </c>
      <c r="G199" s="180" t="str">
        <f aca="false">IF((D199="d"),F199," ")</f>
        <v> </v>
      </c>
      <c r="H199" s="180" t="str">
        <f aca="false">IF((D199="h"),F199," ")</f>
        <v> </v>
      </c>
      <c r="I199" s="180" t="str">
        <f aca="false">IF((D199="r"),F199," ")</f>
        <v> </v>
      </c>
      <c r="J199" s="180" t="str">
        <f aca="false">IF((D199="t"),F199," ")</f>
        <v> </v>
      </c>
      <c r="K199" s="180" t="str">
        <f aca="false">IF((D199="e"),F199," ")</f>
        <v> </v>
      </c>
      <c r="L199" s="180" t="str">
        <f aca="false">IF((D199="p"),F199," ")</f>
        <v> </v>
      </c>
      <c r="M199" s="180" t="str">
        <f aca="false">IF((D199="g"),F199," ")</f>
        <v> </v>
      </c>
      <c r="N199" s="180" t="str">
        <f aca="false">IF((D199="a"),F199," ")</f>
        <v> </v>
      </c>
      <c r="O199" s="180" t="str">
        <f aca="false">IF((D199="l"),F199," ")</f>
        <v> </v>
      </c>
      <c r="P199" s="180" t="str">
        <f aca="false">IF((D199="i"),F199," ")</f>
        <v> </v>
      </c>
      <c r="Q199" s="180" t="str">
        <f aca="false">IF((D199="b"),F199," ")</f>
        <v> </v>
      </c>
      <c r="R199" s="180" t="str">
        <f aca="false">IF((D199="o"),F199," ")</f>
        <v> </v>
      </c>
      <c r="S199" s="180" t="str">
        <f aca="false">IF((D199="f"),F199," ")</f>
        <v> </v>
      </c>
      <c r="U199" s="371"/>
    </row>
    <row r="200" customFormat="false" ht="12.75" hidden="false" customHeight="false" outlineLevel="0" collapsed="false">
      <c r="D200" s="371" t="str">
        <f aca="false">IF((F200&lt;&gt;0),"Enter Letter"," ")</f>
        <v> </v>
      </c>
      <c r="G200" s="180" t="str">
        <f aca="false">IF((D200="d"),F200," ")</f>
        <v> </v>
      </c>
      <c r="H200" s="180" t="str">
        <f aca="false">IF((D200="h"),F200," ")</f>
        <v> </v>
      </c>
      <c r="I200" s="180" t="str">
        <f aca="false">IF((D200="r"),F200," ")</f>
        <v> </v>
      </c>
      <c r="J200" s="180" t="str">
        <f aca="false">IF((D200="t"),F200," ")</f>
        <v> </v>
      </c>
      <c r="K200" s="180" t="str">
        <f aca="false">IF((D200="e"),F200," ")</f>
        <v> </v>
      </c>
      <c r="L200" s="180" t="str">
        <f aca="false">IF((D200="p"),F200," ")</f>
        <v> </v>
      </c>
      <c r="M200" s="180" t="str">
        <f aca="false">IF((D200="g"),F200," ")</f>
        <v> </v>
      </c>
      <c r="N200" s="180" t="str">
        <f aca="false">IF((D200="a"),F200," ")</f>
        <v> </v>
      </c>
      <c r="O200" s="180" t="str">
        <f aca="false">IF((D200="l"),F200," ")</f>
        <v> </v>
      </c>
      <c r="P200" s="180" t="str">
        <f aca="false">IF((D200="i"),F200," ")</f>
        <v> </v>
      </c>
      <c r="Q200" s="180" t="str">
        <f aca="false">IF((D200="b"),F200," ")</f>
        <v> </v>
      </c>
      <c r="R200" s="180" t="str">
        <f aca="false">IF((D200="o"),F200," ")</f>
        <v> </v>
      </c>
      <c r="S200" s="180" t="str">
        <f aca="false">IF((D200="f"),F200," ")</f>
        <v> </v>
      </c>
      <c r="U200" s="371"/>
    </row>
    <row r="201" customFormat="false" ht="12.75" hidden="false" customHeight="false" outlineLevel="0" collapsed="false">
      <c r="D201" s="371" t="str">
        <f aca="false">IF((F201&lt;&gt;0),"Enter Letter"," ")</f>
        <v> </v>
      </c>
      <c r="G201" s="180" t="str">
        <f aca="false">IF((D201="d"),F201," ")</f>
        <v> </v>
      </c>
      <c r="H201" s="180" t="str">
        <f aca="false">IF((D201="h"),F201," ")</f>
        <v> </v>
      </c>
      <c r="I201" s="180" t="str">
        <f aca="false">IF((D201="r"),F201," ")</f>
        <v> </v>
      </c>
      <c r="J201" s="180" t="str">
        <f aca="false">IF((D201="t"),F201," ")</f>
        <v> </v>
      </c>
      <c r="K201" s="180" t="str">
        <f aca="false">IF((D201="e"),F201," ")</f>
        <v> </v>
      </c>
      <c r="L201" s="180" t="str">
        <f aca="false">IF((D201="p"),F201," ")</f>
        <v> </v>
      </c>
      <c r="M201" s="180" t="str">
        <f aca="false">IF((D201="g"),F201," ")</f>
        <v> </v>
      </c>
      <c r="N201" s="180" t="str">
        <f aca="false">IF((D201="a"),F201," ")</f>
        <v> </v>
      </c>
      <c r="O201" s="180" t="str">
        <f aca="false">IF((D201="l"),F201," ")</f>
        <v> </v>
      </c>
      <c r="P201" s="180" t="str">
        <f aca="false">IF((D201="i"),F201," ")</f>
        <v> </v>
      </c>
      <c r="Q201" s="180" t="str">
        <f aca="false">IF((D201="b"),F201," ")</f>
        <v> </v>
      </c>
      <c r="R201" s="180" t="str">
        <f aca="false">IF((D201="o"),F201," ")</f>
        <v> </v>
      </c>
      <c r="S201" s="180" t="str">
        <f aca="false">IF((D201="f"),F201," ")</f>
        <v> </v>
      </c>
      <c r="U201" s="371"/>
    </row>
    <row r="202" customFormat="false" ht="12.75" hidden="false" customHeight="false" outlineLevel="0" collapsed="false">
      <c r="D202" s="371" t="str">
        <f aca="false">IF((F202&lt;&gt;0),"Enter Letter"," ")</f>
        <v> </v>
      </c>
      <c r="G202" s="180" t="str">
        <f aca="false">IF((D202="d"),F202," ")</f>
        <v> </v>
      </c>
      <c r="H202" s="180" t="str">
        <f aca="false">IF((D202="h"),F202," ")</f>
        <v> </v>
      </c>
      <c r="I202" s="180" t="str">
        <f aca="false">IF((D202="r"),F202," ")</f>
        <v> </v>
      </c>
      <c r="J202" s="180" t="str">
        <f aca="false">IF((D202="t"),F202," ")</f>
        <v> </v>
      </c>
      <c r="K202" s="180" t="str">
        <f aca="false">IF((D202="e"),F202," ")</f>
        <v> </v>
      </c>
      <c r="L202" s="180" t="str">
        <f aca="false">IF((D202="p"),F202," ")</f>
        <v> </v>
      </c>
      <c r="M202" s="180" t="str">
        <f aca="false">IF((D202="g"),F202," ")</f>
        <v> </v>
      </c>
      <c r="N202" s="180" t="str">
        <f aca="false">IF((D202="a"),F202," ")</f>
        <v> </v>
      </c>
      <c r="O202" s="180" t="str">
        <f aca="false">IF((D202="l"),F202," ")</f>
        <v> </v>
      </c>
      <c r="P202" s="180" t="str">
        <f aca="false">IF((D202="i"),F202," ")</f>
        <v> </v>
      </c>
      <c r="Q202" s="180" t="str">
        <f aca="false">IF((D202="b"),F202," ")</f>
        <v> </v>
      </c>
      <c r="R202" s="180" t="str">
        <f aca="false">IF((D202="o"),F202," ")</f>
        <v> </v>
      </c>
      <c r="S202" s="180" t="str">
        <f aca="false">IF((D202="f"),F202," ")</f>
        <v> </v>
      </c>
      <c r="U202" s="371"/>
    </row>
    <row r="203" customFormat="false" ht="12.75" hidden="false" customHeight="false" outlineLevel="0" collapsed="false">
      <c r="D203" s="371" t="str">
        <f aca="false">IF((F203&lt;&gt;0),"Enter Letter"," ")</f>
        <v> </v>
      </c>
      <c r="G203" s="180" t="str">
        <f aca="false">IF((D203="d"),F203," ")</f>
        <v> </v>
      </c>
      <c r="H203" s="180" t="str">
        <f aca="false">IF((D203="h"),F203," ")</f>
        <v> </v>
      </c>
      <c r="I203" s="180" t="str">
        <f aca="false">IF((D203="r"),F203," ")</f>
        <v> </v>
      </c>
      <c r="J203" s="180" t="str">
        <f aca="false">IF((D203="t"),F203," ")</f>
        <v> </v>
      </c>
      <c r="K203" s="180" t="str">
        <f aca="false">IF((D203="e"),F203," ")</f>
        <v> </v>
      </c>
      <c r="L203" s="180" t="str">
        <f aca="false">IF((D203="p"),F203," ")</f>
        <v> </v>
      </c>
      <c r="M203" s="180" t="str">
        <f aca="false">IF((D203="g"),F203," ")</f>
        <v> </v>
      </c>
      <c r="N203" s="180" t="str">
        <f aca="false">IF((D203="a"),F203," ")</f>
        <v> </v>
      </c>
      <c r="O203" s="180" t="str">
        <f aca="false">IF((D203="l"),F203," ")</f>
        <v> </v>
      </c>
      <c r="P203" s="180" t="str">
        <f aca="false">IF((D203="i"),F203," ")</f>
        <v> </v>
      </c>
      <c r="Q203" s="180" t="str">
        <f aca="false">IF((D203="b"),F203," ")</f>
        <v> </v>
      </c>
      <c r="R203" s="180" t="str">
        <f aca="false">IF((D203="o"),F203," ")</f>
        <v> </v>
      </c>
      <c r="S203" s="180" t="str">
        <f aca="false">IF((D203="f"),F203," ")</f>
        <v> </v>
      </c>
      <c r="U203" s="371"/>
    </row>
    <row r="204" customFormat="false" ht="12.75" hidden="false" customHeight="false" outlineLevel="0" collapsed="false">
      <c r="D204" s="371" t="str">
        <f aca="false">IF((F204&lt;&gt;0),"Enter Letter"," ")</f>
        <v> </v>
      </c>
      <c r="G204" s="180" t="str">
        <f aca="false">IF((D204="d"),F204," ")</f>
        <v> </v>
      </c>
      <c r="H204" s="180" t="str">
        <f aca="false">IF((D204="h"),F204," ")</f>
        <v> </v>
      </c>
      <c r="I204" s="180" t="str">
        <f aca="false">IF((D204="r"),F204," ")</f>
        <v> </v>
      </c>
      <c r="J204" s="180" t="str">
        <f aca="false">IF((D204="t"),F204," ")</f>
        <v> </v>
      </c>
      <c r="K204" s="180" t="str">
        <f aca="false">IF((D204="e"),F204," ")</f>
        <v> </v>
      </c>
      <c r="L204" s="180" t="str">
        <f aca="false">IF((D204="p"),F204," ")</f>
        <v> </v>
      </c>
      <c r="M204" s="180" t="str">
        <f aca="false">IF((D204="g"),F204," ")</f>
        <v> </v>
      </c>
      <c r="N204" s="180" t="str">
        <f aca="false">IF((D204="a"),F204," ")</f>
        <v> </v>
      </c>
      <c r="O204" s="180" t="str">
        <f aca="false">IF((D204="l"),F204," ")</f>
        <v> </v>
      </c>
      <c r="P204" s="180" t="str">
        <f aca="false">IF((D204="i"),F204," ")</f>
        <v> </v>
      </c>
      <c r="Q204" s="180" t="str">
        <f aca="false">IF((D204="b"),F204," ")</f>
        <v> </v>
      </c>
      <c r="R204" s="180" t="str">
        <f aca="false">IF((D204="o"),F204," ")</f>
        <v> </v>
      </c>
      <c r="S204" s="180" t="str">
        <f aca="false">IF((D204="f"),F204," ")</f>
        <v> </v>
      </c>
      <c r="U204" s="371"/>
    </row>
    <row r="205" customFormat="false" ht="12.75" hidden="false" customHeight="false" outlineLevel="0" collapsed="false">
      <c r="U205" s="371"/>
    </row>
    <row r="206" customFormat="false" ht="12.75" hidden="false" customHeight="false" outlineLevel="0" collapsed="false">
      <c r="U206" s="371"/>
    </row>
    <row r="207" customFormat="false" ht="12.75" hidden="false" customHeight="false" outlineLevel="0" collapsed="false">
      <c r="U207" s="371"/>
    </row>
    <row r="208" customFormat="false" ht="12.75" hidden="false" customHeight="false" outlineLevel="0" collapsed="false">
      <c r="U208" s="371"/>
    </row>
    <row r="209" customFormat="false" ht="12.75" hidden="false" customHeight="false" outlineLevel="0" collapsed="false">
      <c r="U209" s="371"/>
    </row>
    <row r="210" customFormat="false" ht="12.75" hidden="false" customHeight="false" outlineLevel="0" collapsed="false">
      <c r="U210" s="371"/>
    </row>
    <row r="211" customFormat="false" ht="12.75" hidden="false" customHeight="false" outlineLevel="0" collapsed="false">
      <c r="U211" s="371"/>
    </row>
    <row r="212" customFormat="false" ht="12.75" hidden="false" customHeight="false" outlineLevel="0" collapsed="false">
      <c r="U212" s="371"/>
    </row>
    <row r="213" customFormat="false" ht="12.75" hidden="false" customHeight="false" outlineLevel="0" collapsed="false">
      <c r="U213" s="371"/>
    </row>
    <row r="214" customFormat="false" ht="12.75" hidden="false" customHeight="false" outlineLevel="0" collapsed="false">
      <c r="U214" s="371"/>
    </row>
    <row r="215" customFormat="false" ht="12.75" hidden="false" customHeight="false" outlineLevel="0" collapsed="false">
      <c r="U215" s="371"/>
    </row>
    <row r="216" customFormat="false" ht="12.75" hidden="false" customHeight="false" outlineLevel="0" collapsed="false">
      <c r="U216" s="371"/>
    </row>
    <row r="217" customFormat="false" ht="12.75" hidden="false" customHeight="false" outlineLevel="0" collapsed="false">
      <c r="U217" s="371"/>
    </row>
    <row r="218" customFormat="false" ht="12.75" hidden="false" customHeight="false" outlineLevel="0" collapsed="false">
      <c r="U218" s="371"/>
    </row>
    <row r="219" customFormat="false" ht="12.75" hidden="false" customHeight="false" outlineLevel="0" collapsed="false">
      <c r="U219" s="371"/>
    </row>
    <row r="220" customFormat="false" ht="12.75" hidden="false" customHeight="false" outlineLevel="0" collapsed="false">
      <c r="U220" s="371"/>
    </row>
    <row r="221" customFormat="false" ht="12.75" hidden="false" customHeight="false" outlineLevel="0" collapsed="false">
      <c r="U221" s="371"/>
    </row>
    <row r="222" customFormat="false" ht="12.75" hidden="false" customHeight="false" outlineLevel="0" collapsed="false">
      <c r="U222" s="371"/>
    </row>
    <row r="223" customFormat="false" ht="12.75" hidden="false" customHeight="false" outlineLevel="0" collapsed="false">
      <c r="U223" s="371"/>
    </row>
    <row r="224" customFormat="false" ht="12.75" hidden="false" customHeight="false" outlineLevel="0" collapsed="false">
      <c r="U224" s="371"/>
    </row>
    <row r="225" customFormat="false" ht="12.75" hidden="false" customHeight="false" outlineLevel="0" collapsed="false">
      <c r="U225" s="371"/>
    </row>
    <row r="226" customFormat="false" ht="12.75" hidden="false" customHeight="false" outlineLevel="0" collapsed="false">
      <c r="U226" s="371"/>
    </row>
    <row r="227" customFormat="false" ht="12.75" hidden="false" customHeight="false" outlineLevel="0" collapsed="false">
      <c r="U227" s="371"/>
    </row>
    <row r="228" customFormat="false" ht="12.75" hidden="false" customHeight="false" outlineLevel="0" collapsed="false">
      <c r="U228" s="371"/>
    </row>
    <row r="229" customFormat="false" ht="12.75" hidden="false" customHeight="false" outlineLevel="0" collapsed="false">
      <c r="U229" s="371"/>
    </row>
    <row r="230" customFormat="false" ht="12.75" hidden="false" customHeight="false" outlineLevel="0" collapsed="false">
      <c r="U230" s="371"/>
    </row>
    <row r="231" customFormat="false" ht="12.75" hidden="false" customHeight="false" outlineLevel="0" collapsed="false">
      <c r="U231" s="371"/>
    </row>
    <row r="232" customFormat="false" ht="12.75" hidden="false" customHeight="false" outlineLevel="0" collapsed="false">
      <c r="U232" s="371"/>
    </row>
    <row r="233" customFormat="false" ht="12.75" hidden="false" customHeight="false" outlineLevel="0" collapsed="false">
      <c r="U233" s="371"/>
    </row>
    <row r="234" customFormat="false" ht="12.75" hidden="false" customHeight="false" outlineLevel="0" collapsed="false">
      <c r="U234" s="371"/>
    </row>
    <row r="235" customFormat="false" ht="12.75" hidden="false" customHeight="false" outlineLevel="0" collapsed="false">
      <c r="U235" s="371"/>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customHeight="false" zeroHeight="false" outlineLevelRow="0" outlineLevelCol="0"/>
  <cols>
    <col collapsed="false" customWidth="true" hidden="false" outlineLevel="0" max="1" min="1" style="344" width="9.66"/>
    <col collapsed="false" customWidth="true" hidden="false" outlineLevel="0" max="2" min="2" style="345" width="14.66"/>
    <col collapsed="false" customWidth="true" hidden="false" outlineLevel="0" max="3" min="3" style="180" width="13.66"/>
    <col collapsed="false" customWidth="true" hidden="false" outlineLevel="0" max="4" min="4" style="346" width="12.66"/>
    <col collapsed="false" customWidth="true" hidden="false" outlineLevel="0" max="5" min="5" style="347" width="12.66"/>
    <col collapsed="false" customWidth="true" hidden="false" outlineLevel="0" max="6" min="6" style="180" width="12.66"/>
    <col collapsed="false" customWidth="false" hidden="false" outlineLevel="0" max="257" min="7" style="180" width="9.15"/>
  </cols>
  <sheetData>
    <row r="1" customFormat="false" ht="12.75" hidden="false" customHeight="true" outlineLevel="0" collapsed="false">
      <c r="A1" s="348" t="s">
        <v>240</v>
      </c>
      <c r="B1" s="349" t="s">
        <v>241</v>
      </c>
      <c r="C1" s="350" t="s">
        <v>242</v>
      </c>
      <c r="D1" s="351" t="n">
        <f aca="false">SUM(D4:D47)</f>
        <v>0</v>
      </c>
      <c r="E1" s="350" t="n">
        <f aca="false">SUM(E4:E47)/2</f>
        <v>3000</v>
      </c>
      <c r="F1" s="350" t="n">
        <f aca="false">SUM(F4:F47)/2</f>
        <v>0</v>
      </c>
      <c r="G1" s="352"/>
      <c r="H1" s="352"/>
      <c r="I1" s="352"/>
      <c r="J1" s="352"/>
      <c r="K1" s="352"/>
      <c r="L1" s="352"/>
      <c r="M1" s="352"/>
      <c r="N1" s="352"/>
      <c r="O1" s="352"/>
      <c r="P1" s="352"/>
      <c r="Q1" s="352"/>
      <c r="R1" s="352"/>
      <c r="S1" s="352"/>
      <c r="T1" s="352"/>
      <c r="U1" s="352"/>
      <c r="V1" s="352"/>
      <c r="W1" s="352"/>
      <c r="X1" s="352"/>
      <c r="Y1" s="352"/>
      <c r="Z1" s="352"/>
      <c r="AA1" s="352"/>
      <c r="AB1" s="352"/>
      <c r="AC1" s="352"/>
      <c r="AD1" s="352"/>
      <c r="AE1" s="352"/>
      <c r="AF1" s="352"/>
      <c r="AG1" s="352"/>
      <c r="AH1" s="352"/>
      <c r="AI1" s="352"/>
      <c r="AJ1" s="352"/>
      <c r="AK1" s="352"/>
      <c r="AL1" s="352"/>
      <c r="AM1" s="352"/>
      <c r="AN1" s="352"/>
      <c r="AO1" s="352"/>
      <c r="AP1" s="352"/>
      <c r="AQ1" s="352"/>
      <c r="AR1" s="352"/>
      <c r="AS1" s="352"/>
      <c r="AT1" s="352"/>
      <c r="AU1" s="352"/>
      <c r="AV1" s="352"/>
      <c r="AW1" s="352"/>
      <c r="AX1" s="352"/>
      <c r="AY1" s="352"/>
      <c r="AZ1" s="352"/>
      <c r="BA1" s="352"/>
      <c r="BB1" s="352"/>
      <c r="BC1" s="352"/>
      <c r="BD1" s="352"/>
      <c r="BE1" s="352"/>
      <c r="BF1" s="352"/>
      <c r="BG1" s="352"/>
      <c r="BH1" s="352"/>
      <c r="BI1" s="352"/>
      <c r="BJ1" s="352"/>
      <c r="BK1" s="352"/>
      <c r="BL1" s="352"/>
      <c r="BM1" s="352"/>
      <c r="BN1" s="352"/>
      <c r="BO1" s="352"/>
      <c r="BP1" s="352"/>
      <c r="BQ1" s="352"/>
      <c r="BR1" s="352"/>
      <c r="BS1" s="352"/>
      <c r="BT1" s="352"/>
      <c r="BU1" s="352"/>
      <c r="BV1" s="352"/>
      <c r="BW1" s="352"/>
      <c r="BX1" s="352"/>
      <c r="BY1" s="352"/>
      <c r="BZ1" s="352"/>
      <c r="CA1" s="352"/>
      <c r="CB1" s="352"/>
      <c r="CC1" s="352"/>
      <c r="CD1" s="352"/>
      <c r="CE1" s="352"/>
      <c r="CF1" s="352"/>
      <c r="CG1" s="352"/>
      <c r="CH1" s="352"/>
      <c r="CI1" s="352"/>
      <c r="CJ1" s="352"/>
      <c r="CK1" s="352"/>
      <c r="CL1" s="352"/>
      <c r="CM1" s="352"/>
      <c r="CN1" s="352"/>
      <c r="CO1" s="352"/>
      <c r="CP1" s="352"/>
      <c r="CQ1" s="352"/>
      <c r="CR1" s="352"/>
      <c r="CS1" s="352"/>
      <c r="CT1" s="352"/>
      <c r="CU1" s="352"/>
      <c r="CV1" s="352"/>
      <c r="CW1" s="352"/>
      <c r="CX1" s="352"/>
      <c r="CY1" s="352"/>
      <c r="CZ1" s="352"/>
      <c r="DA1" s="352"/>
      <c r="DB1" s="352"/>
      <c r="DC1" s="352"/>
      <c r="DD1" s="352"/>
      <c r="DE1" s="352"/>
      <c r="DF1" s="352"/>
      <c r="DG1" s="352"/>
      <c r="DH1" s="352"/>
      <c r="DI1" s="352"/>
      <c r="DJ1" s="352"/>
      <c r="DK1" s="352"/>
      <c r="DL1" s="352"/>
      <c r="DM1" s="352"/>
      <c r="DN1" s="352"/>
      <c r="DO1" s="352"/>
      <c r="DP1" s="352"/>
      <c r="DQ1" s="352"/>
      <c r="DR1" s="352"/>
      <c r="DS1" s="352"/>
      <c r="DT1" s="352"/>
      <c r="DU1" s="352"/>
      <c r="DV1" s="352"/>
      <c r="DW1" s="352"/>
      <c r="DX1" s="352"/>
      <c r="DY1" s="352"/>
      <c r="DZ1" s="352"/>
      <c r="EA1" s="352"/>
      <c r="EB1" s="352"/>
      <c r="EC1" s="352"/>
      <c r="ED1" s="352"/>
      <c r="EE1" s="352"/>
      <c r="EF1" s="352"/>
      <c r="EG1" s="352"/>
      <c r="EH1" s="352"/>
      <c r="EI1" s="352"/>
      <c r="EJ1" s="352"/>
      <c r="EK1" s="352"/>
      <c r="EL1" s="352"/>
      <c r="EM1" s="352"/>
      <c r="EN1" s="352"/>
      <c r="EO1" s="352"/>
      <c r="EP1" s="352"/>
      <c r="EQ1" s="352"/>
      <c r="ER1" s="352"/>
      <c r="ES1" s="352"/>
      <c r="ET1" s="352"/>
      <c r="EU1" s="352"/>
      <c r="EV1" s="352"/>
      <c r="EW1" s="352"/>
      <c r="EX1" s="352"/>
      <c r="EY1" s="352"/>
      <c r="EZ1" s="352"/>
      <c r="FA1" s="352"/>
      <c r="FB1" s="352"/>
      <c r="FC1" s="352"/>
      <c r="FD1" s="352"/>
      <c r="FE1" s="352"/>
      <c r="FF1" s="352"/>
      <c r="FG1" s="352"/>
      <c r="FH1" s="352"/>
      <c r="FI1" s="352"/>
      <c r="FJ1" s="352"/>
      <c r="FK1" s="352"/>
      <c r="FL1" s="352"/>
      <c r="FM1" s="352"/>
      <c r="FN1" s="352"/>
      <c r="FO1" s="352"/>
      <c r="FP1" s="352"/>
      <c r="FQ1" s="352"/>
      <c r="FR1" s="352"/>
      <c r="FS1" s="352"/>
      <c r="FT1" s="352"/>
      <c r="FU1" s="352"/>
      <c r="FV1" s="352"/>
      <c r="FW1" s="352"/>
      <c r="FX1" s="352"/>
      <c r="FY1" s="352"/>
      <c r="FZ1" s="352"/>
      <c r="GA1" s="352"/>
      <c r="GB1" s="352"/>
      <c r="GC1" s="352"/>
      <c r="GD1" s="352"/>
      <c r="GE1" s="352"/>
      <c r="GF1" s="352"/>
      <c r="GG1" s="352"/>
      <c r="GH1" s="352"/>
      <c r="GI1" s="352"/>
      <c r="GJ1" s="352"/>
      <c r="GK1" s="352"/>
      <c r="GL1" s="352"/>
      <c r="GM1" s="352"/>
      <c r="GN1" s="352"/>
      <c r="GO1" s="352"/>
      <c r="GP1" s="352"/>
      <c r="GQ1" s="352"/>
      <c r="GR1" s="352"/>
      <c r="GS1" s="352"/>
      <c r="GT1" s="352"/>
      <c r="GU1" s="352"/>
      <c r="GV1" s="352"/>
      <c r="GW1" s="352"/>
      <c r="GX1" s="352"/>
      <c r="GY1" s="352"/>
      <c r="GZ1" s="352"/>
      <c r="HA1" s="352"/>
      <c r="HB1" s="352"/>
      <c r="HC1" s="352"/>
      <c r="HD1" s="352"/>
      <c r="HE1" s="352"/>
      <c r="HF1" s="352"/>
      <c r="HG1" s="352"/>
      <c r="HH1" s="352"/>
      <c r="HI1" s="352"/>
      <c r="HJ1" s="352"/>
      <c r="HK1" s="352"/>
      <c r="HL1" s="352"/>
      <c r="HM1" s="352"/>
      <c r="HN1" s="352"/>
      <c r="HO1" s="352"/>
      <c r="HP1" s="352"/>
      <c r="HQ1" s="352"/>
      <c r="HR1" s="352"/>
      <c r="HS1" s="352"/>
      <c r="HT1" s="352"/>
      <c r="HU1" s="352"/>
      <c r="HV1" s="352"/>
      <c r="HW1" s="352"/>
      <c r="HX1" s="352"/>
      <c r="HY1" s="352"/>
      <c r="HZ1" s="352"/>
      <c r="IA1" s="352"/>
      <c r="IB1" s="352"/>
      <c r="IC1" s="352"/>
      <c r="ID1" s="352"/>
      <c r="IE1" s="352"/>
      <c r="IF1" s="352"/>
      <c r="IG1" s="352"/>
      <c r="IH1" s="352"/>
      <c r="II1" s="352"/>
      <c r="IJ1" s="352"/>
      <c r="IK1" s="352"/>
      <c r="IL1" s="352"/>
      <c r="IM1" s="352"/>
      <c r="IN1" s="352"/>
      <c r="IO1" s="352"/>
      <c r="IP1" s="352"/>
      <c r="IQ1" s="352"/>
      <c r="IR1" s="352"/>
      <c r="IS1" s="352"/>
      <c r="IT1" s="352"/>
      <c r="IU1" s="352"/>
      <c r="IV1" s="352"/>
      <c r="IW1" s="352"/>
    </row>
    <row r="2" customFormat="false" ht="12.75" hidden="false" customHeight="true" outlineLevel="0" collapsed="false">
      <c r="A2" s="348"/>
      <c r="B2" s="349"/>
      <c r="C2" s="353" t="s">
        <v>243</v>
      </c>
      <c r="D2" s="354" t="s">
        <v>244</v>
      </c>
      <c r="E2" s="353" t="s">
        <v>245</v>
      </c>
      <c r="F2" s="353" t="s">
        <v>246</v>
      </c>
      <c r="G2" s="352"/>
      <c r="H2" s="352"/>
      <c r="I2" s="352"/>
      <c r="J2" s="352"/>
      <c r="K2" s="352"/>
      <c r="L2" s="352"/>
      <c r="M2" s="352"/>
      <c r="N2" s="352"/>
      <c r="O2" s="352"/>
      <c r="P2" s="352"/>
      <c r="Q2" s="352"/>
      <c r="R2" s="352"/>
      <c r="S2" s="352"/>
      <c r="T2" s="352"/>
      <c r="U2" s="352"/>
      <c r="V2" s="352"/>
      <c r="W2" s="352"/>
      <c r="X2" s="352"/>
      <c r="Y2" s="352"/>
      <c r="Z2" s="352"/>
      <c r="AA2" s="352"/>
      <c r="AB2" s="352"/>
      <c r="AC2" s="352"/>
      <c r="AD2" s="352"/>
      <c r="AE2" s="352"/>
      <c r="AF2" s="352"/>
      <c r="AG2" s="352"/>
      <c r="AH2" s="352"/>
      <c r="AI2" s="352"/>
      <c r="AJ2" s="352"/>
      <c r="AK2" s="352"/>
      <c r="AL2" s="352"/>
      <c r="AM2" s="352"/>
      <c r="AN2" s="352"/>
      <c r="AO2" s="352"/>
      <c r="AP2" s="352"/>
      <c r="AQ2" s="352"/>
      <c r="AR2" s="352"/>
      <c r="AS2" s="352"/>
      <c r="AT2" s="352"/>
      <c r="AU2" s="352"/>
      <c r="AV2" s="352"/>
      <c r="AW2" s="352"/>
      <c r="AX2" s="352"/>
      <c r="AY2" s="352"/>
      <c r="AZ2" s="352"/>
      <c r="BA2" s="352"/>
      <c r="BB2" s="352"/>
      <c r="BC2" s="352"/>
      <c r="BD2" s="352"/>
      <c r="BE2" s="352"/>
      <c r="BF2" s="352"/>
      <c r="BG2" s="352"/>
      <c r="BH2" s="352"/>
      <c r="BI2" s="352"/>
      <c r="BJ2" s="352"/>
      <c r="BK2" s="352"/>
      <c r="BL2" s="352"/>
      <c r="BM2" s="352"/>
      <c r="BN2" s="352"/>
      <c r="BO2" s="352"/>
      <c r="BP2" s="352"/>
      <c r="BQ2" s="352"/>
      <c r="BR2" s="352"/>
      <c r="BS2" s="352"/>
      <c r="BT2" s="352"/>
      <c r="BU2" s="352"/>
      <c r="BV2" s="352"/>
      <c r="BW2" s="352"/>
      <c r="BX2" s="352"/>
      <c r="BY2" s="352"/>
      <c r="BZ2" s="352"/>
      <c r="CA2" s="352"/>
      <c r="CB2" s="352"/>
      <c r="CC2" s="352"/>
      <c r="CD2" s="352"/>
      <c r="CE2" s="352"/>
      <c r="CF2" s="352"/>
      <c r="CG2" s="352"/>
      <c r="CH2" s="352"/>
      <c r="CI2" s="352"/>
      <c r="CJ2" s="352"/>
      <c r="CK2" s="352"/>
      <c r="CL2" s="352"/>
      <c r="CM2" s="352"/>
      <c r="CN2" s="352"/>
      <c r="CO2" s="352"/>
      <c r="CP2" s="352"/>
      <c r="CQ2" s="352"/>
      <c r="CR2" s="352"/>
      <c r="CS2" s="352"/>
      <c r="CT2" s="352"/>
      <c r="CU2" s="352"/>
      <c r="CV2" s="352"/>
      <c r="CW2" s="352"/>
      <c r="CX2" s="352"/>
      <c r="CY2" s="352"/>
      <c r="CZ2" s="352"/>
      <c r="DA2" s="352"/>
      <c r="DB2" s="352"/>
      <c r="DC2" s="352"/>
      <c r="DD2" s="352"/>
      <c r="DE2" s="352"/>
      <c r="DF2" s="352"/>
      <c r="DG2" s="352"/>
      <c r="DH2" s="352"/>
      <c r="DI2" s="352"/>
      <c r="DJ2" s="352"/>
      <c r="DK2" s="352"/>
      <c r="DL2" s="352"/>
      <c r="DM2" s="352"/>
      <c r="DN2" s="352"/>
      <c r="DO2" s="352"/>
      <c r="DP2" s="352"/>
      <c r="DQ2" s="352"/>
      <c r="DR2" s="352"/>
      <c r="DS2" s="352"/>
      <c r="DT2" s="352"/>
      <c r="DU2" s="352"/>
      <c r="DV2" s="352"/>
      <c r="DW2" s="352"/>
      <c r="DX2" s="352"/>
      <c r="DY2" s="352"/>
      <c r="DZ2" s="352"/>
      <c r="EA2" s="352"/>
      <c r="EB2" s="352"/>
      <c r="EC2" s="352"/>
      <c r="ED2" s="352"/>
      <c r="EE2" s="352"/>
      <c r="EF2" s="352"/>
      <c r="EG2" s="352"/>
      <c r="EH2" s="352"/>
      <c r="EI2" s="352"/>
      <c r="EJ2" s="352"/>
      <c r="EK2" s="352"/>
      <c r="EL2" s="352"/>
      <c r="EM2" s="352"/>
      <c r="EN2" s="352"/>
      <c r="EO2" s="352"/>
      <c r="EP2" s="352"/>
      <c r="EQ2" s="352"/>
      <c r="ER2" s="352"/>
      <c r="ES2" s="352"/>
      <c r="ET2" s="352"/>
      <c r="EU2" s="352"/>
      <c r="EV2" s="352"/>
      <c r="EW2" s="352"/>
      <c r="EX2" s="352"/>
      <c r="EY2" s="352"/>
      <c r="EZ2" s="352"/>
      <c r="FA2" s="352"/>
      <c r="FB2" s="352"/>
      <c r="FC2" s="352"/>
      <c r="FD2" s="352"/>
      <c r="FE2" s="352"/>
      <c r="FF2" s="352"/>
      <c r="FG2" s="352"/>
      <c r="FH2" s="352"/>
      <c r="FI2" s="352"/>
      <c r="FJ2" s="352"/>
      <c r="FK2" s="352"/>
      <c r="FL2" s="352"/>
      <c r="FM2" s="352"/>
      <c r="FN2" s="352"/>
      <c r="FO2" s="352"/>
      <c r="FP2" s="352"/>
      <c r="FQ2" s="352"/>
      <c r="FR2" s="352"/>
      <c r="FS2" s="352"/>
      <c r="FT2" s="352"/>
      <c r="FU2" s="352"/>
      <c r="FV2" s="352"/>
      <c r="FW2" s="352"/>
      <c r="FX2" s="352"/>
      <c r="FY2" s="352"/>
      <c r="FZ2" s="352"/>
      <c r="GA2" s="352"/>
      <c r="GB2" s="352"/>
      <c r="GC2" s="352"/>
      <c r="GD2" s="352"/>
      <c r="GE2" s="352"/>
      <c r="GF2" s="352"/>
      <c r="GG2" s="352"/>
      <c r="GH2" s="352"/>
      <c r="GI2" s="352"/>
      <c r="GJ2" s="352"/>
      <c r="GK2" s="352"/>
      <c r="GL2" s="352"/>
      <c r="GM2" s="352"/>
      <c r="GN2" s="352"/>
      <c r="GO2" s="352"/>
      <c r="GP2" s="352"/>
      <c r="GQ2" s="352"/>
      <c r="GR2" s="352"/>
      <c r="GS2" s="352"/>
      <c r="GT2" s="352"/>
      <c r="GU2" s="352"/>
      <c r="GV2" s="352"/>
      <c r="GW2" s="352"/>
      <c r="GX2" s="352"/>
      <c r="GY2" s="352"/>
      <c r="GZ2" s="352"/>
      <c r="HA2" s="352"/>
      <c r="HB2" s="352"/>
      <c r="HC2" s="352"/>
      <c r="HD2" s="352"/>
      <c r="HE2" s="352"/>
      <c r="HF2" s="352"/>
      <c r="HG2" s="352"/>
      <c r="HH2" s="352"/>
      <c r="HI2" s="352"/>
      <c r="HJ2" s="352"/>
      <c r="HK2" s="352"/>
      <c r="HL2" s="352"/>
      <c r="HM2" s="352"/>
      <c r="HN2" s="352"/>
      <c r="HO2" s="352"/>
      <c r="HP2" s="352"/>
      <c r="HQ2" s="352"/>
      <c r="HR2" s="352"/>
      <c r="HS2" s="352"/>
      <c r="HT2" s="352"/>
      <c r="HU2" s="352"/>
      <c r="HV2" s="352"/>
      <c r="HW2" s="352"/>
      <c r="HX2" s="352"/>
      <c r="HY2" s="352"/>
      <c r="HZ2" s="352"/>
      <c r="IA2" s="352"/>
      <c r="IB2" s="352"/>
      <c r="IC2" s="352"/>
      <c r="ID2" s="352"/>
      <c r="IE2" s="352"/>
      <c r="IF2" s="352"/>
      <c r="IG2" s="352"/>
      <c r="IH2" s="352"/>
      <c r="II2" s="352"/>
      <c r="IJ2" s="352"/>
      <c r="IK2" s="352"/>
      <c r="IL2" s="352"/>
      <c r="IM2" s="352"/>
      <c r="IN2" s="352"/>
      <c r="IO2" s="352"/>
      <c r="IP2" s="352"/>
      <c r="IQ2" s="352"/>
      <c r="IR2" s="352"/>
      <c r="IS2" s="352"/>
      <c r="IT2" s="352"/>
      <c r="IU2" s="352"/>
      <c r="IV2" s="352"/>
      <c r="IW2" s="352"/>
    </row>
    <row r="3" customFormat="false" ht="24" hidden="false" customHeight="true" outlineLevel="0" collapsed="false">
      <c r="A3" s="348"/>
      <c r="B3" s="349"/>
      <c r="C3" s="353"/>
      <c r="D3" s="354"/>
      <c r="E3" s="353"/>
      <c r="F3" s="353"/>
      <c r="G3" s="355"/>
      <c r="H3" s="355"/>
      <c r="I3" s="355"/>
      <c r="J3" s="355"/>
      <c r="K3" s="355"/>
      <c r="L3" s="355"/>
      <c r="M3" s="355"/>
      <c r="N3" s="355"/>
      <c r="O3" s="355"/>
      <c r="P3" s="355"/>
      <c r="Q3" s="355"/>
      <c r="R3" s="355"/>
      <c r="S3" s="355"/>
      <c r="T3" s="355"/>
      <c r="U3" s="355"/>
      <c r="V3" s="355"/>
      <c r="W3" s="355"/>
      <c r="X3" s="355"/>
      <c r="Y3" s="355"/>
      <c r="Z3" s="355"/>
      <c r="AA3" s="355"/>
      <c r="AB3" s="355"/>
      <c r="AC3" s="355"/>
      <c r="AD3" s="355"/>
      <c r="AE3" s="355"/>
      <c r="AF3" s="355"/>
      <c r="AG3" s="355"/>
      <c r="AH3" s="355"/>
      <c r="AI3" s="355"/>
      <c r="AJ3" s="355"/>
      <c r="AK3" s="355"/>
      <c r="AL3" s="355"/>
      <c r="AM3" s="355"/>
      <c r="AN3" s="355"/>
      <c r="AO3" s="355"/>
      <c r="AP3" s="355"/>
      <c r="AQ3" s="355"/>
      <c r="AR3" s="355"/>
      <c r="AS3" s="355"/>
      <c r="AT3" s="355"/>
      <c r="AU3" s="355"/>
      <c r="AV3" s="355"/>
      <c r="AW3" s="355"/>
      <c r="AX3" s="355"/>
      <c r="AY3" s="355"/>
      <c r="AZ3" s="355"/>
      <c r="BA3" s="355"/>
      <c r="BB3" s="355"/>
      <c r="BC3" s="355"/>
      <c r="BD3" s="355"/>
      <c r="BE3" s="355"/>
      <c r="BF3" s="355"/>
      <c r="BG3" s="355"/>
      <c r="BH3" s="355"/>
      <c r="BI3" s="355"/>
      <c r="BJ3" s="355"/>
      <c r="BK3" s="355"/>
      <c r="BL3" s="355"/>
      <c r="BM3" s="355"/>
      <c r="BN3" s="355"/>
      <c r="BO3" s="355"/>
      <c r="BP3" s="355"/>
      <c r="BQ3" s="355"/>
      <c r="BR3" s="355"/>
      <c r="BS3" s="355"/>
      <c r="BT3" s="355"/>
      <c r="BU3" s="355"/>
      <c r="BV3" s="355"/>
      <c r="BW3" s="355"/>
      <c r="BX3" s="355"/>
      <c r="BY3" s="355"/>
      <c r="BZ3" s="355"/>
      <c r="CA3" s="355"/>
      <c r="CB3" s="355"/>
      <c r="CC3" s="355"/>
      <c r="CD3" s="355"/>
      <c r="CE3" s="355"/>
      <c r="CF3" s="355"/>
      <c r="CG3" s="355"/>
      <c r="CH3" s="355"/>
      <c r="CI3" s="355"/>
      <c r="CJ3" s="355"/>
      <c r="CK3" s="355"/>
      <c r="CL3" s="355"/>
      <c r="CM3" s="355"/>
      <c r="CN3" s="355"/>
      <c r="CO3" s="355"/>
      <c r="CP3" s="355"/>
      <c r="CQ3" s="355"/>
      <c r="CR3" s="355"/>
      <c r="CS3" s="355"/>
      <c r="CT3" s="355"/>
      <c r="CU3" s="355"/>
      <c r="CV3" s="355"/>
      <c r="CW3" s="355"/>
      <c r="CX3" s="355"/>
      <c r="CY3" s="355"/>
      <c r="CZ3" s="355"/>
      <c r="DA3" s="355"/>
      <c r="DB3" s="355"/>
      <c r="DC3" s="355"/>
      <c r="DD3" s="355"/>
      <c r="DE3" s="355"/>
      <c r="DF3" s="355"/>
      <c r="DG3" s="355"/>
      <c r="DH3" s="355"/>
      <c r="DI3" s="355"/>
      <c r="DJ3" s="355"/>
      <c r="DK3" s="355"/>
      <c r="DL3" s="355"/>
      <c r="DM3" s="355"/>
      <c r="DN3" s="355"/>
      <c r="DO3" s="355"/>
      <c r="DP3" s="355"/>
      <c r="DQ3" s="355"/>
      <c r="DR3" s="355"/>
      <c r="DS3" s="355"/>
      <c r="DT3" s="355"/>
      <c r="DU3" s="355"/>
      <c r="DV3" s="355"/>
      <c r="DW3" s="355"/>
      <c r="DX3" s="355"/>
      <c r="DY3" s="355"/>
      <c r="DZ3" s="355"/>
      <c r="EA3" s="355"/>
      <c r="EB3" s="355"/>
      <c r="EC3" s="355"/>
      <c r="ED3" s="355"/>
      <c r="EE3" s="355"/>
      <c r="EF3" s="355"/>
      <c r="EG3" s="355"/>
      <c r="EH3" s="355"/>
      <c r="EI3" s="355"/>
      <c r="EJ3" s="355"/>
      <c r="EK3" s="355"/>
      <c r="EL3" s="355"/>
      <c r="EM3" s="355"/>
      <c r="EN3" s="355"/>
      <c r="EO3" s="355"/>
      <c r="EP3" s="355"/>
      <c r="EQ3" s="355"/>
      <c r="ER3" s="355"/>
      <c r="ES3" s="355"/>
      <c r="ET3" s="355"/>
      <c r="EU3" s="355"/>
      <c r="EV3" s="355"/>
      <c r="EW3" s="355"/>
      <c r="EX3" s="355"/>
      <c r="EY3" s="355"/>
      <c r="EZ3" s="355"/>
      <c r="FA3" s="355"/>
      <c r="FB3" s="355"/>
      <c r="FC3" s="355"/>
      <c r="FD3" s="355"/>
      <c r="FE3" s="355"/>
      <c r="FF3" s="355"/>
      <c r="FG3" s="355"/>
      <c r="FH3" s="355"/>
      <c r="FI3" s="355"/>
      <c r="FJ3" s="355"/>
      <c r="FK3" s="355"/>
      <c r="FL3" s="355"/>
      <c r="FM3" s="355"/>
      <c r="FN3" s="355"/>
      <c r="FO3" s="355"/>
      <c r="FP3" s="355"/>
      <c r="FQ3" s="355"/>
      <c r="FR3" s="355"/>
      <c r="FS3" s="355"/>
      <c r="FT3" s="355"/>
      <c r="FU3" s="355"/>
      <c r="FV3" s="355"/>
      <c r="FW3" s="355"/>
      <c r="FX3" s="355"/>
      <c r="FY3" s="355"/>
      <c r="FZ3" s="355"/>
      <c r="GA3" s="355"/>
      <c r="GB3" s="355"/>
      <c r="GC3" s="355"/>
      <c r="GD3" s="355"/>
      <c r="GE3" s="355"/>
      <c r="GF3" s="355"/>
      <c r="GG3" s="355"/>
      <c r="GH3" s="355"/>
      <c r="GI3" s="355"/>
      <c r="GJ3" s="355"/>
      <c r="GK3" s="355"/>
      <c r="GL3" s="355"/>
      <c r="GM3" s="355"/>
      <c r="GN3" s="355"/>
      <c r="GO3" s="355"/>
      <c r="GP3" s="355"/>
      <c r="GQ3" s="355"/>
      <c r="GR3" s="355"/>
      <c r="GS3" s="355"/>
      <c r="GT3" s="355"/>
      <c r="GU3" s="355"/>
      <c r="GV3" s="355"/>
      <c r="GW3" s="355"/>
      <c r="GX3" s="355"/>
      <c r="GY3" s="355"/>
      <c r="GZ3" s="355"/>
      <c r="HA3" s="355"/>
      <c r="HB3" s="355"/>
      <c r="HC3" s="355"/>
      <c r="HD3" s="355"/>
      <c r="HE3" s="355"/>
      <c r="HF3" s="355"/>
      <c r="HG3" s="355"/>
      <c r="HH3" s="355"/>
      <c r="HI3" s="355"/>
      <c r="HJ3" s="355"/>
      <c r="HK3" s="355"/>
      <c r="HL3" s="355"/>
      <c r="HM3" s="355"/>
      <c r="HN3" s="355"/>
      <c r="HO3" s="355"/>
      <c r="HP3" s="355"/>
      <c r="HQ3" s="355"/>
      <c r="HR3" s="355"/>
      <c r="HS3" s="355"/>
      <c r="HT3" s="355"/>
      <c r="HU3" s="355"/>
      <c r="HV3" s="355"/>
      <c r="HW3" s="355"/>
      <c r="HX3" s="355"/>
      <c r="HY3" s="355"/>
      <c r="HZ3" s="355"/>
      <c r="IA3" s="355"/>
      <c r="IB3" s="355"/>
      <c r="IC3" s="355"/>
      <c r="ID3" s="355"/>
      <c r="IE3" s="355"/>
      <c r="IF3" s="355"/>
      <c r="IG3" s="355"/>
      <c r="IH3" s="355"/>
      <c r="II3" s="355"/>
      <c r="IJ3" s="355"/>
      <c r="IK3" s="355"/>
      <c r="IL3" s="355"/>
      <c r="IM3" s="355"/>
      <c r="IN3" s="355"/>
      <c r="IO3" s="355"/>
      <c r="IP3" s="355"/>
      <c r="IQ3" s="355"/>
      <c r="IR3" s="355"/>
      <c r="IS3" s="355"/>
      <c r="IT3" s="355"/>
      <c r="IU3" s="355"/>
      <c r="IV3" s="355"/>
      <c r="IW3" s="355"/>
    </row>
    <row r="5" customFormat="false" ht="12.75" hidden="false" customHeight="false" outlineLevel="0" collapsed="false">
      <c r="A5" s="356" t="n">
        <v>46419</v>
      </c>
      <c r="B5" s="357" t="n">
        <v>46419</v>
      </c>
      <c r="C5" s="358"/>
      <c r="D5" s="359"/>
      <c r="E5" s="360"/>
      <c r="F5" s="361"/>
    </row>
    <row r="6" customFormat="false" ht="12.75" hidden="false" customHeight="false" outlineLevel="0" collapsed="false">
      <c r="A6" s="362" t="n">
        <v>46420</v>
      </c>
      <c r="B6" s="345" t="n">
        <v>46420</v>
      </c>
      <c r="E6" s="347" t="n">
        <v>200</v>
      </c>
      <c r="F6" s="363"/>
    </row>
    <row r="7" customFormat="false" ht="12.75" hidden="false" customHeight="false" outlineLevel="0" collapsed="false">
      <c r="A7" s="362" t="n">
        <v>46421</v>
      </c>
      <c r="B7" s="345" t="n">
        <v>46421</v>
      </c>
      <c r="E7" s="347" t="n">
        <v>200</v>
      </c>
      <c r="F7" s="363"/>
    </row>
    <row r="8" customFormat="false" ht="12.75" hidden="false" customHeight="false" outlineLevel="0" collapsed="false">
      <c r="A8" s="362" t="n">
        <v>46422</v>
      </c>
      <c r="B8" s="345" t="n">
        <v>46422</v>
      </c>
      <c r="E8" s="347" t="n">
        <v>200</v>
      </c>
      <c r="F8" s="363"/>
    </row>
    <row r="9" customFormat="false" ht="12.75" hidden="false" customHeight="false" outlineLevel="0" collapsed="false">
      <c r="A9" s="362" t="n">
        <v>46423</v>
      </c>
      <c r="B9" s="345" t="n">
        <v>46423</v>
      </c>
      <c r="E9" s="347" t="n">
        <v>200</v>
      </c>
      <c r="F9" s="363"/>
    </row>
    <row r="10" customFormat="false" ht="12.75" hidden="false" customHeight="false" outlineLevel="0" collapsed="false">
      <c r="A10" s="362" t="n">
        <v>46424</v>
      </c>
      <c r="B10" s="345" t="n">
        <v>46424</v>
      </c>
      <c r="E10" s="347" t="n">
        <v>200</v>
      </c>
      <c r="F10" s="363"/>
    </row>
    <row r="11" customFormat="false" ht="12.75" hidden="false" customHeight="false" outlineLevel="0" collapsed="false">
      <c r="A11" s="362" t="n">
        <v>46425</v>
      </c>
      <c r="B11" s="345" t="n">
        <v>46425</v>
      </c>
      <c r="F11" s="363"/>
    </row>
    <row r="12" customFormat="false" ht="12.75" hidden="false" customHeight="false" outlineLevel="0" collapsed="false">
      <c r="A12" s="362" t="n">
        <v>46425</v>
      </c>
      <c r="B12" s="345" t="s">
        <v>247</v>
      </c>
      <c r="F12" s="363"/>
    </row>
    <row r="13" customFormat="false" ht="12.75" hidden="false" customHeight="false" outlineLevel="0" collapsed="false">
      <c r="A13" s="362" t="n">
        <v>46425</v>
      </c>
      <c r="B13" s="345" t="s">
        <v>248</v>
      </c>
      <c r="F13" s="363"/>
    </row>
    <row r="14" customFormat="false" ht="12.75" hidden="false" customHeight="false" outlineLevel="0" collapsed="false">
      <c r="A14" s="364"/>
      <c r="B14" s="365"/>
      <c r="C14" s="366"/>
      <c r="D14" s="367"/>
      <c r="E14" s="368" t="n">
        <f aca="false">SUM(E5:E13)</f>
        <v>1000</v>
      </c>
      <c r="F14" s="369" t="n">
        <f aca="false">SUM(F5:F13)</f>
        <v>0</v>
      </c>
    </row>
    <row r="16" customFormat="false" ht="12.75" hidden="false" customHeight="false" outlineLevel="0" collapsed="false">
      <c r="A16" s="356" t="n">
        <v>46426</v>
      </c>
      <c r="B16" s="357" t="n">
        <v>46426</v>
      </c>
      <c r="C16" s="358"/>
      <c r="D16" s="359"/>
      <c r="E16" s="360"/>
      <c r="F16" s="361"/>
    </row>
    <row r="17" customFormat="false" ht="12.75" hidden="false" customHeight="false" outlineLevel="0" collapsed="false">
      <c r="A17" s="362" t="n">
        <v>46427</v>
      </c>
      <c r="B17" s="345" t="n">
        <v>46427</v>
      </c>
      <c r="E17" s="347" t="n">
        <v>200</v>
      </c>
      <c r="F17" s="363"/>
    </row>
    <row r="18" customFormat="false" ht="12.75" hidden="false" customHeight="false" outlineLevel="0" collapsed="false">
      <c r="A18" s="362" t="n">
        <v>46428</v>
      </c>
      <c r="B18" s="345" t="n">
        <v>46428</v>
      </c>
      <c r="E18" s="347" t="n">
        <v>200</v>
      </c>
      <c r="F18" s="363"/>
    </row>
    <row r="19" customFormat="false" ht="12.75" hidden="false" customHeight="false" outlineLevel="0" collapsed="false">
      <c r="A19" s="362" t="n">
        <v>46429</v>
      </c>
      <c r="B19" s="345" t="n">
        <v>46429</v>
      </c>
      <c r="E19" s="347" t="n">
        <v>200</v>
      </c>
      <c r="F19" s="363"/>
    </row>
    <row r="20" customFormat="false" ht="12.75" hidden="false" customHeight="false" outlineLevel="0" collapsed="false">
      <c r="A20" s="362" t="n">
        <v>46430</v>
      </c>
      <c r="B20" s="345" t="n">
        <v>46430</v>
      </c>
      <c r="E20" s="347" t="n">
        <v>200</v>
      </c>
      <c r="F20" s="363"/>
    </row>
    <row r="21" customFormat="false" ht="12.75" hidden="false" customHeight="false" outlineLevel="0" collapsed="false">
      <c r="A21" s="362" t="n">
        <v>46431</v>
      </c>
      <c r="B21" s="345" t="n">
        <v>46431</v>
      </c>
      <c r="E21" s="347" t="n">
        <v>200</v>
      </c>
      <c r="F21" s="363"/>
    </row>
    <row r="22" customFormat="false" ht="12.75" hidden="false" customHeight="false" outlineLevel="0" collapsed="false">
      <c r="A22" s="362" t="n">
        <v>46432</v>
      </c>
      <c r="B22" s="345" t="n">
        <v>46432</v>
      </c>
      <c r="F22" s="363"/>
    </row>
    <row r="23" customFormat="false" ht="12.75" hidden="false" customHeight="false" outlineLevel="0" collapsed="false">
      <c r="A23" s="362" t="n">
        <v>46432</v>
      </c>
      <c r="B23" s="345" t="s">
        <v>247</v>
      </c>
      <c r="F23" s="363"/>
    </row>
    <row r="24" customFormat="false" ht="12.75" hidden="false" customHeight="false" outlineLevel="0" collapsed="false">
      <c r="A24" s="362" t="n">
        <v>46432</v>
      </c>
      <c r="B24" s="345" t="s">
        <v>248</v>
      </c>
      <c r="F24" s="363"/>
    </row>
    <row r="25" customFormat="false" ht="12.75" hidden="false" customHeight="false" outlineLevel="0" collapsed="false">
      <c r="A25" s="364"/>
      <c r="B25" s="365"/>
      <c r="C25" s="366"/>
      <c r="D25" s="367"/>
      <c r="E25" s="368" t="n">
        <f aca="false">SUM(E16:E24)</f>
        <v>1000</v>
      </c>
      <c r="F25" s="369" t="n">
        <f aca="false">SUM(F16:F24)</f>
        <v>0</v>
      </c>
    </row>
    <row r="27" customFormat="false" ht="12.75" hidden="false" customHeight="false" outlineLevel="0" collapsed="false">
      <c r="A27" s="356" t="n">
        <v>46433</v>
      </c>
      <c r="B27" s="357" t="n">
        <v>46433</v>
      </c>
      <c r="C27" s="358"/>
      <c r="D27" s="359"/>
      <c r="E27" s="360"/>
      <c r="F27" s="361"/>
    </row>
    <row r="28" customFormat="false" ht="12.75" hidden="false" customHeight="false" outlineLevel="0" collapsed="false">
      <c r="A28" s="362" t="n">
        <v>46434</v>
      </c>
      <c r="B28" s="345" t="n">
        <v>46434</v>
      </c>
      <c r="E28" s="347" t="n">
        <v>200</v>
      </c>
      <c r="F28" s="363"/>
    </row>
    <row r="29" customFormat="false" ht="12.75" hidden="false" customHeight="false" outlineLevel="0" collapsed="false">
      <c r="A29" s="362" t="n">
        <v>46435</v>
      </c>
      <c r="B29" s="345" t="n">
        <v>46435</v>
      </c>
      <c r="E29" s="347" t="n">
        <v>200</v>
      </c>
      <c r="F29" s="363"/>
    </row>
    <row r="30" customFormat="false" ht="12.75" hidden="false" customHeight="false" outlineLevel="0" collapsed="false">
      <c r="A30" s="362" t="n">
        <v>46436</v>
      </c>
      <c r="B30" s="345" t="n">
        <v>46436</v>
      </c>
      <c r="E30" s="347" t="n">
        <v>200</v>
      </c>
      <c r="F30" s="363"/>
    </row>
    <row r="31" customFormat="false" ht="12.75" hidden="false" customHeight="false" outlineLevel="0" collapsed="false">
      <c r="A31" s="362" t="n">
        <v>46437</v>
      </c>
      <c r="B31" s="345" t="n">
        <v>46437</v>
      </c>
      <c r="E31" s="347" t="n">
        <v>200</v>
      </c>
      <c r="F31" s="363"/>
    </row>
    <row r="32" customFormat="false" ht="12.75" hidden="false" customHeight="false" outlineLevel="0" collapsed="false">
      <c r="A32" s="362" t="n">
        <v>46438</v>
      </c>
      <c r="B32" s="345" t="n">
        <v>46438</v>
      </c>
      <c r="E32" s="347" t="n">
        <v>200</v>
      </c>
      <c r="F32" s="363"/>
    </row>
    <row r="33" customFormat="false" ht="12.75" hidden="false" customHeight="false" outlineLevel="0" collapsed="false">
      <c r="A33" s="362" t="n">
        <v>46439</v>
      </c>
      <c r="B33" s="345" t="n">
        <v>46439</v>
      </c>
      <c r="F33" s="363"/>
    </row>
    <row r="34" customFormat="false" ht="12.75" hidden="false" customHeight="false" outlineLevel="0" collapsed="false">
      <c r="A34" s="362" t="n">
        <v>46439</v>
      </c>
      <c r="B34" s="345" t="s">
        <v>247</v>
      </c>
      <c r="F34" s="363"/>
    </row>
    <row r="35" customFormat="false" ht="12.75" hidden="false" customHeight="false" outlineLevel="0" collapsed="false">
      <c r="A35" s="362" t="n">
        <v>46439</v>
      </c>
      <c r="B35" s="345" t="s">
        <v>248</v>
      </c>
      <c r="F35" s="363"/>
    </row>
    <row r="36" customFormat="false" ht="12.75" hidden="false" customHeight="false" outlineLevel="0" collapsed="false">
      <c r="A36" s="364"/>
      <c r="B36" s="365"/>
      <c r="C36" s="366"/>
      <c r="D36" s="367"/>
      <c r="E36" s="368" t="n">
        <f aca="false">SUM(E27:E35)</f>
        <v>1000</v>
      </c>
      <c r="F36" s="369" t="n">
        <f aca="false">SUM(F27:F35)</f>
        <v>0</v>
      </c>
    </row>
    <row r="38" customFormat="false" ht="12.75" hidden="false" customHeight="false" outlineLevel="0" collapsed="false">
      <c r="A38" s="356" t="n">
        <v>46440</v>
      </c>
      <c r="B38" s="357" t="n">
        <v>46440</v>
      </c>
      <c r="C38" s="358"/>
      <c r="D38" s="359"/>
      <c r="E38" s="360"/>
      <c r="F38" s="361"/>
    </row>
    <row r="39" customFormat="false" ht="12.75" hidden="false" customHeight="false" outlineLevel="0" collapsed="false">
      <c r="A39" s="362" t="n">
        <v>46441</v>
      </c>
      <c r="B39" s="345" t="n">
        <v>46441</v>
      </c>
      <c r="F39" s="363"/>
    </row>
    <row r="40" customFormat="false" ht="12.75" hidden="false" customHeight="false" outlineLevel="0" collapsed="false">
      <c r="A40" s="362" t="n">
        <v>46442</v>
      </c>
      <c r="B40" s="345" t="n">
        <v>46442</v>
      </c>
      <c r="F40" s="363"/>
    </row>
    <row r="41" customFormat="false" ht="12.75" hidden="false" customHeight="false" outlineLevel="0" collapsed="false">
      <c r="A41" s="362" t="n">
        <v>46443</v>
      </c>
      <c r="B41" s="345" t="n">
        <v>46443</v>
      </c>
      <c r="F41" s="363"/>
    </row>
    <row r="42" customFormat="false" ht="12.75" hidden="false" customHeight="false" outlineLevel="0" collapsed="false">
      <c r="A42" s="362" t="n">
        <v>46444</v>
      </c>
      <c r="B42" s="345" t="n">
        <v>46444</v>
      </c>
      <c r="F42" s="363"/>
    </row>
    <row r="43" customFormat="false" ht="12.75" hidden="false" customHeight="false" outlineLevel="0" collapsed="false">
      <c r="A43" s="362" t="n">
        <v>46445</v>
      </c>
      <c r="B43" s="345" t="n">
        <v>46445</v>
      </c>
      <c r="F43" s="363"/>
    </row>
    <row r="44" customFormat="false" ht="12.75" hidden="false" customHeight="false" outlineLevel="0" collapsed="false">
      <c r="A44" s="362" t="n">
        <v>46446</v>
      </c>
      <c r="B44" s="345" t="n">
        <v>46446</v>
      </c>
      <c r="F44" s="363"/>
    </row>
    <row r="45" customFormat="false" ht="12.75" hidden="false" customHeight="false" outlineLevel="0" collapsed="false">
      <c r="A45" s="362" t="n">
        <v>46446</v>
      </c>
      <c r="B45" s="345" t="s">
        <v>247</v>
      </c>
      <c r="F45" s="363"/>
    </row>
    <row r="46" customFormat="false" ht="12.75" hidden="false" customHeight="false" outlineLevel="0" collapsed="false">
      <c r="A46" s="362" t="n">
        <v>46446</v>
      </c>
      <c r="B46" s="345" t="s">
        <v>248</v>
      </c>
      <c r="F46" s="363"/>
    </row>
    <row r="47" customFormat="false" ht="12.75" hidden="false" customHeight="false" outlineLevel="0" collapsed="false">
      <c r="A47" s="364"/>
      <c r="B47" s="365"/>
      <c r="C47" s="366"/>
      <c r="D47" s="367"/>
      <c r="E47" s="368" t="n">
        <f aca="false">SUM(E38:E46)</f>
        <v>0</v>
      </c>
      <c r="F47" s="369" t="n">
        <f aca="false">SUM(F38:F46)</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customHeight="false" zeroHeight="false" outlineLevelRow="0" outlineLevelCol="0"/>
  <cols>
    <col collapsed="false" customWidth="true" hidden="false" outlineLevel="0" max="1" min="1" style="370" width="9.66"/>
    <col collapsed="false" customWidth="true" hidden="false" outlineLevel="0" max="2" min="2" style="179" width="23.99"/>
    <col collapsed="false" customWidth="true" hidden="false" outlineLevel="0" max="3" min="3" style="179" width="15.99"/>
    <col collapsed="false" customWidth="false" hidden="false" outlineLevel="0" max="5" min="4" style="371" width="9.15"/>
    <col collapsed="false" customWidth="true" hidden="false" outlineLevel="0" max="6" min="6" style="372" width="12.66"/>
    <col collapsed="false" customWidth="true" hidden="false" outlineLevel="0" max="8" min="7" style="180" width="9.82"/>
    <col collapsed="false" customWidth="true" hidden="false" outlineLevel="0" max="10" min="9" style="180" width="8.33"/>
    <col collapsed="false" customWidth="true" hidden="false" outlineLevel="0" max="12" min="11" style="180" width="7.66"/>
    <col collapsed="false" customWidth="true" hidden="false" outlineLevel="0" max="13" min="13" style="180" width="8.82"/>
    <col collapsed="false" customWidth="false" hidden="false" outlineLevel="0" max="14" min="14" style="180" width="9.15"/>
    <col collapsed="false" customWidth="true" hidden="false" outlineLevel="0" max="15" min="15" style="180" width="9.33"/>
    <col collapsed="false" customWidth="true" hidden="false" outlineLevel="0" max="18" min="16" style="180" width="7.66"/>
    <col collapsed="false" customWidth="true" hidden="false" outlineLevel="0" max="19" min="19" style="180" width="8.15"/>
    <col collapsed="false" customWidth="true" hidden="false" outlineLevel="0" max="20" min="20" style="179" width="12.5"/>
    <col collapsed="false" customWidth="true" hidden="false" outlineLevel="0" max="21" min="21" style="180" width="8.15"/>
    <col collapsed="false" customWidth="false" hidden="false" outlineLevel="0" max="257" min="22" style="179" width="9.15"/>
  </cols>
  <sheetData>
    <row r="1" customFormat="false" ht="13.5" hidden="false" customHeight="true" outlineLevel="0" collapsed="false">
      <c r="A1" s="389" t="n">
        <f aca="false">E1+SalesFeb!$D$1+PurchasesJan!A1</f>
        <v>0</v>
      </c>
      <c r="B1" s="390" t="s">
        <v>249</v>
      </c>
      <c r="C1" s="391" t="s">
        <v>242</v>
      </c>
      <c r="D1" s="375" t="str">
        <f aca="false">IF((F1-SUM(G1:S1)&lt;&gt;0),(F1-SUM(G1:S1))," ")</f>
        <v> </v>
      </c>
      <c r="E1" s="351" t="n">
        <f aca="false">SUM(E5:E199)</f>
        <v>0</v>
      </c>
      <c r="F1" s="350" t="n">
        <f aca="false">SUM(F5:F199)</f>
        <v>300</v>
      </c>
      <c r="G1" s="350" t="n">
        <f aca="false">SUM(G5:G199)</f>
        <v>300</v>
      </c>
      <c r="H1" s="350" t="n">
        <f aca="false">SUM(H5:H199)</f>
        <v>0</v>
      </c>
      <c r="I1" s="350" t="n">
        <f aca="false">SUM(I5:I199)</f>
        <v>0</v>
      </c>
      <c r="J1" s="350" t="n">
        <f aca="false">SUM(J5:J199)</f>
        <v>0</v>
      </c>
      <c r="K1" s="350" t="n">
        <f aca="false">SUM(K5:K199)</f>
        <v>0</v>
      </c>
      <c r="L1" s="350" t="n">
        <f aca="false">SUM(L5:L199)</f>
        <v>0</v>
      </c>
      <c r="M1" s="350" t="n">
        <f aca="false">SUM(M5:M199)</f>
        <v>0</v>
      </c>
      <c r="N1" s="350" t="n">
        <f aca="false">SUM(N5:N199)</f>
        <v>0</v>
      </c>
      <c r="O1" s="350" t="n">
        <f aca="false">SUM(O5:O199)</f>
        <v>0</v>
      </c>
      <c r="P1" s="350" t="n">
        <f aca="false">SUM(P5:P199)</f>
        <v>0</v>
      </c>
      <c r="Q1" s="350" t="n">
        <f aca="false">SUM(Q5:Q199)</f>
        <v>0</v>
      </c>
      <c r="R1" s="350" t="n">
        <f aca="false">SUM(R5:R199)</f>
        <v>0</v>
      </c>
      <c r="S1" s="392" t="n">
        <f aca="false">SUM(S5:S199)</f>
        <v>0</v>
      </c>
      <c r="T1" s="393" t="n">
        <f aca="false">S1+PurchasesJan!T1</f>
        <v>8000</v>
      </c>
      <c r="U1" s="392" t="n">
        <f aca="false">SUM(U4:U199)</f>
        <v>0</v>
      </c>
      <c r="V1" s="180"/>
      <c r="W1" s="180"/>
      <c r="X1" s="180"/>
      <c r="Y1" s="180"/>
      <c r="Z1" s="180"/>
      <c r="AA1" s="180"/>
      <c r="AB1" s="180"/>
      <c r="AC1" s="180"/>
      <c r="AD1" s="180"/>
      <c r="AE1" s="180"/>
      <c r="AF1" s="180"/>
      <c r="AG1" s="180"/>
      <c r="AH1" s="180"/>
      <c r="AI1" s="180"/>
      <c r="AJ1" s="180"/>
      <c r="AK1" s="180"/>
      <c r="AL1" s="180"/>
      <c r="AM1" s="180"/>
      <c r="AN1" s="180"/>
      <c r="AO1" s="180"/>
      <c r="AP1" s="180"/>
      <c r="AQ1" s="180"/>
      <c r="AR1" s="180"/>
      <c r="AS1" s="180"/>
      <c r="AT1" s="180"/>
      <c r="AU1" s="180"/>
      <c r="AV1" s="180"/>
      <c r="AW1" s="180"/>
      <c r="AX1" s="180"/>
      <c r="AY1" s="180"/>
      <c r="AZ1" s="180"/>
      <c r="BA1" s="180"/>
      <c r="BB1" s="180"/>
      <c r="BC1" s="180"/>
      <c r="BD1" s="180"/>
      <c r="BE1" s="180"/>
      <c r="BF1" s="180"/>
      <c r="BG1" s="180"/>
      <c r="BH1" s="180"/>
      <c r="BI1" s="180"/>
      <c r="BJ1" s="180"/>
      <c r="BK1" s="180"/>
      <c r="BL1" s="180"/>
      <c r="BM1" s="180"/>
      <c r="BN1" s="180"/>
      <c r="BO1" s="180"/>
      <c r="BP1" s="180"/>
      <c r="BQ1" s="180"/>
      <c r="BR1" s="180"/>
      <c r="BS1" s="180"/>
      <c r="BT1" s="180"/>
      <c r="BU1" s="180"/>
      <c r="BV1" s="180"/>
      <c r="BW1" s="180"/>
      <c r="BX1" s="180"/>
      <c r="BY1" s="180"/>
      <c r="BZ1" s="180"/>
      <c r="CA1" s="180"/>
      <c r="CB1" s="180"/>
      <c r="CC1" s="180"/>
      <c r="CD1" s="180"/>
      <c r="CE1" s="180"/>
      <c r="CF1" s="180"/>
      <c r="CG1" s="180"/>
      <c r="CH1" s="180"/>
      <c r="CI1" s="180"/>
      <c r="CJ1" s="180"/>
      <c r="CK1" s="180"/>
      <c r="CL1" s="180"/>
      <c r="CM1" s="180"/>
      <c r="CN1" s="180"/>
      <c r="CO1" s="180"/>
      <c r="CP1" s="180"/>
      <c r="CQ1" s="180"/>
      <c r="CR1" s="180"/>
      <c r="CS1" s="180"/>
      <c r="CT1" s="180"/>
      <c r="CU1" s="180"/>
      <c r="CV1" s="180"/>
      <c r="CW1" s="180"/>
      <c r="CX1" s="180"/>
      <c r="CY1" s="180"/>
      <c r="CZ1" s="180"/>
      <c r="DA1" s="180"/>
      <c r="DB1" s="180"/>
      <c r="DC1" s="180"/>
      <c r="DD1" s="180"/>
      <c r="DE1" s="180"/>
      <c r="DF1" s="180"/>
      <c r="DG1" s="180"/>
      <c r="DH1" s="180"/>
      <c r="DI1" s="180"/>
      <c r="DJ1" s="180"/>
      <c r="DK1" s="180"/>
      <c r="DL1" s="180"/>
      <c r="DM1" s="180"/>
      <c r="DN1" s="180"/>
      <c r="DO1" s="180"/>
      <c r="DP1" s="180"/>
      <c r="DQ1" s="180"/>
      <c r="DR1" s="180"/>
      <c r="DS1" s="180"/>
      <c r="DT1" s="180"/>
      <c r="DU1" s="180"/>
      <c r="DV1" s="180"/>
      <c r="DW1" s="180"/>
      <c r="DX1" s="180"/>
      <c r="DY1" s="180"/>
      <c r="DZ1" s="180"/>
      <c r="EA1" s="180"/>
      <c r="EB1" s="180"/>
      <c r="EC1" s="180"/>
      <c r="ED1" s="180"/>
      <c r="EE1" s="180"/>
      <c r="EF1" s="180"/>
      <c r="EG1" s="180"/>
      <c r="EH1" s="180"/>
      <c r="EI1" s="180"/>
      <c r="EJ1" s="180"/>
      <c r="EK1" s="180"/>
      <c r="EL1" s="180"/>
      <c r="EM1" s="180"/>
      <c r="EN1" s="180"/>
      <c r="EO1" s="180"/>
      <c r="EP1" s="180"/>
      <c r="EQ1" s="180"/>
      <c r="ER1" s="180"/>
      <c r="ES1" s="180"/>
      <c r="ET1" s="180"/>
      <c r="EU1" s="180"/>
      <c r="EV1" s="180"/>
      <c r="EW1" s="180"/>
      <c r="EX1" s="180"/>
      <c r="EY1" s="180"/>
      <c r="EZ1" s="180"/>
      <c r="FA1" s="180"/>
      <c r="FB1" s="180"/>
      <c r="FC1" s="180"/>
      <c r="FD1" s="180"/>
      <c r="FE1" s="180"/>
      <c r="FF1" s="180"/>
      <c r="FG1" s="180"/>
      <c r="FH1" s="180"/>
      <c r="FI1" s="180"/>
      <c r="FJ1" s="180"/>
      <c r="FK1" s="180"/>
      <c r="FL1" s="180"/>
      <c r="FM1" s="180"/>
      <c r="FN1" s="180"/>
      <c r="FO1" s="180"/>
      <c r="FP1" s="180"/>
      <c r="FQ1" s="180"/>
      <c r="FR1" s="180"/>
      <c r="FS1" s="180"/>
      <c r="FT1" s="180"/>
      <c r="FU1" s="180"/>
      <c r="FV1" s="180"/>
      <c r="FW1" s="180"/>
      <c r="FX1" s="180"/>
      <c r="FY1" s="180"/>
      <c r="FZ1" s="180"/>
      <c r="GA1" s="180"/>
      <c r="GB1" s="180"/>
      <c r="GC1" s="180"/>
      <c r="GD1" s="180"/>
      <c r="GE1" s="180"/>
      <c r="GF1" s="180"/>
      <c r="GG1" s="180"/>
      <c r="GH1" s="180"/>
      <c r="GI1" s="180"/>
      <c r="GJ1" s="180"/>
      <c r="GK1" s="180"/>
      <c r="GL1" s="180"/>
      <c r="GM1" s="180"/>
      <c r="GN1" s="180"/>
      <c r="GO1" s="180"/>
      <c r="GP1" s="180"/>
      <c r="GQ1" s="180"/>
      <c r="GR1" s="180"/>
      <c r="GS1" s="180"/>
      <c r="GT1" s="180"/>
      <c r="GU1" s="180"/>
      <c r="GV1" s="180"/>
      <c r="GW1" s="180"/>
      <c r="GX1" s="180"/>
      <c r="GY1" s="180"/>
      <c r="GZ1" s="180"/>
      <c r="HA1" s="180"/>
      <c r="HB1" s="180"/>
      <c r="HC1" s="180"/>
      <c r="HD1" s="180"/>
      <c r="HE1" s="180"/>
      <c r="HF1" s="180"/>
      <c r="HG1" s="180"/>
      <c r="HH1" s="180"/>
      <c r="HI1" s="180"/>
      <c r="HJ1" s="180"/>
      <c r="HK1" s="180"/>
      <c r="HL1" s="180"/>
      <c r="HM1" s="180"/>
      <c r="HN1" s="180"/>
      <c r="HO1" s="180"/>
      <c r="HP1" s="180"/>
      <c r="HQ1" s="180"/>
      <c r="HR1" s="180"/>
      <c r="HS1" s="180"/>
      <c r="HT1" s="180"/>
      <c r="HU1" s="180"/>
      <c r="HV1" s="180"/>
      <c r="HW1" s="180"/>
      <c r="HX1" s="180"/>
      <c r="HY1" s="180"/>
      <c r="HZ1" s="180"/>
      <c r="IA1" s="180"/>
      <c r="IB1" s="180"/>
      <c r="IC1" s="180"/>
      <c r="ID1" s="180"/>
      <c r="IE1" s="180"/>
      <c r="IF1" s="180"/>
      <c r="IG1" s="180"/>
      <c r="IH1" s="180"/>
      <c r="II1" s="180"/>
      <c r="IJ1" s="180"/>
      <c r="IK1" s="180"/>
      <c r="IL1" s="180"/>
      <c r="IM1" s="180"/>
      <c r="IN1" s="180"/>
      <c r="IO1" s="180"/>
      <c r="IP1" s="180"/>
      <c r="IQ1" s="180"/>
      <c r="IR1" s="180"/>
      <c r="IS1" s="180"/>
      <c r="IT1" s="180"/>
      <c r="IU1" s="180"/>
      <c r="IV1" s="180"/>
      <c r="IW1" s="180"/>
    </row>
    <row r="2" customFormat="false" ht="13.5" hidden="false" customHeight="true" outlineLevel="0" collapsed="false">
      <c r="A2" s="394" t="n">
        <f aca="false">U1+PurchasesJan!A2</f>
        <v>0</v>
      </c>
      <c r="B2" s="239" t="s">
        <v>250</v>
      </c>
      <c r="C2" s="378" t="s">
        <v>251</v>
      </c>
      <c r="D2" s="378" t="s">
        <v>252</v>
      </c>
      <c r="E2" s="378" t="s">
        <v>253</v>
      </c>
      <c r="F2" s="206" t="s">
        <v>254</v>
      </c>
      <c r="G2" s="379" t="s">
        <v>255</v>
      </c>
      <c r="H2" s="379"/>
      <c r="I2" s="380" t="n">
        <f aca="false">G1+H1+I1+J1+PurchasesJan!I2</f>
        <v>4680</v>
      </c>
      <c r="J2" s="380"/>
      <c r="K2" s="206" t="s">
        <v>256</v>
      </c>
      <c r="L2" s="206" t="s">
        <v>257</v>
      </c>
      <c r="M2" s="206" t="s">
        <v>258</v>
      </c>
      <c r="N2" s="206" t="s">
        <v>290</v>
      </c>
      <c r="O2" s="206" t="s">
        <v>260</v>
      </c>
      <c r="P2" s="206" t="s">
        <v>261</v>
      </c>
      <c r="Q2" s="206" t="s">
        <v>262</v>
      </c>
      <c r="R2" s="206" t="s">
        <v>263</v>
      </c>
      <c r="S2" s="381" t="s">
        <v>264</v>
      </c>
      <c r="T2" s="382" t="str">
        <f aca="false">IF(T1&gt;'Fixed Assets'!$D$74,"ENTER VEHICLE CHANGES        on Fixed Asset schedule","Motor Vehicles: make, model, date reg. and reg. Mark")</f>
        <v>ENTER VEHICLE CHANGES        on Fixed Asset schedule</v>
      </c>
      <c r="U2" s="381" t="s">
        <v>118</v>
      </c>
      <c r="V2" s="180"/>
      <c r="W2" s="180"/>
      <c r="X2" s="180"/>
      <c r="Y2" s="180"/>
      <c r="Z2" s="180"/>
      <c r="AA2" s="180"/>
      <c r="AB2" s="180"/>
      <c r="AC2" s="180"/>
      <c r="AD2" s="180"/>
      <c r="AE2" s="180"/>
      <c r="AF2" s="180"/>
      <c r="AG2" s="180"/>
      <c r="AH2" s="180"/>
      <c r="AI2" s="180"/>
      <c r="AJ2" s="180"/>
      <c r="AK2" s="180"/>
      <c r="AL2" s="180"/>
      <c r="AM2" s="180"/>
      <c r="AN2" s="180"/>
      <c r="AO2" s="180"/>
      <c r="AP2" s="180"/>
      <c r="AQ2" s="180"/>
      <c r="AR2" s="180"/>
      <c r="AS2" s="180"/>
      <c r="AT2" s="180"/>
      <c r="AU2" s="180"/>
      <c r="AV2" s="180"/>
      <c r="AW2" s="180"/>
      <c r="AX2" s="180"/>
      <c r="AY2" s="180"/>
      <c r="AZ2" s="180"/>
      <c r="BA2" s="180"/>
      <c r="BB2" s="180"/>
      <c r="BC2" s="180"/>
      <c r="BD2" s="180"/>
      <c r="BE2" s="180"/>
      <c r="BF2" s="180"/>
      <c r="BG2" s="180"/>
      <c r="BH2" s="180"/>
      <c r="BI2" s="180"/>
      <c r="BJ2" s="180"/>
      <c r="BK2" s="180"/>
      <c r="BL2" s="180"/>
      <c r="BM2" s="180"/>
      <c r="BN2" s="180"/>
      <c r="BO2" s="180"/>
      <c r="BP2" s="180"/>
      <c r="BQ2" s="180"/>
      <c r="BR2" s="180"/>
      <c r="BS2" s="180"/>
      <c r="BT2" s="180"/>
      <c r="BU2" s="180"/>
      <c r="BV2" s="180"/>
      <c r="BW2" s="180"/>
      <c r="BX2" s="180"/>
      <c r="BY2" s="180"/>
      <c r="BZ2" s="180"/>
      <c r="CA2" s="180"/>
      <c r="CB2" s="180"/>
      <c r="CC2" s="180"/>
      <c r="CD2" s="180"/>
      <c r="CE2" s="180"/>
      <c r="CF2" s="180"/>
      <c r="CG2" s="180"/>
      <c r="CH2" s="180"/>
      <c r="CI2" s="180"/>
      <c r="CJ2" s="180"/>
      <c r="CK2" s="180"/>
      <c r="CL2" s="180"/>
      <c r="CM2" s="180"/>
      <c r="CN2" s="180"/>
      <c r="CO2" s="180"/>
      <c r="CP2" s="180"/>
      <c r="CQ2" s="180"/>
      <c r="CR2" s="180"/>
      <c r="CS2" s="180"/>
      <c r="CT2" s="180"/>
      <c r="CU2" s="180"/>
      <c r="CV2" s="180"/>
      <c r="CW2" s="180"/>
      <c r="CX2" s="180"/>
      <c r="CY2" s="180"/>
      <c r="CZ2" s="180"/>
      <c r="DA2" s="180"/>
      <c r="DB2" s="180"/>
      <c r="DC2" s="180"/>
      <c r="DD2" s="180"/>
      <c r="DE2" s="180"/>
      <c r="DF2" s="180"/>
      <c r="DG2" s="180"/>
      <c r="DH2" s="180"/>
      <c r="DI2" s="180"/>
      <c r="DJ2" s="180"/>
      <c r="DK2" s="180"/>
      <c r="DL2" s="180"/>
      <c r="DM2" s="180"/>
      <c r="DN2" s="180"/>
      <c r="DO2" s="180"/>
      <c r="DP2" s="180"/>
      <c r="DQ2" s="180"/>
      <c r="DR2" s="180"/>
      <c r="DS2" s="180"/>
      <c r="DT2" s="180"/>
      <c r="DU2" s="180"/>
      <c r="DV2" s="180"/>
      <c r="DW2" s="180"/>
      <c r="DX2" s="180"/>
      <c r="DY2" s="180"/>
      <c r="DZ2" s="180"/>
      <c r="EA2" s="180"/>
      <c r="EB2" s="180"/>
      <c r="EC2" s="180"/>
      <c r="ED2" s="180"/>
      <c r="EE2" s="180"/>
      <c r="EF2" s="180"/>
      <c r="EG2" s="180"/>
      <c r="EH2" s="180"/>
      <c r="EI2" s="180"/>
      <c r="EJ2" s="180"/>
      <c r="EK2" s="180"/>
      <c r="EL2" s="180"/>
      <c r="EM2" s="180"/>
      <c r="EN2" s="180"/>
      <c r="EO2" s="180"/>
      <c r="EP2" s="180"/>
      <c r="EQ2" s="180"/>
      <c r="ER2" s="180"/>
      <c r="ES2" s="180"/>
      <c r="ET2" s="180"/>
      <c r="EU2" s="180"/>
      <c r="EV2" s="180"/>
      <c r="EW2" s="180"/>
      <c r="EX2" s="180"/>
      <c r="EY2" s="180"/>
      <c r="EZ2" s="180"/>
      <c r="FA2" s="180"/>
      <c r="FB2" s="180"/>
      <c r="FC2" s="180"/>
      <c r="FD2" s="180"/>
      <c r="FE2" s="180"/>
      <c r="FF2" s="180"/>
      <c r="FG2" s="180"/>
      <c r="FH2" s="180"/>
      <c r="FI2" s="180"/>
      <c r="FJ2" s="180"/>
      <c r="FK2" s="180"/>
      <c r="FL2" s="180"/>
      <c r="FM2" s="180"/>
      <c r="FN2" s="180"/>
      <c r="FO2" s="180"/>
      <c r="FP2" s="180"/>
      <c r="FQ2" s="180"/>
      <c r="FR2" s="180"/>
      <c r="FS2" s="180"/>
      <c r="FT2" s="180"/>
      <c r="FU2" s="180"/>
      <c r="FV2" s="180"/>
      <c r="FW2" s="180"/>
      <c r="FX2" s="180"/>
      <c r="FY2" s="180"/>
      <c r="FZ2" s="180"/>
      <c r="GA2" s="180"/>
      <c r="GB2" s="180"/>
      <c r="GC2" s="180"/>
      <c r="GD2" s="180"/>
      <c r="GE2" s="180"/>
      <c r="GF2" s="180"/>
      <c r="GG2" s="180"/>
      <c r="GH2" s="180"/>
      <c r="GI2" s="180"/>
      <c r="GJ2" s="180"/>
      <c r="GK2" s="180"/>
      <c r="GL2" s="180"/>
      <c r="GM2" s="180"/>
      <c r="GN2" s="180"/>
      <c r="GO2" s="180"/>
      <c r="GP2" s="180"/>
      <c r="GQ2" s="180"/>
      <c r="GR2" s="180"/>
      <c r="GS2" s="180"/>
      <c r="GT2" s="180"/>
      <c r="GU2" s="180"/>
      <c r="GV2" s="180"/>
      <c r="GW2" s="180"/>
      <c r="GX2" s="180"/>
      <c r="GY2" s="180"/>
      <c r="GZ2" s="180"/>
      <c r="HA2" s="180"/>
      <c r="HB2" s="180"/>
      <c r="HC2" s="180"/>
      <c r="HD2" s="180"/>
      <c r="HE2" s="180"/>
      <c r="HF2" s="180"/>
      <c r="HG2" s="180"/>
      <c r="HH2" s="180"/>
      <c r="HI2" s="180"/>
      <c r="HJ2" s="180"/>
      <c r="HK2" s="180"/>
      <c r="HL2" s="180"/>
      <c r="HM2" s="180"/>
      <c r="HN2" s="180"/>
      <c r="HO2" s="180"/>
      <c r="HP2" s="180"/>
      <c r="HQ2" s="180"/>
      <c r="HR2" s="180"/>
      <c r="HS2" s="180"/>
      <c r="HT2" s="180"/>
      <c r="HU2" s="180"/>
      <c r="HV2" s="180"/>
      <c r="HW2" s="180"/>
      <c r="HX2" s="180"/>
      <c r="HY2" s="180"/>
      <c r="HZ2" s="180"/>
      <c r="IA2" s="180"/>
      <c r="IB2" s="180"/>
      <c r="IC2" s="180"/>
      <c r="ID2" s="180"/>
      <c r="IE2" s="180"/>
      <c r="IF2" s="180"/>
      <c r="IG2" s="180"/>
      <c r="IH2" s="180"/>
      <c r="II2" s="180"/>
      <c r="IJ2" s="180"/>
      <c r="IK2" s="180"/>
      <c r="IL2" s="180"/>
      <c r="IM2" s="180"/>
      <c r="IN2" s="180"/>
      <c r="IO2" s="180"/>
      <c r="IP2" s="180"/>
      <c r="IQ2" s="180"/>
      <c r="IR2" s="180"/>
      <c r="IS2" s="180"/>
      <c r="IT2" s="180"/>
      <c r="IU2" s="180"/>
      <c r="IV2" s="180"/>
      <c r="IW2" s="180"/>
    </row>
    <row r="3" customFormat="false" ht="45" hidden="false" customHeight="true" outlineLevel="0" collapsed="false">
      <c r="A3" s="383" t="s">
        <v>265</v>
      </c>
      <c r="B3" s="206" t="s">
        <v>266</v>
      </c>
      <c r="C3" s="378"/>
      <c r="D3" s="378"/>
      <c r="E3" s="378"/>
      <c r="F3" s="378"/>
      <c r="G3" s="206" t="s">
        <v>113</v>
      </c>
      <c r="H3" s="206" t="s">
        <v>267</v>
      </c>
      <c r="I3" s="206" t="s">
        <v>115</v>
      </c>
      <c r="J3" s="206" t="s">
        <v>116</v>
      </c>
      <c r="K3" s="206"/>
      <c r="L3" s="206"/>
      <c r="M3" s="206"/>
      <c r="N3" s="206"/>
      <c r="O3" s="206"/>
      <c r="P3" s="206"/>
      <c r="Q3" s="206"/>
      <c r="R3" s="206"/>
      <c r="S3" s="381"/>
      <c r="T3" s="382"/>
      <c r="U3" s="381"/>
      <c r="V3" s="384"/>
      <c r="W3" s="384"/>
      <c r="X3" s="384"/>
      <c r="Y3" s="384"/>
      <c r="Z3" s="384"/>
      <c r="AA3" s="384"/>
      <c r="AB3" s="384"/>
      <c r="AC3" s="384"/>
      <c r="AD3" s="384"/>
      <c r="AE3" s="384"/>
      <c r="AF3" s="384"/>
      <c r="AG3" s="384"/>
      <c r="AH3" s="384"/>
      <c r="AI3" s="384"/>
      <c r="AJ3" s="384"/>
      <c r="AK3" s="384"/>
      <c r="AL3" s="384"/>
      <c r="AM3" s="384"/>
      <c r="AN3" s="384"/>
      <c r="AO3" s="384"/>
      <c r="AP3" s="384"/>
      <c r="AQ3" s="384"/>
      <c r="AR3" s="384"/>
      <c r="AS3" s="384"/>
      <c r="AT3" s="384"/>
      <c r="AU3" s="384"/>
      <c r="AV3" s="384"/>
      <c r="AW3" s="384"/>
      <c r="AX3" s="384"/>
      <c r="AY3" s="384"/>
      <c r="AZ3" s="384"/>
      <c r="BA3" s="384"/>
      <c r="BB3" s="384"/>
      <c r="BC3" s="384"/>
      <c r="BD3" s="384"/>
      <c r="BE3" s="384"/>
      <c r="BF3" s="384"/>
      <c r="BG3" s="384"/>
      <c r="BH3" s="384"/>
      <c r="BI3" s="384"/>
      <c r="BJ3" s="384"/>
      <c r="BK3" s="384"/>
      <c r="BL3" s="384"/>
      <c r="BM3" s="384"/>
      <c r="BN3" s="384"/>
      <c r="BO3" s="384"/>
      <c r="BP3" s="384"/>
      <c r="BQ3" s="384"/>
      <c r="BR3" s="384"/>
      <c r="BS3" s="384"/>
      <c r="BT3" s="384"/>
      <c r="BU3" s="384"/>
      <c r="BV3" s="384"/>
      <c r="BW3" s="384"/>
      <c r="BX3" s="384"/>
      <c r="BY3" s="384"/>
      <c r="BZ3" s="384"/>
      <c r="CA3" s="384"/>
      <c r="CB3" s="384"/>
      <c r="CC3" s="384"/>
      <c r="CD3" s="384"/>
      <c r="CE3" s="384"/>
      <c r="CF3" s="384"/>
      <c r="CG3" s="384"/>
      <c r="CH3" s="384"/>
      <c r="CI3" s="384"/>
      <c r="CJ3" s="384"/>
      <c r="CK3" s="384"/>
      <c r="CL3" s="384"/>
      <c r="CM3" s="384"/>
      <c r="CN3" s="384"/>
      <c r="CO3" s="384"/>
      <c r="CP3" s="384"/>
      <c r="CQ3" s="384"/>
      <c r="CR3" s="384"/>
      <c r="CS3" s="384"/>
      <c r="CT3" s="384"/>
      <c r="CU3" s="384"/>
      <c r="CV3" s="384"/>
      <c r="CW3" s="384"/>
      <c r="CX3" s="384"/>
      <c r="CY3" s="384"/>
      <c r="CZ3" s="384"/>
      <c r="DA3" s="384"/>
      <c r="DB3" s="384"/>
      <c r="DC3" s="384"/>
      <c r="DD3" s="384"/>
      <c r="DE3" s="384"/>
      <c r="DF3" s="384"/>
      <c r="DG3" s="384"/>
      <c r="DH3" s="384"/>
      <c r="DI3" s="384"/>
      <c r="DJ3" s="384"/>
      <c r="DK3" s="384"/>
      <c r="DL3" s="384"/>
      <c r="DM3" s="384"/>
      <c r="DN3" s="384"/>
      <c r="DO3" s="384"/>
      <c r="DP3" s="384"/>
      <c r="DQ3" s="384"/>
      <c r="DR3" s="384"/>
      <c r="DS3" s="384"/>
      <c r="DT3" s="384"/>
      <c r="DU3" s="384"/>
      <c r="DV3" s="384"/>
      <c r="DW3" s="384"/>
      <c r="DX3" s="384"/>
      <c r="DY3" s="384"/>
      <c r="DZ3" s="384"/>
      <c r="EA3" s="384"/>
      <c r="EB3" s="384"/>
      <c r="EC3" s="384"/>
      <c r="ED3" s="384"/>
      <c r="EE3" s="384"/>
      <c r="EF3" s="384"/>
      <c r="EG3" s="384"/>
      <c r="EH3" s="384"/>
      <c r="EI3" s="384"/>
      <c r="EJ3" s="384"/>
      <c r="EK3" s="384"/>
      <c r="EL3" s="384"/>
      <c r="EM3" s="384"/>
      <c r="EN3" s="384"/>
      <c r="EO3" s="384"/>
      <c r="EP3" s="384"/>
      <c r="EQ3" s="384"/>
      <c r="ER3" s="384"/>
      <c r="ES3" s="384"/>
      <c r="ET3" s="384"/>
      <c r="EU3" s="384"/>
      <c r="EV3" s="384"/>
      <c r="EW3" s="384"/>
      <c r="EX3" s="384"/>
      <c r="EY3" s="384"/>
      <c r="EZ3" s="384"/>
      <c r="FA3" s="384"/>
      <c r="FB3" s="384"/>
      <c r="FC3" s="384"/>
      <c r="FD3" s="384"/>
      <c r="FE3" s="384"/>
      <c r="FF3" s="384"/>
      <c r="FG3" s="384"/>
      <c r="FH3" s="384"/>
      <c r="FI3" s="384"/>
      <c r="FJ3" s="384"/>
      <c r="FK3" s="384"/>
      <c r="FL3" s="384"/>
      <c r="FM3" s="384"/>
      <c r="FN3" s="384"/>
      <c r="FO3" s="384"/>
      <c r="FP3" s="384"/>
      <c r="FQ3" s="384"/>
      <c r="FR3" s="384"/>
      <c r="FS3" s="384"/>
      <c r="FT3" s="384"/>
      <c r="FU3" s="384"/>
      <c r="FV3" s="384"/>
      <c r="FW3" s="384"/>
      <c r="FX3" s="384"/>
      <c r="FY3" s="384"/>
      <c r="FZ3" s="384"/>
      <c r="GA3" s="384"/>
      <c r="GB3" s="384"/>
      <c r="GC3" s="384"/>
      <c r="GD3" s="384"/>
      <c r="GE3" s="384"/>
      <c r="GF3" s="384"/>
      <c r="GG3" s="384"/>
      <c r="GH3" s="384"/>
      <c r="GI3" s="384"/>
      <c r="GJ3" s="384"/>
      <c r="GK3" s="384"/>
      <c r="GL3" s="384"/>
      <c r="GM3" s="384"/>
      <c r="GN3" s="384"/>
      <c r="GO3" s="384"/>
      <c r="GP3" s="384"/>
      <c r="GQ3" s="384"/>
      <c r="GR3" s="384"/>
      <c r="GS3" s="384"/>
      <c r="GT3" s="384"/>
      <c r="GU3" s="384"/>
      <c r="GV3" s="384"/>
      <c r="GW3" s="384"/>
      <c r="GX3" s="384"/>
      <c r="GY3" s="384"/>
      <c r="GZ3" s="384"/>
      <c r="HA3" s="384"/>
      <c r="HB3" s="384"/>
      <c r="HC3" s="384"/>
      <c r="HD3" s="384"/>
      <c r="HE3" s="384"/>
      <c r="HF3" s="384"/>
      <c r="HG3" s="384"/>
      <c r="HH3" s="384"/>
      <c r="HI3" s="384"/>
      <c r="HJ3" s="384"/>
      <c r="HK3" s="384"/>
      <c r="HL3" s="384"/>
      <c r="HM3" s="384"/>
      <c r="HN3" s="384"/>
      <c r="HO3" s="384"/>
      <c r="HP3" s="384"/>
      <c r="HQ3" s="384"/>
      <c r="HR3" s="384"/>
      <c r="HS3" s="384"/>
      <c r="HT3" s="384"/>
      <c r="HU3" s="384"/>
      <c r="HV3" s="384"/>
      <c r="HW3" s="384"/>
      <c r="HX3" s="384"/>
      <c r="HY3" s="384"/>
      <c r="HZ3" s="384"/>
      <c r="IA3" s="384"/>
      <c r="IB3" s="384"/>
      <c r="IC3" s="384"/>
      <c r="ID3" s="384"/>
      <c r="IE3" s="384"/>
      <c r="IF3" s="384"/>
      <c r="IG3" s="384"/>
      <c r="IH3" s="384"/>
      <c r="II3" s="384"/>
      <c r="IJ3" s="384"/>
      <c r="IK3" s="384"/>
      <c r="IL3" s="384"/>
      <c r="IM3" s="384"/>
      <c r="IN3" s="384"/>
      <c r="IO3" s="384"/>
      <c r="IP3" s="384"/>
      <c r="IQ3" s="384"/>
      <c r="IR3" s="384"/>
      <c r="IS3" s="384"/>
      <c r="IT3" s="384"/>
      <c r="IU3" s="384"/>
      <c r="IV3" s="384"/>
      <c r="IW3" s="384"/>
    </row>
    <row r="4" customFormat="false" ht="12.75" hidden="false" customHeight="false" outlineLevel="0" collapsed="false">
      <c r="A4" s="385" t="str">
        <f aca="false">IF((E1&lt;&gt;0),Admin!$B$15," ")</f>
        <v> </v>
      </c>
      <c r="B4" s="206"/>
      <c r="C4" s="206"/>
      <c r="D4" s="206"/>
      <c r="E4" s="206"/>
      <c r="F4" s="206"/>
      <c r="G4" s="374" t="s">
        <v>268</v>
      </c>
      <c r="H4" s="374" t="s">
        <v>269</v>
      </c>
      <c r="I4" s="374" t="s">
        <v>270</v>
      </c>
      <c r="J4" s="374" t="s">
        <v>271</v>
      </c>
      <c r="K4" s="374" t="s">
        <v>272</v>
      </c>
      <c r="L4" s="374" t="s">
        <v>273</v>
      </c>
      <c r="M4" s="374" t="s">
        <v>274</v>
      </c>
      <c r="N4" s="374" t="s">
        <v>275</v>
      </c>
      <c r="O4" s="374" t="s">
        <v>276</v>
      </c>
      <c r="P4" s="374" t="s">
        <v>277</v>
      </c>
      <c r="Q4" s="374" t="s">
        <v>278</v>
      </c>
      <c r="R4" s="374" t="s">
        <v>279</v>
      </c>
      <c r="S4" s="386" t="s">
        <v>280</v>
      </c>
      <c r="T4" s="382"/>
      <c r="U4" s="393" t="n">
        <f aca="false">IF((A1&lt;Admin!$F$22),((A1-PurchasesJan!A1)*Admin!$G$21),(A1*Admin!$G$21-(A1-Admin!$F$21)*(Admin!$G$21-Admin!$G$22)-PurchasesJan!A2))</f>
        <v>0</v>
      </c>
      <c r="V4" s="387"/>
      <c r="W4" s="387"/>
      <c r="X4" s="387"/>
      <c r="Y4" s="387"/>
      <c r="Z4" s="387"/>
      <c r="AA4" s="387"/>
      <c r="AB4" s="387"/>
      <c r="AC4" s="387"/>
      <c r="AD4" s="387"/>
      <c r="AE4" s="387"/>
      <c r="AF4" s="387"/>
      <c r="AG4" s="387"/>
      <c r="AH4" s="387"/>
      <c r="AI4" s="387"/>
      <c r="AJ4" s="387"/>
      <c r="AK4" s="387"/>
      <c r="AL4" s="387"/>
      <c r="AM4" s="387"/>
      <c r="AN4" s="387"/>
      <c r="AO4" s="387"/>
      <c r="AP4" s="387"/>
      <c r="AQ4" s="387"/>
      <c r="AR4" s="387"/>
      <c r="AS4" s="387"/>
      <c r="AT4" s="387"/>
      <c r="AU4" s="387"/>
      <c r="AV4" s="387"/>
      <c r="AW4" s="387"/>
      <c r="AX4" s="387"/>
      <c r="AY4" s="387"/>
      <c r="AZ4" s="387"/>
      <c r="BA4" s="387"/>
      <c r="BB4" s="387"/>
      <c r="BC4" s="387"/>
      <c r="BD4" s="387"/>
      <c r="BE4" s="387"/>
      <c r="BF4" s="387"/>
      <c r="BG4" s="387"/>
      <c r="BH4" s="387"/>
      <c r="BI4" s="387"/>
      <c r="BJ4" s="387"/>
      <c r="BK4" s="387"/>
      <c r="BL4" s="387"/>
      <c r="BM4" s="387"/>
      <c r="BN4" s="387"/>
      <c r="BO4" s="387"/>
      <c r="BP4" s="387"/>
      <c r="BQ4" s="387"/>
      <c r="BR4" s="387"/>
      <c r="BS4" s="387"/>
      <c r="BT4" s="387"/>
      <c r="BU4" s="387"/>
      <c r="BV4" s="387"/>
      <c r="BW4" s="387"/>
      <c r="BX4" s="387"/>
      <c r="BY4" s="387"/>
      <c r="BZ4" s="387"/>
      <c r="CA4" s="387"/>
      <c r="CB4" s="387"/>
      <c r="CC4" s="387"/>
      <c r="CD4" s="387"/>
      <c r="CE4" s="387"/>
      <c r="CF4" s="387"/>
      <c r="CG4" s="387"/>
      <c r="CH4" s="387"/>
      <c r="CI4" s="387"/>
      <c r="CJ4" s="387"/>
      <c r="CK4" s="387"/>
      <c r="CL4" s="387"/>
      <c r="CM4" s="387"/>
      <c r="CN4" s="387"/>
      <c r="CO4" s="387"/>
      <c r="CP4" s="387"/>
      <c r="CQ4" s="387"/>
      <c r="CR4" s="387"/>
      <c r="CS4" s="387"/>
      <c r="CT4" s="387"/>
      <c r="CU4" s="387"/>
      <c r="CV4" s="387"/>
      <c r="CW4" s="387"/>
      <c r="CX4" s="387"/>
      <c r="CY4" s="387"/>
      <c r="CZ4" s="387"/>
      <c r="DA4" s="387"/>
      <c r="DB4" s="387"/>
      <c r="DC4" s="387"/>
      <c r="DD4" s="387"/>
      <c r="DE4" s="387"/>
      <c r="DF4" s="387"/>
      <c r="DG4" s="387"/>
      <c r="DH4" s="387"/>
      <c r="DI4" s="387"/>
      <c r="DJ4" s="387"/>
      <c r="DK4" s="387"/>
      <c r="DL4" s="387"/>
      <c r="DM4" s="387"/>
      <c r="DN4" s="387"/>
      <c r="DO4" s="387"/>
      <c r="DP4" s="387"/>
      <c r="DQ4" s="387"/>
      <c r="DR4" s="387"/>
      <c r="DS4" s="387"/>
      <c r="DT4" s="387"/>
      <c r="DU4" s="387"/>
      <c r="DV4" s="387"/>
      <c r="DW4" s="387"/>
      <c r="DX4" s="387"/>
      <c r="DY4" s="387"/>
      <c r="DZ4" s="387"/>
      <c r="EA4" s="387"/>
      <c r="EB4" s="387"/>
      <c r="EC4" s="387"/>
      <c r="ED4" s="387"/>
      <c r="EE4" s="387"/>
      <c r="EF4" s="387"/>
      <c r="EG4" s="387"/>
      <c r="EH4" s="387"/>
      <c r="EI4" s="387"/>
      <c r="EJ4" s="387"/>
      <c r="EK4" s="387"/>
      <c r="EL4" s="387"/>
      <c r="EM4" s="387"/>
      <c r="EN4" s="387"/>
      <c r="EO4" s="387"/>
      <c r="EP4" s="387"/>
      <c r="EQ4" s="387"/>
      <c r="ER4" s="387"/>
      <c r="ES4" s="387"/>
      <c r="ET4" s="387"/>
      <c r="EU4" s="387"/>
      <c r="EV4" s="387"/>
      <c r="EW4" s="387"/>
      <c r="EX4" s="387"/>
      <c r="EY4" s="387"/>
      <c r="EZ4" s="387"/>
      <c r="FA4" s="387"/>
      <c r="FB4" s="387"/>
      <c r="FC4" s="387"/>
      <c r="FD4" s="387"/>
      <c r="FE4" s="387"/>
      <c r="FF4" s="387"/>
      <c r="FG4" s="387"/>
      <c r="FH4" s="387"/>
      <c r="FI4" s="387"/>
      <c r="FJ4" s="387"/>
      <c r="FK4" s="387"/>
      <c r="FL4" s="387"/>
      <c r="FM4" s="387"/>
      <c r="FN4" s="387"/>
      <c r="FO4" s="387"/>
      <c r="FP4" s="387"/>
      <c r="FQ4" s="387"/>
      <c r="FR4" s="387"/>
      <c r="FS4" s="387"/>
      <c r="FT4" s="387"/>
      <c r="FU4" s="387"/>
      <c r="FV4" s="387"/>
      <c r="FW4" s="387"/>
      <c r="FX4" s="387"/>
      <c r="FY4" s="387"/>
      <c r="FZ4" s="387"/>
      <c r="GA4" s="387"/>
      <c r="GB4" s="387"/>
      <c r="GC4" s="387"/>
      <c r="GD4" s="387"/>
      <c r="GE4" s="387"/>
      <c r="GF4" s="387"/>
      <c r="GG4" s="387"/>
      <c r="GH4" s="387"/>
      <c r="GI4" s="387"/>
      <c r="GJ4" s="387"/>
      <c r="GK4" s="387"/>
      <c r="GL4" s="387"/>
      <c r="GM4" s="387"/>
      <c r="GN4" s="387"/>
      <c r="GO4" s="387"/>
      <c r="GP4" s="387"/>
      <c r="GQ4" s="387"/>
      <c r="GR4" s="387"/>
      <c r="GS4" s="387"/>
      <c r="GT4" s="387"/>
      <c r="GU4" s="387"/>
      <c r="GV4" s="387"/>
      <c r="GW4" s="387"/>
      <c r="GX4" s="387"/>
      <c r="GY4" s="387"/>
      <c r="GZ4" s="387"/>
      <c r="HA4" s="387"/>
      <c r="HB4" s="387"/>
      <c r="HC4" s="387"/>
      <c r="HD4" s="387"/>
      <c r="HE4" s="387"/>
      <c r="HF4" s="387"/>
      <c r="HG4" s="387"/>
      <c r="HH4" s="387"/>
      <c r="HI4" s="387"/>
      <c r="HJ4" s="387"/>
      <c r="HK4" s="387"/>
      <c r="HL4" s="387"/>
      <c r="HM4" s="387"/>
      <c r="HN4" s="387"/>
      <c r="HO4" s="387"/>
      <c r="HP4" s="387"/>
      <c r="HQ4" s="387"/>
      <c r="HR4" s="387"/>
      <c r="HS4" s="387"/>
      <c r="HT4" s="387"/>
      <c r="HU4" s="387"/>
      <c r="HV4" s="387"/>
      <c r="HW4" s="387"/>
      <c r="HX4" s="387"/>
      <c r="HY4" s="387"/>
      <c r="HZ4" s="387"/>
      <c r="IA4" s="387"/>
      <c r="IB4" s="387"/>
      <c r="IC4" s="387"/>
      <c r="ID4" s="387"/>
      <c r="IE4" s="387"/>
      <c r="IF4" s="387"/>
      <c r="IG4" s="387"/>
      <c r="IH4" s="387"/>
      <c r="II4" s="387"/>
      <c r="IJ4" s="387"/>
      <c r="IK4" s="387"/>
      <c r="IL4" s="387"/>
      <c r="IM4" s="387"/>
      <c r="IN4" s="387"/>
      <c r="IO4" s="387"/>
      <c r="IP4" s="387"/>
      <c r="IQ4" s="387"/>
      <c r="IR4" s="387"/>
      <c r="IS4" s="387"/>
      <c r="IT4" s="387"/>
      <c r="IU4" s="387"/>
      <c r="IV4" s="387"/>
      <c r="IW4" s="387"/>
    </row>
    <row r="5" customFormat="false" ht="12.75" hidden="false" customHeight="false" outlineLevel="0" collapsed="false">
      <c r="A5" s="370" t="n">
        <v>46433</v>
      </c>
      <c r="B5" s="388" t="s">
        <v>286</v>
      </c>
      <c r="C5" s="371"/>
      <c r="D5" s="371" t="s">
        <v>287</v>
      </c>
      <c r="F5" s="371" t="n">
        <v>300</v>
      </c>
      <c r="G5" s="180" t="n">
        <f aca="false">IF((D5="d"),F5," ")</f>
        <v>300</v>
      </c>
      <c r="H5" s="180" t="str">
        <f aca="false">IF((D5="h"),F5," ")</f>
        <v> </v>
      </c>
      <c r="I5" s="180" t="str">
        <f aca="false">IF((D5="r"),F5," ")</f>
        <v> </v>
      </c>
      <c r="J5" s="180" t="str">
        <f aca="false">IF((D5="t"),F5," ")</f>
        <v> </v>
      </c>
      <c r="K5" s="180" t="str">
        <f aca="false">IF((D5="e"),F5," ")</f>
        <v> </v>
      </c>
      <c r="L5" s="180" t="str">
        <f aca="false">IF((D5="p"),F5," ")</f>
        <v> </v>
      </c>
      <c r="M5" s="180" t="str">
        <f aca="false">IF((D5="g"),F5," ")</f>
        <v> </v>
      </c>
      <c r="N5" s="180" t="str">
        <f aca="false">IF((D5="a"),F5," ")</f>
        <v> </v>
      </c>
      <c r="O5" s="180" t="str">
        <f aca="false">IF((D5="l"),F5," ")</f>
        <v> </v>
      </c>
      <c r="P5" s="180" t="str">
        <f aca="false">IF((D5="i"),F5," ")</f>
        <v> </v>
      </c>
      <c r="Q5" s="180" t="str">
        <f aca="false">IF((D5="b"),F5," ")</f>
        <v> </v>
      </c>
      <c r="R5" s="180" t="str">
        <f aca="false">IF((D5="o"),F5," ")</f>
        <v> </v>
      </c>
      <c r="S5" s="180" t="str">
        <f aca="false">IF((D5="f"),F5," ")</f>
        <v> </v>
      </c>
      <c r="T5" s="371"/>
      <c r="U5" s="371"/>
      <c r="V5" s="371"/>
      <c r="W5" s="371"/>
      <c r="X5" s="371"/>
      <c r="Y5" s="371"/>
      <c r="Z5" s="371"/>
      <c r="AA5" s="371"/>
      <c r="AB5" s="371"/>
      <c r="AC5" s="371"/>
      <c r="AD5" s="371"/>
      <c r="AE5" s="371"/>
      <c r="AF5" s="371"/>
      <c r="AG5" s="371"/>
      <c r="AH5" s="371"/>
      <c r="AI5" s="371"/>
      <c r="AJ5" s="371"/>
      <c r="AK5" s="371"/>
      <c r="AL5" s="371"/>
      <c r="AM5" s="371"/>
      <c r="AN5" s="371"/>
      <c r="AO5" s="371"/>
      <c r="AP5" s="371"/>
      <c r="AQ5" s="371"/>
      <c r="AR5" s="371"/>
      <c r="AS5" s="371"/>
      <c r="AT5" s="371"/>
      <c r="AU5" s="371"/>
      <c r="AV5" s="371"/>
      <c r="AW5" s="371"/>
      <c r="AX5" s="371"/>
      <c r="AY5" s="371"/>
      <c r="AZ5" s="371"/>
      <c r="BA5" s="371"/>
      <c r="BB5" s="371"/>
      <c r="BC5" s="371"/>
      <c r="BD5" s="371"/>
      <c r="BE5" s="371"/>
      <c r="BF5" s="371"/>
      <c r="BG5" s="371"/>
      <c r="BH5" s="371"/>
      <c r="BI5" s="371"/>
      <c r="BJ5" s="371"/>
      <c r="BK5" s="371"/>
      <c r="BL5" s="371"/>
      <c r="BM5" s="371"/>
      <c r="BN5" s="371"/>
      <c r="BO5" s="371"/>
      <c r="BP5" s="371"/>
      <c r="BQ5" s="371"/>
      <c r="BR5" s="371"/>
      <c r="BS5" s="371"/>
      <c r="BT5" s="371"/>
      <c r="BU5" s="371"/>
      <c r="BV5" s="371"/>
      <c r="BW5" s="371"/>
      <c r="BX5" s="371"/>
      <c r="BY5" s="371"/>
      <c r="BZ5" s="371"/>
      <c r="CA5" s="371"/>
      <c r="CB5" s="371"/>
      <c r="CC5" s="371"/>
      <c r="CD5" s="371"/>
      <c r="CE5" s="371"/>
      <c r="CF5" s="371"/>
      <c r="CG5" s="371"/>
      <c r="CH5" s="371"/>
      <c r="CI5" s="371"/>
      <c r="CJ5" s="371"/>
      <c r="CK5" s="371"/>
      <c r="CL5" s="371"/>
      <c r="CM5" s="371"/>
      <c r="CN5" s="371"/>
      <c r="CO5" s="371"/>
      <c r="CP5" s="371"/>
      <c r="CQ5" s="371"/>
      <c r="CR5" s="371"/>
      <c r="CS5" s="371"/>
      <c r="CT5" s="371"/>
      <c r="CU5" s="371"/>
      <c r="CV5" s="371"/>
      <c r="CW5" s="371"/>
      <c r="CX5" s="371"/>
      <c r="CY5" s="371"/>
      <c r="CZ5" s="371"/>
      <c r="DA5" s="371"/>
      <c r="DB5" s="371"/>
      <c r="DC5" s="371"/>
      <c r="DD5" s="371"/>
      <c r="DE5" s="371"/>
      <c r="DF5" s="371"/>
      <c r="DG5" s="371"/>
      <c r="DH5" s="371"/>
      <c r="DI5" s="371"/>
      <c r="DJ5" s="371"/>
      <c r="DK5" s="371"/>
      <c r="DL5" s="371"/>
      <c r="DM5" s="371"/>
      <c r="DN5" s="371"/>
      <c r="DO5" s="371"/>
      <c r="DP5" s="371"/>
      <c r="DQ5" s="371"/>
      <c r="DR5" s="371"/>
      <c r="DS5" s="371"/>
      <c r="DT5" s="371"/>
      <c r="DU5" s="371"/>
      <c r="DV5" s="371"/>
      <c r="DW5" s="371"/>
      <c r="DX5" s="371"/>
      <c r="DY5" s="371"/>
      <c r="DZ5" s="371"/>
      <c r="EA5" s="371"/>
      <c r="EB5" s="371"/>
      <c r="EC5" s="371"/>
      <c r="ED5" s="371"/>
      <c r="EE5" s="371"/>
      <c r="EF5" s="371"/>
      <c r="EG5" s="371"/>
      <c r="EH5" s="371"/>
      <c r="EI5" s="371"/>
      <c r="EJ5" s="371"/>
      <c r="EK5" s="371"/>
      <c r="EL5" s="371"/>
      <c r="EM5" s="371"/>
      <c r="EN5" s="371"/>
      <c r="EO5" s="371"/>
      <c r="EP5" s="371"/>
      <c r="EQ5" s="371"/>
      <c r="ER5" s="371"/>
      <c r="ES5" s="371"/>
      <c r="ET5" s="371"/>
      <c r="EU5" s="371"/>
      <c r="EV5" s="371"/>
      <c r="EW5" s="371"/>
      <c r="EX5" s="371"/>
      <c r="EY5" s="371"/>
      <c r="EZ5" s="371"/>
      <c r="FA5" s="371"/>
      <c r="FB5" s="371"/>
      <c r="FC5" s="371"/>
      <c r="FD5" s="371"/>
      <c r="FE5" s="371"/>
      <c r="FF5" s="371"/>
      <c r="FG5" s="371"/>
      <c r="FH5" s="371"/>
      <c r="FI5" s="371"/>
      <c r="FJ5" s="371"/>
      <c r="FK5" s="371"/>
      <c r="FL5" s="371"/>
      <c r="FM5" s="371"/>
      <c r="FN5" s="371"/>
      <c r="FO5" s="371"/>
      <c r="FP5" s="371"/>
      <c r="FQ5" s="371"/>
      <c r="FR5" s="371"/>
      <c r="FS5" s="371"/>
      <c r="FT5" s="371"/>
      <c r="FU5" s="371"/>
      <c r="FV5" s="371"/>
      <c r="FW5" s="371"/>
      <c r="FX5" s="371"/>
      <c r="FY5" s="371"/>
      <c r="FZ5" s="371"/>
      <c r="GA5" s="371"/>
      <c r="GB5" s="371"/>
      <c r="GC5" s="371"/>
      <c r="GD5" s="371"/>
      <c r="GE5" s="371"/>
      <c r="GF5" s="371"/>
      <c r="GG5" s="371"/>
      <c r="GH5" s="371"/>
      <c r="GI5" s="371"/>
      <c r="GJ5" s="371"/>
      <c r="GK5" s="371"/>
      <c r="GL5" s="371"/>
      <c r="GM5" s="371"/>
      <c r="GN5" s="371"/>
      <c r="GO5" s="371"/>
      <c r="GP5" s="371"/>
      <c r="GQ5" s="371"/>
      <c r="GR5" s="371"/>
      <c r="GS5" s="371"/>
      <c r="GT5" s="371"/>
      <c r="GU5" s="371"/>
      <c r="GV5" s="371"/>
      <c r="GW5" s="371"/>
      <c r="GX5" s="371"/>
      <c r="GY5" s="371"/>
      <c r="GZ5" s="371"/>
      <c r="HA5" s="371"/>
      <c r="HB5" s="371"/>
      <c r="HC5" s="371"/>
      <c r="HD5" s="371"/>
      <c r="HE5" s="371"/>
      <c r="HF5" s="371"/>
      <c r="HG5" s="371"/>
      <c r="HH5" s="371"/>
      <c r="HI5" s="371"/>
      <c r="HJ5" s="371"/>
      <c r="HK5" s="371"/>
      <c r="HL5" s="371"/>
      <c r="HM5" s="371"/>
      <c r="HN5" s="371"/>
      <c r="HO5" s="371"/>
      <c r="HP5" s="371"/>
      <c r="HQ5" s="371"/>
      <c r="HR5" s="371"/>
      <c r="HS5" s="371"/>
      <c r="HT5" s="371"/>
      <c r="HU5" s="371"/>
      <c r="HV5" s="371"/>
      <c r="HW5" s="371"/>
      <c r="HX5" s="371"/>
      <c r="HY5" s="371"/>
      <c r="HZ5" s="371"/>
      <c r="IA5" s="371"/>
      <c r="IB5" s="371"/>
      <c r="IC5" s="371"/>
      <c r="ID5" s="371"/>
      <c r="IE5" s="371"/>
      <c r="IF5" s="371"/>
      <c r="IG5" s="371"/>
      <c r="IH5" s="371"/>
      <c r="II5" s="371"/>
      <c r="IJ5" s="371"/>
      <c r="IK5" s="371"/>
      <c r="IL5" s="371"/>
      <c r="IM5" s="371"/>
      <c r="IN5" s="371"/>
      <c r="IO5" s="371"/>
      <c r="IP5" s="371"/>
      <c r="IQ5" s="371"/>
      <c r="IR5" s="371"/>
      <c r="IS5" s="371"/>
      <c r="IT5" s="371"/>
      <c r="IU5" s="371"/>
      <c r="IV5" s="371"/>
      <c r="IW5" s="371"/>
    </row>
    <row r="6" customFormat="false" ht="12.75" hidden="false" customHeight="false" outlineLevel="0" collapsed="false">
      <c r="G6" s="180" t="str">
        <f aca="false">IF((D6="d"),F6," ")</f>
        <v> </v>
      </c>
      <c r="H6" s="180" t="str">
        <f aca="false">IF((D6="h"),F6," ")</f>
        <v> </v>
      </c>
      <c r="I6" s="180" t="str">
        <f aca="false">IF((D6="r"),F6," ")</f>
        <v> </v>
      </c>
      <c r="J6" s="180" t="str">
        <f aca="false">IF((D6="t"),F6," ")</f>
        <v> </v>
      </c>
      <c r="K6" s="180" t="str">
        <f aca="false">IF((D6="e"),F6," ")</f>
        <v> </v>
      </c>
      <c r="L6" s="180" t="str">
        <f aca="false">IF((D6="p"),F6," ")</f>
        <v> </v>
      </c>
      <c r="M6" s="180" t="str">
        <f aca="false">IF((D6="g"),F6," ")</f>
        <v> </v>
      </c>
      <c r="N6" s="180" t="str">
        <f aca="false">IF((D6="a"),F6," ")</f>
        <v> </v>
      </c>
      <c r="O6" s="180" t="str">
        <f aca="false">IF((D6="l"),F6," ")</f>
        <v> </v>
      </c>
      <c r="P6" s="180" t="str">
        <f aca="false">IF((D6="i"),F6," ")</f>
        <v> </v>
      </c>
      <c r="Q6" s="180" t="str">
        <f aca="false">IF((D6="b"),F6," ")</f>
        <v> </v>
      </c>
      <c r="R6" s="180" t="str">
        <f aca="false">IF((D6="o"),F6," ")</f>
        <v> </v>
      </c>
      <c r="S6" s="180" t="str">
        <f aca="false">IF((D6="f"),F6," ")</f>
        <v> </v>
      </c>
      <c r="U6" s="371"/>
    </row>
    <row r="7" customFormat="false" ht="12.75" hidden="false" customHeight="false" outlineLevel="0" collapsed="false">
      <c r="G7" s="180" t="str">
        <f aca="false">IF((D7="d"),F7," ")</f>
        <v> </v>
      </c>
      <c r="H7" s="180" t="str">
        <f aca="false">IF((D7="h"),F7," ")</f>
        <v> </v>
      </c>
      <c r="I7" s="180" t="str">
        <f aca="false">IF((D7="r"),F7," ")</f>
        <v> </v>
      </c>
      <c r="J7" s="180" t="str">
        <f aca="false">IF((D7="t"),F7," ")</f>
        <v> </v>
      </c>
      <c r="K7" s="180" t="str">
        <f aca="false">IF((D7="e"),F7," ")</f>
        <v> </v>
      </c>
      <c r="L7" s="180" t="str">
        <f aca="false">IF((D7="p"),F7," ")</f>
        <v> </v>
      </c>
      <c r="M7" s="180" t="str">
        <f aca="false">IF((D7="g"),F7," ")</f>
        <v> </v>
      </c>
      <c r="N7" s="180" t="str">
        <f aca="false">IF((D7="a"),F7," ")</f>
        <v> </v>
      </c>
      <c r="O7" s="180" t="str">
        <f aca="false">IF((D7="l"),F7," ")</f>
        <v> </v>
      </c>
      <c r="P7" s="180" t="str">
        <f aca="false">IF((D7="i"),F7," ")</f>
        <v> </v>
      </c>
      <c r="Q7" s="180" t="str">
        <f aca="false">IF((D7="b"),F7," ")</f>
        <v> </v>
      </c>
      <c r="R7" s="180" t="str">
        <f aca="false">IF((D7="o"),F7," ")</f>
        <v> </v>
      </c>
      <c r="S7" s="180" t="str">
        <f aca="false">IF((D7="f"),F7," ")</f>
        <v> </v>
      </c>
      <c r="U7" s="371"/>
    </row>
    <row r="8" customFormat="false" ht="12.75" hidden="false" customHeight="false" outlineLevel="0" collapsed="false">
      <c r="G8" s="180" t="str">
        <f aca="false">IF((D8="d"),F8," ")</f>
        <v> </v>
      </c>
      <c r="H8" s="180" t="str">
        <f aca="false">IF((D8="h"),F8," ")</f>
        <v> </v>
      </c>
      <c r="I8" s="180" t="str">
        <f aca="false">IF((D8="r"),F8," ")</f>
        <v> </v>
      </c>
      <c r="J8" s="180" t="str">
        <f aca="false">IF((D8="t"),F8," ")</f>
        <v> </v>
      </c>
      <c r="K8" s="180" t="str">
        <f aca="false">IF((D8="e"),F8," ")</f>
        <v> </v>
      </c>
      <c r="L8" s="180" t="str">
        <f aca="false">IF((D8="p"),F8," ")</f>
        <v> </v>
      </c>
      <c r="M8" s="180" t="str">
        <f aca="false">IF((D8="g"),F8," ")</f>
        <v> </v>
      </c>
      <c r="N8" s="180" t="str">
        <f aca="false">IF((D8="a"),F8," ")</f>
        <v> </v>
      </c>
      <c r="O8" s="180" t="str">
        <f aca="false">IF((D8="l"),F8," ")</f>
        <v> </v>
      </c>
      <c r="P8" s="180" t="str">
        <f aca="false">IF((D8="i"),F8," ")</f>
        <v> </v>
      </c>
      <c r="Q8" s="180" t="str">
        <f aca="false">IF((D8="b"),F8," ")</f>
        <v> </v>
      </c>
      <c r="R8" s="180" t="str">
        <f aca="false">IF((D8="o"),F8," ")</f>
        <v> </v>
      </c>
      <c r="S8" s="180" t="str">
        <f aca="false">IF((D8="f"),F8," ")</f>
        <v> </v>
      </c>
      <c r="U8" s="371"/>
    </row>
    <row r="9" customFormat="false" ht="12.75" hidden="false" customHeight="false" outlineLevel="0" collapsed="false">
      <c r="G9" s="180" t="str">
        <f aca="false">IF((D9="d"),F9," ")</f>
        <v> </v>
      </c>
      <c r="H9" s="180" t="str">
        <f aca="false">IF((D9="h"),F9," ")</f>
        <v> </v>
      </c>
      <c r="I9" s="180" t="str">
        <f aca="false">IF((D9="r"),F9," ")</f>
        <v> </v>
      </c>
      <c r="J9" s="180" t="str">
        <f aca="false">IF((D9="t"),F9," ")</f>
        <v> </v>
      </c>
      <c r="K9" s="180" t="str">
        <f aca="false">IF((D9="e"),F9," ")</f>
        <v> </v>
      </c>
      <c r="L9" s="180" t="str">
        <f aca="false">IF((D9="p"),F9," ")</f>
        <v> </v>
      </c>
      <c r="M9" s="180" t="str">
        <f aca="false">IF((D9="g"),F9," ")</f>
        <v> </v>
      </c>
      <c r="N9" s="180" t="str">
        <f aca="false">IF((D9="a"),F9," ")</f>
        <v> </v>
      </c>
      <c r="O9" s="180" t="str">
        <f aca="false">IF((D9="l"),F9," ")</f>
        <v> </v>
      </c>
      <c r="P9" s="180" t="str">
        <f aca="false">IF((D9="i"),F9," ")</f>
        <v> </v>
      </c>
      <c r="Q9" s="180" t="str">
        <f aca="false">IF((D9="b"),F9," ")</f>
        <v> </v>
      </c>
      <c r="R9" s="180" t="str">
        <f aca="false">IF((D9="o"),F9," ")</f>
        <v> </v>
      </c>
      <c r="S9" s="180" t="str">
        <f aca="false">IF((D9="f"),F9," ")</f>
        <v> </v>
      </c>
      <c r="U9" s="371"/>
    </row>
    <row r="10" customFormat="false" ht="12.75" hidden="false" customHeight="false" outlineLevel="0" collapsed="false">
      <c r="G10" s="180" t="str">
        <f aca="false">IF((D10="d"),F10," ")</f>
        <v> </v>
      </c>
      <c r="H10" s="180" t="str">
        <f aca="false">IF((D10="h"),F10," ")</f>
        <v> </v>
      </c>
      <c r="I10" s="180" t="str">
        <f aca="false">IF((D10="r"),F10," ")</f>
        <v> </v>
      </c>
      <c r="J10" s="180" t="str">
        <f aca="false">IF((D10="t"),F10," ")</f>
        <v> </v>
      </c>
      <c r="K10" s="180" t="str">
        <f aca="false">IF((D10="e"),F10," ")</f>
        <v> </v>
      </c>
      <c r="L10" s="180" t="str">
        <f aca="false">IF((D10="p"),F10," ")</f>
        <v> </v>
      </c>
      <c r="M10" s="180" t="str">
        <f aca="false">IF((D10="g"),F10," ")</f>
        <v> </v>
      </c>
      <c r="N10" s="180" t="str">
        <f aca="false">IF((D10="a"),F10," ")</f>
        <v> </v>
      </c>
      <c r="O10" s="180" t="str">
        <f aca="false">IF((D10="l"),F10," ")</f>
        <v> </v>
      </c>
      <c r="P10" s="180" t="str">
        <f aca="false">IF((D10="i"),F10," ")</f>
        <v> </v>
      </c>
      <c r="Q10" s="180" t="str">
        <f aca="false">IF((D10="b"),F10," ")</f>
        <v> </v>
      </c>
      <c r="R10" s="180" t="str">
        <f aca="false">IF((D10="o"),F10," ")</f>
        <v> </v>
      </c>
      <c r="S10" s="180" t="str">
        <f aca="false">IF((D10="f"),F10," ")</f>
        <v> </v>
      </c>
      <c r="U10" s="371"/>
    </row>
    <row r="11" customFormat="false" ht="12.75" hidden="false" customHeight="false" outlineLevel="0" collapsed="false">
      <c r="G11" s="180" t="str">
        <f aca="false">IF((D11="d"),F11," ")</f>
        <v> </v>
      </c>
      <c r="H11" s="180" t="str">
        <f aca="false">IF((D11="h"),F11," ")</f>
        <v> </v>
      </c>
      <c r="I11" s="180" t="str">
        <f aca="false">IF((D11="r"),F11," ")</f>
        <v> </v>
      </c>
      <c r="J11" s="180" t="str">
        <f aca="false">IF((D11="t"),F11," ")</f>
        <v> </v>
      </c>
      <c r="K11" s="180" t="str">
        <f aca="false">IF((D11="e"),F11," ")</f>
        <v> </v>
      </c>
      <c r="L11" s="180" t="str">
        <f aca="false">IF((D11="p"),F11," ")</f>
        <v> </v>
      </c>
      <c r="M11" s="180" t="str">
        <f aca="false">IF((D11="g"),F11," ")</f>
        <v> </v>
      </c>
      <c r="N11" s="180" t="str">
        <f aca="false">IF((D11="a"),F11," ")</f>
        <v> </v>
      </c>
      <c r="O11" s="180" t="str">
        <f aca="false">IF((D11="l"),F11," ")</f>
        <v> </v>
      </c>
      <c r="P11" s="180" t="str">
        <f aca="false">IF((D11="i"),F11," ")</f>
        <v> </v>
      </c>
      <c r="Q11" s="180" t="str">
        <f aca="false">IF((D11="b"),F11," ")</f>
        <v> </v>
      </c>
      <c r="R11" s="180" t="str">
        <f aca="false">IF((D11="o"),F11," ")</f>
        <v> </v>
      </c>
      <c r="S11" s="180" t="str">
        <f aca="false">IF((D11="f"),F11," ")</f>
        <v> </v>
      </c>
      <c r="U11" s="371"/>
    </row>
    <row r="12" customFormat="false" ht="12.75" hidden="false" customHeight="false" outlineLevel="0" collapsed="false">
      <c r="G12" s="180" t="str">
        <f aca="false">IF((D12="d"),F12," ")</f>
        <v> </v>
      </c>
      <c r="H12" s="180" t="str">
        <f aca="false">IF((D12="h"),F12," ")</f>
        <v> </v>
      </c>
      <c r="I12" s="180" t="str">
        <f aca="false">IF((D12="r"),F12," ")</f>
        <v> </v>
      </c>
      <c r="J12" s="180" t="str">
        <f aca="false">IF((D12="t"),F12," ")</f>
        <v> </v>
      </c>
      <c r="K12" s="180" t="str">
        <f aca="false">IF((D12="e"),F12," ")</f>
        <v> </v>
      </c>
      <c r="L12" s="180" t="str">
        <f aca="false">IF((D12="p"),F12," ")</f>
        <v> </v>
      </c>
      <c r="M12" s="180" t="str">
        <f aca="false">IF((D12="g"),F12," ")</f>
        <v> </v>
      </c>
      <c r="N12" s="180" t="str">
        <f aca="false">IF((D12="a"),F12," ")</f>
        <v> </v>
      </c>
      <c r="O12" s="180" t="str">
        <f aca="false">IF((D12="l"),F12," ")</f>
        <v> </v>
      </c>
      <c r="P12" s="180" t="str">
        <f aca="false">IF((D12="i"),F12," ")</f>
        <v> </v>
      </c>
      <c r="Q12" s="180" t="str">
        <f aca="false">IF((D12="b"),F12," ")</f>
        <v> </v>
      </c>
      <c r="R12" s="180" t="str">
        <f aca="false">IF((D12="o"),F12," ")</f>
        <v> </v>
      </c>
      <c r="S12" s="180" t="str">
        <f aca="false">IF((D12="f"),F12," ")</f>
        <v> </v>
      </c>
      <c r="U12" s="371"/>
    </row>
    <row r="13" customFormat="false" ht="12.75" hidden="false" customHeight="false" outlineLevel="0" collapsed="false">
      <c r="G13" s="180" t="str">
        <f aca="false">IF((D13="d"),F13," ")</f>
        <v> </v>
      </c>
      <c r="H13" s="180" t="str">
        <f aca="false">IF((D13="h"),F13," ")</f>
        <v> </v>
      </c>
      <c r="I13" s="180" t="str">
        <f aca="false">IF((D13="r"),F13," ")</f>
        <v> </v>
      </c>
      <c r="J13" s="180" t="str">
        <f aca="false">IF((D13="t"),F13," ")</f>
        <v> </v>
      </c>
      <c r="K13" s="180" t="str">
        <f aca="false">IF((D13="e"),F13," ")</f>
        <v> </v>
      </c>
      <c r="L13" s="180" t="str">
        <f aca="false">IF((D13="p"),F13," ")</f>
        <v> </v>
      </c>
      <c r="M13" s="180" t="str">
        <f aca="false">IF((D13="g"),F13," ")</f>
        <v> </v>
      </c>
      <c r="N13" s="180" t="str">
        <f aca="false">IF((D13="a"),F13," ")</f>
        <v> </v>
      </c>
      <c r="O13" s="180" t="str">
        <f aca="false">IF((D13="l"),F13," ")</f>
        <v> </v>
      </c>
      <c r="P13" s="180" t="str">
        <f aca="false">IF((D13="i"),F13," ")</f>
        <v> </v>
      </c>
      <c r="Q13" s="180" t="str">
        <f aca="false">IF((D13="b"),F13," ")</f>
        <v> </v>
      </c>
      <c r="R13" s="180" t="str">
        <f aca="false">IF((D13="o"),F13," ")</f>
        <v> </v>
      </c>
      <c r="S13" s="180" t="str">
        <f aca="false">IF((D13="f"),F13," ")</f>
        <v> </v>
      </c>
      <c r="U13" s="371"/>
    </row>
    <row r="14" customFormat="false" ht="12.75" hidden="false" customHeight="false" outlineLevel="0" collapsed="false">
      <c r="G14" s="180" t="str">
        <f aca="false">IF((D14="d"),F14," ")</f>
        <v> </v>
      </c>
      <c r="H14" s="180" t="str">
        <f aca="false">IF((D14="h"),F14," ")</f>
        <v> </v>
      </c>
      <c r="I14" s="180" t="str">
        <f aca="false">IF((D14="r"),F14," ")</f>
        <v> </v>
      </c>
      <c r="J14" s="180" t="str">
        <f aca="false">IF((D14="t"),F14," ")</f>
        <v> </v>
      </c>
      <c r="K14" s="180" t="str">
        <f aca="false">IF((D14="e"),F14," ")</f>
        <v> </v>
      </c>
      <c r="L14" s="180" t="str">
        <f aca="false">IF((D14="p"),F14," ")</f>
        <v> </v>
      </c>
      <c r="M14" s="180" t="str">
        <f aca="false">IF((D14="g"),F14," ")</f>
        <v> </v>
      </c>
      <c r="N14" s="180" t="str">
        <f aca="false">IF((D14="a"),F14," ")</f>
        <v> </v>
      </c>
      <c r="O14" s="180" t="str">
        <f aca="false">IF((D14="l"),F14," ")</f>
        <v> </v>
      </c>
      <c r="P14" s="180" t="str">
        <f aca="false">IF((D14="i"),F14," ")</f>
        <v> </v>
      </c>
      <c r="Q14" s="180" t="str">
        <f aca="false">IF((D14="b"),F14," ")</f>
        <v> </v>
      </c>
      <c r="R14" s="180" t="str">
        <f aca="false">IF((D14="o"),F14," ")</f>
        <v> </v>
      </c>
      <c r="S14" s="180" t="str">
        <f aca="false">IF((D14="f"),F14," ")</f>
        <v> </v>
      </c>
      <c r="U14" s="371"/>
    </row>
    <row r="15" customFormat="false" ht="12.75" hidden="false" customHeight="false" outlineLevel="0" collapsed="false">
      <c r="G15" s="180" t="str">
        <f aca="false">IF((D15="d"),F15," ")</f>
        <v> </v>
      </c>
      <c r="H15" s="180" t="str">
        <f aca="false">IF((D15="h"),F15," ")</f>
        <v> </v>
      </c>
      <c r="I15" s="180" t="str">
        <f aca="false">IF((D15="r"),F15," ")</f>
        <v> </v>
      </c>
      <c r="J15" s="180" t="str">
        <f aca="false">IF((D15="t"),F15," ")</f>
        <v> </v>
      </c>
      <c r="K15" s="180" t="str">
        <f aca="false">IF((D15="e"),F15," ")</f>
        <v> </v>
      </c>
      <c r="L15" s="180" t="str">
        <f aca="false">IF((D15="p"),F15," ")</f>
        <v> </v>
      </c>
      <c r="M15" s="180" t="str">
        <f aca="false">IF((D15="g"),F15," ")</f>
        <v> </v>
      </c>
      <c r="N15" s="180" t="str">
        <f aca="false">IF((D15="a"),F15," ")</f>
        <v> </v>
      </c>
      <c r="O15" s="180" t="str">
        <f aca="false">IF((D15="l"),F15," ")</f>
        <v> </v>
      </c>
      <c r="P15" s="180" t="str">
        <f aca="false">IF((D15="i"),F15," ")</f>
        <v> </v>
      </c>
      <c r="Q15" s="180" t="str">
        <f aca="false">IF((D15="b"),F15," ")</f>
        <v> </v>
      </c>
      <c r="R15" s="180" t="str">
        <f aca="false">IF((D15="o"),F15," ")</f>
        <v> </v>
      </c>
      <c r="S15" s="180" t="str">
        <f aca="false">IF((D15="f"),F15," ")</f>
        <v> </v>
      </c>
      <c r="U15" s="371"/>
    </row>
    <row r="16" customFormat="false" ht="12.75" hidden="false" customHeight="false" outlineLevel="0" collapsed="false">
      <c r="G16" s="180" t="str">
        <f aca="false">IF((D16="d"),F16," ")</f>
        <v> </v>
      </c>
      <c r="H16" s="180" t="str">
        <f aca="false">IF((D16="h"),F16," ")</f>
        <v> </v>
      </c>
      <c r="I16" s="180" t="str">
        <f aca="false">IF((D16="r"),F16," ")</f>
        <v> </v>
      </c>
      <c r="J16" s="180" t="str">
        <f aca="false">IF((D16="t"),F16," ")</f>
        <v> </v>
      </c>
      <c r="K16" s="180" t="str">
        <f aca="false">IF((D16="e"),F16," ")</f>
        <v> </v>
      </c>
      <c r="L16" s="180" t="str">
        <f aca="false">IF((D16="p"),F16," ")</f>
        <v> </v>
      </c>
      <c r="M16" s="180" t="str">
        <f aca="false">IF((D16="g"),F16," ")</f>
        <v> </v>
      </c>
      <c r="N16" s="180" t="str">
        <f aca="false">IF((D16="a"),F16," ")</f>
        <v> </v>
      </c>
      <c r="O16" s="180" t="str">
        <f aca="false">IF((D16="l"),F16," ")</f>
        <v> </v>
      </c>
      <c r="P16" s="180" t="str">
        <f aca="false">IF((D16="i"),F16," ")</f>
        <v> </v>
      </c>
      <c r="Q16" s="180" t="str">
        <f aca="false">IF((D16="b"),F16," ")</f>
        <v> </v>
      </c>
      <c r="R16" s="180" t="str">
        <f aca="false">IF((D16="o"),F16," ")</f>
        <v> </v>
      </c>
      <c r="S16" s="180" t="str">
        <f aca="false">IF((D16="f"),F16," ")</f>
        <v> </v>
      </c>
      <c r="U16" s="371"/>
    </row>
    <row r="17" customFormat="false" ht="12.75" hidden="false" customHeight="false" outlineLevel="0" collapsed="false">
      <c r="G17" s="180" t="str">
        <f aca="false">IF((D17="d"),F17," ")</f>
        <v> </v>
      </c>
      <c r="H17" s="180" t="str">
        <f aca="false">IF((D17="h"),F17," ")</f>
        <v> </v>
      </c>
      <c r="I17" s="180" t="str">
        <f aca="false">IF((D17="r"),F17," ")</f>
        <v> </v>
      </c>
      <c r="J17" s="180" t="str">
        <f aca="false">IF((D17="t"),F17," ")</f>
        <v> </v>
      </c>
      <c r="K17" s="180" t="str">
        <f aca="false">IF((D17="e"),F17," ")</f>
        <v> </v>
      </c>
      <c r="L17" s="180" t="str">
        <f aca="false">IF((D17="p"),F17," ")</f>
        <v> </v>
      </c>
      <c r="M17" s="180" t="str">
        <f aca="false">IF((D17="g"),F17," ")</f>
        <v> </v>
      </c>
      <c r="N17" s="180" t="str">
        <f aca="false">IF((D17="a"),F17," ")</f>
        <v> </v>
      </c>
      <c r="O17" s="180" t="str">
        <f aca="false">IF((D17="l"),F17," ")</f>
        <v> </v>
      </c>
      <c r="P17" s="180" t="str">
        <f aca="false">IF((D17="i"),F17," ")</f>
        <v> </v>
      </c>
      <c r="Q17" s="180" t="str">
        <f aca="false">IF((D17="b"),F17," ")</f>
        <v> </v>
      </c>
      <c r="R17" s="180" t="str">
        <f aca="false">IF((D17="o"),F17," ")</f>
        <v> </v>
      </c>
      <c r="S17" s="180" t="str">
        <f aca="false">IF((D17="f"),F17," ")</f>
        <v> </v>
      </c>
      <c r="U17" s="371"/>
    </row>
    <row r="18" customFormat="false" ht="12.75" hidden="false" customHeight="false" outlineLevel="0" collapsed="false">
      <c r="G18" s="180" t="str">
        <f aca="false">IF((D18="d"),F18," ")</f>
        <v> </v>
      </c>
      <c r="H18" s="180" t="str">
        <f aca="false">IF((D18="h"),F18," ")</f>
        <v> </v>
      </c>
      <c r="I18" s="180" t="str">
        <f aca="false">IF((D18="r"),F18," ")</f>
        <v> </v>
      </c>
      <c r="J18" s="180" t="str">
        <f aca="false">IF((D18="t"),F18," ")</f>
        <v> </v>
      </c>
      <c r="K18" s="180" t="str">
        <f aca="false">IF((D18="e"),F18," ")</f>
        <v> </v>
      </c>
      <c r="L18" s="180" t="str">
        <f aca="false">IF((D18="p"),F18," ")</f>
        <v> </v>
      </c>
      <c r="M18" s="180" t="str">
        <f aca="false">IF((D18="g"),F18," ")</f>
        <v> </v>
      </c>
      <c r="N18" s="180" t="str">
        <f aca="false">IF((D18="a"),F18," ")</f>
        <v> </v>
      </c>
      <c r="O18" s="180" t="str">
        <f aca="false">IF((D18="l"),F18," ")</f>
        <v> </v>
      </c>
      <c r="P18" s="180" t="str">
        <f aca="false">IF((D18="i"),F18," ")</f>
        <v> </v>
      </c>
      <c r="Q18" s="180" t="str">
        <f aca="false">IF((D18="b"),F18," ")</f>
        <v> </v>
      </c>
      <c r="R18" s="180" t="str">
        <f aca="false">IF((D18="o"),F18," ")</f>
        <v> </v>
      </c>
      <c r="S18" s="180" t="str">
        <f aca="false">IF((D18="f"),F18," ")</f>
        <v> </v>
      </c>
      <c r="U18" s="371"/>
    </row>
    <row r="19" customFormat="false" ht="12.75" hidden="false" customHeight="false" outlineLevel="0" collapsed="false">
      <c r="G19" s="180" t="str">
        <f aca="false">IF((D19="d"),F19," ")</f>
        <v> </v>
      </c>
      <c r="H19" s="180" t="str">
        <f aca="false">IF((D19="h"),F19," ")</f>
        <v> </v>
      </c>
      <c r="I19" s="180" t="str">
        <f aca="false">IF((D19="r"),F19," ")</f>
        <v> </v>
      </c>
      <c r="J19" s="180" t="str">
        <f aca="false">IF((D19="t"),F19," ")</f>
        <v> </v>
      </c>
      <c r="K19" s="180" t="str">
        <f aca="false">IF((D19="e"),F19," ")</f>
        <v> </v>
      </c>
      <c r="L19" s="180" t="str">
        <f aca="false">IF((D19="p"),F19," ")</f>
        <v> </v>
      </c>
      <c r="M19" s="180" t="str">
        <f aca="false">IF((D19="g"),F19," ")</f>
        <v> </v>
      </c>
      <c r="N19" s="180" t="str">
        <f aca="false">IF((D19="a"),F19," ")</f>
        <v> </v>
      </c>
      <c r="O19" s="180" t="str">
        <f aca="false">IF((D19="l"),F19," ")</f>
        <v> </v>
      </c>
      <c r="P19" s="180" t="str">
        <f aca="false">IF((D19="i"),F19," ")</f>
        <v> </v>
      </c>
      <c r="Q19" s="180" t="str">
        <f aca="false">IF((D19="b"),F19," ")</f>
        <v> </v>
      </c>
      <c r="R19" s="180" t="str">
        <f aca="false">IF((D19="o"),F19," ")</f>
        <v> </v>
      </c>
      <c r="S19" s="180" t="str">
        <f aca="false">IF((D19="f"),F19," ")</f>
        <v> </v>
      </c>
      <c r="U19" s="371"/>
    </row>
    <row r="20" customFormat="false" ht="12.75" hidden="false" customHeight="false" outlineLevel="0" collapsed="false">
      <c r="G20" s="180" t="str">
        <f aca="false">IF((D20="d"),F20," ")</f>
        <v> </v>
      </c>
      <c r="H20" s="180" t="str">
        <f aca="false">IF((D20="h"),F20," ")</f>
        <v> </v>
      </c>
      <c r="I20" s="180" t="str">
        <f aca="false">IF((D20="r"),F20," ")</f>
        <v> </v>
      </c>
      <c r="J20" s="180" t="str">
        <f aca="false">IF((D20="t"),F20," ")</f>
        <v> </v>
      </c>
      <c r="K20" s="180" t="str">
        <f aca="false">IF((D20="e"),F20," ")</f>
        <v> </v>
      </c>
      <c r="L20" s="180" t="str">
        <f aca="false">IF((D20="p"),F20," ")</f>
        <v> </v>
      </c>
      <c r="M20" s="180" t="str">
        <f aca="false">IF((D20="g"),F20," ")</f>
        <v> </v>
      </c>
      <c r="N20" s="180" t="str">
        <f aca="false">IF((D20="a"),F20," ")</f>
        <v> </v>
      </c>
      <c r="O20" s="180" t="str">
        <f aca="false">IF((D20="l"),F20," ")</f>
        <v> </v>
      </c>
      <c r="P20" s="180" t="str">
        <f aca="false">IF((D20="i"),F20," ")</f>
        <v> </v>
      </c>
      <c r="Q20" s="180" t="str">
        <f aca="false">IF((D20="b"),F20," ")</f>
        <v> </v>
      </c>
      <c r="R20" s="180" t="str">
        <f aca="false">IF((D20="o"),F20," ")</f>
        <v> </v>
      </c>
      <c r="S20" s="180" t="str">
        <f aca="false">IF((D20="f"),F20," ")</f>
        <v> </v>
      </c>
      <c r="U20" s="371"/>
    </row>
    <row r="21" customFormat="false" ht="12.75" hidden="false" customHeight="false" outlineLevel="0" collapsed="false">
      <c r="G21" s="180" t="str">
        <f aca="false">IF((D21="d"),F21," ")</f>
        <v> </v>
      </c>
      <c r="H21" s="180" t="str">
        <f aca="false">IF((D21="h"),F21," ")</f>
        <v> </v>
      </c>
      <c r="I21" s="180" t="str">
        <f aca="false">IF((D21="r"),F21," ")</f>
        <v> </v>
      </c>
      <c r="J21" s="180" t="str">
        <f aca="false">IF((D21="t"),F21," ")</f>
        <v> </v>
      </c>
      <c r="K21" s="180" t="str">
        <f aca="false">IF((D21="e"),F21," ")</f>
        <v> </v>
      </c>
      <c r="L21" s="180" t="str">
        <f aca="false">IF((D21="p"),F21," ")</f>
        <v> </v>
      </c>
      <c r="M21" s="180" t="str">
        <f aca="false">IF((D21="g"),F21," ")</f>
        <v> </v>
      </c>
      <c r="N21" s="180" t="str">
        <f aca="false">IF((D21="a"),F21," ")</f>
        <v> </v>
      </c>
      <c r="O21" s="180" t="str">
        <f aca="false">IF((D21="l"),F21," ")</f>
        <v> </v>
      </c>
      <c r="P21" s="180" t="str">
        <f aca="false">IF((D21="i"),F21," ")</f>
        <v> </v>
      </c>
      <c r="Q21" s="180" t="str">
        <f aca="false">IF((D21="b"),F21," ")</f>
        <v> </v>
      </c>
      <c r="R21" s="180" t="str">
        <f aca="false">IF((D21="o"),F21," ")</f>
        <v> </v>
      </c>
      <c r="S21" s="180" t="str">
        <f aca="false">IF((D21="f"),F21," ")</f>
        <v> </v>
      </c>
      <c r="U21" s="371"/>
    </row>
    <row r="22" customFormat="false" ht="12.75" hidden="false" customHeight="false" outlineLevel="0" collapsed="false">
      <c r="G22" s="180" t="str">
        <f aca="false">IF((D22="d"),F22," ")</f>
        <v> </v>
      </c>
      <c r="H22" s="180" t="str">
        <f aca="false">IF((D22="h"),F22," ")</f>
        <v> </v>
      </c>
      <c r="I22" s="180" t="str">
        <f aca="false">IF((D22="r"),F22," ")</f>
        <v> </v>
      </c>
      <c r="J22" s="180" t="str">
        <f aca="false">IF((D22="t"),F22," ")</f>
        <v> </v>
      </c>
      <c r="K22" s="180" t="str">
        <f aca="false">IF((D22="e"),F22," ")</f>
        <v> </v>
      </c>
      <c r="L22" s="180" t="str">
        <f aca="false">IF((D22="p"),F22," ")</f>
        <v> </v>
      </c>
      <c r="M22" s="180" t="str">
        <f aca="false">IF((D22="g"),F22," ")</f>
        <v> </v>
      </c>
      <c r="N22" s="180" t="str">
        <f aca="false">IF((D22="a"),F22," ")</f>
        <v> </v>
      </c>
      <c r="O22" s="180" t="str">
        <f aca="false">IF((D22="l"),F22," ")</f>
        <v> </v>
      </c>
      <c r="P22" s="180" t="str">
        <f aca="false">IF((D22="i"),F22," ")</f>
        <v> </v>
      </c>
      <c r="Q22" s="180" t="str">
        <f aca="false">IF((D22="b"),F22," ")</f>
        <v> </v>
      </c>
      <c r="R22" s="180" t="str">
        <f aca="false">IF((D22="o"),F22," ")</f>
        <v> </v>
      </c>
      <c r="S22" s="180" t="str">
        <f aca="false">IF((D22="f"),F22," ")</f>
        <v> </v>
      </c>
      <c r="U22" s="371"/>
    </row>
    <row r="23" customFormat="false" ht="12.75" hidden="false" customHeight="false" outlineLevel="0" collapsed="false">
      <c r="G23" s="180" t="str">
        <f aca="false">IF((D23="d"),F23," ")</f>
        <v> </v>
      </c>
      <c r="H23" s="180" t="str">
        <f aca="false">IF((D23="h"),F23," ")</f>
        <v> </v>
      </c>
      <c r="I23" s="180" t="str">
        <f aca="false">IF((D23="r"),F23," ")</f>
        <v> </v>
      </c>
      <c r="J23" s="180" t="str">
        <f aca="false">IF((D23="t"),F23," ")</f>
        <v> </v>
      </c>
      <c r="K23" s="180" t="str">
        <f aca="false">IF((D23="e"),F23," ")</f>
        <v> </v>
      </c>
      <c r="L23" s="180" t="str">
        <f aca="false">IF((D23="p"),F23," ")</f>
        <v> </v>
      </c>
      <c r="M23" s="180" t="str">
        <f aca="false">IF((D23="g"),F23," ")</f>
        <v> </v>
      </c>
      <c r="N23" s="180" t="str">
        <f aca="false">IF((D23="a"),F23," ")</f>
        <v> </v>
      </c>
      <c r="O23" s="180" t="str">
        <f aca="false">IF((D23="l"),F23," ")</f>
        <v> </v>
      </c>
      <c r="P23" s="180" t="str">
        <f aca="false">IF((D23="i"),F23," ")</f>
        <v> </v>
      </c>
      <c r="Q23" s="180" t="str">
        <f aca="false">IF((D23="b"),F23," ")</f>
        <v> </v>
      </c>
      <c r="R23" s="180" t="str">
        <f aca="false">IF((D23="o"),F23," ")</f>
        <v> </v>
      </c>
      <c r="S23" s="180" t="str">
        <f aca="false">IF((D23="f"),F23," ")</f>
        <v> </v>
      </c>
      <c r="U23" s="371"/>
    </row>
    <row r="24" customFormat="false" ht="12.75" hidden="false" customHeight="false" outlineLevel="0" collapsed="false">
      <c r="G24" s="180" t="str">
        <f aca="false">IF((D24="d"),F24," ")</f>
        <v> </v>
      </c>
      <c r="H24" s="180" t="str">
        <f aca="false">IF((D24="h"),F24," ")</f>
        <v> </v>
      </c>
      <c r="I24" s="180" t="str">
        <f aca="false">IF((D24="r"),F24," ")</f>
        <v> </v>
      </c>
      <c r="J24" s="180" t="str">
        <f aca="false">IF((D24="t"),F24," ")</f>
        <v> </v>
      </c>
      <c r="K24" s="180" t="str">
        <f aca="false">IF((D24="e"),F24," ")</f>
        <v> </v>
      </c>
      <c r="L24" s="180" t="str">
        <f aca="false">IF((D24="p"),F24," ")</f>
        <v> </v>
      </c>
      <c r="M24" s="180" t="str">
        <f aca="false">IF((D24="g"),F24," ")</f>
        <v> </v>
      </c>
      <c r="N24" s="180" t="str">
        <f aca="false">IF((D24="a"),F24," ")</f>
        <v> </v>
      </c>
      <c r="O24" s="180" t="str">
        <f aca="false">IF((D24="l"),F24," ")</f>
        <v> </v>
      </c>
      <c r="P24" s="180" t="str">
        <f aca="false">IF((D24="i"),F24," ")</f>
        <v> </v>
      </c>
      <c r="Q24" s="180" t="str">
        <f aca="false">IF((D24="b"),F24," ")</f>
        <v> </v>
      </c>
      <c r="R24" s="180" t="str">
        <f aca="false">IF((D24="o"),F24," ")</f>
        <v> </v>
      </c>
      <c r="S24" s="180" t="str">
        <f aca="false">IF((D24="f"),F24," ")</f>
        <v> </v>
      </c>
      <c r="U24" s="371"/>
    </row>
    <row r="25" customFormat="false" ht="12.75" hidden="false" customHeight="false" outlineLevel="0" collapsed="false">
      <c r="G25" s="180" t="str">
        <f aca="false">IF((D25="d"),F25," ")</f>
        <v> </v>
      </c>
      <c r="H25" s="180" t="str">
        <f aca="false">IF((D25="h"),F25," ")</f>
        <v> </v>
      </c>
      <c r="I25" s="180" t="str">
        <f aca="false">IF((D25="r"),F25," ")</f>
        <v> </v>
      </c>
      <c r="J25" s="180" t="str">
        <f aca="false">IF((D25="t"),F25," ")</f>
        <v> </v>
      </c>
      <c r="K25" s="180" t="str">
        <f aca="false">IF((D25="e"),F25," ")</f>
        <v> </v>
      </c>
      <c r="L25" s="180" t="str">
        <f aca="false">IF((D25="p"),F25," ")</f>
        <v> </v>
      </c>
      <c r="M25" s="180" t="str">
        <f aca="false">IF((D25="g"),F25," ")</f>
        <v> </v>
      </c>
      <c r="N25" s="180" t="str">
        <f aca="false">IF((D25="a"),F25," ")</f>
        <v> </v>
      </c>
      <c r="O25" s="180" t="str">
        <f aca="false">IF((D25="l"),F25," ")</f>
        <v> </v>
      </c>
      <c r="P25" s="180" t="str">
        <f aca="false">IF((D25="i"),F25," ")</f>
        <v> </v>
      </c>
      <c r="Q25" s="180" t="str">
        <f aca="false">IF((D25="b"),F25," ")</f>
        <v> </v>
      </c>
      <c r="R25" s="180" t="str">
        <f aca="false">IF((D25="o"),F25," ")</f>
        <v> </v>
      </c>
      <c r="S25" s="180" t="str">
        <f aca="false">IF((D25="f"),F25," ")</f>
        <v> </v>
      </c>
      <c r="U25" s="371"/>
    </row>
    <row r="26" customFormat="false" ht="12.75" hidden="false" customHeight="false" outlineLevel="0" collapsed="false">
      <c r="G26" s="180" t="str">
        <f aca="false">IF((D26="d"),F26," ")</f>
        <v> </v>
      </c>
      <c r="H26" s="180" t="str">
        <f aca="false">IF((D26="h"),F26," ")</f>
        <v> </v>
      </c>
      <c r="I26" s="180" t="str">
        <f aca="false">IF((D26="r"),F26," ")</f>
        <v> </v>
      </c>
      <c r="J26" s="180" t="str">
        <f aca="false">IF((D26="t"),F26," ")</f>
        <v> </v>
      </c>
      <c r="K26" s="180" t="str">
        <f aca="false">IF((D26="e"),F26," ")</f>
        <v> </v>
      </c>
      <c r="L26" s="180" t="str">
        <f aca="false">IF((D26="p"),F26," ")</f>
        <v> </v>
      </c>
      <c r="M26" s="180" t="str">
        <f aca="false">IF((D26="g"),F26," ")</f>
        <v> </v>
      </c>
      <c r="N26" s="180" t="str">
        <f aca="false">IF((D26="a"),F26," ")</f>
        <v> </v>
      </c>
      <c r="O26" s="180" t="str">
        <f aca="false">IF((D26="l"),F26," ")</f>
        <v> </v>
      </c>
      <c r="P26" s="180" t="str">
        <f aca="false">IF((D26="i"),F26," ")</f>
        <v> </v>
      </c>
      <c r="Q26" s="180" t="str">
        <f aca="false">IF((D26="b"),F26," ")</f>
        <v> </v>
      </c>
      <c r="R26" s="180" t="str">
        <f aca="false">IF((D26="o"),F26," ")</f>
        <v> </v>
      </c>
      <c r="S26" s="180" t="str">
        <f aca="false">IF((D26="f"),F26," ")</f>
        <v> </v>
      </c>
      <c r="U26" s="371"/>
    </row>
    <row r="27" customFormat="false" ht="12.75" hidden="false" customHeight="false" outlineLevel="0" collapsed="false">
      <c r="G27" s="180" t="str">
        <f aca="false">IF((D27="d"),F27," ")</f>
        <v> </v>
      </c>
      <c r="H27" s="180" t="str">
        <f aca="false">IF((D27="h"),F27," ")</f>
        <v> </v>
      </c>
      <c r="I27" s="180" t="str">
        <f aca="false">IF((D27="r"),F27," ")</f>
        <v> </v>
      </c>
      <c r="J27" s="180" t="str">
        <f aca="false">IF((D27="t"),F27," ")</f>
        <v> </v>
      </c>
      <c r="K27" s="180" t="str">
        <f aca="false">IF((D27="e"),F27," ")</f>
        <v> </v>
      </c>
      <c r="L27" s="180" t="str">
        <f aca="false">IF((D27="p"),F27," ")</f>
        <v> </v>
      </c>
      <c r="M27" s="180" t="str">
        <f aca="false">IF((D27="g"),F27," ")</f>
        <v> </v>
      </c>
      <c r="N27" s="180" t="str">
        <f aca="false">IF((D27="a"),F27," ")</f>
        <v> </v>
      </c>
      <c r="O27" s="180" t="str">
        <f aca="false">IF((D27="l"),F27," ")</f>
        <v> </v>
      </c>
      <c r="P27" s="180" t="str">
        <f aca="false">IF((D27="i"),F27," ")</f>
        <v> </v>
      </c>
      <c r="Q27" s="180" t="str">
        <f aca="false">IF((D27="b"),F27," ")</f>
        <v> </v>
      </c>
      <c r="R27" s="180" t="str">
        <f aca="false">IF((D27="o"),F27," ")</f>
        <v> </v>
      </c>
      <c r="S27" s="180" t="str">
        <f aca="false">IF((D27="f"),F27," ")</f>
        <v> </v>
      </c>
      <c r="U27" s="371"/>
    </row>
    <row r="28" customFormat="false" ht="12.75" hidden="false" customHeight="false" outlineLevel="0" collapsed="false">
      <c r="G28" s="180" t="str">
        <f aca="false">IF((D28="d"),F28," ")</f>
        <v> </v>
      </c>
      <c r="H28" s="180" t="str">
        <f aca="false">IF((D28="h"),F28," ")</f>
        <v> </v>
      </c>
      <c r="I28" s="180" t="str">
        <f aca="false">IF((D28="r"),F28," ")</f>
        <v> </v>
      </c>
      <c r="J28" s="180" t="str">
        <f aca="false">IF((D28="t"),F28," ")</f>
        <v> </v>
      </c>
      <c r="K28" s="180" t="str">
        <f aca="false">IF((D28="e"),F28," ")</f>
        <v> </v>
      </c>
      <c r="L28" s="180" t="str">
        <f aca="false">IF((D28="p"),F28," ")</f>
        <v> </v>
      </c>
      <c r="M28" s="180" t="str">
        <f aca="false">IF((D28="g"),F28," ")</f>
        <v> </v>
      </c>
      <c r="N28" s="180" t="str">
        <f aca="false">IF((D28="a"),F28," ")</f>
        <v> </v>
      </c>
      <c r="O28" s="180" t="str">
        <f aca="false">IF((D28="l"),F28," ")</f>
        <v> </v>
      </c>
      <c r="P28" s="180" t="str">
        <f aca="false">IF((D28="i"),F28," ")</f>
        <v> </v>
      </c>
      <c r="Q28" s="180" t="str">
        <f aca="false">IF((D28="b"),F28," ")</f>
        <v> </v>
      </c>
      <c r="R28" s="180" t="str">
        <f aca="false">IF((D28="o"),F28," ")</f>
        <v> </v>
      </c>
      <c r="S28" s="180" t="str">
        <f aca="false">IF((D28="f"),F28," ")</f>
        <v> </v>
      </c>
      <c r="U28" s="371"/>
    </row>
    <row r="29" customFormat="false" ht="12.75" hidden="false" customHeight="false" outlineLevel="0" collapsed="false">
      <c r="G29" s="180" t="str">
        <f aca="false">IF((D29="d"),F29," ")</f>
        <v> </v>
      </c>
      <c r="H29" s="180" t="str">
        <f aca="false">IF((D29="h"),F29," ")</f>
        <v> </v>
      </c>
      <c r="I29" s="180" t="str">
        <f aca="false">IF((D29="r"),F29," ")</f>
        <v> </v>
      </c>
      <c r="J29" s="180" t="str">
        <f aca="false">IF((D29="t"),F29," ")</f>
        <v> </v>
      </c>
      <c r="K29" s="180" t="str">
        <f aca="false">IF((D29="e"),F29," ")</f>
        <v> </v>
      </c>
      <c r="L29" s="180" t="str">
        <f aca="false">IF((D29="p"),F29," ")</f>
        <v> </v>
      </c>
      <c r="M29" s="180" t="str">
        <f aca="false">IF((D29="g"),F29," ")</f>
        <v> </v>
      </c>
      <c r="N29" s="180" t="str">
        <f aca="false">IF((D29="a"),F29," ")</f>
        <v> </v>
      </c>
      <c r="O29" s="180" t="str">
        <f aca="false">IF((D29="l"),F29," ")</f>
        <v> </v>
      </c>
      <c r="P29" s="180" t="str">
        <f aca="false">IF((D29="i"),F29," ")</f>
        <v> </v>
      </c>
      <c r="Q29" s="180" t="str">
        <f aca="false">IF((D29="b"),F29," ")</f>
        <v> </v>
      </c>
      <c r="R29" s="180" t="str">
        <f aca="false">IF((D29="o"),F29," ")</f>
        <v> </v>
      </c>
      <c r="S29" s="180" t="str">
        <f aca="false">IF((D29="f"),F29," ")</f>
        <v> </v>
      </c>
      <c r="U29" s="371"/>
    </row>
    <row r="30" customFormat="false" ht="12.75" hidden="false" customHeight="false" outlineLevel="0" collapsed="false">
      <c r="G30" s="180" t="str">
        <f aca="false">IF((D30="d"),F30," ")</f>
        <v> </v>
      </c>
      <c r="H30" s="180" t="str">
        <f aca="false">IF((D30="h"),F30," ")</f>
        <v> </v>
      </c>
      <c r="I30" s="180" t="str">
        <f aca="false">IF((D30="r"),F30," ")</f>
        <v> </v>
      </c>
      <c r="J30" s="180" t="str">
        <f aca="false">IF((D30="t"),F30," ")</f>
        <v> </v>
      </c>
      <c r="K30" s="180" t="str">
        <f aca="false">IF((D30="e"),F30," ")</f>
        <v> </v>
      </c>
      <c r="L30" s="180" t="str">
        <f aca="false">IF((D30="p"),F30," ")</f>
        <v> </v>
      </c>
      <c r="M30" s="180" t="str">
        <f aca="false">IF((D30="g"),F30," ")</f>
        <v> </v>
      </c>
      <c r="N30" s="180" t="str">
        <f aca="false">IF((D30="a"),F30," ")</f>
        <v> </v>
      </c>
      <c r="O30" s="180" t="str">
        <f aca="false">IF((D30="l"),F30," ")</f>
        <v> </v>
      </c>
      <c r="P30" s="180" t="str">
        <f aca="false">IF((D30="i"),F30," ")</f>
        <v> </v>
      </c>
      <c r="Q30" s="180" t="str">
        <f aca="false">IF((D30="b"),F30," ")</f>
        <v> </v>
      </c>
      <c r="R30" s="180" t="str">
        <f aca="false">IF((D30="o"),F30," ")</f>
        <v> </v>
      </c>
      <c r="S30" s="180" t="str">
        <f aca="false">IF((D30="f"),F30," ")</f>
        <v> </v>
      </c>
      <c r="U30" s="371"/>
    </row>
    <row r="31" customFormat="false" ht="12.75" hidden="false" customHeight="false" outlineLevel="0" collapsed="false">
      <c r="G31" s="180" t="str">
        <f aca="false">IF((D31="d"),F31," ")</f>
        <v> </v>
      </c>
      <c r="H31" s="180" t="str">
        <f aca="false">IF((D31="h"),F31," ")</f>
        <v> </v>
      </c>
      <c r="I31" s="180" t="str">
        <f aca="false">IF((D31="r"),F31," ")</f>
        <v> </v>
      </c>
      <c r="J31" s="180" t="str">
        <f aca="false">IF((D31="t"),F31," ")</f>
        <v> </v>
      </c>
      <c r="K31" s="180" t="str">
        <f aca="false">IF((D31="e"),F31," ")</f>
        <v> </v>
      </c>
      <c r="L31" s="180" t="str">
        <f aca="false">IF((D31="p"),F31," ")</f>
        <v> </v>
      </c>
      <c r="M31" s="180" t="str">
        <f aca="false">IF((D31="g"),F31," ")</f>
        <v> </v>
      </c>
      <c r="N31" s="180" t="str">
        <f aca="false">IF((D31="a"),F31," ")</f>
        <v> </v>
      </c>
      <c r="O31" s="180" t="str">
        <f aca="false">IF((D31="l"),F31," ")</f>
        <v> </v>
      </c>
      <c r="P31" s="180" t="str">
        <f aca="false">IF((D31="i"),F31," ")</f>
        <v> </v>
      </c>
      <c r="Q31" s="180" t="str">
        <f aca="false">IF((D31="b"),F31," ")</f>
        <v> </v>
      </c>
      <c r="R31" s="180" t="str">
        <f aca="false">IF((D31="o"),F31," ")</f>
        <v> </v>
      </c>
      <c r="S31" s="180" t="str">
        <f aca="false">IF((D31="f"),F31," ")</f>
        <v> </v>
      </c>
      <c r="U31" s="371"/>
    </row>
    <row r="32" customFormat="false" ht="12.75" hidden="false" customHeight="false" outlineLevel="0" collapsed="false">
      <c r="G32" s="180" t="str">
        <f aca="false">IF((D32="d"),F32," ")</f>
        <v> </v>
      </c>
      <c r="H32" s="180" t="str">
        <f aca="false">IF((D32="h"),F32," ")</f>
        <v> </v>
      </c>
      <c r="I32" s="180" t="str">
        <f aca="false">IF((D32="r"),F32," ")</f>
        <v> </v>
      </c>
      <c r="J32" s="180" t="str">
        <f aca="false">IF((D32="t"),F32," ")</f>
        <v> </v>
      </c>
      <c r="K32" s="180" t="str">
        <f aca="false">IF((D32="e"),F32," ")</f>
        <v> </v>
      </c>
      <c r="L32" s="180" t="str">
        <f aca="false">IF((D32="p"),F32," ")</f>
        <v> </v>
      </c>
      <c r="M32" s="180" t="str">
        <f aca="false">IF((D32="g"),F32," ")</f>
        <v> </v>
      </c>
      <c r="N32" s="180" t="str">
        <f aca="false">IF((D32="a"),F32," ")</f>
        <v> </v>
      </c>
      <c r="O32" s="180" t="str">
        <f aca="false">IF((D32="l"),F32," ")</f>
        <v> </v>
      </c>
      <c r="P32" s="180" t="str">
        <f aca="false">IF((D32="i"),F32," ")</f>
        <v> </v>
      </c>
      <c r="Q32" s="180" t="str">
        <f aca="false">IF((D32="b"),F32," ")</f>
        <v> </v>
      </c>
      <c r="R32" s="180" t="str">
        <f aca="false">IF((D32="o"),F32," ")</f>
        <v> </v>
      </c>
      <c r="S32" s="180" t="str">
        <f aca="false">IF((D32="f"),F32," ")</f>
        <v> </v>
      </c>
      <c r="U32" s="371"/>
    </row>
    <row r="33" customFormat="false" ht="12.75" hidden="false" customHeight="false" outlineLevel="0" collapsed="false">
      <c r="G33" s="180" t="str">
        <f aca="false">IF((D33="d"),F33," ")</f>
        <v> </v>
      </c>
      <c r="H33" s="180" t="str">
        <f aca="false">IF((D33="h"),F33," ")</f>
        <v> </v>
      </c>
      <c r="I33" s="180" t="str">
        <f aca="false">IF((D33="r"),F33," ")</f>
        <v> </v>
      </c>
      <c r="J33" s="180" t="str">
        <f aca="false">IF((D33="t"),F33," ")</f>
        <v> </v>
      </c>
      <c r="K33" s="180" t="str">
        <f aca="false">IF((D33="e"),F33," ")</f>
        <v> </v>
      </c>
      <c r="L33" s="180" t="str">
        <f aca="false">IF((D33="p"),F33," ")</f>
        <v> </v>
      </c>
      <c r="M33" s="180" t="str">
        <f aca="false">IF((D33="g"),F33," ")</f>
        <v> </v>
      </c>
      <c r="N33" s="180" t="str">
        <f aca="false">IF((D33="a"),F33," ")</f>
        <v> </v>
      </c>
      <c r="O33" s="180" t="str">
        <f aca="false">IF((D33="l"),F33," ")</f>
        <v> </v>
      </c>
      <c r="P33" s="180" t="str">
        <f aca="false">IF((D33="i"),F33," ")</f>
        <v> </v>
      </c>
      <c r="Q33" s="180" t="str">
        <f aca="false">IF((D33="b"),F33," ")</f>
        <v> </v>
      </c>
      <c r="R33" s="180" t="str">
        <f aca="false">IF((D33="o"),F33," ")</f>
        <v> </v>
      </c>
      <c r="S33" s="180" t="str">
        <f aca="false">IF((D33="f"),F33," ")</f>
        <v> </v>
      </c>
      <c r="U33" s="371"/>
    </row>
    <row r="34" customFormat="false" ht="12.75" hidden="false" customHeight="false" outlineLevel="0" collapsed="false">
      <c r="G34" s="180" t="str">
        <f aca="false">IF((D34="d"),F34," ")</f>
        <v> </v>
      </c>
      <c r="H34" s="180" t="str">
        <f aca="false">IF((D34="h"),F34," ")</f>
        <v> </v>
      </c>
      <c r="I34" s="180" t="str">
        <f aca="false">IF((D34="r"),F34," ")</f>
        <v> </v>
      </c>
      <c r="J34" s="180" t="str">
        <f aca="false">IF((D34="t"),F34," ")</f>
        <v> </v>
      </c>
      <c r="K34" s="180" t="str">
        <f aca="false">IF((D34="e"),F34," ")</f>
        <v> </v>
      </c>
      <c r="L34" s="180" t="str">
        <f aca="false">IF((D34="p"),F34," ")</f>
        <v> </v>
      </c>
      <c r="M34" s="180" t="str">
        <f aca="false">IF((D34="g"),F34," ")</f>
        <v> </v>
      </c>
      <c r="N34" s="180" t="str">
        <f aca="false">IF((D34="a"),F34," ")</f>
        <v> </v>
      </c>
      <c r="O34" s="180" t="str">
        <f aca="false">IF((D34="l"),F34," ")</f>
        <v> </v>
      </c>
      <c r="P34" s="180" t="str">
        <f aca="false">IF((D34="i"),F34," ")</f>
        <v> </v>
      </c>
      <c r="Q34" s="180" t="str">
        <f aca="false">IF((D34="b"),F34," ")</f>
        <v> </v>
      </c>
      <c r="R34" s="180" t="str">
        <f aca="false">IF((D34="o"),F34," ")</f>
        <v> </v>
      </c>
      <c r="S34" s="180" t="str">
        <f aca="false">IF((D34="f"),F34," ")</f>
        <v> </v>
      </c>
      <c r="U34" s="371"/>
    </row>
    <row r="35" customFormat="false" ht="12.75" hidden="false" customHeight="false" outlineLevel="0" collapsed="false">
      <c r="G35" s="180" t="str">
        <f aca="false">IF((D35="d"),F35," ")</f>
        <v> </v>
      </c>
      <c r="H35" s="180" t="str">
        <f aca="false">IF((D35="h"),F35," ")</f>
        <v> </v>
      </c>
      <c r="I35" s="180" t="str">
        <f aca="false">IF((D35="r"),F35," ")</f>
        <v> </v>
      </c>
      <c r="J35" s="180" t="str">
        <f aca="false">IF((D35="t"),F35," ")</f>
        <v> </v>
      </c>
      <c r="K35" s="180" t="str">
        <f aca="false">IF((D35="e"),F35," ")</f>
        <v> </v>
      </c>
      <c r="L35" s="180" t="str">
        <f aca="false">IF((D35="p"),F35," ")</f>
        <v> </v>
      </c>
      <c r="M35" s="180" t="str">
        <f aca="false">IF((D35="g"),F35," ")</f>
        <v> </v>
      </c>
      <c r="N35" s="180" t="str">
        <f aca="false">IF((D35="a"),F35," ")</f>
        <v> </v>
      </c>
      <c r="O35" s="180" t="str">
        <f aca="false">IF((D35="l"),F35," ")</f>
        <v> </v>
      </c>
      <c r="P35" s="180" t="str">
        <f aca="false">IF((D35="i"),F35," ")</f>
        <v> </v>
      </c>
      <c r="Q35" s="180" t="str">
        <f aca="false">IF((D35="b"),F35," ")</f>
        <v> </v>
      </c>
      <c r="R35" s="180" t="str">
        <f aca="false">IF((D35="o"),F35," ")</f>
        <v> </v>
      </c>
      <c r="S35" s="180" t="str">
        <f aca="false">IF((D35="f"),F35," ")</f>
        <v> </v>
      </c>
      <c r="U35" s="371"/>
    </row>
    <row r="36" customFormat="false" ht="12.75" hidden="false" customHeight="false" outlineLevel="0" collapsed="false">
      <c r="G36" s="180" t="str">
        <f aca="false">IF((D36="d"),F36," ")</f>
        <v> </v>
      </c>
      <c r="H36" s="180" t="str">
        <f aca="false">IF((D36="h"),F36," ")</f>
        <v> </v>
      </c>
      <c r="I36" s="180" t="str">
        <f aca="false">IF((D36="r"),F36," ")</f>
        <v> </v>
      </c>
      <c r="J36" s="180" t="str">
        <f aca="false">IF((D36="t"),F36," ")</f>
        <v> </v>
      </c>
      <c r="K36" s="180" t="str">
        <f aca="false">IF((D36="e"),F36," ")</f>
        <v> </v>
      </c>
      <c r="L36" s="180" t="str">
        <f aca="false">IF((D36="p"),F36," ")</f>
        <v> </v>
      </c>
      <c r="M36" s="180" t="str">
        <f aca="false">IF((D36="g"),F36," ")</f>
        <v> </v>
      </c>
      <c r="N36" s="180" t="str">
        <f aca="false">IF((D36="a"),F36," ")</f>
        <v> </v>
      </c>
      <c r="O36" s="180" t="str">
        <f aca="false">IF((D36="l"),F36," ")</f>
        <v> </v>
      </c>
      <c r="P36" s="180" t="str">
        <f aca="false">IF((D36="i"),F36," ")</f>
        <v> </v>
      </c>
      <c r="Q36" s="180" t="str">
        <f aca="false">IF((D36="b"),F36," ")</f>
        <v> </v>
      </c>
      <c r="R36" s="180" t="str">
        <f aca="false">IF((D36="o"),F36," ")</f>
        <v> </v>
      </c>
      <c r="S36" s="180" t="str">
        <f aca="false">IF((D36="f"),F36," ")</f>
        <v> </v>
      </c>
      <c r="U36" s="371"/>
    </row>
    <row r="37" customFormat="false" ht="12.75" hidden="false" customHeight="false" outlineLevel="0" collapsed="false">
      <c r="D37" s="371" t="str">
        <f aca="false">IF((F37&lt;&gt;0),"Enter Letter"," ")</f>
        <v> </v>
      </c>
      <c r="G37" s="180" t="str">
        <f aca="false">IF((D37="d"),F37," ")</f>
        <v> </v>
      </c>
      <c r="H37" s="180" t="str">
        <f aca="false">IF((D37="h"),F37," ")</f>
        <v> </v>
      </c>
      <c r="I37" s="180" t="str">
        <f aca="false">IF((D37="r"),F37," ")</f>
        <v> </v>
      </c>
      <c r="J37" s="180" t="str">
        <f aca="false">IF((D37="t"),F37," ")</f>
        <v> </v>
      </c>
      <c r="K37" s="180" t="str">
        <f aca="false">IF((D37="e"),F37," ")</f>
        <v> </v>
      </c>
      <c r="L37" s="180" t="str">
        <f aca="false">IF((D37="p"),F37," ")</f>
        <v> </v>
      </c>
      <c r="M37" s="180" t="str">
        <f aca="false">IF((D37="g"),F37," ")</f>
        <v> </v>
      </c>
      <c r="N37" s="180" t="str">
        <f aca="false">IF((D37="a"),F37," ")</f>
        <v> </v>
      </c>
      <c r="O37" s="180" t="str">
        <f aca="false">IF((D37="l"),F37," ")</f>
        <v> </v>
      </c>
      <c r="P37" s="180" t="str">
        <f aca="false">IF((D37="i"),F37," ")</f>
        <v> </v>
      </c>
      <c r="Q37" s="180" t="str">
        <f aca="false">IF((D37="b"),F37," ")</f>
        <v> </v>
      </c>
      <c r="R37" s="180" t="str">
        <f aca="false">IF((D37="o"),F37," ")</f>
        <v> </v>
      </c>
      <c r="S37" s="180" t="str">
        <f aca="false">IF((D37="f"),F37," ")</f>
        <v> </v>
      </c>
      <c r="U37" s="371"/>
    </row>
    <row r="38" customFormat="false" ht="12.75" hidden="false" customHeight="false" outlineLevel="0" collapsed="false">
      <c r="D38" s="371" t="str">
        <f aca="false">IF((F38&lt;&gt;0),"Enter Letter"," ")</f>
        <v> </v>
      </c>
      <c r="G38" s="180" t="str">
        <f aca="false">IF((D38="d"),F38," ")</f>
        <v> </v>
      </c>
      <c r="H38" s="180" t="str">
        <f aca="false">IF((D38="h"),F38," ")</f>
        <v> </v>
      </c>
      <c r="I38" s="180" t="str">
        <f aca="false">IF((D38="r"),F38," ")</f>
        <v> </v>
      </c>
      <c r="J38" s="180" t="str">
        <f aca="false">IF((D38="t"),F38," ")</f>
        <v> </v>
      </c>
      <c r="K38" s="180" t="str">
        <f aca="false">IF((D38="e"),F38," ")</f>
        <v> </v>
      </c>
      <c r="L38" s="180" t="str">
        <f aca="false">IF((D38="p"),F38," ")</f>
        <v> </v>
      </c>
      <c r="M38" s="180" t="str">
        <f aca="false">IF((D38="g"),F38," ")</f>
        <v> </v>
      </c>
      <c r="N38" s="180" t="str">
        <f aca="false">IF((D38="a"),F38," ")</f>
        <v> </v>
      </c>
      <c r="O38" s="180" t="str">
        <f aca="false">IF((D38="l"),F38," ")</f>
        <v> </v>
      </c>
      <c r="P38" s="180" t="str">
        <f aca="false">IF((D38="i"),F38," ")</f>
        <v> </v>
      </c>
      <c r="Q38" s="180" t="str">
        <f aca="false">IF((D38="b"),F38," ")</f>
        <v> </v>
      </c>
      <c r="R38" s="180" t="str">
        <f aca="false">IF((D38="o"),F38," ")</f>
        <v> </v>
      </c>
      <c r="S38" s="180" t="str">
        <f aca="false">IF((D38="f"),F38," ")</f>
        <v> </v>
      </c>
      <c r="U38" s="371"/>
    </row>
    <row r="39" customFormat="false" ht="12.75" hidden="false" customHeight="false" outlineLevel="0" collapsed="false">
      <c r="D39" s="371" t="str">
        <f aca="false">IF((F39&lt;&gt;0),"Enter Letter"," ")</f>
        <v> </v>
      </c>
      <c r="G39" s="180" t="str">
        <f aca="false">IF((D39="d"),F39," ")</f>
        <v> </v>
      </c>
      <c r="H39" s="180" t="str">
        <f aca="false">IF((D39="h"),F39," ")</f>
        <v> </v>
      </c>
      <c r="I39" s="180" t="str">
        <f aca="false">IF((D39="r"),F39," ")</f>
        <v> </v>
      </c>
      <c r="J39" s="180" t="str">
        <f aca="false">IF((D39="t"),F39," ")</f>
        <v> </v>
      </c>
      <c r="K39" s="180" t="str">
        <f aca="false">IF((D39="e"),F39," ")</f>
        <v> </v>
      </c>
      <c r="L39" s="180" t="str">
        <f aca="false">IF((D39="p"),F39," ")</f>
        <v> </v>
      </c>
      <c r="M39" s="180" t="str">
        <f aca="false">IF((D39="g"),F39," ")</f>
        <v> </v>
      </c>
      <c r="N39" s="180" t="str">
        <f aca="false">IF((D39="a"),F39," ")</f>
        <v> </v>
      </c>
      <c r="O39" s="180" t="str">
        <f aca="false">IF((D39="l"),F39," ")</f>
        <v> </v>
      </c>
      <c r="P39" s="180" t="str">
        <f aca="false">IF((D39="i"),F39," ")</f>
        <v> </v>
      </c>
      <c r="Q39" s="180" t="str">
        <f aca="false">IF((D39="b"),F39," ")</f>
        <v> </v>
      </c>
      <c r="R39" s="180" t="str">
        <f aca="false">IF((D39="o"),F39," ")</f>
        <v> </v>
      </c>
      <c r="S39" s="180" t="str">
        <f aca="false">IF((D39="f"),F39," ")</f>
        <v> </v>
      </c>
      <c r="U39" s="371"/>
    </row>
    <row r="40" customFormat="false" ht="12.75" hidden="false" customHeight="false" outlineLevel="0" collapsed="false">
      <c r="D40" s="371" t="str">
        <f aca="false">IF((F40&lt;&gt;0),"Enter Letter"," ")</f>
        <v> </v>
      </c>
      <c r="G40" s="180" t="str">
        <f aca="false">IF((D40="d"),F40," ")</f>
        <v> </v>
      </c>
      <c r="H40" s="180" t="str">
        <f aca="false">IF((D40="h"),F40," ")</f>
        <v> </v>
      </c>
      <c r="I40" s="180" t="str">
        <f aca="false">IF((D40="r"),F40," ")</f>
        <v> </v>
      </c>
      <c r="J40" s="180" t="str">
        <f aca="false">IF((D40="t"),F40," ")</f>
        <v> </v>
      </c>
      <c r="K40" s="180" t="str">
        <f aca="false">IF((D40="e"),F40," ")</f>
        <v> </v>
      </c>
      <c r="L40" s="180" t="str">
        <f aca="false">IF((D40="p"),F40," ")</f>
        <v> </v>
      </c>
      <c r="M40" s="180" t="str">
        <f aca="false">IF((D40="g"),F40," ")</f>
        <v> </v>
      </c>
      <c r="N40" s="180" t="str">
        <f aca="false">IF((D40="a"),F40," ")</f>
        <v> </v>
      </c>
      <c r="O40" s="180" t="str">
        <f aca="false">IF((D40="l"),F40," ")</f>
        <v> </v>
      </c>
      <c r="P40" s="180" t="str">
        <f aca="false">IF((D40="i"),F40," ")</f>
        <v> </v>
      </c>
      <c r="Q40" s="180" t="str">
        <f aca="false">IF((D40="b"),F40," ")</f>
        <v> </v>
      </c>
      <c r="R40" s="180" t="str">
        <f aca="false">IF((D40="o"),F40," ")</f>
        <v> </v>
      </c>
      <c r="S40" s="180" t="str">
        <f aca="false">IF((D40="f"),F40," ")</f>
        <v> </v>
      </c>
      <c r="U40" s="371"/>
    </row>
    <row r="41" customFormat="false" ht="12.75" hidden="false" customHeight="false" outlineLevel="0" collapsed="false">
      <c r="D41" s="371" t="str">
        <f aca="false">IF((F41&lt;&gt;0),"Enter Letter"," ")</f>
        <v> </v>
      </c>
      <c r="G41" s="180" t="str">
        <f aca="false">IF((D41="d"),F41," ")</f>
        <v> </v>
      </c>
      <c r="H41" s="180" t="str">
        <f aca="false">IF((D41="h"),F41," ")</f>
        <v> </v>
      </c>
      <c r="I41" s="180" t="str">
        <f aca="false">IF((D41="r"),F41," ")</f>
        <v> </v>
      </c>
      <c r="J41" s="180" t="str">
        <f aca="false">IF((D41="t"),F41," ")</f>
        <v> </v>
      </c>
      <c r="K41" s="180" t="str">
        <f aca="false">IF((D41="e"),F41," ")</f>
        <v> </v>
      </c>
      <c r="L41" s="180" t="str">
        <f aca="false">IF((D41="p"),F41," ")</f>
        <v> </v>
      </c>
      <c r="M41" s="180" t="str">
        <f aca="false">IF((D41="g"),F41," ")</f>
        <v> </v>
      </c>
      <c r="N41" s="180" t="str">
        <f aca="false">IF((D41="a"),F41," ")</f>
        <v> </v>
      </c>
      <c r="O41" s="180" t="str">
        <f aca="false">IF((D41="l"),F41," ")</f>
        <v> </v>
      </c>
      <c r="P41" s="180" t="str">
        <f aca="false">IF((D41="i"),F41," ")</f>
        <v> </v>
      </c>
      <c r="Q41" s="180" t="str">
        <f aca="false">IF((D41="b"),F41," ")</f>
        <v> </v>
      </c>
      <c r="R41" s="180" t="str">
        <f aca="false">IF((D41="o"),F41," ")</f>
        <v> </v>
      </c>
      <c r="S41" s="180" t="str">
        <f aca="false">IF((D41="f"),F41," ")</f>
        <v> </v>
      </c>
      <c r="U41" s="371"/>
    </row>
    <row r="42" customFormat="false" ht="12.75" hidden="false" customHeight="false" outlineLevel="0" collapsed="false">
      <c r="D42" s="371" t="str">
        <f aca="false">IF((F42&lt;&gt;0),"Enter Letter"," ")</f>
        <v> </v>
      </c>
      <c r="G42" s="180" t="str">
        <f aca="false">IF((D42="d"),F42," ")</f>
        <v> </v>
      </c>
      <c r="H42" s="180" t="str">
        <f aca="false">IF((D42="h"),F42," ")</f>
        <v> </v>
      </c>
      <c r="I42" s="180" t="str">
        <f aca="false">IF((D42="r"),F42," ")</f>
        <v> </v>
      </c>
      <c r="J42" s="180" t="str">
        <f aca="false">IF((D42="t"),F42," ")</f>
        <v> </v>
      </c>
      <c r="K42" s="180" t="str">
        <f aca="false">IF((D42="e"),F42," ")</f>
        <v> </v>
      </c>
      <c r="L42" s="180" t="str">
        <f aca="false">IF((D42="p"),F42," ")</f>
        <v> </v>
      </c>
      <c r="M42" s="180" t="str">
        <f aca="false">IF((D42="g"),F42," ")</f>
        <v> </v>
      </c>
      <c r="N42" s="180" t="str">
        <f aca="false">IF((D42="a"),F42," ")</f>
        <v> </v>
      </c>
      <c r="O42" s="180" t="str">
        <f aca="false">IF((D42="l"),F42," ")</f>
        <v> </v>
      </c>
      <c r="P42" s="180" t="str">
        <f aca="false">IF((D42="i"),F42," ")</f>
        <v> </v>
      </c>
      <c r="Q42" s="180" t="str">
        <f aca="false">IF((D42="b"),F42," ")</f>
        <v> </v>
      </c>
      <c r="R42" s="180" t="str">
        <f aca="false">IF((D42="o"),F42," ")</f>
        <v> </v>
      </c>
      <c r="S42" s="180" t="str">
        <f aca="false">IF((D42="f"),F42," ")</f>
        <v> </v>
      </c>
      <c r="U42" s="371"/>
    </row>
    <row r="43" customFormat="false" ht="12.75" hidden="false" customHeight="false" outlineLevel="0" collapsed="false">
      <c r="D43" s="371" t="str">
        <f aca="false">IF((F43&lt;&gt;0),"Enter Letter"," ")</f>
        <v> </v>
      </c>
      <c r="G43" s="180" t="str">
        <f aca="false">IF((D43="d"),F43," ")</f>
        <v> </v>
      </c>
      <c r="H43" s="180" t="str">
        <f aca="false">IF((D43="h"),F43," ")</f>
        <v> </v>
      </c>
      <c r="I43" s="180" t="str">
        <f aca="false">IF((D43="r"),F43," ")</f>
        <v> </v>
      </c>
      <c r="J43" s="180" t="str">
        <f aca="false">IF((D43="t"),F43," ")</f>
        <v> </v>
      </c>
      <c r="K43" s="180" t="str">
        <f aca="false">IF((D43="e"),F43," ")</f>
        <v> </v>
      </c>
      <c r="L43" s="180" t="str">
        <f aca="false">IF((D43="p"),F43," ")</f>
        <v> </v>
      </c>
      <c r="M43" s="180" t="str">
        <f aca="false">IF((D43="g"),F43," ")</f>
        <v> </v>
      </c>
      <c r="N43" s="180" t="str">
        <f aca="false">IF((D43="a"),F43," ")</f>
        <v> </v>
      </c>
      <c r="O43" s="180" t="str">
        <f aca="false">IF((D43="l"),F43," ")</f>
        <v> </v>
      </c>
      <c r="P43" s="180" t="str">
        <f aca="false">IF((D43="i"),F43," ")</f>
        <v> </v>
      </c>
      <c r="Q43" s="180" t="str">
        <f aca="false">IF((D43="b"),F43," ")</f>
        <v> </v>
      </c>
      <c r="R43" s="180" t="str">
        <f aca="false">IF((D43="o"),F43," ")</f>
        <v> </v>
      </c>
      <c r="S43" s="180" t="str">
        <f aca="false">IF((D43="f"),F43," ")</f>
        <v> </v>
      </c>
      <c r="U43" s="371"/>
    </row>
    <row r="44" customFormat="false" ht="12.75" hidden="false" customHeight="false" outlineLevel="0" collapsed="false">
      <c r="D44" s="371" t="str">
        <f aca="false">IF((F44&lt;&gt;0),"Enter Letter"," ")</f>
        <v> </v>
      </c>
      <c r="G44" s="180" t="str">
        <f aca="false">IF((D44="d"),F44," ")</f>
        <v> </v>
      </c>
      <c r="H44" s="180" t="str">
        <f aca="false">IF((D44="h"),F44," ")</f>
        <v> </v>
      </c>
      <c r="I44" s="180" t="str">
        <f aca="false">IF((D44="r"),F44," ")</f>
        <v> </v>
      </c>
      <c r="J44" s="180" t="str">
        <f aca="false">IF((D44="t"),F44," ")</f>
        <v> </v>
      </c>
      <c r="K44" s="180" t="str">
        <f aca="false">IF((D44="e"),F44," ")</f>
        <v> </v>
      </c>
      <c r="L44" s="180" t="str">
        <f aca="false">IF((D44="p"),F44," ")</f>
        <v> </v>
      </c>
      <c r="M44" s="180" t="str">
        <f aca="false">IF((D44="g"),F44," ")</f>
        <v> </v>
      </c>
      <c r="N44" s="180" t="str">
        <f aca="false">IF((D44="a"),F44," ")</f>
        <v> </v>
      </c>
      <c r="O44" s="180" t="str">
        <f aca="false">IF((D44="l"),F44," ")</f>
        <v> </v>
      </c>
      <c r="P44" s="180" t="str">
        <f aca="false">IF((D44="i"),F44," ")</f>
        <v> </v>
      </c>
      <c r="Q44" s="180" t="str">
        <f aca="false">IF((D44="b"),F44," ")</f>
        <v> </v>
      </c>
      <c r="R44" s="180" t="str">
        <f aca="false">IF((D44="o"),F44," ")</f>
        <v> </v>
      </c>
      <c r="S44" s="180" t="str">
        <f aca="false">IF((D44="f"),F44," ")</f>
        <v> </v>
      </c>
      <c r="U44" s="371"/>
    </row>
    <row r="45" customFormat="false" ht="12.75" hidden="false" customHeight="false" outlineLevel="0" collapsed="false">
      <c r="D45" s="371" t="str">
        <f aca="false">IF((F45&lt;&gt;0),"Enter Letter"," ")</f>
        <v> </v>
      </c>
      <c r="G45" s="180" t="str">
        <f aca="false">IF((D45="d"),F45," ")</f>
        <v> </v>
      </c>
      <c r="H45" s="180" t="str">
        <f aca="false">IF((D45="h"),F45," ")</f>
        <v> </v>
      </c>
      <c r="I45" s="180" t="str">
        <f aca="false">IF((D45="r"),F45," ")</f>
        <v> </v>
      </c>
      <c r="J45" s="180" t="str">
        <f aca="false">IF((D45="t"),F45," ")</f>
        <v> </v>
      </c>
      <c r="K45" s="180" t="str">
        <f aca="false">IF((D45="e"),F45," ")</f>
        <v> </v>
      </c>
      <c r="L45" s="180" t="str">
        <f aca="false">IF((D45="p"),F45," ")</f>
        <v> </v>
      </c>
      <c r="M45" s="180" t="str">
        <f aca="false">IF((D45="g"),F45," ")</f>
        <v> </v>
      </c>
      <c r="N45" s="180" t="str">
        <f aca="false">IF((D45="a"),F45," ")</f>
        <v> </v>
      </c>
      <c r="O45" s="180" t="str">
        <f aca="false">IF((D45="l"),F45," ")</f>
        <v> </v>
      </c>
      <c r="P45" s="180" t="str">
        <f aca="false">IF((D45="i"),F45," ")</f>
        <v> </v>
      </c>
      <c r="Q45" s="180" t="str">
        <f aca="false">IF((D45="b"),F45," ")</f>
        <v> </v>
      </c>
      <c r="R45" s="180" t="str">
        <f aca="false">IF((D45="o"),F45," ")</f>
        <v> </v>
      </c>
      <c r="S45" s="180" t="str">
        <f aca="false">IF((D45="f"),F45," ")</f>
        <v> </v>
      </c>
      <c r="U45" s="371"/>
    </row>
    <row r="46" customFormat="false" ht="12.75" hidden="false" customHeight="false" outlineLevel="0" collapsed="false">
      <c r="D46" s="371" t="str">
        <f aca="false">IF((F46&lt;&gt;0),"Enter Letter"," ")</f>
        <v> </v>
      </c>
      <c r="G46" s="180" t="str">
        <f aca="false">IF((D46="d"),F46," ")</f>
        <v> </v>
      </c>
      <c r="H46" s="180" t="str">
        <f aca="false">IF((D46="h"),F46," ")</f>
        <v> </v>
      </c>
      <c r="I46" s="180" t="str">
        <f aca="false">IF((D46="r"),F46," ")</f>
        <v> </v>
      </c>
      <c r="J46" s="180" t="str">
        <f aca="false">IF((D46="t"),F46," ")</f>
        <v> </v>
      </c>
      <c r="K46" s="180" t="str">
        <f aca="false">IF((D46="e"),F46," ")</f>
        <v> </v>
      </c>
      <c r="L46" s="180" t="str">
        <f aca="false">IF((D46="p"),F46," ")</f>
        <v> </v>
      </c>
      <c r="M46" s="180" t="str">
        <f aca="false">IF((D46="g"),F46," ")</f>
        <v> </v>
      </c>
      <c r="N46" s="180" t="str">
        <f aca="false">IF((D46="a"),F46," ")</f>
        <v> </v>
      </c>
      <c r="O46" s="180" t="str">
        <f aca="false">IF((D46="l"),F46," ")</f>
        <v> </v>
      </c>
      <c r="P46" s="180" t="str">
        <f aca="false">IF((D46="i"),F46," ")</f>
        <v> </v>
      </c>
      <c r="Q46" s="180" t="str">
        <f aca="false">IF((D46="b"),F46," ")</f>
        <v> </v>
      </c>
      <c r="R46" s="180" t="str">
        <f aca="false">IF((D46="o"),F46," ")</f>
        <v> </v>
      </c>
      <c r="S46" s="180" t="str">
        <f aca="false">IF((D46="f"),F46," ")</f>
        <v> </v>
      </c>
      <c r="U46" s="371"/>
    </row>
    <row r="47" customFormat="false" ht="12.75" hidden="false" customHeight="false" outlineLevel="0" collapsed="false">
      <c r="D47" s="371" t="str">
        <f aca="false">IF((F47&lt;&gt;0),"Enter Letter"," ")</f>
        <v> </v>
      </c>
      <c r="G47" s="180" t="str">
        <f aca="false">IF((D47="d"),F47," ")</f>
        <v> </v>
      </c>
      <c r="H47" s="180" t="str">
        <f aca="false">IF((D47="h"),F47," ")</f>
        <v> </v>
      </c>
      <c r="I47" s="180" t="str">
        <f aca="false">IF((D47="r"),F47," ")</f>
        <v> </v>
      </c>
      <c r="J47" s="180" t="str">
        <f aca="false">IF((D47="t"),F47," ")</f>
        <v> </v>
      </c>
      <c r="K47" s="180" t="str">
        <f aca="false">IF((D47="e"),F47," ")</f>
        <v> </v>
      </c>
      <c r="L47" s="180" t="str">
        <f aca="false">IF((D47="p"),F47," ")</f>
        <v> </v>
      </c>
      <c r="M47" s="180" t="str">
        <f aca="false">IF((D47="g"),F47," ")</f>
        <v> </v>
      </c>
      <c r="N47" s="180" t="str">
        <f aca="false">IF((D47="a"),F47," ")</f>
        <v> </v>
      </c>
      <c r="O47" s="180" t="str">
        <f aca="false">IF((D47="l"),F47," ")</f>
        <v> </v>
      </c>
      <c r="P47" s="180" t="str">
        <f aca="false">IF((D47="i"),F47," ")</f>
        <v> </v>
      </c>
      <c r="Q47" s="180" t="str">
        <f aca="false">IF((D47="b"),F47," ")</f>
        <v> </v>
      </c>
      <c r="R47" s="180" t="str">
        <f aca="false">IF((D47="o"),F47," ")</f>
        <v> </v>
      </c>
      <c r="S47" s="180" t="str">
        <f aca="false">IF((D47="f"),F47," ")</f>
        <v> </v>
      </c>
      <c r="U47" s="371"/>
    </row>
    <row r="48" customFormat="false" ht="12.75" hidden="false" customHeight="false" outlineLevel="0" collapsed="false">
      <c r="D48" s="371" t="str">
        <f aca="false">IF((F48&lt;&gt;0),"Enter Letter"," ")</f>
        <v> </v>
      </c>
      <c r="G48" s="180" t="str">
        <f aca="false">IF((D48="d"),F48," ")</f>
        <v> </v>
      </c>
      <c r="H48" s="180" t="str">
        <f aca="false">IF((D48="h"),F48," ")</f>
        <v> </v>
      </c>
      <c r="I48" s="180" t="str">
        <f aca="false">IF((D48="r"),F48," ")</f>
        <v> </v>
      </c>
      <c r="J48" s="180" t="str">
        <f aca="false">IF((D48="t"),F48," ")</f>
        <v> </v>
      </c>
      <c r="K48" s="180" t="str">
        <f aca="false">IF((D48="e"),F48," ")</f>
        <v> </v>
      </c>
      <c r="L48" s="180" t="str">
        <f aca="false">IF((D48="p"),F48," ")</f>
        <v> </v>
      </c>
      <c r="M48" s="180" t="str">
        <f aca="false">IF((D48="g"),F48," ")</f>
        <v> </v>
      </c>
      <c r="N48" s="180" t="str">
        <f aca="false">IF((D48="a"),F48," ")</f>
        <v> </v>
      </c>
      <c r="O48" s="180" t="str">
        <f aca="false">IF((D48="l"),F48," ")</f>
        <v> </v>
      </c>
      <c r="P48" s="180" t="str">
        <f aca="false">IF((D48="i"),F48," ")</f>
        <v> </v>
      </c>
      <c r="Q48" s="180" t="str">
        <f aca="false">IF((D48="b"),F48," ")</f>
        <v> </v>
      </c>
      <c r="R48" s="180" t="str">
        <f aca="false">IF((D48="o"),F48," ")</f>
        <v> </v>
      </c>
      <c r="S48" s="180" t="str">
        <f aca="false">IF((D48="f"),F48," ")</f>
        <v> </v>
      </c>
      <c r="U48" s="371"/>
    </row>
    <row r="49" customFormat="false" ht="12.75" hidden="false" customHeight="false" outlineLevel="0" collapsed="false">
      <c r="D49" s="371" t="str">
        <f aca="false">IF((F49&lt;&gt;0),"Enter Letter"," ")</f>
        <v> </v>
      </c>
      <c r="G49" s="180" t="str">
        <f aca="false">IF((D49="d"),F49," ")</f>
        <v> </v>
      </c>
      <c r="H49" s="180" t="str">
        <f aca="false">IF((D49="h"),F49," ")</f>
        <v> </v>
      </c>
      <c r="I49" s="180" t="str">
        <f aca="false">IF((D49="r"),F49," ")</f>
        <v> </v>
      </c>
      <c r="J49" s="180" t="str">
        <f aca="false">IF((D49="t"),F49," ")</f>
        <v> </v>
      </c>
      <c r="K49" s="180" t="str">
        <f aca="false">IF((D49="e"),F49," ")</f>
        <v> </v>
      </c>
      <c r="L49" s="180" t="str">
        <f aca="false">IF((D49="p"),F49," ")</f>
        <v> </v>
      </c>
      <c r="M49" s="180" t="str">
        <f aca="false">IF((D49="g"),F49," ")</f>
        <v> </v>
      </c>
      <c r="N49" s="180" t="str">
        <f aca="false">IF((D49="a"),F49," ")</f>
        <v> </v>
      </c>
      <c r="O49" s="180" t="str">
        <f aca="false">IF((D49="l"),F49," ")</f>
        <v> </v>
      </c>
      <c r="P49" s="180" t="str">
        <f aca="false">IF((D49="i"),F49," ")</f>
        <v> </v>
      </c>
      <c r="Q49" s="180" t="str">
        <f aca="false">IF((D49="b"),F49," ")</f>
        <v> </v>
      </c>
      <c r="R49" s="180" t="str">
        <f aca="false">IF((D49="o"),F49," ")</f>
        <v> </v>
      </c>
      <c r="S49" s="180" t="str">
        <f aca="false">IF((D49="f"),F49," ")</f>
        <v> </v>
      </c>
      <c r="U49" s="371"/>
    </row>
    <row r="50" customFormat="false" ht="12.75" hidden="false" customHeight="false" outlineLevel="0" collapsed="false">
      <c r="D50" s="371" t="str">
        <f aca="false">IF((F50&lt;&gt;0),"Enter Letter"," ")</f>
        <v> </v>
      </c>
      <c r="G50" s="180" t="str">
        <f aca="false">IF((D50="d"),F50," ")</f>
        <v> </v>
      </c>
      <c r="H50" s="180" t="str">
        <f aca="false">IF((D50="h"),F50," ")</f>
        <v> </v>
      </c>
      <c r="I50" s="180" t="str">
        <f aca="false">IF((D50="r"),F50," ")</f>
        <v> </v>
      </c>
      <c r="J50" s="180" t="str">
        <f aca="false">IF((D50="t"),F50," ")</f>
        <v> </v>
      </c>
      <c r="K50" s="180" t="str">
        <f aca="false">IF((D50="e"),F50," ")</f>
        <v> </v>
      </c>
      <c r="L50" s="180" t="str">
        <f aca="false">IF((D50="p"),F50," ")</f>
        <v> </v>
      </c>
      <c r="M50" s="180" t="str">
        <f aca="false">IF((D50="g"),F50," ")</f>
        <v> </v>
      </c>
      <c r="N50" s="180" t="str">
        <f aca="false">IF((D50="a"),F50," ")</f>
        <v> </v>
      </c>
      <c r="O50" s="180" t="str">
        <f aca="false">IF((D50="l"),F50," ")</f>
        <v> </v>
      </c>
      <c r="P50" s="180" t="str">
        <f aca="false">IF((D50="i"),F50," ")</f>
        <v> </v>
      </c>
      <c r="Q50" s="180" t="str">
        <f aca="false">IF((D50="b"),F50," ")</f>
        <v> </v>
      </c>
      <c r="R50" s="180" t="str">
        <f aca="false">IF((D50="o"),F50," ")</f>
        <v> </v>
      </c>
      <c r="S50" s="180" t="str">
        <f aca="false">IF((D50="f"),F50," ")</f>
        <v> </v>
      </c>
      <c r="U50" s="371"/>
    </row>
    <row r="51" customFormat="false" ht="12.75" hidden="false" customHeight="false" outlineLevel="0" collapsed="false">
      <c r="D51" s="371" t="str">
        <f aca="false">IF((F51&lt;&gt;0),"Enter Letter"," ")</f>
        <v> </v>
      </c>
      <c r="G51" s="180" t="str">
        <f aca="false">IF((D51="d"),F51," ")</f>
        <v> </v>
      </c>
      <c r="H51" s="180" t="str">
        <f aca="false">IF((D51="h"),F51," ")</f>
        <v> </v>
      </c>
      <c r="I51" s="180" t="str">
        <f aca="false">IF((D51="r"),F51," ")</f>
        <v> </v>
      </c>
      <c r="J51" s="180" t="str">
        <f aca="false">IF((D51="t"),F51," ")</f>
        <v> </v>
      </c>
      <c r="K51" s="180" t="str">
        <f aca="false">IF((D51="e"),F51," ")</f>
        <v> </v>
      </c>
      <c r="L51" s="180" t="str">
        <f aca="false">IF((D51="p"),F51," ")</f>
        <v> </v>
      </c>
      <c r="M51" s="180" t="str">
        <f aca="false">IF((D51="g"),F51," ")</f>
        <v> </v>
      </c>
      <c r="N51" s="180" t="str">
        <f aca="false">IF((D51="a"),F51," ")</f>
        <v> </v>
      </c>
      <c r="O51" s="180" t="str">
        <f aca="false">IF((D51="l"),F51," ")</f>
        <v> </v>
      </c>
      <c r="P51" s="180" t="str">
        <f aca="false">IF((D51="i"),F51," ")</f>
        <v> </v>
      </c>
      <c r="Q51" s="180" t="str">
        <f aca="false">IF((D51="b"),F51," ")</f>
        <v> </v>
      </c>
      <c r="R51" s="180" t="str">
        <f aca="false">IF((D51="o"),F51," ")</f>
        <v> </v>
      </c>
      <c r="S51" s="180" t="str">
        <f aca="false">IF((D51="f"),F51," ")</f>
        <v> </v>
      </c>
      <c r="U51" s="371"/>
    </row>
    <row r="52" customFormat="false" ht="12.75" hidden="false" customHeight="false" outlineLevel="0" collapsed="false">
      <c r="D52" s="371" t="str">
        <f aca="false">IF((F52&lt;&gt;0),"Enter Letter"," ")</f>
        <v> </v>
      </c>
      <c r="G52" s="180" t="str">
        <f aca="false">IF((D52="d"),F52," ")</f>
        <v> </v>
      </c>
      <c r="H52" s="180" t="str">
        <f aca="false">IF((D52="h"),F52," ")</f>
        <v> </v>
      </c>
      <c r="I52" s="180" t="str">
        <f aca="false">IF((D52="r"),F52," ")</f>
        <v> </v>
      </c>
      <c r="J52" s="180" t="str">
        <f aca="false">IF((D52="t"),F52," ")</f>
        <v> </v>
      </c>
      <c r="K52" s="180" t="str">
        <f aca="false">IF((D52="e"),F52," ")</f>
        <v> </v>
      </c>
      <c r="L52" s="180" t="str">
        <f aca="false">IF((D52="p"),F52," ")</f>
        <v> </v>
      </c>
      <c r="M52" s="180" t="str">
        <f aca="false">IF((D52="g"),F52," ")</f>
        <v> </v>
      </c>
      <c r="N52" s="180" t="str">
        <f aca="false">IF((D52="a"),F52," ")</f>
        <v> </v>
      </c>
      <c r="O52" s="180" t="str">
        <f aca="false">IF((D52="l"),F52," ")</f>
        <v> </v>
      </c>
      <c r="P52" s="180" t="str">
        <f aca="false">IF((D52="i"),F52," ")</f>
        <v> </v>
      </c>
      <c r="Q52" s="180" t="str">
        <f aca="false">IF((D52="b"),F52," ")</f>
        <v> </v>
      </c>
      <c r="R52" s="180" t="str">
        <f aca="false">IF((D52="o"),F52," ")</f>
        <v> </v>
      </c>
      <c r="S52" s="180" t="str">
        <f aca="false">IF((D52="f"),F52," ")</f>
        <v> </v>
      </c>
      <c r="U52" s="371"/>
    </row>
    <row r="53" customFormat="false" ht="12.75" hidden="false" customHeight="false" outlineLevel="0" collapsed="false">
      <c r="D53" s="371" t="str">
        <f aca="false">IF((F53&lt;&gt;0),"Enter Letter"," ")</f>
        <v> </v>
      </c>
      <c r="G53" s="180" t="str">
        <f aca="false">IF((D53="d"),F53," ")</f>
        <v> </v>
      </c>
      <c r="H53" s="180" t="str">
        <f aca="false">IF((D53="h"),F53," ")</f>
        <v> </v>
      </c>
      <c r="I53" s="180" t="str">
        <f aca="false">IF((D53="r"),F53," ")</f>
        <v> </v>
      </c>
      <c r="J53" s="180" t="str">
        <f aca="false">IF((D53="t"),F53," ")</f>
        <v> </v>
      </c>
      <c r="K53" s="180" t="str">
        <f aca="false">IF((D53="e"),F53," ")</f>
        <v> </v>
      </c>
      <c r="L53" s="180" t="str">
        <f aca="false">IF((D53="p"),F53," ")</f>
        <v> </v>
      </c>
      <c r="M53" s="180" t="str">
        <f aca="false">IF((D53="g"),F53," ")</f>
        <v> </v>
      </c>
      <c r="N53" s="180" t="str">
        <f aca="false">IF((D53="a"),F53," ")</f>
        <v> </v>
      </c>
      <c r="O53" s="180" t="str">
        <f aca="false">IF((D53="l"),F53," ")</f>
        <v> </v>
      </c>
      <c r="P53" s="180" t="str">
        <f aca="false">IF((D53="i"),F53," ")</f>
        <v> </v>
      </c>
      <c r="Q53" s="180" t="str">
        <f aca="false">IF((D53="b"),F53," ")</f>
        <v> </v>
      </c>
      <c r="R53" s="180" t="str">
        <f aca="false">IF((D53="o"),F53," ")</f>
        <v> </v>
      </c>
      <c r="S53" s="180" t="str">
        <f aca="false">IF((D53="f"),F53," ")</f>
        <v> </v>
      </c>
      <c r="U53" s="371"/>
    </row>
    <row r="54" customFormat="false" ht="12.75" hidden="false" customHeight="false" outlineLevel="0" collapsed="false">
      <c r="D54" s="371" t="str">
        <f aca="false">IF((F54&lt;&gt;0),"Enter Letter"," ")</f>
        <v> </v>
      </c>
      <c r="G54" s="180" t="str">
        <f aca="false">IF((D54="d"),F54," ")</f>
        <v> </v>
      </c>
      <c r="H54" s="180" t="str">
        <f aca="false">IF((D54="h"),F54," ")</f>
        <v> </v>
      </c>
      <c r="I54" s="180" t="str">
        <f aca="false">IF((D54="r"),F54," ")</f>
        <v> </v>
      </c>
      <c r="J54" s="180" t="str">
        <f aca="false">IF((D54="t"),F54," ")</f>
        <v> </v>
      </c>
      <c r="K54" s="180" t="str">
        <f aca="false">IF((D54="e"),F54," ")</f>
        <v> </v>
      </c>
      <c r="L54" s="180" t="str">
        <f aca="false">IF((D54="p"),F54," ")</f>
        <v> </v>
      </c>
      <c r="M54" s="180" t="str">
        <f aca="false">IF((D54="g"),F54," ")</f>
        <v> </v>
      </c>
      <c r="N54" s="180" t="str">
        <f aca="false">IF((D54="a"),F54," ")</f>
        <v> </v>
      </c>
      <c r="O54" s="180" t="str">
        <f aca="false">IF((D54="l"),F54," ")</f>
        <v> </v>
      </c>
      <c r="P54" s="180" t="str">
        <f aca="false">IF((D54="i"),F54," ")</f>
        <v> </v>
      </c>
      <c r="Q54" s="180" t="str">
        <f aca="false">IF((D54="b"),F54," ")</f>
        <v> </v>
      </c>
      <c r="R54" s="180" t="str">
        <f aca="false">IF((D54="o"),F54," ")</f>
        <v> </v>
      </c>
      <c r="S54" s="180" t="str">
        <f aca="false">IF((D54="f"),F54," ")</f>
        <v> </v>
      </c>
      <c r="U54" s="371"/>
    </row>
    <row r="55" customFormat="false" ht="12.75" hidden="false" customHeight="false" outlineLevel="0" collapsed="false">
      <c r="D55" s="371" t="str">
        <f aca="false">IF((F55&lt;&gt;0),"Enter Letter"," ")</f>
        <v> </v>
      </c>
      <c r="G55" s="180" t="str">
        <f aca="false">IF((D55="d"),F55," ")</f>
        <v> </v>
      </c>
      <c r="H55" s="180" t="str">
        <f aca="false">IF((D55="h"),F55," ")</f>
        <v> </v>
      </c>
      <c r="I55" s="180" t="str">
        <f aca="false">IF((D55="r"),F55," ")</f>
        <v> </v>
      </c>
      <c r="J55" s="180" t="str">
        <f aca="false">IF((D55="t"),F55," ")</f>
        <v> </v>
      </c>
      <c r="K55" s="180" t="str">
        <f aca="false">IF((D55="e"),F55," ")</f>
        <v> </v>
      </c>
      <c r="L55" s="180" t="str">
        <f aca="false">IF((D55="p"),F55," ")</f>
        <v> </v>
      </c>
      <c r="M55" s="180" t="str">
        <f aca="false">IF((D55="g"),F55," ")</f>
        <v> </v>
      </c>
      <c r="N55" s="180" t="str">
        <f aca="false">IF((D55="a"),F55," ")</f>
        <v> </v>
      </c>
      <c r="O55" s="180" t="str">
        <f aca="false">IF((D55="l"),F55," ")</f>
        <v> </v>
      </c>
      <c r="P55" s="180" t="str">
        <f aca="false">IF((D55="i"),F55," ")</f>
        <v> </v>
      </c>
      <c r="Q55" s="180" t="str">
        <f aca="false">IF((D55="b"),F55," ")</f>
        <v> </v>
      </c>
      <c r="R55" s="180" t="str">
        <f aca="false">IF((D55="o"),F55," ")</f>
        <v> </v>
      </c>
      <c r="S55" s="180" t="str">
        <f aca="false">IF((D55="f"),F55," ")</f>
        <v> </v>
      </c>
      <c r="U55" s="371"/>
    </row>
    <row r="56" customFormat="false" ht="12.75" hidden="false" customHeight="false" outlineLevel="0" collapsed="false">
      <c r="D56" s="371" t="str">
        <f aca="false">IF((F56&lt;&gt;0),"Enter Letter"," ")</f>
        <v> </v>
      </c>
      <c r="G56" s="180" t="str">
        <f aca="false">IF((D56="d"),F56," ")</f>
        <v> </v>
      </c>
      <c r="H56" s="180" t="str">
        <f aca="false">IF((D56="h"),F56," ")</f>
        <v> </v>
      </c>
      <c r="I56" s="180" t="str">
        <f aca="false">IF((D56="r"),F56," ")</f>
        <v> </v>
      </c>
      <c r="J56" s="180" t="str">
        <f aca="false">IF((D56="t"),F56," ")</f>
        <v> </v>
      </c>
      <c r="K56" s="180" t="str">
        <f aca="false">IF((D56="e"),F56," ")</f>
        <v> </v>
      </c>
      <c r="L56" s="180" t="str">
        <f aca="false">IF((D56="p"),F56," ")</f>
        <v> </v>
      </c>
      <c r="M56" s="180" t="str">
        <f aca="false">IF((D56="g"),F56," ")</f>
        <v> </v>
      </c>
      <c r="N56" s="180" t="str">
        <f aca="false">IF((D56="a"),F56," ")</f>
        <v> </v>
      </c>
      <c r="O56" s="180" t="str">
        <f aca="false">IF((D56="l"),F56," ")</f>
        <v> </v>
      </c>
      <c r="P56" s="180" t="str">
        <f aca="false">IF((D56="i"),F56," ")</f>
        <v> </v>
      </c>
      <c r="Q56" s="180" t="str">
        <f aca="false">IF((D56="b"),F56," ")</f>
        <v> </v>
      </c>
      <c r="R56" s="180" t="str">
        <f aca="false">IF((D56="o"),F56," ")</f>
        <v> </v>
      </c>
      <c r="S56" s="180" t="str">
        <f aca="false">IF((D56="f"),F56," ")</f>
        <v> </v>
      </c>
      <c r="U56" s="371"/>
    </row>
    <row r="57" customFormat="false" ht="12.75" hidden="false" customHeight="false" outlineLevel="0" collapsed="false">
      <c r="D57" s="371" t="str">
        <f aca="false">IF((F57&lt;&gt;0),"Enter Letter"," ")</f>
        <v> </v>
      </c>
      <c r="G57" s="180" t="str">
        <f aca="false">IF((D57="d"),F57," ")</f>
        <v> </v>
      </c>
      <c r="H57" s="180" t="str">
        <f aca="false">IF((D57="h"),F57," ")</f>
        <v> </v>
      </c>
      <c r="I57" s="180" t="str">
        <f aca="false">IF((D57="r"),F57," ")</f>
        <v> </v>
      </c>
      <c r="J57" s="180" t="str">
        <f aca="false">IF((D57="t"),F57," ")</f>
        <v> </v>
      </c>
      <c r="K57" s="180" t="str">
        <f aca="false">IF((D57="e"),F57," ")</f>
        <v> </v>
      </c>
      <c r="L57" s="180" t="str">
        <f aca="false">IF((D57="p"),F57," ")</f>
        <v> </v>
      </c>
      <c r="M57" s="180" t="str">
        <f aca="false">IF((D57="g"),F57," ")</f>
        <v> </v>
      </c>
      <c r="N57" s="180" t="str">
        <f aca="false">IF((D57="a"),F57," ")</f>
        <v> </v>
      </c>
      <c r="O57" s="180" t="str">
        <f aca="false">IF((D57="l"),F57," ")</f>
        <v> </v>
      </c>
      <c r="P57" s="180" t="str">
        <f aca="false">IF((D57="i"),F57," ")</f>
        <v> </v>
      </c>
      <c r="Q57" s="180" t="str">
        <f aca="false">IF((D57="b"),F57," ")</f>
        <v> </v>
      </c>
      <c r="R57" s="180" t="str">
        <f aca="false">IF((D57="o"),F57," ")</f>
        <v> </v>
      </c>
      <c r="S57" s="180" t="str">
        <f aca="false">IF((D57="f"),F57," ")</f>
        <v> </v>
      </c>
      <c r="U57" s="371"/>
    </row>
    <row r="58" customFormat="false" ht="12.75" hidden="false" customHeight="false" outlineLevel="0" collapsed="false">
      <c r="D58" s="371" t="str">
        <f aca="false">IF((F58&lt;&gt;0),"Enter Letter"," ")</f>
        <v> </v>
      </c>
      <c r="G58" s="180" t="str">
        <f aca="false">IF((D58="d"),F58," ")</f>
        <v> </v>
      </c>
      <c r="H58" s="180" t="str">
        <f aca="false">IF((D58="h"),F58," ")</f>
        <v> </v>
      </c>
      <c r="I58" s="180" t="str">
        <f aca="false">IF((D58="r"),F58," ")</f>
        <v> </v>
      </c>
      <c r="J58" s="180" t="str">
        <f aca="false">IF((D58="t"),F58," ")</f>
        <v> </v>
      </c>
      <c r="K58" s="180" t="str">
        <f aca="false">IF((D58="e"),F58," ")</f>
        <v> </v>
      </c>
      <c r="L58" s="180" t="str">
        <f aca="false">IF((D58="p"),F58," ")</f>
        <v> </v>
      </c>
      <c r="M58" s="180" t="str">
        <f aca="false">IF((D58="g"),F58," ")</f>
        <v> </v>
      </c>
      <c r="N58" s="180" t="str">
        <f aca="false">IF((D58="a"),F58," ")</f>
        <v> </v>
      </c>
      <c r="O58" s="180" t="str">
        <f aca="false">IF((D58="l"),F58," ")</f>
        <v> </v>
      </c>
      <c r="P58" s="180" t="str">
        <f aca="false">IF((D58="i"),F58," ")</f>
        <v> </v>
      </c>
      <c r="Q58" s="180" t="str">
        <f aca="false">IF((D58="b"),F58," ")</f>
        <v> </v>
      </c>
      <c r="R58" s="180" t="str">
        <f aca="false">IF((D58="o"),F58," ")</f>
        <v> </v>
      </c>
      <c r="S58" s="180" t="str">
        <f aca="false">IF((D58="f"),F58," ")</f>
        <v> </v>
      </c>
      <c r="U58" s="371"/>
    </row>
    <row r="59" customFormat="false" ht="12.75" hidden="false" customHeight="false" outlineLevel="0" collapsed="false">
      <c r="D59" s="371" t="str">
        <f aca="false">IF((F59&lt;&gt;0),"Enter Letter"," ")</f>
        <v> </v>
      </c>
      <c r="G59" s="180" t="str">
        <f aca="false">IF((D59="d"),F59," ")</f>
        <v> </v>
      </c>
      <c r="H59" s="180" t="str">
        <f aca="false">IF((D59="h"),F59," ")</f>
        <v> </v>
      </c>
      <c r="I59" s="180" t="str">
        <f aca="false">IF((D59="r"),F59," ")</f>
        <v> </v>
      </c>
      <c r="J59" s="180" t="str">
        <f aca="false">IF((D59="t"),F59," ")</f>
        <v> </v>
      </c>
      <c r="K59" s="180" t="str">
        <f aca="false">IF((D59="e"),F59," ")</f>
        <v> </v>
      </c>
      <c r="L59" s="180" t="str">
        <f aca="false">IF((D59="p"),F59," ")</f>
        <v> </v>
      </c>
      <c r="M59" s="180" t="str">
        <f aca="false">IF((D59="g"),F59," ")</f>
        <v> </v>
      </c>
      <c r="N59" s="180" t="str">
        <f aca="false">IF((D59="a"),F59," ")</f>
        <v> </v>
      </c>
      <c r="O59" s="180" t="str">
        <f aca="false">IF((D59="l"),F59," ")</f>
        <v> </v>
      </c>
      <c r="P59" s="180" t="str">
        <f aca="false">IF((D59="i"),F59," ")</f>
        <v> </v>
      </c>
      <c r="Q59" s="180" t="str">
        <f aca="false">IF((D59="b"),F59," ")</f>
        <v> </v>
      </c>
      <c r="R59" s="180" t="str">
        <f aca="false">IF((D59="o"),F59," ")</f>
        <v> </v>
      </c>
      <c r="S59" s="180" t="str">
        <f aca="false">IF((D59="f"),F59," ")</f>
        <v> </v>
      </c>
      <c r="U59" s="371"/>
    </row>
    <row r="60" customFormat="false" ht="12.75" hidden="false" customHeight="false" outlineLevel="0" collapsed="false">
      <c r="D60" s="371" t="str">
        <f aca="false">IF((F60&lt;&gt;0),"Enter Letter"," ")</f>
        <v> </v>
      </c>
      <c r="G60" s="180" t="str">
        <f aca="false">IF((D60="d"),F60," ")</f>
        <v> </v>
      </c>
      <c r="H60" s="180" t="str">
        <f aca="false">IF((D60="h"),F60," ")</f>
        <v> </v>
      </c>
      <c r="I60" s="180" t="str">
        <f aca="false">IF((D60="r"),F60," ")</f>
        <v> </v>
      </c>
      <c r="J60" s="180" t="str">
        <f aca="false">IF((D60="t"),F60," ")</f>
        <v> </v>
      </c>
      <c r="K60" s="180" t="str">
        <f aca="false">IF((D60="e"),F60," ")</f>
        <v> </v>
      </c>
      <c r="L60" s="180" t="str">
        <f aca="false">IF((D60="p"),F60," ")</f>
        <v> </v>
      </c>
      <c r="M60" s="180" t="str">
        <f aca="false">IF((D60="g"),F60," ")</f>
        <v> </v>
      </c>
      <c r="N60" s="180" t="str">
        <f aca="false">IF((D60="a"),F60," ")</f>
        <v> </v>
      </c>
      <c r="O60" s="180" t="str">
        <f aca="false">IF((D60="l"),F60," ")</f>
        <v> </v>
      </c>
      <c r="P60" s="180" t="str">
        <f aca="false">IF((D60="i"),F60," ")</f>
        <v> </v>
      </c>
      <c r="Q60" s="180" t="str">
        <f aca="false">IF((D60="b"),F60," ")</f>
        <v> </v>
      </c>
      <c r="R60" s="180" t="str">
        <f aca="false">IF((D60="o"),F60," ")</f>
        <v> </v>
      </c>
      <c r="S60" s="180" t="str">
        <f aca="false">IF((D60="f"),F60," ")</f>
        <v> </v>
      </c>
      <c r="U60" s="371"/>
    </row>
    <row r="61" customFormat="false" ht="12.75" hidden="false" customHeight="false" outlineLevel="0" collapsed="false">
      <c r="D61" s="371" t="str">
        <f aca="false">IF((F61&lt;&gt;0),"Enter Letter"," ")</f>
        <v> </v>
      </c>
      <c r="G61" s="180" t="str">
        <f aca="false">IF((D61="d"),F61," ")</f>
        <v> </v>
      </c>
      <c r="H61" s="180" t="str">
        <f aca="false">IF((D61="h"),F61," ")</f>
        <v> </v>
      </c>
      <c r="I61" s="180" t="str">
        <f aca="false">IF((D61="r"),F61," ")</f>
        <v> </v>
      </c>
      <c r="J61" s="180" t="str">
        <f aca="false">IF((D61="t"),F61," ")</f>
        <v> </v>
      </c>
      <c r="K61" s="180" t="str">
        <f aca="false">IF((D61="e"),F61," ")</f>
        <v> </v>
      </c>
      <c r="L61" s="180" t="str">
        <f aca="false">IF((D61="p"),F61," ")</f>
        <v> </v>
      </c>
      <c r="M61" s="180" t="str">
        <f aca="false">IF((D61="g"),F61," ")</f>
        <v> </v>
      </c>
      <c r="N61" s="180" t="str">
        <f aca="false">IF((D61="a"),F61," ")</f>
        <v> </v>
      </c>
      <c r="O61" s="180" t="str">
        <f aca="false">IF((D61="l"),F61," ")</f>
        <v> </v>
      </c>
      <c r="P61" s="180" t="str">
        <f aca="false">IF((D61="i"),F61," ")</f>
        <v> </v>
      </c>
      <c r="Q61" s="180" t="str">
        <f aca="false">IF((D61="b"),F61," ")</f>
        <v> </v>
      </c>
      <c r="R61" s="180" t="str">
        <f aca="false">IF((D61="o"),F61," ")</f>
        <v> </v>
      </c>
      <c r="S61" s="180" t="str">
        <f aca="false">IF((D61="f"),F61," ")</f>
        <v> </v>
      </c>
      <c r="U61" s="371"/>
    </row>
    <row r="62" customFormat="false" ht="12.75" hidden="false" customHeight="false" outlineLevel="0" collapsed="false">
      <c r="D62" s="371" t="str">
        <f aca="false">IF((F62&lt;&gt;0),"Enter Letter"," ")</f>
        <v> </v>
      </c>
      <c r="G62" s="180" t="str">
        <f aca="false">IF((D62="d"),F62," ")</f>
        <v> </v>
      </c>
      <c r="H62" s="180" t="str">
        <f aca="false">IF((D62="h"),F62," ")</f>
        <v> </v>
      </c>
      <c r="I62" s="180" t="str">
        <f aca="false">IF((D62="r"),F62," ")</f>
        <v> </v>
      </c>
      <c r="J62" s="180" t="str">
        <f aca="false">IF((D62="t"),F62," ")</f>
        <v> </v>
      </c>
      <c r="K62" s="180" t="str">
        <f aca="false">IF((D62="e"),F62," ")</f>
        <v> </v>
      </c>
      <c r="L62" s="180" t="str">
        <f aca="false">IF((D62="p"),F62," ")</f>
        <v> </v>
      </c>
      <c r="M62" s="180" t="str">
        <f aca="false">IF((D62="g"),F62," ")</f>
        <v> </v>
      </c>
      <c r="N62" s="180" t="str">
        <f aca="false">IF((D62="a"),F62," ")</f>
        <v> </v>
      </c>
      <c r="O62" s="180" t="str">
        <f aca="false">IF((D62="l"),F62," ")</f>
        <v> </v>
      </c>
      <c r="P62" s="180" t="str">
        <f aca="false">IF((D62="i"),F62," ")</f>
        <v> </v>
      </c>
      <c r="Q62" s="180" t="str">
        <f aca="false">IF((D62="b"),F62," ")</f>
        <v> </v>
      </c>
      <c r="R62" s="180" t="str">
        <f aca="false">IF((D62="o"),F62," ")</f>
        <v> </v>
      </c>
      <c r="S62" s="180" t="str">
        <f aca="false">IF((D62="f"),F62," ")</f>
        <v> </v>
      </c>
      <c r="U62" s="371"/>
    </row>
    <row r="63" customFormat="false" ht="12.75" hidden="false" customHeight="false" outlineLevel="0" collapsed="false">
      <c r="D63" s="371" t="str">
        <f aca="false">IF((F63&lt;&gt;0),"Enter Letter"," ")</f>
        <v> </v>
      </c>
      <c r="G63" s="180" t="str">
        <f aca="false">IF((D63="d"),F63," ")</f>
        <v> </v>
      </c>
      <c r="H63" s="180" t="str">
        <f aca="false">IF((D63="h"),F63," ")</f>
        <v> </v>
      </c>
      <c r="I63" s="180" t="str">
        <f aca="false">IF((D63="r"),F63," ")</f>
        <v> </v>
      </c>
      <c r="J63" s="180" t="str">
        <f aca="false">IF((D63="t"),F63," ")</f>
        <v> </v>
      </c>
      <c r="K63" s="180" t="str">
        <f aca="false">IF((D63="e"),F63," ")</f>
        <v> </v>
      </c>
      <c r="L63" s="180" t="str">
        <f aca="false">IF((D63="p"),F63," ")</f>
        <v> </v>
      </c>
      <c r="M63" s="180" t="str">
        <f aca="false">IF((D63="g"),F63," ")</f>
        <v> </v>
      </c>
      <c r="N63" s="180" t="str">
        <f aca="false">IF((D63="a"),F63," ")</f>
        <v> </v>
      </c>
      <c r="O63" s="180" t="str">
        <f aca="false">IF((D63="l"),F63," ")</f>
        <v> </v>
      </c>
      <c r="P63" s="180" t="str">
        <f aca="false">IF((D63="i"),F63," ")</f>
        <v> </v>
      </c>
      <c r="Q63" s="180" t="str">
        <f aca="false">IF((D63="b"),F63," ")</f>
        <v> </v>
      </c>
      <c r="R63" s="180" t="str">
        <f aca="false">IF((D63="o"),F63," ")</f>
        <v> </v>
      </c>
      <c r="S63" s="180" t="str">
        <f aca="false">IF((D63="f"),F63," ")</f>
        <v> </v>
      </c>
      <c r="U63" s="371"/>
    </row>
    <row r="64" customFormat="false" ht="12.75" hidden="false" customHeight="false" outlineLevel="0" collapsed="false">
      <c r="D64" s="371" t="str">
        <f aca="false">IF((F64&lt;&gt;0),"Enter Letter"," ")</f>
        <v> </v>
      </c>
      <c r="G64" s="180" t="str">
        <f aca="false">IF((D64="d"),F64," ")</f>
        <v> </v>
      </c>
      <c r="H64" s="180" t="str">
        <f aca="false">IF((D64="h"),F64," ")</f>
        <v> </v>
      </c>
      <c r="I64" s="180" t="str">
        <f aca="false">IF((D64="r"),F64," ")</f>
        <v> </v>
      </c>
      <c r="J64" s="180" t="str">
        <f aca="false">IF((D64="t"),F64," ")</f>
        <v> </v>
      </c>
      <c r="K64" s="180" t="str">
        <f aca="false">IF((D64="e"),F64," ")</f>
        <v> </v>
      </c>
      <c r="L64" s="180" t="str">
        <f aca="false">IF((D64="p"),F64," ")</f>
        <v> </v>
      </c>
      <c r="M64" s="180" t="str">
        <f aca="false">IF((D64="g"),F64," ")</f>
        <v> </v>
      </c>
      <c r="N64" s="180" t="str">
        <f aca="false">IF((D64="a"),F64," ")</f>
        <v> </v>
      </c>
      <c r="O64" s="180" t="str">
        <f aca="false">IF((D64="l"),F64," ")</f>
        <v> </v>
      </c>
      <c r="P64" s="180" t="str">
        <f aca="false">IF((D64="i"),F64," ")</f>
        <v> </v>
      </c>
      <c r="Q64" s="180" t="str">
        <f aca="false">IF((D64="b"),F64," ")</f>
        <v> </v>
      </c>
      <c r="R64" s="180" t="str">
        <f aca="false">IF((D64="o"),F64," ")</f>
        <v> </v>
      </c>
      <c r="S64" s="180" t="str">
        <f aca="false">IF((D64="f"),F64," ")</f>
        <v> </v>
      </c>
      <c r="U64" s="371"/>
    </row>
    <row r="65" customFormat="false" ht="12.75" hidden="false" customHeight="false" outlineLevel="0" collapsed="false">
      <c r="D65" s="371" t="str">
        <f aca="false">IF((F65&lt;&gt;0),"Enter Letter"," ")</f>
        <v> </v>
      </c>
      <c r="G65" s="180" t="str">
        <f aca="false">IF((D65="d"),F65," ")</f>
        <v> </v>
      </c>
      <c r="H65" s="180" t="str">
        <f aca="false">IF((D65="h"),F65," ")</f>
        <v> </v>
      </c>
      <c r="I65" s="180" t="str">
        <f aca="false">IF((D65="r"),F65," ")</f>
        <v> </v>
      </c>
      <c r="J65" s="180" t="str">
        <f aca="false">IF((D65="t"),F65," ")</f>
        <v> </v>
      </c>
      <c r="K65" s="180" t="str">
        <f aca="false">IF((D65="e"),F65," ")</f>
        <v> </v>
      </c>
      <c r="L65" s="180" t="str">
        <f aca="false">IF((D65="p"),F65," ")</f>
        <v> </v>
      </c>
      <c r="M65" s="180" t="str">
        <f aca="false">IF((D65="g"),F65," ")</f>
        <v> </v>
      </c>
      <c r="N65" s="180" t="str">
        <f aca="false">IF((D65="a"),F65," ")</f>
        <v> </v>
      </c>
      <c r="O65" s="180" t="str">
        <f aca="false">IF((D65="l"),F65," ")</f>
        <v> </v>
      </c>
      <c r="P65" s="180" t="str">
        <f aca="false">IF((D65="i"),F65," ")</f>
        <v> </v>
      </c>
      <c r="Q65" s="180" t="str">
        <f aca="false">IF((D65="b"),F65," ")</f>
        <v> </v>
      </c>
      <c r="R65" s="180" t="str">
        <f aca="false">IF((D65="o"),F65," ")</f>
        <v> </v>
      </c>
      <c r="S65" s="180" t="str">
        <f aca="false">IF((D65="f"),F65," ")</f>
        <v> </v>
      </c>
      <c r="U65" s="371"/>
    </row>
    <row r="66" customFormat="false" ht="12.75" hidden="false" customHeight="false" outlineLevel="0" collapsed="false">
      <c r="D66" s="371" t="str">
        <f aca="false">IF((F66&lt;&gt;0),"Enter Letter"," ")</f>
        <v> </v>
      </c>
      <c r="G66" s="180" t="str">
        <f aca="false">IF((D66="d"),F66," ")</f>
        <v> </v>
      </c>
      <c r="H66" s="180" t="str">
        <f aca="false">IF((D66="h"),F66," ")</f>
        <v> </v>
      </c>
      <c r="I66" s="180" t="str">
        <f aca="false">IF((D66="r"),F66," ")</f>
        <v> </v>
      </c>
      <c r="J66" s="180" t="str">
        <f aca="false">IF((D66="t"),F66," ")</f>
        <v> </v>
      </c>
      <c r="K66" s="180" t="str">
        <f aca="false">IF((D66="e"),F66," ")</f>
        <v> </v>
      </c>
      <c r="L66" s="180" t="str">
        <f aca="false">IF((D66="p"),F66," ")</f>
        <v> </v>
      </c>
      <c r="M66" s="180" t="str">
        <f aca="false">IF((D66="g"),F66," ")</f>
        <v> </v>
      </c>
      <c r="N66" s="180" t="str">
        <f aca="false">IF((D66="a"),F66," ")</f>
        <v> </v>
      </c>
      <c r="O66" s="180" t="str">
        <f aca="false">IF((D66="l"),F66," ")</f>
        <v> </v>
      </c>
      <c r="P66" s="180" t="str">
        <f aca="false">IF((D66="i"),F66," ")</f>
        <v> </v>
      </c>
      <c r="Q66" s="180" t="str">
        <f aca="false">IF((D66="b"),F66," ")</f>
        <v> </v>
      </c>
      <c r="R66" s="180" t="str">
        <f aca="false">IF((D66="o"),F66," ")</f>
        <v> </v>
      </c>
      <c r="S66" s="180" t="str">
        <f aca="false">IF((D66="f"),F66," ")</f>
        <v> </v>
      </c>
      <c r="U66" s="371"/>
    </row>
    <row r="67" customFormat="false" ht="12.75" hidden="false" customHeight="false" outlineLevel="0" collapsed="false">
      <c r="D67" s="371" t="str">
        <f aca="false">IF((F67&lt;&gt;0),"Enter Letter"," ")</f>
        <v> </v>
      </c>
      <c r="G67" s="180" t="str">
        <f aca="false">IF((D67="d"),F67," ")</f>
        <v> </v>
      </c>
      <c r="H67" s="180" t="str">
        <f aca="false">IF((D67="h"),F67," ")</f>
        <v> </v>
      </c>
      <c r="I67" s="180" t="str">
        <f aca="false">IF((D67="r"),F67," ")</f>
        <v> </v>
      </c>
      <c r="J67" s="180" t="str">
        <f aca="false">IF((D67="t"),F67," ")</f>
        <v> </v>
      </c>
      <c r="K67" s="180" t="str">
        <f aca="false">IF((D67="e"),F67," ")</f>
        <v> </v>
      </c>
      <c r="L67" s="180" t="str">
        <f aca="false">IF((D67="p"),F67," ")</f>
        <v> </v>
      </c>
      <c r="M67" s="180" t="str">
        <f aca="false">IF((D67="g"),F67," ")</f>
        <v> </v>
      </c>
      <c r="N67" s="180" t="str">
        <f aca="false">IF((D67="a"),F67," ")</f>
        <v> </v>
      </c>
      <c r="O67" s="180" t="str">
        <f aca="false">IF((D67="l"),F67," ")</f>
        <v> </v>
      </c>
      <c r="P67" s="180" t="str">
        <f aca="false">IF((D67="i"),F67," ")</f>
        <v> </v>
      </c>
      <c r="Q67" s="180" t="str">
        <f aca="false">IF((D67="b"),F67," ")</f>
        <v> </v>
      </c>
      <c r="R67" s="180" t="str">
        <f aca="false">IF((D67="o"),F67," ")</f>
        <v> </v>
      </c>
      <c r="S67" s="180" t="str">
        <f aca="false">IF((D67="f"),F67," ")</f>
        <v> </v>
      </c>
      <c r="U67" s="371"/>
    </row>
    <row r="68" customFormat="false" ht="12.75" hidden="false" customHeight="false" outlineLevel="0" collapsed="false">
      <c r="D68" s="371" t="str">
        <f aca="false">IF((F68&lt;&gt;0),"Enter Letter"," ")</f>
        <v> </v>
      </c>
      <c r="G68" s="180" t="str">
        <f aca="false">IF((D68="d"),F68," ")</f>
        <v> </v>
      </c>
      <c r="H68" s="180" t="str">
        <f aca="false">IF((D68="h"),F68," ")</f>
        <v> </v>
      </c>
      <c r="I68" s="180" t="str">
        <f aca="false">IF((D68="r"),F68," ")</f>
        <v> </v>
      </c>
      <c r="J68" s="180" t="str">
        <f aca="false">IF((D68="t"),F68," ")</f>
        <v> </v>
      </c>
      <c r="K68" s="180" t="str">
        <f aca="false">IF((D68="e"),F68," ")</f>
        <v> </v>
      </c>
      <c r="L68" s="180" t="str">
        <f aca="false">IF((D68="p"),F68," ")</f>
        <v> </v>
      </c>
      <c r="M68" s="180" t="str">
        <f aca="false">IF((D68="g"),F68," ")</f>
        <v> </v>
      </c>
      <c r="N68" s="180" t="str">
        <f aca="false">IF((D68="a"),F68," ")</f>
        <v> </v>
      </c>
      <c r="O68" s="180" t="str">
        <f aca="false">IF((D68="l"),F68," ")</f>
        <v> </v>
      </c>
      <c r="P68" s="180" t="str">
        <f aca="false">IF((D68="i"),F68," ")</f>
        <v> </v>
      </c>
      <c r="Q68" s="180" t="str">
        <f aca="false">IF((D68="b"),F68," ")</f>
        <v> </v>
      </c>
      <c r="R68" s="180" t="str">
        <f aca="false">IF((D68="o"),F68," ")</f>
        <v> </v>
      </c>
      <c r="S68" s="180" t="str">
        <f aca="false">IF((D68="f"),F68," ")</f>
        <v> </v>
      </c>
      <c r="U68" s="371"/>
    </row>
    <row r="69" customFormat="false" ht="12.75" hidden="false" customHeight="false" outlineLevel="0" collapsed="false">
      <c r="D69" s="371" t="str">
        <f aca="false">IF((F69&lt;&gt;0),"Enter Letter"," ")</f>
        <v> </v>
      </c>
      <c r="G69" s="180" t="str">
        <f aca="false">IF((D69="d"),F69," ")</f>
        <v> </v>
      </c>
      <c r="H69" s="180" t="str">
        <f aca="false">IF((D69="h"),F69," ")</f>
        <v> </v>
      </c>
      <c r="I69" s="180" t="str">
        <f aca="false">IF((D69="r"),F69," ")</f>
        <v> </v>
      </c>
      <c r="J69" s="180" t="str">
        <f aca="false">IF((D69="t"),F69," ")</f>
        <v> </v>
      </c>
      <c r="K69" s="180" t="str">
        <f aca="false">IF((D69="e"),F69," ")</f>
        <v> </v>
      </c>
      <c r="L69" s="180" t="str">
        <f aca="false">IF((D69="p"),F69," ")</f>
        <v> </v>
      </c>
      <c r="M69" s="180" t="str">
        <f aca="false">IF((D69="g"),F69," ")</f>
        <v> </v>
      </c>
      <c r="N69" s="180" t="str">
        <f aca="false">IF((D69="a"),F69," ")</f>
        <v> </v>
      </c>
      <c r="O69" s="180" t="str">
        <f aca="false">IF((D69="l"),F69," ")</f>
        <v> </v>
      </c>
      <c r="P69" s="180" t="str">
        <f aca="false">IF((D69="i"),F69," ")</f>
        <v> </v>
      </c>
      <c r="Q69" s="180" t="str">
        <f aca="false">IF((D69="b"),F69," ")</f>
        <v> </v>
      </c>
      <c r="R69" s="180" t="str">
        <f aca="false">IF((D69="o"),F69," ")</f>
        <v> </v>
      </c>
      <c r="S69" s="180" t="str">
        <f aca="false">IF((D69="f"),F69," ")</f>
        <v> </v>
      </c>
      <c r="U69" s="371"/>
    </row>
    <row r="70" customFormat="false" ht="12.75" hidden="false" customHeight="false" outlineLevel="0" collapsed="false">
      <c r="D70" s="371" t="str">
        <f aca="false">IF((F70&lt;&gt;0),"Enter Letter"," ")</f>
        <v> </v>
      </c>
      <c r="G70" s="180" t="str">
        <f aca="false">IF((D70="d"),F70," ")</f>
        <v> </v>
      </c>
      <c r="H70" s="180" t="str">
        <f aca="false">IF((D70="h"),F70," ")</f>
        <v> </v>
      </c>
      <c r="I70" s="180" t="str">
        <f aca="false">IF((D70="r"),F70," ")</f>
        <v> </v>
      </c>
      <c r="J70" s="180" t="str">
        <f aca="false">IF((D70="t"),F70," ")</f>
        <v> </v>
      </c>
      <c r="K70" s="180" t="str">
        <f aca="false">IF((D70="e"),F70," ")</f>
        <v> </v>
      </c>
      <c r="L70" s="180" t="str">
        <f aca="false">IF((D70="p"),F70," ")</f>
        <v> </v>
      </c>
      <c r="M70" s="180" t="str">
        <f aca="false">IF((D70="g"),F70," ")</f>
        <v> </v>
      </c>
      <c r="N70" s="180" t="str">
        <f aca="false">IF((D70="a"),F70," ")</f>
        <v> </v>
      </c>
      <c r="O70" s="180" t="str">
        <f aca="false">IF((D70="l"),F70," ")</f>
        <v> </v>
      </c>
      <c r="P70" s="180" t="str">
        <f aca="false">IF((D70="i"),F70," ")</f>
        <v> </v>
      </c>
      <c r="Q70" s="180" t="str">
        <f aca="false">IF((D70="b"),F70," ")</f>
        <v> </v>
      </c>
      <c r="R70" s="180" t="str">
        <f aca="false">IF((D70="o"),F70," ")</f>
        <v> </v>
      </c>
      <c r="S70" s="180" t="str">
        <f aca="false">IF((D70="f"),F70," ")</f>
        <v> </v>
      </c>
      <c r="U70" s="371"/>
    </row>
    <row r="71" customFormat="false" ht="12.75" hidden="false" customHeight="false" outlineLevel="0" collapsed="false">
      <c r="D71" s="371" t="str">
        <f aca="false">IF((F71&lt;&gt;0),"Enter Letter"," ")</f>
        <v> </v>
      </c>
      <c r="G71" s="180" t="str">
        <f aca="false">IF((D71="d"),F71," ")</f>
        <v> </v>
      </c>
      <c r="H71" s="180" t="str">
        <f aca="false">IF((D71="h"),F71," ")</f>
        <v> </v>
      </c>
      <c r="I71" s="180" t="str">
        <f aca="false">IF((D71="r"),F71," ")</f>
        <v> </v>
      </c>
      <c r="J71" s="180" t="str">
        <f aca="false">IF((D71="t"),F71," ")</f>
        <v> </v>
      </c>
      <c r="K71" s="180" t="str">
        <f aca="false">IF((D71="e"),F71," ")</f>
        <v> </v>
      </c>
      <c r="L71" s="180" t="str">
        <f aca="false">IF((D71="p"),F71," ")</f>
        <v> </v>
      </c>
      <c r="M71" s="180" t="str">
        <f aca="false">IF((D71="g"),F71," ")</f>
        <v> </v>
      </c>
      <c r="N71" s="180" t="str">
        <f aca="false">IF((D71="a"),F71," ")</f>
        <v> </v>
      </c>
      <c r="O71" s="180" t="str">
        <f aca="false">IF((D71="l"),F71," ")</f>
        <v> </v>
      </c>
      <c r="P71" s="180" t="str">
        <f aca="false">IF((D71="i"),F71," ")</f>
        <v> </v>
      </c>
      <c r="Q71" s="180" t="str">
        <f aca="false">IF((D71="b"),F71," ")</f>
        <v> </v>
      </c>
      <c r="R71" s="180" t="str">
        <f aca="false">IF((D71="o"),F71," ")</f>
        <v> </v>
      </c>
      <c r="S71" s="180" t="str">
        <f aca="false">IF((D71="f"),F71," ")</f>
        <v> </v>
      </c>
      <c r="U71" s="371"/>
    </row>
    <row r="72" customFormat="false" ht="12.75" hidden="false" customHeight="false" outlineLevel="0" collapsed="false">
      <c r="D72" s="371" t="str">
        <f aca="false">IF((F72&lt;&gt;0),"Enter Letter"," ")</f>
        <v> </v>
      </c>
      <c r="G72" s="180" t="str">
        <f aca="false">IF((D72="d"),F72," ")</f>
        <v> </v>
      </c>
      <c r="H72" s="180" t="str">
        <f aca="false">IF((D72="h"),F72," ")</f>
        <v> </v>
      </c>
      <c r="I72" s="180" t="str">
        <f aca="false">IF((D72="r"),F72," ")</f>
        <v> </v>
      </c>
      <c r="J72" s="180" t="str">
        <f aca="false">IF((D72="t"),F72," ")</f>
        <v> </v>
      </c>
      <c r="K72" s="180" t="str">
        <f aca="false">IF((D72="e"),F72," ")</f>
        <v> </v>
      </c>
      <c r="L72" s="180" t="str">
        <f aca="false">IF((D72="p"),F72," ")</f>
        <v> </v>
      </c>
      <c r="M72" s="180" t="str">
        <f aca="false">IF((D72="g"),F72," ")</f>
        <v> </v>
      </c>
      <c r="N72" s="180" t="str">
        <f aca="false">IF((D72="a"),F72," ")</f>
        <v> </v>
      </c>
      <c r="O72" s="180" t="str">
        <f aca="false">IF((D72="l"),F72," ")</f>
        <v> </v>
      </c>
      <c r="P72" s="180" t="str">
        <f aca="false">IF((D72="i"),F72," ")</f>
        <v> </v>
      </c>
      <c r="Q72" s="180" t="str">
        <f aca="false">IF((D72="b"),F72," ")</f>
        <v> </v>
      </c>
      <c r="R72" s="180" t="str">
        <f aca="false">IF((D72="o"),F72," ")</f>
        <v> </v>
      </c>
      <c r="S72" s="180" t="str">
        <f aca="false">IF((D72="f"),F72," ")</f>
        <v> </v>
      </c>
      <c r="U72" s="371"/>
    </row>
    <row r="73" customFormat="false" ht="12.75" hidden="false" customHeight="false" outlineLevel="0" collapsed="false">
      <c r="D73" s="371" t="str">
        <f aca="false">IF((F73&lt;&gt;0),"Enter Letter"," ")</f>
        <v> </v>
      </c>
      <c r="G73" s="180" t="str">
        <f aca="false">IF((D73="d"),F73," ")</f>
        <v> </v>
      </c>
      <c r="H73" s="180" t="str">
        <f aca="false">IF((D73="h"),F73," ")</f>
        <v> </v>
      </c>
      <c r="I73" s="180" t="str">
        <f aca="false">IF((D73="r"),F73," ")</f>
        <v> </v>
      </c>
      <c r="J73" s="180" t="str">
        <f aca="false">IF((D73="t"),F73," ")</f>
        <v> </v>
      </c>
      <c r="K73" s="180" t="str">
        <f aca="false">IF((D73="e"),F73," ")</f>
        <v> </v>
      </c>
      <c r="L73" s="180" t="str">
        <f aca="false">IF((D73="p"),F73," ")</f>
        <v> </v>
      </c>
      <c r="M73" s="180" t="str">
        <f aca="false">IF((D73="g"),F73," ")</f>
        <v> </v>
      </c>
      <c r="N73" s="180" t="str">
        <f aca="false">IF((D73="a"),F73," ")</f>
        <v> </v>
      </c>
      <c r="O73" s="180" t="str">
        <f aca="false">IF((D73="l"),F73," ")</f>
        <v> </v>
      </c>
      <c r="P73" s="180" t="str">
        <f aca="false">IF((D73="i"),F73," ")</f>
        <v> </v>
      </c>
      <c r="Q73" s="180" t="str">
        <f aca="false">IF((D73="b"),F73," ")</f>
        <v> </v>
      </c>
      <c r="R73" s="180" t="str">
        <f aca="false">IF((D73="o"),F73," ")</f>
        <v> </v>
      </c>
      <c r="S73" s="180" t="str">
        <f aca="false">IF((D73="f"),F73," ")</f>
        <v> </v>
      </c>
      <c r="U73" s="371"/>
    </row>
    <row r="74" customFormat="false" ht="12.75" hidden="false" customHeight="false" outlineLevel="0" collapsed="false">
      <c r="D74" s="371" t="str">
        <f aca="false">IF((F74&lt;&gt;0),"Enter Letter"," ")</f>
        <v> </v>
      </c>
      <c r="G74" s="180" t="str">
        <f aca="false">IF((D74="d"),F74," ")</f>
        <v> </v>
      </c>
      <c r="H74" s="180" t="str">
        <f aca="false">IF((D74="h"),F74," ")</f>
        <v> </v>
      </c>
      <c r="I74" s="180" t="str">
        <f aca="false">IF((D74="r"),F74," ")</f>
        <v> </v>
      </c>
      <c r="J74" s="180" t="str">
        <f aca="false">IF((D74="t"),F74," ")</f>
        <v> </v>
      </c>
      <c r="K74" s="180" t="str">
        <f aca="false">IF((D74="e"),F74," ")</f>
        <v> </v>
      </c>
      <c r="L74" s="180" t="str">
        <f aca="false">IF((D74="p"),F74," ")</f>
        <v> </v>
      </c>
      <c r="M74" s="180" t="str">
        <f aca="false">IF((D74="g"),F74," ")</f>
        <v> </v>
      </c>
      <c r="N74" s="180" t="str">
        <f aca="false">IF((D74="a"),F74," ")</f>
        <v> </v>
      </c>
      <c r="O74" s="180" t="str">
        <f aca="false">IF((D74="l"),F74," ")</f>
        <v> </v>
      </c>
      <c r="P74" s="180" t="str">
        <f aca="false">IF((D74="i"),F74," ")</f>
        <v> </v>
      </c>
      <c r="Q74" s="180" t="str">
        <f aca="false">IF((D74="b"),F74," ")</f>
        <v> </v>
      </c>
      <c r="R74" s="180" t="str">
        <f aca="false">IF((D74="o"),F74," ")</f>
        <v> </v>
      </c>
      <c r="S74" s="180" t="str">
        <f aca="false">IF((D74="f"),F74," ")</f>
        <v> </v>
      </c>
      <c r="U74" s="371"/>
    </row>
    <row r="75" customFormat="false" ht="12.75" hidden="false" customHeight="false" outlineLevel="0" collapsed="false">
      <c r="D75" s="371" t="str">
        <f aca="false">IF((F75&lt;&gt;0),"Enter Letter"," ")</f>
        <v> </v>
      </c>
      <c r="G75" s="180" t="str">
        <f aca="false">IF((D75="d"),F75," ")</f>
        <v> </v>
      </c>
      <c r="H75" s="180" t="str">
        <f aca="false">IF((D75="h"),F75," ")</f>
        <v> </v>
      </c>
      <c r="I75" s="180" t="str">
        <f aca="false">IF((D75="r"),F75," ")</f>
        <v> </v>
      </c>
      <c r="J75" s="180" t="str">
        <f aca="false">IF((D75="t"),F75," ")</f>
        <v> </v>
      </c>
      <c r="K75" s="180" t="str">
        <f aca="false">IF((D75="e"),F75," ")</f>
        <v> </v>
      </c>
      <c r="L75" s="180" t="str">
        <f aca="false">IF((D75="p"),F75," ")</f>
        <v> </v>
      </c>
      <c r="M75" s="180" t="str">
        <f aca="false">IF((D75="g"),F75," ")</f>
        <v> </v>
      </c>
      <c r="N75" s="180" t="str">
        <f aca="false">IF((D75="a"),F75," ")</f>
        <v> </v>
      </c>
      <c r="O75" s="180" t="str">
        <f aca="false">IF((D75="l"),F75," ")</f>
        <v> </v>
      </c>
      <c r="P75" s="180" t="str">
        <f aca="false">IF((D75="i"),F75," ")</f>
        <v> </v>
      </c>
      <c r="Q75" s="180" t="str">
        <f aca="false">IF((D75="b"),F75," ")</f>
        <v> </v>
      </c>
      <c r="R75" s="180" t="str">
        <f aca="false">IF((D75="o"),F75," ")</f>
        <v> </v>
      </c>
      <c r="S75" s="180" t="str">
        <f aca="false">IF((D75="f"),F75," ")</f>
        <v> </v>
      </c>
      <c r="U75" s="371"/>
    </row>
    <row r="76" customFormat="false" ht="12.75" hidden="false" customHeight="false" outlineLevel="0" collapsed="false">
      <c r="D76" s="371" t="str">
        <f aca="false">IF((F76&lt;&gt;0),"Enter Letter"," ")</f>
        <v> </v>
      </c>
      <c r="G76" s="180" t="str">
        <f aca="false">IF((D76="d"),F76," ")</f>
        <v> </v>
      </c>
      <c r="H76" s="180" t="str">
        <f aca="false">IF((D76="h"),F76," ")</f>
        <v> </v>
      </c>
      <c r="I76" s="180" t="str">
        <f aca="false">IF((D76="r"),F76," ")</f>
        <v> </v>
      </c>
      <c r="J76" s="180" t="str">
        <f aca="false">IF((D76="t"),F76," ")</f>
        <v> </v>
      </c>
      <c r="K76" s="180" t="str">
        <f aca="false">IF((D76="e"),F76," ")</f>
        <v> </v>
      </c>
      <c r="L76" s="180" t="str">
        <f aca="false">IF((D76="p"),F76," ")</f>
        <v> </v>
      </c>
      <c r="M76" s="180" t="str">
        <f aca="false">IF((D76="g"),F76," ")</f>
        <v> </v>
      </c>
      <c r="N76" s="180" t="str">
        <f aca="false">IF((D76="a"),F76," ")</f>
        <v> </v>
      </c>
      <c r="O76" s="180" t="str">
        <f aca="false">IF((D76="l"),F76," ")</f>
        <v> </v>
      </c>
      <c r="P76" s="180" t="str">
        <f aca="false">IF((D76="i"),F76," ")</f>
        <v> </v>
      </c>
      <c r="Q76" s="180" t="str">
        <f aca="false">IF((D76="b"),F76," ")</f>
        <v> </v>
      </c>
      <c r="R76" s="180" t="str">
        <f aca="false">IF((D76="o"),F76," ")</f>
        <v> </v>
      </c>
      <c r="S76" s="180" t="str">
        <f aca="false">IF((D76="f"),F76," ")</f>
        <v> </v>
      </c>
      <c r="U76" s="371"/>
    </row>
    <row r="77" customFormat="false" ht="12.75" hidden="false" customHeight="false" outlineLevel="0" collapsed="false">
      <c r="D77" s="371" t="str">
        <f aca="false">IF((F77&lt;&gt;0),"Enter Letter"," ")</f>
        <v> </v>
      </c>
      <c r="G77" s="180" t="str">
        <f aca="false">IF((D77="d"),F77," ")</f>
        <v> </v>
      </c>
      <c r="H77" s="180" t="str">
        <f aca="false">IF((D77="h"),F77," ")</f>
        <v> </v>
      </c>
      <c r="I77" s="180" t="str">
        <f aca="false">IF((D77="r"),F77," ")</f>
        <v> </v>
      </c>
      <c r="J77" s="180" t="str">
        <f aca="false">IF((D77="t"),F77," ")</f>
        <v> </v>
      </c>
      <c r="K77" s="180" t="str">
        <f aca="false">IF((D77="e"),F77," ")</f>
        <v> </v>
      </c>
      <c r="L77" s="180" t="str">
        <f aca="false">IF((D77="p"),F77," ")</f>
        <v> </v>
      </c>
      <c r="M77" s="180" t="str">
        <f aca="false">IF((D77="g"),F77," ")</f>
        <v> </v>
      </c>
      <c r="N77" s="180" t="str">
        <f aca="false">IF((D77="a"),F77," ")</f>
        <v> </v>
      </c>
      <c r="O77" s="180" t="str">
        <f aca="false">IF((D77="l"),F77," ")</f>
        <v> </v>
      </c>
      <c r="P77" s="180" t="str">
        <f aca="false">IF((D77="i"),F77," ")</f>
        <v> </v>
      </c>
      <c r="Q77" s="180" t="str">
        <f aca="false">IF((D77="b"),F77," ")</f>
        <v> </v>
      </c>
      <c r="R77" s="180" t="str">
        <f aca="false">IF((D77="o"),F77," ")</f>
        <v> </v>
      </c>
      <c r="S77" s="180" t="str">
        <f aca="false">IF((D77="f"),F77," ")</f>
        <v> </v>
      </c>
      <c r="U77" s="371"/>
    </row>
    <row r="78" customFormat="false" ht="12.75" hidden="false" customHeight="false" outlineLevel="0" collapsed="false">
      <c r="D78" s="371" t="str">
        <f aca="false">IF((F78&lt;&gt;0),"Enter Letter"," ")</f>
        <v> </v>
      </c>
      <c r="G78" s="180" t="str">
        <f aca="false">IF((D78="d"),F78," ")</f>
        <v> </v>
      </c>
      <c r="H78" s="180" t="str">
        <f aca="false">IF((D78="h"),F78," ")</f>
        <v> </v>
      </c>
      <c r="I78" s="180" t="str">
        <f aca="false">IF((D78="r"),F78," ")</f>
        <v> </v>
      </c>
      <c r="J78" s="180" t="str">
        <f aca="false">IF((D78="t"),F78," ")</f>
        <v> </v>
      </c>
      <c r="K78" s="180" t="str">
        <f aca="false">IF((D78="e"),F78," ")</f>
        <v> </v>
      </c>
      <c r="L78" s="180" t="str">
        <f aca="false">IF((D78="p"),F78," ")</f>
        <v> </v>
      </c>
      <c r="M78" s="180" t="str">
        <f aca="false">IF((D78="g"),F78," ")</f>
        <v> </v>
      </c>
      <c r="N78" s="180" t="str">
        <f aca="false">IF((D78="a"),F78," ")</f>
        <v> </v>
      </c>
      <c r="O78" s="180" t="str">
        <f aca="false">IF((D78="l"),F78," ")</f>
        <v> </v>
      </c>
      <c r="P78" s="180" t="str">
        <f aca="false">IF((D78="i"),F78," ")</f>
        <v> </v>
      </c>
      <c r="Q78" s="180" t="str">
        <f aca="false">IF((D78="b"),F78," ")</f>
        <v> </v>
      </c>
      <c r="R78" s="180" t="str">
        <f aca="false">IF((D78="o"),F78," ")</f>
        <v> </v>
      </c>
      <c r="S78" s="180" t="str">
        <f aca="false">IF((D78="f"),F78," ")</f>
        <v> </v>
      </c>
      <c r="U78" s="371"/>
    </row>
    <row r="79" customFormat="false" ht="12.75" hidden="false" customHeight="false" outlineLevel="0" collapsed="false">
      <c r="D79" s="371" t="str">
        <f aca="false">IF((F79&lt;&gt;0),"Enter Letter"," ")</f>
        <v> </v>
      </c>
      <c r="G79" s="180" t="str">
        <f aca="false">IF((D79="d"),F79," ")</f>
        <v> </v>
      </c>
      <c r="H79" s="180" t="str">
        <f aca="false">IF((D79="h"),F79," ")</f>
        <v> </v>
      </c>
      <c r="I79" s="180" t="str">
        <f aca="false">IF((D79="r"),F79," ")</f>
        <v> </v>
      </c>
      <c r="J79" s="180" t="str">
        <f aca="false">IF((D79="t"),F79," ")</f>
        <v> </v>
      </c>
      <c r="K79" s="180" t="str">
        <f aca="false">IF((D79="e"),F79," ")</f>
        <v> </v>
      </c>
      <c r="L79" s="180" t="str">
        <f aca="false">IF((D79="p"),F79," ")</f>
        <v> </v>
      </c>
      <c r="M79" s="180" t="str">
        <f aca="false">IF((D79="g"),F79," ")</f>
        <v> </v>
      </c>
      <c r="N79" s="180" t="str">
        <f aca="false">IF((D79="a"),F79," ")</f>
        <v> </v>
      </c>
      <c r="O79" s="180" t="str">
        <f aca="false">IF((D79="l"),F79," ")</f>
        <v> </v>
      </c>
      <c r="P79" s="180" t="str">
        <f aca="false">IF((D79="i"),F79," ")</f>
        <v> </v>
      </c>
      <c r="Q79" s="180" t="str">
        <f aca="false">IF((D79="b"),F79," ")</f>
        <v> </v>
      </c>
      <c r="R79" s="180" t="str">
        <f aca="false">IF((D79="o"),F79," ")</f>
        <v> </v>
      </c>
      <c r="S79" s="180" t="str">
        <f aca="false">IF((D79="f"),F79," ")</f>
        <v> </v>
      </c>
      <c r="U79" s="371"/>
    </row>
    <row r="80" customFormat="false" ht="12.75" hidden="false" customHeight="false" outlineLevel="0" collapsed="false">
      <c r="D80" s="371" t="str">
        <f aca="false">IF((F80&lt;&gt;0),"Enter Letter"," ")</f>
        <v> </v>
      </c>
      <c r="G80" s="180" t="str">
        <f aca="false">IF((D80="d"),F80," ")</f>
        <v> </v>
      </c>
      <c r="H80" s="180" t="str">
        <f aca="false">IF((D80="h"),F80," ")</f>
        <v> </v>
      </c>
      <c r="I80" s="180" t="str">
        <f aca="false">IF((D80="r"),F80," ")</f>
        <v> </v>
      </c>
      <c r="J80" s="180" t="str">
        <f aca="false">IF((D80="t"),F80," ")</f>
        <v> </v>
      </c>
      <c r="K80" s="180" t="str">
        <f aca="false">IF((D80="e"),F80," ")</f>
        <v> </v>
      </c>
      <c r="L80" s="180" t="str">
        <f aca="false">IF((D80="p"),F80," ")</f>
        <v> </v>
      </c>
      <c r="M80" s="180" t="str">
        <f aca="false">IF((D80="g"),F80," ")</f>
        <v> </v>
      </c>
      <c r="N80" s="180" t="str">
        <f aca="false">IF((D80="a"),F80," ")</f>
        <v> </v>
      </c>
      <c r="O80" s="180" t="str">
        <f aca="false">IF((D80="l"),F80," ")</f>
        <v> </v>
      </c>
      <c r="P80" s="180" t="str">
        <f aca="false">IF((D80="i"),F80," ")</f>
        <v> </v>
      </c>
      <c r="Q80" s="180" t="str">
        <f aca="false">IF((D80="b"),F80," ")</f>
        <v> </v>
      </c>
      <c r="R80" s="180" t="str">
        <f aca="false">IF((D80="o"),F80," ")</f>
        <v> </v>
      </c>
      <c r="S80" s="180" t="str">
        <f aca="false">IF((D80="f"),F80," ")</f>
        <v> </v>
      </c>
      <c r="U80" s="371"/>
    </row>
    <row r="81" customFormat="false" ht="12.75" hidden="false" customHeight="false" outlineLevel="0" collapsed="false">
      <c r="D81" s="371" t="str">
        <f aca="false">IF((F81&lt;&gt;0),"Enter Letter"," ")</f>
        <v> </v>
      </c>
      <c r="G81" s="180" t="str">
        <f aca="false">IF((D81="d"),F81," ")</f>
        <v> </v>
      </c>
      <c r="H81" s="180" t="str">
        <f aca="false">IF((D81="h"),F81," ")</f>
        <v> </v>
      </c>
      <c r="I81" s="180" t="str">
        <f aca="false">IF((D81="r"),F81," ")</f>
        <v> </v>
      </c>
      <c r="J81" s="180" t="str">
        <f aca="false">IF((D81="t"),F81," ")</f>
        <v> </v>
      </c>
      <c r="K81" s="180" t="str">
        <f aca="false">IF((D81="e"),F81," ")</f>
        <v> </v>
      </c>
      <c r="L81" s="180" t="str">
        <f aca="false">IF((D81="p"),F81," ")</f>
        <v> </v>
      </c>
      <c r="M81" s="180" t="str">
        <f aca="false">IF((D81="g"),F81," ")</f>
        <v> </v>
      </c>
      <c r="N81" s="180" t="str">
        <f aca="false">IF((D81="a"),F81," ")</f>
        <v> </v>
      </c>
      <c r="O81" s="180" t="str">
        <f aca="false">IF((D81="l"),F81," ")</f>
        <v> </v>
      </c>
      <c r="P81" s="180" t="str">
        <f aca="false">IF((D81="i"),F81," ")</f>
        <v> </v>
      </c>
      <c r="Q81" s="180" t="str">
        <f aca="false">IF((D81="b"),F81," ")</f>
        <v> </v>
      </c>
      <c r="R81" s="180" t="str">
        <f aca="false">IF((D81="o"),F81," ")</f>
        <v> </v>
      </c>
      <c r="S81" s="180" t="str">
        <f aca="false">IF((D81="f"),F81," ")</f>
        <v> </v>
      </c>
      <c r="U81" s="371"/>
    </row>
    <row r="82" customFormat="false" ht="12.75" hidden="false" customHeight="false" outlineLevel="0" collapsed="false">
      <c r="D82" s="371" t="str">
        <f aca="false">IF((F82&lt;&gt;0),"Enter Letter"," ")</f>
        <v> </v>
      </c>
      <c r="G82" s="180" t="str">
        <f aca="false">IF((D82="d"),F82," ")</f>
        <v> </v>
      </c>
      <c r="H82" s="180" t="str">
        <f aca="false">IF((D82="h"),F82," ")</f>
        <v> </v>
      </c>
      <c r="I82" s="180" t="str">
        <f aca="false">IF((D82="r"),F82," ")</f>
        <v> </v>
      </c>
      <c r="J82" s="180" t="str">
        <f aca="false">IF((D82="t"),F82," ")</f>
        <v> </v>
      </c>
      <c r="K82" s="180" t="str">
        <f aca="false">IF((D82="e"),F82," ")</f>
        <v> </v>
      </c>
      <c r="L82" s="180" t="str">
        <f aca="false">IF((D82="p"),F82," ")</f>
        <v> </v>
      </c>
      <c r="M82" s="180" t="str">
        <f aca="false">IF((D82="g"),F82," ")</f>
        <v> </v>
      </c>
      <c r="N82" s="180" t="str">
        <f aca="false">IF((D82="a"),F82," ")</f>
        <v> </v>
      </c>
      <c r="O82" s="180" t="str">
        <f aca="false">IF((D82="l"),F82," ")</f>
        <v> </v>
      </c>
      <c r="P82" s="180" t="str">
        <f aca="false">IF((D82="i"),F82," ")</f>
        <v> </v>
      </c>
      <c r="Q82" s="180" t="str">
        <f aca="false">IF((D82="b"),F82," ")</f>
        <v> </v>
      </c>
      <c r="R82" s="180" t="str">
        <f aca="false">IF((D82="o"),F82," ")</f>
        <v> </v>
      </c>
      <c r="S82" s="180" t="str">
        <f aca="false">IF((D82="f"),F82," ")</f>
        <v> </v>
      </c>
      <c r="U82" s="371"/>
    </row>
    <row r="83" customFormat="false" ht="12.75" hidden="false" customHeight="false" outlineLevel="0" collapsed="false">
      <c r="D83" s="371" t="str">
        <f aca="false">IF((F83&lt;&gt;0),"Enter Letter"," ")</f>
        <v> </v>
      </c>
      <c r="G83" s="180" t="str">
        <f aca="false">IF((D83="d"),F83," ")</f>
        <v> </v>
      </c>
      <c r="H83" s="180" t="str">
        <f aca="false">IF((D83="h"),F83," ")</f>
        <v> </v>
      </c>
      <c r="I83" s="180" t="str">
        <f aca="false">IF((D83="r"),F83," ")</f>
        <v> </v>
      </c>
      <c r="J83" s="180" t="str">
        <f aca="false">IF((D83="t"),F83," ")</f>
        <v> </v>
      </c>
      <c r="K83" s="180" t="str">
        <f aca="false">IF((D83="e"),F83," ")</f>
        <v> </v>
      </c>
      <c r="L83" s="180" t="str">
        <f aca="false">IF((D83="p"),F83," ")</f>
        <v> </v>
      </c>
      <c r="M83" s="180" t="str">
        <f aca="false">IF((D83="g"),F83," ")</f>
        <v> </v>
      </c>
      <c r="N83" s="180" t="str">
        <f aca="false">IF((D83="a"),F83," ")</f>
        <v> </v>
      </c>
      <c r="O83" s="180" t="str">
        <f aca="false">IF((D83="l"),F83," ")</f>
        <v> </v>
      </c>
      <c r="P83" s="180" t="str">
        <f aca="false">IF((D83="i"),F83," ")</f>
        <v> </v>
      </c>
      <c r="Q83" s="180" t="str">
        <f aca="false">IF((D83="b"),F83," ")</f>
        <v> </v>
      </c>
      <c r="R83" s="180" t="str">
        <f aca="false">IF((D83="o"),F83," ")</f>
        <v> </v>
      </c>
      <c r="S83" s="180" t="str">
        <f aca="false">IF((D83="f"),F83," ")</f>
        <v> </v>
      </c>
      <c r="U83" s="371"/>
    </row>
    <row r="84" customFormat="false" ht="12.75" hidden="false" customHeight="false" outlineLevel="0" collapsed="false">
      <c r="D84" s="371" t="str">
        <f aca="false">IF((F84&lt;&gt;0),"Enter Letter"," ")</f>
        <v> </v>
      </c>
      <c r="G84" s="180" t="str">
        <f aca="false">IF((D84="d"),F84," ")</f>
        <v> </v>
      </c>
      <c r="H84" s="180" t="str">
        <f aca="false">IF((D84="h"),F84," ")</f>
        <v> </v>
      </c>
      <c r="I84" s="180" t="str">
        <f aca="false">IF((D84="r"),F84," ")</f>
        <v> </v>
      </c>
      <c r="J84" s="180" t="str">
        <f aca="false">IF((D84="t"),F84," ")</f>
        <v> </v>
      </c>
      <c r="K84" s="180" t="str">
        <f aca="false">IF((D84="e"),F84," ")</f>
        <v> </v>
      </c>
      <c r="L84" s="180" t="str">
        <f aca="false">IF((D84="p"),F84," ")</f>
        <v> </v>
      </c>
      <c r="M84" s="180" t="str">
        <f aca="false">IF((D84="g"),F84," ")</f>
        <v> </v>
      </c>
      <c r="N84" s="180" t="str">
        <f aca="false">IF((D84="a"),F84," ")</f>
        <v> </v>
      </c>
      <c r="O84" s="180" t="str">
        <f aca="false">IF((D84="l"),F84," ")</f>
        <v> </v>
      </c>
      <c r="P84" s="180" t="str">
        <f aca="false">IF((D84="i"),F84," ")</f>
        <v> </v>
      </c>
      <c r="Q84" s="180" t="str">
        <f aca="false">IF((D84="b"),F84," ")</f>
        <v> </v>
      </c>
      <c r="R84" s="180" t="str">
        <f aca="false">IF((D84="o"),F84," ")</f>
        <v> </v>
      </c>
      <c r="S84" s="180" t="str">
        <f aca="false">IF((D84="f"),F84," ")</f>
        <v> </v>
      </c>
      <c r="U84" s="371"/>
    </row>
    <row r="85" customFormat="false" ht="12.75" hidden="false" customHeight="false" outlineLevel="0" collapsed="false">
      <c r="D85" s="371" t="str">
        <f aca="false">IF((F85&lt;&gt;0),"Enter Letter"," ")</f>
        <v> </v>
      </c>
      <c r="G85" s="180" t="str">
        <f aca="false">IF((D85="d"),F85," ")</f>
        <v> </v>
      </c>
      <c r="H85" s="180" t="str">
        <f aca="false">IF((D85="h"),F85," ")</f>
        <v> </v>
      </c>
      <c r="I85" s="180" t="str">
        <f aca="false">IF((D85="r"),F85," ")</f>
        <v> </v>
      </c>
      <c r="J85" s="180" t="str">
        <f aca="false">IF((D85="t"),F85," ")</f>
        <v> </v>
      </c>
      <c r="K85" s="180" t="str">
        <f aca="false">IF((D85="e"),F85," ")</f>
        <v> </v>
      </c>
      <c r="L85" s="180" t="str">
        <f aca="false">IF((D85="p"),F85," ")</f>
        <v> </v>
      </c>
      <c r="M85" s="180" t="str">
        <f aca="false">IF((D85="g"),F85," ")</f>
        <v> </v>
      </c>
      <c r="N85" s="180" t="str">
        <f aca="false">IF((D85="a"),F85," ")</f>
        <v> </v>
      </c>
      <c r="O85" s="180" t="str">
        <f aca="false">IF((D85="l"),F85," ")</f>
        <v> </v>
      </c>
      <c r="P85" s="180" t="str">
        <f aca="false">IF((D85="i"),F85," ")</f>
        <v> </v>
      </c>
      <c r="Q85" s="180" t="str">
        <f aca="false">IF((D85="b"),F85," ")</f>
        <v> </v>
      </c>
      <c r="R85" s="180" t="str">
        <f aca="false">IF((D85="o"),F85," ")</f>
        <v> </v>
      </c>
      <c r="S85" s="180" t="str">
        <f aca="false">IF((D85="f"),F85," ")</f>
        <v> </v>
      </c>
      <c r="U85" s="371"/>
    </row>
    <row r="86" customFormat="false" ht="12.75" hidden="false" customHeight="false" outlineLevel="0" collapsed="false">
      <c r="D86" s="371" t="str">
        <f aca="false">IF((F86&lt;&gt;0),"Enter Letter"," ")</f>
        <v> </v>
      </c>
      <c r="G86" s="180" t="str">
        <f aca="false">IF((D86="d"),F86," ")</f>
        <v> </v>
      </c>
      <c r="H86" s="180" t="str">
        <f aca="false">IF((D86="h"),F86," ")</f>
        <v> </v>
      </c>
      <c r="I86" s="180" t="str">
        <f aca="false">IF((D86="r"),F86," ")</f>
        <v> </v>
      </c>
      <c r="J86" s="180" t="str">
        <f aca="false">IF((D86="t"),F86," ")</f>
        <v> </v>
      </c>
      <c r="K86" s="180" t="str">
        <f aca="false">IF((D86="e"),F86," ")</f>
        <v> </v>
      </c>
      <c r="L86" s="180" t="str">
        <f aca="false">IF((D86="p"),F86," ")</f>
        <v> </v>
      </c>
      <c r="M86" s="180" t="str">
        <f aca="false">IF((D86="g"),F86," ")</f>
        <v> </v>
      </c>
      <c r="N86" s="180" t="str">
        <f aca="false">IF((D86="a"),F86," ")</f>
        <v> </v>
      </c>
      <c r="O86" s="180" t="str">
        <f aca="false">IF((D86="l"),F86," ")</f>
        <v> </v>
      </c>
      <c r="P86" s="180" t="str">
        <f aca="false">IF((D86="i"),F86," ")</f>
        <v> </v>
      </c>
      <c r="Q86" s="180" t="str">
        <f aca="false">IF((D86="b"),F86," ")</f>
        <v> </v>
      </c>
      <c r="R86" s="180" t="str">
        <f aca="false">IF((D86="o"),F86," ")</f>
        <v> </v>
      </c>
      <c r="S86" s="180" t="str">
        <f aca="false">IF((D86="f"),F86," ")</f>
        <v> </v>
      </c>
      <c r="U86" s="371"/>
    </row>
    <row r="87" customFormat="false" ht="12.75" hidden="false" customHeight="false" outlineLevel="0" collapsed="false">
      <c r="D87" s="371" t="str">
        <f aca="false">IF((F87&lt;&gt;0),"Enter Letter"," ")</f>
        <v> </v>
      </c>
      <c r="G87" s="180" t="str">
        <f aca="false">IF((D87="d"),F87," ")</f>
        <v> </v>
      </c>
      <c r="H87" s="180" t="str">
        <f aca="false">IF((D87="h"),F87," ")</f>
        <v> </v>
      </c>
      <c r="I87" s="180" t="str">
        <f aca="false">IF((D87="r"),F87," ")</f>
        <v> </v>
      </c>
      <c r="J87" s="180" t="str">
        <f aca="false">IF((D87="t"),F87," ")</f>
        <v> </v>
      </c>
      <c r="K87" s="180" t="str">
        <f aca="false">IF((D87="e"),F87," ")</f>
        <v> </v>
      </c>
      <c r="L87" s="180" t="str">
        <f aca="false">IF((D87="p"),F87," ")</f>
        <v> </v>
      </c>
      <c r="M87" s="180" t="str">
        <f aca="false">IF((D87="g"),F87," ")</f>
        <v> </v>
      </c>
      <c r="N87" s="180" t="str">
        <f aca="false">IF((D87="a"),F87," ")</f>
        <v> </v>
      </c>
      <c r="O87" s="180" t="str">
        <f aca="false">IF((D87="l"),F87," ")</f>
        <v> </v>
      </c>
      <c r="P87" s="180" t="str">
        <f aca="false">IF((D87="i"),F87," ")</f>
        <v> </v>
      </c>
      <c r="Q87" s="180" t="str">
        <f aca="false">IF((D87="b"),F87," ")</f>
        <v> </v>
      </c>
      <c r="R87" s="180" t="str">
        <f aca="false">IF((D87="o"),F87," ")</f>
        <v> </v>
      </c>
      <c r="S87" s="180" t="str">
        <f aca="false">IF((D87="f"),F87," ")</f>
        <v> </v>
      </c>
      <c r="U87" s="371"/>
    </row>
    <row r="88" customFormat="false" ht="12.75" hidden="false" customHeight="false" outlineLevel="0" collapsed="false">
      <c r="D88" s="371" t="str">
        <f aca="false">IF((F88&lt;&gt;0),"Enter Letter"," ")</f>
        <v> </v>
      </c>
      <c r="G88" s="180" t="str">
        <f aca="false">IF((D88="d"),F88," ")</f>
        <v> </v>
      </c>
      <c r="H88" s="180" t="str">
        <f aca="false">IF((D88="h"),F88," ")</f>
        <v> </v>
      </c>
      <c r="I88" s="180" t="str">
        <f aca="false">IF((D88="r"),F88," ")</f>
        <v> </v>
      </c>
      <c r="J88" s="180" t="str">
        <f aca="false">IF((D88="t"),F88," ")</f>
        <v> </v>
      </c>
      <c r="K88" s="180" t="str">
        <f aca="false">IF((D88="e"),F88," ")</f>
        <v> </v>
      </c>
      <c r="L88" s="180" t="str">
        <f aca="false">IF((D88="p"),F88," ")</f>
        <v> </v>
      </c>
      <c r="M88" s="180" t="str">
        <f aca="false">IF((D88="g"),F88," ")</f>
        <v> </v>
      </c>
      <c r="N88" s="180" t="str">
        <f aca="false">IF((D88="a"),F88," ")</f>
        <v> </v>
      </c>
      <c r="O88" s="180" t="str">
        <f aca="false">IF((D88="l"),F88," ")</f>
        <v> </v>
      </c>
      <c r="P88" s="180" t="str">
        <f aca="false">IF((D88="i"),F88," ")</f>
        <v> </v>
      </c>
      <c r="Q88" s="180" t="str">
        <f aca="false">IF((D88="b"),F88," ")</f>
        <v> </v>
      </c>
      <c r="R88" s="180" t="str">
        <f aca="false">IF((D88="o"),F88," ")</f>
        <v> </v>
      </c>
      <c r="S88" s="180" t="str">
        <f aca="false">IF((D88="f"),F88," ")</f>
        <v> </v>
      </c>
      <c r="U88" s="371"/>
    </row>
    <row r="89" customFormat="false" ht="12.75" hidden="false" customHeight="false" outlineLevel="0" collapsed="false">
      <c r="D89" s="371" t="str">
        <f aca="false">IF((F89&lt;&gt;0),"Enter Letter"," ")</f>
        <v> </v>
      </c>
      <c r="G89" s="180" t="str">
        <f aca="false">IF((D89="d"),F89," ")</f>
        <v> </v>
      </c>
      <c r="H89" s="180" t="str">
        <f aca="false">IF((D89="h"),F89," ")</f>
        <v> </v>
      </c>
      <c r="I89" s="180" t="str">
        <f aca="false">IF((D89="r"),F89," ")</f>
        <v> </v>
      </c>
      <c r="J89" s="180" t="str">
        <f aca="false">IF((D89="t"),F89," ")</f>
        <v> </v>
      </c>
      <c r="K89" s="180" t="str">
        <f aca="false">IF((D89="e"),F89," ")</f>
        <v> </v>
      </c>
      <c r="L89" s="180" t="str">
        <f aca="false">IF((D89="p"),F89," ")</f>
        <v> </v>
      </c>
      <c r="M89" s="180" t="str">
        <f aca="false">IF((D89="g"),F89," ")</f>
        <v> </v>
      </c>
      <c r="N89" s="180" t="str">
        <f aca="false">IF((D89="a"),F89," ")</f>
        <v> </v>
      </c>
      <c r="O89" s="180" t="str">
        <f aca="false">IF((D89="l"),F89," ")</f>
        <v> </v>
      </c>
      <c r="P89" s="180" t="str">
        <f aca="false">IF((D89="i"),F89," ")</f>
        <v> </v>
      </c>
      <c r="Q89" s="180" t="str">
        <f aca="false">IF((D89="b"),F89," ")</f>
        <v> </v>
      </c>
      <c r="R89" s="180" t="str">
        <f aca="false">IF((D89="o"),F89," ")</f>
        <v> </v>
      </c>
      <c r="S89" s="180" t="str">
        <f aca="false">IF((D89="f"),F89," ")</f>
        <v> </v>
      </c>
      <c r="U89" s="371"/>
    </row>
    <row r="90" customFormat="false" ht="12.75" hidden="false" customHeight="false" outlineLevel="0" collapsed="false">
      <c r="D90" s="371" t="str">
        <f aca="false">IF((F90&lt;&gt;0),"Enter Letter"," ")</f>
        <v> </v>
      </c>
      <c r="G90" s="180" t="str">
        <f aca="false">IF((D90="d"),F90," ")</f>
        <v> </v>
      </c>
      <c r="H90" s="180" t="str">
        <f aca="false">IF((D90="h"),F90," ")</f>
        <v> </v>
      </c>
      <c r="I90" s="180" t="str">
        <f aca="false">IF((D90="r"),F90," ")</f>
        <v> </v>
      </c>
      <c r="J90" s="180" t="str">
        <f aca="false">IF((D90="t"),F90," ")</f>
        <v> </v>
      </c>
      <c r="K90" s="180" t="str">
        <f aca="false">IF((D90="e"),F90," ")</f>
        <v> </v>
      </c>
      <c r="L90" s="180" t="str">
        <f aca="false">IF((D90="p"),F90," ")</f>
        <v> </v>
      </c>
      <c r="M90" s="180" t="str">
        <f aca="false">IF((D90="g"),F90," ")</f>
        <v> </v>
      </c>
      <c r="N90" s="180" t="str">
        <f aca="false">IF((D90="a"),F90," ")</f>
        <v> </v>
      </c>
      <c r="O90" s="180" t="str">
        <f aca="false">IF((D90="l"),F90," ")</f>
        <v> </v>
      </c>
      <c r="P90" s="180" t="str">
        <f aca="false">IF((D90="i"),F90," ")</f>
        <v> </v>
      </c>
      <c r="Q90" s="180" t="str">
        <f aca="false">IF((D90="b"),F90," ")</f>
        <v> </v>
      </c>
      <c r="R90" s="180" t="str">
        <f aca="false">IF((D90="o"),F90," ")</f>
        <v> </v>
      </c>
      <c r="S90" s="180" t="str">
        <f aca="false">IF((D90="f"),F90," ")</f>
        <v> </v>
      </c>
      <c r="U90" s="371"/>
    </row>
    <row r="91" customFormat="false" ht="12.75" hidden="false" customHeight="false" outlineLevel="0" collapsed="false">
      <c r="D91" s="371" t="str">
        <f aca="false">IF((F91&lt;&gt;0),"Enter Letter"," ")</f>
        <v> </v>
      </c>
      <c r="G91" s="180" t="str">
        <f aca="false">IF((D91="d"),F91," ")</f>
        <v> </v>
      </c>
      <c r="H91" s="180" t="str">
        <f aca="false">IF((D91="h"),F91," ")</f>
        <v> </v>
      </c>
      <c r="I91" s="180" t="str">
        <f aca="false">IF((D91="r"),F91," ")</f>
        <v> </v>
      </c>
      <c r="J91" s="180" t="str">
        <f aca="false">IF((D91="t"),F91," ")</f>
        <v> </v>
      </c>
      <c r="K91" s="180" t="str">
        <f aca="false">IF((D91="e"),F91," ")</f>
        <v> </v>
      </c>
      <c r="L91" s="180" t="str">
        <f aca="false">IF((D91="p"),F91," ")</f>
        <v> </v>
      </c>
      <c r="M91" s="180" t="str">
        <f aca="false">IF((D91="g"),F91," ")</f>
        <v> </v>
      </c>
      <c r="N91" s="180" t="str">
        <f aca="false">IF((D91="a"),F91," ")</f>
        <v> </v>
      </c>
      <c r="O91" s="180" t="str">
        <f aca="false">IF((D91="l"),F91," ")</f>
        <v> </v>
      </c>
      <c r="P91" s="180" t="str">
        <f aca="false">IF((D91="i"),F91," ")</f>
        <v> </v>
      </c>
      <c r="Q91" s="180" t="str">
        <f aca="false">IF((D91="b"),F91," ")</f>
        <v> </v>
      </c>
      <c r="R91" s="180" t="str">
        <f aca="false">IF((D91="o"),F91," ")</f>
        <v> </v>
      </c>
      <c r="S91" s="180" t="str">
        <f aca="false">IF((D91="f"),F91," ")</f>
        <v> </v>
      </c>
      <c r="U91" s="371"/>
    </row>
    <row r="92" customFormat="false" ht="12.75" hidden="false" customHeight="false" outlineLevel="0" collapsed="false">
      <c r="D92" s="371" t="str">
        <f aca="false">IF((F92&lt;&gt;0),"Enter Letter"," ")</f>
        <v> </v>
      </c>
      <c r="G92" s="180" t="str">
        <f aca="false">IF((D92="d"),F92," ")</f>
        <v> </v>
      </c>
      <c r="H92" s="180" t="str">
        <f aca="false">IF((D92="h"),F92," ")</f>
        <v> </v>
      </c>
      <c r="I92" s="180" t="str">
        <f aca="false">IF((D92="r"),F92," ")</f>
        <v> </v>
      </c>
      <c r="J92" s="180" t="str">
        <f aca="false">IF((D92="t"),F92," ")</f>
        <v> </v>
      </c>
      <c r="K92" s="180" t="str">
        <f aca="false">IF((D92="e"),F92," ")</f>
        <v> </v>
      </c>
      <c r="L92" s="180" t="str">
        <f aca="false">IF((D92="p"),F92," ")</f>
        <v> </v>
      </c>
      <c r="M92" s="180" t="str">
        <f aca="false">IF((D92="g"),F92," ")</f>
        <v> </v>
      </c>
      <c r="N92" s="180" t="str">
        <f aca="false">IF((D92="a"),F92," ")</f>
        <v> </v>
      </c>
      <c r="O92" s="180" t="str">
        <f aca="false">IF((D92="l"),F92," ")</f>
        <v> </v>
      </c>
      <c r="P92" s="180" t="str">
        <f aca="false">IF((D92="i"),F92," ")</f>
        <v> </v>
      </c>
      <c r="Q92" s="180" t="str">
        <f aca="false">IF((D92="b"),F92," ")</f>
        <v> </v>
      </c>
      <c r="R92" s="180" t="str">
        <f aca="false">IF((D92="o"),F92," ")</f>
        <v> </v>
      </c>
      <c r="S92" s="180" t="str">
        <f aca="false">IF((D92="f"),F92," ")</f>
        <v> </v>
      </c>
      <c r="U92" s="371"/>
    </row>
    <row r="93" customFormat="false" ht="12.75" hidden="false" customHeight="false" outlineLevel="0" collapsed="false">
      <c r="D93" s="371" t="str">
        <f aca="false">IF((F93&lt;&gt;0),"Enter Letter"," ")</f>
        <v> </v>
      </c>
      <c r="G93" s="180" t="str">
        <f aca="false">IF((D93="d"),F93," ")</f>
        <v> </v>
      </c>
      <c r="H93" s="180" t="str">
        <f aca="false">IF((D93="h"),F93," ")</f>
        <v> </v>
      </c>
      <c r="I93" s="180" t="str">
        <f aca="false">IF((D93="r"),F93," ")</f>
        <v> </v>
      </c>
      <c r="J93" s="180" t="str">
        <f aca="false">IF((D93="t"),F93," ")</f>
        <v> </v>
      </c>
      <c r="K93" s="180" t="str">
        <f aca="false">IF((D93="e"),F93," ")</f>
        <v> </v>
      </c>
      <c r="L93" s="180" t="str">
        <f aca="false">IF((D93="p"),F93," ")</f>
        <v> </v>
      </c>
      <c r="M93" s="180" t="str">
        <f aca="false">IF((D93="g"),F93," ")</f>
        <v> </v>
      </c>
      <c r="N93" s="180" t="str">
        <f aca="false">IF((D93="a"),F93," ")</f>
        <v> </v>
      </c>
      <c r="O93" s="180" t="str">
        <f aca="false">IF((D93="l"),F93," ")</f>
        <v> </v>
      </c>
      <c r="P93" s="180" t="str">
        <f aca="false">IF((D93="i"),F93," ")</f>
        <v> </v>
      </c>
      <c r="Q93" s="180" t="str">
        <f aca="false">IF((D93="b"),F93," ")</f>
        <v> </v>
      </c>
      <c r="R93" s="180" t="str">
        <f aca="false">IF((D93="o"),F93," ")</f>
        <v> </v>
      </c>
      <c r="S93" s="180" t="str">
        <f aca="false">IF((D93="f"),F93," ")</f>
        <v> </v>
      </c>
      <c r="U93" s="371"/>
    </row>
    <row r="94" customFormat="false" ht="12.75" hidden="false" customHeight="false" outlineLevel="0" collapsed="false">
      <c r="D94" s="371" t="str">
        <f aca="false">IF((F94&lt;&gt;0),"Enter Letter"," ")</f>
        <v> </v>
      </c>
      <c r="G94" s="180" t="str">
        <f aca="false">IF((D94="d"),F94," ")</f>
        <v> </v>
      </c>
      <c r="H94" s="180" t="str">
        <f aca="false">IF((D94="h"),F94," ")</f>
        <v> </v>
      </c>
      <c r="I94" s="180" t="str">
        <f aca="false">IF((D94="r"),F94," ")</f>
        <v> </v>
      </c>
      <c r="J94" s="180" t="str">
        <f aca="false">IF((D94="t"),F94," ")</f>
        <v> </v>
      </c>
      <c r="K94" s="180" t="str">
        <f aca="false">IF((D94="e"),F94," ")</f>
        <v> </v>
      </c>
      <c r="L94" s="180" t="str">
        <f aca="false">IF((D94="p"),F94," ")</f>
        <v> </v>
      </c>
      <c r="M94" s="180" t="str">
        <f aca="false">IF((D94="g"),F94," ")</f>
        <v> </v>
      </c>
      <c r="N94" s="180" t="str">
        <f aca="false">IF((D94="a"),F94," ")</f>
        <v> </v>
      </c>
      <c r="O94" s="180" t="str">
        <f aca="false">IF((D94="l"),F94," ")</f>
        <v> </v>
      </c>
      <c r="P94" s="180" t="str">
        <f aca="false">IF((D94="i"),F94," ")</f>
        <v> </v>
      </c>
      <c r="Q94" s="180" t="str">
        <f aca="false">IF((D94="b"),F94," ")</f>
        <v> </v>
      </c>
      <c r="R94" s="180" t="str">
        <f aca="false">IF((D94="o"),F94," ")</f>
        <v> </v>
      </c>
      <c r="S94" s="180" t="str">
        <f aca="false">IF((D94="f"),F94," ")</f>
        <v> </v>
      </c>
      <c r="U94" s="371"/>
    </row>
    <row r="95" customFormat="false" ht="12.75" hidden="false" customHeight="false" outlineLevel="0" collapsed="false">
      <c r="D95" s="371" t="str">
        <f aca="false">IF((F95&lt;&gt;0),"Enter Letter"," ")</f>
        <v> </v>
      </c>
      <c r="G95" s="180" t="str">
        <f aca="false">IF((D95="d"),F95," ")</f>
        <v> </v>
      </c>
      <c r="H95" s="180" t="str">
        <f aca="false">IF((D95="h"),F95," ")</f>
        <v> </v>
      </c>
      <c r="I95" s="180" t="str">
        <f aca="false">IF((D95="r"),F95," ")</f>
        <v> </v>
      </c>
      <c r="J95" s="180" t="str">
        <f aca="false">IF((D95="t"),F95," ")</f>
        <v> </v>
      </c>
      <c r="K95" s="180" t="str">
        <f aca="false">IF((D95="e"),F95," ")</f>
        <v> </v>
      </c>
      <c r="L95" s="180" t="str">
        <f aca="false">IF((D95="p"),F95," ")</f>
        <v> </v>
      </c>
      <c r="M95" s="180" t="str">
        <f aca="false">IF((D95="g"),F95," ")</f>
        <v> </v>
      </c>
      <c r="N95" s="180" t="str">
        <f aca="false">IF((D95="a"),F95," ")</f>
        <v> </v>
      </c>
      <c r="O95" s="180" t="str">
        <f aca="false">IF((D95="l"),F95," ")</f>
        <v> </v>
      </c>
      <c r="P95" s="180" t="str">
        <f aca="false">IF((D95="i"),F95," ")</f>
        <v> </v>
      </c>
      <c r="Q95" s="180" t="str">
        <f aca="false">IF((D95="b"),F95," ")</f>
        <v> </v>
      </c>
      <c r="R95" s="180" t="str">
        <f aca="false">IF((D95="o"),F95," ")</f>
        <v> </v>
      </c>
      <c r="S95" s="180" t="str">
        <f aca="false">IF((D95="f"),F95," ")</f>
        <v> </v>
      </c>
      <c r="U95" s="371"/>
    </row>
    <row r="96" customFormat="false" ht="12.75" hidden="false" customHeight="false" outlineLevel="0" collapsed="false">
      <c r="D96" s="371" t="str">
        <f aca="false">IF((F96&lt;&gt;0),"Enter Letter"," ")</f>
        <v> </v>
      </c>
      <c r="G96" s="180" t="str">
        <f aca="false">IF((D96="d"),F96," ")</f>
        <v> </v>
      </c>
      <c r="H96" s="180" t="str">
        <f aca="false">IF((D96="h"),F96," ")</f>
        <v> </v>
      </c>
      <c r="I96" s="180" t="str">
        <f aca="false">IF((D96="r"),F96," ")</f>
        <v> </v>
      </c>
      <c r="J96" s="180" t="str">
        <f aca="false">IF((D96="t"),F96," ")</f>
        <v> </v>
      </c>
      <c r="K96" s="180" t="str">
        <f aca="false">IF((D96="e"),F96," ")</f>
        <v> </v>
      </c>
      <c r="L96" s="180" t="str">
        <f aca="false">IF((D96="p"),F96," ")</f>
        <v> </v>
      </c>
      <c r="M96" s="180" t="str">
        <f aca="false">IF((D96="g"),F96," ")</f>
        <v> </v>
      </c>
      <c r="N96" s="180" t="str">
        <f aca="false">IF((D96="a"),F96," ")</f>
        <v> </v>
      </c>
      <c r="O96" s="180" t="str">
        <f aca="false">IF((D96="l"),F96," ")</f>
        <v> </v>
      </c>
      <c r="P96" s="180" t="str">
        <f aca="false">IF((D96="i"),F96," ")</f>
        <v> </v>
      </c>
      <c r="Q96" s="180" t="str">
        <f aca="false">IF((D96="b"),F96," ")</f>
        <v> </v>
      </c>
      <c r="R96" s="180" t="str">
        <f aca="false">IF((D96="o"),F96," ")</f>
        <v> </v>
      </c>
      <c r="S96" s="180" t="str">
        <f aca="false">IF((D96="f"),F96," ")</f>
        <v> </v>
      </c>
      <c r="U96" s="371"/>
    </row>
    <row r="97" customFormat="false" ht="12.75" hidden="false" customHeight="false" outlineLevel="0" collapsed="false">
      <c r="D97" s="371" t="str">
        <f aca="false">IF((F97&lt;&gt;0),"Enter Letter"," ")</f>
        <v> </v>
      </c>
      <c r="G97" s="180" t="str">
        <f aca="false">IF((D97="d"),F97," ")</f>
        <v> </v>
      </c>
      <c r="H97" s="180" t="str">
        <f aca="false">IF((D97="h"),F97," ")</f>
        <v> </v>
      </c>
      <c r="I97" s="180" t="str">
        <f aca="false">IF((D97="r"),F97," ")</f>
        <v> </v>
      </c>
      <c r="J97" s="180" t="str">
        <f aca="false">IF((D97="t"),F97," ")</f>
        <v> </v>
      </c>
      <c r="K97" s="180" t="str">
        <f aca="false">IF((D97="e"),F97," ")</f>
        <v> </v>
      </c>
      <c r="L97" s="180" t="str">
        <f aca="false">IF((D97="p"),F97," ")</f>
        <v> </v>
      </c>
      <c r="M97" s="180" t="str">
        <f aca="false">IF((D97="g"),F97," ")</f>
        <v> </v>
      </c>
      <c r="N97" s="180" t="str">
        <f aca="false">IF((D97="a"),F97," ")</f>
        <v> </v>
      </c>
      <c r="O97" s="180" t="str">
        <f aca="false">IF((D97="l"),F97," ")</f>
        <v> </v>
      </c>
      <c r="P97" s="180" t="str">
        <f aca="false">IF((D97="i"),F97," ")</f>
        <v> </v>
      </c>
      <c r="Q97" s="180" t="str">
        <f aca="false">IF((D97="b"),F97," ")</f>
        <v> </v>
      </c>
      <c r="R97" s="180" t="str">
        <f aca="false">IF((D97="o"),F97," ")</f>
        <v> </v>
      </c>
      <c r="S97" s="180" t="str">
        <f aca="false">IF((D97="f"),F97," ")</f>
        <v> </v>
      </c>
      <c r="U97" s="371"/>
    </row>
    <row r="98" customFormat="false" ht="12.75" hidden="false" customHeight="false" outlineLevel="0" collapsed="false">
      <c r="D98" s="371" t="str">
        <f aca="false">IF((F98&lt;&gt;0),"Enter Letter"," ")</f>
        <v> </v>
      </c>
      <c r="G98" s="180" t="str">
        <f aca="false">IF((D98="d"),F98," ")</f>
        <v> </v>
      </c>
      <c r="H98" s="180" t="str">
        <f aca="false">IF((D98="h"),F98," ")</f>
        <v> </v>
      </c>
      <c r="I98" s="180" t="str">
        <f aca="false">IF((D98="r"),F98," ")</f>
        <v> </v>
      </c>
      <c r="J98" s="180" t="str">
        <f aca="false">IF((D98="t"),F98," ")</f>
        <v> </v>
      </c>
      <c r="K98" s="180" t="str">
        <f aca="false">IF((D98="e"),F98," ")</f>
        <v> </v>
      </c>
      <c r="L98" s="180" t="str">
        <f aca="false">IF((D98="p"),F98," ")</f>
        <v> </v>
      </c>
      <c r="M98" s="180" t="str">
        <f aca="false">IF((D98="g"),F98," ")</f>
        <v> </v>
      </c>
      <c r="N98" s="180" t="str">
        <f aca="false">IF((D98="a"),F98," ")</f>
        <v> </v>
      </c>
      <c r="O98" s="180" t="str">
        <f aca="false">IF((D98="l"),F98," ")</f>
        <v> </v>
      </c>
      <c r="P98" s="180" t="str">
        <f aca="false">IF((D98="i"),F98," ")</f>
        <v> </v>
      </c>
      <c r="Q98" s="180" t="str">
        <f aca="false">IF((D98="b"),F98," ")</f>
        <v> </v>
      </c>
      <c r="R98" s="180" t="str">
        <f aca="false">IF((D98="o"),F98," ")</f>
        <v> </v>
      </c>
      <c r="S98" s="180" t="str">
        <f aca="false">IF((D98="f"),F98," ")</f>
        <v> </v>
      </c>
      <c r="U98" s="371"/>
    </row>
    <row r="99" customFormat="false" ht="12.75" hidden="false" customHeight="false" outlineLevel="0" collapsed="false">
      <c r="D99" s="371" t="str">
        <f aca="false">IF((F99&lt;&gt;0),"Enter Letter"," ")</f>
        <v> </v>
      </c>
      <c r="G99" s="180" t="str">
        <f aca="false">IF((D99="d"),F99," ")</f>
        <v> </v>
      </c>
      <c r="H99" s="180" t="str">
        <f aca="false">IF((D99="h"),F99," ")</f>
        <v> </v>
      </c>
      <c r="I99" s="180" t="str">
        <f aca="false">IF((D99="r"),F99," ")</f>
        <v> </v>
      </c>
      <c r="J99" s="180" t="str">
        <f aca="false">IF((D99="t"),F99," ")</f>
        <v> </v>
      </c>
      <c r="K99" s="180" t="str">
        <f aca="false">IF((D99="e"),F99," ")</f>
        <v> </v>
      </c>
      <c r="L99" s="180" t="str">
        <f aca="false">IF((D99="p"),F99," ")</f>
        <v> </v>
      </c>
      <c r="M99" s="180" t="str">
        <f aca="false">IF((D99="g"),F99," ")</f>
        <v> </v>
      </c>
      <c r="N99" s="180" t="str">
        <f aca="false">IF((D99="a"),F99," ")</f>
        <v> </v>
      </c>
      <c r="O99" s="180" t="str">
        <f aca="false">IF((D99="l"),F99," ")</f>
        <v> </v>
      </c>
      <c r="P99" s="180" t="str">
        <f aca="false">IF((D99="i"),F99," ")</f>
        <v> </v>
      </c>
      <c r="Q99" s="180" t="str">
        <f aca="false">IF((D99="b"),F99," ")</f>
        <v> </v>
      </c>
      <c r="R99" s="180" t="str">
        <f aca="false">IF((D99="o"),F99," ")</f>
        <v> </v>
      </c>
      <c r="S99" s="180" t="str">
        <f aca="false">IF((D99="f"),F99," ")</f>
        <v> </v>
      </c>
      <c r="U99" s="371"/>
    </row>
    <row r="100" customFormat="false" ht="12.75" hidden="false" customHeight="false" outlineLevel="0" collapsed="false">
      <c r="D100" s="371" t="str">
        <f aca="false">IF((F100&lt;&gt;0),"Enter Letter"," ")</f>
        <v> </v>
      </c>
      <c r="G100" s="180" t="str">
        <f aca="false">IF((D100="d"),F100," ")</f>
        <v> </v>
      </c>
      <c r="H100" s="180" t="str">
        <f aca="false">IF((D100="h"),F100," ")</f>
        <v> </v>
      </c>
      <c r="I100" s="180" t="str">
        <f aca="false">IF((D100="r"),F100," ")</f>
        <v> </v>
      </c>
      <c r="J100" s="180" t="str">
        <f aca="false">IF((D100="t"),F100," ")</f>
        <v> </v>
      </c>
      <c r="K100" s="180" t="str">
        <f aca="false">IF((D100="e"),F100," ")</f>
        <v> </v>
      </c>
      <c r="L100" s="180" t="str">
        <f aca="false">IF((D100="p"),F100," ")</f>
        <v> </v>
      </c>
      <c r="M100" s="180" t="str">
        <f aca="false">IF((D100="g"),F100," ")</f>
        <v> </v>
      </c>
      <c r="N100" s="180" t="str">
        <f aca="false">IF((D100="a"),F100," ")</f>
        <v> </v>
      </c>
      <c r="O100" s="180" t="str">
        <f aca="false">IF((D100="l"),F100," ")</f>
        <v> </v>
      </c>
      <c r="P100" s="180" t="str">
        <f aca="false">IF((D100="i"),F100," ")</f>
        <v> </v>
      </c>
      <c r="Q100" s="180" t="str">
        <f aca="false">IF((D100="b"),F100," ")</f>
        <v> </v>
      </c>
      <c r="R100" s="180" t="str">
        <f aca="false">IF((D100="o"),F100," ")</f>
        <v> </v>
      </c>
      <c r="S100" s="180" t="str">
        <f aca="false">IF((D100="f"),F100," ")</f>
        <v> </v>
      </c>
      <c r="U100" s="371"/>
    </row>
    <row r="101" customFormat="false" ht="12.75" hidden="false" customHeight="false" outlineLevel="0" collapsed="false">
      <c r="D101" s="371" t="str">
        <f aca="false">IF((F101&lt;&gt;0),"Enter Letter"," ")</f>
        <v> </v>
      </c>
      <c r="G101" s="180" t="str">
        <f aca="false">IF((D101="d"),F101," ")</f>
        <v> </v>
      </c>
      <c r="H101" s="180" t="str">
        <f aca="false">IF((D101="h"),F101," ")</f>
        <v> </v>
      </c>
      <c r="I101" s="180" t="str">
        <f aca="false">IF((D101="r"),F101," ")</f>
        <v> </v>
      </c>
      <c r="J101" s="180" t="str">
        <f aca="false">IF((D101="t"),F101," ")</f>
        <v> </v>
      </c>
      <c r="K101" s="180" t="str">
        <f aca="false">IF((D101="e"),F101," ")</f>
        <v> </v>
      </c>
      <c r="L101" s="180" t="str">
        <f aca="false">IF((D101="p"),F101," ")</f>
        <v> </v>
      </c>
      <c r="M101" s="180" t="str">
        <f aca="false">IF((D101="g"),F101," ")</f>
        <v> </v>
      </c>
      <c r="N101" s="180" t="str">
        <f aca="false">IF((D101="a"),F101," ")</f>
        <v> </v>
      </c>
      <c r="O101" s="180" t="str">
        <f aca="false">IF((D101="l"),F101," ")</f>
        <v> </v>
      </c>
      <c r="P101" s="180" t="str">
        <f aca="false">IF((D101="i"),F101," ")</f>
        <v> </v>
      </c>
      <c r="Q101" s="180" t="str">
        <f aca="false">IF((D101="b"),F101," ")</f>
        <v> </v>
      </c>
      <c r="R101" s="180" t="str">
        <f aca="false">IF((D101="o"),F101," ")</f>
        <v> </v>
      </c>
      <c r="S101" s="180" t="str">
        <f aca="false">IF((D101="f"),F101," ")</f>
        <v> </v>
      </c>
      <c r="U101" s="371"/>
    </row>
    <row r="102" customFormat="false" ht="12.75" hidden="false" customHeight="false" outlineLevel="0" collapsed="false">
      <c r="D102" s="371" t="str">
        <f aca="false">IF((F102&lt;&gt;0),"Enter Letter"," ")</f>
        <v> </v>
      </c>
      <c r="G102" s="180" t="str">
        <f aca="false">IF((D102="d"),F102," ")</f>
        <v> </v>
      </c>
      <c r="H102" s="180" t="str">
        <f aca="false">IF((D102="h"),F102," ")</f>
        <v> </v>
      </c>
      <c r="I102" s="180" t="str">
        <f aca="false">IF((D102="r"),F102," ")</f>
        <v> </v>
      </c>
      <c r="J102" s="180" t="str">
        <f aca="false">IF((D102="t"),F102," ")</f>
        <v> </v>
      </c>
      <c r="K102" s="180" t="str">
        <f aca="false">IF((D102="e"),F102," ")</f>
        <v> </v>
      </c>
      <c r="L102" s="180" t="str">
        <f aca="false">IF((D102="p"),F102," ")</f>
        <v> </v>
      </c>
      <c r="M102" s="180" t="str">
        <f aca="false">IF((D102="g"),F102," ")</f>
        <v> </v>
      </c>
      <c r="N102" s="180" t="str">
        <f aca="false">IF((D102="a"),F102," ")</f>
        <v> </v>
      </c>
      <c r="O102" s="180" t="str">
        <f aca="false">IF((D102="l"),F102," ")</f>
        <v> </v>
      </c>
      <c r="P102" s="180" t="str">
        <f aca="false">IF((D102="i"),F102," ")</f>
        <v> </v>
      </c>
      <c r="Q102" s="180" t="str">
        <f aca="false">IF((D102="b"),F102," ")</f>
        <v> </v>
      </c>
      <c r="R102" s="180" t="str">
        <f aca="false">IF((D102="o"),F102," ")</f>
        <v> </v>
      </c>
      <c r="S102" s="180" t="str">
        <f aca="false">IF((D102="f"),F102," ")</f>
        <v> </v>
      </c>
      <c r="U102" s="371"/>
    </row>
    <row r="103" customFormat="false" ht="12.75" hidden="false" customHeight="false" outlineLevel="0" collapsed="false">
      <c r="D103" s="371" t="str">
        <f aca="false">IF((F103&lt;&gt;0),"Enter Letter"," ")</f>
        <v> </v>
      </c>
      <c r="G103" s="180" t="str">
        <f aca="false">IF((D103="d"),F103," ")</f>
        <v> </v>
      </c>
      <c r="H103" s="180" t="str">
        <f aca="false">IF((D103="h"),F103," ")</f>
        <v> </v>
      </c>
      <c r="I103" s="180" t="str">
        <f aca="false">IF((D103="r"),F103," ")</f>
        <v> </v>
      </c>
      <c r="J103" s="180" t="str">
        <f aca="false">IF((D103="t"),F103," ")</f>
        <v> </v>
      </c>
      <c r="K103" s="180" t="str">
        <f aca="false">IF((D103="e"),F103," ")</f>
        <v> </v>
      </c>
      <c r="L103" s="180" t="str">
        <f aca="false">IF((D103="p"),F103," ")</f>
        <v> </v>
      </c>
      <c r="M103" s="180" t="str">
        <f aca="false">IF((D103="g"),F103," ")</f>
        <v> </v>
      </c>
      <c r="N103" s="180" t="str">
        <f aca="false">IF((D103="a"),F103," ")</f>
        <v> </v>
      </c>
      <c r="O103" s="180" t="str">
        <f aca="false">IF((D103="l"),F103," ")</f>
        <v> </v>
      </c>
      <c r="P103" s="180" t="str">
        <f aca="false">IF((D103="i"),F103," ")</f>
        <v> </v>
      </c>
      <c r="Q103" s="180" t="str">
        <f aca="false">IF((D103="b"),F103," ")</f>
        <v> </v>
      </c>
      <c r="R103" s="180" t="str">
        <f aca="false">IF((D103="o"),F103," ")</f>
        <v> </v>
      </c>
      <c r="S103" s="180" t="str">
        <f aca="false">IF((D103="f"),F103," ")</f>
        <v> </v>
      </c>
      <c r="U103" s="371"/>
    </row>
    <row r="104" customFormat="false" ht="12.75" hidden="false" customHeight="false" outlineLevel="0" collapsed="false">
      <c r="D104" s="371" t="str">
        <f aca="false">IF((F104&lt;&gt;0),"Enter Letter"," ")</f>
        <v> </v>
      </c>
      <c r="G104" s="180" t="str">
        <f aca="false">IF((D104="d"),F104," ")</f>
        <v> </v>
      </c>
      <c r="H104" s="180" t="str">
        <f aca="false">IF((D104="h"),F104," ")</f>
        <v> </v>
      </c>
      <c r="I104" s="180" t="str">
        <f aca="false">IF((D104="r"),F104," ")</f>
        <v> </v>
      </c>
      <c r="J104" s="180" t="str">
        <f aca="false">IF((D104="t"),F104," ")</f>
        <v> </v>
      </c>
      <c r="K104" s="180" t="str">
        <f aca="false">IF((D104="e"),F104," ")</f>
        <v> </v>
      </c>
      <c r="L104" s="180" t="str">
        <f aca="false">IF((D104="p"),F104," ")</f>
        <v> </v>
      </c>
      <c r="M104" s="180" t="str">
        <f aca="false">IF((D104="g"),F104," ")</f>
        <v> </v>
      </c>
      <c r="N104" s="180" t="str">
        <f aca="false">IF((D104="a"),F104," ")</f>
        <v> </v>
      </c>
      <c r="O104" s="180" t="str">
        <f aca="false">IF((D104="l"),F104," ")</f>
        <v> </v>
      </c>
      <c r="P104" s="180" t="str">
        <f aca="false">IF((D104="i"),F104," ")</f>
        <v> </v>
      </c>
      <c r="Q104" s="180" t="str">
        <f aca="false">IF((D104="b"),F104," ")</f>
        <v> </v>
      </c>
      <c r="R104" s="180" t="str">
        <f aca="false">IF((D104="o"),F104," ")</f>
        <v> </v>
      </c>
      <c r="S104" s="180" t="str">
        <f aca="false">IF((D104="f"),F104," ")</f>
        <v> </v>
      </c>
      <c r="U104" s="371"/>
    </row>
    <row r="105" customFormat="false" ht="12.75" hidden="false" customHeight="false" outlineLevel="0" collapsed="false">
      <c r="D105" s="371" t="str">
        <f aca="false">IF((F105&lt;&gt;0),"Enter Letter"," ")</f>
        <v> </v>
      </c>
      <c r="G105" s="180" t="str">
        <f aca="false">IF((D105="d"),F105," ")</f>
        <v> </v>
      </c>
      <c r="H105" s="180" t="str">
        <f aca="false">IF((D105="h"),F105," ")</f>
        <v> </v>
      </c>
      <c r="I105" s="180" t="str">
        <f aca="false">IF((D105="r"),F105," ")</f>
        <v> </v>
      </c>
      <c r="J105" s="180" t="str">
        <f aca="false">IF((D105="t"),F105," ")</f>
        <v> </v>
      </c>
      <c r="K105" s="180" t="str">
        <f aca="false">IF((D105="e"),F105," ")</f>
        <v> </v>
      </c>
      <c r="L105" s="180" t="str">
        <f aca="false">IF((D105="p"),F105," ")</f>
        <v> </v>
      </c>
      <c r="M105" s="180" t="str">
        <f aca="false">IF((D105="g"),F105," ")</f>
        <v> </v>
      </c>
      <c r="N105" s="180" t="str">
        <f aca="false">IF((D105="a"),F105," ")</f>
        <v> </v>
      </c>
      <c r="O105" s="180" t="str">
        <f aca="false">IF((D105="l"),F105," ")</f>
        <v> </v>
      </c>
      <c r="P105" s="180" t="str">
        <f aca="false">IF((D105="i"),F105," ")</f>
        <v> </v>
      </c>
      <c r="Q105" s="180" t="str">
        <f aca="false">IF((D105="b"),F105," ")</f>
        <v> </v>
      </c>
      <c r="R105" s="180" t="str">
        <f aca="false">IF((D105="o"),F105," ")</f>
        <v> </v>
      </c>
      <c r="S105" s="180" t="str">
        <f aca="false">IF((D105="f"),F105," ")</f>
        <v> </v>
      </c>
      <c r="U105" s="371"/>
    </row>
    <row r="106" customFormat="false" ht="12.75" hidden="false" customHeight="false" outlineLevel="0" collapsed="false">
      <c r="D106" s="371" t="str">
        <f aca="false">IF((F106&lt;&gt;0),"Enter Letter"," ")</f>
        <v> </v>
      </c>
      <c r="G106" s="180" t="str">
        <f aca="false">IF((D106="d"),F106," ")</f>
        <v> </v>
      </c>
      <c r="H106" s="180" t="str">
        <f aca="false">IF((D106="h"),F106," ")</f>
        <v> </v>
      </c>
      <c r="I106" s="180" t="str">
        <f aca="false">IF((D106="r"),F106," ")</f>
        <v> </v>
      </c>
      <c r="J106" s="180" t="str">
        <f aca="false">IF((D106="t"),F106," ")</f>
        <v> </v>
      </c>
      <c r="K106" s="180" t="str">
        <f aca="false">IF((D106="e"),F106," ")</f>
        <v> </v>
      </c>
      <c r="L106" s="180" t="str">
        <f aca="false">IF((D106="p"),F106," ")</f>
        <v> </v>
      </c>
      <c r="M106" s="180" t="str">
        <f aca="false">IF((D106="g"),F106," ")</f>
        <v> </v>
      </c>
      <c r="N106" s="180" t="str">
        <f aca="false">IF((D106="a"),F106," ")</f>
        <v> </v>
      </c>
      <c r="O106" s="180" t="str">
        <f aca="false">IF((D106="l"),F106," ")</f>
        <v> </v>
      </c>
      <c r="P106" s="180" t="str">
        <f aca="false">IF((D106="i"),F106," ")</f>
        <v> </v>
      </c>
      <c r="Q106" s="180" t="str">
        <f aca="false">IF((D106="b"),F106," ")</f>
        <v> </v>
      </c>
      <c r="R106" s="180" t="str">
        <f aca="false">IF((D106="o"),F106," ")</f>
        <v> </v>
      </c>
      <c r="S106" s="180" t="str">
        <f aca="false">IF((D106="f"),F106," ")</f>
        <v> </v>
      </c>
      <c r="U106" s="371"/>
    </row>
    <row r="107" customFormat="false" ht="12.75" hidden="false" customHeight="false" outlineLevel="0" collapsed="false">
      <c r="D107" s="371" t="str">
        <f aca="false">IF((F107&lt;&gt;0),"Enter Letter"," ")</f>
        <v> </v>
      </c>
      <c r="G107" s="180" t="str">
        <f aca="false">IF((D107="d"),F107," ")</f>
        <v> </v>
      </c>
      <c r="H107" s="180" t="str">
        <f aca="false">IF((D107="h"),F107," ")</f>
        <v> </v>
      </c>
      <c r="I107" s="180" t="str">
        <f aca="false">IF((D107="r"),F107," ")</f>
        <v> </v>
      </c>
      <c r="J107" s="180" t="str">
        <f aca="false">IF((D107="t"),F107," ")</f>
        <v> </v>
      </c>
      <c r="K107" s="180" t="str">
        <f aca="false">IF((D107="e"),F107," ")</f>
        <v> </v>
      </c>
      <c r="L107" s="180" t="str">
        <f aca="false">IF((D107="p"),F107," ")</f>
        <v> </v>
      </c>
      <c r="M107" s="180" t="str">
        <f aca="false">IF((D107="g"),F107," ")</f>
        <v> </v>
      </c>
      <c r="N107" s="180" t="str">
        <f aca="false">IF((D107="a"),F107," ")</f>
        <v> </v>
      </c>
      <c r="O107" s="180" t="str">
        <f aca="false">IF((D107="l"),F107," ")</f>
        <v> </v>
      </c>
      <c r="P107" s="180" t="str">
        <f aca="false">IF((D107="i"),F107," ")</f>
        <v> </v>
      </c>
      <c r="Q107" s="180" t="str">
        <f aca="false">IF((D107="b"),F107," ")</f>
        <v> </v>
      </c>
      <c r="R107" s="180" t="str">
        <f aca="false">IF((D107="o"),F107," ")</f>
        <v> </v>
      </c>
      <c r="S107" s="180" t="str">
        <f aca="false">IF((D107="f"),F107," ")</f>
        <v> </v>
      </c>
      <c r="U107" s="371"/>
    </row>
    <row r="108" customFormat="false" ht="12.75" hidden="false" customHeight="false" outlineLevel="0" collapsed="false">
      <c r="D108" s="371" t="str">
        <f aca="false">IF((F108&lt;&gt;0),"Enter Letter"," ")</f>
        <v> </v>
      </c>
      <c r="G108" s="180" t="str">
        <f aca="false">IF((D108="d"),F108," ")</f>
        <v> </v>
      </c>
      <c r="H108" s="180" t="str">
        <f aca="false">IF((D108="h"),F108," ")</f>
        <v> </v>
      </c>
      <c r="I108" s="180" t="str">
        <f aca="false">IF((D108="r"),F108," ")</f>
        <v> </v>
      </c>
      <c r="J108" s="180" t="str">
        <f aca="false">IF((D108="t"),F108," ")</f>
        <v> </v>
      </c>
      <c r="K108" s="180" t="str">
        <f aca="false">IF((D108="e"),F108," ")</f>
        <v> </v>
      </c>
      <c r="L108" s="180" t="str">
        <f aca="false">IF((D108="p"),F108," ")</f>
        <v> </v>
      </c>
      <c r="M108" s="180" t="str">
        <f aca="false">IF((D108="g"),F108," ")</f>
        <v> </v>
      </c>
      <c r="N108" s="180" t="str">
        <f aca="false">IF((D108="a"),F108," ")</f>
        <v> </v>
      </c>
      <c r="O108" s="180" t="str">
        <f aca="false">IF((D108="l"),F108," ")</f>
        <v> </v>
      </c>
      <c r="P108" s="180" t="str">
        <f aca="false">IF((D108="i"),F108," ")</f>
        <v> </v>
      </c>
      <c r="Q108" s="180" t="str">
        <f aca="false">IF((D108="b"),F108," ")</f>
        <v> </v>
      </c>
      <c r="R108" s="180" t="str">
        <f aca="false">IF((D108="o"),F108," ")</f>
        <v> </v>
      </c>
      <c r="S108" s="180" t="str">
        <f aca="false">IF((D108="f"),F108," ")</f>
        <v> </v>
      </c>
      <c r="U108" s="371"/>
    </row>
    <row r="109" customFormat="false" ht="12.75" hidden="false" customHeight="false" outlineLevel="0" collapsed="false">
      <c r="D109" s="371" t="str">
        <f aca="false">IF((F109&lt;&gt;0),"Enter Letter"," ")</f>
        <v> </v>
      </c>
      <c r="G109" s="180" t="str">
        <f aca="false">IF((D109="d"),F109," ")</f>
        <v> </v>
      </c>
      <c r="H109" s="180" t="str">
        <f aca="false">IF((D109="h"),F109," ")</f>
        <v> </v>
      </c>
      <c r="I109" s="180" t="str">
        <f aca="false">IF((D109="r"),F109," ")</f>
        <v> </v>
      </c>
      <c r="J109" s="180" t="str">
        <f aca="false">IF((D109="t"),F109," ")</f>
        <v> </v>
      </c>
      <c r="K109" s="180" t="str">
        <f aca="false">IF((D109="e"),F109," ")</f>
        <v> </v>
      </c>
      <c r="L109" s="180" t="str">
        <f aca="false">IF((D109="p"),F109," ")</f>
        <v> </v>
      </c>
      <c r="M109" s="180" t="str">
        <f aca="false">IF((D109="g"),F109," ")</f>
        <v> </v>
      </c>
      <c r="N109" s="180" t="str">
        <f aca="false">IF((D109="a"),F109," ")</f>
        <v> </v>
      </c>
      <c r="O109" s="180" t="str">
        <f aca="false">IF((D109="l"),F109," ")</f>
        <v> </v>
      </c>
      <c r="P109" s="180" t="str">
        <f aca="false">IF((D109="i"),F109," ")</f>
        <v> </v>
      </c>
      <c r="Q109" s="180" t="str">
        <f aca="false">IF((D109="b"),F109," ")</f>
        <v> </v>
      </c>
      <c r="R109" s="180" t="str">
        <f aca="false">IF((D109="o"),F109," ")</f>
        <v> </v>
      </c>
      <c r="S109" s="180" t="str">
        <f aca="false">IF((D109="f"),F109," ")</f>
        <v> </v>
      </c>
      <c r="U109" s="371"/>
    </row>
    <row r="110" customFormat="false" ht="12.75" hidden="false" customHeight="false" outlineLevel="0" collapsed="false">
      <c r="D110" s="371" t="str">
        <f aca="false">IF((F110&lt;&gt;0),"Enter Letter"," ")</f>
        <v> </v>
      </c>
      <c r="G110" s="180" t="str">
        <f aca="false">IF((D110="d"),F110," ")</f>
        <v> </v>
      </c>
      <c r="H110" s="180" t="str">
        <f aca="false">IF((D110="h"),F110," ")</f>
        <v> </v>
      </c>
      <c r="I110" s="180" t="str">
        <f aca="false">IF((D110="r"),F110," ")</f>
        <v> </v>
      </c>
      <c r="J110" s="180" t="str">
        <f aca="false">IF((D110="t"),F110," ")</f>
        <v> </v>
      </c>
      <c r="K110" s="180" t="str">
        <f aca="false">IF((D110="e"),F110," ")</f>
        <v> </v>
      </c>
      <c r="L110" s="180" t="str">
        <f aca="false">IF((D110="p"),F110," ")</f>
        <v> </v>
      </c>
      <c r="M110" s="180" t="str">
        <f aca="false">IF((D110="g"),F110," ")</f>
        <v> </v>
      </c>
      <c r="N110" s="180" t="str">
        <f aca="false">IF((D110="a"),F110," ")</f>
        <v> </v>
      </c>
      <c r="O110" s="180" t="str">
        <f aca="false">IF((D110="l"),F110," ")</f>
        <v> </v>
      </c>
      <c r="P110" s="180" t="str">
        <f aca="false">IF((D110="i"),F110," ")</f>
        <v> </v>
      </c>
      <c r="Q110" s="180" t="str">
        <f aca="false">IF((D110="b"),F110," ")</f>
        <v> </v>
      </c>
      <c r="R110" s="180" t="str">
        <f aca="false">IF((D110="o"),F110," ")</f>
        <v> </v>
      </c>
      <c r="S110" s="180" t="str">
        <f aca="false">IF((D110="f"),F110," ")</f>
        <v> </v>
      </c>
      <c r="U110" s="371"/>
    </row>
    <row r="111" customFormat="false" ht="12.75" hidden="false" customHeight="false" outlineLevel="0" collapsed="false">
      <c r="D111" s="371" t="str">
        <f aca="false">IF((F111&lt;&gt;0),"Enter Letter"," ")</f>
        <v> </v>
      </c>
      <c r="G111" s="180" t="str">
        <f aca="false">IF((D111="d"),F111," ")</f>
        <v> </v>
      </c>
      <c r="H111" s="180" t="str">
        <f aca="false">IF((D111="h"),F111," ")</f>
        <v> </v>
      </c>
      <c r="I111" s="180" t="str">
        <f aca="false">IF((D111="r"),F111," ")</f>
        <v> </v>
      </c>
      <c r="J111" s="180" t="str">
        <f aca="false">IF((D111="t"),F111," ")</f>
        <v> </v>
      </c>
      <c r="K111" s="180" t="str">
        <f aca="false">IF((D111="e"),F111," ")</f>
        <v> </v>
      </c>
      <c r="L111" s="180" t="str">
        <f aca="false">IF((D111="p"),F111," ")</f>
        <v> </v>
      </c>
      <c r="M111" s="180" t="str">
        <f aca="false">IF((D111="g"),F111," ")</f>
        <v> </v>
      </c>
      <c r="N111" s="180" t="str">
        <f aca="false">IF((D111="a"),F111," ")</f>
        <v> </v>
      </c>
      <c r="O111" s="180" t="str">
        <f aca="false">IF((D111="l"),F111," ")</f>
        <v> </v>
      </c>
      <c r="P111" s="180" t="str">
        <f aca="false">IF((D111="i"),F111," ")</f>
        <v> </v>
      </c>
      <c r="Q111" s="180" t="str">
        <f aca="false">IF((D111="b"),F111," ")</f>
        <v> </v>
      </c>
      <c r="R111" s="180" t="str">
        <f aca="false">IF((D111="o"),F111," ")</f>
        <v> </v>
      </c>
      <c r="S111" s="180" t="str">
        <f aca="false">IF((D111="f"),F111," ")</f>
        <v> </v>
      </c>
      <c r="U111" s="371"/>
    </row>
    <row r="112" customFormat="false" ht="12.75" hidden="false" customHeight="false" outlineLevel="0" collapsed="false">
      <c r="D112" s="371" t="str">
        <f aca="false">IF((F112&lt;&gt;0),"Enter Letter"," ")</f>
        <v> </v>
      </c>
      <c r="G112" s="180" t="str">
        <f aca="false">IF((D112="d"),F112," ")</f>
        <v> </v>
      </c>
      <c r="H112" s="180" t="str">
        <f aca="false">IF((D112="h"),F112," ")</f>
        <v> </v>
      </c>
      <c r="I112" s="180" t="str">
        <f aca="false">IF((D112="r"),F112," ")</f>
        <v> </v>
      </c>
      <c r="J112" s="180" t="str">
        <f aca="false">IF((D112="t"),F112," ")</f>
        <v> </v>
      </c>
      <c r="K112" s="180" t="str">
        <f aca="false">IF((D112="e"),F112," ")</f>
        <v> </v>
      </c>
      <c r="L112" s="180" t="str">
        <f aca="false">IF((D112="p"),F112," ")</f>
        <v> </v>
      </c>
      <c r="M112" s="180" t="str">
        <f aca="false">IF((D112="g"),F112," ")</f>
        <v> </v>
      </c>
      <c r="N112" s="180" t="str">
        <f aca="false">IF((D112="a"),F112," ")</f>
        <v> </v>
      </c>
      <c r="O112" s="180" t="str">
        <f aca="false">IF((D112="l"),F112," ")</f>
        <v> </v>
      </c>
      <c r="P112" s="180" t="str">
        <f aca="false">IF((D112="i"),F112," ")</f>
        <v> </v>
      </c>
      <c r="Q112" s="180" t="str">
        <f aca="false">IF((D112="b"),F112," ")</f>
        <v> </v>
      </c>
      <c r="R112" s="180" t="str">
        <f aca="false">IF((D112="o"),F112," ")</f>
        <v> </v>
      </c>
      <c r="S112" s="180" t="str">
        <f aca="false">IF((D112="f"),F112," ")</f>
        <v> </v>
      </c>
      <c r="U112" s="371"/>
    </row>
    <row r="113" customFormat="false" ht="12.75" hidden="false" customHeight="false" outlineLevel="0" collapsed="false">
      <c r="D113" s="371" t="str">
        <f aca="false">IF((F113&lt;&gt;0),"Enter Letter"," ")</f>
        <v> </v>
      </c>
      <c r="G113" s="180" t="str">
        <f aca="false">IF((D113="d"),F113," ")</f>
        <v> </v>
      </c>
      <c r="H113" s="180" t="str">
        <f aca="false">IF((D113="h"),F113," ")</f>
        <v> </v>
      </c>
      <c r="I113" s="180" t="str">
        <f aca="false">IF((D113="r"),F113," ")</f>
        <v> </v>
      </c>
      <c r="J113" s="180" t="str">
        <f aca="false">IF((D113="t"),F113," ")</f>
        <v> </v>
      </c>
      <c r="K113" s="180" t="str">
        <f aca="false">IF((D113="e"),F113," ")</f>
        <v> </v>
      </c>
      <c r="L113" s="180" t="str">
        <f aca="false">IF((D113="p"),F113," ")</f>
        <v> </v>
      </c>
      <c r="M113" s="180" t="str">
        <f aca="false">IF((D113="g"),F113," ")</f>
        <v> </v>
      </c>
      <c r="N113" s="180" t="str">
        <f aca="false">IF((D113="a"),F113," ")</f>
        <v> </v>
      </c>
      <c r="O113" s="180" t="str">
        <f aca="false">IF((D113="l"),F113," ")</f>
        <v> </v>
      </c>
      <c r="P113" s="180" t="str">
        <f aca="false">IF((D113="i"),F113," ")</f>
        <v> </v>
      </c>
      <c r="Q113" s="180" t="str">
        <f aca="false">IF((D113="b"),F113," ")</f>
        <v> </v>
      </c>
      <c r="R113" s="180" t="str">
        <f aca="false">IF((D113="o"),F113," ")</f>
        <v> </v>
      </c>
      <c r="S113" s="180" t="str">
        <f aca="false">IF((D113="f"),F113," ")</f>
        <v> </v>
      </c>
      <c r="U113" s="371"/>
    </row>
    <row r="114" customFormat="false" ht="12.75" hidden="false" customHeight="false" outlineLevel="0" collapsed="false">
      <c r="D114" s="371" t="str">
        <f aca="false">IF((F114&lt;&gt;0),"Enter Letter"," ")</f>
        <v> </v>
      </c>
      <c r="G114" s="180" t="str">
        <f aca="false">IF((D114="d"),F114," ")</f>
        <v> </v>
      </c>
      <c r="H114" s="180" t="str">
        <f aca="false">IF((D114="h"),F114," ")</f>
        <v> </v>
      </c>
      <c r="I114" s="180" t="str">
        <f aca="false">IF((D114="r"),F114," ")</f>
        <v> </v>
      </c>
      <c r="J114" s="180" t="str">
        <f aca="false">IF((D114="t"),F114," ")</f>
        <v> </v>
      </c>
      <c r="K114" s="180" t="str">
        <f aca="false">IF((D114="e"),F114," ")</f>
        <v> </v>
      </c>
      <c r="L114" s="180" t="str">
        <f aca="false">IF((D114="p"),F114," ")</f>
        <v> </v>
      </c>
      <c r="M114" s="180" t="str">
        <f aca="false">IF((D114="g"),F114," ")</f>
        <v> </v>
      </c>
      <c r="N114" s="180" t="str">
        <f aca="false">IF((D114="a"),F114," ")</f>
        <v> </v>
      </c>
      <c r="O114" s="180" t="str">
        <f aca="false">IF((D114="l"),F114," ")</f>
        <v> </v>
      </c>
      <c r="P114" s="180" t="str">
        <f aca="false">IF((D114="i"),F114," ")</f>
        <v> </v>
      </c>
      <c r="Q114" s="180" t="str">
        <f aca="false">IF((D114="b"),F114," ")</f>
        <v> </v>
      </c>
      <c r="R114" s="180" t="str">
        <f aca="false">IF((D114="o"),F114," ")</f>
        <v> </v>
      </c>
      <c r="S114" s="180" t="str">
        <f aca="false">IF((D114="f"),F114," ")</f>
        <v> </v>
      </c>
      <c r="U114" s="371"/>
    </row>
    <row r="115" customFormat="false" ht="12.75" hidden="false" customHeight="false" outlineLevel="0" collapsed="false">
      <c r="D115" s="371" t="str">
        <f aca="false">IF((F115&lt;&gt;0),"Enter Letter"," ")</f>
        <v> </v>
      </c>
      <c r="G115" s="180" t="str">
        <f aca="false">IF((D115="d"),F115," ")</f>
        <v> </v>
      </c>
      <c r="H115" s="180" t="str">
        <f aca="false">IF((D115="h"),F115," ")</f>
        <v> </v>
      </c>
      <c r="I115" s="180" t="str">
        <f aca="false">IF((D115="r"),F115," ")</f>
        <v> </v>
      </c>
      <c r="J115" s="180" t="str">
        <f aca="false">IF((D115="t"),F115," ")</f>
        <v> </v>
      </c>
      <c r="K115" s="180" t="str">
        <f aca="false">IF((D115="e"),F115," ")</f>
        <v> </v>
      </c>
      <c r="L115" s="180" t="str">
        <f aca="false">IF((D115="p"),F115," ")</f>
        <v> </v>
      </c>
      <c r="M115" s="180" t="str">
        <f aca="false">IF((D115="g"),F115," ")</f>
        <v> </v>
      </c>
      <c r="N115" s="180" t="str">
        <f aca="false">IF((D115="a"),F115," ")</f>
        <v> </v>
      </c>
      <c r="O115" s="180" t="str">
        <f aca="false">IF((D115="l"),F115," ")</f>
        <v> </v>
      </c>
      <c r="P115" s="180" t="str">
        <f aca="false">IF((D115="i"),F115," ")</f>
        <v> </v>
      </c>
      <c r="Q115" s="180" t="str">
        <f aca="false">IF((D115="b"),F115," ")</f>
        <v> </v>
      </c>
      <c r="R115" s="180" t="str">
        <f aca="false">IF((D115="o"),F115," ")</f>
        <v> </v>
      </c>
      <c r="S115" s="180" t="str">
        <f aca="false">IF((D115="f"),F115," ")</f>
        <v> </v>
      </c>
      <c r="U115" s="371"/>
    </row>
    <row r="116" customFormat="false" ht="12.75" hidden="false" customHeight="false" outlineLevel="0" collapsed="false">
      <c r="D116" s="371" t="str">
        <f aca="false">IF((F116&lt;&gt;0),"Enter Letter"," ")</f>
        <v> </v>
      </c>
      <c r="G116" s="180" t="str">
        <f aca="false">IF((D116="d"),F116," ")</f>
        <v> </v>
      </c>
      <c r="H116" s="180" t="str">
        <f aca="false">IF((D116="h"),F116," ")</f>
        <v> </v>
      </c>
      <c r="I116" s="180" t="str">
        <f aca="false">IF((D116="r"),F116," ")</f>
        <v> </v>
      </c>
      <c r="J116" s="180" t="str">
        <f aca="false">IF((D116="t"),F116," ")</f>
        <v> </v>
      </c>
      <c r="K116" s="180" t="str">
        <f aca="false">IF((D116="e"),F116," ")</f>
        <v> </v>
      </c>
      <c r="L116" s="180" t="str">
        <f aca="false">IF((D116="p"),F116," ")</f>
        <v> </v>
      </c>
      <c r="M116" s="180" t="str">
        <f aca="false">IF((D116="g"),F116," ")</f>
        <v> </v>
      </c>
      <c r="N116" s="180" t="str">
        <f aca="false">IF((D116="a"),F116," ")</f>
        <v> </v>
      </c>
      <c r="O116" s="180" t="str">
        <f aca="false">IF((D116="l"),F116," ")</f>
        <v> </v>
      </c>
      <c r="P116" s="180" t="str">
        <f aca="false">IF((D116="i"),F116," ")</f>
        <v> </v>
      </c>
      <c r="Q116" s="180" t="str">
        <f aca="false">IF((D116="b"),F116," ")</f>
        <v> </v>
      </c>
      <c r="R116" s="180" t="str">
        <f aca="false">IF((D116="o"),F116," ")</f>
        <v> </v>
      </c>
      <c r="S116" s="180" t="str">
        <f aca="false">IF((D116="f"),F116," ")</f>
        <v> </v>
      </c>
      <c r="U116" s="371"/>
    </row>
    <row r="117" customFormat="false" ht="12.75" hidden="false" customHeight="false" outlineLevel="0" collapsed="false">
      <c r="D117" s="371" t="str">
        <f aca="false">IF((F117&lt;&gt;0),"Enter Letter"," ")</f>
        <v> </v>
      </c>
      <c r="G117" s="180" t="str">
        <f aca="false">IF((D117="d"),F117," ")</f>
        <v> </v>
      </c>
      <c r="H117" s="180" t="str">
        <f aca="false">IF((D117="h"),F117," ")</f>
        <v> </v>
      </c>
      <c r="I117" s="180" t="str">
        <f aca="false">IF((D117="r"),F117," ")</f>
        <v> </v>
      </c>
      <c r="J117" s="180" t="str">
        <f aca="false">IF((D117="t"),F117," ")</f>
        <v> </v>
      </c>
      <c r="K117" s="180" t="str">
        <f aca="false">IF((D117="e"),F117," ")</f>
        <v> </v>
      </c>
      <c r="L117" s="180" t="str">
        <f aca="false">IF((D117="p"),F117," ")</f>
        <v> </v>
      </c>
      <c r="M117" s="180" t="str">
        <f aca="false">IF((D117="g"),F117," ")</f>
        <v> </v>
      </c>
      <c r="N117" s="180" t="str">
        <f aca="false">IF((D117="a"),F117," ")</f>
        <v> </v>
      </c>
      <c r="O117" s="180" t="str">
        <f aca="false">IF((D117="l"),F117," ")</f>
        <v> </v>
      </c>
      <c r="P117" s="180" t="str">
        <f aca="false">IF((D117="i"),F117," ")</f>
        <v> </v>
      </c>
      <c r="Q117" s="180" t="str">
        <f aca="false">IF((D117="b"),F117," ")</f>
        <v> </v>
      </c>
      <c r="R117" s="180" t="str">
        <f aca="false">IF((D117="o"),F117," ")</f>
        <v> </v>
      </c>
      <c r="S117" s="180" t="str">
        <f aca="false">IF((D117="f"),F117," ")</f>
        <v> </v>
      </c>
      <c r="U117" s="371"/>
    </row>
    <row r="118" customFormat="false" ht="12.75" hidden="false" customHeight="false" outlineLevel="0" collapsed="false">
      <c r="D118" s="371" t="str">
        <f aca="false">IF((F118&lt;&gt;0),"Enter Letter"," ")</f>
        <v> </v>
      </c>
      <c r="G118" s="180" t="str">
        <f aca="false">IF((D118="d"),F118," ")</f>
        <v> </v>
      </c>
      <c r="H118" s="180" t="str">
        <f aca="false">IF((D118="h"),F118," ")</f>
        <v> </v>
      </c>
      <c r="I118" s="180" t="str">
        <f aca="false">IF((D118="r"),F118," ")</f>
        <v> </v>
      </c>
      <c r="J118" s="180" t="str">
        <f aca="false">IF((D118="t"),F118," ")</f>
        <v> </v>
      </c>
      <c r="K118" s="180" t="str">
        <f aca="false">IF((D118="e"),F118," ")</f>
        <v> </v>
      </c>
      <c r="L118" s="180" t="str">
        <f aca="false">IF((D118="p"),F118," ")</f>
        <v> </v>
      </c>
      <c r="M118" s="180" t="str">
        <f aca="false">IF((D118="g"),F118," ")</f>
        <v> </v>
      </c>
      <c r="N118" s="180" t="str">
        <f aca="false">IF((D118="a"),F118," ")</f>
        <v> </v>
      </c>
      <c r="O118" s="180" t="str">
        <f aca="false">IF((D118="l"),F118," ")</f>
        <v> </v>
      </c>
      <c r="P118" s="180" t="str">
        <f aca="false">IF((D118="i"),F118," ")</f>
        <v> </v>
      </c>
      <c r="Q118" s="180" t="str">
        <f aca="false">IF((D118="b"),F118," ")</f>
        <v> </v>
      </c>
      <c r="R118" s="180" t="str">
        <f aca="false">IF((D118="o"),F118," ")</f>
        <v> </v>
      </c>
      <c r="S118" s="180" t="str">
        <f aca="false">IF((D118="f"),F118," ")</f>
        <v> </v>
      </c>
      <c r="U118" s="371"/>
    </row>
    <row r="119" customFormat="false" ht="12.75" hidden="false" customHeight="false" outlineLevel="0" collapsed="false">
      <c r="D119" s="371" t="str">
        <f aca="false">IF((F119&lt;&gt;0),"Enter Letter"," ")</f>
        <v> </v>
      </c>
      <c r="G119" s="180" t="str">
        <f aca="false">IF((D119="d"),F119," ")</f>
        <v> </v>
      </c>
      <c r="H119" s="180" t="str">
        <f aca="false">IF((D119="h"),F119," ")</f>
        <v> </v>
      </c>
      <c r="I119" s="180" t="str">
        <f aca="false">IF((D119="r"),F119," ")</f>
        <v> </v>
      </c>
      <c r="J119" s="180" t="str">
        <f aca="false">IF((D119="t"),F119," ")</f>
        <v> </v>
      </c>
      <c r="K119" s="180" t="str">
        <f aca="false">IF((D119="e"),F119," ")</f>
        <v> </v>
      </c>
      <c r="L119" s="180" t="str">
        <f aca="false">IF((D119="p"),F119," ")</f>
        <v> </v>
      </c>
      <c r="M119" s="180" t="str">
        <f aca="false">IF((D119="g"),F119," ")</f>
        <v> </v>
      </c>
      <c r="N119" s="180" t="str">
        <f aca="false">IF((D119="a"),F119," ")</f>
        <v> </v>
      </c>
      <c r="O119" s="180" t="str">
        <f aca="false">IF((D119="l"),F119," ")</f>
        <v> </v>
      </c>
      <c r="P119" s="180" t="str">
        <f aca="false">IF((D119="i"),F119," ")</f>
        <v> </v>
      </c>
      <c r="Q119" s="180" t="str">
        <f aca="false">IF((D119="b"),F119," ")</f>
        <v> </v>
      </c>
      <c r="R119" s="180" t="str">
        <f aca="false">IF((D119="o"),F119," ")</f>
        <v> </v>
      </c>
      <c r="S119" s="180" t="str">
        <f aca="false">IF((D119="f"),F119," ")</f>
        <v> </v>
      </c>
      <c r="U119" s="371"/>
    </row>
    <row r="120" customFormat="false" ht="12.75" hidden="false" customHeight="false" outlineLevel="0" collapsed="false">
      <c r="D120" s="371" t="str">
        <f aca="false">IF((F120&lt;&gt;0),"Enter Letter"," ")</f>
        <v> </v>
      </c>
      <c r="G120" s="180" t="str">
        <f aca="false">IF((D120="d"),F120," ")</f>
        <v> </v>
      </c>
      <c r="H120" s="180" t="str">
        <f aca="false">IF((D120="h"),F120," ")</f>
        <v> </v>
      </c>
      <c r="I120" s="180" t="str">
        <f aca="false">IF((D120="r"),F120," ")</f>
        <v> </v>
      </c>
      <c r="J120" s="180" t="str">
        <f aca="false">IF((D120="t"),F120," ")</f>
        <v> </v>
      </c>
      <c r="K120" s="180" t="str">
        <f aca="false">IF((D120="e"),F120," ")</f>
        <v> </v>
      </c>
      <c r="L120" s="180" t="str">
        <f aca="false">IF((D120="p"),F120," ")</f>
        <v> </v>
      </c>
      <c r="M120" s="180" t="str">
        <f aca="false">IF((D120="g"),F120," ")</f>
        <v> </v>
      </c>
      <c r="N120" s="180" t="str">
        <f aca="false">IF((D120="a"),F120," ")</f>
        <v> </v>
      </c>
      <c r="O120" s="180" t="str">
        <f aca="false">IF((D120="l"),F120," ")</f>
        <v> </v>
      </c>
      <c r="P120" s="180" t="str">
        <f aca="false">IF((D120="i"),F120," ")</f>
        <v> </v>
      </c>
      <c r="Q120" s="180" t="str">
        <f aca="false">IF((D120="b"),F120," ")</f>
        <v> </v>
      </c>
      <c r="R120" s="180" t="str">
        <f aca="false">IF((D120="o"),F120," ")</f>
        <v> </v>
      </c>
      <c r="S120" s="180" t="str">
        <f aca="false">IF((D120="f"),F120," ")</f>
        <v> </v>
      </c>
      <c r="U120" s="371"/>
    </row>
    <row r="121" customFormat="false" ht="12.75" hidden="false" customHeight="false" outlineLevel="0" collapsed="false">
      <c r="D121" s="371" t="str">
        <f aca="false">IF((F121&lt;&gt;0),"Enter Letter"," ")</f>
        <v> </v>
      </c>
      <c r="G121" s="180" t="str">
        <f aca="false">IF((D121="d"),F121," ")</f>
        <v> </v>
      </c>
      <c r="H121" s="180" t="str">
        <f aca="false">IF((D121="h"),F121," ")</f>
        <v> </v>
      </c>
      <c r="I121" s="180" t="str">
        <f aca="false">IF((D121="r"),F121," ")</f>
        <v> </v>
      </c>
      <c r="J121" s="180" t="str">
        <f aca="false">IF((D121="t"),F121," ")</f>
        <v> </v>
      </c>
      <c r="K121" s="180" t="str">
        <f aca="false">IF((D121="e"),F121," ")</f>
        <v> </v>
      </c>
      <c r="L121" s="180" t="str">
        <f aca="false">IF((D121="p"),F121," ")</f>
        <v> </v>
      </c>
      <c r="M121" s="180" t="str">
        <f aca="false">IF((D121="g"),F121," ")</f>
        <v> </v>
      </c>
      <c r="N121" s="180" t="str">
        <f aca="false">IF((D121="a"),F121," ")</f>
        <v> </v>
      </c>
      <c r="O121" s="180" t="str">
        <f aca="false">IF((D121="l"),F121," ")</f>
        <v> </v>
      </c>
      <c r="P121" s="180" t="str">
        <f aca="false">IF((D121="i"),F121," ")</f>
        <v> </v>
      </c>
      <c r="Q121" s="180" t="str">
        <f aca="false">IF((D121="b"),F121," ")</f>
        <v> </v>
      </c>
      <c r="R121" s="180" t="str">
        <f aca="false">IF((D121="o"),F121," ")</f>
        <v> </v>
      </c>
      <c r="S121" s="180" t="str">
        <f aca="false">IF((D121="f"),F121," ")</f>
        <v> </v>
      </c>
      <c r="U121" s="371"/>
    </row>
    <row r="122" customFormat="false" ht="12.75" hidden="false" customHeight="false" outlineLevel="0" collapsed="false">
      <c r="D122" s="371" t="str">
        <f aca="false">IF((F122&lt;&gt;0),"Enter Letter"," ")</f>
        <v> </v>
      </c>
      <c r="G122" s="180" t="str">
        <f aca="false">IF((D122="d"),F122," ")</f>
        <v> </v>
      </c>
      <c r="H122" s="180" t="str">
        <f aca="false">IF((D122="h"),F122," ")</f>
        <v> </v>
      </c>
      <c r="I122" s="180" t="str">
        <f aca="false">IF((D122="r"),F122," ")</f>
        <v> </v>
      </c>
      <c r="J122" s="180" t="str">
        <f aca="false">IF((D122="t"),F122," ")</f>
        <v> </v>
      </c>
      <c r="K122" s="180" t="str">
        <f aca="false">IF((D122="e"),F122," ")</f>
        <v> </v>
      </c>
      <c r="L122" s="180" t="str">
        <f aca="false">IF((D122="p"),F122," ")</f>
        <v> </v>
      </c>
      <c r="M122" s="180" t="str">
        <f aca="false">IF((D122="g"),F122," ")</f>
        <v> </v>
      </c>
      <c r="N122" s="180" t="str">
        <f aca="false">IF((D122="a"),F122," ")</f>
        <v> </v>
      </c>
      <c r="O122" s="180" t="str">
        <f aca="false">IF((D122="l"),F122," ")</f>
        <v> </v>
      </c>
      <c r="P122" s="180" t="str">
        <f aca="false">IF((D122="i"),F122," ")</f>
        <v> </v>
      </c>
      <c r="Q122" s="180" t="str">
        <f aca="false">IF((D122="b"),F122," ")</f>
        <v> </v>
      </c>
      <c r="R122" s="180" t="str">
        <f aca="false">IF((D122="o"),F122," ")</f>
        <v> </v>
      </c>
      <c r="S122" s="180" t="str">
        <f aca="false">IF((D122="f"),F122," ")</f>
        <v> </v>
      </c>
      <c r="U122" s="371"/>
    </row>
    <row r="123" customFormat="false" ht="12.75" hidden="false" customHeight="false" outlineLevel="0" collapsed="false">
      <c r="D123" s="371" t="str">
        <f aca="false">IF((F123&lt;&gt;0),"Enter Letter"," ")</f>
        <v> </v>
      </c>
      <c r="G123" s="180" t="str">
        <f aca="false">IF((D123="d"),F123," ")</f>
        <v> </v>
      </c>
      <c r="H123" s="180" t="str">
        <f aca="false">IF((D123="h"),F123," ")</f>
        <v> </v>
      </c>
      <c r="I123" s="180" t="str">
        <f aca="false">IF((D123="r"),F123," ")</f>
        <v> </v>
      </c>
      <c r="J123" s="180" t="str">
        <f aca="false">IF((D123="t"),F123," ")</f>
        <v> </v>
      </c>
      <c r="K123" s="180" t="str">
        <f aca="false">IF((D123="e"),F123," ")</f>
        <v> </v>
      </c>
      <c r="L123" s="180" t="str">
        <f aca="false">IF((D123="p"),F123," ")</f>
        <v> </v>
      </c>
      <c r="M123" s="180" t="str">
        <f aca="false">IF((D123="g"),F123," ")</f>
        <v> </v>
      </c>
      <c r="N123" s="180" t="str">
        <f aca="false">IF((D123="a"),F123," ")</f>
        <v> </v>
      </c>
      <c r="O123" s="180" t="str">
        <f aca="false">IF((D123="l"),F123," ")</f>
        <v> </v>
      </c>
      <c r="P123" s="180" t="str">
        <f aca="false">IF((D123="i"),F123," ")</f>
        <v> </v>
      </c>
      <c r="Q123" s="180" t="str">
        <f aca="false">IF((D123="b"),F123," ")</f>
        <v> </v>
      </c>
      <c r="R123" s="180" t="str">
        <f aca="false">IF((D123="o"),F123," ")</f>
        <v> </v>
      </c>
      <c r="S123" s="180" t="str">
        <f aca="false">IF((D123="f"),F123," ")</f>
        <v> </v>
      </c>
      <c r="U123" s="371"/>
    </row>
    <row r="124" customFormat="false" ht="12.75" hidden="false" customHeight="false" outlineLevel="0" collapsed="false">
      <c r="D124" s="371" t="str">
        <f aca="false">IF((F124&lt;&gt;0),"Enter Letter"," ")</f>
        <v> </v>
      </c>
      <c r="G124" s="180" t="str">
        <f aca="false">IF((D124="d"),F124," ")</f>
        <v> </v>
      </c>
      <c r="H124" s="180" t="str">
        <f aca="false">IF((D124="h"),F124," ")</f>
        <v> </v>
      </c>
      <c r="I124" s="180" t="str">
        <f aca="false">IF((D124="r"),F124," ")</f>
        <v> </v>
      </c>
      <c r="J124" s="180" t="str">
        <f aca="false">IF((D124="t"),F124," ")</f>
        <v> </v>
      </c>
      <c r="K124" s="180" t="str">
        <f aca="false">IF((D124="e"),F124," ")</f>
        <v> </v>
      </c>
      <c r="L124" s="180" t="str">
        <f aca="false">IF((D124="p"),F124," ")</f>
        <v> </v>
      </c>
      <c r="M124" s="180" t="str">
        <f aca="false">IF((D124="g"),F124," ")</f>
        <v> </v>
      </c>
      <c r="N124" s="180" t="str">
        <f aca="false">IF((D124="a"),F124," ")</f>
        <v> </v>
      </c>
      <c r="O124" s="180" t="str">
        <f aca="false">IF((D124="l"),F124," ")</f>
        <v> </v>
      </c>
      <c r="P124" s="180" t="str">
        <f aca="false">IF((D124="i"),F124," ")</f>
        <v> </v>
      </c>
      <c r="Q124" s="180" t="str">
        <f aca="false">IF((D124="b"),F124," ")</f>
        <v> </v>
      </c>
      <c r="R124" s="180" t="str">
        <f aca="false">IF((D124="o"),F124," ")</f>
        <v> </v>
      </c>
      <c r="S124" s="180" t="str">
        <f aca="false">IF((D124="f"),F124," ")</f>
        <v> </v>
      </c>
      <c r="U124" s="371"/>
    </row>
    <row r="125" customFormat="false" ht="12.75" hidden="false" customHeight="false" outlineLevel="0" collapsed="false">
      <c r="D125" s="371" t="str">
        <f aca="false">IF((F125&lt;&gt;0),"Enter Letter"," ")</f>
        <v> </v>
      </c>
      <c r="G125" s="180" t="str">
        <f aca="false">IF((D125="d"),F125," ")</f>
        <v> </v>
      </c>
      <c r="H125" s="180" t="str">
        <f aca="false">IF((D125="h"),F125," ")</f>
        <v> </v>
      </c>
      <c r="I125" s="180" t="str">
        <f aca="false">IF((D125="r"),F125," ")</f>
        <v> </v>
      </c>
      <c r="J125" s="180" t="str">
        <f aca="false">IF((D125="t"),F125," ")</f>
        <v> </v>
      </c>
      <c r="K125" s="180" t="str">
        <f aca="false">IF((D125="e"),F125," ")</f>
        <v> </v>
      </c>
      <c r="L125" s="180" t="str">
        <f aca="false">IF((D125="p"),F125," ")</f>
        <v> </v>
      </c>
      <c r="M125" s="180" t="str">
        <f aca="false">IF((D125="g"),F125," ")</f>
        <v> </v>
      </c>
      <c r="N125" s="180" t="str">
        <f aca="false">IF((D125="a"),F125," ")</f>
        <v> </v>
      </c>
      <c r="O125" s="180" t="str">
        <f aca="false">IF((D125="l"),F125," ")</f>
        <v> </v>
      </c>
      <c r="P125" s="180" t="str">
        <f aca="false">IF((D125="i"),F125," ")</f>
        <v> </v>
      </c>
      <c r="Q125" s="180" t="str">
        <f aca="false">IF((D125="b"),F125," ")</f>
        <v> </v>
      </c>
      <c r="R125" s="180" t="str">
        <f aca="false">IF((D125="o"),F125," ")</f>
        <v> </v>
      </c>
      <c r="S125" s="180" t="str">
        <f aca="false">IF((D125="f"),F125," ")</f>
        <v> </v>
      </c>
      <c r="U125" s="371"/>
    </row>
    <row r="126" customFormat="false" ht="12.75" hidden="false" customHeight="false" outlineLevel="0" collapsed="false">
      <c r="D126" s="371" t="str">
        <f aca="false">IF((F126&lt;&gt;0),"Enter Letter"," ")</f>
        <v> </v>
      </c>
      <c r="G126" s="180" t="str">
        <f aca="false">IF((D126="d"),F126," ")</f>
        <v> </v>
      </c>
      <c r="H126" s="180" t="str">
        <f aca="false">IF((D126="h"),F126," ")</f>
        <v> </v>
      </c>
      <c r="I126" s="180" t="str">
        <f aca="false">IF((D126="r"),F126," ")</f>
        <v> </v>
      </c>
      <c r="J126" s="180" t="str">
        <f aca="false">IF((D126="t"),F126," ")</f>
        <v> </v>
      </c>
      <c r="K126" s="180" t="str">
        <f aca="false">IF((D126="e"),F126," ")</f>
        <v> </v>
      </c>
      <c r="L126" s="180" t="str">
        <f aca="false">IF((D126="p"),F126," ")</f>
        <v> </v>
      </c>
      <c r="M126" s="180" t="str">
        <f aca="false">IF((D126="g"),F126," ")</f>
        <v> </v>
      </c>
      <c r="N126" s="180" t="str">
        <f aca="false">IF((D126="a"),F126," ")</f>
        <v> </v>
      </c>
      <c r="O126" s="180" t="str">
        <f aca="false">IF((D126="l"),F126," ")</f>
        <v> </v>
      </c>
      <c r="P126" s="180" t="str">
        <f aca="false">IF((D126="i"),F126," ")</f>
        <v> </v>
      </c>
      <c r="Q126" s="180" t="str">
        <f aca="false">IF((D126="b"),F126," ")</f>
        <v> </v>
      </c>
      <c r="R126" s="180" t="str">
        <f aca="false">IF((D126="o"),F126," ")</f>
        <v> </v>
      </c>
      <c r="S126" s="180" t="str">
        <f aca="false">IF((D126="f"),F126," ")</f>
        <v> </v>
      </c>
      <c r="U126" s="371"/>
    </row>
    <row r="127" customFormat="false" ht="12.75" hidden="false" customHeight="false" outlineLevel="0" collapsed="false">
      <c r="D127" s="371" t="str">
        <f aca="false">IF((F127&lt;&gt;0),"Enter Letter"," ")</f>
        <v> </v>
      </c>
      <c r="G127" s="180" t="str">
        <f aca="false">IF((D127="d"),F127," ")</f>
        <v> </v>
      </c>
      <c r="H127" s="180" t="str">
        <f aca="false">IF((D127="h"),F127," ")</f>
        <v> </v>
      </c>
      <c r="I127" s="180" t="str">
        <f aca="false">IF((D127="r"),F127," ")</f>
        <v> </v>
      </c>
      <c r="J127" s="180" t="str">
        <f aca="false">IF((D127="t"),F127," ")</f>
        <v> </v>
      </c>
      <c r="K127" s="180" t="str">
        <f aca="false">IF((D127="e"),F127," ")</f>
        <v> </v>
      </c>
      <c r="L127" s="180" t="str">
        <f aca="false">IF((D127="p"),F127," ")</f>
        <v> </v>
      </c>
      <c r="M127" s="180" t="str">
        <f aca="false">IF((D127="g"),F127," ")</f>
        <v> </v>
      </c>
      <c r="N127" s="180" t="str">
        <f aca="false">IF((D127="a"),F127," ")</f>
        <v> </v>
      </c>
      <c r="O127" s="180" t="str">
        <f aca="false">IF((D127="l"),F127," ")</f>
        <v> </v>
      </c>
      <c r="P127" s="180" t="str">
        <f aca="false">IF((D127="i"),F127," ")</f>
        <v> </v>
      </c>
      <c r="Q127" s="180" t="str">
        <f aca="false">IF((D127="b"),F127," ")</f>
        <v> </v>
      </c>
      <c r="R127" s="180" t="str">
        <f aca="false">IF((D127="o"),F127," ")</f>
        <v> </v>
      </c>
      <c r="S127" s="180" t="str">
        <f aca="false">IF((D127="f"),F127," ")</f>
        <v> </v>
      </c>
      <c r="U127" s="371"/>
    </row>
    <row r="128" customFormat="false" ht="12.75" hidden="false" customHeight="false" outlineLevel="0" collapsed="false">
      <c r="D128" s="371" t="str">
        <f aca="false">IF((F128&lt;&gt;0),"Enter Letter"," ")</f>
        <v> </v>
      </c>
      <c r="G128" s="180" t="str">
        <f aca="false">IF((D128="d"),F128," ")</f>
        <v> </v>
      </c>
      <c r="H128" s="180" t="str">
        <f aca="false">IF((D128="h"),F128," ")</f>
        <v> </v>
      </c>
      <c r="I128" s="180" t="str">
        <f aca="false">IF((D128="r"),F128," ")</f>
        <v> </v>
      </c>
      <c r="J128" s="180" t="str">
        <f aca="false">IF((D128="t"),F128," ")</f>
        <v> </v>
      </c>
      <c r="K128" s="180" t="str">
        <f aca="false">IF((D128="e"),F128," ")</f>
        <v> </v>
      </c>
      <c r="L128" s="180" t="str">
        <f aca="false">IF((D128="p"),F128," ")</f>
        <v> </v>
      </c>
      <c r="M128" s="180" t="str">
        <f aca="false">IF((D128="g"),F128," ")</f>
        <v> </v>
      </c>
      <c r="N128" s="180" t="str">
        <f aca="false">IF((D128="a"),F128," ")</f>
        <v> </v>
      </c>
      <c r="O128" s="180" t="str">
        <f aca="false">IF((D128="l"),F128," ")</f>
        <v> </v>
      </c>
      <c r="P128" s="180" t="str">
        <f aca="false">IF((D128="i"),F128," ")</f>
        <v> </v>
      </c>
      <c r="Q128" s="180" t="str">
        <f aca="false">IF((D128="b"),F128," ")</f>
        <v> </v>
      </c>
      <c r="R128" s="180" t="str">
        <f aca="false">IF((D128="o"),F128," ")</f>
        <v> </v>
      </c>
      <c r="S128" s="180" t="str">
        <f aca="false">IF((D128="f"),F128," ")</f>
        <v> </v>
      </c>
      <c r="U128" s="371"/>
    </row>
    <row r="129" customFormat="false" ht="12.75" hidden="false" customHeight="false" outlineLevel="0" collapsed="false">
      <c r="D129" s="371" t="str">
        <f aca="false">IF((F129&lt;&gt;0),"Enter Letter"," ")</f>
        <v> </v>
      </c>
      <c r="G129" s="180" t="str">
        <f aca="false">IF((D129="d"),F129," ")</f>
        <v> </v>
      </c>
      <c r="H129" s="180" t="str">
        <f aca="false">IF((D129="h"),F129," ")</f>
        <v> </v>
      </c>
      <c r="I129" s="180" t="str">
        <f aca="false">IF((D129="r"),F129," ")</f>
        <v> </v>
      </c>
      <c r="J129" s="180" t="str">
        <f aca="false">IF((D129="t"),F129," ")</f>
        <v> </v>
      </c>
      <c r="K129" s="180" t="str">
        <f aca="false">IF((D129="e"),F129," ")</f>
        <v> </v>
      </c>
      <c r="L129" s="180" t="str">
        <f aca="false">IF((D129="p"),F129," ")</f>
        <v> </v>
      </c>
      <c r="M129" s="180" t="str">
        <f aca="false">IF((D129="g"),F129," ")</f>
        <v> </v>
      </c>
      <c r="N129" s="180" t="str">
        <f aca="false">IF((D129="a"),F129," ")</f>
        <v> </v>
      </c>
      <c r="O129" s="180" t="str">
        <f aca="false">IF((D129="l"),F129," ")</f>
        <v> </v>
      </c>
      <c r="P129" s="180" t="str">
        <f aca="false">IF((D129="i"),F129," ")</f>
        <v> </v>
      </c>
      <c r="Q129" s="180" t="str">
        <f aca="false">IF((D129="b"),F129," ")</f>
        <v> </v>
      </c>
      <c r="R129" s="180" t="str">
        <f aca="false">IF((D129="o"),F129," ")</f>
        <v> </v>
      </c>
      <c r="S129" s="180" t="str">
        <f aca="false">IF((D129="f"),F129," ")</f>
        <v> </v>
      </c>
      <c r="U129" s="371"/>
    </row>
    <row r="130" customFormat="false" ht="12.75" hidden="false" customHeight="false" outlineLevel="0" collapsed="false">
      <c r="D130" s="371" t="str">
        <f aca="false">IF((F130&lt;&gt;0),"Enter Letter"," ")</f>
        <v> </v>
      </c>
      <c r="G130" s="180" t="str">
        <f aca="false">IF((D130="d"),F130," ")</f>
        <v> </v>
      </c>
      <c r="H130" s="180" t="str">
        <f aca="false">IF((D130="h"),F130," ")</f>
        <v> </v>
      </c>
      <c r="I130" s="180" t="str">
        <f aca="false">IF((D130="r"),F130," ")</f>
        <v> </v>
      </c>
      <c r="J130" s="180" t="str">
        <f aca="false">IF((D130="t"),F130," ")</f>
        <v> </v>
      </c>
      <c r="K130" s="180" t="str">
        <f aca="false">IF((D130="e"),F130," ")</f>
        <v> </v>
      </c>
      <c r="L130" s="180" t="str">
        <f aca="false">IF((D130="p"),F130," ")</f>
        <v> </v>
      </c>
      <c r="M130" s="180" t="str">
        <f aca="false">IF((D130="g"),F130," ")</f>
        <v> </v>
      </c>
      <c r="N130" s="180" t="str">
        <f aca="false">IF((D130="a"),F130," ")</f>
        <v> </v>
      </c>
      <c r="O130" s="180" t="str">
        <f aca="false">IF((D130="l"),F130," ")</f>
        <v> </v>
      </c>
      <c r="P130" s="180" t="str">
        <f aca="false">IF((D130="i"),F130," ")</f>
        <v> </v>
      </c>
      <c r="Q130" s="180" t="str">
        <f aca="false">IF((D130="b"),F130," ")</f>
        <v> </v>
      </c>
      <c r="R130" s="180" t="str">
        <f aca="false">IF((D130="o"),F130," ")</f>
        <v> </v>
      </c>
      <c r="S130" s="180" t="str">
        <f aca="false">IF((D130="f"),F130," ")</f>
        <v> </v>
      </c>
      <c r="U130" s="371"/>
    </row>
    <row r="131" customFormat="false" ht="12.75" hidden="false" customHeight="false" outlineLevel="0" collapsed="false">
      <c r="D131" s="371" t="str">
        <f aca="false">IF((F131&lt;&gt;0),"Enter Letter"," ")</f>
        <v> </v>
      </c>
      <c r="G131" s="180" t="str">
        <f aca="false">IF((D131="d"),F131," ")</f>
        <v> </v>
      </c>
      <c r="H131" s="180" t="str">
        <f aca="false">IF((D131="h"),F131," ")</f>
        <v> </v>
      </c>
      <c r="I131" s="180" t="str">
        <f aca="false">IF((D131="r"),F131," ")</f>
        <v> </v>
      </c>
      <c r="J131" s="180" t="str">
        <f aca="false">IF((D131="t"),F131," ")</f>
        <v> </v>
      </c>
      <c r="K131" s="180" t="str">
        <f aca="false">IF((D131="e"),F131," ")</f>
        <v> </v>
      </c>
      <c r="L131" s="180" t="str">
        <f aca="false">IF((D131="p"),F131," ")</f>
        <v> </v>
      </c>
      <c r="M131" s="180" t="str">
        <f aca="false">IF((D131="g"),F131," ")</f>
        <v> </v>
      </c>
      <c r="N131" s="180" t="str">
        <f aca="false">IF((D131="a"),F131," ")</f>
        <v> </v>
      </c>
      <c r="O131" s="180" t="str">
        <f aca="false">IF((D131="l"),F131," ")</f>
        <v> </v>
      </c>
      <c r="P131" s="180" t="str">
        <f aca="false">IF((D131="i"),F131," ")</f>
        <v> </v>
      </c>
      <c r="Q131" s="180" t="str">
        <f aca="false">IF((D131="b"),F131," ")</f>
        <v> </v>
      </c>
      <c r="R131" s="180" t="str">
        <f aca="false">IF((D131="o"),F131," ")</f>
        <v> </v>
      </c>
      <c r="S131" s="180" t="str">
        <f aca="false">IF((D131="f"),F131," ")</f>
        <v> </v>
      </c>
      <c r="U131" s="371"/>
    </row>
    <row r="132" customFormat="false" ht="12.75" hidden="false" customHeight="false" outlineLevel="0" collapsed="false">
      <c r="D132" s="371" t="str">
        <f aca="false">IF((F132&lt;&gt;0),"Enter Letter"," ")</f>
        <v> </v>
      </c>
      <c r="G132" s="180" t="str">
        <f aca="false">IF((D132="d"),F132," ")</f>
        <v> </v>
      </c>
      <c r="H132" s="180" t="str">
        <f aca="false">IF((D132="h"),F132," ")</f>
        <v> </v>
      </c>
      <c r="I132" s="180" t="str">
        <f aca="false">IF((D132="r"),F132," ")</f>
        <v> </v>
      </c>
      <c r="J132" s="180" t="str">
        <f aca="false">IF((D132="t"),F132," ")</f>
        <v> </v>
      </c>
      <c r="K132" s="180" t="str">
        <f aca="false">IF((D132="e"),F132," ")</f>
        <v> </v>
      </c>
      <c r="L132" s="180" t="str">
        <f aca="false">IF((D132="p"),F132," ")</f>
        <v> </v>
      </c>
      <c r="M132" s="180" t="str">
        <f aca="false">IF((D132="g"),F132," ")</f>
        <v> </v>
      </c>
      <c r="N132" s="180" t="str">
        <f aca="false">IF((D132="a"),F132," ")</f>
        <v> </v>
      </c>
      <c r="O132" s="180" t="str">
        <f aca="false">IF((D132="l"),F132," ")</f>
        <v> </v>
      </c>
      <c r="P132" s="180" t="str">
        <f aca="false">IF((D132="i"),F132," ")</f>
        <v> </v>
      </c>
      <c r="Q132" s="180" t="str">
        <f aca="false">IF((D132="b"),F132," ")</f>
        <v> </v>
      </c>
      <c r="R132" s="180" t="str">
        <f aca="false">IF((D132="o"),F132," ")</f>
        <v> </v>
      </c>
      <c r="S132" s="180" t="str">
        <f aca="false">IF((D132="f"),F132," ")</f>
        <v> </v>
      </c>
      <c r="U132" s="371"/>
    </row>
    <row r="133" customFormat="false" ht="12.75" hidden="false" customHeight="false" outlineLevel="0" collapsed="false">
      <c r="D133" s="371" t="str">
        <f aca="false">IF((F133&lt;&gt;0),"Enter Letter"," ")</f>
        <v> </v>
      </c>
      <c r="G133" s="180" t="str">
        <f aca="false">IF((D133="d"),F133," ")</f>
        <v> </v>
      </c>
      <c r="H133" s="180" t="str">
        <f aca="false">IF((D133="h"),F133," ")</f>
        <v> </v>
      </c>
      <c r="I133" s="180" t="str">
        <f aca="false">IF((D133="r"),F133," ")</f>
        <v> </v>
      </c>
      <c r="J133" s="180" t="str">
        <f aca="false">IF((D133="t"),F133," ")</f>
        <v> </v>
      </c>
      <c r="K133" s="180" t="str">
        <f aca="false">IF((D133="e"),F133," ")</f>
        <v> </v>
      </c>
      <c r="L133" s="180" t="str">
        <f aca="false">IF((D133="p"),F133," ")</f>
        <v> </v>
      </c>
      <c r="M133" s="180" t="str">
        <f aca="false">IF((D133="g"),F133," ")</f>
        <v> </v>
      </c>
      <c r="N133" s="180" t="str">
        <f aca="false">IF((D133="a"),F133," ")</f>
        <v> </v>
      </c>
      <c r="O133" s="180" t="str">
        <f aca="false">IF((D133="l"),F133," ")</f>
        <v> </v>
      </c>
      <c r="P133" s="180" t="str">
        <f aca="false">IF((D133="i"),F133," ")</f>
        <v> </v>
      </c>
      <c r="Q133" s="180" t="str">
        <f aca="false">IF((D133="b"),F133," ")</f>
        <v> </v>
      </c>
      <c r="R133" s="180" t="str">
        <f aca="false">IF((D133="o"),F133," ")</f>
        <v> </v>
      </c>
      <c r="S133" s="180" t="str">
        <f aca="false">IF((D133="f"),F133," ")</f>
        <v> </v>
      </c>
      <c r="U133" s="371"/>
    </row>
    <row r="134" customFormat="false" ht="12.75" hidden="false" customHeight="false" outlineLevel="0" collapsed="false">
      <c r="D134" s="371" t="str">
        <f aca="false">IF((F134&lt;&gt;0),"Enter Letter"," ")</f>
        <v> </v>
      </c>
      <c r="G134" s="180" t="str">
        <f aca="false">IF((D134="d"),F134," ")</f>
        <v> </v>
      </c>
      <c r="H134" s="180" t="str">
        <f aca="false">IF((D134="h"),F134," ")</f>
        <v> </v>
      </c>
      <c r="I134" s="180" t="str">
        <f aca="false">IF((D134="r"),F134," ")</f>
        <v> </v>
      </c>
      <c r="J134" s="180" t="str">
        <f aca="false">IF((D134="t"),F134," ")</f>
        <v> </v>
      </c>
      <c r="K134" s="180" t="str">
        <f aca="false">IF((D134="e"),F134," ")</f>
        <v> </v>
      </c>
      <c r="L134" s="180" t="str">
        <f aca="false">IF((D134="p"),F134," ")</f>
        <v> </v>
      </c>
      <c r="M134" s="180" t="str">
        <f aca="false">IF((D134="g"),F134," ")</f>
        <v> </v>
      </c>
      <c r="N134" s="180" t="str">
        <f aca="false">IF((D134="a"),F134," ")</f>
        <v> </v>
      </c>
      <c r="O134" s="180" t="str">
        <f aca="false">IF((D134="l"),F134," ")</f>
        <v> </v>
      </c>
      <c r="P134" s="180" t="str">
        <f aca="false">IF((D134="i"),F134," ")</f>
        <v> </v>
      </c>
      <c r="Q134" s="180" t="str">
        <f aca="false">IF((D134="b"),F134," ")</f>
        <v> </v>
      </c>
      <c r="R134" s="180" t="str">
        <f aca="false">IF((D134="o"),F134," ")</f>
        <v> </v>
      </c>
      <c r="S134" s="180" t="str">
        <f aca="false">IF((D134="f"),F134," ")</f>
        <v> </v>
      </c>
      <c r="U134" s="371"/>
    </row>
    <row r="135" customFormat="false" ht="12.75" hidden="false" customHeight="false" outlineLevel="0" collapsed="false">
      <c r="D135" s="371" t="str">
        <f aca="false">IF((F135&lt;&gt;0),"Enter Letter"," ")</f>
        <v> </v>
      </c>
      <c r="G135" s="180" t="str">
        <f aca="false">IF((D135="d"),F135," ")</f>
        <v> </v>
      </c>
      <c r="H135" s="180" t="str">
        <f aca="false">IF((D135="h"),F135," ")</f>
        <v> </v>
      </c>
      <c r="I135" s="180" t="str">
        <f aca="false">IF((D135="r"),F135," ")</f>
        <v> </v>
      </c>
      <c r="J135" s="180" t="str">
        <f aca="false">IF((D135="t"),F135," ")</f>
        <v> </v>
      </c>
      <c r="K135" s="180" t="str">
        <f aca="false">IF((D135="e"),F135," ")</f>
        <v> </v>
      </c>
      <c r="L135" s="180" t="str">
        <f aca="false">IF((D135="p"),F135," ")</f>
        <v> </v>
      </c>
      <c r="M135" s="180" t="str">
        <f aca="false">IF((D135="g"),F135," ")</f>
        <v> </v>
      </c>
      <c r="N135" s="180" t="str">
        <f aca="false">IF((D135="a"),F135," ")</f>
        <v> </v>
      </c>
      <c r="O135" s="180" t="str">
        <f aca="false">IF((D135="l"),F135," ")</f>
        <v> </v>
      </c>
      <c r="P135" s="180" t="str">
        <f aca="false">IF((D135="i"),F135," ")</f>
        <v> </v>
      </c>
      <c r="Q135" s="180" t="str">
        <f aca="false">IF((D135="b"),F135," ")</f>
        <v> </v>
      </c>
      <c r="R135" s="180" t="str">
        <f aca="false">IF((D135="o"),F135," ")</f>
        <v> </v>
      </c>
      <c r="S135" s="180" t="str">
        <f aca="false">IF((D135="f"),F135," ")</f>
        <v> </v>
      </c>
      <c r="U135" s="371"/>
    </row>
    <row r="136" customFormat="false" ht="12.75" hidden="false" customHeight="false" outlineLevel="0" collapsed="false">
      <c r="D136" s="371" t="str">
        <f aca="false">IF((F136&lt;&gt;0),"Enter Letter"," ")</f>
        <v> </v>
      </c>
      <c r="G136" s="180" t="str">
        <f aca="false">IF((D136="d"),F136," ")</f>
        <v> </v>
      </c>
      <c r="H136" s="180" t="str">
        <f aca="false">IF((D136="h"),F136," ")</f>
        <v> </v>
      </c>
      <c r="I136" s="180" t="str">
        <f aca="false">IF((D136="r"),F136," ")</f>
        <v> </v>
      </c>
      <c r="J136" s="180" t="str">
        <f aca="false">IF((D136="t"),F136," ")</f>
        <v> </v>
      </c>
      <c r="K136" s="180" t="str">
        <f aca="false">IF((D136="e"),F136," ")</f>
        <v> </v>
      </c>
      <c r="L136" s="180" t="str">
        <f aca="false">IF((D136="p"),F136," ")</f>
        <v> </v>
      </c>
      <c r="M136" s="180" t="str">
        <f aca="false">IF((D136="g"),F136," ")</f>
        <v> </v>
      </c>
      <c r="N136" s="180" t="str">
        <f aca="false">IF((D136="a"),F136," ")</f>
        <v> </v>
      </c>
      <c r="O136" s="180" t="str">
        <f aca="false">IF((D136="l"),F136," ")</f>
        <v> </v>
      </c>
      <c r="P136" s="180" t="str">
        <f aca="false">IF((D136="i"),F136," ")</f>
        <v> </v>
      </c>
      <c r="Q136" s="180" t="str">
        <f aca="false">IF((D136="b"),F136," ")</f>
        <v> </v>
      </c>
      <c r="R136" s="180" t="str">
        <f aca="false">IF((D136="o"),F136," ")</f>
        <v> </v>
      </c>
      <c r="S136" s="180" t="str">
        <f aca="false">IF((D136="f"),F136," ")</f>
        <v> </v>
      </c>
      <c r="U136" s="371"/>
    </row>
    <row r="137" customFormat="false" ht="12.75" hidden="false" customHeight="false" outlineLevel="0" collapsed="false">
      <c r="D137" s="371" t="str">
        <f aca="false">IF((F137&lt;&gt;0),"Enter Letter"," ")</f>
        <v> </v>
      </c>
      <c r="G137" s="180" t="str">
        <f aca="false">IF((D137="d"),F137," ")</f>
        <v> </v>
      </c>
      <c r="H137" s="180" t="str">
        <f aca="false">IF((D137="h"),F137," ")</f>
        <v> </v>
      </c>
      <c r="I137" s="180" t="str">
        <f aca="false">IF((D137="r"),F137," ")</f>
        <v> </v>
      </c>
      <c r="J137" s="180" t="str">
        <f aca="false">IF((D137="t"),F137," ")</f>
        <v> </v>
      </c>
      <c r="K137" s="180" t="str">
        <f aca="false">IF((D137="e"),F137," ")</f>
        <v> </v>
      </c>
      <c r="L137" s="180" t="str">
        <f aca="false">IF((D137="p"),F137," ")</f>
        <v> </v>
      </c>
      <c r="M137" s="180" t="str">
        <f aca="false">IF((D137="g"),F137," ")</f>
        <v> </v>
      </c>
      <c r="N137" s="180" t="str">
        <f aca="false">IF((D137="a"),F137," ")</f>
        <v> </v>
      </c>
      <c r="O137" s="180" t="str">
        <f aca="false">IF((D137="l"),F137," ")</f>
        <v> </v>
      </c>
      <c r="P137" s="180" t="str">
        <f aca="false">IF((D137="i"),F137," ")</f>
        <v> </v>
      </c>
      <c r="Q137" s="180" t="str">
        <f aca="false">IF((D137="b"),F137," ")</f>
        <v> </v>
      </c>
      <c r="R137" s="180" t="str">
        <f aca="false">IF((D137="o"),F137," ")</f>
        <v> </v>
      </c>
      <c r="S137" s="180" t="str">
        <f aca="false">IF((D137="f"),F137," ")</f>
        <v> </v>
      </c>
      <c r="U137" s="371"/>
    </row>
    <row r="138" customFormat="false" ht="12.75" hidden="false" customHeight="false" outlineLevel="0" collapsed="false">
      <c r="D138" s="371" t="str">
        <f aca="false">IF((F138&lt;&gt;0),"Enter Letter"," ")</f>
        <v> </v>
      </c>
      <c r="G138" s="180" t="str">
        <f aca="false">IF((D138="d"),F138," ")</f>
        <v> </v>
      </c>
      <c r="H138" s="180" t="str">
        <f aca="false">IF((D138="h"),F138," ")</f>
        <v> </v>
      </c>
      <c r="I138" s="180" t="str">
        <f aca="false">IF((D138="r"),F138," ")</f>
        <v> </v>
      </c>
      <c r="J138" s="180" t="str">
        <f aca="false">IF((D138="t"),F138," ")</f>
        <v> </v>
      </c>
      <c r="K138" s="180" t="str">
        <f aca="false">IF((D138="e"),F138," ")</f>
        <v> </v>
      </c>
      <c r="L138" s="180" t="str">
        <f aca="false">IF((D138="p"),F138," ")</f>
        <v> </v>
      </c>
      <c r="M138" s="180" t="str">
        <f aca="false">IF((D138="g"),F138," ")</f>
        <v> </v>
      </c>
      <c r="N138" s="180" t="str">
        <f aca="false">IF((D138="a"),F138," ")</f>
        <v> </v>
      </c>
      <c r="O138" s="180" t="str">
        <f aca="false">IF((D138="l"),F138," ")</f>
        <v> </v>
      </c>
      <c r="P138" s="180" t="str">
        <f aca="false">IF((D138="i"),F138," ")</f>
        <v> </v>
      </c>
      <c r="Q138" s="180" t="str">
        <f aca="false">IF((D138="b"),F138," ")</f>
        <v> </v>
      </c>
      <c r="R138" s="180" t="str">
        <f aca="false">IF((D138="o"),F138," ")</f>
        <v> </v>
      </c>
      <c r="S138" s="180" t="str">
        <f aca="false">IF((D138="f"),F138," ")</f>
        <v> </v>
      </c>
      <c r="U138" s="371"/>
    </row>
    <row r="139" customFormat="false" ht="12.75" hidden="false" customHeight="false" outlineLevel="0" collapsed="false">
      <c r="D139" s="371" t="str">
        <f aca="false">IF((F139&lt;&gt;0),"Enter Letter"," ")</f>
        <v> </v>
      </c>
      <c r="G139" s="180" t="str">
        <f aca="false">IF((D139="d"),F139," ")</f>
        <v> </v>
      </c>
      <c r="H139" s="180" t="str">
        <f aca="false">IF((D139="h"),F139," ")</f>
        <v> </v>
      </c>
      <c r="I139" s="180" t="str">
        <f aca="false">IF((D139="r"),F139," ")</f>
        <v> </v>
      </c>
      <c r="J139" s="180" t="str">
        <f aca="false">IF((D139="t"),F139," ")</f>
        <v> </v>
      </c>
      <c r="K139" s="180" t="str">
        <f aca="false">IF((D139="e"),F139," ")</f>
        <v> </v>
      </c>
      <c r="L139" s="180" t="str">
        <f aca="false">IF((D139="p"),F139," ")</f>
        <v> </v>
      </c>
      <c r="M139" s="180" t="str">
        <f aca="false">IF((D139="g"),F139," ")</f>
        <v> </v>
      </c>
      <c r="N139" s="180" t="str">
        <f aca="false">IF((D139="a"),F139," ")</f>
        <v> </v>
      </c>
      <c r="O139" s="180" t="str">
        <f aca="false">IF((D139="l"),F139," ")</f>
        <v> </v>
      </c>
      <c r="P139" s="180" t="str">
        <f aca="false">IF((D139="i"),F139," ")</f>
        <v> </v>
      </c>
      <c r="Q139" s="180" t="str">
        <f aca="false">IF((D139="b"),F139," ")</f>
        <v> </v>
      </c>
      <c r="R139" s="180" t="str">
        <f aca="false">IF((D139="o"),F139," ")</f>
        <v> </v>
      </c>
      <c r="S139" s="180" t="str">
        <f aca="false">IF((D139="f"),F139," ")</f>
        <v> </v>
      </c>
      <c r="U139" s="371"/>
    </row>
    <row r="140" customFormat="false" ht="12.75" hidden="false" customHeight="false" outlineLevel="0" collapsed="false">
      <c r="D140" s="371" t="str">
        <f aca="false">IF((F140&lt;&gt;0),"Enter Letter"," ")</f>
        <v> </v>
      </c>
      <c r="G140" s="180" t="str">
        <f aca="false">IF((D140="d"),F140," ")</f>
        <v> </v>
      </c>
      <c r="H140" s="180" t="str">
        <f aca="false">IF((D140="h"),F140," ")</f>
        <v> </v>
      </c>
      <c r="I140" s="180" t="str">
        <f aca="false">IF((D140="r"),F140," ")</f>
        <v> </v>
      </c>
      <c r="J140" s="180" t="str">
        <f aca="false">IF((D140="t"),F140," ")</f>
        <v> </v>
      </c>
      <c r="K140" s="180" t="str">
        <f aca="false">IF((D140="e"),F140," ")</f>
        <v> </v>
      </c>
      <c r="L140" s="180" t="str">
        <f aca="false">IF((D140="p"),F140," ")</f>
        <v> </v>
      </c>
      <c r="M140" s="180" t="str">
        <f aca="false">IF((D140="g"),F140," ")</f>
        <v> </v>
      </c>
      <c r="N140" s="180" t="str">
        <f aca="false">IF((D140="a"),F140," ")</f>
        <v> </v>
      </c>
      <c r="O140" s="180" t="str">
        <f aca="false">IF((D140="l"),F140," ")</f>
        <v> </v>
      </c>
      <c r="P140" s="180" t="str">
        <f aca="false">IF((D140="i"),F140," ")</f>
        <v> </v>
      </c>
      <c r="Q140" s="180" t="str">
        <f aca="false">IF((D140="b"),F140," ")</f>
        <v> </v>
      </c>
      <c r="R140" s="180" t="str">
        <f aca="false">IF((D140="o"),F140," ")</f>
        <v> </v>
      </c>
      <c r="S140" s="180" t="str">
        <f aca="false">IF((D140="f"),F140," ")</f>
        <v> </v>
      </c>
      <c r="U140" s="371"/>
    </row>
    <row r="141" customFormat="false" ht="12.75" hidden="false" customHeight="false" outlineLevel="0" collapsed="false">
      <c r="D141" s="371" t="str">
        <f aca="false">IF((F141&lt;&gt;0),"Enter Letter"," ")</f>
        <v> </v>
      </c>
      <c r="G141" s="180" t="str">
        <f aca="false">IF((D141="d"),F141," ")</f>
        <v> </v>
      </c>
      <c r="H141" s="180" t="str">
        <f aca="false">IF((D141="h"),F141," ")</f>
        <v> </v>
      </c>
      <c r="I141" s="180" t="str">
        <f aca="false">IF((D141="r"),F141," ")</f>
        <v> </v>
      </c>
      <c r="J141" s="180" t="str">
        <f aca="false">IF((D141="t"),F141," ")</f>
        <v> </v>
      </c>
      <c r="K141" s="180" t="str">
        <f aca="false">IF((D141="e"),F141," ")</f>
        <v> </v>
      </c>
      <c r="L141" s="180" t="str">
        <f aca="false">IF((D141="p"),F141," ")</f>
        <v> </v>
      </c>
      <c r="M141" s="180" t="str">
        <f aca="false">IF((D141="g"),F141," ")</f>
        <v> </v>
      </c>
      <c r="N141" s="180" t="str">
        <f aca="false">IF((D141="a"),F141," ")</f>
        <v> </v>
      </c>
      <c r="O141" s="180" t="str">
        <f aca="false">IF((D141="l"),F141," ")</f>
        <v> </v>
      </c>
      <c r="P141" s="180" t="str">
        <f aca="false">IF((D141="i"),F141," ")</f>
        <v> </v>
      </c>
      <c r="Q141" s="180" t="str">
        <f aca="false">IF((D141="b"),F141," ")</f>
        <v> </v>
      </c>
      <c r="R141" s="180" t="str">
        <f aca="false">IF((D141="o"),F141," ")</f>
        <v> </v>
      </c>
      <c r="S141" s="180" t="str">
        <f aca="false">IF((D141="f"),F141," ")</f>
        <v> </v>
      </c>
      <c r="U141" s="371"/>
    </row>
    <row r="142" customFormat="false" ht="12.75" hidden="false" customHeight="false" outlineLevel="0" collapsed="false">
      <c r="D142" s="371" t="str">
        <f aca="false">IF((F142&lt;&gt;0),"Enter Letter"," ")</f>
        <v> </v>
      </c>
      <c r="G142" s="180" t="str">
        <f aca="false">IF((D142="d"),F142," ")</f>
        <v> </v>
      </c>
      <c r="H142" s="180" t="str">
        <f aca="false">IF((D142="h"),F142," ")</f>
        <v> </v>
      </c>
      <c r="I142" s="180" t="str">
        <f aca="false">IF((D142="r"),F142," ")</f>
        <v> </v>
      </c>
      <c r="J142" s="180" t="str">
        <f aca="false">IF((D142="t"),F142," ")</f>
        <v> </v>
      </c>
      <c r="K142" s="180" t="str">
        <f aca="false">IF((D142="e"),F142," ")</f>
        <v> </v>
      </c>
      <c r="L142" s="180" t="str">
        <f aca="false">IF((D142="p"),F142," ")</f>
        <v> </v>
      </c>
      <c r="M142" s="180" t="str">
        <f aca="false">IF((D142="g"),F142," ")</f>
        <v> </v>
      </c>
      <c r="N142" s="180" t="str">
        <f aca="false">IF((D142="a"),F142," ")</f>
        <v> </v>
      </c>
      <c r="O142" s="180" t="str">
        <f aca="false">IF((D142="l"),F142," ")</f>
        <v> </v>
      </c>
      <c r="P142" s="180" t="str">
        <f aca="false">IF((D142="i"),F142," ")</f>
        <v> </v>
      </c>
      <c r="Q142" s="180" t="str">
        <f aca="false">IF((D142="b"),F142," ")</f>
        <v> </v>
      </c>
      <c r="R142" s="180" t="str">
        <f aca="false">IF((D142="o"),F142," ")</f>
        <v> </v>
      </c>
      <c r="S142" s="180" t="str">
        <f aca="false">IF((D142="f"),F142," ")</f>
        <v> </v>
      </c>
      <c r="U142" s="371"/>
    </row>
    <row r="143" customFormat="false" ht="12.75" hidden="false" customHeight="false" outlineLevel="0" collapsed="false">
      <c r="D143" s="371" t="str">
        <f aca="false">IF((F143&lt;&gt;0),"Enter Letter"," ")</f>
        <v> </v>
      </c>
      <c r="G143" s="180" t="str">
        <f aca="false">IF((D143="d"),F143," ")</f>
        <v> </v>
      </c>
      <c r="H143" s="180" t="str">
        <f aca="false">IF((D143="h"),F143," ")</f>
        <v> </v>
      </c>
      <c r="I143" s="180" t="str">
        <f aca="false">IF((D143="r"),F143," ")</f>
        <v> </v>
      </c>
      <c r="J143" s="180" t="str">
        <f aca="false">IF((D143="t"),F143," ")</f>
        <v> </v>
      </c>
      <c r="K143" s="180" t="str">
        <f aca="false">IF((D143="e"),F143," ")</f>
        <v> </v>
      </c>
      <c r="L143" s="180" t="str">
        <f aca="false">IF((D143="p"),F143," ")</f>
        <v> </v>
      </c>
      <c r="M143" s="180" t="str">
        <f aca="false">IF((D143="g"),F143," ")</f>
        <v> </v>
      </c>
      <c r="N143" s="180" t="str">
        <f aca="false">IF((D143="a"),F143," ")</f>
        <v> </v>
      </c>
      <c r="O143" s="180" t="str">
        <f aca="false">IF((D143="l"),F143," ")</f>
        <v> </v>
      </c>
      <c r="P143" s="180" t="str">
        <f aca="false">IF((D143="i"),F143," ")</f>
        <v> </v>
      </c>
      <c r="Q143" s="180" t="str">
        <f aca="false">IF((D143="b"),F143," ")</f>
        <v> </v>
      </c>
      <c r="R143" s="180" t="str">
        <f aca="false">IF((D143="o"),F143," ")</f>
        <v> </v>
      </c>
      <c r="S143" s="180" t="str">
        <f aca="false">IF((D143="f"),F143," ")</f>
        <v> </v>
      </c>
      <c r="U143" s="371"/>
    </row>
    <row r="144" customFormat="false" ht="12.75" hidden="false" customHeight="false" outlineLevel="0" collapsed="false">
      <c r="D144" s="371" t="str">
        <f aca="false">IF((F144&lt;&gt;0),"Enter Letter"," ")</f>
        <v> </v>
      </c>
      <c r="G144" s="180" t="str">
        <f aca="false">IF((D144="d"),F144," ")</f>
        <v> </v>
      </c>
      <c r="H144" s="180" t="str">
        <f aca="false">IF((D144="h"),F144," ")</f>
        <v> </v>
      </c>
      <c r="I144" s="180" t="str">
        <f aca="false">IF((D144="r"),F144," ")</f>
        <v> </v>
      </c>
      <c r="J144" s="180" t="str">
        <f aca="false">IF((D144="t"),F144," ")</f>
        <v> </v>
      </c>
      <c r="K144" s="180" t="str">
        <f aca="false">IF((D144="e"),F144," ")</f>
        <v> </v>
      </c>
      <c r="L144" s="180" t="str">
        <f aca="false">IF((D144="p"),F144," ")</f>
        <v> </v>
      </c>
      <c r="M144" s="180" t="str">
        <f aca="false">IF((D144="g"),F144," ")</f>
        <v> </v>
      </c>
      <c r="N144" s="180" t="str">
        <f aca="false">IF((D144="a"),F144," ")</f>
        <v> </v>
      </c>
      <c r="O144" s="180" t="str">
        <f aca="false">IF((D144="l"),F144," ")</f>
        <v> </v>
      </c>
      <c r="P144" s="180" t="str">
        <f aca="false">IF((D144="i"),F144," ")</f>
        <v> </v>
      </c>
      <c r="Q144" s="180" t="str">
        <f aca="false">IF((D144="b"),F144," ")</f>
        <v> </v>
      </c>
      <c r="R144" s="180" t="str">
        <f aca="false">IF((D144="o"),F144," ")</f>
        <v> </v>
      </c>
      <c r="S144" s="180" t="str">
        <f aca="false">IF((D144="f"),F144," ")</f>
        <v> </v>
      </c>
      <c r="U144" s="371"/>
    </row>
    <row r="145" customFormat="false" ht="12.75" hidden="false" customHeight="false" outlineLevel="0" collapsed="false">
      <c r="D145" s="371" t="str">
        <f aca="false">IF((F145&lt;&gt;0),"Enter Letter"," ")</f>
        <v> </v>
      </c>
      <c r="G145" s="180" t="str">
        <f aca="false">IF((D145="d"),F145," ")</f>
        <v> </v>
      </c>
      <c r="H145" s="180" t="str">
        <f aca="false">IF((D145="h"),F145," ")</f>
        <v> </v>
      </c>
      <c r="I145" s="180" t="str">
        <f aca="false">IF((D145="r"),F145," ")</f>
        <v> </v>
      </c>
      <c r="J145" s="180" t="str">
        <f aca="false">IF((D145="t"),F145," ")</f>
        <v> </v>
      </c>
      <c r="K145" s="180" t="str">
        <f aca="false">IF((D145="e"),F145," ")</f>
        <v> </v>
      </c>
      <c r="L145" s="180" t="str">
        <f aca="false">IF((D145="p"),F145," ")</f>
        <v> </v>
      </c>
      <c r="M145" s="180" t="str">
        <f aca="false">IF((D145="g"),F145," ")</f>
        <v> </v>
      </c>
      <c r="N145" s="180" t="str">
        <f aca="false">IF((D145="a"),F145," ")</f>
        <v> </v>
      </c>
      <c r="O145" s="180" t="str">
        <f aca="false">IF((D145="l"),F145," ")</f>
        <v> </v>
      </c>
      <c r="P145" s="180" t="str">
        <f aca="false">IF((D145="i"),F145," ")</f>
        <v> </v>
      </c>
      <c r="Q145" s="180" t="str">
        <f aca="false">IF((D145="b"),F145," ")</f>
        <v> </v>
      </c>
      <c r="R145" s="180" t="str">
        <f aca="false">IF((D145="o"),F145," ")</f>
        <v> </v>
      </c>
      <c r="S145" s="180" t="str">
        <f aca="false">IF((D145="f"),F145," ")</f>
        <v> </v>
      </c>
      <c r="U145" s="371"/>
    </row>
    <row r="146" customFormat="false" ht="12.75" hidden="false" customHeight="false" outlineLevel="0" collapsed="false">
      <c r="D146" s="371" t="str">
        <f aca="false">IF((F146&lt;&gt;0),"Enter Letter"," ")</f>
        <v> </v>
      </c>
      <c r="G146" s="180" t="str">
        <f aca="false">IF((D146="d"),F146," ")</f>
        <v> </v>
      </c>
      <c r="H146" s="180" t="str">
        <f aca="false">IF((D146="h"),F146," ")</f>
        <v> </v>
      </c>
      <c r="I146" s="180" t="str">
        <f aca="false">IF((D146="r"),F146," ")</f>
        <v> </v>
      </c>
      <c r="J146" s="180" t="str">
        <f aca="false">IF((D146="t"),F146," ")</f>
        <v> </v>
      </c>
      <c r="K146" s="180" t="str">
        <f aca="false">IF((D146="e"),F146," ")</f>
        <v> </v>
      </c>
      <c r="L146" s="180" t="str">
        <f aca="false">IF((D146="p"),F146," ")</f>
        <v> </v>
      </c>
      <c r="M146" s="180" t="str">
        <f aca="false">IF((D146="g"),F146," ")</f>
        <v> </v>
      </c>
      <c r="N146" s="180" t="str">
        <f aca="false">IF((D146="a"),F146," ")</f>
        <v> </v>
      </c>
      <c r="O146" s="180" t="str">
        <f aca="false">IF((D146="l"),F146," ")</f>
        <v> </v>
      </c>
      <c r="P146" s="180" t="str">
        <f aca="false">IF((D146="i"),F146," ")</f>
        <v> </v>
      </c>
      <c r="Q146" s="180" t="str">
        <f aca="false">IF((D146="b"),F146," ")</f>
        <v> </v>
      </c>
      <c r="R146" s="180" t="str">
        <f aca="false">IF((D146="o"),F146," ")</f>
        <v> </v>
      </c>
      <c r="S146" s="180" t="str">
        <f aca="false">IF((D146="f"),F146," ")</f>
        <v> </v>
      </c>
      <c r="U146" s="371"/>
    </row>
    <row r="147" customFormat="false" ht="12.75" hidden="false" customHeight="false" outlineLevel="0" collapsed="false">
      <c r="D147" s="371" t="str">
        <f aca="false">IF((F147&lt;&gt;0),"Enter Letter"," ")</f>
        <v> </v>
      </c>
      <c r="G147" s="180" t="str">
        <f aca="false">IF((D147="d"),F147," ")</f>
        <v> </v>
      </c>
      <c r="H147" s="180" t="str">
        <f aca="false">IF((D147="h"),F147," ")</f>
        <v> </v>
      </c>
      <c r="I147" s="180" t="str">
        <f aca="false">IF((D147="r"),F147," ")</f>
        <v> </v>
      </c>
      <c r="J147" s="180" t="str">
        <f aca="false">IF((D147="t"),F147," ")</f>
        <v> </v>
      </c>
      <c r="K147" s="180" t="str">
        <f aca="false">IF((D147="e"),F147," ")</f>
        <v> </v>
      </c>
      <c r="L147" s="180" t="str">
        <f aca="false">IF((D147="p"),F147," ")</f>
        <v> </v>
      </c>
      <c r="M147" s="180" t="str">
        <f aca="false">IF((D147="g"),F147," ")</f>
        <v> </v>
      </c>
      <c r="N147" s="180" t="str">
        <f aca="false">IF((D147="a"),F147," ")</f>
        <v> </v>
      </c>
      <c r="O147" s="180" t="str">
        <f aca="false">IF((D147="l"),F147," ")</f>
        <v> </v>
      </c>
      <c r="P147" s="180" t="str">
        <f aca="false">IF((D147="i"),F147," ")</f>
        <v> </v>
      </c>
      <c r="Q147" s="180" t="str">
        <f aca="false">IF((D147="b"),F147," ")</f>
        <v> </v>
      </c>
      <c r="R147" s="180" t="str">
        <f aca="false">IF((D147="o"),F147," ")</f>
        <v> </v>
      </c>
      <c r="S147" s="180" t="str">
        <f aca="false">IF((D147="f"),F147," ")</f>
        <v> </v>
      </c>
      <c r="U147" s="371"/>
    </row>
    <row r="148" customFormat="false" ht="12.75" hidden="false" customHeight="false" outlineLevel="0" collapsed="false">
      <c r="D148" s="371" t="str">
        <f aca="false">IF((F148&lt;&gt;0),"Enter Letter"," ")</f>
        <v> </v>
      </c>
      <c r="G148" s="180" t="str">
        <f aca="false">IF((D148="d"),F148," ")</f>
        <v> </v>
      </c>
      <c r="H148" s="180" t="str">
        <f aca="false">IF((D148="h"),F148," ")</f>
        <v> </v>
      </c>
      <c r="I148" s="180" t="str">
        <f aca="false">IF((D148="r"),F148," ")</f>
        <v> </v>
      </c>
      <c r="J148" s="180" t="str">
        <f aca="false">IF((D148="t"),F148," ")</f>
        <v> </v>
      </c>
      <c r="K148" s="180" t="str">
        <f aca="false">IF((D148="e"),F148," ")</f>
        <v> </v>
      </c>
      <c r="L148" s="180" t="str">
        <f aca="false">IF((D148="p"),F148," ")</f>
        <v> </v>
      </c>
      <c r="M148" s="180" t="str">
        <f aca="false">IF((D148="g"),F148," ")</f>
        <v> </v>
      </c>
      <c r="N148" s="180" t="str">
        <f aca="false">IF((D148="a"),F148," ")</f>
        <v> </v>
      </c>
      <c r="O148" s="180" t="str">
        <f aca="false">IF((D148="l"),F148," ")</f>
        <v> </v>
      </c>
      <c r="P148" s="180" t="str">
        <f aca="false">IF((D148="i"),F148," ")</f>
        <v> </v>
      </c>
      <c r="Q148" s="180" t="str">
        <f aca="false">IF((D148="b"),F148," ")</f>
        <v> </v>
      </c>
      <c r="R148" s="180" t="str">
        <f aca="false">IF((D148="o"),F148," ")</f>
        <v> </v>
      </c>
      <c r="S148" s="180" t="str">
        <f aca="false">IF((D148="f"),F148," ")</f>
        <v> </v>
      </c>
      <c r="U148" s="371"/>
    </row>
    <row r="149" customFormat="false" ht="12.75" hidden="false" customHeight="false" outlineLevel="0" collapsed="false">
      <c r="D149" s="371" t="str">
        <f aca="false">IF((F149&lt;&gt;0),"Enter Letter"," ")</f>
        <v> </v>
      </c>
      <c r="G149" s="180" t="str">
        <f aca="false">IF((D149="d"),F149," ")</f>
        <v> </v>
      </c>
      <c r="H149" s="180" t="str">
        <f aca="false">IF((D149="h"),F149," ")</f>
        <v> </v>
      </c>
      <c r="I149" s="180" t="str">
        <f aca="false">IF((D149="r"),F149," ")</f>
        <v> </v>
      </c>
      <c r="J149" s="180" t="str">
        <f aca="false">IF((D149="t"),F149," ")</f>
        <v> </v>
      </c>
      <c r="K149" s="180" t="str">
        <f aca="false">IF((D149="e"),F149," ")</f>
        <v> </v>
      </c>
      <c r="L149" s="180" t="str">
        <f aca="false">IF((D149="p"),F149," ")</f>
        <v> </v>
      </c>
      <c r="M149" s="180" t="str">
        <f aca="false">IF((D149="g"),F149," ")</f>
        <v> </v>
      </c>
      <c r="N149" s="180" t="str">
        <f aca="false">IF((D149="a"),F149," ")</f>
        <v> </v>
      </c>
      <c r="O149" s="180" t="str">
        <f aca="false">IF((D149="l"),F149," ")</f>
        <v> </v>
      </c>
      <c r="P149" s="180" t="str">
        <f aca="false">IF((D149="i"),F149," ")</f>
        <v> </v>
      </c>
      <c r="Q149" s="180" t="str">
        <f aca="false">IF((D149="b"),F149," ")</f>
        <v> </v>
      </c>
      <c r="R149" s="180" t="str">
        <f aca="false">IF((D149="o"),F149," ")</f>
        <v> </v>
      </c>
      <c r="S149" s="180" t="str">
        <f aca="false">IF((D149="f"),F149," ")</f>
        <v> </v>
      </c>
      <c r="U149" s="371"/>
    </row>
    <row r="150" customFormat="false" ht="12.75" hidden="false" customHeight="false" outlineLevel="0" collapsed="false">
      <c r="D150" s="371" t="str">
        <f aca="false">IF((F150&lt;&gt;0),"Enter Letter"," ")</f>
        <v> </v>
      </c>
      <c r="G150" s="180" t="str">
        <f aca="false">IF((D150="d"),F150," ")</f>
        <v> </v>
      </c>
      <c r="H150" s="180" t="str">
        <f aca="false">IF((D150="h"),F150," ")</f>
        <v> </v>
      </c>
      <c r="I150" s="180" t="str">
        <f aca="false">IF((D150="r"),F150," ")</f>
        <v> </v>
      </c>
      <c r="J150" s="180" t="str">
        <f aca="false">IF((D150="t"),F150," ")</f>
        <v> </v>
      </c>
      <c r="K150" s="180" t="str">
        <f aca="false">IF((D150="e"),F150," ")</f>
        <v> </v>
      </c>
      <c r="L150" s="180" t="str">
        <f aca="false">IF((D150="p"),F150," ")</f>
        <v> </v>
      </c>
      <c r="M150" s="180" t="str">
        <f aca="false">IF((D150="g"),F150," ")</f>
        <v> </v>
      </c>
      <c r="N150" s="180" t="str">
        <f aca="false">IF((D150="a"),F150," ")</f>
        <v> </v>
      </c>
      <c r="O150" s="180" t="str">
        <f aca="false">IF((D150="l"),F150," ")</f>
        <v> </v>
      </c>
      <c r="P150" s="180" t="str">
        <f aca="false">IF((D150="i"),F150," ")</f>
        <v> </v>
      </c>
      <c r="Q150" s="180" t="str">
        <f aca="false">IF((D150="b"),F150," ")</f>
        <v> </v>
      </c>
      <c r="R150" s="180" t="str">
        <f aca="false">IF((D150="o"),F150," ")</f>
        <v> </v>
      </c>
      <c r="S150" s="180" t="str">
        <f aca="false">IF((D150="f"),F150," ")</f>
        <v> </v>
      </c>
      <c r="U150" s="371"/>
    </row>
    <row r="151" customFormat="false" ht="12.75" hidden="false" customHeight="false" outlineLevel="0" collapsed="false">
      <c r="D151" s="371" t="str">
        <f aca="false">IF((F151&lt;&gt;0),"Enter Letter"," ")</f>
        <v> </v>
      </c>
      <c r="G151" s="180" t="str">
        <f aca="false">IF((D151="d"),F151," ")</f>
        <v> </v>
      </c>
      <c r="H151" s="180" t="str">
        <f aca="false">IF((D151="h"),F151," ")</f>
        <v> </v>
      </c>
      <c r="I151" s="180" t="str">
        <f aca="false">IF((D151="r"),F151," ")</f>
        <v> </v>
      </c>
      <c r="J151" s="180" t="str">
        <f aca="false">IF((D151="t"),F151," ")</f>
        <v> </v>
      </c>
      <c r="K151" s="180" t="str">
        <f aca="false">IF((D151="e"),F151," ")</f>
        <v> </v>
      </c>
      <c r="L151" s="180" t="str">
        <f aca="false">IF((D151="p"),F151," ")</f>
        <v> </v>
      </c>
      <c r="M151" s="180" t="str">
        <f aca="false">IF((D151="g"),F151," ")</f>
        <v> </v>
      </c>
      <c r="N151" s="180" t="str">
        <f aca="false">IF((D151="a"),F151," ")</f>
        <v> </v>
      </c>
      <c r="O151" s="180" t="str">
        <f aca="false">IF((D151="l"),F151," ")</f>
        <v> </v>
      </c>
      <c r="P151" s="180" t="str">
        <f aca="false">IF((D151="i"),F151," ")</f>
        <v> </v>
      </c>
      <c r="Q151" s="180" t="str">
        <f aca="false">IF((D151="b"),F151," ")</f>
        <v> </v>
      </c>
      <c r="R151" s="180" t="str">
        <f aca="false">IF((D151="o"),F151," ")</f>
        <v> </v>
      </c>
      <c r="S151" s="180" t="str">
        <f aca="false">IF((D151="f"),F151," ")</f>
        <v> </v>
      </c>
      <c r="U151" s="371"/>
    </row>
    <row r="152" customFormat="false" ht="12.75" hidden="false" customHeight="false" outlineLevel="0" collapsed="false">
      <c r="D152" s="371" t="str">
        <f aca="false">IF((F152&lt;&gt;0),"Enter Letter"," ")</f>
        <v> </v>
      </c>
      <c r="G152" s="180" t="str">
        <f aca="false">IF((D152="d"),F152," ")</f>
        <v> </v>
      </c>
      <c r="H152" s="180" t="str">
        <f aca="false">IF((D152="h"),F152," ")</f>
        <v> </v>
      </c>
      <c r="I152" s="180" t="str">
        <f aca="false">IF((D152="r"),F152," ")</f>
        <v> </v>
      </c>
      <c r="J152" s="180" t="str">
        <f aca="false">IF((D152="t"),F152," ")</f>
        <v> </v>
      </c>
      <c r="K152" s="180" t="str">
        <f aca="false">IF((D152="e"),F152," ")</f>
        <v> </v>
      </c>
      <c r="L152" s="180" t="str">
        <f aca="false">IF((D152="p"),F152," ")</f>
        <v> </v>
      </c>
      <c r="M152" s="180" t="str">
        <f aca="false">IF((D152="g"),F152," ")</f>
        <v> </v>
      </c>
      <c r="N152" s="180" t="str">
        <f aca="false">IF((D152="a"),F152," ")</f>
        <v> </v>
      </c>
      <c r="O152" s="180" t="str">
        <f aca="false">IF((D152="l"),F152," ")</f>
        <v> </v>
      </c>
      <c r="P152" s="180" t="str">
        <f aca="false">IF((D152="i"),F152," ")</f>
        <v> </v>
      </c>
      <c r="Q152" s="180" t="str">
        <f aca="false">IF((D152="b"),F152," ")</f>
        <v> </v>
      </c>
      <c r="R152" s="180" t="str">
        <f aca="false">IF((D152="o"),F152," ")</f>
        <v> </v>
      </c>
      <c r="S152" s="180" t="str">
        <f aca="false">IF((D152="f"),F152," ")</f>
        <v> </v>
      </c>
      <c r="U152" s="371"/>
    </row>
    <row r="153" customFormat="false" ht="12.75" hidden="false" customHeight="false" outlineLevel="0" collapsed="false">
      <c r="D153" s="371" t="str">
        <f aca="false">IF((F153&lt;&gt;0),"Enter Letter"," ")</f>
        <v> </v>
      </c>
      <c r="G153" s="180" t="str">
        <f aca="false">IF((D153="d"),F153," ")</f>
        <v> </v>
      </c>
      <c r="H153" s="180" t="str">
        <f aca="false">IF((D153="h"),F153," ")</f>
        <v> </v>
      </c>
      <c r="I153" s="180" t="str">
        <f aca="false">IF((D153="r"),F153," ")</f>
        <v> </v>
      </c>
      <c r="J153" s="180" t="str">
        <f aca="false">IF((D153="t"),F153," ")</f>
        <v> </v>
      </c>
      <c r="K153" s="180" t="str">
        <f aca="false">IF((D153="e"),F153," ")</f>
        <v> </v>
      </c>
      <c r="L153" s="180" t="str">
        <f aca="false">IF((D153="p"),F153," ")</f>
        <v> </v>
      </c>
      <c r="M153" s="180" t="str">
        <f aca="false">IF((D153="g"),F153," ")</f>
        <v> </v>
      </c>
      <c r="N153" s="180" t="str">
        <f aca="false">IF((D153="a"),F153," ")</f>
        <v> </v>
      </c>
      <c r="O153" s="180" t="str">
        <f aca="false">IF((D153="l"),F153," ")</f>
        <v> </v>
      </c>
      <c r="P153" s="180" t="str">
        <f aca="false">IF((D153="i"),F153," ")</f>
        <v> </v>
      </c>
      <c r="Q153" s="180" t="str">
        <f aca="false">IF((D153="b"),F153," ")</f>
        <v> </v>
      </c>
      <c r="R153" s="180" t="str">
        <f aca="false">IF((D153="o"),F153," ")</f>
        <v> </v>
      </c>
      <c r="S153" s="180" t="str">
        <f aca="false">IF((D153="f"),F153," ")</f>
        <v> </v>
      </c>
      <c r="U153" s="371"/>
    </row>
    <row r="154" customFormat="false" ht="12.75" hidden="false" customHeight="false" outlineLevel="0" collapsed="false">
      <c r="D154" s="371" t="str">
        <f aca="false">IF((F154&lt;&gt;0),"Enter Letter"," ")</f>
        <v> </v>
      </c>
      <c r="G154" s="180" t="str">
        <f aca="false">IF((D154="d"),F154," ")</f>
        <v> </v>
      </c>
      <c r="H154" s="180" t="str">
        <f aca="false">IF((D154="h"),F154," ")</f>
        <v> </v>
      </c>
      <c r="I154" s="180" t="str">
        <f aca="false">IF((D154="r"),F154," ")</f>
        <v> </v>
      </c>
      <c r="J154" s="180" t="str">
        <f aca="false">IF((D154="t"),F154," ")</f>
        <v> </v>
      </c>
      <c r="K154" s="180" t="str">
        <f aca="false">IF((D154="e"),F154," ")</f>
        <v> </v>
      </c>
      <c r="L154" s="180" t="str">
        <f aca="false">IF((D154="p"),F154," ")</f>
        <v> </v>
      </c>
      <c r="M154" s="180" t="str">
        <f aca="false">IF((D154="g"),F154," ")</f>
        <v> </v>
      </c>
      <c r="N154" s="180" t="str">
        <f aca="false">IF((D154="a"),F154," ")</f>
        <v> </v>
      </c>
      <c r="O154" s="180" t="str">
        <f aca="false">IF((D154="l"),F154," ")</f>
        <v> </v>
      </c>
      <c r="P154" s="180" t="str">
        <f aca="false">IF((D154="i"),F154," ")</f>
        <v> </v>
      </c>
      <c r="Q154" s="180" t="str">
        <f aca="false">IF((D154="b"),F154," ")</f>
        <v> </v>
      </c>
      <c r="R154" s="180" t="str">
        <f aca="false">IF((D154="o"),F154," ")</f>
        <v> </v>
      </c>
      <c r="S154" s="180" t="str">
        <f aca="false">IF((D154="f"),F154," ")</f>
        <v> </v>
      </c>
      <c r="U154" s="371"/>
    </row>
    <row r="155" customFormat="false" ht="12.75" hidden="false" customHeight="false" outlineLevel="0" collapsed="false">
      <c r="D155" s="371" t="str">
        <f aca="false">IF((F155&lt;&gt;0),"Enter Letter"," ")</f>
        <v> </v>
      </c>
      <c r="G155" s="180" t="str">
        <f aca="false">IF((D155="d"),F155," ")</f>
        <v> </v>
      </c>
      <c r="H155" s="180" t="str">
        <f aca="false">IF((D155="h"),F155," ")</f>
        <v> </v>
      </c>
      <c r="I155" s="180" t="str">
        <f aca="false">IF((D155="r"),F155," ")</f>
        <v> </v>
      </c>
      <c r="J155" s="180" t="str">
        <f aca="false">IF((D155="t"),F155," ")</f>
        <v> </v>
      </c>
      <c r="K155" s="180" t="str">
        <f aca="false">IF((D155="e"),F155," ")</f>
        <v> </v>
      </c>
      <c r="L155" s="180" t="str">
        <f aca="false">IF((D155="p"),F155," ")</f>
        <v> </v>
      </c>
      <c r="M155" s="180" t="str">
        <f aca="false">IF((D155="g"),F155," ")</f>
        <v> </v>
      </c>
      <c r="N155" s="180" t="str">
        <f aca="false">IF((D155="a"),F155," ")</f>
        <v> </v>
      </c>
      <c r="O155" s="180" t="str">
        <f aca="false">IF((D155="l"),F155," ")</f>
        <v> </v>
      </c>
      <c r="P155" s="180" t="str">
        <f aca="false">IF((D155="i"),F155," ")</f>
        <v> </v>
      </c>
      <c r="Q155" s="180" t="str">
        <f aca="false">IF((D155="b"),F155," ")</f>
        <v> </v>
      </c>
      <c r="R155" s="180" t="str">
        <f aca="false">IF((D155="o"),F155," ")</f>
        <v> </v>
      </c>
      <c r="S155" s="180" t="str">
        <f aca="false">IF((D155="f"),F155," ")</f>
        <v> </v>
      </c>
      <c r="U155" s="371"/>
    </row>
    <row r="156" customFormat="false" ht="12.75" hidden="false" customHeight="false" outlineLevel="0" collapsed="false">
      <c r="D156" s="371" t="str">
        <f aca="false">IF((F156&lt;&gt;0),"Enter Letter"," ")</f>
        <v> </v>
      </c>
      <c r="G156" s="180" t="str">
        <f aca="false">IF((D156="d"),F156," ")</f>
        <v> </v>
      </c>
      <c r="H156" s="180" t="str">
        <f aca="false">IF((D156="h"),F156," ")</f>
        <v> </v>
      </c>
      <c r="I156" s="180" t="str">
        <f aca="false">IF((D156="r"),F156," ")</f>
        <v> </v>
      </c>
      <c r="J156" s="180" t="str">
        <f aca="false">IF((D156="t"),F156," ")</f>
        <v> </v>
      </c>
      <c r="K156" s="180" t="str">
        <f aca="false">IF((D156="e"),F156," ")</f>
        <v> </v>
      </c>
      <c r="L156" s="180" t="str">
        <f aca="false">IF((D156="p"),F156," ")</f>
        <v> </v>
      </c>
      <c r="M156" s="180" t="str">
        <f aca="false">IF((D156="g"),F156," ")</f>
        <v> </v>
      </c>
      <c r="N156" s="180" t="str">
        <f aca="false">IF((D156="a"),F156," ")</f>
        <v> </v>
      </c>
      <c r="O156" s="180" t="str">
        <f aca="false">IF((D156="l"),F156," ")</f>
        <v> </v>
      </c>
      <c r="P156" s="180" t="str">
        <f aca="false">IF((D156="i"),F156," ")</f>
        <v> </v>
      </c>
      <c r="Q156" s="180" t="str">
        <f aca="false">IF((D156="b"),F156," ")</f>
        <v> </v>
      </c>
      <c r="R156" s="180" t="str">
        <f aca="false">IF((D156="o"),F156," ")</f>
        <v> </v>
      </c>
      <c r="S156" s="180" t="str">
        <f aca="false">IF((D156="f"),F156," ")</f>
        <v> </v>
      </c>
      <c r="U156" s="371"/>
    </row>
    <row r="157" customFormat="false" ht="12.75" hidden="false" customHeight="false" outlineLevel="0" collapsed="false">
      <c r="D157" s="371" t="str">
        <f aca="false">IF((F157&lt;&gt;0),"Enter Letter"," ")</f>
        <v> </v>
      </c>
      <c r="G157" s="180" t="str">
        <f aca="false">IF((D157="d"),F157," ")</f>
        <v> </v>
      </c>
      <c r="H157" s="180" t="str">
        <f aca="false">IF((D157="h"),F157," ")</f>
        <v> </v>
      </c>
      <c r="I157" s="180" t="str">
        <f aca="false">IF((D157="r"),F157," ")</f>
        <v> </v>
      </c>
      <c r="J157" s="180" t="str">
        <f aca="false">IF((D157="t"),F157," ")</f>
        <v> </v>
      </c>
      <c r="K157" s="180" t="str">
        <f aca="false">IF((D157="e"),F157," ")</f>
        <v> </v>
      </c>
      <c r="L157" s="180" t="str">
        <f aca="false">IF((D157="p"),F157," ")</f>
        <v> </v>
      </c>
      <c r="M157" s="180" t="str">
        <f aca="false">IF((D157="g"),F157," ")</f>
        <v> </v>
      </c>
      <c r="N157" s="180" t="str">
        <f aca="false">IF((D157="a"),F157," ")</f>
        <v> </v>
      </c>
      <c r="O157" s="180" t="str">
        <f aca="false">IF((D157="l"),F157," ")</f>
        <v> </v>
      </c>
      <c r="P157" s="180" t="str">
        <f aca="false">IF((D157="i"),F157," ")</f>
        <v> </v>
      </c>
      <c r="Q157" s="180" t="str">
        <f aca="false">IF((D157="b"),F157," ")</f>
        <v> </v>
      </c>
      <c r="R157" s="180" t="str">
        <f aca="false">IF((D157="o"),F157," ")</f>
        <v> </v>
      </c>
      <c r="S157" s="180" t="str">
        <f aca="false">IF((D157="f"),F157," ")</f>
        <v> </v>
      </c>
      <c r="U157" s="371"/>
    </row>
    <row r="158" customFormat="false" ht="12.75" hidden="false" customHeight="false" outlineLevel="0" collapsed="false">
      <c r="D158" s="371" t="str">
        <f aca="false">IF((F158&lt;&gt;0),"Enter Letter"," ")</f>
        <v> </v>
      </c>
      <c r="G158" s="180" t="str">
        <f aca="false">IF((D158="d"),F158," ")</f>
        <v> </v>
      </c>
      <c r="H158" s="180" t="str">
        <f aca="false">IF((D158="h"),F158," ")</f>
        <v> </v>
      </c>
      <c r="I158" s="180" t="str">
        <f aca="false">IF((D158="r"),F158," ")</f>
        <v> </v>
      </c>
      <c r="J158" s="180" t="str">
        <f aca="false">IF((D158="t"),F158," ")</f>
        <v> </v>
      </c>
      <c r="K158" s="180" t="str">
        <f aca="false">IF((D158="e"),F158," ")</f>
        <v> </v>
      </c>
      <c r="L158" s="180" t="str">
        <f aca="false">IF((D158="p"),F158," ")</f>
        <v> </v>
      </c>
      <c r="M158" s="180" t="str">
        <f aca="false">IF((D158="g"),F158," ")</f>
        <v> </v>
      </c>
      <c r="N158" s="180" t="str">
        <f aca="false">IF((D158="a"),F158," ")</f>
        <v> </v>
      </c>
      <c r="O158" s="180" t="str">
        <f aca="false">IF((D158="l"),F158," ")</f>
        <v> </v>
      </c>
      <c r="P158" s="180" t="str">
        <f aca="false">IF((D158="i"),F158," ")</f>
        <v> </v>
      </c>
      <c r="Q158" s="180" t="str">
        <f aca="false">IF((D158="b"),F158," ")</f>
        <v> </v>
      </c>
      <c r="R158" s="180" t="str">
        <f aca="false">IF((D158="o"),F158," ")</f>
        <v> </v>
      </c>
      <c r="S158" s="180" t="str">
        <f aca="false">IF((D158="f"),F158," ")</f>
        <v> </v>
      </c>
      <c r="U158" s="371"/>
    </row>
    <row r="159" customFormat="false" ht="12.75" hidden="false" customHeight="false" outlineLevel="0" collapsed="false">
      <c r="D159" s="371" t="str">
        <f aca="false">IF((F159&lt;&gt;0),"Enter Letter"," ")</f>
        <v> </v>
      </c>
      <c r="G159" s="180" t="str">
        <f aca="false">IF((D159="d"),F159," ")</f>
        <v> </v>
      </c>
      <c r="H159" s="180" t="str">
        <f aca="false">IF((D159="h"),F159," ")</f>
        <v> </v>
      </c>
      <c r="I159" s="180" t="str">
        <f aca="false">IF((D159="r"),F159," ")</f>
        <v> </v>
      </c>
      <c r="J159" s="180" t="str">
        <f aca="false">IF((D159="t"),F159," ")</f>
        <v> </v>
      </c>
      <c r="K159" s="180" t="str">
        <f aca="false">IF((D159="e"),F159," ")</f>
        <v> </v>
      </c>
      <c r="L159" s="180" t="str">
        <f aca="false">IF((D159="p"),F159," ")</f>
        <v> </v>
      </c>
      <c r="M159" s="180" t="str">
        <f aca="false">IF((D159="g"),F159," ")</f>
        <v> </v>
      </c>
      <c r="N159" s="180" t="str">
        <f aca="false">IF((D159="a"),F159," ")</f>
        <v> </v>
      </c>
      <c r="O159" s="180" t="str">
        <f aca="false">IF((D159="l"),F159," ")</f>
        <v> </v>
      </c>
      <c r="P159" s="180" t="str">
        <f aca="false">IF((D159="i"),F159," ")</f>
        <v> </v>
      </c>
      <c r="Q159" s="180" t="str">
        <f aca="false">IF((D159="b"),F159," ")</f>
        <v> </v>
      </c>
      <c r="R159" s="180" t="str">
        <f aca="false">IF((D159="o"),F159," ")</f>
        <v> </v>
      </c>
      <c r="S159" s="180" t="str">
        <f aca="false">IF((D159="f"),F159," ")</f>
        <v> </v>
      </c>
      <c r="U159" s="371"/>
    </row>
    <row r="160" customFormat="false" ht="12.75" hidden="false" customHeight="false" outlineLevel="0" collapsed="false">
      <c r="D160" s="371" t="str">
        <f aca="false">IF((F160&lt;&gt;0),"Enter Letter"," ")</f>
        <v> </v>
      </c>
      <c r="G160" s="180" t="str">
        <f aca="false">IF((D160="d"),F160," ")</f>
        <v> </v>
      </c>
      <c r="H160" s="180" t="str">
        <f aca="false">IF((D160="h"),F160," ")</f>
        <v> </v>
      </c>
      <c r="I160" s="180" t="str">
        <f aca="false">IF((D160="r"),F160," ")</f>
        <v> </v>
      </c>
      <c r="J160" s="180" t="str">
        <f aca="false">IF((D160="t"),F160," ")</f>
        <v> </v>
      </c>
      <c r="K160" s="180" t="str">
        <f aca="false">IF((D160="e"),F160," ")</f>
        <v> </v>
      </c>
      <c r="L160" s="180" t="str">
        <f aca="false">IF((D160="p"),F160," ")</f>
        <v> </v>
      </c>
      <c r="M160" s="180" t="str">
        <f aca="false">IF((D160="g"),F160," ")</f>
        <v> </v>
      </c>
      <c r="N160" s="180" t="str">
        <f aca="false">IF((D160="a"),F160," ")</f>
        <v> </v>
      </c>
      <c r="O160" s="180" t="str">
        <f aca="false">IF((D160="l"),F160," ")</f>
        <v> </v>
      </c>
      <c r="P160" s="180" t="str">
        <f aca="false">IF((D160="i"),F160," ")</f>
        <v> </v>
      </c>
      <c r="Q160" s="180" t="str">
        <f aca="false">IF((D160="b"),F160," ")</f>
        <v> </v>
      </c>
      <c r="R160" s="180" t="str">
        <f aca="false">IF((D160="o"),F160," ")</f>
        <v> </v>
      </c>
      <c r="S160" s="180" t="str">
        <f aca="false">IF((D160="f"),F160," ")</f>
        <v> </v>
      </c>
      <c r="U160" s="371"/>
    </row>
    <row r="161" customFormat="false" ht="12.75" hidden="false" customHeight="false" outlineLevel="0" collapsed="false">
      <c r="D161" s="371" t="str">
        <f aca="false">IF((F161&lt;&gt;0),"Enter Letter"," ")</f>
        <v> </v>
      </c>
      <c r="G161" s="180" t="str">
        <f aca="false">IF((D161="d"),F161," ")</f>
        <v> </v>
      </c>
      <c r="H161" s="180" t="str">
        <f aca="false">IF((D161="h"),F161," ")</f>
        <v> </v>
      </c>
      <c r="I161" s="180" t="str">
        <f aca="false">IF((D161="r"),F161," ")</f>
        <v> </v>
      </c>
      <c r="J161" s="180" t="str">
        <f aca="false">IF((D161="t"),F161," ")</f>
        <v> </v>
      </c>
      <c r="K161" s="180" t="str">
        <f aca="false">IF((D161="e"),F161," ")</f>
        <v> </v>
      </c>
      <c r="L161" s="180" t="str">
        <f aca="false">IF((D161="p"),F161," ")</f>
        <v> </v>
      </c>
      <c r="M161" s="180" t="str">
        <f aca="false">IF((D161="g"),F161," ")</f>
        <v> </v>
      </c>
      <c r="N161" s="180" t="str">
        <f aca="false">IF((D161="a"),F161," ")</f>
        <v> </v>
      </c>
      <c r="O161" s="180" t="str">
        <f aca="false">IF((D161="l"),F161," ")</f>
        <v> </v>
      </c>
      <c r="P161" s="180" t="str">
        <f aca="false">IF((D161="i"),F161," ")</f>
        <v> </v>
      </c>
      <c r="Q161" s="180" t="str">
        <f aca="false">IF((D161="b"),F161," ")</f>
        <v> </v>
      </c>
      <c r="R161" s="180" t="str">
        <f aca="false">IF((D161="o"),F161," ")</f>
        <v> </v>
      </c>
      <c r="S161" s="180" t="str">
        <f aca="false">IF((D161="f"),F161," ")</f>
        <v> </v>
      </c>
      <c r="U161" s="371"/>
    </row>
    <row r="162" customFormat="false" ht="12.75" hidden="false" customHeight="false" outlineLevel="0" collapsed="false">
      <c r="D162" s="371" t="str">
        <f aca="false">IF((F162&lt;&gt;0),"Enter Letter"," ")</f>
        <v> </v>
      </c>
      <c r="G162" s="180" t="str">
        <f aca="false">IF((D162="d"),F162," ")</f>
        <v> </v>
      </c>
      <c r="H162" s="180" t="str">
        <f aca="false">IF((D162="h"),F162," ")</f>
        <v> </v>
      </c>
      <c r="I162" s="180" t="str">
        <f aca="false">IF((D162="r"),F162," ")</f>
        <v> </v>
      </c>
      <c r="J162" s="180" t="str">
        <f aca="false">IF((D162="t"),F162," ")</f>
        <v> </v>
      </c>
      <c r="K162" s="180" t="str">
        <f aca="false">IF((D162="e"),F162," ")</f>
        <v> </v>
      </c>
      <c r="L162" s="180" t="str">
        <f aca="false">IF((D162="p"),F162," ")</f>
        <v> </v>
      </c>
      <c r="M162" s="180" t="str">
        <f aca="false">IF((D162="g"),F162," ")</f>
        <v> </v>
      </c>
      <c r="N162" s="180" t="str">
        <f aca="false">IF((D162="a"),F162," ")</f>
        <v> </v>
      </c>
      <c r="O162" s="180" t="str">
        <f aca="false">IF((D162="l"),F162," ")</f>
        <v> </v>
      </c>
      <c r="P162" s="180" t="str">
        <f aca="false">IF((D162="i"),F162," ")</f>
        <v> </v>
      </c>
      <c r="Q162" s="180" t="str">
        <f aca="false">IF((D162="b"),F162," ")</f>
        <v> </v>
      </c>
      <c r="R162" s="180" t="str">
        <f aca="false">IF((D162="o"),F162," ")</f>
        <v> </v>
      </c>
      <c r="S162" s="180" t="str">
        <f aca="false">IF((D162="f"),F162," ")</f>
        <v> </v>
      </c>
      <c r="U162" s="371"/>
    </row>
    <row r="163" customFormat="false" ht="12.75" hidden="false" customHeight="false" outlineLevel="0" collapsed="false">
      <c r="D163" s="371" t="str">
        <f aca="false">IF((F163&lt;&gt;0),"Enter Letter"," ")</f>
        <v> </v>
      </c>
      <c r="G163" s="180" t="str">
        <f aca="false">IF((D163="d"),F163," ")</f>
        <v> </v>
      </c>
      <c r="H163" s="180" t="str">
        <f aca="false">IF((D163="h"),F163," ")</f>
        <v> </v>
      </c>
      <c r="I163" s="180" t="str">
        <f aca="false">IF((D163="r"),F163," ")</f>
        <v> </v>
      </c>
      <c r="J163" s="180" t="str">
        <f aca="false">IF((D163="t"),F163," ")</f>
        <v> </v>
      </c>
      <c r="K163" s="180" t="str">
        <f aca="false">IF((D163="e"),F163," ")</f>
        <v> </v>
      </c>
      <c r="L163" s="180" t="str">
        <f aca="false">IF((D163="p"),F163," ")</f>
        <v> </v>
      </c>
      <c r="M163" s="180" t="str">
        <f aca="false">IF((D163="g"),F163," ")</f>
        <v> </v>
      </c>
      <c r="N163" s="180" t="str">
        <f aca="false">IF((D163="a"),F163," ")</f>
        <v> </v>
      </c>
      <c r="O163" s="180" t="str">
        <f aca="false">IF((D163="l"),F163," ")</f>
        <v> </v>
      </c>
      <c r="P163" s="180" t="str">
        <f aca="false">IF((D163="i"),F163," ")</f>
        <v> </v>
      </c>
      <c r="Q163" s="180" t="str">
        <f aca="false">IF((D163="b"),F163," ")</f>
        <v> </v>
      </c>
      <c r="R163" s="180" t="str">
        <f aca="false">IF((D163="o"),F163," ")</f>
        <v> </v>
      </c>
      <c r="S163" s="180" t="str">
        <f aca="false">IF((D163="f"),F163," ")</f>
        <v> </v>
      </c>
      <c r="U163" s="371"/>
    </row>
    <row r="164" customFormat="false" ht="12.75" hidden="false" customHeight="false" outlineLevel="0" collapsed="false">
      <c r="D164" s="371" t="str">
        <f aca="false">IF((F164&lt;&gt;0),"Enter Letter"," ")</f>
        <v> </v>
      </c>
      <c r="G164" s="180" t="str">
        <f aca="false">IF((D164="d"),F164," ")</f>
        <v> </v>
      </c>
      <c r="H164" s="180" t="str">
        <f aca="false">IF((D164="h"),F164," ")</f>
        <v> </v>
      </c>
      <c r="I164" s="180" t="str">
        <f aca="false">IF((D164="r"),F164," ")</f>
        <v> </v>
      </c>
      <c r="J164" s="180" t="str">
        <f aca="false">IF((D164="t"),F164," ")</f>
        <v> </v>
      </c>
      <c r="K164" s="180" t="str">
        <f aca="false">IF((D164="e"),F164," ")</f>
        <v> </v>
      </c>
      <c r="L164" s="180" t="str">
        <f aca="false">IF((D164="p"),F164," ")</f>
        <v> </v>
      </c>
      <c r="M164" s="180" t="str">
        <f aca="false">IF((D164="g"),F164," ")</f>
        <v> </v>
      </c>
      <c r="N164" s="180" t="str">
        <f aca="false">IF((D164="a"),F164," ")</f>
        <v> </v>
      </c>
      <c r="O164" s="180" t="str">
        <f aca="false">IF((D164="l"),F164," ")</f>
        <v> </v>
      </c>
      <c r="P164" s="180" t="str">
        <f aca="false">IF((D164="i"),F164," ")</f>
        <v> </v>
      </c>
      <c r="Q164" s="180" t="str">
        <f aca="false">IF((D164="b"),F164," ")</f>
        <v> </v>
      </c>
      <c r="R164" s="180" t="str">
        <f aca="false">IF((D164="o"),F164," ")</f>
        <v> </v>
      </c>
      <c r="S164" s="180" t="str">
        <f aca="false">IF((D164="f"),F164," ")</f>
        <v> </v>
      </c>
      <c r="U164" s="371"/>
    </row>
    <row r="165" customFormat="false" ht="12.75" hidden="false" customHeight="false" outlineLevel="0" collapsed="false">
      <c r="D165" s="371" t="str">
        <f aca="false">IF((F165&lt;&gt;0),"Enter Letter"," ")</f>
        <v> </v>
      </c>
      <c r="G165" s="180" t="str">
        <f aca="false">IF((D165="d"),F165," ")</f>
        <v> </v>
      </c>
      <c r="H165" s="180" t="str">
        <f aca="false">IF((D165="h"),F165," ")</f>
        <v> </v>
      </c>
      <c r="I165" s="180" t="str">
        <f aca="false">IF((D165="r"),F165," ")</f>
        <v> </v>
      </c>
      <c r="J165" s="180" t="str">
        <f aca="false">IF((D165="t"),F165," ")</f>
        <v> </v>
      </c>
      <c r="K165" s="180" t="str">
        <f aca="false">IF((D165="e"),F165," ")</f>
        <v> </v>
      </c>
      <c r="L165" s="180" t="str">
        <f aca="false">IF((D165="p"),F165," ")</f>
        <v> </v>
      </c>
      <c r="M165" s="180" t="str">
        <f aca="false">IF((D165="g"),F165," ")</f>
        <v> </v>
      </c>
      <c r="N165" s="180" t="str">
        <f aca="false">IF((D165="a"),F165," ")</f>
        <v> </v>
      </c>
      <c r="O165" s="180" t="str">
        <f aca="false">IF((D165="l"),F165," ")</f>
        <v> </v>
      </c>
      <c r="P165" s="180" t="str">
        <f aca="false">IF((D165="i"),F165," ")</f>
        <v> </v>
      </c>
      <c r="Q165" s="180" t="str">
        <f aca="false">IF((D165="b"),F165," ")</f>
        <v> </v>
      </c>
      <c r="R165" s="180" t="str">
        <f aca="false">IF((D165="o"),F165," ")</f>
        <v> </v>
      </c>
      <c r="S165" s="180" t="str">
        <f aca="false">IF((D165="f"),F165," ")</f>
        <v> </v>
      </c>
      <c r="U165" s="371"/>
    </row>
    <row r="166" customFormat="false" ht="12.75" hidden="false" customHeight="false" outlineLevel="0" collapsed="false">
      <c r="D166" s="371" t="str">
        <f aca="false">IF((F166&lt;&gt;0),"Enter Letter"," ")</f>
        <v> </v>
      </c>
      <c r="G166" s="180" t="str">
        <f aca="false">IF((D166="d"),F166," ")</f>
        <v> </v>
      </c>
      <c r="H166" s="180" t="str">
        <f aca="false">IF((D166="h"),F166," ")</f>
        <v> </v>
      </c>
      <c r="I166" s="180" t="str">
        <f aca="false">IF((D166="r"),F166," ")</f>
        <v> </v>
      </c>
      <c r="J166" s="180" t="str">
        <f aca="false">IF((D166="t"),F166," ")</f>
        <v> </v>
      </c>
      <c r="K166" s="180" t="str">
        <f aca="false">IF((D166="e"),F166," ")</f>
        <v> </v>
      </c>
      <c r="L166" s="180" t="str">
        <f aca="false">IF((D166="p"),F166," ")</f>
        <v> </v>
      </c>
      <c r="M166" s="180" t="str">
        <f aca="false">IF((D166="g"),F166," ")</f>
        <v> </v>
      </c>
      <c r="N166" s="180" t="str">
        <f aca="false">IF((D166="a"),F166," ")</f>
        <v> </v>
      </c>
      <c r="O166" s="180" t="str">
        <f aca="false">IF((D166="l"),F166," ")</f>
        <v> </v>
      </c>
      <c r="P166" s="180" t="str">
        <f aca="false">IF((D166="i"),F166," ")</f>
        <v> </v>
      </c>
      <c r="Q166" s="180" t="str">
        <f aca="false">IF((D166="b"),F166," ")</f>
        <v> </v>
      </c>
      <c r="R166" s="180" t="str">
        <f aca="false">IF((D166="o"),F166," ")</f>
        <v> </v>
      </c>
      <c r="S166" s="180" t="str">
        <f aca="false">IF((D166="f"),F166," ")</f>
        <v> </v>
      </c>
      <c r="U166" s="371"/>
    </row>
    <row r="167" customFormat="false" ht="12.75" hidden="false" customHeight="false" outlineLevel="0" collapsed="false">
      <c r="D167" s="371" t="str">
        <f aca="false">IF((F167&lt;&gt;0),"Enter Letter"," ")</f>
        <v> </v>
      </c>
      <c r="G167" s="180" t="str">
        <f aca="false">IF((D167="d"),F167," ")</f>
        <v> </v>
      </c>
      <c r="H167" s="180" t="str">
        <f aca="false">IF((D167="h"),F167," ")</f>
        <v> </v>
      </c>
      <c r="I167" s="180" t="str">
        <f aca="false">IF((D167="r"),F167," ")</f>
        <v> </v>
      </c>
      <c r="J167" s="180" t="str">
        <f aca="false">IF((D167="t"),F167," ")</f>
        <v> </v>
      </c>
      <c r="K167" s="180" t="str">
        <f aca="false">IF((D167="e"),F167," ")</f>
        <v> </v>
      </c>
      <c r="L167" s="180" t="str">
        <f aca="false">IF((D167="p"),F167," ")</f>
        <v> </v>
      </c>
      <c r="M167" s="180" t="str">
        <f aca="false">IF((D167="g"),F167," ")</f>
        <v> </v>
      </c>
      <c r="N167" s="180" t="str">
        <f aca="false">IF((D167="a"),F167," ")</f>
        <v> </v>
      </c>
      <c r="O167" s="180" t="str">
        <f aca="false">IF((D167="l"),F167," ")</f>
        <v> </v>
      </c>
      <c r="P167" s="180" t="str">
        <f aca="false">IF((D167="i"),F167," ")</f>
        <v> </v>
      </c>
      <c r="Q167" s="180" t="str">
        <f aca="false">IF((D167="b"),F167," ")</f>
        <v> </v>
      </c>
      <c r="R167" s="180" t="str">
        <f aca="false">IF((D167="o"),F167," ")</f>
        <v> </v>
      </c>
      <c r="S167" s="180" t="str">
        <f aca="false">IF((D167="f"),F167," ")</f>
        <v> </v>
      </c>
      <c r="U167" s="371"/>
    </row>
    <row r="168" customFormat="false" ht="12.75" hidden="false" customHeight="false" outlineLevel="0" collapsed="false">
      <c r="D168" s="371" t="str">
        <f aca="false">IF((F168&lt;&gt;0),"Enter Letter"," ")</f>
        <v> </v>
      </c>
      <c r="G168" s="180" t="str">
        <f aca="false">IF((D168="d"),F168," ")</f>
        <v> </v>
      </c>
      <c r="H168" s="180" t="str">
        <f aca="false">IF((D168="h"),F168," ")</f>
        <v> </v>
      </c>
      <c r="I168" s="180" t="str">
        <f aca="false">IF((D168="r"),F168," ")</f>
        <v> </v>
      </c>
      <c r="J168" s="180" t="str">
        <f aca="false">IF((D168="t"),F168," ")</f>
        <v> </v>
      </c>
      <c r="K168" s="180" t="str">
        <f aca="false">IF((D168="e"),F168," ")</f>
        <v> </v>
      </c>
      <c r="L168" s="180" t="str">
        <f aca="false">IF((D168="p"),F168," ")</f>
        <v> </v>
      </c>
      <c r="M168" s="180" t="str">
        <f aca="false">IF((D168="g"),F168," ")</f>
        <v> </v>
      </c>
      <c r="N168" s="180" t="str">
        <f aca="false">IF((D168="a"),F168," ")</f>
        <v> </v>
      </c>
      <c r="O168" s="180" t="str">
        <f aca="false">IF((D168="l"),F168," ")</f>
        <v> </v>
      </c>
      <c r="P168" s="180" t="str">
        <f aca="false">IF((D168="i"),F168," ")</f>
        <v> </v>
      </c>
      <c r="Q168" s="180" t="str">
        <f aca="false">IF((D168="b"),F168," ")</f>
        <v> </v>
      </c>
      <c r="R168" s="180" t="str">
        <f aca="false">IF((D168="o"),F168," ")</f>
        <v> </v>
      </c>
      <c r="S168" s="180" t="str">
        <f aca="false">IF((D168="f"),F168," ")</f>
        <v> </v>
      </c>
      <c r="U168" s="371"/>
    </row>
    <row r="169" customFormat="false" ht="12.75" hidden="false" customHeight="false" outlineLevel="0" collapsed="false">
      <c r="D169" s="371" t="str">
        <f aca="false">IF((F169&lt;&gt;0),"Enter Letter"," ")</f>
        <v> </v>
      </c>
      <c r="G169" s="180" t="str">
        <f aca="false">IF((D169="d"),F169," ")</f>
        <v> </v>
      </c>
      <c r="H169" s="180" t="str">
        <f aca="false">IF((D169="h"),F169," ")</f>
        <v> </v>
      </c>
      <c r="I169" s="180" t="str">
        <f aca="false">IF((D169="r"),F169," ")</f>
        <v> </v>
      </c>
      <c r="J169" s="180" t="str">
        <f aca="false">IF((D169="t"),F169," ")</f>
        <v> </v>
      </c>
      <c r="K169" s="180" t="str">
        <f aca="false">IF((D169="e"),F169," ")</f>
        <v> </v>
      </c>
      <c r="L169" s="180" t="str">
        <f aca="false">IF((D169="p"),F169," ")</f>
        <v> </v>
      </c>
      <c r="M169" s="180" t="str">
        <f aca="false">IF((D169="g"),F169," ")</f>
        <v> </v>
      </c>
      <c r="N169" s="180" t="str">
        <f aca="false">IF((D169="a"),F169," ")</f>
        <v> </v>
      </c>
      <c r="O169" s="180" t="str">
        <f aca="false">IF((D169="l"),F169," ")</f>
        <v> </v>
      </c>
      <c r="P169" s="180" t="str">
        <f aca="false">IF((D169="i"),F169," ")</f>
        <v> </v>
      </c>
      <c r="Q169" s="180" t="str">
        <f aca="false">IF((D169="b"),F169," ")</f>
        <v> </v>
      </c>
      <c r="R169" s="180" t="str">
        <f aca="false">IF((D169="o"),F169," ")</f>
        <v> </v>
      </c>
      <c r="S169" s="180" t="str">
        <f aca="false">IF((D169="f"),F169," ")</f>
        <v> </v>
      </c>
      <c r="U169" s="371"/>
    </row>
    <row r="170" customFormat="false" ht="12.75" hidden="false" customHeight="false" outlineLevel="0" collapsed="false">
      <c r="D170" s="371" t="str">
        <f aca="false">IF((F170&lt;&gt;0),"Enter Letter"," ")</f>
        <v> </v>
      </c>
      <c r="G170" s="180" t="str">
        <f aca="false">IF((D170="d"),F170," ")</f>
        <v> </v>
      </c>
      <c r="H170" s="180" t="str">
        <f aca="false">IF((D170="h"),F170," ")</f>
        <v> </v>
      </c>
      <c r="I170" s="180" t="str">
        <f aca="false">IF((D170="r"),F170," ")</f>
        <v> </v>
      </c>
      <c r="J170" s="180" t="str">
        <f aca="false">IF((D170="t"),F170," ")</f>
        <v> </v>
      </c>
      <c r="K170" s="180" t="str">
        <f aca="false">IF((D170="e"),F170," ")</f>
        <v> </v>
      </c>
      <c r="L170" s="180" t="str">
        <f aca="false">IF((D170="p"),F170," ")</f>
        <v> </v>
      </c>
      <c r="M170" s="180" t="str">
        <f aca="false">IF((D170="g"),F170," ")</f>
        <v> </v>
      </c>
      <c r="N170" s="180" t="str">
        <f aca="false">IF((D170="a"),F170," ")</f>
        <v> </v>
      </c>
      <c r="O170" s="180" t="str">
        <f aca="false">IF((D170="l"),F170," ")</f>
        <v> </v>
      </c>
      <c r="P170" s="180" t="str">
        <f aca="false">IF((D170="i"),F170," ")</f>
        <v> </v>
      </c>
      <c r="Q170" s="180" t="str">
        <f aca="false">IF((D170="b"),F170," ")</f>
        <v> </v>
      </c>
      <c r="R170" s="180" t="str">
        <f aca="false">IF((D170="o"),F170," ")</f>
        <v> </v>
      </c>
      <c r="S170" s="180" t="str">
        <f aca="false">IF((D170="f"),F170," ")</f>
        <v> </v>
      </c>
      <c r="U170" s="371"/>
    </row>
    <row r="171" customFormat="false" ht="12.75" hidden="false" customHeight="false" outlineLevel="0" collapsed="false">
      <c r="D171" s="371" t="str">
        <f aca="false">IF((F171&lt;&gt;0),"Enter Letter"," ")</f>
        <v> </v>
      </c>
      <c r="G171" s="180" t="str">
        <f aca="false">IF((D171="d"),F171," ")</f>
        <v> </v>
      </c>
      <c r="H171" s="180" t="str">
        <f aca="false">IF((D171="h"),F171," ")</f>
        <v> </v>
      </c>
      <c r="I171" s="180" t="str">
        <f aca="false">IF((D171="r"),F171," ")</f>
        <v> </v>
      </c>
      <c r="J171" s="180" t="str">
        <f aca="false">IF((D171="t"),F171," ")</f>
        <v> </v>
      </c>
      <c r="K171" s="180" t="str">
        <f aca="false">IF((D171="e"),F171," ")</f>
        <v> </v>
      </c>
      <c r="L171" s="180" t="str">
        <f aca="false">IF((D171="p"),F171," ")</f>
        <v> </v>
      </c>
      <c r="M171" s="180" t="str">
        <f aca="false">IF((D171="g"),F171," ")</f>
        <v> </v>
      </c>
      <c r="N171" s="180" t="str">
        <f aca="false">IF((D171="a"),F171," ")</f>
        <v> </v>
      </c>
      <c r="O171" s="180" t="str">
        <f aca="false">IF((D171="l"),F171," ")</f>
        <v> </v>
      </c>
      <c r="P171" s="180" t="str">
        <f aca="false">IF((D171="i"),F171," ")</f>
        <v> </v>
      </c>
      <c r="Q171" s="180" t="str">
        <f aca="false">IF((D171="b"),F171," ")</f>
        <v> </v>
      </c>
      <c r="R171" s="180" t="str">
        <f aca="false">IF((D171="o"),F171," ")</f>
        <v> </v>
      </c>
      <c r="S171" s="180" t="str">
        <f aca="false">IF((D171="f"),F171," ")</f>
        <v> </v>
      </c>
      <c r="U171" s="371"/>
    </row>
    <row r="172" customFormat="false" ht="12.75" hidden="false" customHeight="false" outlineLevel="0" collapsed="false">
      <c r="D172" s="371" t="str">
        <f aca="false">IF((F172&lt;&gt;0),"Enter Letter"," ")</f>
        <v> </v>
      </c>
      <c r="G172" s="180" t="str">
        <f aca="false">IF((D172="d"),F172," ")</f>
        <v> </v>
      </c>
      <c r="H172" s="180" t="str">
        <f aca="false">IF((D172="h"),F172," ")</f>
        <v> </v>
      </c>
      <c r="I172" s="180" t="str">
        <f aca="false">IF((D172="r"),F172," ")</f>
        <v> </v>
      </c>
      <c r="J172" s="180" t="str">
        <f aca="false">IF((D172="t"),F172," ")</f>
        <v> </v>
      </c>
      <c r="K172" s="180" t="str">
        <f aca="false">IF((D172="e"),F172," ")</f>
        <v> </v>
      </c>
      <c r="L172" s="180" t="str">
        <f aca="false">IF((D172="p"),F172," ")</f>
        <v> </v>
      </c>
      <c r="M172" s="180" t="str">
        <f aca="false">IF((D172="g"),F172," ")</f>
        <v> </v>
      </c>
      <c r="N172" s="180" t="str">
        <f aca="false">IF((D172="a"),F172," ")</f>
        <v> </v>
      </c>
      <c r="O172" s="180" t="str">
        <f aca="false">IF((D172="l"),F172," ")</f>
        <v> </v>
      </c>
      <c r="P172" s="180" t="str">
        <f aca="false">IF((D172="i"),F172," ")</f>
        <v> </v>
      </c>
      <c r="Q172" s="180" t="str">
        <f aca="false">IF((D172="b"),F172," ")</f>
        <v> </v>
      </c>
      <c r="R172" s="180" t="str">
        <f aca="false">IF((D172="o"),F172," ")</f>
        <v> </v>
      </c>
      <c r="S172" s="180" t="str">
        <f aca="false">IF((D172="f"),F172," ")</f>
        <v> </v>
      </c>
      <c r="U172" s="371"/>
    </row>
    <row r="173" customFormat="false" ht="12.75" hidden="false" customHeight="false" outlineLevel="0" collapsed="false">
      <c r="D173" s="371" t="str">
        <f aca="false">IF((F173&lt;&gt;0),"Enter Letter"," ")</f>
        <v> </v>
      </c>
      <c r="G173" s="180" t="str">
        <f aca="false">IF((D173="d"),F173," ")</f>
        <v> </v>
      </c>
      <c r="H173" s="180" t="str">
        <f aca="false">IF((D173="h"),F173," ")</f>
        <v> </v>
      </c>
      <c r="I173" s="180" t="str">
        <f aca="false">IF((D173="r"),F173," ")</f>
        <v> </v>
      </c>
      <c r="J173" s="180" t="str">
        <f aca="false">IF((D173="t"),F173," ")</f>
        <v> </v>
      </c>
      <c r="K173" s="180" t="str">
        <f aca="false">IF((D173="e"),F173," ")</f>
        <v> </v>
      </c>
      <c r="L173" s="180" t="str">
        <f aca="false">IF((D173="p"),F173," ")</f>
        <v> </v>
      </c>
      <c r="M173" s="180" t="str">
        <f aca="false">IF((D173="g"),F173," ")</f>
        <v> </v>
      </c>
      <c r="N173" s="180" t="str">
        <f aca="false">IF((D173="a"),F173," ")</f>
        <v> </v>
      </c>
      <c r="O173" s="180" t="str">
        <f aca="false">IF((D173="l"),F173," ")</f>
        <v> </v>
      </c>
      <c r="P173" s="180" t="str">
        <f aca="false">IF((D173="i"),F173," ")</f>
        <v> </v>
      </c>
      <c r="Q173" s="180" t="str">
        <f aca="false">IF((D173="b"),F173," ")</f>
        <v> </v>
      </c>
      <c r="R173" s="180" t="str">
        <f aca="false">IF((D173="o"),F173," ")</f>
        <v> </v>
      </c>
      <c r="S173" s="180" t="str">
        <f aca="false">IF((D173="f"),F173," ")</f>
        <v> </v>
      </c>
      <c r="U173" s="371"/>
    </row>
    <row r="174" customFormat="false" ht="12.75" hidden="false" customHeight="false" outlineLevel="0" collapsed="false">
      <c r="D174" s="371" t="str">
        <f aca="false">IF((F174&lt;&gt;0),"Enter Letter"," ")</f>
        <v> </v>
      </c>
      <c r="G174" s="180" t="str">
        <f aca="false">IF((D174="d"),F174," ")</f>
        <v> </v>
      </c>
      <c r="H174" s="180" t="str">
        <f aca="false">IF((D174="h"),F174," ")</f>
        <v> </v>
      </c>
      <c r="I174" s="180" t="str">
        <f aca="false">IF((D174="r"),F174," ")</f>
        <v> </v>
      </c>
      <c r="J174" s="180" t="str">
        <f aca="false">IF((D174="t"),F174," ")</f>
        <v> </v>
      </c>
      <c r="K174" s="180" t="str">
        <f aca="false">IF((D174="e"),F174," ")</f>
        <v> </v>
      </c>
      <c r="L174" s="180" t="str">
        <f aca="false">IF((D174="p"),F174," ")</f>
        <v> </v>
      </c>
      <c r="M174" s="180" t="str">
        <f aca="false">IF((D174="g"),F174," ")</f>
        <v> </v>
      </c>
      <c r="N174" s="180" t="str">
        <f aca="false">IF((D174="a"),F174," ")</f>
        <v> </v>
      </c>
      <c r="O174" s="180" t="str">
        <f aca="false">IF((D174="l"),F174," ")</f>
        <v> </v>
      </c>
      <c r="P174" s="180" t="str">
        <f aca="false">IF((D174="i"),F174," ")</f>
        <v> </v>
      </c>
      <c r="Q174" s="180" t="str">
        <f aca="false">IF((D174="b"),F174," ")</f>
        <v> </v>
      </c>
      <c r="R174" s="180" t="str">
        <f aca="false">IF((D174="o"),F174," ")</f>
        <v> </v>
      </c>
      <c r="S174" s="180" t="str">
        <f aca="false">IF((D174="f"),F174," ")</f>
        <v> </v>
      </c>
      <c r="U174" s="371"/>
    </row>
    <row r="175" customFormat="false" ht="12.75" hidden="false" customHeight="false" outlineLevel="0" collapsed="false">
      <c r="D175" s="371" t="str">
        <f aca="false">IF((F175&lt;&gt;0),"Enter Letter"," ")</f>
        <v> </v>
      </c>
      <c r="G175" s="180" t="str">
        <f aca="false">IF((D175="d"),F175," ")</f>
        <v> </v>
      </c>
      <c r="H175" s="180" t="str">
        <f aca="false">IF((D175="h"),F175," ")</f>
        <v> </v>
      </c>
      <c r="I175" s="180" t="str">
        <f aca="false">IF((D175="r"),F175," ")</f>
        <v> </v>
      </c>
      <c r="J175" s="180" t="str">
        <f aca="false">IF((D175="t"),F175," ")</f>
        <v> </v>
      </c>
      <c r="K175" s="180" t="str">
        <f aca="false">IF((D175="e"),F175," ")</f>
        <v> </v>
      </c>
      <c r="L175" s="180" t="str">
        <f aca="false">IF((D175="p"),F175," ")</f>
        <v> </v>
      </c>
      <c r="M175" s="180" t="str">
        <f aca="false">IF((D175="g"),F175," ")</f>
        <v> </v>
      </c>
      <c r="N175" s="180" t="str">
        <f aca="false">IF((D175="a"),F175," ")</f>
        <v> </v>
      </c>
      <c r="O175" s="180" t="str">
        <f aca="false">IF((D175="l"),F175," ")</f>
        <v> </v>
      </c>
      <c r="P175" s="180" t="str">
        <f aca="false">IF((D175="i"),F175," ")</f>
        <v> </v>
      </c>
      <c r="Q175" s="180" t="str">
        <f aca="false">IF((D175="b"),F175," ")</f>
        <v> </v>
      </c>
      <c r="R175" s="180" t="str">
        <f aca="false">IF((D175="o"),F175," ")</f>
        <v> </v>
      </c>
      <c r="S175" s="180" t="str">
        <f aca="false">IF((D175="f"),F175," ")</f>
        <v> </v>
      </c>
      <c r="U175" s="371"/>
    </row>
    <row r="176" customFormat="false" ht="12.75" hidden="false" customHeight="false" outlineLevel="0" collapsed="false">
      <c r="D176" s="371" t="str">
        <f aca="false">IF((F176&lt;&gt;0),"Enter Letter"," ")</f>
        <v> </v>
      </c>
      <c r="G176" s="180" t="str">
        <f aca="false">IF((D176="d"),F176," ")</f>
        <v> </v>
      </c>
      <c r="H176" s="180" t="str">
        <f aca="false">IF((D176="h"),F176," ")</f>
        <v> </v>
      </c>
      <c r="I176" s="180" t="str">
        <f aca="false">IF((D176="r"),F176," ")</f>
        <v> </v>
      </c>
      <c r="J176" s="180" t="str">
        <f aca="false">IF((D176="t"),F176," ")</f>
        <v> </v>
      </c>
      <c r="K176" s="180" t="str">
        <f aca="false">IF((D176="e"),F176," ")</f>
        <v> </v>
      </c>
      <c r="L176" s="180" t="str">
        <f aca="false">IF((D176="p"),F176," ")</f>
        <v> </v>
      </c>
      <c r="M176" s="180" t="str">
        <f aca="false">IF((D176="g"),F176," ")</f>
        <v> </v>
      </c>
      <c r="N176" s="180" t="str">
        <f aca="false">IF((D176="a"),F176," ")</f>
        <v> </v>
      </c>
      <c r="O176" s="180" t="str">
        <f aca="false">IF((D176="l"),F176," ")</f>
        <v> </v>
      </c>
      <c r="P176" s="180" t="str">
        <f aca="false">IF((D176="i"),F176," ")</f>
        <v> </v>
      </c>
      <c r="Q176" s="180" t="str">
        <f aca="false">IF((D176="b"),F176," ")</f>
        <v> </v>
      </c>
      <c r="R176" s="180" t="str">
        <f aca="false">IF((D176="o"),F176," ")</f>
        <v> </v>
      </c>
      <c r="S176" s="180" t="str">
        <f aca="false">IF((D176="f"),F176," ")</f>
        <v> </v>
      </c>
      <c r="U176" s="371"/>
    </row>
    <row r="177" customFormat="false" ht="12.75" hidden="false" customHeight="false" outlineLevel="0" collapsed="false">
      <c r="D177" s="371" t="str">
        <f aca="false">IF((F177&lt;&gt;0),"Enter Letter"," ")</f>
        <v> </v>
      </c>
      <c r="G177" s="180" t="str">
        <f aca="false">IF((D177="d"),F177," ")</f>
        <v> </v>
      </c>
      <c r="H177" s="180" t="str">
        <f aca="false">IF((D177="h"),F177," ")</f>
        <v> </v>
      </c>
      <c r="I177" s="180" t="str">
        <f aca="false">IF((D177="r"),F177," ")</f>
        <v> </v>
      </c>
      <c r="J177" s="180" t="str">
        <f aca="false">IF((D177="t"),F177," ")</f>
        <v> </v>
      </c>
      <c r="K177" s="180" t="str">
        <f aca="false">IF((D177="e"),F177," ")</f>
        <v> </v>
      </c>
      <c r="L177" s="180" t="str">
        <f aca="false">IF((D177="p"),F177," ")</f>
        <v> </v>
      </c>
      <c r="M177" s="180" t="str">
        <f aca="false">IF((D177="g"),F177," ")</f>
        <v> </v>
      </c>
      <c r="N177" s="180" t="str">
        <f aca="false">IF((D177="a"),F177," ")</f>
        <v> </v>
      </c>
      <c r="O177" s="180" t="str">
        <f aca="false">IF((D177="l"),F177," ")</f>
        <v> </v>
      </c>
      <c r="P177" s="180" t="str">
        <f aca="false">IF((D177="i"),F177," ")</f>
        <v> </v>
      </c>
      <c r="Q177" s="180" t="str">
        <f aca="false">IF((D177="b"),F177," ")</f>
        <v> </v>
      </c>
      <c r="R177" s="180" t="str">
        <f aca="false">IF((D177="o"),F177," ")</f>
        <v> </v>
      </c>
      <c r="S177" s="180" t="str">
        <f aca="false">IF((D177="f"),F177," ")</f>
        <v> </v>
      </c>
      <c r="U177" s="371"/>
    </row>
    <row r="178" customFormat="false" ht="12.75" hidden="false" customHeight="false" outlineLevel="0" collapsed="false">
      <c r="D178" s="371" t="str">
        <f aca="false">IF((F178&lt;&gt;0),"Enter Letter"," ")</f>
        <v> </v>
      </c>
      <c r="G178" s="180" t="str">
        <f aca="false">IF((D178="d"),F178," ")</f>
        <v> </v>
      </c>
      <c r="H178" s="180" t="str">
        <f aca="false">IF((D178="h"),F178," ")</f>
        <v> </v>
      </c>
      <c r="I178" s="180" t="str">
        <f aca="false">IF((D178="r"),F178," ")</f>
        <v> </v>
      </c>
      <c r="J178" s="180" t="str">
        <f aca="false">IF((D178="t"),F178," ")</f>
        <v> </v>
      </c>
      <c r="K178" s="180" t="str">
        <f aca="false">IF((D178="e"),F178," ")</f>
        <v> </v>
      </c>
      <c r="L178" s="180" t="str">
        <f aca="false">IF((D178="p"),F178," ")</f>
        <v> </v>
      </c>
      <c r="M178" s="180" t="str">
        <f aca="false">IF((D178="g"),F178," ")</f>
        <v> </v>
      </c>
      <c r="N178" s="180" t="str">
        <f aca="false">IF((D178="a"),F178," ")</f>
        <v> </v>
      </c>
      <c r="O178" s="180" t="str">
        <f aca="false">IF((D178="l"),F178," ")</f>
        <v> </v>
      </c>
      <c r="P178" s="180" t="str">
        <f aca="false">IF((D178="i"),F178," ")</f>
        <v> </v>
      </c>
      <c r="Q178" s="180" t="str">
        <f aca="false">IF((D178="b"),F178," ")</f>
        <v> </v>
      </c>
      <c r="R178" s="180" t="str">
        <f aca="false">IF((D178="o"),F178," ")</f>
        <v> </v>
      </c>
      <c r="S178" s="180" t="str">
        <f aca="false">IF((D178="f"),F178," ")</f>
        <v> </v>
      </c>
      <c r="U178" s="371"/>
    </row>
    <row r="179" customFormat="false" ht="12.75" hidden="false" customHeight="false" outlineLevel="0" collapsed="false">
      <c r="D179" s="371" t="str">
        <f aca="false">IF((F179&lt;&gt;0),"Enter Letter"," ")</f>
        <v> </v>
      </c>
      <c r="G179" s="180" t="str">
        <f aca="false">IF((D179="d"),F179," ")</f>
        <v> </v>
      </c>
      <c r="H179" s="180" t="str">
        <f aca="false">IF((D179="h"),F179," ")</f>
        <v> </v>
      </c>
      <c r="I179" s="180" t="str">
        <f aca="false">IF((D179="r"),F179," ")</f>
        <v> </v>
      </c>
      <c r="J179" s="180" t="str">
        <f aca="false">IF((D179="t"),F179," ")</f>
        <v> </v>
      </c>
      <c r="K179" s="180" t="str">
        <f aca="false">IF((D179="e"),F179," ")</f>
        <v> </v>
      </c>
      <c r="L179" s="180" t="str">
        <f aca="false">IF((D179="p"),F179," ")</f>
        <v> </v>
      </c>
      <c r="M179" s="180" t="str">
        <f aca="false">IF((D179="g"),F179," ")</f>
        <v> </v>
      </c>
      <c r="N179" s="180" t="str">
        <f aca="false">IF((D179="a"),F179," ")</f>
        <v> </v>
      </c>
      <c r="O179" s="180" t="str">
        <f aca="false">IF((D179="l"),F179," ")</f>
        <v> </v>
      </c>
      <c r="P179" s="180" t="str">
        <f aca="false">IF((D179="i"),F179," ")</f>
        <v> </v>
      </c>
      <c r="Q179" s="180" t="str">
        <f aca="false">IF((D179="b"),F179," ")</f>
        <v> </v>
      </c>
      <c r="R179" s="180" t="str">
        <f aca="false">IF((D179="o"),F179," ")</f>
        <v> </v>
      </c>
      <c r="S179" s="180" t="str">
        <f aca="false">IF((D179="f"),F179," ")</f>
        <v> </v>
      </c>
      <c r="U179" s="371"/>
    </row>
    <row r="180" customFormat="false" ht="12.75" hidden="false" customHeight="false" outlineLevel="0" collapsed="false">
      <c r="D180" s="371" t="str">
        <f aca="false">IF((F180&lt;&gt;0),"Enter Letter"," ")</f>
        <v> </v>
      </c>
      <c r="G180" s="180" t="str">
        <f aca="false">IF((D180="d"),F180," ")</f>
        <v> </v>
      </c>
      <c r="H180" s="180" t="str">
        <f aca="false">IF((D180="h"),F180," ")</f>
        <v> </v>
      </c>
      <c r="I180" s="180" t="str">
        <f aca="false">IF((D180="r"),F180," ")</f>
        <v> </v>
      </c>
      <c r="J180" s="180" t="str">
        <f aca="false">IF((D180="t"),F180," ")</f>
        <v> </v>
      </c>
      <c r="K180" s="180" t="str">
        <f aca="false">IF((D180="e"),F180," ")</f>
        <v> </v>
      </c>
      <c r="L180" s="180" t="str">
        <f aca="false">IF((D180="p"),F180," ")</f>
        <v> </v>
      </c>
      <c r="M180" s="180" t="str">
        <f aca="false">IF((D180="g"),F180," ")</f>
        <v> </v>
      </c>
      <c r="N180" s="180" t="str">
        <f aca="false">IF((D180="a"),F180," ")</f>
        <v> </v>
      </c>
      <c r="O180" s="180" t="str">
        <f aca="false">IF((D180="l"),F180," ")</f>
        <v> </v>
      </c>
      <c r="P180" s="180" t="str">
        <f aca="false">IF((D180="i"),F180," ")</f>
        <v> </v>
      </c>
      <c r="Q180" s="180" t="str">
        <f aca="false">IF((D180="b"),F180," ")</f>
        <v> </v>
      </c>
      <c r="R180" s="180" t="str">
        <f aca="false">IF((D180="o"),F180," ")</f>
        <v> </v>
      </c>
      <c r="S180" s="180" t="str">
        <f aca="false">IF((D180="f"),F180," ")</f>
        <v> </v>
      </c>
      <c r="U180" s="371"/>
    </row>
    <row r="181" customFormat="false" ht="12.75" hidden="false" customHeight="false" outlineLevel="0" collapsed="false">
      <c r="D181" s="371" t="str">
        <f aca="false">IF((F181&lt;&gt;0),"Enter Letter"," ")</f>
        <v> </v>
      </c>
      <c r="G181" s="180" t="str">
        <f aca="false">IF((D181="d"),F181," ")</f>
        <v> </v>
      </c>
      <c r="H181" s="180" t="str">
        <f aca="false">IF((D181="h"),F181," ")</f>
        <v> </v>
      </c>
      <c r="I181" s="180" t="str">
        <f aca="false">IF((D181="r"),F181," ")</f>
        <v> </v>
      </c>
      <c r="J181" s="180" t="str">
        <f aca="false">IF((D181="t"),F181," ")</f>
        <v> </v>
      </c>
      <c r="K181" s="180" t="str">
        <f aca="false">IF((D181="e"),F181," ")</f>
        <v> </v>
      </c>
      <c r="L181" s="180" t="str">
        <f aca="false">IF((D181="p"),F181," ")</f>
        <v> </v>
      </c>
      <c r="M181" s="180" t="str">
        <f aca="false">IF((D181="g"),F181," ")</f>
        <v> </v>
      </c>
      <c r="N181" s="180" t="str">
        <f aca="false">IF((D181="a"),F181," ")</f>
        <v> </v>
      </c>
      <c r="O181" s="180" t="str">
        <f aca="false">IF((D181="l"),F181," ")</f>
        <v> </v>
      </c>
      <c r="P181" s="180" t="str">
        <f aca="false">IF((D181="i"),F181," ")</f>
        <v> </v>
      </c>
      <c r="Q181" s="180" t="str">
        <f aca="false">IF((D181="b"),F181," ")</f>
        <v> </v>
      </c>
      <c r="R181" s="180" t="str">
        <f aca="false">IF((D181="o"),F181," ")</f>
        <v> </v>
      </c>
      <c r="S181" s="180" t="str">
        <f aca="false">IF((D181="f"),F181," ")</f>
        <v> </v>
      </c>
      <c r="U181" s="371"/>
    </row>
    <row r="182" customFormat="false" ht="12.75" hidden="false" customHeight="false" outlineLevel="0" collapsed="false">
      <c r="D182" s="371" t="str">
        <f aca="false">IF((F182&lt;&gt;0),"Enter Letter"," ")</f>
        <v> </v>
      </c>
      <c r="G182" s="180" t="str">
        <f aca="false">IF((D182="d"),F182," ")</f>
        <v> </v>
      </c>
      <c r="H182" s="180" t="str">
        <f aca="false">IF((D182="h"),F182," ")</f>
        <v> </v>
      </c>
      <c r="I182" s="180" t="str">
        <f aca="false">IF((D182="r"),F182," ")</f>
        <v> </v>
      </c>
      <c r="J182" s="180" t="str">
        <f aca="false">IF((D182="t"),F182," ")</f>
        <v> </v>
      </c>
      <c r="K182" s="180" t="str">
        <f aca="false">IF((D182="e"),F182," ")</f>
        <v> </v>
      </c>
      <c r="L182" s="180" t="str">
        <f aca="false">IF((D182="p"),F182," ")</f>
        <v> </v>
      </c>
      <c r="M182" s="180" t="str">
        <f aca="false">IF((D182="g"),F182," ")</f>
        <v> </v>
      </c>
      <c r="N182" s="180" t="str">
        <f aca="false">IF((D182="a"),F182," ")</f>
        <v> </v>
      </c>
      <c r="O182" s="180" t="str">
        <f aca="false">IF((D182="l"),F182," ")</f>
        <v> </v>
      </c>
      <c r="P182" s="180" t="str">
        <f aca="false">IF((D182="i"),F182," ")</f>
        <v> </v>
      </c>
      <c r="Q182" s="180" t="str">
        <f aca="false">IF((D182="b"),F182," ")</f>
        <v> </v>
      </c>
      <c r="R182" s="180" t="str">
        <f aca="false">IF((D182="o"),F182," ")</f>
        <v> </v>
      </c>
      <c r="S182" s="180" t="str">
        <f aca="false">IF((D182="f"),F182," ")</f>
        <v> </v>
      </c>
      <c r="U182" s="371"/>
    </row>
    <row r="183" customFormat="false" ht="12.75" hidden="false" customHeight="false" outlineLevel="0" collapsed="false">
      <c r="D183" s="371" t="str">
        <f aca="false">IF((F183&lt;&gt;0),"Enter Letter"," ")</f>
        <v> </v>
      </c>
      <c r="G183" s="180" t="str">
        <f aca="false">IF((D183="d"),F183," ")</f>
        <v> </v>
      </c>
      <c r="H183" s="180" t="str">
        <f aca="false">IF((D183="h"),F183," ")</f>
        <v> </v>
      </c>
      <c r="I183" s="180" t="str">
        <f aca="false">IF((D183="r"),F183," ")</f>
        <v> </v>
      </c>
      <c r="J183" s="180" t="str">
        <f aca="false">IF((D183="t"),F183," ")</f>
        <v> </v>
      </c>
      <c r="K183" s="180" t="str">
        <f aca="false">IF((D183="e"),F183," ")</f>
        <v> </v>
      </c>
      <c r="L183" s="180" t="str">
        <f aca="false">IF((D183="p"),F183," ")</f>
        <v> </v>
      </c>
      <c r="M183" s="180" t="str">
        <f aca="false">IF((D183="g"),F183," ")</f>
        <v> </v>
      </c>
      <c r="N183" s="180" t="str">
        <f aca="false">IF((D183="a"),F183," ")</f>
        <v> </v>
      </c>
      <c r="O183" s="180" t="str">
        <f aca="false">IF((D183="l"),F183," ")</f>
        <v> </v>
      </c>
      <c r="P183" s="180" t="str">
        <f aca="false">IF((D183="i"),F183," ")</f>
        <v> </v>
      </c>
      <c r="Q183" s="180" t="str">
        <f aca="false">IF((D183="b"),F183," ")</f>
        <v> </v>
      </c>
      <c r="R183" s="180" t="str">
        <f aca="false">IF((D183="o"),F183," ")</f>
        <v> </v>
      </c>
      <c r="S183" s="180" t="str">
        <f aca="false">IF((D183="f"),F183," ")</f>
        <v> </v>
      </c>
      <c r="U183" s="371"/>
    </row>
    <row r="184" customFormat="false" ht="12.75" hidden="false" customHeight="false" outlineLevel="0" collapsed="false">
      <c r="D184" s="371" t="str">
        <f aca="false">IF((F184&lt;&gt;0),"Enter Letter"," ")</f>
        <v> </v>
      </c>
      <c r="G184" s="180" t="str">
        <f aca="false">IF((D184="d"),F184," ")</f>
        <v> </v>
      </c>
      <c r="H184" s="180" t="str">
        <f aca="false">IF((D184="h"),F184," ")</f>
        <v> </v>
      </c>
      <c r="I184" s="180" t="str">
        <f aca="false">IF((D184="r"),F184," ")</f>
        <v> </v>
      </c>
      <c r="J184" s="180" t="str">
        <f aca="false">IF((D184="t"),F184," ")</f>
        <v> </v>
      </c>
      <c r="K184" s="180" t="str">
        <f aca="false">IF((D184="e"),F184," ")</f>
        <v> </v>
      </c>
      <c r="L184" s="180" t="str">
        <f aca="false">IF((D184="p"),F184," ")</f>
        <v> </v>
      </c>
      <c r="M184" s="180" t="str">
        <f aca="false">IF((D184="g"),F184," ")</f>
        <v> </v>
      </c>
      <c r="N184" s="180" t="str">
        <f aca="false">IF((D184="a"),F184," ")</f>
        <v> </v>
      </c>
      <c r="O184" s="180" t="str">
        <f aca="false">IF((D184="l"),F184," ")</f>
        <v> </v>
      </c>
      <c r="P184" s="180" t="str">
        <f aca="false">IF((D184="i"),F184," ")</f>
        <v> </v>
      </c>
      <c r="Q184" s="180" t="str">
        <f aca="false">IF((D184="b"),F184," ")</f>
        <v> </v>
      </c>
      <c r="R184" s="180" t="str">
        <f aca="false">IF((D184="o"),F184," ")</f>
        <v> </v>
      </c>
      <c r="S184" s="180" t="str">
        <f aca="false">IF((D184="f"),F184," ")</f>
        <v> </v>
      </c>
      <c r="U184" s="371"/>
    </row>
    <row r="185" customFormat="false" ht="12.75" hidden="false" customHeight="false" outlineLevel="0" collapsed="false">
      <c r="D185" s="371" t="str">
        <f aca="false">IF((F185&lt;&gt;0),"Enter Letter"," ")</f>
        <v> </v>
      </c>
      <c r="G185" s="180" t="str">
        <f aca="false">IF((D185="d"),F185," ")</f>
        <v> </v>
      </c>
      <c r="H185" s="180" t="str">
        <f aca="false">IF((D185="h"),F185," ")</f>
        <v> </v>
      </c>
      <c r="I185" s="180" t="str">
        <f aca="false">IF((D185="r"),F185," ")</f>
        <v> </v>
      </c>
      <c r="J185" s="180" t="str">
        <f aca="false">IF((D185="t"),F185," ")</f>
        <v> </v>
      </c>
      <c r="K185" s="180" t="str">
        <f aca="false">IF((D185="e"),F185," ")</f>
        <v> </v>
      </c>
      <c r="L185" s="180" t="str">
        <f aca="false">IF((D185="p"),F185," ")</f>
        <v> </v>
      </c>
      <c r="M185" s="180" t="str">
        <f aca="false">IF((D185="g"),F185," ")</f>
        <v> </v>
      </c>
      <c r="N185" s="180" t="str">
        <f aca="false">IF((D185="a"),F185," ")</f>
        <v> </v>
      </c>
      <c r="O185" s="180" t="str">
        <f aca="false">IF((D185="l"),F185," ")</f>
        <v> </v>
      </c>
      <c r="P185" s="180" t="str">
        <f aca="false">IF((D185="i"),F185," ")</f>
        <v> </v>
      </c>
      <c r="Q185" s="180" t="str">
        <f aca="false">IF((D185="b"),F185," ")</f>
        <v> </v>
      </c>
      <c r="R185" s="180" t="str">
        <f aca="false">IF((D185="o"),F185," ")</f>
        <v> </v>
      </c>
      <c r="S185" s="180" t="str">
        <f aca="false">IF((D185="f"),F185," ")</f>
        <v> </v>
      </c>
      <c r="U185" s="371"/>
    </row>
    <row r="186" customFormat="false" ht="12.75" hidden="false" customHeight="false" outlineLevel="0" collapsed="false">
      <c r="D186" s="371" t="str">
        <f aca="false">IF((F186&lt;&gt;0),"Enter Letter"," ")</f>
        <v> </v>
      </c>
      <c r="G186" s="180" t="str">
        <f aca="false">IF((D186="d"),F186," ")</f>
        <v> </v>
      </c>
      <c r="H186" s="180" t="str">
        <f aca="false">IF((D186="h"),F186," ")</f>
        <v> </v>
      </c>
      <c r="I186" s="180" t="str">
        <f aca="false">IF((D186="r"),F186," ")</f>
        <v> </v>
      </c>
      <c r="J186" s="180" t="str">
        <f aca="false">IF((D186="t"),F186," ")</f>
        <v> </v>
      </c>
      <c r="K186" s="180" t="str">
        <f aca="false">IF((D186="e"),F186," ")</f>
        <v> </v>
      </c>
      <c r="L186" s="180" t="str">
        <f aca="false">IF((D186="p"),F186," ")</f>
        <v> </v>
      </c>
      <c r="M186" s="180" t="str">
        <f aca="false">IF((D186="g"),F186," ")</f>
        <v> </v>
      </c>
      <c r="N186" s="180" t="str">
        <f aca="false">IF((D186="a"),F186," ")</f>
        <v> </v>
      </c>
      <c r="O186" s="180" t="str">
        <f aca="false">IF((D186="l"),F186," ")</f>
        <v> </v>
      </c>
      <c r="P186" s="180" t="str">
        <f aca="false">IF((D186="i"),F186," ")</f>
        <v> </v>
      </c>
      <c r="Q186" s="180" t="str">
        <f aca="false">IF((D186="b"),F186," ")</f>
        <v> </v>
      </c>
      <c r="R186" s="180" t="str">
        <f aca="false">IF((D186="o"),F186," ")</f>
        <v> </v>
      </c>
      <c r="S186" s="180" t="str">
        <f aca="false">IF((D186="f"),F186," ")</f>
        <v> </v>
      </c>
      <c r="U186" s="371"/>
    </row>
    <row r="187" customFormat="false" ht="12.75" hidden="false" customHeight="false" outlineLevel="0" collapsed="false">
      <c r="D187" s="371" t="str">
        <f aca="false">IF((F187&lt;&gt;0),"Enter Letter"," ")</f>
        <v> </v>
      </c>
      <c r="G187" s="180" t="str">
        <f aca="false">IF((D187="d"),F187," ")</f>
        <v> </v>
      </c>
      <c r="H187" s="180" t="str">
        <f aca="false">IF((D187="h"),F187," ")</f>
        <v> </v>
      </c>
      <c r="I187" s="180" t="str">
        <f aca="false">IF((D187="r"),F187," ")</f>
        <v> </v>
      </c>
      <c r="J187" s="180" t="str">
        <f aca="false">IF((D187="t"),F187," ")</f>
        <v> </v>
      </c>
      <c r="K187" s="180" t="str">
        <f aca="false">IF((D187="e"),F187," ")</f>
        <v> </v>
      </c>
      <c r="L187" s="180" t="str">
        <f aca="false">IF((D187="p"),F187," ")</f>
        <v> </v>
      </c>
      <c r="M187" s="180" t="str">
        <f aca="false">IF((D187="g"),F187," ")</f>
        <v> </v>
      </c>
      <c r="N187" s="180" t="str">
        <f aca="false">IF((D187="a"),F187," ")</f>
        <v> </v>
      </c>
      <c r="O187" s="180" t="str">
        <f aca="false">IF((D187="l"),F187," ")</f>
        <v> </v>
      </c>
      <c r="P187" s="180" t="str">
        <f aca="false">IF((D187="i"),F187," ")</f>
        <v> </v>
      </c>
      <c r="Q187" s="180" t="str">
        <f aca="false">IF((D187="b"),F187," ")</f>
        <v> </v>
      </c>
      <c r="R187" s="180" t="str">
        <f aca="false">IF((D187="o"),F187," ")</f>
        <v> </v>
      </c>
      <c r="S187" s="180" t="str">
        <f aca="false">IF((D187="f"),F187," ")</f>
        <v> </v>
      </c>
      <c r="U187" s="371"/>
    </row>
    <row r="188" customFormat="false" ht="12.75" hidden="false" customHeight="false" outlineLevel="0" collapsed="false">
      <c r="D188" s="371" t="str">
        <f aca="false">IF((F188&lt;&gt;0),"Enter Letter"," ")</f>
        <v> </v>
      </c>
      <c r="G188" s="180" t="str">
        <f aca="false">IF((D188="d"),F188," ")</f>
        <v> </v>
      </c>
      <c r="H188" s="180" t="str">
        <f aca="false">IF((D188="h"),F188," ")</f>
        <v> </v>
      </c>
      <c r="I188" s="180" t="str">
        <f aca="false">IF((D188="r"),F188," ")</f>
        <v> </v>
      </c>
      <c r="J188" s="180" t="str">
        <f aca="false">IF((D188="t"),F188," ")</f>
        <v> </v>
      </c>
      <c r="K188" s="180" t="str">
        <f aca="false">IF((D188="e"),F188," ")</f>
        <v> </v>
      </c>
      <c r="L188" s="180" t="str">
        <f aca="false">IF((D188="p"),F188," ")</f>
        <v> </v>
      </c>
      <c r="M188" s="180" t="str">
        <f aca="false">IF((D188="g"),F188," ")</f>
        <v> </v>
      </c>
      <c r="N188" s="180" t="str">
        <f aca="false">IF((D188="a"),F188," ")</f>
        <v> </v>
      </c>
      <c r="O188" s="180" t="str">
        <f aca="false">IF((D188="l"),F188," ")</f>
        <v> </v>
      </c>
      <c r="P188" s="180" t="str">
        <f aca="false">IF((D188="i"),F188," ")</f>
        <v> </v>
      </c>
      <c r="Q188" s="180" t="str">
        <f aca="false">IF((D188="b"),F188," ")</f>
        <v> </v>
      </c>
      <c r="R188" s="180" t="str">
        <f aca="false">IF((D188="o"),F188," ")</f>
        <v> </v>
      </c>
      <c r="S188" s="180" t="str">
        <f aca="false">IF((D188="f"),F188," ")</f>
        <v> </v>
      </c>
      <c r="U188" s="371"/>
    </row>
    <row r="189" customFormat="false" ht="12.75" hidden="false" customHeight="false" outlineLevel="0" collapsed="false">
      <c r="D189" s="371" t="str">
        <f aca="false">IF((F189&lt;&gt;0),"Enter Letter"," ")</f>
        <v> </v>
      </c>
      <c r="G189" s="180" t="str">
        <f aca="false">IF((D189="d"),F189," ")</f>
        <v> </v>
      </c>
      <c r="H189" s="180" t="str">
        <f aca="false">IF((D189="h"),F189," ")</f>
        <v> </v>
      </c>
      <c r="I189" s="180" t="str">
        <f aca="false">IF((D189="r"),F189," ")</f>
        <v> </v>
      </c>
      <c r="J189" s="180" t="str">
        <f aca="false">IF((D189="t"),F189," ")</f>
        <v> </v>
      </c>
      <c r="K189" s="180" t="str">
        <f aca="false">IF((D189="e"),F189," ")</f>
        <v> </v>
      </c>
      <c r="L189" s="180" t="str">
        <f aca="false">IF((D189="p"),F189," ")</f>
        <v> </v>
      </c>
      <c r="M189" s="180" t="str">
        <f aca="false">IF((D189="g"),F189," ")</f>
        <v> </v>
      </c>
      <c r="N189" s="180" t="str">
        <f aca="false">IF((D189="a"),F189," ")</f>
        <v> </v>
      </c>
      <c r="O189" s="180" t="str">
        <f aca="false">IF((D189="l"),F189," ")</f>
        <v> </v>
      </c>
      <c r="P189" s="180" t="str">
        <f aca="false">IF((D189="i"),F189," ")</f>
        <v> </v>
      </c>
      <c r="Q189" s="180" t="str">
        <f aca="false">IF((D189="b"),F189," ")</f>
        <v> </v>
      </c>
      <c r="R189" s="180" t="str">
        <f aca="false">IF((D189="o"),F189," ")</f>
        <v> </v>
      </c>
      <c r="S189" s="180" t="str">
        <f aca="false">IF((D189="f"),F189," ")</f>
        <v> </v>
      </c>
      <c r="U189" s="371"/>
    </row>
    <row r="190" customFormat="false" ht="12.75" hidden="false" customHeight="false" outlineLevel="0" collapsed="false">
      <c r="D190" s="371" t="str">
        <f aca="false">IF((F190&lt;&gt;0),"Enter Letter"," ")</f>
        <v> </v>
      </c>
      <c r="G190" s="180" t="str">
        <f aca="false">IF((D190="d"),F190," ")</f>
        <v> </v>
      </c>
      <c r="H190" s="180" t="str">
        <f aca="false">IF((D190="h"),F190," ")</f>
        <v> </v>
      </c>
      <c r="I190" s="180" t="str">
        <f aca="false">IF((D190="r"),F190," ")</f>
        <v> </v>
      </c>
      <c r="J190" s="180" t="str">
        <f aca="false">IF((D190="t"),F190," ")</f>
        <v> </v>
      </c>
      <c r="K190" s="180" t="str">
        <f aca="false">IF((D190="e"),F190," ")</f>
        <v> </v>
      </c>
      <c r="L190" s="180" t="str">
        <f aca="false">IF((D190="p"),F190," ")</f>
        <v> </v>
      </c>
      <c r="M190" s="180" t="str">
        <f aca="false">IF((D190="g"),F190," ")</f>
        <v> </v>
      </c>
      <c r="N190" s="180" t="str">
        <f aca="false">IF((D190="a"),F190," ")</f>
        <v> </v>
      </c>
      <c r="O190" s="180" t="str">
        <f aca="false">IF((D190="l"),F190," ")</f>
        <v> </v>
      </c>
      <c r="P190" s="180" t="str">
        <f aca="false">IF((D190="i"),F190," ")</f>
        <v> </v>
      </c>
      <c r="Q190" s="180" t="str">
        <f aca="false">IF((D190="b"),F190," ")</f>
        <v> </v>
      </c>
      <c r="R190" s="180" t="str">
        <f aca="false">IF((D190="o"),F190," ")</f>
        <v> </v>
      </c>
      <c r="S190" s="180" t="str">
        <f aca="false">IF((D190="f"),F190," ")</f>
        <v> </v>
      </c>
      <c r="U190" s="371"/>
    </row>
    <row r="191" customFormat="false" ht="12.75" hidden="false" customHeight="false" outlineLevel="0" collapsed="false">
      <c r="D191" s="371" t="str">
        <f aca="false">IF((F191&lt;&gt;0),"Enter Letter"," ")</f>
        <v> </v>
      </c>
      <c r="G191" s="180" t="str">
        <f aca="false">IF((D191="d"),F191," ")</f>
        <v> </v>
      </c>
      <c r="H191" s="180" t="str">
        <f aca="false">IF((D191="h"),F191," ")</f>
        <v> </v>
      </c>
      <c r="I191" s="180" t="str">
        <f aca="false">IF((D191="r"),F191," ")</f>
        <v> </v>
      </c>
      <c r="J191" s="180" t="str">
        <f aca="false">IF((D191="t"),F191," ")</f>
        <v> </v>
      </c>
      <c r="K191" s="180" t="str">
        <f aca="false">IF((D191="e"),F191," ")</f>
        <v> </v>
      </c>
      <c r="L191" s="180" t="str">
        <f aca="false">IF((D191="p"),F191," ")</f>
        <v> </v>
      </c>
      <c r="M191" s="180" t="str">
        <f aca="false">IF((D191="g"),F191," ")</f>
        <v> </v>
      </c>
      <c r="N191" s="180" t="str">
        <f aca="false">IF((D191="a"),F191," ")</f>
        <v> </v>
      </c>
      <c r="O191" s="180" t="str">
        <f aca="false">IF((D191="l"),F191," ")</f>
        <v> </v>
      </c>
      <c r="P191" s="180" t="str">
        <f aca="false">IF((D191="i"),F191," ")</f>
        <v> </v>
      </c>
      <c r="Q191" s="180" t="str">
        <f aca="false">IF((D191="b"),F191," ")</f>
        <v> </v>
      </c>
      <c r="R191" s="180" t="str">
        <f aca="false">IF((D191="o"),F191," ")</f>
        <v> </v>
      </c>
      <c r="S191" s="180" t="str">
        <f aca="false">IF((D191="f"),F191," ")</f>
        <v> </v>
      </c>
      <c r="U191" s="371"/>
    </row>
    <row r="192" customFormat="false" ht="12.75" hidden="false" customHeight="false" outlineLevel="0" collapsed="false">
      <c r="D192" s="371" t="str">
        <f aca="false">IF((F192&lt;&gt;0),"Enter Letter"," ")</f>
        <v> </v>
      </c>
      <c r="G192" s="180" t="str">
        <f aca="false">IF((D192="d"),F192," ")</f>
        <v> </v>
      </c>
      <c r="H192" s="180" t="str">
        <f aca="false">IF((D192="h"),F192," ")</f>
        <v> </v>
      </c>
      <c r="I192" s="180" t="str">
        <f aca="false">IF((D192="r"),F192," ")</f>
        <v> </v>
      </c>
      <c r="J192" s="180" t="str">
        <f aca="false">IF((D192="t"),F192," ")</f>
        <v> </v>
      </c>
      <c r="K192" s="180" t="str">
        <f aca="false">IF((D192="e"),F192," ")</f>
        <v> </v>
      </c>
      <c r="L192" s="180" t="str">
        <f aca="false">IF((D192="p"),F192," ")</f>
        <v> </v>
      </c>
      <c r="M192" s="180" t="str">
        <f aca="false">IF((D192="g"),F192," ")</f>
        <v> </v>
      </c>
      <c r="N192" s="180" t="str">
        <f aca="false">IF((D192="a"),F192," ")</f>
        <v> </v>
      </c>
      <c r="O192" s="180" t="str">
        <f aca="false">IF((D192="l"),F192," ")</f>
        <v> </v>
      </c>
      <c r="P192" s="180" t="str">
        <f aca="false">IF((D192="i"),F192," ")</f>
        <v> </v>
      </c>
      <c r="Q192" s="180" t="str">
        <f aca="false">IF((D192="b"),F192," ")</f>
        <v> </v>
      </c>
      <c r="R192" s="180" t="str">
        <f aca="false">IF((D192="o"),F192," ")</f>
        <v> </v>
      </c>
      <c r="S192" s="180" t="str">
        <f aca="false">IF((D192="f"),F192," ")</f>
        <v> </v>
      </c>
      <c r="U192" s="371"/>
    </row>
    <row r="193" customFormat="false" ht="12.75" hidden="false" customHeight="false" outlineLevel="0" collapsed="false">
      <c r="D193" s="371" t="str">
        <f aca="false">IF((F193&lt;&gt;0),"Enter Letter"," ")</f>
        <v> </v>
      </c>
      <c r="G193" s="180" t="str">
        <f aca="false">IF((D193="d"),F193," ")</f>
        <v> </v>
      </c>
      <c r="H193" s="180" t="str">
        <f aca="false">IF((D193="h"),F193," ")</f>
        <v> </v>
      </c>
      <c r="I193" s="180" t="str">
        <f aca="false">IF((D193="r"),F193," ")</f>
        <v> </v>
      </c>
      <c r="J193" s="180" t="str">
        <f aca="false">IF((D193="t"),F193," ")</f>
        <v> </v>
      </c>
      <c r="K193" s="180" t="str">
        <f aca="false">IF((D193="e"),F193," ")</f>
        <v> </v>
      </c>
      <c r="L193" s="180" t="str">
        <f aca="false">IF((D193="p"),F193," ")</f>
        <v> </v>
      </c>
      <c r="M193" s="180" t="str">
        <f aca="false">IF((D193="g"),F193," ")</f>
        <v> </v>
      </c>
      <c r="N193" s="180" t="str">
        <f aca="false">IF((D193="a"),F193," ")</f>
        <v> </v>
      </c>
      <c r="O193" s="180" t="str">
        <f aca="false">IF((D193="l"),F193," ")</f>
        <v> </v>
      </c>
      <c r="P193" s="180" t="str">
        <f aca="false">IF((D193="i"),F193," ")</f>
        <v> </v>
      </c>
      <c r="Q193" s="180" t="str">
        <f aca="false">IF((D193="b"),F193," ")</f>
        <v> </v>
      </c>
      <c r="R193" s="180" t="str">
        <f aca="false">IF((D193="o"),F193," ")</f>
        <v> </v>
      </c>
      <c r="S193" s="180" t="str">
        <f aca="false">IF((D193="f"),F193," ")</f>
        <v> </v>
      </c>
      <c r="U193" s="371"/>
    </row>
    <row r="194" customFormat="false" ht="12.75" hidden="false" customHeight="false" outlineLevel="0" collapsed="false">
      <c r="D194" s="371" t="str">
        <f aca="false">IF((F194&lt;&gt;0),"Enter Letter"," ")</f>
        <v> </v>
      </c>
      <c r="G194" s="180" t="str">
        <f aca="false">IF((D194="d"),F194," ")</f>
        <v> </v>
      </c>
      <c r="H194" s="180" t="str">
        <f aca="false">IF((D194="h"),F194," ")</f>
        <v> </v>
      </c>
      <c r="I194" s="180" t="str">
        <f aca="false">IF((D194="r"),F194," ")</f>
        <v> </v>
      </c>
      <c r="J194" s="180" t="str">
        <f aca="false">IF((D194="t"),F194," ")</f>
        <v> </v>
      </c>
      <c r="K194" s="180" t="str">
        <f aca="false">IF((D194="e"),F194," ")</f>
        <v> </v>
      </c>
      <c r="L194" s="180" t="str">
        <f aca="false">IF((D194="p"),F194," ")</f>
        <v> </v>
      </c>
      <c r="M194" s="180" t="str">
        <f aca="false">IF((D194="g"),F194," ")</f>
        <v> </v>
      </c>
      <c r="N194" s="180" t="str">
        <f aca="false">IF((D194="a"),F194," ")</f>
        <v> </v>
      </c>
      <c r="O194" s="180" t="str">
        <f aca="false">IF((D194="l"),F194," ")</f>
        <v> </v>
      </c>
      <c r="P194" s="180" t="str">
        <f aca="false">IF((D194="i"),F194," ")</f>
        <v> </v>
      </c>
      <c r="Q194" s="180" t="str">
        <f aca="false">IF((D194="b"),F194," ")</f>
        <v> </v>
      </c>
      <c r="R194" s="180" t="str">
        <f aca="false">IF((D194="o"),F194," ")</f>
        <v> </v>
      </c>
      <c r="S194" s="180" t="str">
        <f aca="false">IF((D194="f"),F194," ")</f>
        <v> </v>
      </c>
      <c r="U194" s="371"/>
    </row>
    <row r="195" customFormat="false" ht="12.75" hidden="false" customHeight="false" outlineLevel="0" collapsed="false">
      <c r="D195" s="371" t="str">
        <f aca="false">IF((F195&lt;&gt;0),"Enter Letter"," ")</f>
        <v> </v>
      </c>
      <c r="G195" s="180" t="str">
        <f aca="false">IF((D195="d"),F195," ")</f>
        <v> </v>
      </c>
      <c r="H195" s="180" t="str">
        <f aca="false">IF((D195="h"),F195," ")</f>
        <v> </v>
      </c>
      <c r="I195" s="180" t="str">
        <f aca="false">IF((D195="r"),F195," ")</f>
        <v> </v>
      </c>
      <c r="J195" s="180" t="str">
        <f aca="false">IF((D195="t"),F195," ")</f>
        <v> </v>
      </c>
      <c r="K195" s="180" t="str">
        <f aca="false">IF((D195="e"),F195," ")</f>
        <v> </v>
      </c>
      <c r="L195" s="180" t="str">
        <f aca="false">IF((D195="p"),F195," ")</f>
        <v> </v>
      </c>
      <c r="M195" s="180" t="str">
        <f aca="false">IF((D195="g"),F195," ")</f>
        <v> </v>
      </c>
      <c r="N195" s="180" t="str">
        <f aca="false">IF((D195="a"),F195," ")</f>
        <v> </v>
      </c>
      <c r="O195" s="180" t="str">
        <f aca="false">IF((D195="l"),F195," ")</f>
        <v> </v>
      </c>
      <c r="P195" s="180" t="str">
        <f aca="false">IF((D195="i"),F195," ")</f>
        <v> </v>
      </c>
      <c r="Q195" s="180" t="str">
        <f aca="false">IF((D195="b"),F195," ")</f>
        <v> </v>
      </c>
      <c r="R195" s="180" t="str">
        <f aca="false">IF((D195="o"),F195," ")</f>
        <v> </v>
      </c>
      <c r="S195" s="180" t="str">
        <f aca="false">IF((D195="f"),F195," ")</f>
        <v> </v>
      </c>
      <c r="U195" s="371"/>
    </row>
    <row r="196" customFormat="false" ht="12.75" hidden="false" customHeight="false" outlineLevel="0" collapsed="false">
      <c r="D196" s="371" t="str">
        <f aca="false">IF((F196&lt;&gt;0),"Enter Letter"," ")</f>
        <v> </v>
      </c>
      <c r="G196" s="180" t="str">
        <f aca="false">IF((D196="d"),F196," ")</f>
        <v> </v>
      </c>
      <c r="H196" s="180" t="str">
        <f aca="false">IF((D196="h"),F196," ")</f>
        <v> </v>
      </c>
      <c r="I196" s="180" t="str">
        <f aca="false">IF((D196="r"),F196," ")</f>
        <v> </v>
      </c>
      <c r="J196" s="180" t="str">
        <f aca="false">IF((D196="t"),F196," ")</f>
        <v> </v>
      </c>
      <c r="K196" s="180" t="str">
        <f aca="false">IF((D196="e"),F196," ")</f>
        <v> </v>
      </c>
      <c r="L196" s="180" t="str">
        <f aca="false">IF((D196="p"),F196," ")</f>
        <v> </v>
      </c>
      <c r="M196" s="180" t="str">
        <f aca="false">IF((D196="g"),F196," ")</f>
        <v> </v>
      </c>
      <c r="N196" s="180" t="str">
        <f aca="false">IF((D196="a"),F196," ")</f>
        <v> </v>
      </c>
      <c r="O196" s="180" t="str">
        <f aca="false">IF((D196="l"),F196," ")</f>
        <v> </v>
      </c>
      <c r="P196" s="180" t="str">
        <f aca="false">IF((D196="i"),F196," ")</f>
        <v> </v>
      </c>
      <c r="Q196" s="180" t="str">
        <f aca="false">IF((D196="b"),F196," ")</f>
        <v> </v>
      </c>
      <c r="R196" s="180" t="str">
        <f aca="false">IF((D196="o"),F196," ")</f>
        <v> </v>
      </c>
      <c r="S196" s="180" t="str">
        <f aca="false">IF((D196="f"),F196," ")</f>
        <v> </v>
      </c>
      <c r="U196" s="371"/>
    </row>
    <row r="197" customFormat="false" ht="12.75" hidden="false" customHeight="false" outlineLevel="0" collapsed="false">
      <c r="D197" s="371" t="str">
        <f aca="false">IF((F197&lt;&gt;0),"Enter Letter"," ")</f>
        <v> </v>
      </c>
      <c r="G197" s="180" t="str">
        <f aca="false">IF((D197="d"),F197," ")</f>
        <v> </v>
      </c>
      <c r="H197" s="180" t="str">
        <f aca="false">IF((D197="h"),F197," ")</f>
        <v> </v>
      </c>
      <c r="I197" s="180" t="str">
        <f aca="false">IF((D197="r"),F197," ")</f>
        <v> </v>
      </c>
      <c r="J197" s="180" t="str">
        <f aca="false">IF((D197="t"),F197," ")</f>
        <v> </v>
      </c>
      <c r="K197" s="180" t="str">
        <f aca="false">IF((D197="e"),F197," ")</f>
        <v> </v>
      </c>
      <c r="L197" s="180" t="str">
        <f aca="false">IF((D197="p"),F197," ")</f>
        <v> </v>
      </c>
      <c r="M197" s="180" t="str">
        <f aca="false">IF((D197="g"),F197," ")</f>
        <v> </v>
      </c>
      <c r="N197" s="180" t="str">
        <f aca="false">IF((D197="a"),F197," ")</f>
        <v> </v>
      </c>
      <c r="O197" s="180" t="str">
        <f aca="false">IF((D197="l"),F197," ")</f>
        <v> </v>
      </c>
      <c r="P197" s="180" t="str">
        <f aca="false">IF((D197="i"),F197," ")</f>
        <v> </v>
      </c>
      <c r="Q197" s="180" t="str">
        <f aca="false">IF((D197="b"),F197," ")</f>
        <v> </v>
      </c>
      <c r="R197" s="180" t="str">
        <f aca="false">IF((D197="o"),F197," ")</f>
        <v> </v>
      </c>
      <c r="S197" s="180" t="str">
        <f aca="false">IF((D197="f"),F197," ")</f>
        <v> </v>
      </c>
      <c r="U197" s="371"/>
    </row>
    <row r="198" customFormat="false" ht="12.75" hidden="false" customHeight="false" outlineLevel="0" collapsed="false">
      <c r="D198" s="371" t="str">
        <f aca="false">IF((F198&lt;&gt;0),"Enter Letter"," ")</f>
        <v> </v>
      </c>
      <c r="G198" s="180" t="str">
        <f aca="false">IF((D198="d"),F198," ")</f>
        <v> </v>
      </c>
      <c r="H198" s="180" t="str">
        <f aca="false">IF((D198="h"),F198," ")</f>
        <v> </v>
      </c>
      <c r="I198" s="180" t="str">
        <f aca="false">IF((D198="r"),F198," ")</f>
        <v> </v>
      </c>
      <c r="J198" s="180" t="str">
        <f aca="false">IF((D198="t"),F198," ")</f>
        <v> </v>
      </c>
      <c r="K198" s="180" t="str">
        <f aca="false">IF((D198="e"),F198," ")</f>
        <v> </v>
      </c>
      <c r="L198" s="180" t="str">
        <f aca="false">IF((D198="p"),F198," ")</f>
        <v> </v>
      </c>
      <c r="M198" s="180" t="str">
        <f aca="false">IF((D198="g"),F198," ")</f>
        <v> </v>
      </c>
      <c r="N198" s="180" t="str">
        <f aca="false">IF((D198="a"),F198," ")</f>
        <v> </v>
      </c>
      <c r="O198" s="180" t="str">
        <f aca="false">IF((D198="l"),F198," ")</f>
        <v> </v>
      </c>
      <c r="P198" s="180" t="str">
        <f aca="false">IF((D198="i"),F198," ")</f>
        <v> </v>
      </c>
      <c r="Q198" s="180" t="str">
        <f aca="false">IF((D198="b"),F198," ")</f>
        <v> </v>
      </c>
      <c r="R198" s="180" t="str">
        <f aca="false">IF((D198="o"),F198," ")</f>
        <v> </v>
      </c>
      <c r="S198" s="180" t="str">
        <f aca="false">IF((D198="f"),F198," ")</f>
        <v> </v>
      </c>
      <c r="U198" s="371"/>
    </row>
    <row r="199" customFormat="false" ht="12.75" hidden="false" customHeight="false" outlineLevel="0" collapsed="false">
      <c r="D199" s="371" t="str">
        <f aca="false">IF((F199&lt;&gt;0),"Enter Letter"," ")</f>
        <v> </v>
      </c>
      <c r="G199" s="180" t="str">
        <f aca="false">IF((D199="d"),F199," ")</f>
        <v> </v>
      </c>
      <c r="H199" s="180" t="str">
        <f aca="false">IF((D199="h"),F199," ")</f>
        <v> </v>
      </c>
      <c r="I199" s="180" t="str">
        <f aca="false">IF((D199="r"),F199," ")</f>
        <v> </v>
      </c>
      <c r="J199" s="180" t="str">
        <f aca="false">IF((D199="t"),F199," ")</f>
        <v> </v>
      </c>
      <c r="K199" s="180" t="str">
        <f aca="false">IF((D199="e"),F199," ")</f>
        <v> </v>
      </c>
      <c r="L199" s="180" t="str">
        <f aca="false">IF((D199="p"),F199," ")</f>
        <v> </v>
      </c>
      <c r="M199" s="180" t="str">
        <f aca="false">IF((D199="g"),F199," ")</f>
        <v> </v>
      </c>
      <c r="N199" s="180" t="str">
        <f aca="false">IF((D199="a"),F199," ")</f>
        <v> </v>
      </c>
      <c r="O199" s="180" t="str">
        <f aca="false">IF((D199="l"),F199," ")</f>
        <v> </v>
      </c>
      <c r="P199" s="180" t="str">
        <f aca="false">IF((D199="i"),F199," ")</f>
        <v> </v>
      </c>
      <c r="Q199" s="180" t="str">
        <f aca="false">IF((D199="b"),F199," ")</f>
        <v> </v>
      </c>
      <c r="R199" s="180" t="str">
        <f aca="false">IF((D199="o"),F199," ")</f>
        <v> </v>
      </c>
      <c r="S199" s="180" t="str">
        <f aca="false">IF((D199="f"),F199," ")</f>
        <v> </v>
      </c>
      <c r="U199" s="371"/>
    </row>
    <row r="200" customFormat="false" ht="12.75" hidden="false" customHeight="false" outlineLevel="0" collapsed="false">
      <c r="D200" s="371" t="str">
        <f aca="false">IF((F200&lt;&gt;0),"Enter Letter"," ")</f>
        <v> </v>
      </c>
      <c r="G200" s="180" t="str">
        <f aca="false">IF((D200="d"),F200," ")</f>
        <v> </v>
      </c>
      <c r="H200" s="180" t="str">
        <f aca="false">IF((D200="h"),F200," ")</f>
        <v> </v>
      </c>
      <c r="I200" s="180" t="str">
        <f aca="false">IF((D200="r"),F200," ")</f>
        <v> </v>
      </c>
      <c r="J200" s="180" t="str">
        <f aca="false">IF((D200="t"),F200," ")</f>
        <v> </v>
      </c>
      <c r="K200" s="180" t="str">
        <f aca="false">IF((D200="e"),F200," ")</f>
        <v> </v>
      </c>
      <c r="L200" s="180" t="str">
        <f aca="false">IF((D200="p"),F200," ")</f>
        <v> </v>
      </c>
      <c r="M200" s="180" t="str">
        <f aca="false">IF((D200="g"),F200," ")</f>
        <v> </v>
      </c>
      <c r="N200" s="180" t="str">
        <f aca="false">IF((D200="a"),F200," ")</f>
        <v> </v>
      </c>
      <c r="O200" s="180" t="str">
        <f aca="false">IF((D200="l"),F200," ")</f>
        <v> </v>
      </c>
      <c r="P200" s="180" t="str">
        <f aca="false">IF((D200="i"),F200," ")</f>
        <v> </v>
      </c>
      <c r="Q200" s="180" t="str">
        <f aca="false">IF((D200="b"),F200," ")</f>
        <v> </v>
      </c>
      <c r="R200" s="180" t="str">
        <f aca="false">IF((D200="o"),F200," ")</f>
        <v> </v>
      </c>
      <c r="S200" s="180" t="str">
        <f aca="false">IF((D200="f"),F200," ")</f>
        <v> </v>
      </c>
      <c r="U200" s="371"/>
    </row>
    <row r="201" customFormat="false" ht="12.75" hidden="false" customHeight="false" outlineLevel="0" collapsed="false">
      <c r="D201" s="371" t="str">
        <f aca="false">IF((F201&lt;&gt;0),"Enter Letter"," ")</f>
        <v> </v>
      </c>
      <c r="G201" s="180" t="str">
        <f aca="false">IF((D201="d"),F201," ")</f>
        <v> </v>
      </c>
      <c r="H201" s="180" t="str">
        <f aca="false">IF((D201="h"),F201," ")</f>
        <v> </v>
      </c>
      <c r="I201" s="180" t="str">
        <f aca="false">IF((D201="r"),F201," ")</f>
        <v> </v>
      </c>
      <c r="J201" s="180" t="str">
        <f aca="false">IF((D201="t"),F201," ")</f>
        <v> </v>
      </c>
      <c r="K201" s="180" t="str">
        <f aca="false">IF((D201="e"),F201," ")</f>
        <v> </v>
      </c>
      <c r="L201" s="180" t="str">
        <f aca="false">IF((D201="p"),F201," ")</f>
        <v> </v>
      </c>
      <c r="M201" s="180" t="str">
        <f aca="false">IF((D201="g"),F201," ")</f>
        <v> </v>
      </c>
      <c r="N201" s="180" t="str">
        <f aca="false">IF((D201="a"),F201," ")</f>
        <v> </v>
      </c>
      <c r="O201" s="180" t="str">
        <f aca="false">IF((D201="l"),F201," ")</f>
        <v> </v>
      </c>
      <c r="P201" s="180" t="str">
        <f aca="false">IF((D201="i"),F201," ")</f>
        <v> </v>
      </c>
      <c r="Q201" s="180" t="str">
        <f aca="false">IF((D201="b"),F201," ")</f>
        <v> </v>
      </c>
      <c r="R201" s="180" t="str">
        <f aca="false">IF((D201="o"),F201," ")</f>
        <v> </v>
      </c>
      <c r="S201" s="180" t="str">
        <f aca="false">IF((D201="f"),F201," ")</f>
        <v> </v>
      </c>
      <c r="U201" s="371"/>
    </row>
    <row r="202" customFormat="false" ht="12.75" hidden="false" customHeight="false" outlineLevel="0" collapsed="false">
      <c r="D202" s="371" t="str">
        <f aca="false">IF((F202&lt;&gt;0),"Enter Letter"," ")</f>
        <v> </v>
      </c>
      <c r="G202" s="180" t="str">
        <f aca="false">IF((D202="d"),F202," ")</f>
        <v> </v>
      </c>
      <c r="H202" s="180" t="str">
        <f aca="false">IF((D202="h"),F202," ")</f>
        <v> </v>
      </c>
      <c r="I202" s="180" t="str">
        <f aca="false">IF((D202="r"),F202," ")</f>
        <v> </v>
      </c>
      <c r="J202" s="180" t="str">
        <f aca="false">IF((D202="t"),F202," ")</f>
        <v> </v>
      </c>
      <c r="K202" s="180" t="str">
        <f aca="false">IF((D202="e"),F202," ")</f>
        <v> </v>
      </c>
      <c r="L202" s="180" t="str">
        <f aca="false">IF((D202="p"),F202," ")</f>
        <v> </v>
      </c>
      <c r="M202" s="180" t="str">
        <f aca="false">IF((D202="g"),F202," ")</f>
        <v> </v>
      </c>
      <c r="N202" s="180" t="str">
        <f aca="false">IF((D202="a"),F202," ")</f>
        <v> </v>
      </c>
      <c r="O202" s="180" t="str">
        <f aca="false">IF((D202="l"),F202," ")</f>
        <v> </v>
      </c>
      <c r="P202" s="180" t="str">
        <f aca="false">IF((D202="i"),F202," ")</f>
        <v> </v>
      </c>
      <c r="Q202" s="180" t="str">
        <f aca="false">IF((D202="b"),F202," ")</f>
        <v> </v>
      </c>
      <c r="R202" s="180" t="str">
        <f aca="false">IF((D202="o"),F202," ")</f>
        <v> </v>
      </c>
      <c r="S202" s="180" t="str">
        <f aca="false">IF((D202="f"),F202," ")</f>
        <v> </v>
      </c>
      <c r="U202" s="371"/>
    </row>
    <row r="203" customFormat="false" ht="12.75" hidden="false" customHeight="false" outlineLevel="0" collapsed="false">
      <c r="D203" s="371" t="str">
        <f aca="false">IF((F203&lt;&gt;0),"Enter Letter"," ")</f>
        <v> </v>
      </c>
      <c r="G203" s="180" t="str">
        <f aca="false">IF((D203="d"),F203," ")</f>
        <v> </v>
      </c>
      <c r="H203" s="180" t="str">
        <f aca="false">IF((D203="h"),F203," ")</f>
        <v> </v>
      </c>
      <c r="I203" s="180" t="str">
        <f aca="false">IF((D203="r"),F203," ")</f>
        <v> </v>
      </c>
      <c r="J203" s="180" t="str">
        <f aca="false">IF((D203="t"),F203," ")</f>
        <v> </v>
      </c>
      <c r="K203" s="180" t="str">
        <f aca="false">IF((D203="e"),F203," ")</f>
        <v> </v>
      </c>
      <c r="L203" s="180" t="str">
        <f aca="false">IF((D203="p"),F203," ")</f>
        <v> </v>
      </c>
      <c r="M203" s="180" t="str">
        <f aca="false">IF((D203="g"),F203," ")</f>
        <v> </v>
      </c>
      <c r="N203" s="180" t="str">
        <f aca="false">IF((D203="a"),F203," ")</f>
        <v> </v>
      </c>
      <c r="O203" s="180" t="str">
        <f aca="false">IF((D203="l"),F203," ")</f>
        <v> </v>
      </c>
      <c r="P203" s="180" t="str">
        <f aca="false">IF((D203="i"),F203," ")</f>
        <v> </v>
      </c>
      <c r="Q203" s="180" t="str">
        <f aca="false">IF((D203="b"),F203," ")</f>
        <v> </v>
      </c>
      <c r="R203" s="180" t="str">
        <f aca="false">IF((D203="o"),F203," ")</f>
        <v> </v>
      </c>
      <c r="S203" s="180" t="str">
        <f aca="false">IF((D203="f"),F203," ")</f>
        <v> </v>
      </c>
      <c r="U203" s="371"/>
    </row>
    <row r="204" customFormat="false" ht="12.75" hidden="false" customHeight="false" outlineLevel="0" collapsed="false">
      <c r="D204" s="371" t="str">
        <f aca="false">IF((F204&lt;&gt;0),"Enter Letter"," ")</f>
        <v> </v>
      </c>
      <c r="G204" s="180" t="str">
        <f aca="false">IF((D204="d"),F204," ")</f>
        <v> </v>
      </c>
      <c r="H204" s="180" t="str">
        <f aca="false">IF((D204="h"),F204," ")</f>
        <v> </v>
      </c>
      <c r="I204" s="180" t="str">
        <f aca="false">IF((D204="r"),F204," ")</f>
        <v> </v>
      </c>
      <c r="J204" s="180" t="str">
        <f aca="false">IF((D204="t"),F204," ")</f>
        <v> </v>
      </c>
      <c r="K204" s="180" t="str">
        <f aca="false">IF((D204="e"),F204," ")</f>
        <v> </v>
      </c>
      <c r="L204" s="180" t="str">
        <f aca="false">IF((D204="p"),F204," ")</f>
        <v> </v>
      </c>
      <c r="M204" s="180" t="str">
        <f aca="false">IF((D204="g"),F204," ")</f>
        <v> </v>
      </c>
      <c r="N204" s="180" t="str">
        <f aca="false">IF((D204="a"),F204," ")</f>
        <v> </v>
      </c>
      <c r="O204" s="180" t="str">
        <f aca="false">IF((D204="l"),F204," ")</f>
        <v> </v>
      </c>
      <c r="P204" s="180" t="str">
        <f aca="false">IF((D204="i"),F204," ")</f>
        <v> </v>
      </c>
      <c r="Q204" s="180" t="str">
        <f aca="false">IF((D204="b"),F204," ")</f>
        <v> </v>
      </c>
      <c r="R204" s="180" t="str">
        <f aca="false">IF((D204="o"),F204," ")</f>
        <v> </v>
      </c>
      <c r="S204" s="180" t="str">
        <f aca="false">IF((D204="f"),F204," ")</f>
        <v> </v>
      </c>
      <c r="U204" s="371"/>
    </row>
    <row r="205" customFormat="false" ht="12.75" hidden="false" customHeight="false" outlineLevel="0" collapsed="false">
      <c r="U205" s="371"/>
    </row>
    <row r="206" customFormat="false" ht="12.75" hidden="false" customHeight="false" outlineLevel="0" collapsed="false">
      <c r="U206" s="371"/>
    </row>
    <row r="207" customFormat="false" ht="12.75" hidden="false" customHeight="false" outlineLevel="0" collapsed="false">
      <c r="U207" s="371"/>
    </row>
    <row r="208" customFormat="false" ht="12.75" hidden="false" customHeight="false" outlineLevel="0" collapsed="false">
      <c r="U208" s="371"/>
    </row>
    <row r="209" customFormat="false" ht="12.75" hidden="false" customHeight="false" outlineLevel="0" collapsed="false">
      <c r="U209" s="371"/>
    </row>
    <row r="210" customFormat="false" ht="12.75" hidden="false" customHeight="false" outlineLevel="0" collapsed="false">
      <c r="U210" s="371"/>
    </row>
    <row r="211" customFormat="false" ht="12.75" hidden="false" customHeight="false" outlineLevel="0" collapsed="false">
      <c r="U211" s="371"/>
    </row>
    <row r="212" customFormat="false" ht="12.75" hidden="false" customHeight="false" outlineLevel="0" collapsed="false">
      <c r="U212" s="371"/>
    </row>
    <row r="213" customFormat="false" ht="12.75" hidden="false" customHeight="false" outlineLevel="0" collapsed="false">
      <c r="U213" s="371"/>
    </row>
    <row r="214" customFormat="false" ht="12.75" hidden="false" customHeight="false" outlineLevel="0" collapsed="false">
      <c r="U214" s="371"/>
    </row>
    <row r="215" customFormat="false" ht="12.75" hidden="false" customHeight="false" outlineLevel="0" collapsed="false">
      <c r="U215" s="371"/>
    </row>
    <row r="216" customFormat="false" ht="12.75" hidden="false" customHeight="false" outlineLevel="0" collapsed="false">
      <c r="U216" s="371"/>
    </row>
    <row r="217" customFormat="false" ht="12.75" hidden="false" customHeight="false" outlineLevel="0" collapsed="false">
      <c r="U217" s="371"/>
    </row>
    <row r="218" customFormat="false" ht="12.75" hidden="false" customHeight="false" outlineLevel="0" collapsed="false">
      <c r="U218" s="371"/>
    </row>
    <row r="219" customFormat="false" ht="12.75" hidden="false" customHeight="false" outlineLevel="0" collapsed="false">
      <c r="U219" s="371"/>
    </row>
    <row r="220" customFormat="false" ht="12.75" hidden="false" customHeight="false" outlineLevel="0" collapsed="false">
      <c r="U220" s="371"/>
    </row>
    <row r="221" customFormat="false" ht="12.75" hidden="false" customHeight="false" outlineLevel="0" collapsed="false">
      <c r="U221" s="371"/>
    </row>
    <row r="222" customFormat="false" ht="12.75" hidden="false" customHeight="false" outlineLevel="0" collapsed="false">
      <c r="U222" s="371"/>
    </row>
    <row r="223" customFormat="false" ht="12.75" hidden="false" customHeight="false" outlineLevel="0" collapsed="false">
      <c r="U223" s="371"/>
    </row>
    <row r="224" customFormat="false" ht="12.75" hidden="false" customHeight="false" outlineLevel="0" collapsed="false">
      <c r="U224" s="371"/>
    </row>
    <row r="225" customFormat="false" ht="12.75" hidden="false" customHeight="false" outlineLevel="0" collapsed="false">
      <c r="U225" s="371"/>
    </row>
    <row r="226" customFormat="false" ht="12.75" hidden="false" customHeight="false" outlineLevel="0" collapsed="false">
      <c r="U226" s="371"/>
    </row>
    <row r="227" customFormat="false" ht="12.75" hidden="false" customHeight="false" outlineLevel="0" collapsed="false">
      <c r="U227" s="371"/>
    </row>
    <row r="228" customFormat="false" ht="12.75" hidden="false" customHeight="false" outlineLevel="0" collapsed="false">
      <c r="U228" s="371"/>
    </row>
    <row r="229" customFormat="false" ht="12.75" hidden="false" customHeight="false" outlineLevel="0" collapsed="false">
      <c r="U229" s="371"/>
    </row>
    <row r="230" customFormat="false" ht="12.75" hidden="false" customHeight="false" outlineLevel="0" collapsed="false">
      <c r="U230" s="371"/>
    </row>
    <row r="231" customFormat="false" ht="12.75" hidden="false" customHeight="false" outlineLevel="0" collapsed="false">
      <c r="U231" s="371"/>
    </row>
    <row r="232" customFormat="false" ht="12.75" hidden="false" customHeight="false" outlineLevel="0" collapsed="false">
      <c r="U232" s="371"/>
    </row>
    <row r="233" customFormat="false" ht="12.75" hidden="false" customHeight="false" outlineLevel="0" collapsed="false">
      <c r="U233" s="371"/>
    </row>
    <row r="234" customFormat="false" ht="12.75" hidden="false" customHeight="false" outlineLevel="0" collapsed="false">
      <c r="U234" s="371"/>
    </row>
    <row r="235" customFormat="false" ht="12.75" hidden="false" customHeight="false" outlineLevel="0" collapsed="false">
      <c r="U235" s="371"/>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customHeight="false" zeroHeight="false" outlineLevelRow="0" outlineLevelCol="0"/>
  <cols>
    <col collapsed="false" customWidth="true" hidden="false" outlineLevel="0" max="1" min="1" style="344" width="9.66"/>
    <col collapsed="false" customWidth="true" hidden="false" outlineLevel="0" max="2" min="2" style="345" width="14.66"/>
    <col collapsed="false" customWidth="true" hidden="false" outlineLevel="0" max="3" min="3" style="180" width="13.66"/>
    <col collapsed="false" customWidth="true" hidden="false" outlineLevel="0" max="4" min="4" style="346" width="12.66"/>
    <col collapsed="false" customWidth="true" hidden="false" outlineLevel="0" max="6" min="5" style="180" width="12.66"/>
    <col collapsed="false" customWidth="true" hidden="false" outlineLevel="0" max="7" min="7" style="0" width="8.82"/>
    <col collapsed="false" customWidth="false" hidden="false" outlineLevel="0" max="257" min="8" style="180" width="9.15"/>
  </cols>
  <sheetData>
    <row r="1" customFormat="false" ht="12.75" hidden="false" customHeight="true" outlineLevel="0" collapsed="false">
      <c r="A1" s="348" t="s">
        <v>240</v>
      </c>
      <c r="B1" s="349" t="s">
        <v>241</v>
      </c>
      <c r="C1" s="350" t="s">
        <v>242</v>
      </c>
      <c r="D1" s="351" t="n">
        <f aca="false">SUM(D4:D63)</f>
        <v>0</v>
      </c>
      <c r="E1" s="350" t="n">
        <f aca="false">SUM(E4:E63)/2</f>
        <v>3000</v>
      </c>
      <c r="F1" s="350" t="n">
        <f aca="false">SUM(F4:F63)/2</f>
        <v>0</v>
      </c>
      <c r="G1" s="352"/>
      <c r="H1" s="352"/>
      <c r="I1" s="352"/>
      <c r="J1" s="352"/>
      <c r="K1" s="352"/>
      <c r="L1" s="352"/>
      <c r="M1" s="352"/>
      <c r="N1" s="352"/>
      <c r="O1" s="352"/>
      <c r="P1" s="352"/>
      <c r="Q1" s="352"/>
      <c r="R1" s="352"/>
      <c r="S1" s="352"/>
      <c r="T1" s="352"/>
      <c r="U1" s="352"/>
      <c r="V1" s="352"/>
      <c r="W1" s="352"/>
      <c r="X1" s="352"/>
      <c r="Y1" s="352"/>
      <c r="Z1" s="352"/>
      <c r="AA1" s="352"/>
      <c r="AB1" s="352"/>
      <c r="AC1" s="352"/>
      <c r="AD1" s="352"/>
      <c r="AE1" s="352"/>
      <c r="AF1" s="352"/>
      <c r="AG1" s="352"/>
      <c r="AH1" s="352"/>
      <c r="AI1" s="352"/>
      <c r="AJ1" s="352"/>
      <c r="AK1" s="352"/>
      <c r="AL1" s="352"/>
      <c r="AM1" s="352"/>
      <c r="AN1" s="352"/>
      <c r="AO1" s="352"/>
      <c r="AP1" s="352"/>
      <c r="AQ1" s="352"/>
      <c r="AR1" s="352"/>
      <c r="AS1" s="352"/>
      <c r="AT1" s="352"/>
      <c r="AU1" s="352"/>
      <c r="AV1" s="352"/>
      <c r="AW1" s="352"/>
      <c r="AX1" s="352"/>
      <c r="AY1" s="352"/>
      <c r="AZ1" s="352"/>
      <c r="BA1" s="352"/>
      <c r="BB1" s="352"/>
      <c r="BC1" s="352"/>
      <c r="BD1" s="352"/>
      <c r="BE1" s="352"/>
      <c r="BF1" s="352"/>
      <c r="BG1" s="352"/>
      <c r="BH1" s="352"/>
      <c r="BI1" s="352"/>
      <c r="BJ1" s="352"/>
      <c r="BK1" s="352"/>
      <c r="BL1" s="352"/>
      <c r="BM1" s="352"/>
      <c r="BN1" s="352"/>
      <c r="BO1" s="352"/>
      <c r="BP1" s="352"/>
      <c r="BQ1" s="352"/>
      <c r="BR1" s="352"/>
      <c r="BS1" s="352"/>
      <c r="BT1" s="352"/>
      <c r="BU1" s="352"/>
      <c r="BV1" s="352"/>
      <c r="BW1" s="352"/>
      <c r="BX1" s="352"/>
      <c r="BY1" s="352"/>
      <c r="BZ1" s="352"/>
      <c r="CA1" s="352"/>
      <c r="CB1" s="352"/>
      <c r="CC1" s="352"/>
      <c r="CD1" s="352"/>
      <c r="CE1" s="352"/>
      <c r="CF1" s="352"/>
      <c r="CG1" s="352"/>
      <c r="CH1" s="352"/>
      <c r="CI1" s="352"/>
      <c r="CJ1" s="352"/>
      <c r="CK1" s="352"/>
      <c r="CL1" s="352"/>
      <c r="CM1" s="352"/>
      <c r="CN1" s="352"/>
      <c r="CO1" s="352"/>
      <c r="CP1" s="352"/>
      <c r="CQ1" s="352"/>
      <c r="CR1" s="352"/>
      <c r="CS1" s="352"/>
      <c r="CT1" s="352"/>
      <c r="CU1" s="352"/>
      <c r="CV1" s="352"/>
      <c r="CW1" s="352"/>
      <c r="CX1" s="352"/>
      <c r="CY1" s="352"/>
      <c r="CZ1" s="352"/>
      <c r="DA1" s="352"/>
      <c r="DB1" s="352"/>
      <c r="DC1" s="352"/>
      <c r="DD1" s="352"/>
      <c r="DE1" s="352"/>
      <c r="DF1" s="352"/>
      <c r="DG1" s="352"/>
      <c r="DH1" s="352"/>
      <c r="DI1" s="352"/>
      <c r="DJ1" s="352"/>
      <c r="DK1" s="352"/>
      <c r="DL1" s="352"/>
      <c r="DM1" s="352"/>
      <c r="DN1" s="352"/>
      <c r="DO1" s="352"/>
      <c r="DP1" s="352"/>
      <c r="DQ1" s="352"/>
      <c r="DR1" s="352"/>
      <c r="DS1" s="352"/>
      <c r="DT1" s="352"/>
      <c r="DU1" s="352"/>
      <c r="DV1" s="352"/>
      <c r="DW1" s="352"/>
      <c r="DX1" s="352"/>
      <c r="DY1" s="352"/>
      <c r="DZ1" s="352"/>
      <c r="EA1" s="352"/>
      <c r="EB1" s="352"/>
      <c r="EC1" s="352"/>
      <c r="ED1" s="352"/>
      <c r="EE1" s="352"/>
      <c r="EF1" s="352"/>
      <c r="EG1" s="352"/>
      <c r="EH1" s="352"/>
      <c r="EI1" s="352"/>
      <c r="EJ1" s="352"/>
      <c r="EK1" s="352"/>
      <c r="EL1" s="352"/>
      <c r="EM1" s="352"/>
      <c r="EN1" s="352"/>
      <c r="EO1" s="352"/>
      <c r="EP1" s="352"/>
      <c r="EQ1" s="352"/>
      <c r="ER1" s="352"/>
      <c r="ES1" s="352"/>
      <c r="ET1" s="352"/>
      <c r="EU1" s="352"/>
      <c r="EV1" s="352"/>
      <c r="EW1" s="352"/>
      <c r="EX1" s="352"/>
      <c r="EY1" s="352"/>
      <c r="EZ1" s="352"/>
      <c r="FA1" s="352"/>
      <c r="FB1" s="352"/>
      <c r="FC1" s="352"/>
      <c r="FD1" s="352"/>
      <c r="FE1" s="352"/>
      <c r="FF1" s="352"/>
      <c r="FG1" s="352"/>
      <c r="FH1" s="352"/>
      <c r="FI1" s="352"/>
      <c r="FJ1" s="352"/>
      <c r="FK1" s="352"/>
      <c r="FL1" s="352"/>
      <c r="FM1" s="352"/>
      <c r="FN1" s="352"/>
      <c r="FO1" s="352"/>
      <c r="FP1" s="352"/>
      <c r="FQ1" s="352"/>
      <c r="FR1" s="352"/>
      <c r="FS1" s="352"/>
      <c r="FT1" s="352"/>
      <c r="FU1" s="352"/>
      <c r="FV1" s="352"/>
      <c r="FW1" s="352"/>
      <c r="FX1" s="352"/>
      <c r="FY1" s="352"/>
      <c r="FZ1" s="352"/>
      <c r="GA1" s="352"/>
      <c r="GB1" s="352"/>
      <c r="GC1" s="352"/>
      <c r="GD1" s="352"/>
      <c r="GE1" s="352"/>
      <c r="GF1" s="352"/>
      <c r="GG1" s="352"/>
      <c r="GH1" s="352"/>
      <c r="GI1" s="352"/>
      <c r="GJ1" s="352"/>
      <c r="GK1" s="352"/>
      <c r="GL1" s="352"/>
      <c r="GM1" s="352"/>
      <c r="GN1" s="352"/>
      <c r="GO1" s="352"/>
      <c r="GP1" s="352"/>
      <c r="GQ1" s="352"/>
      <c r="GR1" s="352"/>
      <c r="GS1" s="352"/>
      <c r="GT1" s="352"/>
      <c r="GU1" s="352"/>
      <c r="GV1" s="352"/>
      <c r="GW1" s="352"/>
      <c r="GX1" s="352"/>
      <c r="GY1" s="352"/>
      <c r="GZ1" s="352"/>
      <c r="HA1" s="352"/>
      <c r="HB1" s="352"/>
      <c r="HC1" s="352"/>
      <c r="HD1" s="352"/>
      <c r="HE1" s="352"/>
      <c r="HF1" s="352"/>
      <c r="HG1" s="352"/>
      <c r="HH1" s="352"/>
      <c r="HI1" s="352"/>
      <c r="HJ1" s="352"/>
      <c r="HK1" s="352"/>
      <c r="HL1" s="352"/>
      <c r="HM1" s="352"/>
      <c r="HN1" s="352"/>
      <c r="HO1" s="352"/>
      <c r="HP1" s="352"/>
      <c r="HQ1" s="352"/>
      <c r="HR1" s="352"/>
      <c r="HS1" s="352"/>
      <c r="HT1" s="352"/>
      <c r="HU1" s="352"/>
      <c r="HV1" s="352"/>
      <c r="HW1" s="352"/>
      <c r="HX1" s="352"/>
      <c r="HY1" s="352"/>
      <c r="HZ1" s="352"/>
      <c r="IA1" s="352"/>
      <c r="IB1" s="352"/>
      <c r="IC1" s="352"/>
      <c r="ID1" s="352"/>
      <c r="IE1" s="352"/>
      <c r="IF1" s="352"/>
      <c r="IG1" s="352"/>
      <c r="IH1" s="352"/>
      <c r="II1" s="352"/>
      <c r="IJ1" s="352"/>
      <c r="IK1" s="352"/>
      <c r="IL1" s="352"/>
      <c r="IM1" s="352"/>
      <c r="IN1" s="352"/>
      <c r="IO1" s="352"/>
      <c r="IP1" s="352"/>
      <c r="IQ1" s="352"/>
      <c r="IR1" s="352"/>
      <c r="IS1" s="352"/>
      <c r="IT1" s="352"/>
      <c r="IU1" s="352"/>
      <c r="IV1" s="352"/>
      <c r="IW1" s="352"/>
    </row>
    <row r="2" customFormat="false" ht="12.75" hidden="false" customHeight="true" outlineLevel="0" collapsed="false">
      <c r="A2" s="348"/>
      <c r="B2" s="349"/>
      <c r="C2" s="353" t="s">
        <v>243</v>
      </c>
      <c r="D2" s="354" t="s">
        <v>244</v>
      </c>
      <c r="E2" s="353" t="s">
        <v>245</v>
      </c>
      <c r="F2" s="353" t="s">
        <v>246</v>
      </c>
      <c r="G2" s="352"/>
      <c r="H2" s="352"/>
      <c r="I2" s="352"/>
      <c r="J2" s="352"/>
      <c r="K2" s="352"/>
      <c r="L2" s="352"/>
      <c r="M2" s="352"/>
      <c r="N2" s="352"/>
      <c r="O2" s="352"/>
      <c r="P2" s="352"/>
      <c r="Q2" s="352"/>
      <c r="R2" s="352"/>
      <c r="S2" s="352"/>
      <c r="T2" s="352"/>
      <c r="U2" s="352"/>
      <c r="V2" s="352"/>
      <c r="W2" s="352"/>
      <c r="X2" s="352"/>
      <c r="Y2" s="352"/>
      <c r="Z2" s="352"/>
      <c r="AA2" s="352"/>
      <c r="AB2" s="352"/>
      <c r="AC2" s="352"/>
      <c r="AD2" s="352"/>
      <c r="AE2" s="352"/>
      <c r="AF2" s="352"/>
      <c r="AG2" s="352"/>
      <c r="AH2" s="352"/>
      <c r="AI2" s="352"/>
      <c r="AJ2" s="352"/>
      <c r="AK2" s="352"/>
      <c r="AL2" s="352"/>
      <c r="AM2" s="352"/>
      <c r="AN2" s="352"/>
      <c r="AO2" s="352"/>
      <c r="AP2" s="352"/>
      <c r="AQ2" s="352"/>
      <c r="AR2" s="352"/>
      <c r="AS2" s="352"/>
      <c r="AT2" s="352"/>
      <c r="AU2" s="352"/>
      <c r="AV2" s="352"/>
      <c r="AW2" s="352"/>
      <c r="AX2" s="352"/>
      <c r="AY2" s="352"/>
      <c r="AZ2" s="352"/>
      <c r="BA2" s="352"/>
      <c r="BB2" s="352"/>
      <c r="BC2" s="352"/>
      <c r="BD2" s="352"/>
      <c r="BE2" s="352"/>
      <c r="BF2" s="352"/>
      <c r="BG2" s="352"/>
      <c r="BH2" s="352"/>
      <c r="BI2" s="352"/>
      <c r="BJ2" s="352"/>
      <c r="BK2" s="352"/>
      <c r="BL2" s="352"/>
      <c r="BM2" s="352"/>
      <c r="BN2" s="352"/>
      <c r="BO2" s="352"/>
      <c r="BP2" s="352"/>
      <c r="BQ2" s="352"/>
      <c r="BR2" s="352"/>
      <c r="BS2" s="352"/>
      <c r="BT2" s="352"/>
      <c r="BU2" s="352"/>
      <c r="BV2" s="352"/>
      <c r="BW2" s="352"/>
      <c r="BX2" s="352"/>
      <c r="BY2" s="352"/>
      <c r="BZ2" s="352"/>
      <c r="CA2" s="352"/>
      <c r="CB2" s="352"/>
      <c r="CC2" s="352"/>
      <c r="CD2" s="352"/>
      <c r="CE2" s="352"/>
      <c r="CF2" s="352"/>
      <c r="CG2" s="352"/>
      <c r="CH2" s="352"/>
      <c r="CI2" s="352"/>
      <c r="CJ2" s="352"/>
      <c r="CK2" s="352"/>
      <c r="CL2" s="352"/>
      <c r="CM2" s="352"/>
      <c r="CN2" s="352"/>
      <c r="CO2" s="352"/>
      <c r="CP2" s="352"/>
      <c r="CQ2" s="352"/>
      <c r="CR2" s="352"/>
      <c r="CS2" s="352"/>
      <c r="CT2" s="352"/>
      <c r="CU2" s="352"/>
      <c r="CV2" s="352"/>
      <c r="CW2" s="352"/>
      <c r="CX2" s="352"/>
      <c r="CY2" s="352"/>
      <c r="CZ2" s="352"/>
      <c r="DA2" s="352"/>
      <c r="DB2" s="352"/>
      <c r="DC2" s="352"/>
      <c r="DD2" s="352"/>
      <c r="DE2" s="352"/>
      <c r="DF2" s="352"/>
      <c r="DG2" s="352"/>
      <c r="DH2" s="352"/>
      <c r="DI2" s="352"/>
      <c r="DJ2" s="352"/>
      <c r="DK2" s="352"/>
      <c r="DL2" s="352"/>
      <c r="DM2" s="352"/>
      <c r="DN2" s="352"/>
      <c r="DO2" s="352"/>
      <c r="DP2" s="352"/>
      <c r="DQ2" s="352"/>
      <c r="DR2" s="352"/>
      <c r="DS2" s="352"/>
      <c r="DT2" s="352"/>
      <c r="DU2" s="352"/>
      <c r="DV2" s="352"/>
      <c r="DW2" s="352"/>
      <c r="DX2" s="352"/>
      <c r="DY2" s="352"/>
      <c r="DZ2" s="352"/>
      <c r="EA2" s="352"/>
      <c r="EB2" s="352"/>
      <c r="EC2" s="352"/>
      <c r="ED2" s="352"/>
      <c r="EE2" s="352"/>
      <c r="EF2" s="352"/>
      <c r="EG2" s="352"/>
      <c r="EH2" s="352"/>
      <c r="EI2" s="352"/>
      <c r="EJ2" s="352"/>
      <c r="EK2" s="352"/>
      <c r="EL2" s="352"/>
      <c r="EM2" s="352"/>
      <c r="EN2" s="352"/>
      <c r="EO2" s="352"/>
      <c r="EP2" s="352"/>
      <c r="EQ2" s="352"/>
      <c r="ER2" s="352"/>
      <c r="ES2" s="352"/>
      <c r="ET2" s="352"/>
      <c r="EU2" s="352"/>
      <c r="EV2" s="352"/>
      <c r="EW2" s="352"/>
      <c r="EX2" s="352"/>
      <c r="EY2" s="352"/>
      <c r="EZ2" s="352"/>
      <c r="FA2" s="352"/>
      <c r="FB2" s="352"/>
      <c r="FC2" s="352"/>
      <c r="FD2" s="352"/>
      <c r="FE2" s="352"/>
      <c r="FF2" s="352"/>
      <c r="FG2" s="352"/>
      <c r="FH2" s="352"/>
      <c r="FI2" s="352"/>
      <c r="FJ2" s="352"/>
      <c r="FK2" s="352"/>
      <c r="FL2" s="352"/>
      <c r="FM2" s="352"/>
      <c r="FN2" s="352"/>
      <c r="FO2" s="352"/>
      <c r="FP2" s="352"/>
      <c r="FQ2" s="352"/>
      <c r="FR2" s="352"/>
      <c r="FS2" s="352"/>
      <c r="FT2" s="352"/>
      <c r="FU2" s="352"/>
      <c r="FV2" s="352"/>
      <c r="FW2" s="352"/>
      <c r="FX2" s="352"/>
      <c r="FY2" s="352"/>
      <c r="FZ2" s="352"/>
      <c r="GA2" s="352"/>
      <c r="GB2" s="352"/>
      <c r="GC2" s="352"/>
      <c r="GD2" s="352"/>
      <c r="GE2" s="352"/>
      <c r="GF2" s="352"/>
      <c r="GG2" s="352"/>
      <c r="GH2" s="352"/>
      <c r="GI2" s="352"/>
      <c r="GJ2" s="352"/>
      <c r="GK2" s="352"/>
      <c r="GL2" s="352"/>
      <c r="GM2" s="352"/>
      <c r="GN2" s="352"/>
      <c r="GO2" s="352"/>
      <c r="GP2" s="352"/>
      <c r="GQ2" s="352"/>
      <c r="GR2" s="352"/>
      <c r="GS2" s="352"/>
      <c r="GT2" s="352"/>
      <c r="GU2" s="352"/>
      <c r="GV2" s="352"/>
      <c r="GW2" s="352"/>
      <c r="GX2" s="352"/>
      <c r="GY2" s="352"/>
      <c r="GZ2" s="352"/>
      <c r="HA2" s="352"/>
      <c r="HB2" s="352"/>
      <c r="HC2" s="352"/>
      <c r="HD2" s="352"/>
      <c r="HE2" s="352"/>
      <c r="HF2" s="352"/>
      <c r="HG2" s="352"/>
      <c r="HH2" s="352"/>
      <c r="HI2" s="352"/>
      <c r="HJ2" s="352"/>
      <c r="HK2" s="352"/>
      <c r="HL2" s="352"/>
      <c r="HM2" s="352"/>
      <c r="HN2" s="352"/>
      <c r="HO2" s="352"/>
      <c r="HP2" s="352"/>
      <c r="HQ2" s="352"/>
      <c r="HR2" s="352"/>
      <c r="HS2" s="352"/>
      <c r="HT2" s="352"/>
      <c r="HU2" s="352"/>
      <c r="HV2" s="352"/>
      <c r="HW2" s="352"/>
      <c r="HX2" s="352"/>
      <c r="HY2" s="352"/>
      <c r="HZ2" s="352"/>
      <c r="IA2" s="352"/>
      <c r="IB2" s="352"/>
      <c r="IC2" s="352"/>
      <c r="ID2" s="352"/>
      <c r="IE2" s="352"/>
      <c r="IF2" s="352"/>
      <c r="IG2" s="352"/>
      <c r="IH2" s="352"/>
      <c r="II2" s="352"/>
      <c r="IJ2" s="352"/>
      <c r="IK2" s="352"/>
      <c r="IL2" s="352"/>
      <c r="IM2" s="352"/>
      <c r="IN2" s="352"/>
      <c r="IO2" s="352"/>
      <c r="IP2" s="352"/>
      <c r="IQ2" s="352"/>
      <c r="IR2" s="352"/>
      <c r="IS2" s="352"/>
      <c r="IT2" s="352"/>
      <c r="IU2" s="352"/>
      <c r="IV2" s="352"/>
      <c r="IW2" s="352"/>
    </row>
    <row r="3" customFormat="false" ht="24" hidden="false" customHeight="true" outlineLevel="0" collapsed="false">
      <c r="A3" s="348"/>
      <c r="B3" s="349"/>
      <c r="C3" s="353"/>
      <c r="D3" s="354"/>
      <c r="E3" s="353"/>
      <c r="F3" s="353"/>
      <c r="G3" s="355"/>
      <c r="H3" s="355"/>
      <c r="I3" s="355"/>
      <c r="J3" s="355"/>
      <c r="K3" s="355"/>
      <c r="L3" s="355"/>
      <c r="M3" s="355"/>
      <c r="N3" s="355"/>
      <c r="O3" s="355"/>
      <c r="P3" s="355"/>
      <c r="Q3" s="355"/>
      <c r="R3" s="355"/>
      <c r="S3" s="355"/>
      <c r="T3" s="355"/>
      <c r="U3" s="355"/>
      <c r="V3" s="355"/>
      <c r="W3" s="355"/>
      <c r="X3" s="355"/>
      <c r="Y3" s="355"/>
      <c r="Z3" s="355"/>
      <c r="AA3" s="355"/>
      <c r="AB3" s="355"/>
      <c r="AC3" s="355"/>
      <c r="AD3" s="355"/>
      <c r="AE3" s="355"/>
      <c r="AF3" s="355"/>
      <c r="AG3" s="355"/>
      <c r="AH3" s="355"/>
      <c r="AI3" s="355"/>
      <c r="AJ3" s="355"/>
      <c r="AK3" s="355"/>
      <c r="AL3" s="355"/>
      <c r="AM3" s="355"/>
      <c r="AN3" s="355"/>
      <c r="AO3" s="355"/>
      <c r="AP3" s="355"/>
      <c r="AQ3" s="355"/>
      <c r="AR3" s="355"/>
      <c r="AS3" s="355"/>
      <c r="AT3" s="355"/>
      <c r="AU3" s="355"/>
      <c r="AV3" s="355"/>
      <c r="AW3" s="355"/>
      <c r="AX3" s="355"/>
      <c r="AY3" s="355"/>
      <c r="AZ3" s="355"/>
      <c r="BA3" s="355"/>
      <c r="BB3" s="355"/>
      <c r="BC3" s="355"/>
      <c r="BD3" s="355"/>
      <c r="BE3" s="355"/>
      <c r="BF3" s="355"/>
      <c r="BG3" s="355"/>
      <c r="BH3" s="355"/>
      <c r="BI3" s="355"/>
      <c r="BJ3" s="355"/>
      <c r="BK3" s="355"/>
      <c r="BL3" s="355"/>
      <c r="BM3" s="355"/>
      <c r="BN3" s="355"/>
      <c r="BO3" s="355"/>
      <c r="BP3" s="355"/>
      <c r="BQ3" s="355"/>
      <c r="BR3" s="355"/>
      <c r="BS3" s="355"/>
      <c r="BT3" s="355"/>
      <c r="BU3" s="355"/>
      <c r="BV3" s="355"/>
      <c r="BW3" s="355"/>
      <c r="BX3" s="355"/>
      <c r="BY3" s="355"/>
      <c r="BZ3" s="355"/>
      <c r="CA3" s="355"/>
      <c r="CB3" s="355"/>
      <c r="CC3" s="355"/>
      <c r="CD3" s="355"/>
      <c r="CE3" s="355"/>
      <c r="CF3" s="355"/>
      <c r="CG3" s="355"/>
      <c r="CH3" s="355"/>
      <c r="CI3" s="355"/>
      <c r="CJ3" s="355"/>
      <c r="CK3" s="355"/>
      <c r="CL3" s="355"/>
      <c r="CM3" s="355"/>
      <c r="CN3" s="355"/>
      <c r="CO3" s="355"/>
      <c r="CP3" s="355"/>
      <c r="CQ3" s="355"/>
      <c r="CR3" s="355"/>
      <c r="CS3" s="355"/>
      <c r="CT3" s="355"/>
      <c r="CU3" s="355"/>
      <c r="CV3" s="355"/>
      <c r="CW3" s="355"/>
      <c r="CX3" s="355"/>
      <c r="CY3" s="355"/>
      <c r="CZ3" s="355"/>
      <c r="DA3" s="355"/>
      <c r="DB3" s="355"/>
      <c r="DC3" s="355"/>
      <c r="DD3" s="355"/>
      <c r="DE3" s="355"/>
      <c r="DF3" s="355"/>
      <c r="DG3" s="355"/>
      <c r="DH3" s="355"/>
      <c r="DI3" s="355"/>
      <c r="DJ3" s="355"/>
      <c r="DK3" s="355"/>
      <c r="DL3" s="355"/>
      <c r="DM3" s="355"/>
      <c r="DN3" s="355"/>
      <c r="DO3" s="355"/>
      <c r="DP3" s="355"/>
      <c r="DQ3" s="355"/>
      <c r="DR3" s="355"/>
      <c r="DS3" s="355"/>
      <c r="DT3" s="355"/>
      <c r="DU3" s="355"/>
      <c r="DV3" s="355"/>
      <c r="DW3" s="355"/>
      <c r="DX3" s="355"/>
      <c r="DY3" s="355"/>
      <c r="DZ3" s="355"/>
      <c r="EA3" s="355"/>
      <c r="EB3" s="355"/>
      <c r="EC3" s="355"/>
      <c r="ED3" s="355"/>
      <c r="EE3" s="355"/>
      <c r="EF3" s="355"/>
      <c r="EG3" s="355"/>
      <c r="EH3" s="355"/>
      <c r="EI3" s="355"/>
      <c r="EJ3" s="355"/>
      <c r="EK3" s="355"/>
      <c r="EL3" s="355"/>
      <c r="EM3" s="355"/>
      <c r="EN3" s="355"/>
      <c r="EO3" s="355"/>
      <c r="EP3" s="355"/>
      <c r="EQ3" s="355"/>
      <c r="ER3" s="355"/>
      <c r="ES3" s="355"/>
      <c r="ET3" s="355"/>
      <c r="EU3" s="355"/>
      <c r="EV3" s="355"/>
      <c r="EW3" s="355"/>
      <c r="EX3" s="355"/>
      <c r="EY3" s="355"/>
      <c r="EZ3" s="355"/>
      <c r="FA3" s="355"/>
      <c r="FB3" s="355"/>
      <c r="FC3" s="355"/>
      <c r="FD3" s="355"/>
      <c r="FE3" s="355"/>
      <c r="FF3" s="355"/>
      <c r="FG3" s="355"/>
      <c r="FH3" s="355"/>
      <c r="FI3" s="355"/>
      <c r="FJ3" s="355"/>
      <c r="FK3" s="355"/>
      <c r="FL3" s="355"/>
      <c r="FM3" s="355"/>
      <c r="FN3" s="355"/>
      <c r="FO3" s="355"/>
      <c r="FP3" s="355"/>
      <c r="FQ3" s="355"/>
      <c r="FR3" s="355"/>
      <c r="FS3" s="355"/>
      <c r="FT3" s="355"/>
      <c r="FU3" s="355"/>
      <c r="FV3" s="355"/>
      <c r="FW3" s="355"/>
      <c r="FX3" s="355"/>
      <c r="FY3" s="355"/>
      <c r="FZ3" s="355"/>
      <c r="GA3" s="355"/>
      <c r="GB3" s="355"/>
      <c r="GC3" s="355"/>
      <c r="GD3" s="355"/>
      <c r="GE3" s="355"/>
      <c r="GF3" s="355"/>
      <c r="GG3" s="355"/>
      <c r="GH3" s="355"/>
      <c r="GI3" s="355"/>
      <c r="GJ3" s="355"/>
      <c r="GK3" s="355"/>
      <c r="GL3" s="355"/>
      <c r="GM3" s="355"/>
      <c r="GN3" s="355"/>
      <c r="GO3" s="355"/>
      <c r="GP3" s="355"/>
      <c r="GQ3" s="355"/>
      <c r="GR3" s="355"/>
      <c r="GS3" s="355"/>
      <c r="GT3" s="355"/>
      <c r="GU3" s="355"/>
      <c r="GV3" s="355"/>
      <c r="GW3" s="355"/>
      <c r="GX3" s="355"/>
      <c r="GY3" s="355"/>
      <c r="GZ3" s="355"/>
      <c r="HA3" s="355"/>
      <c r="HB3" s="355"/>
      <c r="HC3" s="355"/>
      <c r="HD3" s="355"/>
      <c r="HE3" s="355"/>
      <c r="HF3" s="355"/>
      <c r="HG3" s="355"/>
      <c r="HH3" s="355"/>
      <c r="HI3" s="355"/>
      <c r="HJ3" s="355"/>
      <c r="HK3" s="355"/>
      <c r="HL3" s="355"/>
      <c r="HM3" s="355"/>
      <c r="HN3" s="355"/>
      <c r="HO3" s="355"/>
      <c r="HP3" s="355"/>
      <c r="HQ3" s="355"/>
      <c r="HR3" s="355"/>
      <c r="HS3" s="355"/>
      <c r="HT3" s="355"/>
      <c r="HU3" s="355"/>
      <c r="HV3" s="355"/>
      <c r="HW3" s="355"/>
      <c r="HX3" s="355"/>
      <c r="HY3" s="355"/>
      <c r="HZ3" s="355"/>
      <c r="IA3" s="355"/>
      <c r="IB3" s="355"/>
      <c r="IC3" s="355"/>
      <c r="ID3" s="355"/>
      <c r="IE3" s="355"/>
      <c r="IF3" s="355"/>
      <c r="IG3" s="355"/>
      <c r="IH3" s="355"/>
      <c r="II3" s="355"/>
      <c r="IJ3" s="355"/>
      <c r="IK3" s="355"/>
      <c r="IL3" s="355"/>
      <c r="IM3" s="355"/>
      <c r="IN3" s="355"/>
      <c r="IO3" s="355"/>
      <c r="IP3" s="355"/>
      <c r="IQ3" s="355"/>
      <c r="IR3" s="355"/>
      <c r="IS3" s="355"/>
      <c r="IT3" s="355"/>
      <c r="IU3" s="355"/>
      <c r="IV3" s="355"/>
      <c r="IW3" s="355"/>
    </row>
    <row r="5" customFormat="false" ht="12.75" hidden="false" customHeight="false" outlineLevel="0" collapsed="false">
      <c r="A5" s="356" t="n">
        <v>46447</v>
      </c>
      <c r="B5" s="357" t="n">
        <v>46447</v>
      </c>
      <c r="C5" s="358"/>
      <c r="D5" s="359"/>
      <c r="E5" s="360"/>
      <c r="F5" s="361"/>
    </row>
    <row r="6" customFormat="false" ht="12.75" hidden="false" customHeight="false" outlineLevel="0" collapsed="false">
      <c r="A6" s="362" t="n">
        <v>46448</v>
      </c>
      <c r="B6" s="345" t="n">
        <v>46448</v>
      </c>
      <c r="E6" s="180" t="n">
        <v>200</v>
      </c>
      <c r="F6" s="363"/>
    </row>
    <row r="7" customFormat="false" ht="12.75" hidden="false" customHeight="false" outlineLevel="0" collapsed="false">
      <c r="A7" s="362" t="n">
        <v>46449</v>
      </c>
      <c r="B7" s="345" t="n">
        <v>46449</v>
      </c>
      <c r="E7" s="180" t="n">
        <v>200</v>
      </c>
      <c r="F7" s="363"/>
    </row>
    <row r="8" customFormat="false" ht="12.75" hidden="false" customHeight="false" outlineLevel="0" collapsed="false">
      <c r="A8" s="362" t="n">
        <v>46450</v>
      </c>
      <c r="B8" s="345" t="n">
        <v>46450</v>
      </c>
      <c r="E8" s="180" t="n">
        <v>200</v>
      </c>
      <c r="F8" s="363"/>
    </row>
    <row r="9" customFormat="false" ht="12.75" hidden="false" customHeight="false" outlineLevel="0" collapsed="false">
      <c r="A9" s="362" t="n">
        <v>46451</v>
      </c>
      <c r="B9" s="345" t="n">
        <v>46451</v>
      </c>
      <c r="E9" s="180" t="n">
        <v>200</v>
      </c>
      <c r="F9" s="363"/>
    </row>
    <row r="10" customFormat="false" ht="12.75" hidden="false" customHeight="false" outlineLevel="0" collapsed="false">
      <c r="A10" s="362" t="n">
        <v>46452</v>
      </c>
      <c r="B10" s="345" t="n">
        <v>46452</v>
      </c>
      <c r="E10" s="180" t="n">
        <v>200</v>
      </c>
      <c r="F10" s="363"/>
    </row>
    <row r="11" customFormat="false" ht="12.75" hidden="false" customHeight="false" outlineLevel="0" collapsed="false">
      <c r="A11" s="362" t="n">
        <v>46453</v>
      </c>
      <c r="B11" s="345" t="n">
        <v>46453</v>
      </c>
      <c r="F11" s="363"/>
    </row>
    <row r="12" customFormat="false" ht="12.75" hidden="false" customHeight="false" outlineLevel="0" collapsed="false">
      <c r="A12" s="362" t="n">
        <v>46453</v>
      </c>
      <c r="B12" s="345" t="s">
        <v>247</v>
      </c>
      <c r="F12" s="363"/>
    </row>
    <row r="13" customFormat="false" ht="12.75" hidden="false" customHeight="false" outlineLevel="0" collapsed="false">
      <c r="A13" s="362" t="n">
        <v>46453</v>
      </c>
      <c r="B13" s="345" t="s">
        <v>248</v>
      </c>
      <c r="F13" s="363"/>
    </row>
    <row r="14" customFormat="false" ht="12.75" hidden="false" customHeight="false" outlineLevel="0" collapsed="false">
      <c r="A14" s="364"/>
      <c r="B14" s="365"/>
      <c r="C14" s="366"/>
      <c r="D14" s="367"/>
      <c r="E14" s="368" t="n">
        <f aca="false">SUM(E5:E13)</f>
        <v>1000</v>
      </c>
      <c r="F14" s="369" t="n">
        <f aca="false">SUM(F5:F13)</f>
        <v>0</v>
      </c>
    </row>
    <row r="16" customFormat="false" ht="12.75" hidden="false" customHeight="false" outlineLevel="0" collapsed="false">
      <c r="A16" s="356" t="n">
        <v>46454</v>
      </c>
      <c r="B16" s="357" t="n">
        <v>46454</v>
      </c>
      <c r="C16" s="358"/>
      <c r="D16" s="359"/>
      <c r="E16" s="360"/>
      <c r="F16" s="361"/>
    </row>
    <row r="17" customFormat="false" ht="12.75" hidden="false" customHeight="false" outlineLevel="0" collapsed="false">
      <c r="A17" s="362" t="n">
        <v>46455</v>
      </c>
      <c r="B17" s="345" t="n">
        <v>46455</v>
      </c>
      <c r="E17" s="180" t="n">
        <v>200</v>
      </c>
      <c r="F17" s="363"/>
    </row>
    <row r="18" customFormat="false" ht="12.75" hidden="false" customHeight="false" outlineLevel="0" collapsed="false">
      <c r="A18" s="362" t="n">
        <v>46456</v>
      </c>
      <c r="B18" s="345" t="n">
        <v>46456</v>
      </c>
      <c r="E18" s="180" t="n">
        <v>200</v>
      </c>
      <c r="F18" s="363"/>
    </row>
    <row r="19" customFormat="false" ht="12.75" hidden="false" customHeight="false" outlineLevel="0" collapsed="false">
      <c r="A19" s="362" t="n">
        <v>46457</v>
      </c>
      <c r="B19" s="345" t="n">
        <v>46457</v>
      </c>
      <c r="E19" s="180" t="n">
        <v>200</v>
      </c>
      <c r="F19" s="363"/>
    </row>
    <row r="20" customFormat="false" ht="12.75" hidden="false" customHeight="false" outlineLevel="0" collapsed="false">
      <c r="A20" s="362" t="n">
        <v>46458</v>
      </c>
      <c r="B20" s="345" t="n">
        <v>46458</v>
      </c>
      <c r="E20" s="180" t="n">
        <v>200</v>
      </c>
      <c r="F20" s="363"/>
    </row>
    <row r="21" customFormat="false" ht="12.75" hidden="false" customHeight="false" outlineLevel="0" collapsed="false">
      <c r="A21" s="362" t="n">
        <v>46459</v>
      </c>
      <c r="B21" s="345" t="n">
        <v>46459</v>
      </c>
      <c r="E21" s="180" t="n">
        <v>200</v>
      </c>
      <c r="F21" s="363"/>
    </row>
    <row r="22" customFormat="false" ht="12.75" hidden="false" customHeight="false" outlineLevel="0" collapsed="false">
      <c r="A22" s="362" t="n">
        <v>46460</v>
      </c>
      <c r="B22" s="345" t="n">
        <v>46460</v>
      </c>
      <c r="F22" s="363"/>
    </row>
    <row r="23" customFormat="false" ht="12.75" hidden="false" customHeight="false" outlineLevel="0" collapsed="false">
      <c r="A23" s="362" t="n">
        <v>46460</v>
      </c>
      <c r="B23" s="345" t="s">
        <v>247</v>
      </c>
      <c r="F23" s="363"/>
    </row>
    <row r="24" customFormat="false" ht="12.75" hidden="false" customHeight="false" outlineLevel="0" collapsed="false">
      <c r="A24" s="362" t="n">
        <v>46460</v>
      </c>
      <c r="B24" s="345" t="s">
        <v>248</v>
      </c>
      <c r="F24" s="363"/>
    </row>
    <row r="25" customFormat="false" ht="12.75" hidden="false" customHeight="false" outlineLevel="0" collapsed="false">
      <c r="A25" s="364"/>
      <c r="B25" s="365"/>
      <c r="C25" s="366"/>
      <c r="D25" s="367"/>
      <c r="E25" s="368" t="n">
        <f aca="false">SUM(E16:E24)</f>
        <v>1000</v>
      </c>
      <c r="F25" s="369" t="n">
        <f aca="false">SUM(F16:F24)</f>
        <v>0</v>
      </c>
    </row>
    <row r="27" customFormat="false" ht="12.75" hidden="false" customHeight="false" outlineLevel="0" collapsed="false">
      <c r="A27" s="356" t="n">
        <v>46461</v>
      </c>
      <c r="B27" s="357" t="n">
        <v>46461</v>
      </c>
      <c r="C27" s="358"/>
      <c r="D27" s="359"/>
      <c r="E27" s="360"/>
      <c r="F27" s="361"/>
    </row>
    <row r="28" customFormat="false" ht="12.75" hidden="false" customHeight="false" outlineLevel="0" collapsed="false">
      <c r="A28" s="362" t="n">
        <v>46462</v>
      </c>
      <c r="B28" s="345" t="n">
        <v>46462</v>
      </c>
      <c r="E28" s="180" t="n">
        <v>200</v>
      </c>
      <c r="F28" s="363"/>
    </row>
    <row r="29" customFormat="false" ht="12.75" hidden="false" customHeight="false" outlineLevel="0" collapsed="false">
      <c r="A29" s="362" t="n">
        <v>46463</v>
      </c>
      <c r="B29" s="345" t="n">
        <v>46463</v>
      </c>
      <c r="E29" s="180" t="n">
        <v>200</v>
      </c>
      <c r="F29" s="363"/>
    </row>
    <row r="30" customFormat="false" ht="12.75" hidden="false" customHeight="false" outlineLevel="0" collapsed="false">
      <c r="A30" s="362" t="n">
        <v>46464</v>
      </c>
      <c r="B30" s="345" t="n">
        <v>46464</v>
      </c>
      <c r="E30" s="180" t="n">
        <v>200</v>
      </c>
      <c r="F30" s="363"/>
    </row>
    <row r="31" customFormat="false" ht="12.75" hidden="false" customHeight="false" outlineLevel="0" collapsed="false">
      <c r="A31" s="362" t="n">
        <v>46465</v>
      </c>
      <c r="B31" s="345" t="n">
        <v>46465</v>
      </c>
      <c r="E31" s="180" t="n">
        <v>200</v>
      </c>
      <c r="F31" s="363"/>
    </row>
    <row r="32" customFormat="false" ht="12.75" hidden="false" customHeight="false" outlineLevel="0" collapsed="false">
      <c r="A32" s="362" t="n">
        <v>46466</v>
      </c>
      <c r="B32" s="345" t="n">
        <v>46466</v>
      </c>
      <c r="E32" s="180" t="n">
        <v>200</v>
      </c>
      <c r="F32" s="363"/>
    </row>
    <row r="33" customFormat="false" ht="12.75" hidden="false" customHeight="false" outlineLevel="0" collapsed="false">
      <c r="A33" s="362" t="n">
        <v>46467</v>
      </c>
      <c r="B33" s="345" t="n">
        <v>46467</v>
      </c>
      <c r="F33" s="363"/>
    </row>
    <row r="34" customFormat="false" ht="12.75" hidden="false" customHeight="false" outlineLevel="0" collapsed="false">
      <c r="A34" s="362" t="n">
        <v>46467</v>
      </c>
      <c r="B34" s="345" t="s">
        <v>247</v>
      </c>
      <c r="F34" s="363"/>
    </row>
    <row r="35" customFormat="false" ht="12.75" hidden="false" customHeight="false" outlineLevel="0" collapsed="false">
      <c r="A35" s="362" t="n">
        <v>46467</v>
      </c>
      <c r="B35" s="345" t="s">
        <v>248</v>
      </c>
      <c r="F35" s="363"/>
    </row>
    <row r="36" customFormat="false" ht="12.75" hidden="false" customHeight="false" outlineLevel="0" collapsed="false">
      <c r="A36" s="364"/>
      <c r="B36" s="365"/>
      <c r="C36" s="366"/>
      <c r="D36" s="367"/>
      <c r="E36" s="368" t="n">
        <f aca="false">SUM(E27:E35)</f>
        <v>1000</v>
      </c>
      <c r="F36" s="369" t="n">
        <f aca="false">SUM(F27:F35)</f>
        <v>0</v>
      </c>
    </row>
    <row r="38" customFormat="false" ht="12.75" hidden="false" customHeight="false" outlineLevel="0" collapsed="false">
      <c r="A38" s="356" t="n">
        <v>46468</v>
      </c>
      <c r="B38" s="357" t="n">
        <v>46468</v>
      </c>
      <c r="C38" s="358"/>
      <c r="D38" s="359"/>
      <c r="E38" s="360"/>
      <c r="F38" s="361"/>
    </row>
    <row r="39" customFormat="false" ht="12.75" hidden="false" customHeight="false" outlineLevel="0" collapsed="false">
      <c r="A39" s="362" t="n">
        <v>46469</v>
      </c>
      <c r="B39" s="345" t="n">
        <v>46469</v>
      </c>
      <c r="F39" s="363"/>
    </row>
    <row r="40" customFormat="false" ht="12.75" hidden="false" customHeight="false" outlineLevel="0" collapsed="false">
      <c r="A40" s="362" t="n">
        <v>46470</v>
      </c>
      <c r="B40" s="345" t="n">
        <v>46470</v>
      </c>
      <c r="F40" s="363"/>
    </row>
    <row r="41" customFormat="false" ht="12.75" hidden="false" customHeight="false" outlineLevel="0" collapsed="false">
      <c r="A41" s="362" t="n">
        <v>46471</v>
      </c>
      <c r="B41" s="345" t="n">
        <v>46471</v>
      </c>
      <c r="F41" s="363"/>
    </row>
    <row r="42" customFormat="false" ht="12.75" hidden="false" customHeight="false" outlineLevel="0" collapsed="false">
      <c r="A42" s="362" t="n">
        <v>46472</v>
      </c>
      <c r="B42" s="345" t="n">
        <v>46472</v>
      </c>
      <c r="F42" s="363"/>
    </row>
    <row r="43" customFormat="false" ht="12.75" hidden="false" customHeight="false" outlineLevel="0" collapsed="false">
      <c r="A43" s="362" t="n">
        <v>46473</v>
      </c>
      <c r="B43" s="345" t="n">
        <v>46473</v>
      </c>
      <c r="F43" s="363"/>
    </row>
    <row r="44" customFormat="false" ht="12.75" hidden="false" customHeight="false" outlineLevel="0" collapsed="false">
      <c r="A44" s="362" t="n">
        <v>46474</v>
      </c>
      <c r="B44" s="345" t="n">
        <v>46474</v>
      </c>
      <c r="F44" s="363"/>
    </row>
    <row r="45" customFormat="false" ht="12.75" hidden="false" customHeight="false" outlineLevel="0" collapsed="false">
      <c r="A45" s="362" t="n">
        <v>46474</v>
      </c>
      <c r="B45" s="345" t="s">
        <v>247</v>
      </c>
      <c r="F45" s="363"/>
    </row>
    <row r="46" customFormat="false" ht="12.75" hidden="false" customHeight="false" outlineLevel="0" collapsed="false">
      <c r="A46" s="362" t="n">
        <v>46474</v>
      </c>
      <c r="B46" s="345" t="s">
        <v>248</v>
      </c>
      <c r="F46" s="363"/>
    </row>
    <row r="47" customFormat="false" ht="12.75" hidden="false" customHeight="false" outlineLevel="0" collapsed="false">
      <c r="A47" s="364"/>
      <c r="B47" s="365"/>
      <c r="C47" s="366"/>
      <c r="D47" s="367"/>
      <c r="E47" s="368" t="n">
        <f aca="false">SUM(E38:E46)</f>
        <v>0</v>
      </c>
      <c r="F47" s="369" t="n">
        <f aca="false">SUM(F38:F46)</f>
        <v>0</v>
      </c>
    </row>
    <row r="49" customFormat="false" ht="12.75" hidden="false" customHeight="false" outlineLevel="0" collapsed="false">
      <c r="A49" s="356" t="n">
        <v>46475</v>
      </c>
      <c r="B49" s="357" t="n">
        <v>46475</v>
      </c>
      <c r="C49" s="358"/>
      <c r="D49" s="359"/>
      <c r="E49" s="360"/>
      <c r="F49" s="361"/>
    </row>
    <row r="50" customFormat="false" ht="12.75" hidden="false" customHeight="false" outlineLevel="0" collapsed="false">
      <c r="A50" s="362" t="n">
        <v>46476</v>
      </c>
      <c r="B50" s="345" t="n">
        <v>46476</v>
      </c>
      <c r="F50" s="363"/>
    </row>
    <row r="51" customFormat="false" ht="12.75" hidden="false" customHeight="false" outlineLevel="0" collapsed="false">
      <c r="A51" s="362" t="n">
        <v>46477</v>
      </c>
      <c r="B51" s="345" t="n">
        <v>46477</v>
      </c>
      <c r="F51" s="363"/>
    </row>
    <row r="52" customFormat="false" ht="12.75" hidden="false" customHeight="false" outlineLevel="0" collapsed="false">
      <c r="A52" s="362" t="n">
        <v>46478</v>
      </c>
      <c r="B52" s="345" t="n">
        <v>46478</v>
      </c>
      <c r="F52" s="363"/>
    </row>
    <row r="53" customFormat="false" ht="12.75" hidden="false" customHeight="false" outlineLevel="0" collapsed="false">
      <c r="A53" s="362" t="n">
        <v>46479</v>
      </c>
      <c r="B53" s="345" t="n">
        <v>46479</v>
      </c>
      <c r="F53" s="363"/>
    </row>
    <row r="54" customFormat="false" ht="12.75" hidden="false" customHeight="false" outlineLevel="0" collapsed="false">
      <c r="A54" s="362" t="n">
        <v>46480</v>
      </c>
      <c r="B54" s="345" t="n">
        <v>46480</v>
      </c>
      <c r="F54" s="363"/>
    </row>
    <row r="55" customFormat="false" ht="12.75" hidden="false" customHeight="false" outlineLevel="0" collapsed="false">
      <c r="A55" s="362" t="n">
        <v>46481</v>
      </c>
      <c r="B55" s="345" t="n">
        <v>46481</v>
      </c>
      <c r="F55" s="363"/>
    </row>
    <row r="56" customFormat="false" ht="12.75" hidden="false" customHeight="false" outlineLevel="0" collapsed="false">
      <c r="A56" s="362" t="n">
        <v>46481</v>
      </c>
      <c r="B56" s="345" t="s">
        <v>247</v>
      </c>
      <c r="F56" s="363"/>
    </row>
    <row r="57" customFormat="false" ht="12.75" hidden="false" customHeight="false" outlineLevel="0" collapsed="false">
      <c r="A57" s="362" t="n">
        <v>46481</v>
      </c>
      <c r="B57" s="345" t="s">
        <v>248</v>
      </c>
      <c r="F57" s="363"/>
    </row>
    <row r="58" customFormat="false" ht="12.75" hidden="false" customHeight="false" outlineLevel="0" collapsed="false">
      <c r="A58" s="364"/>
      <c r="B58" s="365"/>
      <c r="C58" s="366"/>
      <c r="D58" s="367"/>
      <c r="E58" s="368" t="n">
        <f aca="false">SUM(E49:E57)</f>
        <v>0</v>
      </c>
      <c r="F58" s="369" t="n">
        <f aca="false">SUM(F49:F57)</f>
        <v>0</v>
      </c>
    </row>
    <row r="60" customFormat="false" ht="12.75" hidden="false" customHeight="false" outlineLevel="0" collapsed="false">
      <c r="A60" s="356" t="n">
        <v>46482</v>
      </c>
      <c r="B60" s="357" t="n">
        <v>46482</v>
      </c>
      <c r="C60" s="358"/>
      <c r="D60" s="359"/>
      <c r="E60" s="360"/>
      <c r="F60" s="361"/>
    </row>
    <row r="61" customFormat="false" ht="12.75" hidden="false" customHeight="false" outlineLevel="0" collapsed="false">
      <c r="A61" s="362" t="n">
        <v>46482</v>
      </c>
      <c r="B61" s="345" t="s">
        <v>247</v>
      </c>
      <c r="F61" s="363"/>
    </row>
    <row r="62" customFormat="false" ht="12.75" hidden="false" customHeight="false" outlineLevel="0" collapsed="false">
      <c r="A62" s="362" t="n">
        <v>46482</v>
      </c>
      <c r="B62" s="345" t="s">
        <v>248</v>
      </c>
      <c r="F62" s="363"/>
    </row>
    <row r="63" customFormat="false" ht="12.75" hidden="false" customHeight="false" outlineLevel="0" collapsed="false">
      <c r="A63" s="364"/>
      <c r="B63" s="365"/>
      <c r="C63" s="366"/>
      <c r="D63" s="367"/>
      <c r="E63" s="368" t="n">
        <f aca="false">SUM(E60:E62)</f>
        <v>0</v>
      </c>
      <c r="F63" s="369" t="n">
        <f aca="false">SUM(F60:F62)</f>
        <v>0</v>
      </c>
    </row>
  </sheetData>
  <mergeCells count="6">
    <mergeCell ref="A1:A3"/>
    <mergeCell ref="B1:B3"/>
    <mergeCell ref="C2:C3"/>
    <mergeCell ref="D2:D3"/>
    <mergeCell ref="E2:E3"/>
    <mergeCell ref="F2:F3"/>
  </mergeCells>
  <printOptions headings="false" gridLines="true" gridLinesSet="true" horizontalCentered="true" verticalCentered="false"/>
  <pageMargins left="0.196527777777778" right="0.39375" top="0.472222222222222" bottom="0.472916666666667" header="0.196527777777778" footer="0.315277777777778"/>
  <pageSetup paperSize="9" scale="100" fitToWidth="1" fitToHeight="1" pageOrder="downThenOver" orientation="portrait" blackAndWhite="false" draft="false" cellComments="none" horizontalDpi="300" verticalDpi="300" copies="1"/>
  <headerFooter differentFirst="false" differentOddEven="false">
    <oddHeader>&amp;C&amp;"Arial,Bold"&amp;11Sales Receipts</oddHeader>
    <oddFooter>&amp;L&amp;D  &amp;T&amp;C&amp;P  of  &amp;N&amp;R&amp;F  &amp;A</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75" customHeight="false" zeroHeight="false" outlineLevelRow="0" outlineLevelCol="0"/>
  <cols>
    <col collapsed="false" customWidth="true" hidden="false" outlineLevel="0" max="1" min="1" style="370" width="9.66"/>
    <col collapsed="false" customWidth="true" hidden="false" outlineLevel="0" max="2" min="2" style="179" width="23.99"/>
    <col collapsed="false" customWidth="true" hidden="false" outlineLevel="0" max="3" min="3" style="179" width="15.99"/>
    <col collapsed="false" customWidth="false" hidden="false" outlineLevel="0" max="5" min="4" style="371" width="9.15"/>
    <col collapsed="false" customWidth="true" hidden="false" outlineLevel="0" max="6" min="6" style="372" width="12.66"/>
    <col collapsed="false" customWidth="true" hidden="false" outlineLevel="0" max="8" min="7" style="180" width="9.82"/>
    <col collapsed="false" customWidth="true" hidden="false" outlineLevel="0" max="10" min="9" style="180" width="8.33"/>
    <col collapsed="false" customWidth="true" hidden="false" outlineLevel="0" max="12" min="11" style="180" width="7.66"/>
    <col collapsed="false" customWidth="true" hidden="false" outlineLevel="0" max="13" min="13" style="180" width="8.99"/>
    <col collapsed="false" customWidth="false" hidden="false" outlineLevel="0" max="14" min="14" style="180" width="9.15"/>
    <col collapsed="false" customWidth="true" hidden="false" outlineLevel="0" max="15" min="15" style="180" width="9.33"/>
    <col collapsed="false" customWidth="true" hidden="false" outlineLevel="0" max="18" min="16" style="180" width="7.66"/>
    <col collapsed="false" customWidth="true" hidden="false" outlineLevel="0" max="19" min="19" style="180" width="7.82"/>
    <col collapsed="false" customWidth="true" hidden="false" outlineLevel="0" max="20" min="20" style="179" width="12.5"/>
    <col collapsed="false" customWidth="true" hidden="false" outlineLevel="0" max="21" min="21" style="180" width="8.15"/>
    <col collapsed="false" customWidth="false" hidden="false" outlineLevel="0" max="257" min="22" style="179" width="9.15"/>
  </cols>
  <sheetData>
    <row r="1" customFormat="false" ht="13.5" hidden="false" customHeight="true" outlineLevel="0" collapsed="false">
      <c r="A1" s="389" t="n">
        <f aca="false">E1+SalesMar!$D$1+PurchasesFeb!A1</f>
        <v>0</v>
      </c>
      <c r="B1" s="390" t="s">
        <v>249</v>
      </c>
      <c r="C1" s="391" t="s">
        <v>242</v>
      </c>
      <c r="D1" s="375" t="str">
        <f aca="false">IF((F1-SUM(G1:S1)&lt;&gt;0),(F1-SUM(G1:S1))," ")</f>
        <v> </v>
      </c>
      <c r="E1" s="351" t="n">
        <f aca="false">SUM(E5:E199)</f>
        <v>0</v>
      </c>
      <c r="F1" s="350" t="n">
        <f aca="false">SUM(F5:F199)</f>
        <v>300</v>
      </c>
      <c r="G1" s="350" t="n">
        <f aca="false">SUM(G5:G199)</f>
        <v>300</v>
      </c>
      <c r="H1" s="350" t="n">
        <f aca="false">SUM(H5:H199)</f>
        <v>0</v>
      </c>
      <c r="I1" s="350" t="n">
        <f aca="false">SUM(I5:I199)</f>
        <v>0</v>
      </c>
      <c r="J1" s="350" t="n">
        <f aca="false">SUM(J5:J199)</f>
        <v>0</v>
      </c>
      <c r="K1" s="350" t="n">
        <f aca="false">SUM(K5:K199)</f>
        <v>0</v>
      </c>
      <c r="L1" s="350" t="n">
        <f aca="false">SUM(L5:L199)</f>
        <v>0</v>
      </c>
      <c r="M1" s="350" t="n">
        <f aca="false">SUM(M5:M199)</f>
        <v>0</v>
      </c>
      <c r="N1" s="350" t="n">
        <f aca="false">SUM(N5:N199)</f>
        <v>0</v>
      </c>
      <c r="O1" s="350" t="n">
        <f aca="false">SUM(O5:O199)</f>
        <v>0</v>
      </c>
      <c r="P1" s="350" t="n">
        <f aca="false">SUM(P5:P199)</f>
        <v>0</v>
      </c>
      <c r="Q1" s="350" t="n">
        <f aca="false">SUM(Q5:Q199)</f>
        <v>0</v>
      </c>
      <c r="R1" s="350" t="n">
        <f aca="false">SUM(R5:R199)</f>
        <v>0</v>
      </c>
      <c r="S1" s="392" t="n">
        <f aca="false">SUM(S5:S199)</f>
        <v>0</v>
      </c>
      <c r="T1" s="393" t="n">
        <f aca="false">S1+PurchasesFeb!T1</f>
        <v>8000</v>
      </c>
      <c r="U1" s="392" t="n">
        <f aca="false">SUM(U4:U199)</f>
        <v>0</v>
      </c>
      <c r="V1" s="180"/>
      <c r="W1" s="180"/>
      <c r="X1" s="180"/>
      <c r="Y1" s="180"/>
      <c r="Z1" s="180"/>
      <c r="AA1" s="180"/>
      <c r="AB1" s="180"/>
      <c r="AC1" s="180"/>
      <c r="AD1" s="180"/>
      <c r="AE1" s="180"/>
      <c r="AF1" s="180"/>
      <c r="AG1" s="180"/>
      <c r="AH1" s="180"/>
      <c r="AI1" s="180"/>
      <c r="AJ1" s="180"/>
      <c r="AK1" s="180"/>
      <c r="AL1" s="180"/>
      <c r="AM1" s="180"/>
      <c r="AN1" s="180"/>
      <c r="AO1" s="180"/>
      <c r="AP1" s="180"/>
      <c r="AQ1" s="180"/>
      <c r="AR1" s="180"/>
      <c r="AS1" s="180"/>
      <c r="AT1" s="180"/>
      <c r="AU1" s="180"/>
      <c r="AV1" s="180"/>
      <c r="AW1" s="180"/>
      <c r="AX1" s="180"/>
      <c r="AY1" s="180"/>
      <c r="AZ1" s="180"/>
      <c r="BA1" s="180"/>
      <c r="BB1" s="180"/>
      <c r="BC1" s="180"/>
      <c r="BD1" s="180"/>
      <c r="BE1" s="180"/>
      <c r="BF1" s="180"/>
      <c r="BG1" s="180"/>
      <c r="BH1" s="180"/>
      <c r="BI1" s="180"/>
      <c r="BJ1" s="180"/>
      <c r="BK1" s="180"/>
      <c r="BL1" s="180"/>
      <c r="BM1" s="180"/>
      <c r="BN1" s="180"/>
      <c r="BO1" s="180"/>
      <c r="BP1" s="180"/>
      <c r="BQ1" s="180"/>
      <c r="BR1" s="180"/>
      <c r="BS1" s="180"/>
      <c r="BT1" s="180"/>
      <c r="BU1" s="180"/>
      <c r="BV1" s="180"/>
      <c r="BW1" s="180"/>
      <c r="BX1" s="180"/>
      <c r="BY1" s="180"/>
      <c r="BZ1" s="180"/>
      <c r="CA1" s="180"/>
      <c r="CB1" s="180"/>
      <c r="CC1" s="180"/>
      <c r="CD1" s="180"/>
      <c r="CE1" s="180"/>
      <c r="CF1" s="180"/>
      <c r="CG1" s="180"/>
      <c r="CH1" s="180"/>
      <c r="CI1" s="180"/>
      <c r="CJ1" s="180"/>
      <c r="CK1" s="180"/>
      <c r="CL1" s="180"/>
      <c r="CM1" s="180"/>
      <c r="CN1" s="180"/>
      <c r="CO1" s="180"/>
      <c r="CP1" s="180"/>
      <c r="CQ1" s="180"/>
      <c r="CR1" s="180"/>
      <c r="CS1" s="180"/>
      <c r="CT1" s="180"/>
      <c r="CU1" s="180"/>
      <c r="CV1" s="180"/>
      <c r="CW1" s="180"/>
      <c r="CX1" s="180"/>
      <c r="CY1" s="180"/>
      <c r="CZ1" s="180"/>
      <c r="DA1" s="180"/>
      <c r="DB1" s="180"/>
      <c r="DC1" s="180"/>
      <c r="DD1" s="180"/>
      <c r="DE1" s="180"/>
      <c r="DF1" s="180"/>
      <c r="DG1" s="180"/>
      <c r="DH1" s="180"/>
      <c r="DI1" s="180"/>
      <c r="DJ1" s="180"/>
      <c r="DK1" s="180"/>
      <c r="DL1" s="180"/>
      <c r="DM1" s="180"/>
      <c r="DN1" s="180"/>
      <c r="DO1" s="180"/>
      <c r="DP1" s="180"/>
      <c r="DQ1" s="180"/>
      <c r="DR1" s="180"/>
      <c r="DS1" s="180"/>
      <c r="DT1" s="180"/>
      <c r="DU1" s="180"/>
      <c r="DV1" s="180"/>
      <c r="DW1" s="180"/>
      <c r="DX1" s="180"/>
      <c r="DY1" s="180"/>
      <c r="DZ1" s="180"/>
      <c r="EA1" s="180"/>
      <c r="EB1" s="180"/>
      <c r="EC1" s="180"/>
      <c r="ED1" s="180"/>
      <c r="EE1" s="180"/>
      <c r="EF1" s="180"/>
      <c r="EG1" s="180"/>
      <c r="EH1" s="180"/>
      <c r="EI1" s="180"/>
      <c r="EJ1" s="180"/>
      <c r="EK1" s="180"/>
      <c r="EL1" s="180"/>
      <c r="EM1" s="180"/>
      <c r="EN1" s="180"/>
      <c r="EO1" s="180"/>
      <c r="EP1" s="180"/>
      <c r="EQ1" s="180"/>
      <c r="ER1" s="180"/>
      <c r="ES1" s="180"/>
      <c r="ET1" s="180"/>
      <c r="EU1" s="180"/>
      <c r="EV1" s="180"/>
      <c r="EW1" s="180"/>
      <c r="EX1" s="180"/>
      <c r="EY1" s="180"/>
      <c r="EZ1" s="180"/>
      <c r="FA1" s="180"/>
      <c r="FB1" s="180"/>
      <c r="FC1" s="180"/>
      <c r="FD1" s="180"/>
      <c r="FE1" s="180"/>
      <c r="FF1" s="180"/>
      <c r="FG1" s="180"/>
      <c r="FH1" s="180"/>
      <c r="FI1" s="180"/>
      <c r="FJ1" s="180"/>
      <c r="FK1" s="180"/>
      <c r="FL1" s="180"/>
      <c r="FM1" s="180"/>
      <c r="FN1" s="180"/>
      <c r="FO1" s="180"/>
      <c r="FP1" s="180"/>
      <c r="FQ1" s="180"/>
      <c r="FR1" s="180"/>
      <c r="FS1" s="180"/>
      <c r="FT1" s="180"/>
      <c r="FU1" s="180"/>
      <c r="FV1" s="180"/>
      <c r="FW1" s="180"/>
      <c r="FX1" s="180"/>
      <c r="FY1" s="180"/>
      <c r="FZ1" s="180"/>
      <c r="GA1" s="180"/>
      <c r="GB1" s="180"/>
      <c r="GC1" s="180"/>
      <c r="GD1" s="180"/>
      <c r="GE1" s="180"/>
      <c r="GF1" s="180"/>
      <c r="GG1" s="180"/>
      <c r="GH1" s="180"/>
      <c r="GI1" s="180"/>
      <c r="GJ1" s="180"/>
      <c r="GK1" s="180"/>
      <c r="GL1" s="180"/>
      <c r="GM1" s="180"/>
      <c r="GN1" s="180"/>
      <c r="GO1" s="180"/>
      <c r="GP1" s="180"/>
      <c r="GQ1" s="180"/>
      <c r="GR1" s="180"/>
      <c r="GS1" s="180"/>
      <c r="GT1" s="180"/>
      <c r="GU1" s="180"/>
      <c r="GV1" s="180"/>
      <c r="GW1" s="180"/>
      <c r="GX1" s="180"/>
      <c r="GY1" s="180"/>
      <c r="GZ1" s="180"/>
      <c r="HA1" s="180"/>
      <c r="HB1" s="180"/>
      <c r="HC1" s="180"/>
      <c r="HD1" s="180"/>
      <c r="HE1" s="180"/>
      <c r="HF1" s="180"/>
      <c r="HG1" s="180"/>
      <c r="HH1" s="180"/>
      <c r="HI1" s="180"/>
      <c r="HJ1" s="180"/>
      <c r="HK1" s="180"/>
      <c r="HL1" s="180"/>
      <c r="HM1" s="180"/>
      <c r="HN1" s="180"/>
      <c r="HO1" s="180"/>
      <c r="HP1" s="180"/>
      <c r="HQ1" s="180"/>
      <c r="HR1" s="180"/>
      <c r="HS1" s="180"/>
      <c r="HT1" s="180"/>
      <c r="HU1" s="180"/>
      <c r="HV1" s="180"/>
      <c r="HW1" s="180"/>
      <c r="HX1" s="180"/>
      <c r="HY1" s="180"/>
      <c r="HZ1" s="180"/>
      <c r="IA1" s="180"/>
      <c r="IB1" s="180"/>
      <c r="IC1" s="180"/>
      <c r="ID1" s="180"/>
      <c r="IE1" s="180"/>
      <c r="IF1" s="180"/>
      <c r="IG1" s="180"/>
      <c r="IH1" s="180"/>
      <c r="II1" s="180"/>
      <c r="IJ1" s="180"/>
      <c r="IK1" s="180"/>
      <c r="IL1" s="180"/>
      <c r="IM1" s="180"/>
      <c r="IN1" s="180"/>
      <c r="IO1" s="180"/>
      <c r="IP1" s="180"/>
      <c r="IQ1" s="180"/>
      <c r="IR1" s="180"/>
      <c r="IS1" s="180"/>
      <c r="IT1" s="180"/>
      <c r="IU1" s="180"/>
      <c r="IV1" s="180"/>
      <c r="IW1" s="180"/>
    </row>
    <row r="2" customFormat="false" ht="13.5" hidden="false" customHeight="true" outlineLevel="0" collapsed="false">
      <c r="A2" s="394" t="n">
        <f aca="false">U1+PurchasesFeb!A2</f>
        <v>0</v>
      </c>
      <c r="B2" s="239" t="s">
        <v>250</v>
      </c>
      <c r="C2" s="378" t="s">
        <v>251</v>
      </c>
      <c r="D2" s="378" t="s">
        <v>252</v>
      </c>
      <c r="E2" s="378" t="s">
        <v>253</v>
      </c>
      <c r="F2" s="206" t="s">
        <v>254</v>
      </c>
      <c r="G2" s="379" t="s">
        <v>255</v>
      </c>
      <c r="H2" s="379"/>
      <c r="I2" s="380" t="n">
        <f aca="false">G1+H1+I1+J1+PurchasesFeb!I2</f>
        <v>4980</v>
      </c>
      <c r="J2" s="380"/>
      <c r="K2" s="206" t="s">
        <v>256</v>
      </c>
      <c r="L2" s="206" t="s">
        <v>257</v>
      </c>
      <c r="M2" s="206" t="s">
        <v>258</v>
      </c>
      <c r="N2" s="206" t="s">
        <v>290</v>
      </c>
      <c r="O2" s="206" t="s">
        <v>260</v>
      </c>
      <c r="P2" s="206" t="s">
        <v>261</v>
      </c>
      <c r="Q2" s="206" t="s">
        <v>262</v>
      </c>
      <c r="R2" s="206" t="s">
        <v>263</v>
      </c>
      <c r="S2" s="381" t="s">
        <v>264</v>
      </c>
      <c r="T2" s="382" t="str">
        <f aca="false">IF(T1&gt;'Fixed Assets'!$D$62,"ENTER VEHICLE CHANGES        on Fixed Asset schedule","Motor Vehicles: make, model, date reg. and reg. Mark")</f>
        <v>Motor Vehicles: make, model, date reg. and reg. Mark</v>
      </c>
      <c r="U2" s="381" t="s">
        <v>118</v>
      </c>
      <c r="V2" s="180"/>
      <c r="W2" s="180"/>
      <c r="X2" s="180"/>
      <c r="Y2" s="180"/>
      <c r="Z2" s="180"/>
      <c r="AA2" s="180"/>
      <c r="AB2" s="180"/>
      <c r="AC2" s="180"/>
      <c r="AD2" s="180"/>
      <c r="AE2" s="180"/>
      <c r="AF2" s="180"/>
      <c r="AG2" s="180"/>
      <c r="AH2" s="180"/>
      <c r="AI2" s="180"/>
      <c r="AJ2" s="180"/>
      <c r="AK2" s="180"/>
      <c r="AL2" s="180"/>
      <c r="AM2" s="180"/>
      <c r="AN2" s="180"/>
      <c r="AO2" s="180"/>
      <c r="AP2" s="180"/>
      <c r="AQ2" s="180"/>
      <c r="AR2" s="180"/>
      <c r="AS2" s="180"/>
      <c r="AT2" s="180"/>
      <c r="AU2" s="180"/>
      <c r="AV2" s="180"/>
      <c r="AW2" s="180"/>
      <c r="AX2" s="180"/>
      <c r="AY2" s="180"/>
      <c r="AZ2" s="180"/>
      <c r="BA2" s="180"/>
      <c r="BB2" s="180"/>
      <c r="BC2" s="180"/>
      <c r="BD2" s="180"/>
      <c r="BE2" s="180"/>
      <c r="BF2" s="180"/>
      <c r="BG2" s="180"/>
      <c r="BH2" s="180"/>
      <c r="BI2" s="180"/>
      <c r="BJ2" s="180"/>
      <c r="BK2" s="180"/>
      <c r="BL2" s="180"/>
      <c r="BM2" s="180"/>
      <c r="BN2" s="180"/>
      <c r="BO2" s="180"/>
      <c r="BP2" s="180"/>
      <c r="BQ2" s="180"/>
      <c r="BR2" s="180"/>
      <c r="BS2" s="180"/>
      <c r="BT2" s="180"/>
      <c r="BU2" s="180"/>
      <c r="BV2" s="180"/>
      <c r="BW2" s="180"/>
      <c r="BX2" s="180"/>
      <c r="BY2" s="180"/>
      <c r="BZ2" s="180"/>
      <c r="CA2" s="180"/>
      <c r="CB2" s="180"/>
      <c r="CC2" s="180"/>
      <c r="CD2" s="180"/>
      <c r="CE2" s="180"/>
      <c r="CF2" s="180"/>
      <c r="CG2" s="180"/>
      <c r="CH2" s="180"/>
      <c r="CI2" s="180"/>
      <c r="CJ2" s="180"/>
      <c r="CK2" s="180"/>
      <c r="CL2" s="180"/>
      <c r="CM2" s="180"/>
      <c r="CN2" s="180"/>
      <c r="CO2" s="180"/>
      <c r="CP2" s="180"/>
      <c r="CQ2" s="180"/>
      <c r="CR2" s="180"/>
      <c r="CS2" s="180"/>
      <c r="CT2" s="180"/>
      <c r="CU2" s="180"/>
      <c r="CV2" s="180"/>
      <c r="CW2" s="180"/>
      <c r="CX2" s="180"/>
      <c r="CY2" s="180"/>
      <c r="CZ2" s="180"/>
      <c r="DA2" s="180"/>
      <c r="DB2" s="180"/>
      <c r="DC2" s="180"/>
      <c r="DD2" s="180"/>
      <c r="DE2" s="180"/>
      <c r="DF2" s="180"/>
      <c r="DG2" s="180"/>
      <c r="DH2" s="180"/>
      <c r="DI2" s="180"/>
      <c r="DJ2" s="180"/>
      <c r="DK2" s="180"/>
      <c r="DL2" s="180"/>
      <c r="DM2" s="180"/>
      <c r="DN2" s="180"/>
      <c r="DO2" s="180"/>
      <c r="DP2" s="180"/>
      <c r="DQ2" s="180"/>
      <c r="DR2" s="180"/>
      <c r="DS2" s="180"/>
      <c r="DT2" s="180"/>
      <c r="DU2" s="180"/>
      <c r="DV2" s="180"/>
      <c r="DW2" s="180"/>
      <c r="DX2" s="180"/>
      <c r="DY2" s="180"/>
      <c r="DZ2" s="180"/>
      <c r="EA2" s="180"/>
      <c r="EB2" s="180"/>
      <c r="EC2" s="180"/>
      <c r="ED2" s="180"/>
      <c r="EE2" s="180"/>
      <c r="EF2" s="180"/>
      <c r="EG2" s="180"/>
      <c r="EH2" s="180"/>
      <c r="EI2" s="180"/>
      <c r="EJ2" s="180"/>
      <c r="EK2" s="180"/>
      <c r="EL2" s="180"/>
      <c r="EM2" s="180"/>
      <c r="EN2" s="180"/>
      <c r="EO2" s="180"/>
      <c r="EP2" s="180"/>
      <c r="EQ2" s="180"/>
      <c r="ER2" s="180"/>
      <c r="ES2" s="180"/>
      <c r="ET2" s="180"/>
      <c r="EU2" s="180"/>
      <c r="EV2" s="180"/>
      <c r="EW2" s="180"/>
      <c r="EX2" s="180"/>
      <c r="EY2" s="180"/>
      <c r="EZ2" s="180"/>
      <c r="FA2" s="180"/>
      <c r="FB2" s="180"/>
      <c r="FC2" s="180"/>
      <c r="FD2" s="180"/>
      <c r="FE2" s="180"/>
      <c r="FF2" s="180"/>
      <c r="FG2" s="180"/>
      <c r="FH2" s="180"/>
      <c r="FI2" s="180"/>
      <c r="FJ2" s="180"/>
      <c r="FK2" s="180"/>
      <c r="FL2" s="180"/>
      <c r="FM2" s="180"/>
      <c r="FN2" s="180"/>
      <c r="FO2" s="180"/>
      <c r="FP2" s="180"/>
      <c r="FQ2" s="180"/>
      <c r="FR2" s="180"/>
      <c r="FS2" s="180"/>
      <c r="FT2" s="180"/>
      <c r="FU2" s="180"/>
      <c r="FV2" s="180"/>
      <c r="FW2" s="180"/>
      <c r="FX2" s="180"/>
      <c r="FY2" s="180"/>
      <c r="FZ2" s="180"/>
      <c r="GA2" s="180"/>
      <c r="GB2" s="180"/>
      <c r="GC2" s="180"/>
      <c r="GD2" s="180"/>
      <c r="GE2" s="180"/>
      <c r="GF2" s="180"/>
      <c r="GG2" s="180"/>
      <c r="GH2" s="180"/>
      <c r="GI2" s="180"/>
      <c r="GJ2" s="180"/>
      <c r="GK2" s="180"/>
      <c r="GL2" s="180"/>
      <c r="GM2" s="180"/>
      <c r="GN2" s="180"/>
      <c r="GO2" s="180"/>
      <c r="GP2" s="180"/>
      <c r="GQ2" s="180"/>
      <c r="GR2" s="180"/>
      <c r="GS2" s="180"/>
      <c r="GT2" s="180"/>
      <c r="GU2" s="180"/>
      <c r="GV2" s="180"/>
      <c r="GW2" s="180"/>
      <c r="GX2" s="180"/>
      <c r="GY2" s="180"/>
      <c r="GZ2" s="180"/>
      <c r="HA2" s="180"/>
      <c r="HB2" s="180"/>
      <c r="HC2" s="180"/>
      <c r="HD2" s="180"/>
      <c r="HE2" s="180"/>
      <c r="HF2" s="180"/>
      <c r="HG2" s="180"/>
      <c r="HH2" s="180"/>
      <c r="HI2" s="180"/>
      <c r="HJ2" s="180"/>
      <c r="HK2" s="180"/>
      <c r="HL2" s="180"/>
      <c r="HM2" s="180"/>
      <c r="HN2" s="180"/>
      <c r="HO2" s="180"/>
      <c r="HP2" s="180"/>
      <c r="HQ2" s="180"/>
      <c r="HR2" s="180"/>
      <c r="HS2" s="180"/>
      <c r="HT2" s="180"/>
      <c r="HU2" s="180"/>
      <c r="HV2" s="180"/>
      <c r="HW2" s="180"/>
      <c r="HX2" s="180"/>
      <c r="HY2" s="180"/>
      <c r="HZ2" s="180"/>
      <c r="IA2" s="180"/>
      <c r="IB2" s="180"/>
      <c r="IC2" s="180"/>
      <c r="ID2" s="180"/>
      <c r="IE2" s="180"/>
      <c r="IF2" s="180"/>
      <c r="IG2" s="180"/>
      <c r="IH2" s="180"/>
      <c r="II2" s="180"/>
      <c r="IJ2" s="180"/>
      <c r="IK2" s="180"/>
      <c r="IL2" s="180"/>
      <c r="IM2" s="180"/>
      <c r="IN2" s="180"/>
      <c r="IO2" s="180"/>
      <c r="IP2" s="180"/>
      <c r="IQ2" s="180"/>
      <c r="IR2" s="180"/>
      <c r="IS2" s="180"/>
      <c r="IT2" s="180"/>
      <c r="IU2" s="180"/>
      <c r="IV2" s="180"/>
      <c r="IW2" s="180"/>
    </row>
    <row r="3" customFormat="false" ht="45" hidden="false" customHeight="true" outlineLevel="0" collapsed="false">
      <c r="A3" s="383" t="s">
        <v>265</v>
      </c>
      <c r="B3" s="206" t="s">
        <v>266</v>
      </c>
      <c r="C3" s="378"/>
      <c r="D3" s="378"/>
      <c r="E3" s="378"/>
      <c r="F3" s="378"/>
      <c r="G3" s="206" t="s">
        <v>113</v>
      </c>
      <c r="H3" s="206" t="s">
        <v>267</v>
      </c>
      <c r="I3" s="206" t="s">
        <v>115</v>
      </c>
      <c r="J3" s="206" t="s">
        <v>116</v>
      </c>
      <c r="K3" s="206"/>
      <c r="L3" s="206"/>
      <c r="M3" s="206"/>
      <c r="N3" s="206"/>
      <c r="O3" s="206"/>
      <c r="P3" s="206"/>
      <c r="Q3" s="206"/>
      <c r="R3" s="206"/>
      <c r="S3" s="381"/>
      <c r="T3" s="382"/>
      <c r="U3" s="381"/>
      <c r="V3" s="384"/>
      <c r="W3" s="384"/>
      <c r="X3" s="384"/>
      <c r="Y3" s="384"/>
      <c r="Z3" s="384"/>
      <c r="AA3" s="384"/>
      <c r="AB3" s="384"/>
      <c r="AC3" s="384"/>
      <c r="AD3" s="384"/>
      <c r="AE3" s="384"/>
      <c r="AF3" s="384"/>
      <c r="AG3" s="384"/>
      <c r="AH3" s="384"/>
      <c r="AI3" s="384"/>
      <c r="AJ3" s="384"/>
      <c r="AK3" s="384"/>
      <c r="AL3" s="384"/>
      <c r="AM3" s="384"/>
      <c r="AN3" s="384"/>
      <c r="AO3" s="384"/>
      <c r="AP3" s="384"/>
      <c r="AQ3" s="384"/>
      <c r="AR3" s="384"/>
      <c r="AS3" s="384"/>
      <c r="AT3" s="384"/>
      <c r="AU3" s="384"/>
      <c r="AV3" s="384"/>
      <c r="AW3" s="384"/>
      <c r="AX3" s="384"/>
      <c r="AY3" s="384"/>
      <c r="AZ3" s="384"/>
      <c r="BA3" s="384"/>
      <c r="BB3" s="384"/>
      <c r="BC3" s="384"/>
      <c r="BD3" s="384"/>
      <c r="BE3" s="384"/>
      <c r="BF3" s="384"/>
      <c r="BG3" s="384"/>
      <c r="BH3" s="384"/>
      <c r="BI3" s="384"/>
      <c r="BJ3" s="384"/>
      <c r="BK3" s="384"/>
      <c r="BL3" s="384"/>
      <c r="BM3" s="384"/>
      <c r="BN3" s="384"/>
      <c r="BO3" s="384"/>
      <c r="BP3" s="384"/>
      <c r="BQ3" s="384"/>
      <c r="BR3" s="384"/>
      <c r="BS3" s="384"/>
      <c r="BT3" s="384"/>
      <c r="BU3" s="384"/>
      <c r="BV3" s="384"/>
      <c r="BW3" s="384"/>
      <c r="BX3" s="384"/>
      <c r="BY3" s="384"/>
      <c r="BZ3" s="384"/>
      <c r="CA3" s="384"/>
      <c r="CB3" s="384"/>
      <c r="CC3" s="384"/>
      <c r="CD3" s="384"/>
      <c r="CE3" s="384"/>
      <c r="CF3" s="384"/>
      <c r="CG3" s="384"/>
      <c r="CH3" s="384"/>
      <c r="CI3" s="384"/>
      <c r="CJ3" s="384"/>
      <c r="CK3" s="384"/>
      <c r="CL3" s="384"/>
      <c r="CM3" s="384"/>
      <c r="CN3" s="384"/>
      <c r="CO3" s="384"/>
      <c r="CP3" s="384"/>
      <c r="CQ3" s="384"/>
      <c r="CR3" s="384"/>
      <c r="CS3" s="384"/>
      <c r="CT3" s="384"/>
      <c r="CU3" s="384"/>
      <c r="CV3" s="384"/>
      <c r="CW3" s="384"/>
      <c r="CX3" s="384"/>
      <c r="CY3" s="384"/>
      <c r="CZ3" s="384"/>
      <c r="DA3" s="384"/>
      <c r="DB3" s="384"/>
      <c r="DC3" s="384"/>
      <c r="DD3" s="384"/>
      <c r="DE3" s="384"/>
      <c r="DF3" s="384"/>
      <c r="DG3" s="384"/>
      <c r="DH3" s="384"/>
      <c r="DI3" s="384"/>
      <c r="DJ3" s="384"/>
      <c r="DK3" s="384"/>
      <c r="DL3" s="384"/>
      <c r="DM3" s="384"/>
      <c r="DN3" s="384"/>
      <c r="DO3" s="384"/>
      <c r="DP3" s="384"/>
      <c r="DQ3" s="384"/>
      <c r="DR3" s="384"/>
      <c r="DS3" s="384"/>
      <c r="DT3" s="384"/>
      <c r="DU3" s="384"/>
      <c r="DV3" s="384"/>
      <c r="DW3" s="384"/>
      <c r="DX3" s="384"/>
      <c r="DY3" s="384"/>
      <c r="DZ3" s="384"/>
      <c r="EA3" s="384"/>
      <c r="EB3" s="384"/>
      <c r="EC3" s="384"/>
      <c r="ED3" s="384"/>
      <c r="EE3" s="384"/>
      <c r="EF3" s="384"/>
      <c r="EG3" s="384"/>
      <c r="EH3" s="384"/>
      <c r="EI3" s="384"/>
      <c r="EJ3" s="384"/>
      <c r="EK3" s="384"/>
      <c r="EL3" s="384"/>
      <c r="EM3" s="384"/>
      <c r="EN3" s="384"/>
      <c r="EO3" s="384"/>
      <c r="EP3" s="384"/>
      <c r="EQ3" s="384"/>
      <c r="ER3" s="384"/>
      <c r="ES3" s="384"/>
      <c r="ET3" s="384"/>
      <c r="EU3" s="384"/>
      <c r="EV3" s="384"/>
      <c r="EW3" s="384"/>
      <c r="EX3" s="384"/>
      <c r="EY3" s="384"/>
      <c r="EZ3" s="384"/>
      <c r="FA3" s="384"/>
      <c r="FB3" s="384"/>
      <c r="FC3" s="384"/>
      <c r="FD3" s="384"/>
      <c r="FE3" s="384"/>
      <c r="FF3" s="384"/>
      <c r="FG3" s="384"/>
      <c r="FH3" s="384"/>
      <c r="FI3" s="384"/>
      <c r="FJ3" s="384"/>
      <c r="FK3" s="384"/>
      <c r="FL3" s="384"/>
      <c r="FM3" s="384"/>
      <c r="FN3" s="384"/>
      <c r="FO3" s="384"/>
      <c r="FP3" s="384"/>
      <c r="FQ3" s="384"/>
      <c r="FR3" s="384"/>
      <c r="FS3" s="384"/>
      <c r="FT3" s="384"/>
      <c r="FU3" s="384"/>
      <c r="FV3" s="384"/>
      <c r="FW3" s="384"/>
      <c r="FX3" s="384"/>
      <c r="FY3" s="384"/>
      <c r="FZ3" s="384"/>
      <c r="GA3" s="384"/>
      <c r="GB3" s="384"/>
      <c r="GC3" s="384"/>
      <c r="GD3" s="384"/>
      <c r="GE3" s="384"/>
      <c r="GF3" s="384"/>
      <c r="GG3" s="384"/>
      <c r="GH3" s="384"/>
      <c r="GI3" s="384"/>
      <c r="GJ3" s="384"/>
      <c r="GK3" s="384"/>
      <c r="GL3" s="384"/>
      <c r="GM3" s="384"/>
      <c r="GN3" s="384"/>
      <c r="GO3" s="384"/>
      <c r="GP3" s="384"/>
      <c r="GQ3" s="384"/>
      <c r="GR3" s="384"/>
      <c r="GS3" s="384"/>
      <c r="GT3" s="384"/>
      <c r="GU3" s="384"/>
      <c r="GV3" s="384"/>
      <c r="GW3" s="384"/>
      <c r="GX3" s="384"/>
      <c r="GY3" s="384"/>
      <c r="GZ3" s="384"/>
      <c r="HA3" s="384"/>
      <c r="HB3" s="384"/>
      <c r="HC3" s="384"/>
      <c r="HD3" s="384"/>
      <c r="HE3" s="384"/>
      <c r="HF3" s="384"/>
      <c r="HG3" s="384"/>
      <c r="HH3" s="384"/>
      <c r="HI3" s="384"/>
      <c r="HJ3" s="384"/>
      <c r="HK3" s="384"/>
      <c r="HL3" s="384"/>
      <c r="HM3" s="384"/>
      <c r="HN3" s="384"/>
      <c r="HO3" s="384"/>
      <c r="HP3" s="384"/>
      <c r="HQ3" s="384"/>
      <c r="HR3" s="384"/>
      <c r="HS3" s="384"/>
      <c r="HT3" s="384"/>
      <c r="HU3" s="384"/>
      <c r="HV3" s="384"/>
      <c r="HW3" s="384"/>
      <c r="HX3" s="384"/>
      <c r="HY3" s="384"/>
      <c r="HZ3" s="384"/>
      <c r="IA3" s="384"/>
      <c r="IB3" s="384"/>
      <c r="IC3" s="384"/>
      <c r="ID3" s="384"/>
      <c r="IE3" s="384"/>
      <c r="IF3" s="384"/>
      <c r="IG3" s="384"/>
      <c r="IH3" s="384"/>
      <c r="II3" s="384"/>
      <c r="IJ3" s="384"/>
      <c r="IK3" s="384"/>
      <c r="IL3" s="384"/>
      <c r="IM3" s="384"/>
      <c r="IN3" s="384"/>
      <c r="IO3" s="384"/>
      <c r="IP3" s="384"/>
      <c r="IQ3" s="384"/>
      <c r="IR3" s="384"/>
      <c r="IS3" s="384"/>
      <c r="IT3" s="384"/>
      <c r="IU3" s="384"/>
      <c r="IV3" s="384"/>
      <c r="IW3" s="384"/>
    </row>
    <row r="4" customFormat="false" ht="12.75" hidden="false" customHeight="false" outlineLevel="0" collapsed="false">
      <c r="A4" s="385" t="str">
        <f aca="false">IF((E1&lt;&gt;0),Admin!$B$16," ")</f>
        <v> </v>
      </c>
      <c r="B4" s="206"/>
      <c r="C4" s="206"/>
      <c r="D4" s="206"/>
      <c r="E4" s="206"/>
      <c r="F4" s="206"/>
      <c r="G4" s="374" t="s">
        <v>268</v>
      </c>
      <c r="H4" s="374" t="s">
        <v>269</v>
      </c>
      <c r="I4" s="374" t="s">
        <v>270</v>
      </c>
      <c r="J4" s="374" t="s">
        <v>271</v>
      </c>
      <c r="K4" s="374" t="s">
        <v>272</v>
      </c>
      <c r="L4" s="374" t="s">
        <v>273</v>
      </c>
      <c r="M4" s="374" t="s">
        <v>274</v>
      </c>
      <c r="N4" s="374" t="s">
        <v>275</v>
      </c>
      <c r="O4" s="374" t="s">
        <v>276</v>
      </c>
      <c r="P4" s="374" t="s">
        <v>277</v>
      </c>
      <c r="Q4" s="374" t="s">
        <v>278</v>
      </c>
      <c r="R4" s="374" t="s">
        <v>279</v>
      </c>
      <c r="S4" s="386" t="s">
        <v>280</v>
      </c>
      <c r="T4" s="382"/>
      <c r="U4" s="393" t="n">
        <f aca="false">IF((A1&lt;Admin!$F$22),((A1-PurchasesFeb!A1)*Admin!$G$21),(A1*Admin!$G$21-(A1-Admin!$F$21)*(Admin!$G$21-Admin!$G$22)-PurchasesFeb!A2))</f>
        <v>0</v>
      </c>
      <c r="V4" s="387"/>
      <c r="W4" s="387"/>
      <c r="X4" s="387"/>
      <c r="Y4" s="387"/>
      <c r="Z4" s="387"/>
      <c r="AA4" s="387"/>
      <c r="AB4" s="387"/>
      <c r="AC4" s="387"/>
      <c r="AD4" s="387"/>
      <c r="AE4" s="387"/>
      <c r="AF4" s="387"/>
      <c r="AG4" s="387"/>
      <c r="AH4" s="387"/>
      <c r="AI4" s="387"/>
      <c r="AJ4" s="387"/>
      <c r="AK4" s="387"/>
      <c r="AL4" s="387"/>
      <c r="AM4" s="387"/>
      <c r="AN4" s="387"/>
      <c r="AO4" s="387"/>
      <c r="AP4" s="387"/>
      <c r="AQ4" s="387"/>
      <c r="AR4" s="387"/>
      <c r="AS4" s="387"/>
      <c r="AT4" s="387"/>
      <c r="AU4" s="387"/>
      <c r="AV4" s="387"/>
      <c r="AW4" s="387"/>
      <c r="AX4" s="387"/>
      <c r="AY4" s="387"/>
      <c r="AZ4" s="387"/>
      <c r="BA4" s="387"/>
      <c r="BB4" s="387"/>
      <c r="BC4" s="387"/>
      <c r="BD4" s="387"/>
      <c r="BE4" s="387"/>
      <c r="BF4" s="387"/>
      <c r="BG4" s="387"/>
      <c r="BH4" s="387"/>
      <c r="BI4" s="387"/>
      <c r="BJ4" s="387"/>
      <c r="BK4" s="387"/>
      <c r="BL4" s="387"/>
      <c r="BM4" s="387"/>
      <c r="BN4" s="387"/>
      <c r="BO4" s="387"/>
      <c r="BP4" s="387"/>
      <c r="BQ4" s="387"/>
      <c r="BR4" s="387"/>
      <c r="BS4" s="387"/>
      <c r="BT4" s="387"/>
      <c r="BU4" s="387"/>
      <c r="BV4" s="387"/>
      <c r="BW4" s="387"/>
      <c r="BX4" s="387"/>
      <c r="BY4" s="387"/>
      <c r="BZ4" s="387"/>
      <c r="CA4" s="387"/>
      <c r="CB4" s="387"/>
      <c r="CC4" s="387"/>
      <c r="CD4" s="387"/>
      <c r="CE4" s="387"/>
      <c r="CF4" s="387"/>
      <c r="CG4" s="387"/>
      <c r="CH4" s="387"/>
      <c r="CI4" s="387"/>
      <c r="CJ4" s="387"/>
      <c r="CK4" s="387"/>
      <c r="CL4" s="387"/>
      <c r="CM4" s="387"/>
      <c r="CN4" s="387"/>
      <c r="CO4" s="387"/>
      <c r="CP4" s="387"/>
      <c r="CQ4" s="387"/>
      <c r="CR4" s="387"/>
      <c r="CS4" s="387"/>
      <c r="CT4" s="387"/>
      <c r="CU4" s="387"/>
      <c r="CV4" s="387"/>
      <c r="CW4" s="387"/>
      <c r="CX4" s="387"/>
      <c r="CY4" s="387"/>
      <c r="CZ4" s="387"/>
      <c r="DA4" s="387"/>
      <c r="DB4" s="387"/>
      <c r="DC4" s="387"/>
      <c r="DD4" s="387"/>
      <c r="DE4" s="387"/>
      <c r="DF4" s="387"/>
      <c r="DG4" s="387"/>
      <c r="DH4" s="387"/>
      <c r="DI4" s="387"/>
      <c r="DJ4" s="387"/>
      <c r="DK4" s="387"/>
      <c r="DL4" s="387"/>
      <c r="DM4" s="387"/>
      <c r="DN4" s="387"/>
      <c r="DO4" s="387"/>
      <c r="DP4" s="387"/>
      <c r="DQ4" s="387"/>
      <c r="DR4" s="387"/>
      <c r="DS4" s="387"/>
      <c r="DT4" s="387"/>
      <c r="DU4" s="387"/>
      <c r="DV4" s="387"/>
      <c r="DW4" s="387"/>
      <c r="DX4" s="387"/>
      <c r="DY4" s="387"/>
      <c r="DZ4" s="387"/>
      <c r="EA4" s="387"/>
      <c r="EB4" s="387"/>
      <c r="EC4" s="387"/>
      <c r="ED4" s="387"/>
      <c r="EE4" s="387"/>
      <c r="EF4" s="387"/>
      <c r="EG4" s="387"/>
      <c r="EH4" s="387"/>
      <c r="EI4" s="387"/>
      <c r="EJ4" s="387"/>
      <c r="EK4" s="387"/>
      <c r="EL4" s="387"/>
      <c r="EM4" s="387"/>
      <c r="EN4" s="387"/>
      <c r="EO4" s="387"/>
      <c r="EP4" s="387"/>
      <c r="EQ4" s="387"/>
      <c r="ER4" s="387"/>
      <c r="ES4" s="387"/>
      <c r="ET4" s="387"/>
      <c r="EU4" s="387"/>
      <c r="EV4" s="387"/>
      <c r="EW4" s="387"/>
      <c r="EX4" s="387"/>
      <c r="EY4" s="387"/>
      <c r="EZ4" s="387"/>
      <c r="FA4" s="387"/>
      <c r="FB4" s="387"/>
      <c r="FC4" s="387"/>
      <c r="FD4" s="387"/>
      <c r="FE4" s="387"/>
      <c r="FF4" s="387"/>
      <c r="FG4" s="387"/>
      <c r="FH4" s="387"/>
      <c r="FI4" s="387"/>
      <c r="FJ4" s="387"/>
      <c r="FK4" s="387"/>
      <c r="FL4" s="387"/>
      <c r="FM4" s="387"/>
      <c r="FN4" s="387"/>
      <c r="FO4" s="387"/>
      <c r="FP4" s="387"/>
      <c r="FQ4" s="387"/>
      <c r="FR4" s="387"/>
      <c r="FS4" s="387"/>
      <c r="FT4" s="387"/>
      <c r="FU4" s="387"/>
      <c r="FV4" s="387"/>
      <c r="FW4" s="387"/>
      <c r="FX4" s="387"/>
      <c r="FY4" s="387"/>
      <c r="FZ4" s="387"/>
      <c r="GA4" s="387"/>
      <c r="GB4" s="387"/>
      <c r="GC4" s="387"/>
      <c r="GD4" s="387"/>
      <c r="GE4" s="387"/>
      <c r="GF4" s="387"/>
      <c r="GG4" s="387"/>
      <c r="GH4" s="387"/>
      <c r="GI4" s="387"/>
      <c r="GJ4" s="387"/>
      <c r="GK4" s="387"/>
      <c r="GL4" s="387"/>
      <c r="GM4" s="387"/>
      <c r="GN4" s="387"/>
      <c r="GO4" s="387"/>
      <c r="GP4" s="387"/>
      <c r="GQ4" s="387"/>
      <c r="GR4" s="387"/>
      <c r="GS4" s="387"/>
      <c r="GT4" s="387"/>
      <c r="GU4" s="387"/>
      <c r="GV4" s="387"/>
      <c r="GW4" s="387"/>
      <c r="GX4" s="387"/>
      <c r="GY4" s="387"/>
      <c r="GZ4" s="387"/>
      <c r="HA4" s="387"/>
      <c r="HB4" s="387"/>
      <c r="HC4" s="387"/>
      <c r="HD4" s="387"/>
      <c r="HE4" s="387"/>
      <c r="HF4" s="387"/>
      <c r="HG4" s="387"/>
      <c r="HH4" s="387"/>
      <c r="HI4" s="387"/>
      <c r="HJ4" s="387"/>
      <c r="HK4" s="387"/>
      <c r="HL4" s="387"/>
      <c r="HM4" s="387"/>
      <c r="HN4" s="387"/>
      <c r="HO4" s="387"/>
      <c r="HP4" s="387"/>
      <c r="HQ4" s="387"/>
      <c r="HR4" s="387"/>
      <c r="HS4" s="387"/>
      <c r="HT4" s="387"/>
      <c r="HU4" s="387"/>
      <c r="HV4" s="387"/>
      <c r="HW4" s="387"/>
      <c r="HX4" s="387"/>
      <c r="HY4" s="387"/>
      <c r="HZ4" s="387"/>
      <c r="IA4" s="387"/>
      <c r="IB4" s="387"/>
      <c r="IC4" s="387"/>
      <c r="ID4" s="387"/>
      <c r="IE4" s="387"/>
      <c r="IF4" s="387"/>
      <c r="IG4" s="387"/>
      <c r="IH4" s="387"/>
      <c r="II4" s="387"/>
      <c r="IJ4" s="387"/>
      <c r="IK4" s="387"/>
      <c r="IL4" s="387"/>
      <c r="IM4" s="387"/>
      <c r="IN4" s="387"/>
      <c r="IO4" s="387"/>
      <c r="IP4" s="387"/>
      <c r="IQ4" s="387"/>
      <c r="IR4" s="387"/>
      <c r="IS4" s="387"/>
      <c r="IT4" s="387"/>
      <c r="IU4" s="387"/>
      <c r="IV4" s="387"/>
      <c r="IW4" s="387"/>
    </row>
    <row r="5" customFormat="false" ht="12.75" hidden="false" customHeight="false" outlineLevel="0" collapsed="false">
      <c r="A5" s="370" t="n">
        <v>46461</v>
      </c>
      <c r="B5" s="388" t="s">
        <v>286</v>
      </c>
      <c r="C5" s="371"/>
      <c r="D5" s="371" t="s">
        <v>287</v>
      </c>
      <c r="F5" s="371" t="n">
        <v>300</v>
      </c>
      <c r="G5" s="180" t="n">
        <f aca="false">IF((D5="d"),F5," ")</f>
        <v>300</v>
      </c>
      <c r="H5" s="180" t="str">
        <f aca="false">IF((D5="h"),F5," ")</f>
        <v> </v>
      </c>
      <c r="I5" s="180" t="str">
        <f aca="false">IF((D5="r"),F5," ")</f>
        <v> </v>
      </c>
      <c r="J5" s="180" t="str">
        <f aca="false">IF((D5="t"),F5," ")</f>
        <v> </v>
      </c>
      <c r="K5" s="180" t="str">
        <f aca="false">IF((D5="e"),F5," ")</f>
        <v> </v>
      </c>
      <c r="L5" s="180" t="str">
        <f aca="false">IF((D5="p"),F5," ")</f>
        <v> </v>
      </c>
      <c r="M5" s="180" t="str">
        <f aca="false">IF((D5="g"),F5," ")</f>
        <v> </v>
      </c>
      <c r="N5" s="180" t="str">
        <f aca="false">IF((D5="a"),F5," ")</f>
        <v> </v>
      </c>
      <c r="O5" s="180" t="str">
        <f aca="false">IF((D5="l"),F5," ")</f>
        <v> </v>
      </c>
      <c r="P5" s="180" t="str">
        <f aca="false">IF((D5="i"),F5," ")</f>
        <v> </v>
      </c>
      <c r="Q5" s="180" t="str">
        <f aca="false">IF((D5="b"),F5," ")</f>
        <v> </v>
      </c>
      <c r="R5" s="180" t="str">
        <f aca="false">IF((D5="o"),F5," ")</f>
        <v> </v>
      </c>
      <c r="S5" s="180" t="str">
        <f aca="false">IF((D5="f"),F5," ")</f>
        <v> </v>
      </c>
      <c r="T5" s="371"/>
      <c r="U5" s="371"/>
      <c r="V5" s="371"/>
      <c r="W5" s="371"/>
      <c r="X5" s="371"/>
      <c r="Y5" s="371"/>
      <c r="Z5" s="371"/>
      <c r="AA5" s="371"/>
      <c r="AB5" s="371"/>
      <c r="AC5" s="371"/>
      <c r="AD5" s="371"/>
      <c r="AE5" s="371"/>
      <c r="AF5" s="371"/>
      <c r="AG5" s="371"/>
      <c r="AH5" s="371"/>
      <c r="AI5" s="371"/>
      <c r="AJ5" s="371"/>
      <c r="AK5" s="371"/>
      <c r="AL5" s="371"/>
      <c r="AM5" s="371"/>
      <c r="AN5" s="371"/>
      <c r="AO5" s="371"/>
      <c r="AP5" s="371"/>
      <c r="AQ5" s="371"/>
      <c r="AR5" s="371"/>
      <c r="AS5" s="371"/>
      <c r="AT5" s="371"/>
      <c r="AU5" s="371"/>
      <c r="AV5" s="371"/>
      <c r="AW5" s="371"/>
      <c r="AX5" s="371"/>
      <c r="AY5" s="371"/>
      <c r="AZ5" s="371"/>
      <c r="BA5" s="371"/>
      <c r="BB5" s="371"/>
      <c r="BC5" s="371"/>
      <c r="BD5" s="371"/>
      <c r="BE5" s="371"/>
      <c r="BF5" s="371"/>
      <c r="BG5" s="371"/>
      <c r="BH5" s="371"/>
      <c r="BI5" s="371"/>
      <c r="BJ5" s="371"/>
      <c r="BK5" s="371"/>
      <c r="BL5" s="371"/>
      <c r="BM5" s="371"/>
      <c r="BN5" s="371"/>
      <c r="BO5" s="371"/>
      <c r="BP5" s="371"/>
      <c r="BQ5" s="371"/>
      <c r="BR5" s="371"/>
      <c r="BS5" s="371"/>
      <c r="BT5" s="371"/>
      <c r="BU5" s="371"/>
      <c r="BV5" s="371"/>
      <c r="BW5" s="371"/>
      <c r="BX5" s="371"/>
      <c r="BY5" s="371"/>
      <c r="BZ5" s="371"/>
      <c r="CA5" s="371"/>
      <c r="CB5" s="371"/>
      <c r="CC5" s="371"/>
      <c r="CD5" s="371"/>
      <c r="CE5" s="371"/>
      <c r="CF5" s="371"/>
      <c r="CG5" s="371"/>
      <c r="CH5" s="371"/>
      <c r="CI5" s="371"/>
      <c r="CJ5" s="371"/>
      <c r="CK5" s="371"/>
      <c r="CL5" s="371"/>
      <c r="CM5" s="371"/>
      <c r="CN5" s="371"/>
      <c r="CO5" s="371"/>
      <c r="CP5" s="371"/>
      <c r="CQ5" s="371"/>
      <c r="CR5" s="371"/>
      <c r="CS5" s="371"/>
      <c r="CT5" s="371"/>
      <c r="CU5" s="371"/>
      <c r="CV5" s="371"/>
      <c r="CW5" s="371"/>
      <c r="CX5" s="371"/>
      <c r="CY5" s="371"/>
      <c r="CZ5" s="371"/>
      <c r="DA5" s="371"/>
      <c r="DB5" s="371"/>
      <c r="DC5" s="371"/>
      <c r="DD5" s="371"/>
      <c r="DE5" s="371"/>
      <c r="DF5" s="371"/>
      <c r="DG5" s="371"/>
      <c r="DH5" s="371"/>
      <c r="DI5" s="371"/>
      <c r="DJ5" s="371"/>
      <c r="DK5" s="371"/>
      <c r="DL5" s="371"/>
      <c r="DM5" s="371"/>
      <c r="DN5" s="371"/>
      <c r="DO5" s="371"/>
      <c r="DP5" s="371"/>
      <c r="DQ5" s="371"/>
      <c r="DR5" s="371"/>
      <c r="DS5" s="371"/>
      <c r="DT5" s="371"/>
      <c r="DU5" s="371"/>
      <c r="DV5" s="371"/>
      <c r="DW5" s="371"/>
      <c r="DX5" s="371"/>
      <c r="DY5" s="371"/>
      <c r="DZ5" s="371"/>
      <c r="EA5" s="371"/>
      <c r="EB5" s="371"/>
      <c r="EC5" s="371"/>
      <c r="ED5" s="371"/>
      <c r="EE5" s="371"/>
      <c r="EF5" s="371"/>
      <c r="EG5" s="371"/>
      <c r="EH5" s="371"/>
      <c r="EI5" s="371"/>
      <c r="EJ5" s="371"/>
      <c r="EK5" s="371"/>
      <c r="EL5" s="371"/>
      <c r="EM5" s="371"/>
      <c r="EN5" s="371"/>
      <c r="EO5" s="371"/>
      <c r="EP5" s="371"/>
      <c r="EQ5" s="371"/>
      <c r="ER5" s="371"/>
      <c r="ES5" s="371"/>
      <c r="ET5" s="371"/>
      <c r="EU5" s="371"/>
      <c r="EV5" s="371"/>
      <c r="EW5" s="371"/>
      <c r="EX5" s="371"/>
      <c r="EY5" s="371"/>
      <c r="EZ5" s="371"/>
      <c r="FA5" s="371"/>
      <c r="FB5" s="371"/>
      <c r="FC5" s="371"/>
      <c r="FD5" s="371"/>
      <c r="FE5" s="371"/>
      <c r="FF5" s="371"/>
      <c r="FG5" s="371"/>
      <c r="FH5" s="371"/>
      <c r="FI5" s="371"/>
      <c r="FJ5" s="371"/>
      <c r="FK5" s="371"/>
      <c r="FL5" s="371"/>
      <c r="FM5" s="371"/>
      <c r="FN5" s="371"/>
      <c r="FO5" s="371"/>
      <c r="FP5" s="371"/>
      <c r="FQ5" s="371"/>
      <c r="FR5" s="371"/>
      <c r="FS5" s="371"/>
      <c r="FT5" s="371"/>
      <c r="FU5" s="371"/>
      <c r="FV5" s="371"/>
      <c r="FW5" s="371"/>
      <c r="FX5" s="371"/>
      <c r="FY5" s="371"/>
      <c r="FZ5" s="371"/>
      <c r="GA5" s="371"/>
      <c r="GB5" s="371"/>
      <c r="GC5" s="371"/>
      <c r="GD5" s="371"/>
      <c r="GE5" s="371"/>
      <c r="GF5" s="371"/>
      <c r="GG5" s="371"/>
      <c r="GH5" s="371"/>
      <c r="GI5" s="371"/>
      <c r="GJ5" s="371"/>
      <c r="GK5" s="371"/>
      <c r="GL5" s="371"/>
      <c r="GM5" s="371"/>
      <c r="GN5" s="371"/>
      <c r="GO5" s="371"/>
      <c r="GP5" s="371"/>
      <c r="GQ5" s="371"/>
      <c r="GR5" s="371"/>
      <c r="GS5" s="371"/>
      <c r="GT5" s="371"/>
      <c r="GU5" s="371"/>
      <c r="GV5" s="371"/>
      <c r="GW5" s="371"/>
      <c r="GX5" s="371"/>
      <c r="GY5" s="371"/>
      <c r="GZ5" s="371"/>
      <c r="HA5" s="371"/>
      <c r="HB5" s="371"/>
      <c r="HC5" s="371"/>
      <c r="HD5" s="371"/>
      <c r="HE5" s="371"/>
      <c r="HF5" s="371"/>
      <c r="HG5" s="371"/>
      <c r="HH5" s="371"/>
      <c r="HI5" s="371"/>
      <c r="HJ5" s="371"/>
      <c r="HK5" s="371"/>
      <c r="HL5" s="371"/>
      <c r="HM5" s="371"/>
      <c r="HN5" s="371"/>
      <c r="HO5" s="371"/>
      <c r="HP5" s="371"/>
      <c r="HQ5" s="371"/>
      <c r="HR5" s="371"/>
      <c r="HS5" s="371"/>
      <c r="HT5" s="371"/>
      <c r="HU5" s="371"/>
      <c r="HV5" s="371"/>
      <c r="HW5" s="371"/>
      <c r="HX5" s="371"/>
      <c r="HY5" s="371"/>
      <c r="HZ5" s="371"/>
      <c r="IA5" s="371"/>
      <c r="IB5" s="371"/>
      <c r="IC5" s="371"/>
      <c r="ID5" s="371"/>
      <c r="IE5" s="371"/>
      <c r="IF5" s="371"/>
      <c r="IG5" s="371"/>
      <c r="IH5" s="371"/>
      <c r="II5" s="371"/>
      <c r="IJ5" s="371"/>
      <c r="IK5" s="371"/>
      <c r="IL5" s="371"/>
      <c r="IM5" s="371"/>
      <c r="IN5" s="371"/>
      <c r="IO5" s="371"/>
      <c r="IP5" s="371"/>
      <c r="IQ5" s="371"/>
      <c r="IR5" s="371"/>
      <c r="IS5" s="371"/>
      <c r="IT5" s="371"/>
      <c r="IU5" s="371"/>
      <c r="IV5" s="371"/>
      <c r="IW5" s="371"/>
    </row>
    <row r="6" customFormat="false" ht="12.75" hidden="false" customHeight="false" outlineLevel="0" collapsed="false">
      <c r="G6" s="180" t="str">
        <f aca="false">IF((D6="d"),F6," ")</f>
        <v> </v>
      </c>
      <c r="H6" s="180" t="str">
        <f aca="false">IF((D6="h"),F6," ")</f>
        <v> </v>
      </c>
      <c r="I6" s="180" t="str">
        <f aca="false">IF((D6="r"),F6," ")</f>
        <v> </v>
      </c>
      <c r="J6" s="180" t="str">
        <f aca="false">IF((D6="t"),F6," ")</f>
        <v> </v>
      </c>
      <c r="K6" s="180" t="str">
        <f aca="false">IF((D6="e"),F6," ")</f>
        <v> </v>
      </c>
      <c r="L6" s="180" t="str">
        <f aca="false">IF((D6="p"),F6," ")</f>
        <v> </v>
      </c>
      <c r="M6" s="180" t="str">
        <f aca="false">IF((D6="g"),F6," ")</f>
        <v> </v>
      </c>
      <c r="N6" s="180" t="str">
        <f aca="false">IF((D6="a"),F6," ")</f>
        <v> </v>
      </c>
      <c r="O6" s="180" t="str">
        <f aca="false">IF((D6="l"),F6," ")</f>
        <v> </v>
      </c>
      <c r="P6" s="180" t="str">
        <f aca="false">IF((D6="i"),F6," ")</f>
        <v> </v>
      </c>
      <c r="Q6" s="180" t="str">
        <f aca="false">IF((D6="b"),F6," ")</f>
        <v> </v>
      </c>
      <c r="R6" s="180" t="str">
        <f aca="false">IF((D6="o"),F6," ")</f>
        <v> </v>
      </c>
      <c r="S6" s="180" t="str">
        <f aca="false">IF((D6="f"),F6," ")</f>
        <v> </v>
      </c>
      <c r="U6" s="371"/>
    </row>
    <row r="7" customFormat="false" ht="12.75" hidden="false" customHeight="false" outlineLevel="0" collapsed="false">
      <c r="G7" s="180" t="str">
        <f aca="false">IF((D7="d"),F7," ")</f>
        <v> </v>
      </c>
      <c r="H7" s="180" t="str">
        <f aca="false">IF((D7="h"),F7," ")</f>
        <v> </v>
      </c>
      <c r="I7" s="180" t="str">
        <f aca="false">IF((D7="r"),F7," ")</f>
        <v> </v>
      </c>
      <c r="J7" s="180" t="str">
        <f aca="false">IF((D7="t"),F7," ")</f>
        <v> </v>
      </c>
      <c r="K7" s="180" t="str">
        <f aca="false">IF((D7="e"),F7," ")</f>
        <v> </v>
      </c>
      <c r="L7" s="180" t="str">
        <f aca="false">IF((D7="p"),F7," ")</f>
        <v> </v>
      </c>
      <c r="M7" s="180" t="str">
        <f aca="false">IF((D7="g"),F7," ")</f>
        <v> </v>
      </c>
      <c r="N7" s="180" t="str">
        <f aca="false">IF((D7="a"),F7," ")</f>
        <v> </v>
      </c>
      <c r="O7" s="180" t="str">
        <f aca="false">IF((D7="l"),F7," ")</f>
        <v> </v>
      </c>
      <c r="P7" s="180" t="str">
        <f aca="false">IF((D7="i"),F7," ")</f>
        <v> </v>
      </c>
      <c r="Q7" s="180" t="str">
        <f aca="false">IF((D7="b"),F7," ")</f>
        <v> </v>
      </c>
      <c r="R7" s="180" t="str">
        <f aca="false">IF((D7="o"),F7," ")</f>
        <v> </v>
      </c>
      <c r="S7" s="180" t="str">
        <f aca="false">IF((D7="f"),F7," ")</f>
        <v> </v>
      </c>
      <c r="U7" s="371"/>
    </row>
    <row r="8" customFormat="false" ht="12.75" hidden="false" customHeight="false" outlineLevel="0" collapsed="false">
      <c r="G8" s="180" t="str">
        <f aca="false">IF((D8="d"),F8," ")</f>
        <v> </v>
      </c>
      <c r="H8" s="180" t="str">
        <f aca="false">IF((D8="h"),F8," ")</f>
        <v> </v>
      </c>
      <c r="I8" s="180" t="str">
        <f aca="false">IF((D8="r"),F8," ")</f>
        <v> </v>
      </c>
      <c r="J8" s="180" t="str">
        <f aca="false">IF((D8="t"),F8," ")</f>
        <v> </v>
      </c>
      <c r="K8" s="180" t="str">
        <f aca="false">IF((D8="e"),F8," ")</f>
        <v> </v>
      </c>
      <c r="L8" s="180" t="str">
        <f aca="false">IF((D8="p"),F8," ")</f>
        <v> </v>
      </c>
      <c r="M8" s="180" t="str">
        <f aca="false">IF((D8="g"),F8," ")</f>
        <v> </v>
      </c>
      <c r="N8" s="180" t="str">
        <f aca="false">IF((D8="a"),F8," ")</f>
        <v> </v>
      </c>
      <c r="O8" s="180" t="str">
        <f aca="false">IF((D8="l"),F8," ")</f>
        <v> </v>
      </c>
      <c r="P8" s="180" t="str">
        <f aca="false">IF((D8="i"),F8," ")</f>
        <v> </v>
      </c>
      <c r="Q8" s="180" t="str">
        <f aca="false">IF((D8="b"),F8," ")</f>
        <v> </v>
      </c>
      <c r="R8" s="180" t="str">
        <f aca="false">IF((D8="o"),F8," ")</f>
        <v> </v>
      </c>
      <c r="S8" s="180" t="str">
        <f aca="false">IF((D8="f"),F8," ")</f>
        <v> </v>
      </c>
      <c r="U8" s="371"/>
    </row>
    <row r="9" customFormat="false" ht="12.75" hidden="false" customHeight="false" outlineLevel="0" collapsed="false">
      <c r="G9" s="180" t="str">
        <f aca="false">IF((D9="d"),F9," ")</f>
        <v> </v>
      </c>
      <c r="H9" s="180" t="str">
        <f aca="false">IF((D9="h"),F9," ")</f>
        <v> </v>
      </c>
      <c r="I9" s="180" t="str">
        <f aca="false">IF((D9="r"),F9," ")</f>
        <v> </v>
      </c>
      <c r="J9" s="180" t="str">
        <f aca="false">IF((D9="t"),F9," ")</f>
        <v> </v>
      </c>
      <c r="K9" s="180" t="str">
        <f aca="false">IF((D9="e"),F9," ")</f>
        <v> </v>
      </c>
      <c r="L9" s="180" t="str">
        <f aca="false">IF((D9="p"),F9," ")</f>
        <v> </v>
      </c>
      <c r="M9" s="180" t="str">
        <f aca="false">IF((D9="g"),F9," ")</f>
        <v> </v>
      </c>
      <c r="N9" s="180" t="str">
        <f aca="false">IF((D9="a"),F9," ")</f>
        <v> </v>
      </c>
      <c r="O9" s="180" t="str">
        <f aca="false">IF((D9="l"),F9," ")</f>
        <v> </v>
      </c>
      <c r="P9" s="180" t="str">
        <f aca="false">IF((D9="i"),F9," ")</f>
        <v> </v>
      </c>
      <c r="Q9" s="180" t="str">
        <f aca="false">IF((D9="b"),F9," ")</f>
        <v> </v>
      </c>
      <c r="R9" s="180" t="str">
        <f aca="false">IF((D9="o"),F9," ")</f>
        <v> </v>
      </c>
      <c r="S9" s="180" t="str">
        <f aca="false">IF((D9="f"),F9," ")</f>
        <v> </v>
      </c>
      <c r="U9" s="371"/>
    </row>
    <row r="10" customFormat="false" ht="12.75" hidden="false" customHeight="false" outlineLevel="0" collapsed="false">
      <c r="G10" s="180" t="str">
        <f aca="false">IF((D10="d"),F10," ")</f>
        <v> </v>
      </c>
      <c r="H10" s="180" t="str">
        <f aca="false">IF((D10="h"),F10," ")</f>
        <v> </v>
      </c>
      <c r="I10" s="180" t="str">
        <f aca="false">IF((D10="r"),F10," ")</f>
        <v> </v>
      </c>
      <c r="J10" s="180" t="str">
        <f aca="false">IF((D10="t"),F10," ")</f>
        <v> </v>
      </c>
      <c r="K10" s="180" t="str">
        <f aca="false">IF((D10="e"),F10," ")</f>
        <v> </v>
      </c>
      <c r="L10" s="180" t="str">
        <f aca="false">IF((D10="p"),F10," ")</f>
        <v> </v>
      </c>
      <c r="M10" s="180" t="str">
        <f aca="false">IF((D10="g"),F10," ")</f>
        <v> </v>
      </c>
      <c r="N10" s="180" t="str">
        <f aca="false">IF((D10="a"),F10," ")</f>
        <v> </v>
      </c>
      <c r="O10" s="180" t="str">
        <f aca="false">IF((D10="l"),F10," ")</f>
        <v> </v>
      </c>
      <c r="P10" s="180" t="str">
        <f aca="false">IF((D10="i"),F10," ")</f>
        <v> </v>
      </c>
      <c r="Q10" s="180" t="str">
        <f aca="false">IF((D10="b"),F10," ")</f>
        <v> </v>
      </c>
      <c r="R10" s="180" t="str">
        <f aca="false">IF((D10="o"),F10," ")</f>
        <v> </v>
      </c>
      <c r="S10" s="180" t="str">
        <f aca="false">IF((D10="f"),F10," ")</f>
        <v> </v>
      </c>
      <c r="U10" s="371"/>
    </row>
    <row r="11" customFormat="false" ht="12.75" hidden="false" customHeight="false" outlineLevel="0" collapsed="false">
      <c r="G11" s="180" t="str">
        <f aca="false">IF((D11="d"),F11," ")</f>
        <v> </v>
      </c>
      <c r="H11" s="180" t="str">
        <f aca="false">IF((D11="h"),F11," ")</f>
        <v> </v>
      </c>
      <c r="I11" s="180" t="str">
        <f aca="false">IF((D11="r"),F11," ")</f>
        <v> </v>
      </c>
      <c r="J11" s="180" t="str">
        <f aca="false">IF((D11="t"),F11," ")</f>
        <v> </v>
      </c>
      <c r="K11" s="180" t="str">
        <f aca="false">IF((D11="e"),F11," ")</f>
        <v> </v>
      </c>
      <c r="L11" s="180" t="str">
        <f aca="false">IF((D11="p"),F11," ")</f>
        <v> </v>
      </c>
      <c r="M11" s="180" t="str">
        <f aca="false">IF((D11="g"),F11," ")</f>
        <v> </v>
      </c>
      <c r="N11" s="180" t="str">
        <f aca="false">IF((D11="a"),F11," ")</f>
        <v> </v>
      </c>
      <c r="O11" s="180" t="str">
        <f aca="false">IF((D11="l"),F11," ")</f>
        <v> </v>
      </c>
      <c r="P11" s="180" t="str">
        <f aca="false">IF((D11="i"),F11," ")</f>
        <v> </v>
      </c>
      <c r="Q11" s="180" t="str">
        <f aca="false">IF((D11="b"),F11," ")</f>
        <v> </v>
      </c>
      <c r="R11" s="180" t="str">
        <f aca="false">IF((D11="o"),F11," ")</f>
        <v> </v>
      </c>
      <c r="S11" s="180" t="str">
        <f aca="false">IF((D11="f"),F11," ")</f>
        <v> </v>
      </c>
      <c r="U11" s="371"/>
    </row>
    <row r="12" customFormat="false" ht="12.75" hidden="false" customHeight="false" outlineLevel="0" collapsed="false">
      <c r="G12" s="180" t="str">
        <f aca="false">IF((D12="d"),F12," ")</f>
        <v> </v>
      </c>
      <c r="H12" s="180" t="str">
        <f aca="false">IF((D12="h"),F12," ")</f>
        <v> </v>
      </c>
      <c r="I12" s="180" t="str">
        <f aca="false">IF((D12="r"),F12," ")</f>
        <v> </v>
      </c>
      <c r="J12" s="180" t="str">
        <f aca="false">IF((D12="t"),F12," ")</f>
        <v> </v>
      </c>
      <c r="K12" s="180" t="str">
        <f aca="false">IF((D12="e"),F12," ")</f>
        <v> </v>
      </c>
      <c r="L12" s="180" t="str">
        <f aca="false">IF((D12="p"),F12," ")</f>
        <v> </v>
      </c>
      <c r="M12" s="180" t="str">
        <f aca="false">IF((D12="g"),F12," ")</f>
        <v> </v>
      </c>
      <c r="N12" s="180" t="str">
        <f aca="false">IF((D12="a"),F12," ")</f>
        <v> </v>
      </c>
      <c r="O12" s="180" t="str">
        <f aca="false">IF((D12="l"),F12," ")</f>
        <v> </v>
      </c>
      <c r="P12" s="180" t="str">
        <f aca="false">IF((D12="i"),F12," ")</f>
        <v> </v>
      </c>
      <c r="Q12" s="180" t="str">
        <f aca="false">IF((D12="b"),F12," ")</f>
        <v> </v>
      </c>
      <c r="R12" s="180" t="str">
        <f aca="false">IF((D12="o"),F12," ")</f>
        <v> </v>
      </c>
      <c r="S12" s="180" t="str">
        <f aca="false">IF((D12="f"),F12," ")</f>
        <v> </v>
      </c>
      <c r="U12" s="371"/>
    </row>
    <row r="13" customFormat="false" ht="12.75" hidden="false" customHeight="false" outlineLevel="0" collapsed="false">
      <c r="G13" s="180" t="str">
        <f aca="false">IF((D13="d"),F13," ")</f>
        <v> </v>
      </c>
      <c r="H13" s="180" t="str">
        <f aca="false">IF((D13="h"),F13," ")</f>
        <v> </v>
      </c>
      <c r="I13" s="180" t="str">
        <f aca="false">IF((D13="r"),F13," ")</f>
        <v> </v>
      </c>
      <c r="J13" s="180" t="str">
        <f aca="false">IF((D13="t"),F13," ")</f>
        <v> </v>
      </c>
      <c r="K13" s="180" t="str">
        <f aca="false">IF((D13="e"),F13," ")</f>
        <v> </v>
      </c>
      <c r="L13" s="180" t="str">
        <f aca="false">IF((D13="p"),F13," ")</f>
        <v> </v>
      </c>
      <c r="M13" s="180" t="str">
        <f aca="false">IF((D13="g"),F13," ")</f>
        <v> </v>
      </c>
      <c r="N13" s="180" t="str">
        <f aca="false">IF((D13="a"),F13," ")</f>
        <v> </v>
      </c>
      <c r="O13" s="180" t="str">
        <f aca="false">IF((D13="l"),F13," ")</f>
        <v> </v>
      </c>
      <c r="P13" s="180" t="str">
        <f aca="false">IF((D13="i"),F13," ")</f>
        <v> </v>
      </c>
      <c r="Q13" s="180" t="str">
        <f aca="false">IF((D13="b"),F13," ")</f>
        <v> </v>
      </c>
      <c r="R13" s="180" t="str">
        <f aca="false">IF((D13="o"),F13," ")</f>
        <v> </v>
      </c>
      <c r="S13" s="180" t="str">
        <f aca="false">IF((D13="f"),F13," ")</f>
        <v> </v>
      </c>
      <c r="U13" s="371"/>
    </row>
    <row r="14" customFormat="false" ht="12.75" hidden="false" customHeight="false" outlineLevel="0" collapsed="false">
      <c r="G14" s="180" t="str">
        <f aca="false">IF((D14="d"),F14," ")</f>
        <v> </v>
      </c>
      <c r="H14" s="180" t="str">
        <f aca="false">IF((D14="h"),F14," ")</f>
        <v> </v>
      </c>
      <c r="I14" s="180" t="str">
        <f aca="false">IF((D14="r"),F14," ")</f>
        <v> </v>
      </c>
      <c r="J14" s="180" t="str">
        <f aca="false">IF((D14="t"),F14," ")</f>
        <v> </v>
      </c>
      <c r="K14" s="180" t="str">
        <f aca="false">IF((D14="e"),F14," ")</f>
        <v> </v>
      </c>
      <c r="L14" s="180" t="str">
        <f aca="false">IF((D14="p"),F14," ")</f>
        <v> </v>
      </c>
      <c r="M14" s="180" t="str">
        <f aca="false">IF((D14="g"),F14," ")</f>
        <v> </v>
      </c>
      <c r="N14" s="180" t="str">
        <f aca="false">IF((D14="a"),F14," ")</f>
        <v> </v>
      </c>
      <c r="O14" s="180" t="str">
        <f aca="false">IF((D14="l"),F14," ")</f>
        <v> </v>
      </c>
      <c r="P14" s="180" t="str">
        <f aca="false">IF((D14="i"),F14," ")</f>
        <v> </v>
      </c>
      <c r="Q14" s="180" t="str">
        <f aca="false">IF((D14="b"),F14," ")</f>
        <v> </v>
      </c>
      <c r="R14" s="180" t="str">
        <f aca="false">IF((D14="o"),F14," ")</f>
        <v> </v>
      </c>
      <c r="S14" s="180" t="str">
        <f aca="false">IF((D14="f"),F14," ")</f>
        <v> </v>
      </c>
      <c r="U14" s="371"/>
    </row>
    <row r="15" customFormat="false" ht="12.75" hidden="false" customHeight="false" outlineLevel="0" collapsed="false">
      <c r="G15" s="180" t="str">
        <f aca="false">IF((D15="d"),F15," ")</f>
        <v> </v>
      </c>
      <c r="H15" s="180" t="str">
        <f aca="false">IF((D15="h"),F15," ")</f>
        <v> </v>
      </c>
      <c r="I15" s="180" t="str">
        <f aca="false">IF((D15="r"),F15," ")</f>
        <v> </v>
      </c>
      <c r="J15" s="180" t="str">
        <f aca="false">IF((D15="t"),F15," ")</f>
        <v> </v>
      </c>
      <c r="K15" s="180" t="str">
        <f aca="false">IF((D15="e"),F15," ")</f>
        <v> </v>
      </c>
      <c r="L15" s="180" t="str">
        <f aca="false">IF((D15="p"),F15," ")</f>
        <v> </v>
      </c>
      <c r="M15" s="180" t="str">
        <f aca="false">IF((D15="g"),F15," ")</f>
        <v> </v>
      </c>
      <c r="N15" s="180" t="str">
        <f aca="false">IF((D15="a"),F15," ")</f>
        <v> </v>
      </c>
      <c r="O15" s="180" t="str">
        <f aca="false">IF((D15="l"),F15," ")</f>
        <v> </v>
      </c>
      <c r="P15" s="180" t="str">
        <f aca="false">IF((D15="i"),F15," ")</f>
        <v> </v>
      </c>
      <c r="Q15" s="180" t="str">
        <f aca="false">IF((D15="b"),F15," ")</f>
        <v> </v>
      </c>
      <c r="R15" s="180" t="str">
        <f aca="false">IF((D15="o"),F15," ")</f>
        <v> </v>
      </c>
      <c r="S15" s="180" t="str">
        <f aca="false">IF((D15="f"),F15," ")</f>
        <v> </v>
      </c>
      <c r="U15" s="371"/>
    </row>
    <row r="16" customFormat="false" ht="12.75" hidden="false" customHeight="false" outlineLevel="0" collapsed="false">
      <c r="G16" s="180" t="str">
        <f aca="false">IF((D16="d"),F16," ")</f>
        <v> </v>
      </c>
      <c r="H16" s="180" t="str">
        <f aca="false">IF((D16="h"),F16," ")</f>
        <v> </v>
      </c>
      <c r="I16" s="180" t="str">
        <f aca="false">IF((D16="r"),F16," ")</f>
        <v> </v>
      </c>
      <c r="J16" s="180" t="str">
        <f aca="false">IF((D16="t"),F16," ")</f>
        <v> </v>
      </c>
      <c r="K16" s="180" t="str">
        <f aca="false">IF((D16="e"),F16," ")</f>
        <v> </v>
      </c>
      <c r="L16" s="180" t="str">
        <f aca="false">IF((D16="p"),F16," ")</f>
        <v> </v>
      </c>
      <c r="M16" s="180" t="str">
        <f aca="false">IF((D16="g"),F16," ")</f>
        <v> </v>
      </c>
      <c r="N16" s="180" t="str">
        <f aca="false">IF((D16="a"),F16," ")</f>
        <v> </v>
      </c>
      <c r="O16" s="180" t="str">
        <f aca="false">IF((D16="l"),F16," ")</f>
        <v> </v>
      </c>
      <c r="P16" s="180" t="str">
        <f aca="false">IF((D16="i"),F16," ")</f>
        <v> </v>
      </c>
      <c r="Q16" s="180" t="str">
        <f aca="false">IF((D16="b"),F16," ")</f>
        <v> </v>
      </c>
      <c r="R16" s="180" t="str">
        <f aca="false">IF((D16="o"),F16," ")</f>
        <v> </v>
      </c>
      <c r="S16" s="180" t="str">
        <f aca="false">IF((D16="f"),F16," ")</f>
        <v> </v>
      </c>
      <c r="U16" s="371"/>
    </row>
    <row r="17" customFormat="false" ht="12.75" hidden="false" customHeight="false" outlineLevel="0" collapsed="false">
      <c r="G17" s="180" t="str">
        <f aca="false">IF((D17="d"),F17," ")</f>
        <v> </v>
      </c>
      <c r="H17" s="180" t="str">
        <f aca="false">IF((D17="h"),F17," ")</f>
        <v> </v>
      </c>
      <c r="I17" s="180" t="str">
        <f aca="false">IF((D17="r"),F17," ")</f>
        <v> </v>
      </c>
      <c r="J17" s="180" t="str">
        <f aca="false">IF((D17="t"),F17," ")</f>
        <v> </v>
      </c>
      <c r="K17" s="180" t="str">
        <f aca="false">IF((D17="e"),F17," ")</f>
        <v> </v>
      </c>
      <c r="L17" s="180" t="str">
        <f aca="false">IF((D17="p"),F17," ")</f>
        <v> </v>
      </c>
      <c r="M17" s="180" t="str">
        <f aca="false">IF((D17="g"),F17," ")</f>
        <v> </v>
      </c>
      <c r="N17" s="180" t="str">
        <f aca="false">IF((D17="a"),F17," ")</f>
        <v> </v>
      </c>
      <c r="O17" s="180" t="str">
        <f aca="false">IF((D17="l"),F17," ")</f>
        <v> </v>
      </c>
      <c r="P17" s="180" t="str">
        <f aca="false">IF((D17="i"),F17," ")</f>
        <v> </v>
      </c>
      <c r="Q17" s="180" t="str">
        <f aca="false">IF((D17="b"),F17," ")</f>
        <v> </v>
      </c>
      <c r="R17" s="180" t="str">
        <f aca="false">IF((D17="o"),F17," ")</f>
        <v> </v>
      </c>
      <c r="S17" s="180" t="str">
        <f aca="false">IF((D17="f"),F17," ")</f>
        <v> </v>
      </c>
      <c r="U17" s="371"/>
    </row>
    <row r="18" customFormat="false" ht="12.75" hidden="false" customHeight="false" outlineLevel="0" collapsed="false">
      <c r="G18" s="180" t="str">
        <f aca="false">IF((D18="d"),F18," ")</f>
        <v> </v>
      </c>
      <c r="H18" s="180" t="str">
        <f aca="false">IF((D18="h"),F18," ")</f>
        <v> </v>
      </c>
      <c r="I18" s="180" t="str">
        <f aca="false">IF((D18="r"),F18," ")</f>
        <v> </v>
      </c>
      <c r="J18" s="180" t="str">
        <f aca="false">IF((D18="t"),F18," ")</f>
        <v> </v>
      </c>
      <c r="K18" s="180" t="str">
        <f aca="false">IF((D18="e"),F18," ")</f>
        <v> </v>
      </c>
      <c r="L18" s="180" t="str">
        <f aca="false">IF((D18="p"),F18," ")</f>
        <v> </v>
      </c>
      <c r="M18" s="180" t="str">
        <f aca="false">IF((D18="g"),F18," ")</f>
        <v> </v>
      </c>
      <c r="N18" s="180" t="str">
        <f aca="false">IF((D18="a"),F18," ")</f>
        <v> </v>
      </c>
      <c r="O18" s="180" t="str">
        <f aca="false">IF((D18="l"),F18," ")</f>
        <v> </v>
      </c>
      <c r="P18" s="180" t="str">
        <f aca="false">IF((D18="i"),F18," ")</f>
        <v> </v>
      </c>
      <c r="Q18" s="180" t="str">
        <f aca="false">IF((D18="b"),F18," ")</f>
        <v> </v>
      </c>
      <c r="R18" s="180" t="str">
        <f aca="false">IF((D18="o"),F18," ")</f>
        <v> </v>
      </c>
      <c r="S18" s="180" t="str">
        <f aca="false">IF((D18="f"),F18," ")</f>
        <v> </v>
      </c>
      <c r="U18" s="371"/>
    </row>
    <row r="19" customFormat="false" ht="12.75" hidden="false" customHeight="false" outlineLevel="0" collapsed="false">
      <c r="G19" s="180" t="str">
        <f aca="false">IF((D19="d"),F19," ")</f>
        <v> </v>
      </c>
      <c r="H19" s="180" t="str">
        <f aca="false">IF((D19="h"),F19," ")</f>
        <v> </v>
      </c>
      <c r="I19" s="180" t="str">
        <f aca="false">IF((D19="r"),F19," ")</f>
        <v> </v>
      </c>
      <c r="J19" s="180" t="str">
        <f aca="false">IF((D19="t"),F19," ")</f>
        <v> </v>
      </c>
      <c r="K19" s="180" t="str">
        <f aca="false">IF((D19="e"),F19," ")</f>
        <v> </v>
      </c>
      <c r="L19" s="180" t="str">
        <f aca="false">IF((D19="p"),F19," ")</f>
        <v> </v>
      </c>
      <c r="M19" s="180" t="str">
        <f aca="false">IF((D19="g"),F19," ")</f>
        <v> </v>
      </c>
      <c r="N19" s="180" t="str">
        <f aca="false">IF((D19="a"),F19," ")</f>
        <v> </v>
      </c>
      <c r="O19" s="180" t="str">
        <f aca="false">IF((D19="l"),F19," ")</f>
        <v> </v>
      </c>
      <c r="P19" s="180" t="str">
        <f aca="false">IF((D19="i"),F19," ")</f>
        <v> </v>
      </c>
      <c r="Q19" s="180" t="str">
        <f aca="false">IF((D19="b"),F19," ")</f>
        <v> </v>
      </c>
      <c r="R19" s="180" t="str">
        <f aca="false">IF((D19="o"),F19," ")</f>
        <v> </v>
      </c>
      <c r="S19" s="180" t="str">
        <f aca="false">IF((D19="f"),F19," ")</f>
        <v> </v>
      </c>
      <c r="U19" s="371"/>
    </row>
    <row r="20" customFormat="false" ht="12.75" hidden="false" customHeight="false" outlineLevel="0" collapsed="false">
      <c r="G20" s="180" t="str">
        <f aca="false">IF((D20="d"),F20," ")</f>
        <v> </v>
      </c>
      <c r="H20" s="180" t="str">
        <f aca="false">IF((D20="h"),F20," ")</f>
        <v> </v>
      </c>
      <c r="I20" s="180" t="str">
        <f aca="false">IF((D20="r"),F20," ")</f>
        <v> </v>
      </c>
      <c r="J20" s="180" t="str">
        <f aca="false">IF((D20="t"),F20," ")</f>
        <v> </v>
      </c>
      <c r="K20" s="180" t="str">
        <f aca="false">IF((D20="e"),F20," ")</f>
        <v> </v>
      </c>
      <c r="L20" s="180" t="str">
        <f aca="false">IF((D20="p"),F20," ")</f>
        <v> </v>
      </c>
      <c r="M20" s="180" t="str">
        <f aca="false">IF((D20="g"),F20," ")</f>
        <v> </v>
      </c>
      <c r="N20" s="180" t="str">
        <f aca="false">IF((D20="a"),F20," ")</f>
        <v> </v>
      </c>
      <c r="O20" s="180" t="str">
        <f aca="false">IF((D20="l"),F20," ")</f>
        <v> </v>
      </c>
      <c r="P20" s="180" t="str">
        <f aca="false">IF((D20="i"),F20," ")</f>
        <v> </v>
      </c>
      <c r="Q20" s="180" t="str">
        <f aca="false">IF((D20="b"),F20," ")</f>
        <v> </v>
      </c>
      <c r="R20" s="180" t="str">
        <f aca="false">IF((D20="o"),F20," ")</f>
        <v> </v>
      </c>
      <c r="S20" s="180" t="str">
        <f aca="false">IF((D20="f"),F20," ")</f>
        <v> </v>
      </c>
      <c r="U20" s="371"/>
    </row>
    <row r="21" customFormat="false" ht="12.75" hidden="false" customHeight="false" outlineLevel="0" collapsed="false">
      <c r="G21" s="180" t="str">
        <f aca="false">IF((D21="d"),F21," ")</f>
        <v> </v>
      </c>
      <c r="H21" s="180" t="str">
        <f aca="false">IF((D21="h"),F21," ")</f>
        <v> </v>
      </c>
      <c r="I21" s="180" t="str">
        <f aca="false">IF((D21="r"),F21," ")</f>
        <v> </v>
      </c>
      <c r="J21" s="180" t="str">
        <f aca="false">IF((D21="t"),F21," ")</f>
        <v> </v>
      </c>
      <c r="K21" s="180" t="str">
        <f aca="false">IF((D21="e"),F21," ")</f>
        <v> </v>
      </c>
      <c r="L21" s="180" t="str">
        <f aca="false">IF((D21="p"),F21," ")</f>
        <v> </v>
      </c>
      <c r="M21" s="180" t="str">
        <f aca="false">IF((D21="g"),F21," ")</f>
        <v> </v>
      </c>
      <c r="N21" s="180" t="str">
        <f aca="false">IF((D21="a"),F21," ")</f>
        <v> </v>
      </c>
      <c r="O21" s="180" t="str">
        <f aca="false">IF((D21="l"),F21," ")</f>
        <v> </v>
      </c>
      <c r="P21" s="180" t="str">
        <f aca="false">IF((D21="i"),F21," ")</f>
        <v> </v>
      </c>
      <c r="Q21" s="180" t="str">
        <f aca="false">IF((D21="b"),F21," ")</f>
        <v> </v>
      </c>
      <c r="R21" s="180" t="str">
        <f aca="false">IF((D21="o"),F21," ")</f>
        <v> </v>
      </c>
      <c r="S21" s="180" t="str">
        <f aca="false">IF((D21="f"),F21," ")</f>
        <v> </v>
      </c>
      <c r="U21" s="371"/>
    </row>
    <row r="22" customFormat="false" ht="12.75" hidden="false" customHeight="false" outlineLevel="0" collapsed="false">
      <c r="G22" s="180" t="str">
        <f aca="false">IF((D22="d"),F22," ")</f>
        <v> </v>
      </c>
      <c r="H22" s="180" t="str">
        <f aca="false">IF((D22="h"),F22," ")</f>
        <v> </v>
      </c>
      <c r="I22" s="180" t="str">
        <f aca="false">IF((D22="r"),F22," ")</f>
        <v> </v>
      </c>
      <c r="J22" s="180" t="str">
        <f aca="false">IF((D22="t"),F22," ")</f>
        <v> </v>
      </c>
      <c r="K22" s="180" t="str">
        <f aca="false">IF((D22="e"),F22," ")</f>
        <v> </v>
      </c>
      <c r="L22" s="180" t="str">
        <f aca="false">IF((D22="p"),F22," ")</f>
        <v> </v>
      </c>
      <c r="M22" s="180" t="str">
        <f aca="false">IF((D22="g"),F22," ")</f>
        <v> </v>
      </c>
      <c r="N22" s="180" t="str">
        <f aca="false">IF((D22="a"),F22," ")</f>
        <v> </v>
      </c>
      <c r="O22" s="180" t="str">
        <f aca="false">IF((D22="l"),F22," ")</f>
        <v> </v>
      </c>
      <c r="P22" s="180" t="str">
        <f aca="false">IF((D22="i"),F22," ")</f>
        <v> </v>
      </c>
      <c r="Q22" s="180" t="str">
        <f aca="false">IF((D22="b"),F22," ")</f>
        <v> </v>
      </c>
      <c r="R22" s="180" t="str">
        <f aca="false">IF((D22="o"),F22," ")</f>
        <v> </v>
      </c>
      <c r="S22" s="180" t="str">
        <f aca="false">IF((D22="f"),F22," ")</f>
        <v> </v>
      </c>
      <c r="U22" s="371"/>
    </row>
    <row r="23" customFormat="false" ht="12.75" hidden="false" customHeight="false" outlineLevel="0" collapsed="false">
      <c r="G23" s="180" t="str">
        <f aca="false">IF((D23="d"),F23," ")</f>
        <v> </v>
      </c>
      <c r="H23" s="180" t="str">
        <f aca="false">IF((D23="h"),F23," ")</f>
        <v> </v>
      </c>
      <c r="I23" s="180" t="str">
        <f aca="false">IF((D23="r"),F23," ")</f>
        <v> </v>
      </c>
      <c r="J23" s="180" t="str">
        <f aca="false">IF((D23="t"),F23," ")</f>
        <v> </v>
      </c>
      <c r="K23" s="180" t="str">
        <f aca="false">IF((D23="e"),F23," ")</f>
        <v> </v>
      </c>
      <c r="L23" s="180" t="str">
        <f aca="false">IF((D23="p"),F23," ")</f>
        <v> </v>
      </c>
      <c r="M23" s="180" t="str">
        <f aca="false">IF((D23="g"),F23," ")</f>
        <v> </v>
      </c>
      <c r="N23" s="180" t="str">
        <f aca="false">IF((D23="a"),F23," ")</f>
        <v> </v>
      </c>
      <c r="O23" s="180" t="str">
        <f aca="false">IF((D23="l"),F23," ")</f>
        <v> </v>
      </c>
      <c r="P23" s="180" t="str">
        <f aca="false">IF((D23="i"),F23," ")</f>
        <v> </v>
      </c>
      <c r="Q23" s="180" t="str">
        <f aca="false">IF((D23="b"),F23," ")</f>
        <v> </v>
      </c>
      <c r="R23" s="180" t="str">
        <f aca="false">IF((D23="o"),F23," ")</f>
        <v> </v>
      </c>
      <c r="S23" s="180" t="str">
        <f aca="false">IF((D23="f"),F23," ")</f>
        <v> </v>
      </c>
      <c r="U23" s="371"/>
    </row>
    <row r="24" customFormat="false" ht="12.75" hidden="false" customHeight="false" outlineLevel="0" collapsed="false">
      <c r="G24" s="180" t="str">
        <f aca="false">IF((D24="d"),F24," ")</f>
        <v> </v>
      </c>
      <c r="H24" s="180" t="str">
        <f aca="false">IF((D24="h"),F24," ")</f>
        <v> </v>
      </c>
      <c r="I24" s="180" t="str">
        <f aca="false">IF((D24="r"),F24," ")</f>
        <v> </v>
      </c>
      <c r="J24" s="180" t="str">
        <f aca="false">IF((D24="t"),F24," ")</f>
        <v> </v>
      </c>
      <c r="K24" s="180" t="str">
        <f aca="false">IF((D24="e"),F24," ")</f>
        <v> </v>
      </c>
      <c r="L24" s="180" t="str">
        <f aca="false">IF((D24="p"),F24," ")</f>
        <v> </v>
      </c>
      <c r="M24" s="180" t="str">
        <f aca="false">IF((D24="g"),F24," ")</f>
        <v> </v>
      </c>
      <c r="N24" s="180" t="str">
        <f aca="false">IF((D24="a"),F24," ")</f>
        <v> </v>
      </c>
      <c r="O24" s="180" t="str">
        <f aca="false">IF((D24="l"),F24," ")</f>
        <v> </v>
      </c>
      <c r="P24" s="180" t="str">
        <f aca="false">IF((D24="i"),F24," ")</f>
        <v> </v>
      </c>
      <c r="Q24" s="180" t="str">
        <f aca="false">IF((D24="b"),F24," ")</f>
        <v> </v>
      </c>
      <c r="R24" s="180" t="str">
        <f aca="false">IF((D24="o"),F24," ")</f>
        <v> </v>
      </c>
      <c r="S24" s="180" t="str">
        <f aca="false">IF((D24="f"),F24," ")</f>
        <v> </v>
      </c>
      <c r="U24" s="371"/>
    </row>
    <row r="25" customFormat="false" ht="12.75" hidden="false" customHeight="false" outlineLevel="0" collapsed="false">
      <c r="G25" s="180" t="str">
        <f aca="false">IF((D25="d"),F25," ")</f>
        <v> </v>
      </c>
      <c r="H25" s="180" t="str">
        <f aca="false">IF((D25="h"),F25," ")</f>
        <v> </v>
      </c>
      <c r="I25" s="180" t="str">
        <f aca="false">IF((D25="r"),F25," ")</f>
        <v> </v>
      </c>
      <c r="J25" s="180" t="str">
        <f aca="false">IF((D25="t"),F25," ")</f>
        <v> </v>
      </c>
      <c r="K25" s="180" t="str">
        <f aca="false">IF((D25="e"),F25," ")</f>
        <v> </v>
      </c>
      <c r="L25" s="180" t="str">
        <f aca="false">IF((D25="p"),F25," ")</f>
        <v> </v>
      </c>
      <c r="M25" s="180" t="str">
        <f aca="false">IF((D25="g"),F25," ")</f>
        <v> </v>
      </c>
      <c r="N25" s="180" t="str">
        <f aca="false">IF((D25="a"),F25," ")</f>
        <v> </v>
      </c>
      <c r="O25" s="180" t="str">
        <f aca="false">IF((D25="l"),F25," ")</f>
        <v> </v>
      </c>
      <c r="P25" s="180" t="str">
        <f aca="false">IF((D25="i"),F25," ")</f>
        <v> </v>
      </c>
      <c r="Q25" s="180" t="str">
        <f aca="false">IF((D25="b"),F25," ")</f>
        <v> </v>
      </c>
      <c r="R25" s="180" t="str">
        <f aca="false">IF((D25="o"),F25," ")</f>
        <v> </v>
      </c>
      <c r="S25" s="180" t="str">
        <f aca="false">IF((D25="f"),F25," ")</f>
        <v> </v>
      </c>
      <c r="U25" s="371"/>
    </row>
    <row r="26" customFormat="false" ht="12.75" hidden="false" customHeight="false" outlineLevel="0" collapsed="false">
      <c r="G26" s="180" t="str">
        <f aca="false">IF((D26="d"),F26," ")</f>
        <v> </v>
      </c>
      <c r="H26" s="180" t="str">
        <f aca="false">IF((D26="h"),F26," ")</f>
        <v> </v>
      </c>
      <c r="I26" s="180" t="str">
        <f aca="false">IF((D26="r"),F26," ")</f>
        <v> </v>
      </c>
      <c r="J26" s="180" t="str">
        <f aca="false">IF((D26="t"),F26," ")</f>
        <v> </v>
      </c>
      <c r="K26" s="180" t="str">
        <f aca="false">IF((D26="e"),F26," ")</f>
        <v> </v>
      </c>
      <c r="L26" s="180" t="str">
        <f aca="false">IF((D26="p"),F26," ")</f>
        <v> </v>
      </c>
      <c r="M26" s="180" t="str">
        <f aca="false">IF((D26="g"),F26," ")</f>
        <v> </v>
      </c>
      <c r="N26" s="180" t="str">
        <f aca="false">IF((D26="a"),F26," ")</f>
        <v> </v>
      </c>
      <c r="O26" s="180" t="str">
        <f aca="false">IF((D26="l"),F26," ")</f>
        <v> </v>
      </c>
      <c r="P26" s="180" t="str">
        <f aca="false">IF((D26="i"),F26," ")</f>
        <v> </v>
      </c>
      <c r="Q26" s="180" t="str">
        <f aca="false">IF((D26="b"),F26," ")</f>
        <v> </v>
      </c>
      <c r="R26" s="180" t="str">
        <f aca="false">IF((D26="o"),F26," ")</f>
        <v> </v>
      </c>
      <c r="S26" s="180" t="str">
        <f aca="false">IF((D26="f"),F26," ")</f>
        <v> </v>
      </c>
      <c r="U26" s="371"/>
    </row>
    <row r="27" customFormat="false" ht="12.75" hidden="false" customHeight="false" outlineLevel="0" collapsed="false">
      <c r="G27" s="180" t="str">
        <f aca="false">IF((D27="d"),F27," ")</f>
        <v> </v>
      </c>
      <c r="H27" s="180" t="str">
        <f aca="false">IF((D27="h"),F27," ")</f>
        <v> </v>
      </c>
      <c r="I27" s="180" t="str">
        <f aca="false">IF((D27="r"),F27," ")</f>
        <v> </v>
      </c>
      <c r="J27" s="180" t="str">
        <f aca="false">IF((D27="t"),F27," ")</f>
        <v> </v>
      </c>
      <c r="K27" s="180" t="str">
        <f aca="false">IF((D27="e"),F27," ")</f>
        <v> </v>
      </c>
      <c r="L27" s="180" t="str">
        <f aca="false">IF((D27="p"),F27," ")</f>
        <v> </v>
      </c>
      <c r="M27" s="180" t="str">
        <f aca="false">IF((D27="g"),F27," ")</f>
        <v> </v>
      </c>
      <c r="N27" s="180" t="str">
        <f aca="false">IF((D27="a"),F27," ")</f>
        <v> </v>
      </c>
      <c r="O27" s="180" t="str">
        <f aca="false">IF((D27="l"),F27," ")</f>
        <v> </v>
      </c>
      <c r="P27" s="180" t="str">
        <f aca="false">IF((D27="i"),F27," ")</f>
        <v> </v>
      </c>
      <c r="Q27" s="180" t="str">
        <f aca="false">IF((D27="b"),F27," ")</f>
        <v> </v>
      </c>
      <c r="R27" s="180" t="str">
        <f aca="false">IF((D27="o"),F27," ")</f>
        <v> </v>
      </c>
      <c r="S27" s="180" t="str">
        <f aca="false">IF((D27="f"),F27," ")</f>
        <v> </v>
      </c>
      <c r="U27" s="371"/>
    </row>
    <row r="28" customFormat="false" ht="12.75" hidden="false" customHeight="false" outlineLevel="0" collapsed="false">
      <c r="G28" s="180" t="str">
        <f aca="false">IF((D28="d"),F28," ")</f>
        <v> </v>
      </c>
      <c r="H28" s="180" t="str">
        <f aca="false">IF((D28="h"),F28," ")</f>
        <v> </v>
      </c>
      <c r="I28" s="180" t="str">
        <f aca="false">IF((D28="r"),F28," ")</f>
        <v> </v>
      </c>
      <c r="J28" s="180" t="str">
        <f aca="false">IF((D28="t"),F28," ")</f>
        <v> </v>
      </c>
      <c r="K28" s="180" t="str">
        <f aca="false">IF((D28="e"),F28," ")</f>
        <v> </v>
      </c>
      <c r="L28" s="180" t="str">
        <f aca="false">IF((D28="p"),F28," ")</f>
        <v> </v>
      </c>
      <c r="M28" s="180" t="str">
        <f aca="false">IF((D28="g"),F28," ")</f>
        <v> </v>
      </c>
      <c r="N28" s="180" t="str">
        <f aca="false">IF((D28="a"),F28," ")</f>
        <v> </v>
      </c>
      <c r="O28" s="180" t="str">
        <f aca="false">IF((D28="l"),F28," ")</f>
        <v> </v>
      </c>
      <c r="P28" s="180" t="str">
        <f aca="false">IF((D28="i"),F28," ")</f>
        <v> </v>
      </c>
      <c r="Q28" s="180" t="str">
        <f aca="false">IF((D28="b"),F28," ")</f>
        <v> </v>
      </c>
      <c r="R28" s="180" t="str">
        <f aca="false">IF((D28="o"),F28," ")</f>
        <v> </v>
      </c>
      <c r="S28" s="180" t="str">
        <f aca="false">IF((D28="f"),F28," ")</f>
        <v> </v>
      </c>
      <c r="U28" s="371"/>
    </row>
    <row r="29" customFormat="false" ht="12.75" hidden="false" customHeight="false" outlineLevel="0" collapsed="false">
      <c r="G29" s="180" t="str">
        <f aca="false">IF((D29="d"),F29," ")</f>
        <v> </v>
      </c>
      <c r="H29" s="180" t="str">
        <f aca="false">IF((D29="h"),F29," ")</f>
        <v> </v>
      </c>
      <c r="I29" s="180" t="str">
        <f aca="false">IF((D29="r"),F29," ")</f>
        <v> </v>
      </c>
      <c r="J29" s="180" t="str">
        <f aca="false">IF((D29="t"),F29," ")</f>
        <v> </v>
      </c>
      <c r="K29" s="180" t="str">
        <f aca="false">IF((D29="e"),F29," ")</f>
        <v> </v>
      </c>
      <c r="L29" s="180" t="str">
        <f aca="false">IF((D29="p"),F29," ")</f>
        <v> </v>
      </c>
      <c r="M29" s="180" t="str">
        <f aca="false">IF((D29="g"),F29," ")</f>
        <v> </v>
      </c>
      <c r="N29" s="180" t="str">
        <f aca="false">IF((D29="a"),F29," ")</f>
        <v> </v>
      </c>
      <c r="O29" s="180" t="str">
        <f aca="false">IF((D29="l"),F29," ")</f>
        <v> </v>
      </c>
      <c r="P29" s="180" t="str">
        <f aca="false">IF((D29="i"),F29," ")</f>
        <v> </v>
      </c>
      <c r="Q29" s="180" t="str">
        <f aca="false">IF((D29="b"),F29," ")</f>
        <v> </v>
      </c>
      <c r="R29" s="180" t="str">
        <f aca="false">IF((D29="o"),F29," ")</f>
        <v> </v>
      </c>
      <c r="S29" s="180" t="str">
        <f aca="false">IF((D29="f"),F29," ")</f>
        <v> </v>
      </c>
      <c r="U29" s="371"/>
    </row>
    <row r="30" customFormat="false" ht="12.75" hidden="false" customHeight="false" outlineLevel="0" collapsed="false">
      <c r="G30" s="180" t="str">
        <f aca="false">IF((D30="d"),F30," ")</f>
        <v> </v>
      </c>
      <c r="H30" s="180" t="str">
        <f aca="false">IF((D30="h"),F30," ")</f>
        <v> </v>
      </c>
      <c r="I30" s="180" t="str">
        <f aca="false">IF((D30="r"),F30," ")</f>
        <v> </v>
      </c>
      <c r="J30" s="180" t="str">
        <f aca="false">IF((D30="t"),F30," ")</f>
        <v> </v>
      </c>
      <c r="K30" s="180" t="str">
        <f aca="false">IF((D30="e"),F30," ")</f>
        <v> </v>
      </c>
      <c r="L30" s="180" t="str">
        <f aca="false">IF((D30="p"),F30," ")</f>
        <v> </v>
      </c>
      <c r="M30" s="180" t="str">
        <f aca="false">IF((D30="g"),F30," ")</f>
        <v> </v>
      </c>
      <c r="N30" s="180" t="str">
        <f aca="false">IF((D30="a"),F30," ")</f>
        <v> </v>
      </c>
      <c r="O30" s="180" t="str">
        <f aca="false">IF((D30="l"),F30," ")</f>
        <v> </v>
      </c>
      <c r="P30" s="180" t="str">
        <f aca="false">IF((D30="i"),F30," ")</f>
        <v> </v>
      </c>
      <c r="Q30" s="180" t="str">
        <f aca="false">IF((D30="b"),F30," ")</f>
        <v> </v>
      </c>
      <c r="R30" s="180" t="str">
        <f aca="false">IF((D30="o"),F30," ")</f>
        <v> </v>
      </c>
      <c r="S30" s="180" t="str">
        <f aca="false">IF((D30="f"),F30," ")</f>
        <v> </v>
      </c>
      <c r="U30" s="371"/>
    </row>
    <row r="31" customFormat="false" ht="12.75" hidden="false" customHeight="false" outlineLevel="0" collapsed="false">
      <c r="G31" s="180" t="str">
        <f aca="false">IF((D31="d"),F31," ")</f>
        <v> </v>
      </c>
      <c r="H31" s="180" t="str">
        <f aca="false">IF((D31="h"),F31," ")</f>
        <v> </v>
      </c>
      <c r="I31" s="180" t="str">
        <f aca="false">IF((D31="r"),F31," ")</f>
        <v> </v>
      </c>
      <c r="J31" s="180" t="str">
        <f aca="false">IF((D31="t"),F31," ")</f>
        <v> </v>
      </c>
      <c r="K31" s="180" t="str">
        <f aca="false">IF((D31="e"),F31," ")</f>
        <v> </v>
      </c>
      <c r="L31" s="180" t="str">
        <f aca="false">IF((D31="p"),F31," ")</f>
        <v> </v>
      </c>
      <c r="M31" s="180" t="str">
        <f aca="false">IF((D31="g"),F31," ")</f>
        <v> </v>
      </c>
      <c r="N31" s="180" t="str">
        <f aca="false">IF((D31="a"),F31," ")</f>
        <v> </v>
      </c>
      <c r="O31" s="180" t="str">
        <f aca="false">IF((D31="l"),F31," ")</f>
        <v> </v>
      </c>
      <c r="P31" s="180" t="str">
        <f aca="false">IF((D31="i"),F31," ")</f>
        <v> </v>
      </c>
      <c r="Q31" s="180" t="str">
        <f aca="false">IF((D31="b"),F31," ")</f>
        <v> </v>
      </c>
      <c r="R31" s="180" t="str">
        <f aca="false">IF((D31="o"),F31," ")</f>
        <v> </v>
      </c>
      <c r="S31" s="180" t="str">
        <f aca="false">IF((D31="f"),F31," ")</f>
        <v> </v>
      </c>
      <c r="U31" s="371"/>
    </row>
    <row r="32" customFormat="false" ht="12.75" hidden="false" customHeight="false" outlineLevel="0" collapsed="false">
      <c r="G32" s="180" t="str">
        <f aca="false">IF((D32="d"),F32," ")</f>
        <v> </v>
      </c>
      <c r="H32" s="180" t="str">
        <f aca="false">IF((D32="h"),F32," ")</f>
        <v> </v>
      </c>
      <c r="I32" s="180" t="str">
        <f aca="false">IF((D32="r"),F32," ")</f>
        <v> </v>
      </c>
      <c r="J32" s="180" t="str">
        <f aca="false">IF((D32="t"),F32," ")</f>
        <v> </v>
      </c>
      <c r="K32" s="180" t="str">
        <f aca="false">IF((D32="e"),F32," ")</f>
        <v> </v>
      </c>
      <c r="L32" s="180" t="str">
        <f aca="false">IF((D32="p"),F32," ")</f>
        <v> </v>
      </c>
      <c r="M32" s="180" t="str">
        <f aca="false">IF((D32="g"),F32," ")</f>
        <v> </v>
      </c>
      <c r="N32" s="180" t="str">
        <f aca="false">IF((D32="a"),F32," ")</f>
        <v> </v>
      </c>
      <c r="O32" s="180" t="str">
        <f aca="false">IF((D32="l"),F32," ")</f>
        <v> </v>
      </c>
      <c r="P32" s="180" t="str">
        <f aca="false">IF((D32="i"),F32," ")</f>
        <v> </v>
      </c>
      <c r="Q32" s="180" t="str">
        <f aca="false">IF((D32="b"),F32," ")</f>
        <v> </v>
      </c>
      <c r="R32" s="180" t="str">
        <f aca="false">IF((D32="o"),F32," ")</f>
        <v> </v>
      </c>
      <c r="S32" s="180" t="str">
        <f aca="false">IF((D32="f"),F32," ")</f>
        <v> </v>
      </c>
      <c r="U32" s="371"/>
    </row>
    <row r="33" customFormat="false" ht="12.75" hidden="false" customHeight="false" outlineLevel="0" collapsed="false">
      <c r="G33" s="180" t="str">
        <f aca="false">IF((D33="d"),F33," ")</f>
        <v> </v>
      </c>
      <c r="H33" s="180" t="str">
        <f aca="false">IF((D33="h"),F33," ")</f>
        <v> </v>
      </c>
      <c r="I33" s="180" t="str">
        <f aca="false">IF((D33="r"),F33," ")</f>
        <v> </v>
      </c>
      <c r="J33" s="180" t="str">
        <f aca="false">IF((D33="t"),F33," ")</f>
        <v> </v>
      </c>
      <c r="K33" s="180" t="str">
        <f aca="false">IF((D33="e"),F33," ")</f>
        <v> </v>
      </c>
      <c r="L33" s="180" t="str">
        <f aca="false">IF((D33="p"),F33," ")</f>
        <v> </v>
      </c>
      <c r="M33" s="180" t="str">
        <f aca="false">IF((D33="g"),F33," ")</f>
        <v> </v>
      </c>
      <c r="N33" s="180" t="str">
        <f aca="false">IF((D33="a"),F33," ")</f>
        <v> </v>
      </c>
      <c r="O33" s="180" t="str">
        <f aca="false">IF((D33="l"),F33," ")</f>
        <v> </v>
      </c>
      <c r="P33" s="180" t="str">
        <f aca="false">IF((D33="i"),F33," ")</f>
        <v> </v>
      </c>
      <c r="Q33" s="180" t="str">
        <f aca="false">IF((D33="b"),F33," ")</f>
        <v> </v>
      </c>
      <c r="R33" s="180" t="str">
        <f aca="false">IF((D33="o"),F33," ")</f>
        <v> </v>
      </c>
      <c r="S33" s="180" t="str">
        <f aca="false">IF((D33="f"),F33," ")</f>
        <v> </v>
      </c>
      <c r="U33" s="371"/>
    </row>
    <row r="34" customFormat="false" ht="12.75" hidden="false" customHeight="false" outlineLevel="0" collapsed="false">
      <c r="G34" s="180" t="str">
        <f aca="false">IF((D34="d"),F34," ")</f>
        <v> </v>
      </c>
      <c r="H34" s="180" t="str">
        <f aca="false">IF((D34="h"),F34," ")</f>
        <v> </v>
      </c>
      <c r="I34" s="180" t="str">
        <f aca="false">IF((D34="r"),F34," ")</f>
        <v> </v>
      </c>
      <c r="J34" s="180" t="str">
        <f aca="false">IF((D34="t"),F34," ")</f>
        <v> </v>
      </c>
      <c r="K34" s="180" t="str">
        <f aca="false">IF((D34="e"),F34," ")</f>
        <v> </v>
      </c>
      <c r="L34" s="180" t="str">
        <f aca="false">IF((D34="p"),F34," ")</f>
        <v> </v>
      </c>
      <c r="M34" s="180" t="str">
        <f aca="false">IF((D34="g"),F34," ")</f>
        <v> </v>
      </c>
      <c r="N34" s="180" t="str">
        <f aca="false">IF((D34="a"),F34," ")</f>
        <v> </v>
      </c>
      <c r="O34" s="180" t="str">
        <f aca="false">IF((D34="l"),F34," ")</f>
        <v> </v>
      </c>
      <c r="P34" s="180" t="str">
        <f aca="false">IF((D34="i"),F34," ")</f>
        <v> </v>
      </c>
      <c r="Q34" s="180" t="str">
        <f aca="false">IF((D34="b"),F34," ")</f>
        <v> </v>
      </c>
      <c r="R34" s="180" t="str">
        <f aca="false">IF((D34="o"),F34," ")</f>
        <v> </v>
      </c>
      <c r="S34" s="180" t="str">
        <f aca="false">IF((D34="f"),F34," ")</f>
        <v> </v>
      </c>
      <c r="U34" s="371"/>
    </row>
    <row r="35" customFormat="false" ht="12.75" hidden="false" customHeight="false" outlineLevel="0" collapsed="false">
      <c r="G35" s="180" t="str">
        <f aca="false">IF((D35="d"),F35," ")</f>
        <v> </v>
      </c>
      <c r="H35" s="180" t="str">
        <f aca="false">IF((D35="h"),F35," ")</f>
        <v> </v>
      </c>
      <c r="I35" s="180" t="str">
        <f aca="false">IF((D35="r"),F35," ")</f>
        <v> </v>
      </c>
      <c r="J35" s="180" t="str">
        <f aca="false">IF((D35="t"),F35," ")</f>
        <v> </v>
      </c>
      <c r="K35" s="180" t="str">
        <f aca="false">IF((D35="e"),F35," ")</f>
        <v> </v>
      </c>
      <c r="L35" s="180" t="str">
        <f aca="false">IF((D35="p"),F35," ")</f>
        <v> </v>
      </c>
      <c r="M35" s="180" t="str">
        <f aca="false">IF((D35="g"),F35," ")</f>
        <v> </v>
      </c>
      <c r="N35" s="180" t="str">
        <f aca="false">IF((D35="a"),F35," ")</f>
        <v> </v>
      </c>
      <c r="O35" s="180" t="str">
        <f aca="false">IF((D35="l"),F35," ")</f>
        <v> </v>
      </c>
      <c r="P35" s="180" t="str">
        <f aca="false">IF((D35="i"),F35," ")</f>
        <v> </v>
      </c>
      <c r="Q35" s="180" t="str">
        <f aca="false">IF((D35="b"),F35," ")</f>
        <v> </v>
      </c>
      <c r="R35" s="180" t="str">
        <f aca="false">IF((D35="o"),F35," ")</f>
        <v> </v>
      </c>
      <c r="S35" s="180" t="str">
        <f aca="false">IF((D35="f"),F35," ")</f>
        <v> </v>
      </c>
      <c r="U35" s="371"/>
    </row>
    <row r="36" customFormat="false" ht="12.75" hidden="false" customHeight="false" outlineLevel="0" collapsed="false">
      <c r="G36" s="180" t="str">
        <f aca="false">IF((D36="d"),F36," ")</f>
        <v> </v>
      </c>
      <c r="H36" s="180" t="str">
        <f aca="false">IF((D36="h"),F36," ")</f>
        <v> </v>
      </c>
      <c r="I36" s="180" t="str">
        <f aca="false">IF((D36="r"),F36," ")</f>
        <v> </v>
      </c>
      <c r="J36" s="180" t="str">
        <f aca="false">IF((D36="t"),F36," ")</f>
        <v> </v>
      </c>
      <c r="K36" s="180" t="str">
        <f aca="false">IF((D36="e"),F36," ")</f>
        <v> </v>
      </c>
      <c r="L36" s="180" t="str">
        <f aca="false">IF((D36="p"),F36," ")</f>
        <v> </v>
      </c>
      <c r="M36" s="180" t="str">
        <f aca="false">IF((D36="g"),F36," ")</f>
        <v> </v>
      </c>
      <c r="N36" s="180" t="str">
        <f aca="false">IF((D36="a"),F36," ")</f>
        <v> </v>
      </c>
      <c r="O36" s="180" t="str">
        <f aca="false">IF((D36="l"),F36," ")</f>
        <v> </v>
      </c>
      <c r="P36" s="180" t="str">
        <f aca="false">IF((D36="i"),F36," ")</f>
        <v> </v>
      </c>
      <c r="Q36" s="180" t="str">
        <f aca="false">IF((D36="b"),F36," ")</f>
        <v> </v>
      </c>
      <c r="R36" s="180" t="str">
        <f aca="false">IF((D36="o"),F36," ")</f>
        <v> </v>
      </c>
      <c r="S36" s="180" t="str">
        <f aca="false">IF((D36="f"),F36," ")</f>
        <v> </v>
      </c>
      <c r="U36" s="371"/>
    </row>
    <row r="37" customFormat="false" ht="12.75" hidden="false" customHeight="false" outlineLevel="0" collapsed="false">
      <c r="D37" s="371" t="str">
        <f aca="false">IF((F37&lt;&gt;0),"Enter Letter"," ")</f>
        <v> </v>
      </c>
      <c r="G37" s="180" t="str">
        <f aca="false">IF((D37="d"),F37," ")</f>
        <v> </v>
      </c>
      <c r="H37" s="180" t="str">
        <f aca="false">IF((D37="h"),F37," ")</f>
        <v> </v>
      </c>
      <c r="I37" s="180" t="str">
        <f aca="false">IF((D37="r"),F37," ")</f>
        <v> </v>
      </c>
      <c r="J37" s="180" t="str">
        <f aca="false">IF((D37="t"),F37," ")</f>
        <v> </v>
      </c>
      <c r="K37" s="180" t="str">
        <f aca="false">IF((D37="e"),F37," ")</f>
        <v> </v>
      </c>
      <c r="L37" s="180" t="str">
        <f aca="false">IF((D37="p"),F37," ")</f>
        <v> </v>
      </c>
      <c r="M37" s="180" t="str">
        <f aca="false">IF((D37="g"),F37," ")</f>
        <v> </v>
      </c>
      <c r="N37" s="180" t="str">
        <f aca="false">IF((D37="a"),F37," ")</f>
        <v> </v>
      </c>
      <c r="O37" s="180" t="str">
        <f aca="false">IF((D37="l"),F37," ")</f>
        <v> </v>
      </c>
      <c r="P37" s="180" t="str">
        <f aca="false">IF((D37="i"),F37," ")</f>
        <v> </v>
      </c>
      <c r="Q37" s="180" t="str">
        <f aca="false">IF((D37="b"),F37," ")</f>
        <v> </v>
      </c>
      <c r="R37" s="180" t="str">
        <f aca="false">IF((D37="o"),F37," ")</f>
        <v> </v>
      </c>
      <c r="S37" s="180" t="str">
        <f aca="false">IF((D37="f"),F37," ")</f>
        <v> </v>
      </c>
      <c r="U37" s="371"/>
    </row>
    <row r="38" customFormat="false" ht="12.75" hidden="false" customHeight="false" outlineLevel="0" collapsed="false">
      <c r="D38" s="371" t="str">
        <f aca="false">IF((F38&lt;&gt;0),"Enter Letter"," ")</f>
        <v> </v>
      </c>
      <c r="G38" s="180" t="str">
        <f aca="false">IF((D38="d"),F38," ")</f>
        <v> </v>
      </c>
      <c r="H38" s="180" t="str">
        <f aca="false">IF((D38="h"),F38," ")</f>
        <v> </v>
      </c>
      <c r="I38" s="180" t="str">
        <f aca="false">IF((D38="r"),F38," ")</f>
        <v> </v>
      </c>
      <c r="J38" s="180" t="str">
        <f aca="false">IF((D38="t"),F38," ")</f>
        <v> </v>
      </c>
      <c r="K38" s="180" t="str">
        <f aca="false">IF((D38="e"),F38," ")</f>
        <v> </v>
      </c>
      <c r="L38" s="180" t="str">
        <f aca="false">IF((D38="p"),F38," ")</f>
        <v> </v>
      </c>
      <c r="M38" s="180" t="str">
        <f aca="false">IF((D38="g"),F38," ")</f>
        <v> </v>
      </c>
      <c r="N38" s="180" t="str">
        <f aca="false">IF((D38="a"),F38," ")</f>
        <v> </v>
      </c>
      <c r="O38" s="180" t="str">
        <f aca="false">IF((D38="l"),F38," ")</f>
        <v> </v>
      </c>
      <c r="P38" s="180" t="str">
        <f aca="false">IF((D38="i"),F38," ")</f>
        <v> </v>
      </c>
      <c r="Q38" s="180" t="str">
        <f aca="false">IF((D38="b"),F38," ")</f>
        <v> </v>
      </c>
      <c r="R38" s="180" t="str">
        <f aca="false">IF((D38="o"),F38," ")</f>
        <v> </v>
      </c>
      <c r="S38" s="180" t="str">
        <f aca="false">IF((D38="f"),F38," ")</f>
        <v> </v>
      </c>
      <c r="U38" s="371"/>
    </row>
    <row r="39" customFormat="false" ht="12.75" hidden="false" customHeight="false" outlineLevel="0" collapsed="false">
      <c r="D39" s="371" t="str">
        <f aca="false">IF((F39&lt;&gt;0),"Enter Letter"," ")</f>
        <v> </v>
      </c>
      <c r="G39" s="180" t="str">
        <f aca="false">IF((D39="d"),F39," ")</f>
        <v> </v>
      </c>
      <c r="H39" s="180" t="str">
        <f aca="false">IF((D39="h"),F39," ")</f>
        <v> </v>
      </c>
      <c r="I39" s="180" t="str">
        <f aca="false">IF((D39="r"),F39," ")</f>
        <v> </v>
      </c>
      <c r="J39" s="180" t="str">
        <f aca="false">IF((D39="t"),F39," ")</f>
        <v> </v>
      </c>
      <c r="K39" s="180" t="str">
        <f aca="false">IF((D39="e"),F39," ")</f>
        <v> </v>
      </c>
      <c r="L39" s="180" t="str">
        <f aca="false">IF((D39="p"),F39," ")</f>
        <v> </v>
      </c>
      <c r="M39" s="180" t="str">
        <f aca="false">IF((D39="g"),F39," ")</f>
        <v> </v>
      </c>
      <c r="N39" s="180" t="str">
        <f aca="false">IF((D39="a"),F39," ")</f>
        <v> </v>
      </c>
      <c r="O39" s="180" t="str">
        <f aca="false">IF((D39="l"),F39," ")</f>
        <v> </v>
      </c>
      <c r="P39" s="180" t="str">
        <f aca="false">IF((D39="i"),F39," ")</f>
        <v> </v>
      </c>
      <c r="Q39" s="180" t="str">
        <f aca="false">IF((D39="b"),F39," ")</f>
        <v> </v>
      </c>
      <c r="R39" s="180" t="str">
        <f aca="false">IF((D39="o"),F39," ")</f>
        <v> </v>
      </c>
      <c r="S39" s="180" t="str">
        <f aca="false">IF((D39="f"),F39," ")</f>
        <v> </v>
      </c>
      <c r="U39" s="371"/>
    </row>
    <row r="40" customFormat="false" ht="12.75" hidden="false" customHeight="false" outlineLevel="0" collapsed="false">
      <c r="D40" s="371" t="str">
        <f aca="false">IF((F40&lt;&gt;0),"Enter Letter"," ")</f>
        <v> </v>
      </c>
      <c r="G40" s="180" t="str">
        <f aca="false">IF((D40="d"),F40," ")</f>
        <v> </v>
      </c>
      <c r="H40" s="180" t="str">
        <f aca="false">IF((D40="h"),F40," ")</f>
        <v> </v>
      </c>
      <c r="I40" s="180" t="str">
        <f aca="false">IF((D40="r"),F40," ")</f>
        <v> </v>
      </c>
      <c r="J40" s="180" t="str">
        <f aca="false">IF((D40="t"),F40," ")</f>
        <v> </v>
      </c>
      <c r="K40" s="180" t="str">
        <f aca="false">IF((D40="e"),F40," ")</f>
        <v> </v>
      </c>
      <c r="L40" s="180" t="str">
        <f aca="false">IF((D40="p"),F40," ")</f>
        <v> </v>
      </c>
      <c r="M40" s="180" t="str">
        <f aca="false">IF((D40="g"),F40," ")</f>
        <v> </v>
      </c>
      <c r="N40" s="180" t="str">
        <f aca="false">IF((D40="a"),F40," ")</f>
        <v> </v>
      </c>
      <c r="O40" s="180" t="str">
        <f aca="false">IF((D40="l"),F40," ")</f>
        <v> </v>
      </c>
      <c r="P40" s="180" t="str">
        <f aca="false">IF((D40="i"),F40," ")</f>
        <v> </v>
      </c>
      <c r="Q40" s="180" t="str">
        <f aca="false">IF((D40="b"),F40," ")</f>
        <v> </v>
      </c>
      <c r="R40" s="180" t="str">
        <f aca="false">IF((D40="o"),F40," ")</f>
        <v> </v>
      </c>
      <c r="S40" s="180" t="str">
        <f aca="false">IF((D40="f"),F40," ")</f>
        <v> </v>
      </c>
      <c r="U40" s="371"/>
    </row>
    <row r="41" customFormat="false" ht="12.75" hidden="false" customHeight="false" outlineLevel="0" collapsed="false">
      <c r="D41" s="371" t="str">
        <f aca="false">IF((F41&lt;&gt;0),"Enter Letter"," ")</f>
        <v> </v>
      </c>
      <c r="G41" s="180" t="str">
        <f aca="false">IF((D41="d"),F41," ")</f>
        <v> </v>
      </c>
      <c r="H41" s="180" t="str">
        <f aca="false">IF((D41="h"),F41," ")</f>
        <v> </v>
      </c>
      <c r="I41" s="180" t="str">
        <f aca="false">IF((D41="r"),F41," ")</f>
        <v> </v>
      </c>
      <c r="J41" s="180" t="str">
        <f aca="false">IF((D41="t"),F41," ")</f>
        <v> </v>
      </c>
      <c r="K41" s="180" t="str">
        <f aca="false">IF((D41="e"),F41," ")</f>
        <v> </v>
      </c>
      <c r="L41" s="180" t="str">
        <f aca="false">IF((D41="p"),F41," ")</f>
        <v> </v>
      </c>
      <c r="M41" s="180" t="str">
        <f aca="false">IF((D41="g"),F41," ")</f>
        <v> </v>
      </c>
      <c r="N41" s="180" t="str">
        <f aca="false">IF((D41="a"),F41," ")</f>
        <v> </v>
      </c>
      <c r="O41" s="180" t="str">
        <f aca="false">IF((D41="l"),F41," ")</f>
        <v> </v>
      </c>
      <c r="P41" s="180" t="str">
        <f aca="false">IF((D41="i"),F41," ")</f>
        <v> </v>
      </c>
      <c r="Q41" s="180" t="str">
        <f aca="false">IF((D41="b"),F41," ")</f>
        <v> </v>
      </c>
      <c r="R41" s="180" t="str">
        <f aca="false">IF((D41="o"),F41," ")</f>
        <v> </v>
      </c>
      <c r="S41" s="180" t="str">
        <f aca="false">IF((D41="f"),F41," ")</f>
        <v> </v>
      </c>
      <c r="U41" s="371"/>
    </row>
    <row r="42" customFormat="false" ht="12.75" hidden="false" customHeight="false" outlineLevel="0" collapsed="false">
      <c r="D42" s="371" t="str">
        <f aca="false">IF((F42&lt;&gt;0),"Enter Letter"," ")</f>
        <v> </v>
      </c>
      <c r="G42" s="180" t="str">
        <f aca="false">IF((D42="d"),F42," ")</f>
        <v> </v>
      </c>
      <c r="H42" s="180" t="str">
        <f aca="false">IF((D42="h"),F42," ")</f>
        <v> </v>
      </c>
      <c r="I42" s="180" t="str">
        <f aca="false">IF((D42="r"),F42," ")</f>
        <v> </v>
      </c>
      <c r="J42" s="180" t="str">
        <f aca="false">IF((D42="t"),F42," ")</f>
        <v> </v>
      </c>
      <c r="K42" s="180" t="str">
        <f aca="false">IF((D42="e"),F42," ")</f>
        <v> </v>
      </c>
      <c r="L42" s="180" t="str">
        <f aca="false">IF((D42="p"),F42," ")</f>
        <v> </v>
      </c>
      <c r="M42" s="180" t="str">
        <f aca="false">IF((D42="g"),F42," ")</f>
        <v> </v>
      </c>
      <c r="N42" s="180" t="str">
        <f aca="false">IF((D42="a"),F42," ")</f>
        <v> </v>
      </c>
      <c r="O42" s="180" t="str">
        <f aca="false">IF((D42="l"),F42," ")</f>
        <v> </v>
      </c>
      <c r="P42" s="180" t="str">
        <f aca="false">IF((D42="i"),F42," ")</f>
        <v> </v>
      </c>
      <c r="Q42" s="180" t="str">
        <f aca="false">IF((D42="b"),F42," ")</f>
        <v> </v>
      </c>
      <c r="R42" s="180" t="str">
        <f aca="false">IF((D42="o"),F42," ")</f>
        <v> </v>
      </c>
      <c r="S42" s="180" t="str">
        <f aca="false">IF((D42="f"),F42," ")</f>
        <v> </v>
      </c>
      <c r="U42" s="371"/>
    </row>
    <row r="43" customFormat="false" ht="12.75" hidden="false" customHeight="false" outlineLevel="0" collapsed="false">
      <c r="D43" s="371" t="str">
        <f aca="false">IF((F43&lt;&gt;0),"Enter Letter"," ")</f>
        <v> </v>
      </c>
      <c r="G43" s="180" t="str">
        <f aca="false">IF((D43="d"),F43," ")</f>
        <v> </v>
      </c>
      <c r="H43" s="180" t="str">
        <f aca="false">IF((D43="h"),F43," ")</f>
        <v> </v>
      </c>
      <c r="I43" s="180" t="str">
        <f aca="false">IF((D43="r"),F43," ")</f>
        <v> </v>
      </c>
      <c r="J43" s="180" t="str">
        <f aca="false">IF((D43="t"),F43," ")</f>
        <v> </v>
      </c>
      <c r="K43" s="180" t="str">
        <f aca="false">IF((D43="e"),F43," ")</f>
        <v> </v>
      </c>
      <c r="L43" s="180" t="str">
        <f aca="false">IF((D43="p"),F43," ")</f>
        <v> </v>
      </c>
      <c r="M43" s="180" t="str">
        <f aca="false">IF((D43="g"),F43," ")</f>
        <v> </v>
      </c>
      <c r="N43" s="180" t="str">
        <f aca="false">IF((D43="a"),F43," ")</f>
        <v> </v>
      </c>
      <c r="O43" s="180" t="str">
        <f aca="false">IF((D43="l"),F43," ")</f>
        <v> </v>
      </c>
      <c r="P43" s="180" t="str">
        <f aca="false">IF((D43="i"),F43," ")</f>
        <v> </v>
      </c>
      <c r="Q43" s="180" t="str">
        <f aca="false">IF((D43="b"),F43," ")</f>
        <v> </v>
      </c>
      <c r="R43" s="180" t="str">
        <f aca="false">IF((D43="o"),F43," ")</f>
        <v> </v>
      </c>
      <c r="S43" s="180" t="str">
        <f aca="false">IF((D43="f"),F43," ")</f>
        <v> </v>
      </c>
      <c r="U43" s="371"/>
    </row>
    <row r="44" customFormat="false" ht="12.75" hidden="false" customHeight="false" outlineLevel="0" collapsed="false">
      <c r="D44" s="371" t="str">
        <f aca="false">IF((F44&lt;&gt;0),"Enter Letter"," ")</f>
        <v> </v>
      </c>
      <c r="G44" s="180" t="str">
        <f aca="false">IF((D44="d"),F44," ")</f>
        <v> </v>
      </c>
      <c r="H44" s="180" t="str">
        <f aca="false">IF((D44="h"),F44," ")</f>
        <v> </v>
      </c>
      <c r="I44" s="180" t="str">
        <f aca="false">IF((D44="r"),F44," ")</f>
        <v> </v>
      </c>
      <c r="J44" s="180" t="str">
        <f aca="false">IF((D44="t"),F44," ")</f>
        <v> </v>
      </c>
      <c r="K44" s="180" t="str">
        <f aca="false">IF((D44="e"),F44," ")</f>
        <v> </v>
      </c>
      <c r="L44" s="180" t="str">
        <f aca="false">IF((D44="p"),F44," ")</f>
        <v> </v>
      </c>
      <c r="M44" s="180" t="str">
        <f aca="false">IF((D44="g"),F44," ")</f>
        <v> </v>
      </c>
      <c r="N44" s="180" t="str">
        <f aca="false">IF((D44="a"),F44," ")</f>
        <v> </v>
      </c>
      <c r="O44" s="180" t="str">
        <f aca="false">IF((D44="l"),F44," ")</f>
        <v> </v>
      </c>
      <c r="P44" s="180" t="str">
        <f aca="false">IF((D44="i"),F44," ")</f>
        <v> </v>
      </c>
      <c r="Q44" s="180" t="str">
        <f aca="false">IF((D44="b"),F44," ")</f>
        <v> </v>
      </c>
      <c r="R44" s="180" t="str">
        <f aca="false">IF((D44="o"),F44," ")</f>
        <v> </v>
      </c>
      <c r="S44" s="180" t="str">
        <f aca="false">IF((D44="f"),F44," ")</f>
        <v> </v>
      </c>
      <c r="U44" s="371"/>
    </row>
    <row r="45" customFormat="false" ht="12.75" hidden="false" customHeight="false" outlineLevel="0" collapsed="false">
      <c r="D45" s="371" t="str">
        <f aca="false">IF((F45&lt;&gt;0),"Enter Letter"," ")</f>
        <v> </v>
      </c>
      <c r="G45" s="180" t="str">
        <f aca="false">IF((D45="d"),F45," ")</f>
        <v> </v>
      </c>
      <c r="H45" s="180" t="str">
        <f aca="false">IF((D45="h"),F45," ")</f>
        <v> </v>
      </c>
      <c r="I45" s="180" t="str">
        <f aca="false">IF((D45="r"),F45," ")</f>
        <v> </v>
      </c>
      <c r="J45" s="180" t="str">
        <f aca="false">IF((D45="t"),F45," ")</f>
        <v> </v>
      </c>
      <c r="K45" s="180" t="str">
        <f aca="false">IF((D45="e"),F45," ")</f>
        <v> </v>
      </c>
      <c r="L45" s="180" t="str">
        <f aca="false">IF((D45="p"),F45," ")</f>
        <v> </v>
      </c>
      <c r="M45" s="180" t="str">
        <f aca="false">IF((D45="g"),F45," ")</f>
        <v> </v>
      </c>
      <c r="N45" s="180" t="str">
        <f aca="false">IF((D45="a"),F45," ")</f>
        <v> </v>
      </c>
      <c r="O45" s="180" t="str">
        <f aca="false">IF((D45="l"),F45," ")</f>
        <v> </v>
      </c>
      <c r="P45" s="180" t="str">
        <f aca="false">IF((D45="i"),F45," ")</f>
        <v> </v>
      </c>
      <c r="Q45" s="180" t="str">
        <f aca="false">IF((D45="b"),F45," ")</f>
        <v> </v>
      </c>
      <c r="R45" s="180" t="str">
        <f aca="false">IF((D45="o"),F45," ")</f>
        <v> </v>
      </c>
      <c r="S45" s="180" t="str">
        <f aca="false">IF((D45="f"),F45," ")</f>
        <v> </v>
      </c>
      <c r="U45" s="371"/>
    </row>
    <row r="46" customFormat="false" ht="12.75" hidden="false" customHeight="false" outlineLevel="0" collapsed="false">
      <c r="D46" s="371" t="str">
        <f aca="false">IF((F46&lt;&gt;0),"Enter Letter"," ")</f>
        <v> </v>
      </c>
      <c r="G46" s="180" t="str">
        <f aca="false">IF((D46="d"),F46," ")</f>
        <v> </v>
      </c>
      <c r="H46" s="180" t="str">
        <f aca="false">IF((D46="h"),F46," ")</f>
        <v> </v>
      </c>
      <c r="I46" s="180" t="str">
        <f aca="false">IF((D46="r"),F46," ")</f>
        <v> </v>
      </c>
      <c r="J46" s="180" t="str">
        <f aca="false">IF((D46="t"),F46," ")</f>
        <v> </v>
      </c>
      <c r="K46" s="180" t="str">
        <f aca="false">IF((D46="e"),F46," ")</f>
        <v> </v>
      </c>
      <c r="L46" s="180" t="str">
        <f aca="false">IF((D46="p"),F46," ")</f>
        <v> </v>
      </c>
      <c r="M46" s="180" t="str">
        <f aca="false">IF((D46="g"),F46," ")</f>
        <v> </v>
      </c>
      <c r="N46" s="180" t="str">
        <f aca="false">IF((D46="a"),F46," ")</f>
        <v> </v>
      </c>
      <c r="O46" s="180" t="str">
        <f aca="false">IF((D46="l"),F46," ")</f>
        <v> </v>
      </c>
      <c r="P46" s="180" t="str">
        <f aca="false">IF((D46="i"),F46," ")</f>
        <v> </v>
      </c>
      <c r="Q46" s="180" t="str">
        <f aca="false">IF((D46="b"),F46," ")</f>
        <v> </v>
      </c>
      <c r="R46" s="180" t="str">
        <f aca="false">IF((D46="o"),F46," ")</f>
        <v> </v>
      </c>
      <c r="S46" s="180" t="str">
        <f aca="false">IF((D46="f"),F46," ")</f>
        <v> </v>
      </c>
      <c r="U46" s="371"/>
    </row>
    <row r="47" customFormat="false" ht="12.75" hidden="false" customHeight="false" outlineLevel="0" collapsed="false">
      <c r="D47" s="371" t="str">
        <f aca="false">IF((F47&lt;&gt;0),"Enter Letter"," ")</f>
        <v> </v>
      </c>
      <c r="G47" s="180" t="str">
        <f aca="false">IF((D47="d"),F47," ")</f>
        <v> </v>
      </c>
      <c r="H47" s="180" t="str">
        <f aca="false">IF((D47="h"),F47," ")</f>
        <v> </v>
      </c>
      <c r="I47" s="180" t="str">
        <f aca="false">IF((D47="r"),F47," ")</f>
        <v> </v>
      </c>
      <c r="J47" s="180" t="str">
        <f aca="false">IF((D47="t"),F47," ")</f>
        <v> </v>
      </c>
      <c r="K47" s="180" t="str">
        <f aca="false">IF((D47="e"),F47," ")</f>
        <v> </v>
      </c>
      <c r="L47" s="180" t="str">
        <f aca="false">IF((D47="p"),F47," ")</f>
        <v> </v>
      </c>
      <c r="M47" s="180" t="str">
        <f aca="false">IF((D47="g"),F47," ")</f>
        <v> </v>
      </c>
      <c r="N47" s="180" t="str">
        <f aca="false">IF((D47="a"),F47," ")</f>
        <v> </v>
      </c>
      <c r="O47" s="180" t="str">
        <f aca="false">IF((D47="l"),F47," ")</f>
        <v> </v>
      </c>
      <c r="P47" s="180" t="str">
        <f aca="false">IF((D47="i"),F47," ")</f>
        <v> </v>
      </c>
      <c r="Q47" s="180" t="str">
        <f aca="false">IF((D47="b"),F47," ")</f>
        <v> </v>
      </c>
      <c r="R47" s="180" t="str">
        <f aca="false">IF((D47="o"),F47," ")</f>
        <v> </v>
      </c>
      <c r="S47" s="180" t="str">
        <f aca="false">IF((D47="f"),F47," ")</f>
        <v> </v>
      </c>
      <c r="U47" s="371"/>
    </row>
    <row r="48" customFormat="false" ht="12.75" hidden="false" customHeight="false" outlineLevel="0" collapsed="false">
      <c r="D48" s="371" t="str">
        <f aca="false">IF((F48&lt;&gt;0),"Enter Letter"," ")</f>
        <v> </v>
      </c>
      <c r="G48" s="180" t="str">
        <f aca="false">IF((D48="d"),F48," ")</f>
        <v> </v>
      </c>
      <c r="H48" s="180" t="str">
        <f aca="false">IF((D48="h"),F48," ")</f>
        <v> </v>
      </c>
      <c r="I48" s="180" t="str">
        <f aca="false">IF((D48="r"),F48," ")</f>
        <v> </v>
      </c>
      <c r="J48" s="180" t="str">
        <f aca="false">IF((D48="t"),F48," ")</f>
        <v> </v>
      </c>
      <c r="K48" s="180" t="str">
        <f aca="false">IF((D48="e"),F48," ")</f>
        <v> </v>
      </c>
      <c r="L48" s="180" t="str">
        <f aca="false">IF((D48="p"),F48," ")</f>
        <v> </v>
      </c>
      <c r="M48" s="180" t="str">
        <f aca="false">IF((D48="g"),F48," ")</f>
        <v> </v>
      </c>
      <c r="N48" s="180" t="str">
        <f aca="false">IF((D48="a"),F48," ")</f>
        <v> </v>
      </c>
      <c r="O48" s="180" t="str">
        <f aca="false">IF((D48="l"),F48," ")</f>
        <v> </v>
      </c>
      <c r="P48" s="180" t="str">
        <f aca="false">IF((D48="i"),F48," ")</f>
        <v> </v>
      </c>
      <c r="Q48" s="180" t="str">
        <f aca="false">IF((D48="b"),F48," ")</f>
        <v> </v>
      </c>
      <c r="R48" s="180" t="str">
        <f aca="false">IF((D48="o"),F48," ")</f>
        <v> </v>
      </c>
      <c r="S48" s="180" t="str">
        <f aca="false">IF((D48="f"),F48," ")</f>
        <v> </v>
      </c>
      <c r="U48" s="371"/>
    </row>
    <row r="49" customFormat="false" ht="12.75" hidden="false" customHeight="false" outlineLevel="0" collapsed="false">
      <c r="D49" s="371" t="str">
        <f aca="false">IF((F49&lt;&gt;0),"Enter Letter"," ")</f>
        <v> </v>
      </c>
      <c r="G49" s="180" t="str">
        <f aca="false">IF((D49="d"),F49," ")</f>
        <v> </v>
      </c>
      <c r="H49" s="180" t="str">
        <f aca="false">IF((D49="h"),F49," ")</f>
        <v> </v>
      </c>
      <c r="I49" s="180" t="str">
        <f aca="false">IF((D49="r"),F49," ")</f>
        <v> </v>
      </c>
      <c r="J49" s="180" t="str">
        <f aca="false">IF((D49="t"),F49," ")</f>
        <v> </v>
      </c>
      <c r="K49" s="180" t="str">
        <f aca="false">IF((D49="e"),F49," ")</f>
        <v> </v>
      </c>
      <c r="L49" s="180" t="str">
        <f aca="false">IF((D49="p"),F49," ")</f>
        <v> </v>
      </c>
      <c r="M49" s="180" t="str">
        <f aca="false">IF((D49="g"),F49," ")</f>
        <v> </v>
      </c>
      <c r="N49" s="180" t="str">
        <f aca="false">IF((D49="a"),F49," ")</f>
        <v> </v>
      </c>
      <c r="O49" s="180" t="str">
        <f aca="false">IF((D49="l"),F49," ")</f>
        <v> </v>
      </c>
      <c r="P49" s="180" t="str">
        <f aca="false">IF((D49="i"),F49," ")</f>
        <v> </v>
      </c>
      <c r="Q49" s="180" t="str">
        <f aca="false">IF((D49="b"),F49," ")</f>
        <v> </v>
      </c>
      <c r="R49" s="180" t="str">
        <f aca="false">IF((D49="o"),F49," ")</f>
        <v> </v>
      </c>
      <c r="S49" s="180" t="str">
        <f aca="false">IF((D49="f"),F49," ")</f>
        <v> </v>
      </c>
      <c r="U49" s="371"/>
    </row>
    <row r="50" customFormat="false" ht="12.75" hidden="false" customHeight="false" outlineLevel="0" collapsed="false">
      <c r="D50" s="371" t="str">
        <f aca="false">IF((F50&lt;&gt;0),"Enter Letter"," ")</f>
        <v> </v>
      </c>
      <c r="G50" s="180" t="str">
        <f aca="false">IF((D50="d"),F50," ")</f>
        <v> </v>
      </c>
      <c r="H50" s="180" t="str">
        <f aca="false">IF((D50="h"),F50," ")</f>
        <v> </v>
      </c>
      <c r="I50" s="180" t="str">
        <f aca="false">IF((D50="r"),F50," ")</f>
        <v> </v>
      </c>
      <c r="J50" s="180" t="str">
        <f aca="false">IF((D50="t"),F50," ")</f>
        <v> </v>
      </c>
      <c r="K50" s="180" t="str">
        <f aca="false">IF((D50="e"),F50," ")</f>
        <v> </v>
      </c>
      <c r="L50" s="180" t="str">
        <f aca="false">IF((D50="p"),F50," ")</f>
        <v> </v>
      </c>
      <c r="M50" s="180" t="str">
        <f aca="false">IF((D50="g"),F50," ")</f>
        <v> </v>
      </c>
      <c r="N50" s="180" t="str">
        <f aca="false">IF((D50="a"),F50," ")</f>
        <v> </v>
      </c>
      <c r="O50" s="180" t="str">
        <f aca="false">IF((D50="l"),F50," ")</f>
        <v> </v>
      </c>
      <c r="P50" s="180" t="str">
        <f aca="false">IF((D50="i"),F50," ")</f>
        <v> </v>
      </c>
      <c r="Q50" s="180" t="str">
        <f aca="false">IF((D50="b"),F50," ")</f>
        <v> </v>
      </c>
      <c r="R50" s="180" t="str">
        <f aca="false">IF((D50="o"),F50," ")</f>
        <v> </v>
      </c>
      <c r="S50" s="180" t="str">
        <f aca="false">IF((D50="f"),F50," ")</f>
        <v> </v>
      </c>
      <c r="U50" s="371"/>
    </row>
    <row r="51" customFormat="false" ht="12.75" hidden="false" customHeight="false" outlineLevel="0" collapsed="false">
      <c r="D51" s="371" t="str">
        <f aca="false">IF((F51&lt;&gt;0),"Enter Letter"," ")</f>
        <v> </v>
      </c>
      <c r="G51" s="180" t="str">
        <f aca="false">IF((D51="d"),F51," ")</f>
        <v> </v>
      </c>
      <c r="H51" s="180" t="str">
        <f aca="false">IF((D51="h"),F51," ")</f>
        <v> </v>
      </c>
      <c r="I51" s="180" t="str">
        <f aca="false">IF((D51="r"),F51," ")</f>
        <v> </v>
      </c>
      <c r="J51" s="180" t="str">
        <f aca="false">IF((D51="t"),F51," ")</f>
        <v> </v>
      </c>
      <c r="K51" s="180" t="str">
        <f aca="false">IF((D51="e"),F51," ")</f>
        <v> </v>
      </c>
      <c r="L51" s="180" t="str">
        <f aca="false">IF((D51="p"),F51," ")</f>
        <v> </v>
      </c>
      <c r="M51" s="180" t="str">
        <f aca="false">IF((D51="g"),F51," ")</f>
        <v> </v>
      </c>
      <c r="N51" s="180" t="str">
        <f aca="false">IF((D51="a"),F51," ")</f>
        <v> </v>
      </c>
      <c r="O51" s="180" t="str">
        <f aca="false">IF((D51="l"),F51," ")</f>
        <v> </v>
      </c>
      <c r="P51" s="180" t="str">
        <f aca="false">IF((D51="i"),F51," ")</f>
        <v> </v>
      </c>
      <c r="Q51" s="180" t="str">
        <f aca="false">IF((D51="b"),F51," ")</f>
        <v> </v>
      </c>
      <c r="R51" s="180" t="str">
        <f aca="false">IF((D51="o"),F51," ")</f>
        <v> </v>
      </c>
      <c r="S51" s="180" t="str">
        <f aca="false">IF((D51="f"),F51," ")</f>
        <v> </v>
      </c>
      <c r="U51" s="371"/>
    </row>
    <row r="52" customFormat="false" ht="12.75" hidden="false" customHeight="false" outlineLevel="0" collapsed="false">
      <c r="D52" s="371" t="str">
        <f aca="false">IF((F52&lt;&gt;0),"Enter Letter"," ")</f>
        <v> </v>
      </c>
      <c r="G52" s="180" t="str">
        <f aca="false">IF((D52="d"),F52," ")</f>
        <v> </v>
      </c>
      <c r="H52" s="180" t="str">
        <f aca="false">IF((D52="h"),F52," ")</f>
        <v> </v>
      </c>
      <c r="I52" s="180" t="str">
        <f aca="false">IF((D52="r"),F52," ")</f>
        <v> </v>
      </c>
      <c r="J52" s="180" t="str">
        <f aca="false">IF((D52="t"),F52," ")</f>
        <v> </v>
      </c>
      <c r="K52" s="180" t="str">
        <f aca="false">IF((D52="e"),F52," ")</f>
        <v> </v>
      </c>
      <c r="L52" s="180" t="str">
        <f aca="false">IF((D52="p"),F52," ")</f>
        <v> </v>
      </c>
      <c r="M52" s="180" t="str">
        <f aca="false">IF((D52="g"),F52," ")</f>
        <v> </v>
      </c>
      <c r="N52" s="180" t="str">
        <f aca="false">IF((D52="a"),F52," ")</f>
        <v> </v>
      </c>
      <c r="O52" s="180" t="str">
        <f aca="false">IF((D52="l"),F52," ")</f>
        <v> </v>
      </c>
      <c r="P52" s="180" t="str">
        <f aca="false">IF((D52="i"),F52," ")</f>
        <v> </v>
      </c>
      <c r="Q52" s="180" t="str">
        <f aca="false">IF((D52="b"),F52," ")</f>
        <v> </v>
      </c>
      <c r="R52" s="180" t="str">
        <f aca="false">IF((D52="o"),F52," ")</f>
        <v> </v>
      </c>
      <c r="S52" s="180" t="str">
        <f aca="false">IF((D52="f"),F52," ")</f>
        <v> </v>
      </c>
      <c r="U52" s="371"/>
    </row>
    <row r="53" customFormat="false" ht="12.75" hidden="false" customHeight="false" outlineLevel="0" collapsed="false">
      <c r="D53" s="371" t="str">
        <f aca="false">IF((F53&lt;&gt;0),"Enter Letter"," ")</f>
        <v> </v>
      </c>
      <c r="G53" s="180" t="str">
        <f aca="false">IF((D53="d"),F53," ")</f>
        <v> </v>
      </c>
      <c r="H53" s="180" t="str">
        <f aca="false">IF((D53="h"),F53," ")</f>
        <v> </v>
      </c>
      <c r="I53" s="180" t="str">
        <f aca="false">IF((D53="r"),F53," ")</f>
        <v> </v>
      </c>
      <c r="J53" s="180" t="str">
        <f aca="false">IF((D53="t"),F53," ")</f>
        <v> </v>
      </c>
      <c r="K53" s="180" t="str">
        <f aca="false">IF((D53="e"),F53," ")</f>
        <v> </v>
      </c>
      <c r="L53" s="180" t="str">
        <f aca="false">IF((D53="p"),F53," ")</f>
        <v> </v>
      </c>
      <c r="M53" s="180" t="str">
        <f aca="false">IF((D53="g"),F53," ")</f>
        <v> </v>
      </c>
      <c r="N53" s="180" t="str">
        <f aca="false">IF((D53="a"),F53," ")</f>
        <v> </v>
      </c>
      <c r="O53" s="180" t="str">
        <f aca="false">IF((D53="l"),F53," ")</f>
        <v> </v>
      </c>
      <c r="P53" s="180" t="str">
        <f aca="false">IF((D53="i"),F53," ")</f>
        <v> </v>
      </c>
      <c r="Q53" s="180" t="str">
        <f aca="false">IF((D53="b"),F53," ")</f>
        <v> </v>
      </c>
      <c r="R53" s="180" t="str">
        <f aca="false">IF((D53="o"),F53," ")</f>
        <v> </v>
      </c>
      <c r="S53" s="180" t="str">
        <f aca="false">IF((D53="f"),F53," ")</f>
        <v> </v>
      </c>
      <c r="U53" s="371"/>
    </row>
    <row r="54" customFormat="false" ht="12.75" hidden="false" customHeight="false" outlineLevel="0" collapsed="false">
      <c r="D54" s="371" t="str">
        <f aca="false">IF((F54&lt;&gt;0),"Enter Letter"," ")</f>
        <v> </v>
      </c>
      <c r="G54" s="180" t="str">
        <f aca="false">IF((D54="d"),F54," ")</f>
        <v> </v>
      </c>
      <c r="H54" s="180" t="str">
        <f aca="false">IF((D54="h"),F54," ")</f>
        <v> </v>
      </c>
      <c r="I54" s="180" t="str">
        <f aca="false">IF((D54="r"),F54," ")</f>
        <v> </v>
      </c>
      <c r="J54" s="180" t="str">
        <f aca="false">IF((D54="t"),F54," ")</f>
        <v> </v>
      </c>
      <c r="K54" s="180" t="str">
        <f aca="false">IF((D54="e"),F54," ")</f>
        <v> </v>
      </c>
      <c r="L54" s="180" t="str">
        <f aca="false">IF((D54="p"),F54," ")</f>
        <v> </v>
      </c>
      <c r="M54" s="180" t="str">
        <f aca="false">IF((D54="g"),F54," ")</f>
        <v> </v>
      </c>
      <c r="N54" s="180" t="str">
        <f aca="false">IF((D54="a"),F54," ")</f>
        <v> </v>
      </c>
      <c r="O54" s="180" t="str">
        <f aca="false">IF((D54="l"),F54," ")</f>
        <v> </v>
      </c>
      <c r="P54" s="180" t="str">
        <f aca="false">IF((D54="i"),F54," ")</f>
        <v> </v>
      </c>
      <c r="Q54" s="180" t="str">
        <f aca="false">IF((D54="b"),F54," ")</f>
        <v> </v>
      </c>
      <c r="R54" s="180" t="str">
        <f aca="false">IF((D54="o"),F54," ")</f>
        <v> </v>
      </c>
      <c r="S54" s="180" t="str">
        <f aca="false">IF((D54="f"),F54," ")</f>
        <v> </v>
      </c>
      <c r="U54" s="371"/>
    </row>
    <row r="55" customFormat="false" ht="12.75" hidden="false" customHeight="false" outlineLevel="0" collapsed="false">
      <c r="D55" s="371" t="str">
        <f aca="false">IF((F55&lt;&gt;0),"Enter Letter"," ")</f>
        <v> </v>
      </c>
      <c r="G55" s="180" t="str">
        <f aca="false">IF((D55="d"),F55," ")</f>
        <v> </v>
      </c>
      <c r="H55" s="180" t="str">
        <f aca="false">IF((D55="h"),F55," ")</f>
        <v> </v>
      </c>
      <c r="I55" s="180" t="str">
        <f aca="false">IF((D55="r"),F55," ")</f>
        <v> </v>
      </c>
      <c r="J55" s="180" t="str">
        <f aca="false">IF((D55="t"),F55," ")</f>
        <v> </v>
      </c>
      <c r="K55" s="180" t="str">
        <f aca="false">IF((D55="e"),F55," ")</f>
        <v> </v>
      </c>
      <c r="L55" s="180" t="str">
        <f aca="false">IF((D55="p"),F55," ")</f>
        <v> </v>
      </c>
      <c r="M55" s="180" t="str">
        <f aca="false">IF((D55="g"),F55," ")</f>
        <v> </v>
      </c>
      <c r="N55" s="180" t="str">
        <f aca="false">IF((D55="a"),F55," ")</f>
        <v> </v>
      </c>
      <c r="O55" s="180" t="str">
        <f aca="false">IF((D55="l"),F55," ")</f>
        <v> </v>
      </c>
      <c r="P55" s="180" t="str">
        <f aca="false">IF((D55="i"),F55," ")</f>
        <v> </v>
      </c>
      <c r="Q55" s="180" t="str">
        <f aca="false">IF((D55="b"),F55," ")</f>
        <v> </v>
      </c>
      <c r="R55" s="180" t="str">
        <f aca="false">IF((D55="o"),F55," ")</f>
        <v> </v>
      </c>
      <c r="S55" s="180" t="str">
        <f aca="false">IF((D55="f"),F55," ")</f>
        <v> </v>
      </c>
      <c r="U55" s="371"/>
    </row>
    <row r="56" customFormat="false" ht="12.75" hidden="false" customHeight="false" outlineLevel="0" collapsed="false">
      <c r="D56" s="371" t="str">
        <f aca="false">IF((F56&lt;&gt;0),"Enter Letter"," ")</f>
        <v> </v>
      </c>
      <c r="G56" s="180" t="str">
        <f aca="false">IF((D56="d"),F56," ")</f>
        <v> </v>
      </c>
      <c r="H56" s="180" t="str">
        <f aca="false">IF((D56="h"),F56," ")</f>
        <v> </v>
      </c>
      <c r="I56" s="180" t="str">
        <f aca="false">IF((D56="r"),F56," ")</f>
        <v> </v>
      </c>
      <c r="J56" s="180" t="str">
        <f aca="false">IF((D56="t"),F56," ")</f>
        <v> </v>
      </c>
      <c r="K56" s="180" t="str">
        <f aca="false">IF((D56="e"),F56," ")</f>
        <v> </v>
      </c>
      <c r="L56" s="180" t="str">
        <f aca="false">IF((D56="p"),F56," ")</f>
        <v> </v>
      </c>
      <c r="M56" s="180" t="str">
        <f aca="false">IF((D56="g"),F56," ")</f>
        <v> </v>
      </c>
      <c r="N56" s="180" t="str">
        <f aca="false">IF((D56="a"),F56," ")</f>
        <v> </v>
      </c>
      <c r="O56" s="180" t="str">
        <f aca="false">IF((D56="l"),F56," ")</f>
        <v> </v>
      </c>
      <c r="P56" s="180" t="str">
        <f aca="false">IF((D56="i"),F56," ")</f>
        <v> </v>
      </c>
      <c r="Q56" s="180" t="str">
        <f aca="false">IF((D56="b"),F56," ")</f>
        <v> </v>
      </c>
      <c r="R56" s="180" t="str">
        <f aca="false">IF((D56="o"),F56," ")</f>
        <v> </v>
      </c>
      <c r="S56" s="180" t="str">
        <f aca="false">IF((D56="f"),F56," ")</f>
        <v> </v>
      </c>
      <c r="U56" s="371"/>
    </row>
    <row r="57" customFormat="false" ht="12.75" hidden="false" customHeight="false" outlineLevel="0" collapsed="false">
      <c r="D57" s="371" t="str">
        <f aca="false">IF((F57&lt;&gt;0),"Enter Letter"," ")</f>
        <v> </v>
      </c>
      <c r="G57" s="180" t="str">
        <f aca="false">IF((D57="d"),F57," ")</f>
        <v> </v>
      </c>
      <c r="H57" s="180" t="str">
        <f aca="false">IF((D57="h"),F57," ")</f>
        <v> </v>
      </c>
      <c r="I57" s="180" t="str">
        <f aca="false">IF((D57="r"),F57," ")</f>
        <v> </v>
      </c>
      <c r="J57" s="180" t="str">
        <f aca="false">IF((D57="t"),F57," ")</f>
        <v> </v>
      </c>
      <c r="K57" s="180" t="str">
        <f aca="false">IF((D57="e"),F57," ")</f>
        <v> </v>
      </c>
      <c r="L57" s="180" t="str">
        <f aca="false">IF((D57="p"),F57," ")</f>
        <v> </v>
      </c>
      <c r="M57" s="180" t="str">
        <f aca="false">IF((D57="g"),F57," ")</f>
        <v> </v>
      </c>
      <c r="N57" s="180" t="str">
        <f aca="false">IF((D57="a"),F57," ")</f>
        <v> </v>
      </c>
      <c r="O57" s="180" t="str">
        <f aca="false">IF((D57="l"),F57," ")</f>
        <v> </v>
      </c>
      <c r="P57" s="180" t="str">
        <f aca="false">IF((D57="i"),F57," ")</f>
        <v> </v>
      </c>
      <c r="Q57" s="180" t="str">
        <f aca="false">IF((D57="b"),F57," ")</f>
        <v> </v>
      </c>
      <c r="R57" s="180" t="str">
        <f aca="false">IF((D57="o"),F57," ")</f>
        <v> </v>
      </c>
      <c r="S57" s="180" t="str">
        <f aca="false">IF((D57="f"),F57," ")</f>
        <v> </v>
      </c>
      <c r="U57" s="371"/>
    </row>
    <row r="58" customFormat="false" ht="12.75" hidden="false" customHeight="false" outlineLevel="0" collapsed="false">
      <c r="D58" s="371" t="str">
        <f aca="false">IF((F58&lt;&gt;0),"Enter Letter"," ")</f>
        <v> </v>
      </c>
      <c r="G58" s="180" t="str">
        <f aca="false">IF((D58="d"),F58," ")</f>
        <v> </v>
      </c>
      <c r="H58" s="180" t="str">
        <f aca="false">IF((D58="h"),F58," ")</f>
        <v> </v>
      </c>
      <c r="I58" s="180" t="str">
        <f aca="false">IF((D58="r"),F58," ")</f>
        <v> </v>
      </c>
      <c r="J58" s="180" t="str">
        <f aca="false">IF((D58="t"),F58," ")</f>
        <v> </v>
      </c>
      <c r="K58" s="180" t="str">
        <f aca="false">IF((D58="e"),F58," ")</f>
        <v> </v>
      </c>
      <c r="L58" s="180" t="str">
        <f aca="false">IF((D58="p"),F58," ")</f>
        <v> </v>
      </c>
      <c r="M58" s="180" t="str">
        <f aca="false">IF((D58="g"),F58," ")</f>
        <v> </v>
      </c>
      <c r="N58" s="180" t="str">
        <f aca="false">IF((D58="a"),F58," ")</f>
        <v> </v>
      </c>
      <c r="O58" s="180" t="str">
        <f aca="false">IF((D58="l"),F58," ")</f>
        <v> </v>
      </c>
      <c r="P58" s="180" t="str">
        <f aca="false">IF((D58="i"),F58," ")</f>
        <v> </v>
      </c>
      <c r="Q58" s="180" t="str">
        <f aca="false">IF((D58="b"),F58," ")</f>
        <v> </v>
      </c>
      <c r="R58" s="180" t="str">
        <f aca="false">IF((D58="o"),F58," ")</f>
        <v> </v>
      </c>
      <c r="S58" s="180" t="str">
        <f aca="false">IF((D58="f"),F58," ")</f>
        <v> </v>
      </c>
      <c r="U58" s="371"/>
    </row>
    <row r="59" customFormat="false" ht="12.75" hidden="false" customHeight="false" outlineLevel="0" collapsed="false">
      <c r="D59" s="371" t="str">
        <f aca="false">IF((F59&lt;&gt;0),"Enter Letter"," ")</f>
        <v> </v>
      </c>
      <c r="G59" s="180" t="str">
        <f aca="false">IF((D59="d"),F59," ")</f>
        <v> </v>
      </c>
      <c r="H59" s="180" t="str">
        <f aca="false">IF((D59="h"),F59," ")</f>
        <v> </v>
      </c>
      <c r="I59" s="180" t="str">
        <f aca="false">IF((D59="r"),F59," ")</f>
        <v> </v>
      </c>
      <c r="J59" s="180" t="str">
        <f aca="false">IF((D59="t"),F59," ")</f>
        <v> </v>
      </c>
      <c r="K59" s="180" t="str">
        <f aca="false">IF((D59="e"),F59," ")</f>
        <v> </v>
      </c>
      <c r="L59" s="180" t="str">
        <f aca="false">IF((D59="p"),F59," ")</f>
        <v> </v>
      </c>
      <c r="M59" s="180" t="str">
        <f aca="false">IF((D59="g"),F59," ")</f>
        <v> </v>
      </c>
      <c r="N59" s="180" t="str">
        <f aca="false">IF((D59="a"),F59," ")</f>
        <v> </v>
      </c>
      <c r="O59" s="180" t="str">
        <f aca="false">IF((D59="l"),F59," ")</f>
        <v> </v>
      </c>
      <c r="P59" s="180" t="str">
        <f aca="false">IF((D59="i"),F59," ")</f>
        <v> </v>
      </c>
      <c r="Q59" s="180" t="str">
        <f aca="false">IF((D59="b"),F59," ")</f>
        <v> </v>
      </c>
      <c r="R59" s="180" t="str">
        <f aca="false">IF((D59="o"),F59," ")</f>
        <v> </v>
      </c>
      <c r="S59" s="180" t="str">
        <f aca="false">IF((D59="f"),F59," ")</f>
        <v> </v>
      </c>
      <c r="U59" s="371"/>
    </row>
    <row r="60" customFormat="false" ht="12.75" hidden="false" customHeight="false" outlineLevel="0" collapsed="false">
      <c r="D60" s="371" t="str">
        <f aca="false">IF((F60&lt;&gt;0),"Enter Letter"," ")</f>
        <v> </v>
      </c>
      <c r="G60" s="180" t="str">
        <f aca="false">IF((D60="d"),F60," ")</f>
        <v> </v>
      </c>
      <c r="H60" s="180" t="str">
        <f aca="false">IF((D60="h"),F60," ")</f>
        <v> </v>
      </c>
      <c r="I60" s="180" t="str">
        <f aca="false">IF((D60="r"),F60," ")</f>
        <v> </v>
      </c>
      <c r="J60" s="180" t="str">
        <f aca="false">IF((D60="t"),F60," ")</f>
        <v> </v>
      </c>
      <c r="K60" s="180" t="str">
        <f aca="false">IF((D60="e"),F60," ")</f>
        <v> </v>
      </c>
      <c r="L60" s="180" t="str">
        <f aca="false">IF((D60="p"),F60," ")</f>
        <v> </v>
      </c>
      <c r="M60" s="180" t="str">
        <f aca="false">IF((D60="g"),F60," ")</f>
        <v> </v>
      </c>
      <c r="N60" s="180" t="str">
        <f aca="false">IF((D60="a"),F60," ")</f>
        <v> </v>
      </c>
      <c r="O60" s="180" t="str">
        <f aca="false">IF((D60="l"),F60," ")</f>
        <v> </v>
      </c>
      <c r="P60" s="180" t="str">
        <f aca="false">IF((D60="i"),F60," ")</f>
        <v> </v>
      </c>
      <c r="Q60" s="180" t="str">
        <f aca="false">IF((D60="b"),F60," ")</f>
        <v> </v>
      </c>
      <c r="R60" s="180" t="str">
        <f aca="false">IF((D60="o"),F60," ")</f>
        <v> </v>
      </c>
      <c r="S60" s="180" t="str">
        <f aca="false">IF((D60="f"),F60," ")</f>
        <v> </v>
      </c>
      <c r="U60" s="371"/>
    </row>
    <row r="61" customFormat="false" ht="12.75" hidden="false" customHeight="false" outlineLevel="0" collapsed="false">
      <c r="D61" s="371" t="str">
        <f aca="false">IF((F61&lt;&gt;0),"Enter Letter"," ")</f>
        <v> </v>
      </c>
      <c r="G61" s="180" t="str">
        <f aca="false">IF((D61="d"),F61," ")</f>
        <v> </v>
      </c>
      <c r="H61" s="180" t="str">
        <f aca="false">IF((D61="h"),F61," ")</f>
        <v> </v>
      </c>
      <c r="I61" s="180" t="str">
        <f aca="false">IF((D61="r"),F61," ")</f>
        <v> </v>
      </c>
      <c r="J61" s="180" t="str">
        <f aca="false">IF((D61="t"),F61," ")</f>
        <v> </v>
      </c>
      <c r="K61" s="180" t="str">
        <f aca="false">IF((D61="e"),F61," ")</f>
        <v> </v>
      </c>
      <c r="L61" s="180" t="str">
        <f aca="false">IF((D61="p"),F61," ")</f>
        <v> </v>
      </c>
      <c r="M61" s="180" t="str">
        <f aca="false">IF((D61="g"),F61," ")</f>
        <v> </v>
      </c>
      <c r="N61" s="180" t="str">
        <f aca="false">IF((D61="a"),F61," ")</f>
        <v> </v>
      </c>
      <c r="O61" s="180" t="str">
        <f aca="false">IF((D61="l"),F61," ")</f>
        <v> </v>
      </c>
      <c r="P61" s="180" t="str">
        <f aca="false">IF((D61="i"),F61," ")</f>
        <v> </v>
      </c>
      <c r="Q61" s="180" t="str">
        <f aca="false">IF((D61="b"),F61," ")</f>
        <v> </v>
      </c>
      <c r="R61" s="180" t="str">
        <f aca="false">IF((D61="o"),F61," ")</f>
        <v> </v>
      </c>
      <c r="S61" s="180" t="str">
        <f aca="false">IF((D61="f"),F61," ")</f>
        <v> </v>
      </c>
      <c r="U61" s="371"/>
    </row>
    <row r="62" customFormat="false" ht="12.75" hidden="false" customHeight="false" outlineLevel="0" collapsed="false">
      <c r="D62" s="371" t="str">
        <f aca="false">IF((F62&lt;&gt;0),"Enter Letter"," ")</f>
        <v> </v>
      </c>
      <c r="G62" s="180" t="str">
        <f aca="false">IF((D62="d"),F62," ")</f>
        <v> </v>
      </c>
      <c r="H62" s="180" t="str">
        <f aca="false">IF((D62="h"),F62," ")</f>
        <v> </v>
      </c>
      <c r="I62" s="180" t="str">
        <f aca="false">IF((D62="r"),F62," ")</f>
        <v> </v>
      </c>
      <c r="J62" s="180" t="str">
        <f aca="false">IF((D62="t"),F62," ")</f>
        <v> </v>
      </c>
      <c r="K62" s="180" t="str">
        <f aca="false">IF((D62="e"),F62," ")</f>
        <v> </v>
      </c>
      <c r="L62" s="180" t="str">
        <f aca="false">IF((D62="p"),F62," ")</f>
        <v> </v>
      </c>
      <c r="M62" s="180" t="str">
        <f aca="false">IF((D62="g"),F62," ")</f>
        <v> </v>
      </c>
      <c r="N62" s="180" t="str">
        <f aca="false">IF((D62="a"),F62," ")</f>
        <v> </v>
      </c>
      <c r="O62" s="180" t="str">
        <f aca="false">IF((D62="l"),F62," ")</f>
        <v> </v>
      </c>
      <c r="P62" s="180" t="str">
        <f aca="false">IF((D62="i"),F62," ")</f>
        <v> </v>
      </c>
      <c r="Q62" s="180" t="str">
        <f aca="false">IF((D62="b"),F62," ")</f>
        <v> </v>
      </c>
      <c r="R62" s="180" t="str">
        <f aca="false">IF((D62="o"),F62," ")</f>
        <v> </v>
      </c>
      <c r="S62" s="180" t="str">
        <f aca="false">IF((D62="f"),F62," ")</f>
        <v> </v>
      </c>
      <c r="U62" s="371"/>
    </row>
    <row r="63" customFormat="false" ht="12.75" hidden="false" customHeight="false" outlineLevel="0" collapsed="false">
      <c r="D63" s="371" t="str">
        <f aca="false">IF((F63&lt;&gt;0),"Enter Letter"," ")</f>
        <v> </v>
      </c>
      <c r="G63" s="180" t="str">
        <f aca="false">IF((D63="d"),F63," ")</f>
        <v> </v>
      </c>
      <c r="H63" s="180" t="str">
        <f aca="false">IF((D63="h"),F63," ")</f>
        <v> </v>
      </c>
      <c r="I63" s="180" t="str">
        <f aca="false">IF((D63="r"),F63," ")</f>
        <v> </v>
      </c>
      <c r="J63" s="180" t="str">
        <f aca="false">IF((D63="t"),F63," ")</f>
        <v> </v>
      </c>
      <c r="K63" s="180" t="str">
        <f aca="false">IF((D63="e"),F63," ")</f>
        <v> </v>
      </c>
      <c r="L63" s="180" t="str">
        <f aca="false">IF((D63="p"),F63," ")</f>
        <v> </v>
      </c>
      <c r="M63" s="180" t="str">
        <f aca="false">IF((D63="g"),F63," ")</f>
        <v> </v>
      </c>
      <c r="N63" s="180" t="str">
        <f aca="false">IF((D63="a"),F63," ")</f>
        <v> </v>
      </c>
      <c r="O63" s="180" t="str">
        <f aca="false">IF((D63="l"),F63," ")</f>
        <v> </v>
      </c>
      <c r="P63" s="180" t="str">
        <f aca="false">IF((D63="i"),F63," ")</f>
        <v> </v>
      </c>
      <c r="Q63" s="180" t="str">
        <f aca="false">IF((D63="b"),F63," ")</f>
        <v> </v>
      </c>
      <c r="R63" s="180" t="str">
        <f aca="false">IF((D63="o"),F63," ")</f>
        <v> </v>
      </c>
      <c r="S63" s="180" t="str">
        <f aca="false">IF((D63="f"),F63," ")</f>
        <v> </v>
      </c>
      <c r="U63" s="371"/>
    </row>
    <row r="64" customFormat="false" ht="12.75" hidden="false" customHeight="false" outlineLevel="0" collapsed="false">
      <c r="D64" s="371" t="str">
        <f aca="false">IF((F64&lt;&gt;0),"Enter Letter"," ")</f>
        <v> </v>
      </c>
      <c r="G64" s="180" t="str">
        <f aca="false">IF((D64="d"),F64," ")</f>
        <v> </v>
      </c>
      <c r="H64" s="180" t="str">
        <f aca="false">IF((D64="h"),F64," ")</f>
        <v> </v>
      </c>
      <c r="I64" s="180" t="str">
        <f aca="false">IF((D64="r"),F64," ")</f>
        <v> </v>
      </c>
      <c r="J64" s="180" t="str">
        <f aca="false">IF((D64="t"),F64," ")</f>
        <v> </v>
      </c>
      <c r="K64" s="180" t="str">
        <f aca="false">IF((D64="e"),F64," ")</f>
        <v> </v>
      </c>
      <c r="L64" s="180" t="str">
        <f aca="false">IF((D64="p"),F64," ")</f>
        <v> </v>
      </c>
      <c r="M64" s="180" t="str">
        <f aca="false">IF((D64="g"),F64," ")</f>
        <v> </v>
      </c>
      <c r="N64" s="180" t="str">
        <f aca="false">IF((D64="a"),F64," ")</f>
        <v> </v>
      </c>
      <c r="O64" s="180" t="str">
        <f aca="false">IF((D64="l"),F64," ")</f>
        <v> </v>
      </c>
      <c r="P64" s="180" t="str">
        <f aca="false">IF((D64="i"),F64," ")</f>
        <v> </v>
      </c>
      <c r="Q64" s="180" t="str">
        <f aca="false">IF((D64="b"),F64," ")</f>
        <v> </v>
      </c>
      <c r="R64" s="180" t="str">
        <f aca="false">IF((D64="o"),F64," ")</f>
        <v> </v>
      </c>
      <c r="S64" s="180" t="str">
        <f aca="false">IF((D64="f"),F64," ")</f>
        <v> </v>
      </c>
      <c r="U64" s="371"/>
    </row>
    <row r="65" customFormat="false" ht="12.75" hidden="false" customHeight="false" outlineLevel="0" collapsed="false">
      <c r="D65" s="371" t="str">
        <f aca="false">IF((F65&lt;&gt;0),"Enter Letter"," ")</f>
        <v> </v>
      </c>
      <c r="G65" s="180" t="str">
        <f aca="false">IF((D65="d"),F65," ")</f>
        <v> </v>
      </c>
      <c r="H65" s="180" t="str">
        <f aca="false">IF((D65="h"),F65," ")</f>
        <v> </v>
      </c>
      <c r="I65" s="180" t="str">
        <f aca="false">IF((D65="r"),F65," ")</f>
        <v> </v>
      </c>
      <c r="J65" s="180" t="str">
        <f aca="false">IF((D65="t"),F65," ")</f>
        <v> </v>
      </c>
      <c r="K65" s="180" t="str">
        <f aca="false">IF((D65="e"),F65," ")</f>
        <v> </v>
      </c>
      <c r="L65" s="180" t="str">
        <f aca="false">IF((D65="p"),F65," ")</f>
        <v> </v>
      </c>
      <c r="M65" s="180" t="str">
        <f aca="false">IF((D65="g"),F65," ")</f>
        <v> </v>
      </c>
      <c r="N65" s="180" t="str">
        <f aca="false">IF((D65="a"),F65," ")</f>
        <v> </v>
      </c>
      <c r="O65" s="180" t="str">
        <f aca="false">IF((D65="l"),F65," ")</f>
        <v> </v>
      </c>
      <c r="P65" s="180" t="str">
        <f aca="false">IF((D65="i"),F65," ")</f>
        <v> </v>
      </c>
      <c r="Q65" s="180" t="str">
        <f aca="false">IF((D65="b"),F65," ")</f>
        <v> </v>
      </c>
      <c r="R65" s="180" t="str">
        <f aca="false">IF((D65="o"),F65," ")</f>
        <v> </v>
      </c>
      <c r="S65" s="180" t="str">
        <f aca="false">IF((D65="f"),F65," ")</f>
        <v> </v>
      </c>
      <c r="U65" s="371"/>
    </row>
    <row r="66" customFormat="false" ht="12.75" hidden="false" customHeight="false" outlineLevel="0" collapsed="false">
      <c r="D66" s="371" t="str">
        <f aca="false">IF((F66&lt;&gt;0),"Enter Letter"," ")</f>
        <v> </v>
      </c>
      <c r="G66" s="180" t="str">
        <f aca="false">IF((D66="d"),F66," ")</f>
        <v> </v>
      </c>
      <c r="H66" s="180" t="str">
        <f aca="false">IF((D66="h"),F66," ")</f>
        <v> </v>
      </c>
      <c r="I66" s="180" t="str">
        <f aca="false">IF((D66="r"),F66," ")</f>
        <v> </v>
      </c>
      <c r="J66" s="180" t="str">
        <f aca="false">IF((D66="t"),F66," ")</f>
        <v> </v>
      </c>
      <c r="K66" s="180" t="str">
        <f aca="false">IF((D66="e"),F66," ")</f>
        <v> </v>
      </c>
      <c r="L66" s="180" t="str">
        <f aca="false">IF((D66="p"),F66," ")</f>
        <v> </v>
      </c>
      <c r="M66" s="180" t="str">
        <f aca="false">IF((D66="g"),F66," ")</f>
        <v> </v>
      </c>
      <c r="N66" s="180" t="str">
        <f aca="false">IF((D66="a"),F66," ")</f>
        <v> </v>
      </c>
      <c r="O66" s="180" t="str">
        <f aca="false">IF((D66="l"),F66," ")</f>
        <v> </v>
      </c>
      <c r="P66" s="180" t="str">
        <f aca="false">IF((D66="i"),F66," ")</f>
        <v> </v>
      </c>
      <c r="Q66" s="180" t="str">
        <f aca="false">IF((D66="b"),F66," ")</f>
        <v> </v>
      </c>
      <c r="R66" s="180" t="str">
        <f aca="false">IF((D66="o"),F66," ")</f>
        <v> </v>
      </c>
      <c r="S66" s="180" t="str">
        <f aca="false">IF((D66="f"),F66," ")</f>
        <v> </v>
      </c>
      <c r="U66" s="371"/>
    </row>
    <row r="67" customFormat="false" ht="12.75" hidden="false" customHeight="false" outlineLevel="0" collapsed="false">
      <c r="D67" s="371" t="str">
        <f aca="false">IF((F67&lt;&gt;0),"Enter Letter"," ")</f>
        <v> </v>
      </c>
      <c r="G67" s="180" t="str">
        <f aca="false">IF((D67="d"),F67," ")</f>
        <v> </v>
      </c>
      <c r="H67" s="180" t="str">
        <f aca="false">IF((D67="h"),F67," ")</f>
        <v> </v>
      </c>
      <c r="I67" s="180" t="str">
        <f aca="false">IF((D67="r"),F67," ")</f>
        <v> </v>
      </c>
      <c r="J67" s="180" t="str">
        <f aca="false">IF((D67="t"),F67," ")</f>
        <v> </v>
      </c>
      <c r="K67" s="180" t="str">
        <f aca="false">IF((D67="e"),F67," ")</f>
        <v> </v>
      </c>
      <c r="L67" s="180" t="str">
        <f aca="false">IF((D67="p"),F67," ")</f>
        <v> </v>
      </c>
      <c r="M67" s="180" t="str">
        <f aca="false">IF((D67="g"),F67," ")</f>
        <v> </v>
      </c>
      <c r="N67" s="180" t="str">
        <f aca="false">IF((D67="a"),F67," ")</f>
        <v> </v>
      </c>
      <c r="O67" s="180" t="str">
        <f aca="false">IF((D67="l"),F67," ")</f>
        <v> </v>
      </c>
      <c r="P67" s="180" t="str">
        <f aca="false">IF((D67="i"),F67," ")</f>
        <v> </v>
      </c>
      <c r="Q67" s="180" t="str">
        <f aca="false">IF((D67="b"),F67," ")</f>
        <v> </v>
      </c>
      <c r="R67" s="180" t="str">
        <f aca="false">IF((D67="o"),F67," ")</f>
        <v> </v>
      </c>
      <c r="S67" s="180" t="str">
        <f aca="false">IF((D67="f"),F67," ")</f>
        <v> </v>
      </c>
      <c r="U67" s="371"/>
    </row>
    <row r="68" customFormat="false" ht="12.75" hidden="false" customHeight="false" outlineLevel="0" collapsed="false">
      <c r="D68" s="371" t="str">
        <f aca="false">IF((F68&lt;&gt;0),"Enter Letter"," ")</f>
        <v> </v>
      </c>
      <c r="G68" s="180" t="str">
        <f aca="false">IF((D68="d"),F68," ")</f>
        <v> </v>
      </c>
      <c r="H68" s="180" t="str">
        <f aca="false">IF((D68="h"),F68," ")</f>
        <v> </v>
      </c>
      <c r="I68" s="180" t="str">
        <f aca="false">IF((D68="r"),F68," ")</f>
        <v> </v>
      </c>
      <c r="J68" s="180" t="str">
        <f aca="false">IF((D68="t"),F68," ")</f>
        <v> </v>
      </c>
      <c r="K68" s="180" t="str">
        <f aca="false">IF((D68="e"),F68," ")</f>
        <v> </v>
      </c>
      <c r="L68" s="180" t="str">
        <f aca="false">IF((D68="p"),F68," ")</f>
        <v> </v>
      </c>
      <c r="M68" s="180" t="str">
        <f aca="false">IF((D68="g"),F68," ")</f>
        <v> </v>
      </c>
      <c r="N68" s="180" t="str">
        <f aca="false">IF((D68="a"),F68," ")</f>
        <v> </v>
      </c>
      <c r="O68" s="180" t="str">
        <f aca="false">IF((D68="l"),F68," ")</f>
        <v> </v>
      </c>
      <c r="P68" s="180" t="str">
        <f aca="false">IF((D68="i"),F68," ")</f>
        <v> </v>
      </c>
      <c r="Q68" s="180" t="str">
        <f aca="false">IF((D68="b"),F68," ")</f>
        <v> </v>
      </c>
      <c r="R68" s="180" t="str">
        <f aca="false">IF((D68="o"),F68," ")</f>
        <v> </v>
      </c>
      <c r="S68" s="180" t="str">
        <f aca="false">IF((D68="f"),F68," ")</f>
        <v> </v>
      </c>
      <c r="U68" s="371"/>
    </row>
    <row r="69" customFormat="false" ht="12.75" hidden="false" customHeight="false" outlineLevel="0" collapsed="false">
      <c r="D69" s="371" t="str">
        <f aca="false">IF((F69&lt;&gt;0),"Enter Letter"," ")</f>
        <v> </v>
      </c>
      <c r="G69" s="180" t="str">
        <f aca="false">IF((D69="d"),F69," ")</f>
        <v> </v>
      </c>
      <c r="H69" s="180" t="str">
        <f aca="false">IF((D69="h"),F69," ")</f>
        <v> </v>
      </c>
      <c r="I69" s="180" t="str">
        <f aca="false">IF((D69="r"),F69," ")</f>
        <v> </v>
      </c>
      <c r="J69" s="180" t="str">
        <f aca="false">IF((D69="t"),F69," ")</f>
        <v> </v>
      </c>
      <c r="K69" s="180" t="str">
        <f aca="false">IF((D69="e"),F69," ")</f>
        <v> </v>
      </c>
      <c r="L69" s="180" t="str">
        <f aca="false">IF((D69="p"),F69," ")</f>
        <v> </v>
      </c>
      <c r="M69" s="180" t="str">
        <f aca="false">IF((D69="g"),F69," ")</f>
        <v> </v>
      </c>
      <c r="N69" s="180" t="str">
        <f aca="false">IF((D69="a"),F69," ")</f>
        <v> </v>
      </c>
      <c r="O69" s="180" t="str">
        <f aca="false">IF((D69="l"),F69," ")</f>
        <v> </v>
      </c>
      <c r="P69" s="180" t="str">
        <f aca="false">IF((D69="i"),F69," ")</f>
        <v> </v>
      </c>
      <c r="Q69" s="180" t="str">
        <f aca="false">IF((D69="b"),F69," ")</f>
        <v> </v>
      </c>
      <c r="R69" s="180" t="str">
        <f aca="false">IF((D69="o"),F69," ")</f>
        <v> </v>
      </c>
      <c r="S69" s="180" t="str">
        <f aca="false">IF((D69="f"),F69," ")</f>
        <v> </v>
      </c>
      <c r="U69" s="371"/>
    </row>
    <row r="70" customFormat="false" ht="12.75" hidden="false" customHeight="false" outlineLevel="0" collapsed="false">
      <c r="D70" s="371" t="str">
        <f aca="false">IF((F70&lt;&gt;0),"Enter Letter"," ")</f>
        <v> </v>
      </c>
      <c r="G70" s="180" t="str">
        <f aca="false">IF((D70="d"),F70," ")</f>
        <v> </v>
      </c>
      <c r="H70" s="180" t="str">
        <f aca="false">IF((D70="h"),F70," ")</f>
        <v> </v>
      </c>
      <c r="I70" s="180" t="str">
        <f aca="false">IF((D70="r"),F70," ")</f>
        <v> </v>
      </c>
      <c r="J70" s="180" t="str">
        <f aca="false">IF((D70="t"),F70," ")</f>
        <v> </v>
      </c>
      <c r="K70" s="180" t="str">
        <f aca="false">IF((D70="e"),F70," ")</f>
        <v> </v>
      </c>
      <c r="L70" s="180" t="str">
        <f aca="false">IF((D70="p"),F70," ")</f>
        <v> </v>
      </c>
      <c r="M70" s="180" t="str">
        <f aca="false">IF((D70="g"),F70," ")</f>
        <v> </v>
      </c>
      <c r="N70" s="180" t="str">
        <f aca="false">IF((D70="a"),F70," ")</f>
        <v> </v>
      </c>
      <c r="O70" s="180" t="str">
        <f aca="false">IF((D70="l"),F70," ")</f>
        <v> </v>
      </c>
      <c r="P70" s="180" t="str">
        <f aca="false">IF((D70="i"),F70," ")</f>
        <v> </v>
      </c>
      <c r="Q70" s="180" t="str">
        <f aca="false">IF((D70="b"),F70," ")</f>
        <v> </v>
      </c>
      <c r="R70" s="180" t="str">
        <f aca="false">IF((D70="o"),F70," ")</f>
        <v> </v>
      </c>
      <c r="S70" s="180" t="str">
        <f aca="false">IF((D70="f"),F70," ")</f>
        <v> </v>
      </c>
      <c r="U70" s="371"/>
    </row>
    <row r="71" customFormat="false" ht="12.75" hidden="false" customHeight="false" outlineLevel="0" collapsed="false">
      <c r="D71" s="371" t="str">
        <f aca="false">IF((F71&lt;&gt;0),"Enter Letter"," ")</f>
        <v> </v>
      </c>
      <c r="G71" s="180" t="str">
        <f aca="false">IF((D71="d"),F71," ")</f>
        <v> </v>
      </c>
      <c r="H71" s="180" t="str">
        <f aca="false">IF((D71="h"),F71," ")</f>
        <v> </v>
      </c>
      <c r="I71" s="180" t="str">
        <f aca="false">IF((D71="r"),F71," ")</f>
        <v> </v>
      </c>
      <c r="J71" s="180" t="str">
        <f aca="false">IF((D71="t"),F71," ")</f>
        <v> </v>
      </c>
      <c r="K71" s="180" t="str">
        <f aca="false">IF((D71="e"),F71," ")</f>
        <v> </v>
      </c>
      <c r="L71" s="180" t="str">
        <f aca="false">IF((D71="p"),F71," ")</f>
        <v> </v>
      </c>
      <c r="M71" s="180" t="str">
        <f aca="false">IF((D71="g"),F71," ")</f>
        <v> </v>
      </c>
      <c r="N71" s="180" t="str">
        <f aca="false">IF((D71="a"),F71," ")</f>
        <v> </v>
      </c>
      <c r="O71" s="180" t="str">
        <f aca="false">IF((D71="l"),F71," ")</f>
        <v> </v>
      </c>
      <c r="P71" s="180" t="str">
        <f aca="false">IF((D71="i"),F71," ")</f>
        <v> </v>
      </c>
      <c r="Q71" s="180" t="str">
        <f aca="false">IF((D71="b"),F71," ")</f>
        <v> </v>
      </c>
      <c r="R71" s="180" t="str">
        <f aca="false">IF((D71="o"),F71," ")</f>
        <v> </v>
      </c>
      <c r="S71" s="180" t="str">
        <f aca="false">IF((D71="f"),F71," ")</f>
        <v> </v>
      </c>
      <c r="U71" s="371"/>
    </row>
    <row r="72" customFormat="false" ht="12.75" hidden="false" customHeight="false" outlineLevel="0" collapsed="false">
      <c r="D72" s="371" t="str">
        <f aca="false">IF((F72&lt;&gt;0),"Enter Letter"," ")</f>
        <v> </v>
      </c>
      <c r="G72" s="180" t="str">
        <f aca="false">IF((D72="d"),F72," ")</f>
        <v> </v>
      </c>
      <c r="H72" s="180" t="str">
        <f aca="false">IF((D72="h"),F72," ")</f>
        <v> </v>
      </c>
      <c r="I72" s="180" t="str">
        <f aca="false">IF((D72="r"),F72," ")</f>
        <v> </v>
      </c>
      <c r="J72" s="180" t="str">
        <f aca="false">IF((D72="t"),F72," ")</f>
        <v> </v>
      </c>
      <c r="K72" s="180" t="str">
        <f aca="false">IF((D72="e"),F72," ")</f>
        <v> </v>
      </c>
      <c r="L72" s="180" t="str">
        <f aca="false">IF((D72="p"),F72," ")</f>
        <v> </v>
      </c>
      <c r="M72" s="180" t="str">
        <f aca="false">IF((D72="g"),F72," ")</f>
        <v> </v>
      </c>
      <c r="N72" s="180" t="str">
        <f aca="false">IF((D72="a"),F72," ")</f>
        <v> </v>
      </c>
      <c r="O72" s="180" t="str">
        <f aca="false">IF((D72="l"),F72," ")</f>
        <v> </v>
      </c>
      <c r="P72" s="180" t="str">
        <f aca="false">IF((D72="i"),F72," ")</f>
        <v> </v>
      </c>
      <c r="Q72" s="180" t="str">
        <f aca="false">IF((D72="b"),F72," ")</f>
        <v> </v>
      </c>
      <c r="R72" s="180" t="str">
        <f aca="false">IF((D72="o"),F72," ")</f>
        <v> </v>
      </c>
      <c r="S72" s="180" t="str">
        <f aca="false">IF((D72="f"),F72," ")</f>
        <v> </v>
      </c>
      <c r="U72" s="371"/>
    </row>
    <row r="73" customFormat="false" ht="12.75" hidden="false" customHeight="false" outlineLevel="0" collapsed="false">
      <c r="D73" s="371" t="str">
        <f aca="false">IF((F73&lt;&gt;0),"Enter Letter"," ")</f>
        <v> </v>
      </c>
      <c r="G73" s="180" t="str">
        <f aca="false">IF((D73="d"),F73," ")</f>
        <v> </v>
      </c>
      <c r="H73" s="180" t="str">
        <f aca="false">IF((D73="h"),F73," ")</f>
        <v> </v>
      </c>
      <c r="I73" s="180" t="str">
        <f aca="false">IF((D73="r"),F73," ")</f>
        <v> </v>
      </c>
      <c r="J73" s="180" t="str">
        <f aca="false">IF((D73="t"),F73," ")</f>
        <v> </v>
      </c>
      <c r="K73" s="180" t="str">
        <f aca="false">IF((D73="e"),F73," ")</f>
        <v> </v>
      </c>
      <c r="L73" s="180" t="str">
        <f aca="false">IF((D73="p"),F73," ")</f>
        <v> </v>
      </c>
      <c r="M73" s="180" t="str">
        <f aca="false">IF((D73="g"),F73," ")</f>
        <v> </v>
      </c>
      <c r="N73" s="180" t="str">
        <f aca="false">IF((D73="a"),F73," ")</f>
        <v> </v>
      </c>
      <c r="O73" s="180" t="str">
        <f aca="false">IF((D73="l"),F73," ")</f>
        <v> </v>
      </c>
      <c r="P73" s="180" t="str">
        <f aca="false">IF((D73="i"),F73," ")</f>
        <v> </v>
      </c>
      <c r="Q73" s="180" t="str">
        <f aca="false">IF((D73="b"),F73," ")</f>
        <v> </v>
      </c>
      <c r="R73" s="180" t="str">
        <f aca="false">IF((D73="o"),F73," ")</f>
        <v> </v>
      </c>
      <c r="S73" s="180" t="str">
        <f aca="false">IF((D73="f"),F73," ")</f>
        <v> </v>
      </c>
      <c r="U73" s="371"/>
    </row>
    <row r="74" customFormat="false" ht="12.75" hidden="false" customHeight="false" outlineLevel="0" collapsed="false">
      <c r="D74" s="371" t="str">
        <f aca="false">IF((F74&lt;&gt;0),"Enter Letter"," ")</f>
        <v> </v>
      </c>
      <c r="G74" s="180" t="str">
        <f aca="false">IF((D74="d"),F74," ")</f>
        <v> </v>
      </c>
      <c r="H74" s="180" t="str">
        <f aca="false">IF((D74="h"),F74," ")</f>
        <v> </v>
      </c>
      <c r="I74" s="180" t="str">
        <f aca="false">IF((D74="r"),F74," ")</f>
        <v> </v>
      </c>
      <c r="J74" s="180" t="str">
        <f aca="false">IF((D74="t"),F74," ")</f>
        <v> </v>
      </c>
      <c r="K74" s="180" t="str">
        <f aca="false">IF((D74="e"),F74," ")</f>
        <v> </v>
      </c>
      <c r="L74" s="180" t="str">
        <f aca="false">IF((D74="p"),F74," ")</f>
        <v> </v>
      </c>
      <c r="M74" s="180" t="str">
        <f aca="false">IF((D74="g"),F74," ")</f>
        <v> </v>
      </c>
      <c r="N74" s="180" t="str">
        <f aca="false">IF((D74="a"),F74," ")</f>
        <v> </v>
      </c>
      <c r="O74" s="180" t="str">
        <f aca="false">IF((D74="l"),F74," ")</f>
        <v> </v>
      </c>
      <c r="P74" s="180" t="str">
        <f aca="false">IF((D74="i"),F74," ")</f>
        <v> </v>
      </c>
      <c r="Q74" s="180" t="str">
        <f aca="false">IF((D74="b"),F74," ")</f>
        <v> </v>
      </c>
      <c r="R74" s="180" t="str">
        <f aca="false">IF((D74="o"),F74," ")</f>
        <v> </v>
      </c>
      <c r="S74" s="180" t="str">
        <f aca="false">IF((D74="f"),F74," ")</f>
        <v> </v>
      </c>
      <c r="U74" s="371"/>
    </row>
    <row r="75" customFormat="false" ht="12.75" hidden="false" customHeight="false" outlineLevel="0" collapsed="false">
      <c r="D75" s="371" t="str">
        <f aca="false">IF((F75&lt;&gt;0),"Enter Letter"," ")</f>
        <v> </v>
      </c>
      <c r="G75" s="180" t="str">
        <f aca="false">IF((D75="d"),F75," ")</f>
        <v> </v>
      </c>
      <c r="H75" s="180" t="str">
        <f aca="false">IF((D75="h"),F75," ")</f>
        <v> </v>
      </c>
      <c r="I75" s="180" t="str">
        <f aca="false">IF((D75="r"),F75," ")</f>
        <v> </v>
      </c>
      <c r="J75" s="180" t="str">
        <f aca="false">IF((D75="t"),F75," ")</f>
        <v> </v>
      </c>
      <c r="K75" s="180" t="str">
        <f aca="false">IF((D75="e"),F75," ")</f>
        <v> </v>
      </c>
      <c r="L75" s="180" t="str">
        <f aca="false">IF((D75="p"),F75," ")</f>
        <v> </v>
      </c>
      <c r="M75" s="180" t="str">
        <f aca="false">IF((D75="g"),F75," ")</f>
        <v> </v>
      </c>
      <c r="N75" s="180" t="str">
        <f aca="false">IF((D75="a"),F75," ")</f>
        <v> </v>
      </c>
      <c r="O75" s="180" t="str">
        <f aca="false">IF((D75="l"),F75," ")</f>
        <v> </v>
      </c>
      <c r="P75" s="180" t="str">
        <f aca="false">IF((D75="i"),F75," ")</f>
        <v> </v>
      </c>
      <c r="Q75" s="180" t="str">
        <f aca="false">IF((D75="b"),F75," ")</f>
        <v> </v>
      </c>
      <c r="R75" s="180" t="str">
        <f aca="false">IF((D75="o"),F75," ")</f>
        <v> </v>
      </c>
      <c r="S75" s="180" t="str">
        <f aca="false">IF((D75="f"),F75," ")</f>
        <v> </v>
      </c>
      <c r="U75" s="371"/>
    </row>
    <row r="76" customFormat="false" ht="12.75" hidden="false" customHeight="false" outlineLevel="0" collapsed="false">
      <c r="D76" s="371" t="str">
        <f aca="false">IF((F76&lt;&gt;0),"Enter Letter"," ")</f>
        <v> </v>
      </c>
      <c r="G76" s="180" t="str">
        <f aca="false">IF((D76="d"),F76," ")</f>
        <v> </v>
      </c>
      <c r="H76" s="180" t="str">
        <f aca="false">IF((D76="h"),F76," ")</f>
        <v> </v>
      </c>
      <c r="I76" s="180" t="str">
        <f aca="false">IF((D76="r"),F76," ")</f>
        <v> </v>
      </c>
      <c r="J76" s="180" t="str">
        <f aca="false">IF((D76="t"),F76," ")</f>
        <v> </v>
      </c>
      <c r="K76" s="180" t="str">
        <f aca="false">IF((D76="e"),F76," ")</f>
        <v> </v>
      </c>
      <c r="L76" s="180" t="str">
        <f aca="false">IF((D76="p"),F76," ")</f>
        <v> </v>
      </c>
      <c r="M76" s="180" t="str">
        <f aca="false">IF((D76="g"),F76," ")</f>
        <v> </v>
      </c>
      <c r="N76" s="180" t="str">
        <f aca="false">IF((D76="a"),F76," ")</f>
        <v> </v>
      </c>
      <c r="O76" s="180" t="str">
        <f aca="false">IF((D76="l"),F76," ")</f>
        <v> </v>
      </c>
      <c r="P76" s="180" t="str">
        <f aca="false">IF((D76="i"),F76," ")</f>
        <v> </v>
      </c>
      <c r="Q76" s="180" t="str">
        <f aca="false">IF((D76="b"),F76," ")</f>
        <v> </v>
      </c>
      <c r="R76" s="180" t="str">
        <f aca="false">IF((D76="o"),F76," ")</f>
        <v> </v>
      </c>
      <c r="S76" s="180" t="str">
        <f aca="false">IF((D76="f"),F76," ")</f>
        <v> </v>
      </c>
      <c r="U76" s="371"/>
    </row>
    <row r="77" customFormat="false" ht="12.75" hidden="false" customHeight="false" outlineLevel="0" collapsed="false">
      <c r="D77" s="371" t="str">
        <f aca="false">IF((F77&lt;&gt;0),"Enter Letter"," ")</f>
        <v> </v>
      </c>
      <c r="G77" s="180" t="str">
        <f aca="false">IF((D77="d"),F77," ")</f>
        <v> </v>
      </c>
      <c r="H77" s="180" t="str">
        <f aca="false">IF((D77="h"),F77," ")</f>
        <v> </v>
      </c>
      <c r="I77" s="180" t="str">
        <f aca="false">IF((D77="r"),F77," ")</f>
        <v> </v>
      </c>
      <c r="J77" s="180" t="str">
        <f aca="false">IF((D77="t"),F77," ")</f>
        <v> </v>
      </c>
      <c r="K77" s="180" t="str">
        <f aca="false">IF((D77="e"),F77," ")</f>
        <v> </v>
      </c>
      <c r="L77" s="180" t="str">
        <f aca="false">IF((D77="p"),F77," ")</f>
        <v> </v>
      </c>
      <c r="M77" s="180" t="str">
        <f aca="false">IF((D77="g"),F77," ")</f>
        <v> </v>
      </c>
      <c r="N77" s="180" t="str">
        <f aca="false">IF((D77="a"),F77," ")</f>
        <v> </v>
      </c>
      <c r="O77" s="180" t="str">
        <f aca="false">IF((D77="l"),F77," ")</f>
        <v> </v>
      </c>
      <c r="P77" s="180" t="str">
        <f aca="false">IF((D77="i"),F77," ")</f>
        <v> </v>
      </c>
      <c r="Q77" s="180" t="str">
        <f aca="false">IF((D77="b"),F77," ")</f>
        <v> </v>
      </c>
      <c r="R77" s="180" t="str">
        <f aca="false">IF((D77="o"),F77," ")</f>
        <v> </v>
      </c>
      <c r="S77" s="180" t="str">
        <f aca="false">IF((D77="f"),F77," ")</f>
        <v> </v>
      </c>
      <c r="U77" s="371"/>
    </row>
    <row r="78" customFormat="false" ht="12.75" hidden="false" customHeight="false" outlineLevel="0" collapsed="false">
      <c r="D78" s="371" t="str">
        <f aca="false">IF((F78&lt;&gt;0),"Enter Letter"," ")</f>
        <v> </v>
      </c>
      <c r="G78" s="180" t="str">
        <f aca="false">IF((D78="d"),F78," ")</f>
        <v> </v>
      </c>
      <c r="H78" s="180" t="str">
        <f aca="false">IF((D78="h"),F78," ")</f>
        <v> </v>
      </c>
      <c r="I78" s="180" t="str">
        <f aca="false">IF((D78="r"),F78," ")</f>
        <v> </v>
      </c>
      <c r="J78" s="180" t="str">
        <f aca="false">IF((D78="t"),F78," ")</f>
        <v> </v>
      </c>
      <c r="K78" s="180" t="str">
        <f aca="false">IF((D78="e"),F78," ")</f>
        <v> </v>
      </c>
      <c r="L78" s="180" t="str">
        <f aca="false">IF((D78="p"),F78," ")</f>
        <v> </v>
      </c>
      <c r="M78" s="180" t="str">
        <f aca="false">IF((D78="g"),F78," ")</f>
        <v> </v>
      </c>
      <c r="N78" s="180" t="str">
        <f aca="false">IF((D78="a"),F78," ")</f>
        <v> </v>
      </c>
      <c r="O78" s="180" t="str">
        <f aca="false">IF((D78="l"),F78," ")</f>
        <v> </v>
      </c>
      <c r="P78" s="180" t="str">
        <f aca="false">IF((D78="i"),F78," ")</f>
        <v> </v>
      </c>
      <c r="Q78" s="180" t="str">
        <f aca="false">IF((D78="b"),F78," ")</f>
        <v> </v>
      </c>
      <c r="R78" s="180" t="str">
        <f aca="false">IF((D78="o"),F78," ")</f>
        <v> </v>
      </c>
      <c r="S78" s="180" t="str">
        <f aca="false">IF((D78="f"),F78," ")</f>
        <v> </v>
      </c>
      <c r="U78" s="371"/>
    </row>
    <row r="79" customFormat="false" ht="12.75" hidden="false" customHeight="false" outlineLevel="0" collapsed="false">
      <c r="D79" s="371" t="str">
        <f aca="false">IF((F79&lt;&gt;0),"Enter Letter"," ")</f>
        <v> </v>
      </c>
      <c r="G79" s="180" t="str">
        <f aca="false">IF((D79="d"),F79," ")</f>
        <v> </v>
      </c>
      <c r="H79" s="180" t="str">
        <f aca="false">IF((D79="h"),F79," ")</f>
        <v> </v>
      </c>
      <c r="I79" s="180" t="str">
        <f aca="false">IF((D79="r"),F79," ")</f>
        <v> </v>
      </c>
      <c r="J79" s="180" t="str">
        <f aca="false">IF((D79="t"),F79," ")</f>
        <v> </v>
      </c>
      <c r="K79" s="180" t="str">
        <f aca="false">IF((D79="e"),F79," ")</f>
        <v> </v>
      </c>
      <c r="L79" s="180" t="str">
        <f aca="false">IF((D79="p"),F79," ")</f>
        <v> </v>
      </c>
      <c r="M79" s="180" t="str">
        <f aca="false">IF((D79="g"),F79," ")</f>
        <v> </v>
      </c>
      <c r="N79" s="180" t="str">
        <f aca="false">IF((D79="a"),F79," ")</f>
        <v> </v>
      </c>
      <c r="O79" s="180" t="str">
        <f aca="false">IF((D79="l"),F79," ")</f>
        <v> </v>
      </c>
      <c r="P79" s="180" t="str">
        <f aca="false">IF((D79="i"),F79," ")</f>
        <v> </v>
      </c>
      <c r="Q79" s="180" t="str">
        <f aca="false">IF((D79="b"),F79," ")</f>
        <v> </v>
      </c>
      <c r="R79" s="180" t="str">
        <f aca="false">IF((D79="o"),F79," ")</f>
        <v> </v>
      </c>
      <c r="S79" s="180" t="str">
        <f aca="false">IF((D79="f"),F79," ")</f>
        <v> </v>
      </c>
      <c r="U79" s="371"/>
    </row>
    <row r="80" customFormat="false" ht="12.75" hidden="false" customHeight="false" outlineLevel="0" collapsed="false">
      <c r="D80" s="371" t="str">
        <f aca="false">IF((F80&lt;&gt;0),"Enter Letter"," ")</f>
        <v> </v>
      </c>
      <c r="G80" s="180" t="str">
        <f aca="false">IF((D80="d"),F80," ")</f>
        <v> </v>
      </c>
      <c r="H80" s="180" t="str">
        <f aca="false">IF((D80="h"),F80," ")</f>
        <v> </v>
      </c>
      <c r="I80" s="180" t="str">
        <f aca="false">IF((D80="r"),F80," ")</f>
        <v> </v>
      </c>
      <c r="J80" s="180" t="str">
        <f aca="false">IF((D80="t"),F80," ")</f>
        <v> </v>
      </c>
      <c r="K80" s="180" t="str">
        <f aca="false">IF((D80="e"),F80," ")</f>
        <v> </v>
      </c>
      <c r="L80" s="180" t="str">
        <f aca="false">IF((D80="p"),F80," ")</f>
        <v> </v>
      </c>
      <c r="M80" s="180" t="str">
        <f aca="false">IF((D80="g"),F80," ")</f>
        <v> </v>
      </c>
      <c r="N80" s="180" t="str">
        <f aca="false">IF((D80="a"),F80," ")</f>
        <v> </v>
      </c>
      <c r="O80" s="180" t="str">
        <f aca="false">IF((D80="l"),F80," ")</f>
        <v> </v>
      </c>
      <c r="P80" s="180" t="str">
        <f aca="false">IF((D80="i"),F80," ")</f>
        <v> </v>
      </c>
      <c r="Q80" s="180" t="str">
        <f aca="false">IF((D80="b"),F80," ")</f>
        <v> </v>
      </c>
      <c r="R80" s="180" t="str">
        <f aca="false">IF((D80="o"),F80," ")</f>
        <v> </v>
      </c>
      <c r="S80" s="180" t="str">
        <f aca="false">IF((D80="f"),F80," ")</f>
        <v> </v>
      </c>
      <c r="U80" s="371"/>
    </row>
    <row r="81" customFormat="false" ht="12.75" hidden="false" customHeight="false" outlineLevel="0" collapsed="false">
      <c r="D81" s="371" t="str">
        <f aca="false">IF((F81&lt;&gt;0),"Enter Letter"," ")</f>
        <v> </v>
      </c>
      <c r="G81" s="180" t="str">
        <f aca="false">IF((D81="d"),F81," ")</f>
        <v> </v>
      </c>
      <c r="H81" s="180" t="str">
        <f aca="false">IF((D81="h"),F81," ")</f>
        <v> </v>
      </c>
      <c r="I81" s="180" t="str">
        <f aca="false">IF((D81="r"),F81," ")</f>
        <v> </v>
      </c>
      <c r="J81" s="180" t="str">
        <f aca="false">IF((D81="t"),F81," ")</f>
        <v> </v>
      </c>
      <c r="K81" s="180" t="str">
        <f aca="false">IF((D81="e"),F81," ")</f>
        <v> </v>
      </c>
      <c r="L81" s="180" t="str">
        <f aca="false">IF((D81="p"),F81," ")</f>
        <v> </v>
      </c>
      <c r="M81" s="180" t="str">
        <f aca="false">IF((D81="g"),F81," ")</f>
        <v> </v>
      </c>
      <c r="N81" s="180" t="str">
        <f aca="false">IF((D81="a"),F81," ")</f>
        <v> </v>
      </c>
      <c r="O81" s="180" t="str">
        <f aca="false">IF((D81="l"),F81," ")</f>
        <v> </v>
      </c>
      <c r="P81" s="180" t="str">
        <f aca="false">IF((D81="i"),F81," ")</f>
        <v> </v>
      </c>
      <c r="Q81" s="180" t="str">
        <f aca="false">IF((D81="b"),F81," ")</f>
        <v> </v>
      </c>
      <c r="R81" s="180" t="str">
        <f aca="false">IF((D81="o"),F81," ")</f>
        <v> </v>
      </c>
      <c r="S81" s="180" t="str">
        <f aca="false">IF((D81="f"),F81," ")</f>
        <v> </v>
      </c>
      <c r="U81" s="371"/>
    </row>
    <row r="82" customFormat="false" ht="12.75" hidden="false" customHeight="false" outlineLevel="0" collapsed="false">
      <c r="D82" s="371" t="str">
        <f aca="false">IF((F82&lt;&gt;0),"Enter Letter"," ")</f>
        <v> </v>
      </c>
      <c r="G82" s="180" t="str">
        <f aca="false">IF((D82="d"),F82," ")</f>
        <v> </v>
      </c>
      <c r="H82" s="180" t="str">
        <f aca="false">IF((D82="h"),F82," ")</f>
        <v> </v>
      </c>
      <c r="I82" s="180" t="str">
        <f aca="false">IF((D82="r"),F82," ")</f>
        <v> </v>
      </c>
      <c r="J82" s="180" t="str">
        <f aca="false">IF((D82="t"),F82," ")</f>
        <v> </v>
      </c>
      <c r="K82" s="180" t="str">
        <f aca="false">IF((D82="e"),F82," ")</f>
        <v> </v>
      </c>
      <c r="L82" s="180" t="str">
        <f aca="false">IF((D82="p"),F82," ")</f>
        <v> </v>
      </c>
      <c r="M82" s="180" t="str">
        <f aca="false">IF((D82="g"),F82," ")</f>
        <v> </v>
      </c>
      <c r="N82" s="180" t="str">
        <f aca="false">IF((D82="a"),F82," ")</f>
        <v> </v>
      </c>
      <c r="O82" s="180" t="str">
        <f aca="false">IF((D82="l"),F82," ")</f>
        <v> </v>
      </c>
      <c r="P82" s="180" t="str">
        <f aca="false">IF((D82="i"),F82," ")</f>
        <v> </v>
      </c>
      <c r="Q82" s="180" t="str">
        <f aca="false">IF((D82="b"),F82," ")</f>
        <v> </v>
      </c>
      <c r="R82" s="180" t="str">
        <f aca="false">IF((D82="o"),F82," ")</f>
        <v> </v>
      </c>
      <c r="S82" s="180" t="str">
        <f aca="false">IF((D82="f"),F82," ")</f>
        <v> </v>
      </c>
      <c r="U82" s="371"/>
    </row>
    <row r="83" customFormat="false" ht="12.75" hidden="false" customHeight="false" outlineLevel="0" collapsed="false">
      <c r="D83" s="371" t="str">
        <f aca="false">IF((F83&lt;&gt;0),"Enter Letter"," ")</f>
        <v> </v>
      </c>
      <c r="G83" s="180" t="str">
        <f aca="false">IF((D83="d"),F83," ")</f>
        <v> </v>
      </c>
      <c r="H83" s="180" t="str">
        <f aca="false">IF((D83="h"),F83," ")</f>
        <v> </v>
      </c>
      <c r="I83" s="180" t="str">
        <f aca="false">IF((D83="r"),F83," ")</f>
        <v> </v>
      </c>
      <c r="J83" s="180" t="str">
        <f aca="false">IF((D83="t"),F83," ")</f>
        <v> </v>
      </c>
      <c r="K83" s="180" t="str">
        <f aca="false">IF((D83="e"),F83," ")</f>
        <v> </v>
      </c>
      <c r="L83" s="180" t="str">
        <f aca="false">IF((D83="p"),F83," ")</f>
        <v> </v>
      </c>
      <c r="M83" s="180" t="str">
        <f aca="false">IF((D83="g"),F83," ")</f>
        <v> </v>
      </c>
      <c r="N83" s="180" t="str">
        <f aca="false">IF((D83="a"),F83," ")</f>
        <v> </v>
      </c>
      <c r="O83" s="180" t="str">
        <f aca="false">IF((D83="l"),F83," ")</f>
        <v> </v>
      </c>
      <c r="P83" s="180" t="str">
        <f aca="false">IF((D83="i"),F83," ")</f>
        <v> </v>
      </c>
      <c r="Q83" s="180" t="str">
        <f aca="false">IF((D83="b"),F83," ")</f>
        <v> </v>
      </c>
      <c r="R83" s="180" t="str">
        <f aca="false">IF((D83="o"),F83," ")</f>
        <v> </v>
      </c>
      <c r="S83" s="180" t="str">
        <f aca="false">IF((D83="f"),F83," ")</f>
        <v> </v>
      </c>
      <c r="U83" s="371"/>
    </row>
    <row r="84" customFormat="false" ht="12.75" hidden="false" customHeight="false" outlineLevel="0" collapsed="false">
      <c r="D84" s="371" t="str">
        <f aca="false">IF((F84&lt;&gt;0),"Enter Letter"," ")</f>
        <v> </v>
      </c>
      <c r="G84" s="180" t="str">
        <f aca="false">IF((D84="d"),F84," ")</f>
        <v> </v>
      </c>
      <c r="H84" s="180" t="str">
        <f aca="false">IF((D84="h"),F84," ")</f>
        <v> </v>
      </c>
      <c r="I84" s="180" t="str">
        <f aca="false">IF((D84="r"),F84," ")</f>
        <v> </v>
      </c>
      <c r="J84" s="180" t="str">
        <f aca="false">IF((D84="t"),F84," ")</f>
        <v> </v>
      </c>
      <c r="K84" s="180" t="str">
        <f aca="false">IF((D84="e"),F84," ")</f>
        <v> </v>
      </c>
      <c r="L84" s="180" t="str">
        <f aca="false">IF((D84="p"),F84," ")</f>
        <v> </v>
      </c>
      <c r="M84" s="180" t="str">
        <f aca="false">IF((D84="g"),F84," ")</f>
        <v> </v>
      </c>
      <c r="N84" s="180" t="str">
        <f aca="false">IF((D84="a"),F84," ")</f>
        <v> </v>
      </c>
      <c r="O84" s="180" t="str">
        <f aca="false">IF((D84="l"),F84," ")</f>
        <v> </v>
      </c>
      <c r="P84" s="180" t="str">
        <f aca="false">IF((D84="i"),F84," ")</f>
        <v> </v>
      </c>
      <c r="Q84" s="180" t="str">
        <f aca="false">IF((D84="b"),F84," ")</f>
        <v> </v>
      </c>
      <c r="R84" s="180" t="str">
        <f aca="false">IF((D84="o"),F84," ")</f>
        <v> </v>
      </c>
      <c r="S84" s="180" t="str">
        <f aca="false">IF((D84="f"),F84," ")</f>
        <v> </v>
      </c>
      <c r="U84" s="371"/>
    </row>
    <row r="85" customFormat="false" ht="12.75" hidden="false" customHeight="false" outlineLevel="0" collapsed="false">
      <c r="D85" s="371" t="str">
        <f aca="false">IF((F85&lt;&gt;0),"Enter Letter"," ")</f>
        <v> </v>
      </c>
      <c r="G85" s="180" t="str">
        <f aca="false">IF((D85="d"),F85," ")</f>
        <v> </v>
      </c>
      <c r="H85" s="180" t="str">
        <f aca="false">IF((D85="h"),F85," ")</f>
        <v> </v>
      </c>
      <c r="I85" s="180" t="str">
        <f aca="false">IF((D85="r"),F85," ")</f>
        <v> </v>
      </c>
      <c r="J85" s="180" t="str">
        <f aca="false">IF((D85="t"),F85," ")</f>
        <v> </v>
      </c>
      <c r="K85" s="180" t="str">
        <f aca="false">IF((D85="e"),F85," ")</f>
        <v> </v>
      </c>
      <c r="L85" s="180" t="str">
        <f aca="false">IF((D85="p"),F85," ")</f>
        <v> </v>
      </c>
      <c r="M85" s="180" t="str">
        <f aca="false">IF((D85="g"),F85," ")</f>
        <v> </v>
      </c>
      <c r="N85" s="180" t="str">
        <f aca="false">IF((D85="a"),F85," ")</f>
        <v> </v>
      </c>
      <c r="O85" s="180" t="str">
        <f aca="false">IF((D85="l"),F85," ")</f>
        <v> </v>
      </c>
      <c r="P85" s="180" t="str">
        <f aca="false">IF((D85="i"),F85," ")</f>
        <v> </v>
      </c>
      <c r="Q85" s="180" t="str">
        <f aca="false">IF((D85="b"),F85," ")</f>
        <v> </v>
      </c>
      <c r="R85" s="180" t="str">
        <f aca="false">IF((D85="o"),F85," ")</f>
        <v> </v>
      </c>
      <c r="S85" s="180" t="str">
        <f aca="false">IF((D85="f"),F85," ")</f>
        <v> </v>
      </c>
      <c r="U85" s="371"/>
    </row>
    <row r="86" customFormat="false" ht="12.75" hidden="false" customHeight="false" outlineLevel="0" collapsed="false">
      <c r="D86" s="371" t="str">
        <f aca="false">IF((F86&lt;&gt;0),"Enter Letter"," ")</f>
        <v> </v>
      </c>
      <c r="G86" s="180" t="str">
        <f aca="false">IF((D86="d"),F86," ")</f>
        <v> </v>
      </c>
      <c r="H86" s="180" t="str">
        <f aca="false">IF((D86="h"),F86," ")</f>
        <v> </v>
      </c>
      <c r="I86" s="180" t="str">
        <f aca="false">IF((D86="r"),F86," ")</f>
        <v> </v>
      </c>
      <c r="J86" s="180" t="str">
        <f aca="false">IF((D86="t"),F86," ")</f>
        <v> </v>
      </c>
      <c r="K86" s="180" t="str">
        <f aca="false">IF((D86="e"),F86," ")</f>
        <v> </v>
      </c>
      <c r="L86" s="180" t="str">
        <f aca="false">IF((D86="p"),F86," ")</f>
        <v> </v>
      </c>
      <c r="M86" s="180" t="str">
        <f aca="false">IF((D86="g"),F86," ")</f>
        <v> </v>
      </c>
      <c r="N86" s="180" t="str">
        <f aca="false">IF((D86="a"),F86," ")</f>
        <v> </v>
      </c>
      <c r="O86" s="180" t="str">
        <f aca="false">IF((D86="l"),F86," ")</f>
        <v> </v>
      </c>
      <c r="P86" s="180" t="str">
        <f aca="false">IF((D86="i"),F86," ")</f>
        <v> </v>
      </c>
      <c r="Q86" s="180" t="str">
        <f aca="false">IF((D86="b"),F86," ")</f>
        <v> </v>
      </c>
      <c r="R86" s="180" t="str">
        <f aca="false">IF((D86="o"),F86," ")</f>
        <v> </v>
      </c>
      <c r="S86" s="180" t="str">
        <f aca="false">IF((D86="f"),F86," ")</f>
        <v> </v>
      </c>
      <c r="U86" s="371"/>
    </row>
    <row r="87" customFormat="false" ht="12.75" hidden="false" customHeight="false" outlineLevel="0" collapsed="false">
      <c r="D87" s="371" t="str">
        <f aca="false">IF((F87&lt;&gt;0),"Enter Letter"," ")</f>
        <v> </v>
      </c>
      <c r="G87" s="180" t="str">
        <f aca="false">IF((D87="d"),F87," ")</f>
        <v> </v>
      </c>
      <c r="H87" s="180" t="str">
        <f aca="false">IF((D87="h"),F87," ")</f>
        <v> </v>
      </c>
      <c r="I87" s="180" t="str">
        <f aca="false">IF((D87="r"),F87," ")</f>
        <v> </v>
      </c>
      <c r="J87" s="180" t="str">
        <f aca="false">IF((D87="t"),F87," ")</f>
        <v> </v>
      </c>
      <c r="K87" s="180" t="str">
        <f aca="false">IF((D87="e"),F87," ")</f>
        <v> </v>
      </c>
      <c r="L87" s="180" t="str">
        <f aca="false">IF((D87="p"),F87," ")</f>
        <v> </v>
      </c>
      <c r="M87" s="180" t="str">
        <f aca="false">IF((D87="g"),F87," ")</f>
        <v> </v>
      </c>
      <c r="N87" s="180" t="str">
        <f aca="false">IF((D87="a"),F87," ")</f>
        <v> </v>
      </c>
      <c r="O87" s="180" t="str">
        <f aca="false">IF((D87="l"),F87," ")</f>
        <v> </v>
      </c>
      <c r="P87" s="180" t="str">
        <f aca="false">IF((D87="i"),F87," ")</f>
        <v> </v>
      </c>
      <c r="Q87" s="180" t="str">
        <f aca="false">IF((D87="b"),F87," ")</f>
        <v> </v>
      </c>
      <c r="R87" s="180" t="str">
        <f aca="false">IF((D87="o"),F87," ")</f>
        <v> </v>
      </c>
      <c r="S87" s="180" t="str">
        <f aca="false">IF((D87="f"),F87," ")</f>
        <v> </v>
      </c>
      <c r="U87" s="371"/>
    </row>
    <row r="88" customFormat="false" ht="12.75" hidden="false" customHeight="false" outlineLevel="0" collapsed="false">
      <c r="D88" s="371" t="str">
        <f aca="false">IF((F88&lt;&gt;0),"Enter Letter"," ")</f>
        <v> </v>
      </c>
      <c r="G88" s="180" t="str">
        <f aca="false">IF((D88="d"),F88," ")</f>
        <v> </v>
      </c>
      <c r="H88" s="180" t="str">
        <f aca="false">IF((D88="h"),F88," ")</f>
        <v> </v>
      </c>
      <c r="I88" s="180" t="str">
        <f aca="false">IF((D88="r"),F88," ")</f>
        <v> </v>
      </c>
      <c r="J88" s="180" t="str">
        <f aca="false">IF((D88="t"),F88," ")</f>
        <v> </v>
      </c>
      <c r="K88" s="180" t="str">
        <f aca="false">IF((D88="e"),F88," ")</f>
        <v> </v>
      </c>
      <c r="L88" s="180" t="str">
        <f aca="false">IF((D88="p"),F88," ")</f>
        <v> </v>
      </c>
      <c r="M88" s="180" t="str">
        <f aca="false">IF((D88="g"),F88," ")</f>
        <v> </v>
      </c>
      <c r="N88" s="180" t="str">
        <f aca="false">IF((D88="a"),F88," ")</f>
        <v> </v>
      </c>
      <c r="O88" s="180" t="str">
        <f aca="false">IF((D88="l"),F88," ")</f>
        <v> </v>
      </c>
      <c r="P88" s="180" t="str">
        <f aca="false">IF((D88="i"),F88," ")</f>
        <v> </v>
      </c>
      <c r="Q88" s="180" t="str">
        <f aca="false">IF((D88="b"),F88," ")</f>
        <v> </v>
      </c>
      <c r="R88" s="180" t="str">
        <f aca="false">IF((D88="o"),F88," ")</f>
        <v> </v>
      </c>
      <c r="S88" s="180" t="str">
        <f aca="false">IF((D88="f"),F88," ")</f>
        <v> </v>
      </c>
      <c r="U88" s="371"/>
    </row>
    <row r="89" customFormat="false" ht="12.75" hidden="false" customHeight="false" outlineLevel="0" collapsed="false">
      <c r="D89" s="371" t="str">
        <f aca="false">IF((F89&lt;&gt;0),"Enter Letter"," ")</f>
        <v> </v>
      </c>
      <c r="G89" s="180" t="str">
        <f aca="false">IF((D89="d"),F89," ")</f>
        <v> </v>
      </c>
      <c r="H89" s="180" t="str">
        <f aca="false">IF((D89="h"),F89," ")</f>
        <v> </v>
      </c>
      <c r="I89" s="180" t="str">
        <f aca="false">IF((D89="r"),F89," ")</f>
        <v> </v>
      </c>
      <c r="J89" s="180" t="str">
        <f aca="false">IF((D89="t"),F89," ")</f>
        <v> </v>
      </c>
      <c r="K89" s="180" t="str">
        <f aca="false">IF((D89="e"),F89," ")</f>
        <v> </v>
      </c>
      <c r="L89" s="180" t="str">
        <f aca="false">IF((D89="p"),F89," ")</f>
        <v> </v>
      </c>
      <c r="M89" s="180" t="str">
        <f aca="false">IF((D89="g"),F89," ")</f>
        <v> </v>
      </c>
      <c r="N89" s="180" t="str">
        <f aca="false">IF((D89="a"),F89," ")</f>
        <v> </v>
      </c>
      <c r="O89" s="180" t="str">
        <f aca="false">IF((D89="l"),F89," ")</f>
        <v> </v>
      </c>
      <c r="P89" s="180" t="str">
        <f aca="false">IF((D89="i"),F89," ")</f>
        <v> </v>
      </c>
      <c r="Q89" s="180" t="str">
        <f aca="false">IF((D89="b"),F89," ")</f>
        <v> </v>
      </c>
      <c r="R89" s="180" t="str">
        <f aca="false">IF((D89="o"),F89," ")</f>
        <v> </v>
      </c>
      <c r="S89" s="180" t="str">
        <f aca="false">IF((D89="f"),F89," ")</f>
        <v> </v>
      </c>
      <c r="U89" s="371"/>
    </row>
    <row r="90" customFormat="false" ht="12.75" hidden="false" customHeight="false" outlineLevel="0" collapsed="false">
      <c r="D90" s="371" t="str">
        <f aca="false">IF((F90&lt;&gt;0),"Enter Letter"," ")</f>
        <v> </v>
      </c>
      <c r="G90" s="180" t="str">
        <f aca="false">IF((D90="d"),F90," ")</f>
        <v> </v>
      </c>
      <c r="H90" s="180" t="str">
        <f aca="false">IF((D90="h"),F90," ")</f>
        <v> </v>
      </c>
      <c r="I90" s="180" t="str">
        <f aca="false">IF((D90="r"),F90," ")</f>
        <v> </v>
      </c>
      <c r="J90" s="180" t="str">
        <f aca="false">IF((D90="t"),F90," ")</f>
        <v> </v>
      </c>
      <c r="K90" s="180" t="str">
        <f aca="false">IF((D90="e"),F90," ")</f>
        <v> </v>
      </c>
      <c r="L90" s="180" t="str">
        <f aca="false">IF((D90="p"),F90," ")</f>
        <v> </v>
      </c>
      <c r="M90" s="180" t="str">
        <f aca="false">IF((D90="g"),F90," ")</f>
        <v> </v>
      </c>
      <c r="N90" s="180" t="str">
        <f aca="false">IF((D90="a"),F90," ")</f>
        <v> </v>
      </c>
      <c r="O90" s="180" t="str">
        <f aca="false">IF((D90="l"),F90," ")</f>
        <v> </v>
      </c>
      <c r="P90" s="180" t="str">
        <f aca="false">IF((D90="i"),F90," ")</f>
        <v> </v>
      </c>
      <c r="Q90" s="180" t="str">
        <f aca="false">IF((D90="b"),F90," ")</f>
        <v> </v>
      </c>
      <c r="R90" s="180" t="str">
        <f aca="false">IF((D90="o"),F90," ")</f>
        <v> </v>
      </c>
      <c r="S90" s="180" t="str">
        <f aca="false">IF((D90="f"),F90," ")</f>
        <v> </v>
      </c>
      <c r="U90" s="371"/>
    </row>
    <row r="91" customFormat="false" ht="12.75" hidden="false" customHeight="false" outlineLevel="0" collapsed="false">
      <c r="D91" s="371" t="str">
        <f aca="false">IF((F91&lt;&gt;0),"Enter Letter"," ")</f>
        <v> </v>
      </c>
      <c r="G91" s="180" t="str">
        <f aca="false">IF((D91="d"),F91," ")</f>
        <v> </v>
      </c>
      <c r="H91" s="180" t="str">
        <f aca="false">IF((D91="h"),F91," ")</f>
        <v> </v>
      </c>
      <c r="I91" s="180" t="str">
        <f aca="false">IF((D91="r"),F91," ")</f>
        <v> </v>
      </c>
      <c r="J91" s="180" t="str">
        <f aca="false">IF((D91="t"),F91," ")</f>
        <v> </v>
      </c>
      <c r="K91" s="180" t="str">
        <f aca="false">IF((D91="e"),F91," ")</f>
        <v> </v>
      </c>
      <c r="L91" s="180" t="str">
        <f aca="false">IF((D91="p"),F91," ")</f>
        <v> </v>
      </c>
      <c r="M91" s="180" t="str">
        <f aca="false">IF((D91="g"),F91," ")</f>
        <v> </v>
      </c>
      <c r="N91" s="180" t="str">
        <f aca="false">IF((D91="a"),F91," ")</f>
        <v> </v>
      </c>
      <c r="O91" s="180" t="str">
        <f aca="false">IF((D91="l"),F91," ")</f>
        <v> </v>
      </c>
      <c r="P91" s="180" t="str">
        <f aca="false">IF((D91="i"),F91," ")</f>
        <v> </v>
      </c>
      <c r="Q91" s="180" t="str">
        <f aca="false">IF((D91="b"),F91," ")</f>
        <v> </v>
      </c>
      <c r="R91" s="180" t="str">
        <f aca="false">IF((D91="o"),F91," ")</f>
        <v> </v>
      </c>
      <c r="S91" s="180" t="str">
        <f aca="false">IF((D91="f"),F91," ")</f>
        <v> </v>
      </c>
      <c r="U91" s="371"/>
    </row>
    <row r="92" customFormat="false" ht="12.75" hidden="false" customHeight="false" outlineLevel="0" collapsed="false">
      <c r="D92" s="371" t="str">
        <f aca="false">IF((F92&lt;&gt;0),"Enter Letter"," ")</f>
        <v> </v>
      </c>
      <c r="G92" s="180" t="str">
        <f aca="false">IF((D92="d"),F92," ")</f>
        <v> </v>
      </c>
      <c r="H92" s="180" t="str">
        <f aca="false">IF((D92="h"),F92," ")</f>
        <v> </v>
      </c>
      <c r="I92" s="180" t="str">
        <f aca="false">IF((D92="r"),F92," ")</f>
        <v> </v>
      </c>
      <c r="J92" s="180" t="str">
        <f aca="false">IF((D92="t"),F92," ")</f>
        <v> </v>
      </c>
      <c r="K92" s="180" t="str">
        <f aca="false">IF((D92="e"),F92," ")</f>
        <v> </v>
      </c>
      <c r="L92" s="180" t="str">
        <f aca="false">IF((D92="p"),F92," ")</f>
        <v> </v>
      </c>
      <c r="M92" s="180" t="str">
        <f aca="false">IF((D92="g"),F92," ")</f>
        <v> </v>
      </c>
      <c r="N92" s="180" t="str">
        <f aca="false">IF((D92="a"),F92," ")</f>
        <v> </v>
      </c>
      <c r="O92" s="180" t="str">
        <f aca="false">IF((D92="l"),F92," ")</f>
        <v> </v>
      </c>
      <c r="P92" s="180" t="str">
        <f aca="false">IF((D92="i"),F92," ")</f>
        <v> </v>
      </c>
      <c r="Q92" s="180" t="str">
        <f aca="false">IF((D92="b"),F92," ")</f>
        <v> </v>
      </c>
      <c r="R92" s="180" t="str">
        <f aca="false">IF((D92="o"),F92," ")</f>
        <v> </v>
      </c>
      <c r="S92" s="180" t="str">
        <f aca="false">IF((D92="f"),F92," ")</f>
        <v> </v>
      </c>
      <c r="U92" s="371"/>
    </row>
    <row r="93" customFormat="false" ht="12.75" hidden="false" customHeight="false" outlineLevel="0" collapsed="false">
      <c r="D93" s="371" t="str">
        <f aca="false">IF((F93&lt;&gt;0),"Enter Letter"," ")</f>
        <v> </v>
      </c>
      <c r="G93" s="180" t="str">
        <f aca="false">IF((D93="d"),F93," ")</f>
        <v> </v>
      </c>
      <c r="H93" s="180" t="str">
        <f aca="false">IF((D93="h"),F93," ")</f>
        <v> </v>
      </c>
      <c r="I93" s="180" t="str">
        <f aca="false">IF((D93="r"),F93," ")</f>
        <v> </v>
      </c>
      <c r="J93" s="180" t="str">
        <f aca="false">IF((D93="t"),F93," ")</f>
        <v> </v>
      </c>
      <c r="K93" s="180" t="str">
        <f aca="false">IF((D93="e"),F93," ")</f>
        <v> </v>
      </c>
      <c r="L93" s="180" t="str">
        <f aca="false">IF((D93="p"),F93," ")</f>
        <v> </v>
      </c>
      <c r="M93" s="180" t="str">
        <f aca="false">IF((D93="g"),F93," ")</f>
        <v> </v>
      </c>
      <c r="N93" s="180" t="str">
        <f aca="false">IF((D93="a"),F93," ")</f>
        <v> </v>
      </c>
      <c r="O93" s="180" t="str">
        <f aca="false">IF((D93="l"),F93," ")</f>
        <v> </v>
      </c>
      <c r="P93" s="180" t="str">
        <f aca="false">IF((D93="i"),F93," ")</f>
        <v> </v>
      </c>
      <c r="Q93" s="180" t="str">
        <f aca="false">IF((D93="b"),F93," ")</f>
        <v> </v>
      </c>
      <c r="R93" s="180" t="str">
        <f aca="false">IF((D93="o"),F93," ")</f>
        <v> </v>
      </c>
      <c r="S93" s="180" t="str">
        <f aca="false">IF((D93="f"),F93," ")</f>
        <v> </v>
      </c>
      <c r="U93" s="371"/>
    </row>
    <row r="94" customFormat="false" ht="12.75" hidden="false" customHeight="false" outlineLevel="0" collapsed="false">
      <c r="D94" s="371" t="str">
        <f aca="false">IF((F94&lt;&gt;0),"Enter Letter"," ")</f>
        <v> </v>
      </c>
      <c r="G94" s="180" t="str">
        <f aca="false">IF((D94="d"),F94," ")</f>
        <v> </v>
      </c>
      <c r="H94" s="180" t="str">
        <f aca="false">IF((D94="h"),F94," ")</f>
        <v> </v>
      </c>
      <c r="I94" s="180" t="str">
        <f aca="false">IF((D94="r"),F94," ")</f>
        <v> </v>
      </c>
      <c r="J94" s="180" t="str">
        <f aca="false">IF((D94="t"),F94," ")</f>
        <v> </v>
      </c>
      <c r="K94" s="180" t="str">
        <f aca="false">IF((D94="e"),F94," ")</f>
        <v> </v>
      </c>
      <c r="L94" s="180" t="str">
        <f aca="false">IF((D94="p"),F94," ")</f>
        <v> </v>
      </c>
      <c r="M94" s="180" t="str">
        <f aca="false">IF((D94="g"),F94," ")</f>
        <v> </v>
      </c>
      <c r="N94" s="180" t="str">
        <f aca="false">IF((D94="a"),F94," ")</f>
        <v> </v>
      </c>
      <c r="O94" s="180" t="str">
        <f aca="false">IF((D94="l"),F94," ")</f>
        <v> </v>
      </c>
      <c r="P94" s="180" t="str">
        <f aca="false">IF((D94="i"),F94," ")</f>
        <v> </v>
      </c>
      <c r="Q94" s="180" t="str">
        <f aca="false">IF((D94="b"),F94," ")</f>
        <v> </v>
      </c>
      <c r="R94" s="180" t="str">
        <f aca="false">IF((D94="o"),F94," ")</f>
        <v> </v>
      </c>
      <c r="S94" s="180" t="str">
        <f aca="false">IF((D94="f"),F94," ")</f>
        <v> </v>
      </c>
      <c r="U94" s="371"/>
    </row>
    <row r="95" customFormat="false" ht="12.75" hidden="false" customHeight="false" outlineLevel="0" collapsed="false">
      <c r="D95" s="371" t="str">
        <f aca="false">IF((F95&lt;&gt;0),"Enter Letter"," ")</f>
        <v> </v>
      </c>
      <c r="G95" s="180" t="str">
        <f aca="false">IF((D95="d"),F95," ")</f>
        <v> </v>
      </c>
      <c r="H95" s="180" t="str">
        <f aca="false">IF((D95="h"),F95," ")</f>
        <v> </v>
      </c>
      <c r="I95" s="180" t="str">
        <f aca="false">IF((D95="r"),F95," ")</f>
        <v> </v>
      </c>
      <c r="J95" s="180" t="str">
        <f aca="false">IF((D95="t"),F95," ")</f>
        <v> </v>
      </c>
      <c r="K95" s="180" t="str">
        <f aca="false">IF((D95="e"),F95," ")</f>
        <v> </v>
      </c>
      <c r="L95" s="180" t="str">
        <f aca="false">IF((D95="p"),F95," ")</f>
        <v> </v>
      </c>
      <c r="M95" s="180" t="str">
        <f aca="false">IF((D95="g"),F95," ")</f>
        <v> </v>
      </c>
      <c r="N95" s="180" t="str">
        <f aca="false">IF((D95="a"),F95," ")</f>
        <v> </v>
      </c>
      <c r="O95" s="180" t="str">
        <f aca="false">IF((D95="l"),F95," ")</f>
        <v> </v>
      </c>
      <c r="P95" s="180" t="str">
        <f aca="false">IF((D95="i"),F95," ")</f>
        <v> </v>
      </c>
      <c r="Q95" s="180" t="str">
        <f aca="false">IF((D95="b"),F95," ")</f>
        <v> </v>
      </c>
      <c r="R95" s="180" t="str">
        <f aca="false">IF((D95="o"),F95," ")</f>
        <v> </v>
      </c>
      <c r="S95" s="180" t="str">
        <f aca="false">IF((D95="f"),F95," ")</f>
        <v> </v>
      </c>
      <c r="U95" s="371"/>
    </row>
    <row r="96" customFormat="false" ht="12.75" hidden="false" customHeight="false" outlineLevel="0" collapsed="false">
      <c r="D96" s="371" t="str">
        <f aca="false">IF((F96&lt;&gt;0),"Enter Letter"," ")</f>
        <v> </v>
      </c>
      <c r="G96" s="180" t="str">
        <f aca="false">IF((D96="d"),F96," ")</f>
        <v> </v>
      </c>
      <c r="H96" s="180" t="str">
        <f aca="false">IF((D96="h"),F96," ")</f>
        <v> </v>
      </c>
      <c r="I96" s="180" t="str">
        <f aca="false">IF((D96="r"),F96," ")</f>
        <v> </v>
      </c>
      <c r="J96" s="180" t="str">
        <f aca="false">IF((D96="t"),F96," ")</f>
        <v> </v>
      </c>
      <c r="K96" s="180" t="str">
        <f aca="false">IF((D96="e"),F96," ")</f>
        <v> </v>
      </c>
      <c r="L96" s="180" t="str">
        <f aca="false">IF((D96="p"),F96," ")</f>
        <v> </v>
      </c>
      <c r="M96" s="180" t="str">
        <f aca="false">IF((D96="g"),F96," ")</f>
        <v> </v>
      </c>
      <c r="N96" s="180" t="str">
        <f aca="false">IF((D96="a"),F96," ")</f>
        <v> </v>
      </c>
      <c r="O96" s="180" t="str">
        <f aca="false">IF((D96="l"),F96," ")</f>
        <v> </v>
      </c>
      <c r="P96" s="180" t="str">
        <f aca="false">IF((D96="i"),F96," ")</f>
        <v> </v>
      </c>
      <c r="Q96" s="180" t="str">
        <f aca="false">IF((D96="b"),F96," ")</f>
        <v> </v>
      </c>
      <c r="R96" s="180" t="str">
        <f aca="false">IF((D96="o"),F96," ")</f>
        <v> </v>
      </c>
      <c r="S96" s="180" t="str">
        <f aca="false">IF((D96="f"),F96," ")</f>
        <v> </v>
      </c>
      <c r="U96" s="371"/>
    </row>
    <row r="97" customFormat="false" ht="12.75" hidden="false" customHeight="false" outlineLevel="0" collapsed="false">
      <c r="D97" s="371" t="str">
        <f aca="false">IF((F97&lt;&gt;0),"Enter Letter"," ")</f>
        <v> </v>
      </c>
      <c r="G97" s="180" t="str">
        <f aca="false">IF((D97="d"),F97," ")</f>
        <v> </v>
      </c>
      <c r="H97" s="180" t="str">
        <f aca="false">IF((D97="h"),F97," ")</f>
        <v> </v>
      </c>
      <c r="I97" s="180" t="str">
        <f aca="false">IF((D97="r"),F97," ")</f>
        <v> </v>
      </c>
      <c r="J97" s="180" t="str">
        <f aca="false">IF((D97="t"),F97," ")</f>
        <v> </v>
      </c>
      <c r="K97" s="180" t="str">
        <f aca="false">IF((D97="e"),F97," ")</f>
        <v> </v>
      </c>
      <c r="L97" s="180" t="str">
        <f aca="false">IF((D97="p"),F97," ")</f>
        <v> </v>
      </c>
      <c r="M97" s="180" t="str">
        <f aca="false">IF((D97="g"),F97," ")</f>
        <v> </v>
      </c>
      <c r="N97" s="180" t="str">
        <f aca="false">IF((D97="a"),F97," ")</f>
        <v> </v>
      </c>
      <c r="O97" s="180" t="str">
        <f aca="false">IF((D97="l"),F97," ")</f>
        <v> </v>
      </c>
      <c r="P97" s="180" t="str">
        <f aca="false">IF((D97="i"),F97," ")</f>
        <v> </v>
      </c>
      <c r="Q97" s="180" t="str">
        <f aca="false">IF((D97="b"),F97," ")</f>
        <v> </v>
      </c>
      <c r="R97" s="180" t="str">
        <f aca="false">IF((D97="o"),F97," ")</f>
        <v> </v>
      </c>
      <c r="S97" s="180" t="str">
        <f aca="false">IF((D97="f"),F97," ")</f>
        <v> </v>
      </c>
      <c r="U97" s="371"/>
    </row>
    <row r="98" customFormat="false" ht="12.75" hidden="false" customHeight="false" outlineLevel="0" collapsed="false">
      <c r="D98" s="371" t="str">
        <f aca="false">IF((F98&lt;&gt;0),"Enter Letter"," ")</f>
        <v> </v>
      </c>
      <c r="G98" s="180" t="str">
        <f aca="false">IF((D98="d"),F98," ")</f>
        <v> </v>
      </c>
      <c r="H98" s="180" t="str">
        <f aca="false">IF((D98="h"),F98," ")</f>
        <v> </v>
      </c>
      <c r="I98" s="180" t="str">
        <f aca="false">IF((D98="r"),F98," ")</f>
        <v> </v>
      </c>
      <c r="J98" s="180" t="str">
        <f aca="false">IF((D98="t"),F98," ")</f>
        <v> </v>
      </c>
      <c r="K98" s="180" t="str">
        <f aca="false">IF((D98="e"),F98," ")</f>
        <v> </v>
      </c>
      <c r="L98" s="180" t="str">
        <f aca="false">IF((D98="p"),F98," ")</f>
        <v> </v>
      </c>
      <c r="M98" s="180" t="str">
        <f aca="false">IF((D98="g"),F98," ")</f>
        <v> </v>
      </c>
      <c r="N98" s="180" t="str">
        <f aca="false">IF((D98="a"),F98," ")</f>
        <v> </v>
      </c>
      <c r="O98" s="180" t="str">
        <f aca="false">IF((D98="l"),F98," ")</f>
        <v> </v>
      </c>
      <c r="P98" s="180" t="str">
        <f aca="false">IF((D98="i"),F98," ")</f>
        <v> </v>
      </c>
      <c r="Q98" s="180" t="str">
        <f aca="false">IF((D98="b"),F98," ")</f>
        <v> </v>
      </c>
      <c r="R98" s="180" t="str">
        <f aca="false">IF((D98="o"),F98," ")</f>
        <v> </v>
      </c>
      <c r="S98" s="180" t="str">
        <f aca="false">IF((D98="f"),F98," ")</f>
        <v> </v>
      </c>
      <c r="U98" s="371"/>
    </row>
    <row r="99" customFormat="false" ht="12.75" hidden="false" customHeight="false" outlineLevel="0" collapsed="false">
      <c r="D99" s="371" t="str">
        <f aca="false">IF((F99&lt;&gt;0),"Enter Letter"," ")</f>
        <v> </v>
      </c>
      <c r="G99" s="180" t="str">
        <f aca="false">IF((D99="d"),F99," ")</f>
        <v> </v>
      </c>
      <c r="H99" s="180" t="str">
        <f aca="false">IF((D99="h"),F99," ")</f>
        <v> </v>
      </c>
      <c r="I99" s="180" t="str">
        <f aca="false">IF((D99="r"),F99," ")</f>
        <v> </v>
      </c>
      <c r="J99" s="180" t="str">
        <f aca="false">IF((D99="t"),F99," ")</f>
        <v> </v>
      </c>
      <c r="K99" s="180" t="str">
        <f aca="false">IF((D99="e"),F99," ")</f>
        <v> </v>
      </c>
      <c r="L99" s="180" t="str">
        <f aca="false">IF((D99="p"),F99," ")</f>
        <v> </v>
      </c>
      <c r="M99" s="180" t="str">
        <f aca="false">IF((D99="g"),F99," ")</f>
        <v> </v>
      </c>
      <c r="N99" s="180" t="str">
        <f aca="false">IF((D99="a"),F99," ")</f>
        <v> </v>
      </c>
      <c r="O99" s="180" t="str">
        <f aca="false">IF((D99="l"),F99," ")</f>
        <v> </v>
      </c>
      <c r="P99" s="180" t="str">
        <f aca="false">IF((D99="i"),F99," ")</f>
        <v> </v>
      </c>
      <c r="Q99" s="180" t="str">
        <f aca="false">IF((D99="b"),F99," ")</f>
        <v> </v>
      </c>
      <c r="R99" s="180" t="str">
        <f aca="false">IF((D99="o"),F99," ")</f>
        <v> </v>
      </c>
      <c r="S99" s="180" t="str">
        <f aca="false">IF((D99="f"),F99," ")</f>
        <v> </v>
      </c>
      <c r="U99" s="371"/>
    </row>
    <row r="100" customFormat="false" ht="12.75" hidden="false" customHeight="false" outlineLevel="0" collapsed="false">
      <c r="D100" s="371" t="str">
        <f aca="false">IF((F100&lt;&gt;0),"Enter Letter"," ")</f>
        <v> </v>
      </c>
      <c r="G100" s="180" t="str">
        <f aca="false">IF((D100="d"),F100," ")</f>
        <v> </v>
      </c>
      <c r="H100" s="180" t="str">
        <f aca="false">IF((D100="h"),F100," ")</f>
        <v> </v>
      </c>
      <c r="I100" s="180" t="str">
        <f aca="false">IF((D100="r"),F100," ")</f>
        <v> </v>
      </c>
      <c r="J100" s="180" t="str">
        <f aca="false">IF((D100="t"),F100," ")</f>
        <v> </v>
      </c>
      <c r="K100" s="180" t="str">
        <f aca="false">IF((D100="e"),F100," ")</f>
        <v> </v>
      </c>
      <c r="L100" s="180" t="str">
        <f aca="false">IF((D100="p"),F100," ")</f>
        <v> </v>
      </c>
      <c r="M100" s="180" t="str">
        <f aca="false">IF((D100="g"),F100," ")</f>
        <v> </v>
      </c>
      <c r="N100" s="180" t="str">
        <f aca="false">IF((D100="a"),F100," ")</f>
        <v> </v>
      </c>
      <c r="O100" s="180" t="str">
        <f aca="false">IF((D100="l"),F100," ")</f>
        <v> </v>
      </c>
      <c r="P100" s="180" t="str">
        <f aca="false">IF((D100="i"),F100," ")</f>
        <v> </v>
      </c>
      <c r="Q100" s="180" t="str">
        <f aca="false">IF((D100="b"),F100," ")</f>
        <v> </v>
      </c>
      <c r="R100" s="180" t="str">
        <f aca="false">IF((D100="o"),F100," ")</f>
        <v> </v>
      </c>
      <c r="S100" s="180" t="str">
        <f aca="false">IF((D100="f"),F100," ")</f>
        <v> </v>
      </c>
      <c r="U100" s="371"/>
    </row>
    <row r="101" customFormat="false" ht="12.75" hidden="false" customHeight="false" outlineLevel="0" collapsed="false">
      <c r="D101" s="371" t="str">
        <f aca="false">IF((F101&lt;&gt;0),"Enter Letter"," ")</f>
        <v> </v>
      </c>
      <c r="G101" s="180" t="str">
        <f aca="false">IF((D101="d"),F101," ")</f>
        <v> </v>
      </c>
      <c r="H101" s="180" t="str">
        <f aca="false">IF((D101="h"),F101," ")</f>
        <v> </v>
      </c>
      <c r="I101" s="180" t="str">
        <f aca="false">IF((D101="r"),F101," ")</f>
        <v> </v>
      </c>
      <c r="J101" s="180" t="str">
        <f aca="false">IF((D101="t"),F101," ")</f>
        <v> </v>
      </c>
      <c r="K101" s="180" t="str">
        <f aca="false">IF((D101="e"),F101," ")</f>
        <v> </v>
      </c>
      <c r="L101" s="180" t="str">
        <f aca="false">IF((D101="p"),F101," ")</f>
        <v> </v>
      </c>
      <c r="M101" s="180" t="str">
        <f aca="false">IF((D101="g"),F101," ")</f>
        <v> </v>
      </c>
      <c r="N101" s="180" t="str">
        <f aca="false">IF((D101="a"),F101," ")</f>
        <v> </v>
      </c>
      <c r="O101" s="180" t="str">
        <f aca="false">IF((D101="l"),F101," ")</f>
        <v> </v>
      </c>
      <c r="P101" s="180" t="str">
        <f aca="false">IF((D101="i"),F101," ")</f>
        <v> </v>
      </c>
      <c r="Q101" s="180" t="str">
        <f aca="false">IF((D101="b"),F101," ")</f>
        <v> </v>
      </c>
      <c r="R101" s="180" t="str">
        <f aca="false">IF((D101="o"),F101," ")</f>
        <v> </v>
      </c>
      <c r="S101" s="180" t="str">
        <f aca="false">IF((D101="f"),F101," ")</f>
        <v> </v>
      </c>
      <c r="U101" s="371"/>
    </row>
    <row r="102" customFormat="false" ht="12.75" hidden="false" customHeight="false" outlineLevel="0" collapsed="false">
      <c r="D102" s="371" t="str">
        <f aca="false">IF((F102&lt;&gt;0),"Enter Letter"," ")</f>
        <v> </v>
      </c>
      <c r="G102" s="180" t="str">
        <f aca="false">IF((D102="d"),F102," ")</f>
        <v> </v>
      </c>
      <c r="H102" s="180" t="str">
        <f aca="false">IF((D102="h"),F102," ")</f>
        <v> </v>
      </c>
      <c r="I102" s="180" t="str">
        <f aca="false">IF((D102="r"),F102," ")</f>
        <v> </v>
      </c>
      <c r="J102" s="180" t="str">
        <f aca="false">IF((D102="t"),F102," ")</f>
        <v> </v>
      </c>
      <c r="K102" s="180" t="str">
        <f aca="false">IF((D102="e"),F102," ")</f>
        <v> </v>
      </c>
      <c r="L102" s="180" t="str">
        <f aca="false">IF((D102="p"),F102," ")</f>
        <v> </v>
      </c>
      <c r="M102" s="180" t="str">
        <f aca="false">IF((D102="g"),F102," ")</f>
        <v> </v>
      </c>
      <c r="N102" s="180" t="str">
        <f aca="false">IF((D102="a"),F102," ")</f>
        <v> </v>
      </c>
      <c r="O102" s="180" t="str">
        <f aca="false">IF((D102="l"),F102," ")</f>
        <v> </v>
      </c>
      <c r="P102" s="180" t="str">
        <f aca="false">IF((D102="i"),F102," ")</f>
        <v> </v>
      </c>
      <c r="Q102" s="180" t="str">
        <f aca="false">IF((D102="b"),F102," ")</f>
        <v> </v>
      </c>
      <c r="R102" s="180" t="str">
        <f aca="false">IF((D102="o"),F102," ")</f>
        <v> </v>
      </c>
      <c r="S102" s="180" t="str">
        <f aca="false">IF((D102="f"),F102," ")</f>
        <v> </v>
      </c>
      <c r="U102" s="371"/>
    </row>
    <row r="103" customFormat="false" ht="12.75" hidden="false" customHeight="false" outlineLevel="0" collapsed="false">
      <c r="D103" s="371" t="str">
        <f aca="false">IF((F103&lt;&gt;0),"Enter Letter"," ")</f>
        <v> </v>
      </c>
      <c r="G103" s="180" t="str">
        <f aca="false">IF((D103="d"),F103," ")</f>
        <v> </v>
      </c>
      <c r="H103" s="180" t="str">
        <f aca="false">IF((D103="h"),F103," ")</f>
        <v> </v>
      </c>
      <c r="I103" s="180" t="str">
        <f aca="false">IF((D103="r"),F103," ")</f>
        <v> </v>
      </c>
      <c r="J103" s="180" t="str">
        <f aca="false">IF((D103="t"),F103," ")</f>
        <v> </v>
      </c>
      <c r="K103" s="180" t="str">
        <f aca="false">IF((D103="e"),F103," ")</f>
        <v> </v>
      </c>
      <c r="L103" s="180" t="str">
        <f aca="false">IF((D103="p"),F103," ")</f>
        <v> </v>
      </c>
      <c r="M103" s="180" t="str">
        <f aca="false">IF((D103="g"),F103," ")</f>
        <v> </v>
      </c>
      <c r="N103" s="180" t="str">
        <f aca="false">IF((D103="a"),F103," ")</f>
        <v> </v>
      </c>
      <c r="O103" s="180" t="str">
        <f aca="false">IF((D103="l"),F103," ")</f>
        <v> </v>
      </c>
      <c r="P103" s="180" t="str">
        <f aca="false">IF((D103="i"),F103," ")</f>
        <v> </v>
      </c>
      <c r="Q103" s="180" t="str">
        <f aca="false">IF((D103="b"),F103," ")</f>
        <v> </v>
      </c>
      <c r="R103" s="180" t="str">
        <f aca="false">IF((D103="o"),F103," ")</f>
        <v> </v>
      </c>
      <c r="S103" s="180" t="str">
        <f aca="false">IF((D103="f"),F103," ")</f>
        <v> </v>
      </c>
      <c r="U103" s="371"/>
    </row>
    <row r="104" customFormat="false" ht="12.75" hidden="false" customHeight="false" outlineLevel="0" collapsed="false">
      <c r="D104" s="371" t="str">
        <f aca="false">IF((F104&lt;&gt;0),"Enter Letter"," ")</f>
        <v> </v>
      </c>
      <c r="G104" s="180" t="str">
        <f aca="false">IF((D104="d"),F104," ")</f>
        <v> </v>
      </c>
      <c r="H104" s="180" t="str">
        <f aca="false">IF((D104="h"),F104," ")</f>
        <v> </v>
      </c>
      <c r="I104" s="180" t="str">
        <f aca="false">IF((D104="r"),F104," ")</f>
        <v> </v>
      </c>
      <c r="J104" s="180" t="str">
        <f aca="false">IF((D104="t"),F104," ")</f>
        <v> </v>
      </c>
      <c r="K104" s="180" t="str">
        <f aca="false">IF((D104="e"),F104," ")</f>
        <v> </v>
      </c>
      <c r="L104" s="180" t="str">
        <f aca="false">IF((D104="p"),F104," ")</f>
        <v> </v>
      </c>
      <c r="M104" s="180" t="str">
        <f aca="false">IF((D104="g"),F104," ")</f>
        <v> </v>
      </c>
      <c r="N104" s="180" t="str">
        <f aca="false">IF((D104="a"),F104," ")</f>
        <v> </v>
      </c>
      <c r="O104" s="180" t="str">
        <f aca="false">IF((D104="l"),F104," ")</f>
        <v> </v>
      </c>
      <c r="P104" s="180" t="str">
        <f aca="false">IF((D104="i"),F104," ")</f>
        <v> </v>
      </c>
      <c r="Q104" s="180" t="str">
        <f aca="false">IF((D104="b"),F104," ")</f>
        <v> </v>
      </c>
      <c r="R104" s="180" t="str">
        <f aca="false">IF((D104="o"),F104," ")</f>
        <v> </v>
      </c>
      <c r="S104" s="180" t="str">
        <f aca="false">IF((D104="f"),F104," ")</f>
        <v> </v>
      </c>
      <c r="U104" s="371"/>
    </row>
    <row r="105" customFormat="false" ht="12.75" hidden="false" customHeight="false" outlineLevel="0" collapsed="false">
      <c r="D105" s="371" t="str">
        <f aca="false">IF((F105&lt;&gt;0),"Enter Letter"," ")</f>
        <v> </v>
      </c>
      <c r="G105" s="180" t="str">
        <f aca="false">IF((D105="d"),F105," ")</f>
        <v> </v>
      </c>
      <c r="H105" s="180" t="str">
        <f aca="false">IF((D105="h"),F105," ")</f>
        <v> </v>
      </c>
      <c r="I105" s="180" t="str">
        <f aca="false">IF((D105="r"),F105," ")</f>
        <v> </v>
      </c>
      <c r="J105" s="180" t="str">
        <f aca="false">IF((D105="t"),F105," ")</f>
        <v> </v>
      </c>
      <c r="K105" s="180" t="str">
        <f aca="false">IF((D105="e"),F105," ")</f>
        <v> </v>
      </c>
      <c r="L105" s="180" t="str">
        <f aca="false">IF((D105="p"),F105," ")</f>
        <v> </v>
      </c>
      <c r="M105" s="180" t="str">
        <f aca="false">IF((D105="g"),F105," ")</f>
        <v> </v>
      </c>
      <c r="N105" s="180" t="str">
        <f aca="false">IF((D105="a"),F105," ")</f>
        <v> </v>
      </c>
      <c r="O105" s="180" t="str">
        <f aca="false">IF((D105="l"),F105," ")</f>
        <v> </v>
      </c>
      <c r="P105" s="180" t="str">
        <f aca="false">IF((D105="i"),F105," ")</f>
        <v> </v>
      </c>
      <c r="Q105" s="180" t="str">
        <f aca="false">IF((D105="b"),F105," ")</f>
        <v> </v>
      </c>
      <c r="R105" s="180" t="str">
        <f aca="false">IF((D105="o"),F105," ")</f>
        <v> </v>
      </c>
      <c r="S105" s="180" t="str">
        <f aca="false">IF((D105="f"),F105," ")</f>
        <v> </v>
      </c>
      <c r="U105" s="371"/>
    </row>
    <row r="106" customFormat="false" ht="12.75" hidden="false" customHeight="false" outlineLevel="0" collapsed="false">
      <c r="D106" s="371" t="str">
        <f aca="false">IF((F106&lt;&gt;0),"Enter Letter"," ")</f>
        <v> </v>
      </c>
      <c r="G106" s="180" t="str">
        <f aca="false">IF((D106="d"),F106," ")</f>
        <v> </v>
      </c>
      <c r="H106" s="180" t="str">
        <f aca="false">IF((D106="h"),F106," ")</f>
        <v> </v>
      </c>
      <c r="I106" s="180" t="str">
        <f aca="false">IF((D106="r"),F106," ")</f>
        <v> </v>
      </c>
      <c r="J106" s="180" t="str">
        <f aca="false">IF((D106="t"),F106," ")</f>
        <v> </v>
      </c>
      <c r="K106" s="180" t="str">
        <f aca="false">IF((D106="e"),F106," ")</f>
        <v> </v>
      </c>
      <c r="L106" s="180" t="str">
        <f aca="false">IF((D106="p"),F106," ")</f>
        <v> </v>
      </c>
      <c r="M106" s="180" t="str">
        <f aca="false">IF((D106="g"),F106," ")</f>
        <v> </v>
      </c>
      <c r="N106" s="180" t="str">
        <f aca="false">IF((D106="a"),F106," ")</f>
        <v> </v>
      </c>
      <c r="O106" s="180" t="str">
        <f aca="false">IF((D106="l"),F106," ")</f>
        <v> </v>
      </c>
      <c r="P106" s="180" t="str">
        <f aca="false">IF((D106="i"),F106," ")</f>
        <v> </v>
      </c>
      <c r="Q106" s="180" t="str">
        <f aca="false">IF((D106="b"),F106," ")</f>
        <v> </v>
      </c>
      <c r="R106" s="180" t="str">
        <f aca="false">IF((D106="o"),F106," ")</f>
        <v> </v>
      </c>
      <c r="S106" s="180" t="str">
        <f aca="false">IF((D106="f"),F106," ")</f>
        <v> </v>
      </c>
      <c r="U106" s="371"/>
    </row>
    <row r="107" customFormat="false" ht="12.75" hidden="false" customHeight="false" outlineLevel="0" collapsed="false">
      <c r="D107" s="371" t="str">
        <f aca="false">IF((F107&lt;&gt;0),"Enter Letter"," ")</f>
        <v> </v>
      </c>
      <c r="G107" s="180" t="str">
        <f aca="false">IF((D107="d"),F107," ")</f>
        <v> </v>
      </c>
      <c r="H107" s="180" t="str">
        <f aca="false">IF((D107="h"),F107," ")</f>
        <v> </v>
      </c>
      <c r="I107" s="180" t="str">
        <f aca="false">IF((D107="r"),F107," ")</f>
        <v> </v>
      </c>
      <c r="J107" s="180" t="str">
        <f aca="false">IF((D107="t"),F107," ")</f>
        <v> </v>
      </c>
      <c r="K107" s="180" t="str">
        <f aca="false">IF((D107="e"),F107," ")</f>
        <v> </v>
      </c>
      <c r="L107" s="180" t="str">
        <f aca="false">IF((D107="p"),F107," ")</f>
        <v> </v>
      </c>
      <c r="M107" s="180" t="str">
        <f aca="false">IF((D107="g"),F107," ")</f>
        <v> </v>
      </c>
      <c r="N107" s="180" t="str">
        <f aca="false">IF((D107="a"),F107," ")</f>
        <v> </v>
      </c>
      <c r="O107" s="180" t="str">
        <f aca="false">IF((D107="l"),F107," ")</f>
        <v> </v>
      </c>
      <c r="P107" s="180" t="str">
        <f aca="false">IF((D107="i"),F107," ")</f>
        <v> </v>
      </c>
      <c r="Q107" s="180" t="str">
        <f aca="false">IF((D107="b"),F107," ")</f>
        <v> </v>
      </c>
      <c r="R107" s="180" t="str">
        <f aca="false">IF((D107="o"),F107," ")</f>
        <v> </v>
      </c>
      <c r="S107" s="180" t="str">
        <f aca="false">IF((D107="f"),F107," ")</f>
        <v> </v>
      </c>
      <c r="U107" s="371"/>
    </row>
    <row r="108" customFormat="false" ht="12.75" hidden="false" customHeight="false" outlineLevel="0" collapsed="false">
      <c r="D108" s="371" t="str">
        <f aca="false">IF((F108&lt;&gt;0),"Enter Letter"," ")</f>
        <v> </v>
      </c>
      <c r="G108" s="180" t="str">
        <f aca="false">IF((D108="d"),F108," ")</f>
        <v> </v>
      </c>
      <c r="H108" s="180" t="str">
        <f aca="false">IF((D108="h"),F108," ")</f>
        <v> </v>
      </c>
      <c r="I108" s="180" t="str">
        <f aca="false">IF((D108="r"),F108," ")</f>
        <v> </v>
      </c>
      <c r="J108" s="180" t="str">
        <f aca="false">IF((D108="t"),F108," ")</f>
        <v> </v>
      </c>
      <c r="K108" s="180" t="str">
        <f aca="false">IF((D108="e"),F108," ")</f>
        <v> </v>
      </c>
      <c r="L108" s="180" t="str">
        <f aca="false">IF((D108="p"),F108," ")</f>
        <v> </v>
      </c>
      <c r="M108" s="180" t="str">
        <f aca="false">IF((D108="g"),F108," ")</f>
        <v> </v>
      </c>
      <c r="N108" s="180" t="str">
        <f aca="false">IF((D108="a"),F108," ")</f>
        <v> </v>
      </c>
      <c r="O108" s="180" t="str">
        <f aca="false">IF((D108="l"),F108," ")</f>
        <v> </v>
      </c>
      <c r="P108" s="180" t="str">
        <f aca="false">IF((D108="i"),F108," ")</f>
        <v> </v>
      </c>
      <c r="Q108" s="180" t="str">
        <f aca="false">IF((D108="b"),F108," ")</f>
        <v> </v>
      </c>
      <c r="R108" s="180" t="str">
        <f aca="false">IF((D108="o"),F108," ")</f>
        <v> </v>
      </c>
      <c r="S108" s="180" t="str">
        <f aca="false">IF((D108="f"),F108," ")</f>
        <v> </v>
      </c>
      <c r="U108" s="371"/>
    </row>
    <row r="109" customFormat="false" ht="12.75" hidden="false" customHeight="false" outlineLevel="0" collapsed="false">
      <c r="D109" s="371" t="str">
        <f aca="false">IF((F109&lt;&gt;0),"Enter Letter"," ")</f>
        <v> </v>
      </c>
      <c r="G109" s="180" t="str">
        <f aca="false">IF((D109="d"),F109," ")</f>
        <v> </v>
      </c>
      <c r="H109" s="180" t="str">
        <f aca="false">IF((D109="h"),F109," ")</f>
        <v> </v>
      </c>
      <c r="I109" s="180" t="str">
        <f aca="false">IF((D109="r"),F109," ")</f>
        <v> </v>
      </c>
      <c r="J109" s="180" t="str">
        <f aca="false">IF((D109="t"),F109," ")</f>
        <v> </v>
      </c>
      <c r="K109" s="180" t="str">
        <f aca="false">IF((D109="e"),F109," ")</f>
        <v> </v>
      </c>
      <c r="L109" s="180" t="str">
        <f aca="false">IF((D109="p"),F109," ")</f>
        <v> </v>
      </c>
      <c r="M109" s="180" t="str">
        <f aca="false">IF((D109="g"),F109," ")</f>
        <v> </v>
      </c>
      <c r="N109" s="180" t="str">
        <f aca="false">IF((D109="a"),F109," ")</f>
        <v> </v>
      </c>
      <c r="O109" s="180" t="str">
        <f aca="false">IF((D109="l"),F109," ")</f>
        <v> </v>
      </c>
      <c r="P109" s="180" t="str">
        <f aca="false">IF((D109="i"),F109," ")</f>
        <v> </v>
      </c>
      <c r="Q109" s="180" t="str">
        <f aca="false">IF((D109="b"),F109," ")</f>
        <v> </v>
      </c>
      <c r="R109" s="180" t="str">
        <f aca="false">IF((D109="o"),F109," ")</f>
        <v> </v>
      </c>
      <c r="S109" s="180" t="str">
        <f aca="false">IF((D109="f"),F109," ")</f>
        <v> </v>
      </c>
      <c r="U109" s="371"/>
    </row>
    <row r="110" customFormat="false" ht="12.75" hidden="false" customHeight="false" outlineLevel="0" collapsed="false">
      <c r="D110" s="371" t="str">
        <f aca="false">IF((F110&lt;&gt;0),"Enter Letter"," ")</f>
        <v> </v>
      </c>
      <c r="G110" s="180" t="str">
        <f aca="false">IF((D110="d"),F110," ")</f>
        <v> </v>
      </c>
      <c r="H110" s="180" t="str">
        <f aca="false">IF((D110="h"),F110," ")</f>
        <v> </v>
      </c>
      <c r="I110" s="180" t="str">
        <f aca="false">IF((D110="r"),F110," ")</f>
        <v> </v>
      </c>
      <c r="J110" s="180" t="str">
        <f aca="false">IF((D110="t"),F110," ")</f>
        <v> </v>
      </c>
      <c r="K110" s="180" t="str">
        <f aca="false">IF((D110="e"),F110," ")</f>
        <v> </v>
      </c>
      <c r="L110" s="180" t="str">
        <f aca="false">IF((D110="p"),F110," ")</f>
        <v> </v>
      </c>
      <c r="M110" s="180" t="str">
        <f aca="false">IF((D110="g"),F110," ")</f>
        <v> </v>
      </c>
      <c r="N110" s="180" t="str">
        <f aca="false">IF((D110="a"),F110," ")</f>
        <v> </v>
      </c>
      <c r="O110" s="180" t="str">
        <f aca="false">IF((D110="l"),F110," ")</f>
        <v> </v>
      </c>
      <c r="P110" s="180" t="str">
        <f aca="false">IF((D110="i"),F110," ")</f>
        <v> </v>
      </c>
      <c r="Q110" s="180" t="str">
        <f aca="false">IF((D110="b"),F110," ")</f>
        <v> </v>
      </c>
      <c r="R110" s="180" t="str">
        <f aca="false">IF((D110="o"),F110," ")</f>
        <v> </v>
      </c>
      <c r="S110" s="180" t="str">
        <f aca="false">IF((D110="f"),F110," ")</f>
        <v> </v>
      </c>
      <c r="U110" s="371"/>
    </row>
    <row r="111" customFormat="false" ht="12.75" hidden="false" customHeight="false" outlineLevel="0" collapsed="false">
      <c r="D111" s="371" t="str">
        <f aca="false">IF((F111&lt;&gt;0),"Enter Letter"," ")</f>
        <v> </v>
      </c>
      <c r="G111" s="180" t="str">
        <f aca="false">IF((D111="d"),F111," ")</f>
        <v> </v>
      </c>
      <c r="H111" s="180" t="str">
        <f aca="false">IF((D111="h"),F111," ")</f>
        <v> </v>
      </c>
      <c r="I111" s="180" t="str">
        <f aca="false">IF((D111="r"),F111," ")</f>
        <v> </v>
      </c>
      <c r="J111" s="180" t="str">
        <f aca="false">IF((D111="t"),F111," ")</f>
        <v> </v>
      </c>
      <c r="K111" s="180" t="str">
        <f aca="false">IF((D111="e"),F111," ")</f>
        <v> </v>
      </c>
      <c r="L111" s="180" t="str">
        <f aca="false">IF((D111="p"),F111," ")</f>
        <v> </v>
      </c>
      <c r="M111" s="180" t="str">
        <f aca="false">IF((D111="g"),F111," ")</f>
        <v> </v>
      </c>
      <c r="N111" s="180" t="str">
        <f aca="false">IF((D111="a"),F111," ")</f>
        <v> </v>
      </c>
      <c r="O111" s="180" t="str">
        <f aca="false">IF((D111="l"),F111," ")</f>
        <v> </v>
      </c>
      <c r="P111" s="180" t="str">
        <f aca="false">IF((D111="i"),F111," ")</f>
        <v> </v>
      </c>
      <c r="Q111" s="180" t="str">
        <f aca="false">IF((D111="b"),F111," ")</f>
        <v> </v>
      </c>
      <c r="R111" s="180" t="str">
        <f aca="false">IF((D111="o"),F111," ")</f>
        <v> </v>
      </c>
      <c r="S111" s="180" t="str">
        <f aca="false">IF((D111="f"),F111," ")</f>
        <v> </v>
      </c>
      <c r="U111" s="371"/>
    </row>
    <row r="112" customFormat="false" ht="12.75" hidden="false" customHeight="false" outlineLevel="0" collapsed="false">
      <c r="D112" s="371" t="str">
        <f aca="false">IF((F112&lt;&gt;0),"Enter Letter"," ")</f>
        <v> </v>
      </c>
      <c r="G112" s="180" t="str">
        <f aca="false">IF((D112="d"),F112," ")</f>
        <v> </v>
      </c>
      <c r="H112" s="180" t="str">
        <f aca="false">IF((D112="h"),F112," ")</f>
        <v> </v>
      </c>
      <c r="I112" s="180" t="str">
        <f aca="false">IF((D112="r"),F112," ")</f>
        <v> </v>
      </c>
      <c r="J112" s="180" t="str">
        <f aca="false">IF((D112="t"),F112," ")</f>
        <v> </v>
      </c>
      <c r="K112" s="180" t="str">
        <f aca="false">IF((D112="e"),F112," ")</f>
        <v> </v>
      </c>
      <c r="L112" s="180" t="str">
        <f aca="false">IF((D112="p"),F112," ")</f>
        <v> </v>
      </c>
      <c r="M112" s="180" t="str">
        <f aca="false">IF((D112="g"),F112," ")</f>
        <v> </v>
      </c>
      <c r="N112" s="180" t="str">
        <f aca="false">IF((D112="a"),F112," ")</f>
        <v> </v>
      </c>
      <c r="O112" s="180" t="str">
        <f aca="false">IF((D112="l"),F112," ")</f>
        <v> </v>
      </c>
      <c r="P112" s="180" t="str">
        <f aca="false">IF((D112="i"),F112," ")</f>
        <v> </v>
      </c>
      <c r="Q112" s="180" t="str">
        <f aca="false">IF((D112="b"),F112," ")</f>
        <v> </v>
      </c>
      <c r="R112" s="180" t="str">
        <f aca="false">IF((D112="o"),F112," ")</f>
        <v> </v>
      </c>
      <c r="S112" s="180" t="str">
        <f aca="false">IF((D112="f"),F112," ")</f>
        <v> </v>
      </c>
      <c r="U112" s="371"/>
    </row>
    <row r="113" customFormat="false" ht="12.75" hidden="false" customHeight="false" outlineLevel="0" collapsed="false">
      <c r="D113" s="371" t="str">
        <f aca="false">IF((F113&lt;&gt;0),"Enter Letter"," ")</f>
        <v> </v>
      </c>
      <c r="G113" s="180" t="str">
        <f aca="false">IF((D113="d"),F113," ")</f>
        <v> </v>
      </c>
      <c r="H113" s="180" t="str">
        <f aca="false">IF((D113="h"),F113," ")</f>
        <v> </v>
      </c>
      <c r="I113" s="180" t="str">
        <f aca="false">IF((D113="r"),F113," ")</f>
        <v> </v>
      </c>
      <c r="J113" s="180" t="str">
        <f aca="false">IF((D113="t"),F113," ")</f>
        <v> </v>
      </c>
      <c r="K113" s="180" t="str">
        <f aca="false">IF((D113="e"),F113," ")</f>
        <v> </v>
      </c>
      <c r="L113" s="180" t="str">
        <f aca="false">IF((D113="p"),F113," ")</f>
        <v> </v>
      </c>
      <c r="M113" s="180" t="str">
        <f aca="false">IF((D113="g"),F113," ")</f>
        <v> </v>
      </c>
      <c r="N113" s="180" t="str">
        <f aca="false">IF((D113="a"),F113," ")</f>
        <v> </v>
      </c>
      <c r="O113" s="180" t="str">
        <f aca="false">IF((D113="l"),F113," ")</f>
        <v> </v>
      </c>
      <c r="P113" s="180" t="str">
        <f aca="false">IF((D113="i"),F113," ")</f>
        <v> </v>
      </c>
      <c r="Q113" s="180" t="str">
        <f aca="false">IF((D113="b"),F113," ")</f>
        <v> </v>
      </c>
      <c r="R113" s="180" t="str">
        <f aca="false">IF((D113="o"),F113," ")</f>
        <v> </v>
      </c>
      <c r="S113" s="180" t="str">
        <f aca="false">IF((D113="f"),F113," ")</f>
        <v> </v>
      </c>
      <c r="U113" s="371"/>
    </row>
    <row r="114" customFormat="false" ht="12.75" hidden="false" customHeight="false" outlineLevel="0" collapsed="false">
      <c r="D114" s="371" t="str">
        <f aca="false">IF((F114&lt;&gt;0),"Enter Letter"," ")</f>
        <v> </v>
      </c>
      <c r="G114" s="180" t="str">
        <f aca="false">IF((D114="d"),F114," ")</f>
        <v> </v>
      </c>
      <c r="H114" s="180" t="str">
        <f aca="false">IF((D114="h"),F114," ")</f>
        <v> </v>
      </c>
      <c r="I114" s="180" t="str">
        <f aca="false">IF((D114="r"),F114," ")</f>
        <v> </v>
      </c>
      <c r="J114" s="180" t="str">
        <f aca="false">IF((D114="t"),F114," ")</f>
        <v> </v>
      </c>
      <c r="K114" s="180" t="str">
        <f aca="false">IF((D114="e"),F114," ")</f>
        <v> </v>
      </c>
      <c r="L114" s="180" t="str">
        <f aca="false">IF((D114="p"),F114," ")</f>
        <v> </v>
      </c>
      <c r="M114" s="180" t="str">
        <f aca="false">IF((D114="g"),F114," ")</f>
        <v> </v>
      </c>
      <c r="N114" s="180" t="str">
        <f aca="false">IF((D114="a"),F114," ")</f>
        <v> </v>
      </c>
      <c r="O114" s="180" t="str">
        <f aca="false">IF((D114="l"),F114," ")</f>
        <v> </v>
      </c>
      <c r="P114" s="180" t="str">
        <f aca="false">IF((D114="i"),F114," ")</f>
        <v> </v>
      </c>
      <c r="Q114" s="180" t="str">
        <f aca="false">IF((D114="b"),F114," ")</f>
        <v> </v>
      </c>
      <c r="R114" s="180" t="str">
        <f aca="false">IF((D114="o"),F114," ")</f>
        <v> </v>
      </c>
      <c r="S114" s="180" t="str">
        <f aca="false">IF((D114="f"),F114," ")</f>
        <v> </v>
      </c>
      <c r="U114" s="371"/>
    </row>
    <row r="115" customFormat="false" ht="12.75" hidden="false" customHeight="false" outlineLevel="0" collapsed="false">
      <c r="D115" s="371" t="str">
        <f aca="false">IF((F115&lt;&gt;0),"Enter Letter"," ")</f>
        <v> </v>
      </c>
      <c r="G115" s="180" t="str">
        <f aca="false">IF((D115="d"),F115," ")</f>
        <v> </v>
      </c>
      <c r="H115" s="180" t="str">
        <f aca="false">IF((D115="h"),F115," ")</f>
        <v> </v>
      </c>
      <c r="I115" s="180" t="str">
        <f aca="false">IF((D115="r"),F115," ")</f>
        <v> </v>
      </c>
      <c r="J115" s="180" t="str">
        <f aca="false">IF((D115="t"),F115," ")</f>
        <v> </v>
      </c>
      <c r="K115" s="180" t="str">
        <f aca="false">IF((D115="e"),F115," ")</f>
        <v> </v>
      </c>
      <c r="L115" s="180" t="str">
        <f aca="false">IF((D115="p"),F115," ")</f>
        <v> </v>
      </c>
      <c r="M115" s="180" t="str">
        <f aca="false">IF((D115="g"),F115," ")</f>
        <v> </v>
      </c>
      <c r="N115" s="180" t="str">
        <f aca="false">IF((D115="a"),F115," ")</f>
        <v> </v>
      </c>
      <c r="O115" s="180" t="str">
        <f aca="false">IF((D115="l"),F115," ")</f>
        <v> </v>
      </c>
      <c r="P115" s="180" t="str">
        <f aca="false">IF((D115="i"),F115," ")</f>
        <v> </v>
      </c>
      <c r="Q115" s="180" t="str">
        <f aca="false">IF((D115="b"),F115," ")</f>
        <v> </v>
      </c>
      <c r="R115" s="180" t="str">
        <f aca="false">IF((D115="o"),F115," ")</f>
        <v> </v>
      </c>
      <c r="S115" s="180" t="str">
        <f aca="false">IF((D115="f"),F115," ")</f>
        <v> </v>
      </c>
      <c r="U115" s="371"/>
    </row>
    <row r="116" customFormat="false" ht="12.75" hidden="false" customHeight="false" outlineLevel="0" collapsed="false">
      <c r="D116" s="371" t="str">
        <f aca="false">IF((F116&lt;&gt;0),"Enter Letter"," ")</f>
        <v> </v>
      </c>
      <c r="G116" s="180" t="str">
        <f aca="false">IF((D116="d"),F116," ")</f>
        <v> </v>
      </c>
      <c r="H116" s="180" t="str">
        <f aca="false">IF((D116="h"),F116," ")</f>
        <v> </v>
      </c>
      <c r="I116" s="180" t="str">
        <f aca="false">IF((D116="r"),F116," ")</f>
        <v> </v>
      </c>
      <c r="J116" s="180" t="str">
        <f aca="false">IF((D116="t"),F116," ")</f>
        <v> </v>
      </c>
      <c r="K116" s="180" t="str">
        <f aca="false">IF((D116="e"),F116," ")</f>
        <v> </v>
      </c>
      <c r="L116" s="180" t="str">
        <f aca="false">IF((D116="p"),F116," ")</f>
        <v> </v>
      </c>
      <c r="M116" s="180" t="str">
        <f aca="false">IF((D116="g"),F116," ")</f>
        <v> </v>
      </c>
      <c r="N116" s="180" t="str">
        <f aca="false">IF((D116="a"),F116," ")</f>
        <v> </v>
      </c>
      <c r="O116" s="180" t="str">
        <f aca="false">IF((D116="l"),F116," ")</f>
        <v> </v>
      </c>
      <c r="P116" s="180" t="str">
        <f aca="false">IF((D116="i"),F116," ")</f>
        <v> </v>
      </c>
      <c r="Q116" s="180" t="str">
        <f aca="false">IF((D116="b"),F116," ")</f>
        <v> </v>
      </c>
      <c r="R116" s="180" t="str">
        <f aca="false">IF((D116="o"),F116," ")</f>
        <v> </v>
      </c>
      <c r="S116" s="180" t="str">
        <f aca="false">IF((D116="f"),F116," ")</f>
        <v> </v>
      </c>
      <c r="U116" s="371"/>
    </row>
    <row r="117" customFormat="false" ht="12.75" hidden="false" customHeight="false" outlineLevel="0" collapsed="false">
      <c r="D117" s="371" t="str">
        <f aca="false">IF((F117&lt;&gt;0),"Enter Letter"," ")</f>
        <v> </v>
      </c>
      <c r="G117" s="180" t="str">
        <f aca="false">IF((D117="d"),F117," ")</f>
        <v> </v>
      </c>
      <c r="H117" s="180" t="str">
        <f aca="false">IF((D117="h"),F117," ")</f>
        <v> </v>
      </c>
      <c r="I117" s="180" t="str">
        <f aca="false">IF((D117="r"),F117," ")</f>
        <v> </v>
      </c>
      <c r="J117" s="180" t="str">
        <f aca="false">IF((D117="t"),F117," ")</f>
        <v> </v>
      </c>
      <c r="K117" s="180" t="str">
        <f aca="false">IF((D117="e"),F117," ")</f>
        <v> </v>
      </c>
      <c r="L117" s="180" t="str">
        <f aca="false">IF((D117="p"),F117," ")</f>
        <v> </v>
      </c>
      <c r="M117" s="180" t="str">
        <f aca="false">IF((D117="g"),F117," ")</f>
        <v> </v>
      </c>
      <c r="N117" s="180" t="str">
        <f aca="false">IF((D117="a"),F117," ")</f>
        <v> </v>
      </c>
      <c r="O117" s="180" t="str">
        <f aca="false">IF((D117="l"),F117," ")</f>
        <v> </v>
      </c>
      <c r="P117" s="180" t="str">
        <f aca="false">IF((D117="i"),F117," ")</f>
        <v> </v>
      </c>
      <c r="Q117" s="180" t="str">
        <f aca="false">IF((D117="b"),F117," ")</f>
        <v> </v>
      </c>
      <c r="R117" s="180" t="str">
        <f aca="false">IF((D117="o"),F117," ")</f>
        <v> </v>
      </c>
      <c r="S117" s="180" t="str">
        <f aca="false">IF((D117="f"),F117," ")</f>
        <v> </v>
      </c>
      <c r="U117" s="371"/>
    </row>
    <row r="118" customFormat="false" ht="12.75" hidden="false" customHeight="false" outlineLevel="0" collapsed="false">
      <c r="D118" s="371" t="str">
        <f aca="false">IF((F118&lt;&gt;0),"Enter Letter"," ")</f>
        <v> </v>
      </c>
      <c r="G118" s="180" t="str">
        <f aca="false">IF((D118="d"),F118," ")</f>
        <v> </v>
      </c>
      <c r="H118" s="180" t="str">
        <f aca="false">IF((D118="h"),F118," ")</f>
        <v> </v>
      </c>
      <c r="I118" s="180" t="str">
        <f aca="false">IF((D118="r"),F118," ")</f>
        <v> </v>
      </c>
      <c r="J118" s="180" t="str">
        <f aca="false">IF((D118="t"),F118," ")</f>
        <v> </v>
      </c>
      <c r="K118" s="180" t="str">
        <f aca="false">IF((D118="e"),F118," ")</f>
        <v> </v>
      </c>
      <c r="L118" s="180" t="str">
        <f aca="false">IF((D118="p"),F118," ")</f>
        <v> </v>
      </c>
      <c r="M118" s="180" t="str">
        <f aca="false">IF((D118="g"),F118," ")</f>
        <v> </v>
      </c>
      <c r="N118" s="180" t="str">
        <f aca="false">IF((D118="a"),F118," ")</f>
        <v> </v>
      </c>
      <c r="O118" s="180" t="str">
        <f aca="false">IF((D118="l"),F118," ")</f>
        <v> </v>
      </c>
      <c r="P118" s="180" t="str">
        <f aca="false">IF((D118="i"),F118," ")</f>
        <v> </v>
      </c>
      <c r="Q118" s="180" t="str">
        <f aca="false">IF((D118="b"),F118," ")</f>
        <v> </v>
      </c>
      <c r="R118" s="180" t="str">
        <f aca="false">IF((D118="o"),F118," ")</f>
        <v> </v>
      </c>
      <c r="S118" s="180" t="str">
        <f aca="false">IF((D118="f"),F118," ")</f>
        <v> </v>
      </c>
      <c r="U118" s="371"/>
    </row>
    <row r="119" customFormat="false" ht="12.75" hidden="false" customHeight="false" outlineLevel="0" collapsed="false">
      <c r="D119" s="371" t="str">
        <f aca="false">IF((F119&lt;&gt;0),"Enter Letter"," ")</f>
        <v> </v>
      </c>
      <c r="G119" s="180" t="str">
        <f aca="false">IF((D119="d"),F119," ")</f>
        <v> </v>
      </c>
      <c r="H119" s="180" t="str">
        <f aca="false">IF((D119="h"),F119," ")</f>
        <v> </v>
      </c>
      <c r="I119" s="180" t="str">
        <f aca="false">IF((D119="r"),F119," ")</f>
        <v> </v>
      </c>
      <c r="J119" s="180" t="str">
        <f aca="false">IF((D119="t"),F119," ")</f>
        <v> </v>
      </c>
      <c r="K119" s="180" t="str">
        <f aca="false">IF((D119="e"),F119," ")</f>
        <v> </v>
      </c>
      <c r="L119" s="180" t="str">
        <f aca="false">IF((D119="p"),F119," ")</f>
        <v> </v>
      </c>
      <c r="M119" s="180" t="str">
        <f aca="false">IF((D119="g"),F119," ")</f>
        <v> </v>
      </c>
      <c r="N119" s="180" t="str">
        <f aca="false">IF((D119="a"),F119," ")</f>
        <v> </v>
      </c>
      <c r="O119" s="180" t="str">
        <f aca="false">IF((D119="l"),F119," ")</f>
        <v> </v>
      </c>
      <c r="P119" s="180" t="str">
        <f aca="false">IF((D119="i"),F119," ")</f>
        <v> </v>
      </c>
      <c r="Q119" s="180" t="str">
        <f aca="false">IF((D119="b"),F119," ")</f>
        <v> </v>
      </c>
      <c r="R119" s="180" t="str">
        <f aca="false">IF((D119="o"),F119," ")</f>
        <v> </v>
      </c>
      <c r="S119" s="180" t="str">
        <f aca="false">IF((D119="f"),F119," ")</f>
        <v> </v>
      </c>
      <c r="U119" s="371"/>
    </row>
    <row r="120" customFormat="false" ht="12.75" hidden="false" customHeight="false" outlineLevel="0" collapsed="false">
      <c r="D120" s="371" t="str">
        <f aca="false">IF((F120&lt;&gt;0),"Enter Letter"," ")</f>
        <v> </v>
      </c>
      <c r="G120" s="180" t="str">
        <f aca="false">IF((D120="d"),F120," ")</f>
        <v> </v>
      </c>
      <c r="H120" s="180" t="str">
        <f aca="false">IF((D120="h"),F120," ")</f>
        <v> </v>
      </c>
      <c r="I120" s="180" t="str">
        <f aca="false">IF((D120="r"),F120," ")</f>
        <v> </v>
      </c>
      <c r="J120" s="180" t="str">
        <f aca="false">IF((D120="t"),F120," ")</f>
        <v> </v>
      </c>
      <c r="K120" s="180" t="str">
        <f aca="false">IF((D120="e"),F120," ")</f>
        <v> </v>
      </c>
      <c r="L120" s="180" t="str">
        <f aca="false">IF((D120="p"),F120," ")</f>
        <v> </v>
      </c>
      <c r="M120" s="180" t="str">
        <f aca="false">IF((D120="g"),F120," ")</f>
        <v> </v>
      </c>
      <c r="N120" s="180" t="str">
        <f aca="false">IF((D120="a"),F120," ")</f>
        <v> </v>
      </c>
      <c r="O120" s="180" t="str">
        <f aca="false">IF((D120="l"),F120," ")</f>
        <v> </v>
      </c>
      <c r="P120" s="180" t="str">
        <f aca="false">IF((D120="i"),F120," ")</f>
        <v> </v>
      </c>
      <c r="Q120" s="180" t="str">
        <f aca="false">IF((D120="b"),F120," ")</f>
        <v> </v>
      </c>
      <c r="R120" s="180" t="str">
        <f aca="false">IF((D120="o"),F120," ")</f>
        <v> </v>
      </c>
      <c r="S120" s="180" t="str">
        <f aca="false">IF((D120="f"),F120," ")</f>
        <v> </v>
      </c>
      <c r="U120" s="371"/>
    </row>
    <row r="121" customFormat="false" ht="12.75" hidden="false" customHeight="false" outlineLevel="0" collapsed="false">
      <c r="D121" s="371" t="str">
        <f aca="false">IF((F121&lt;&gt;0),"Enter Letter"," ")</f>
        <v> </v>
      </c>
      <c r="G121" s="180" t="str">
        <f aca="false">IF((D121="d"),F121," ")</f>
        <v> </v>
      </c>
      <c r="H121" s="180" t="str">
        <f aca="false">IF((D121="h"),F121," ")</f>
        <v> </v>
      </c>
      <c r="I121" s="180" t="str">
        <f aca="false">IF((D121="r"),F121," ")</f>
        <v> </v>
      </c>
      <c r="J121" s="180" t="str">
        <f aca="false">IF((D121="t"),F121," ")</f>
        <v> </v>
      </c>
      <c r="K121" s="180" t="str">
        <f aca="false">IF((D121="e"),F121," ")</f>
        <v> </v>
      </c>
      <c r="L121" s="180" t="str">
        <f aca="false">IF((D121="p"),F121," ")</f>
        <v> </v>
      </c>
      <c r="M121" s="180" t="str">
        <f aca="false">IF((D121="g"),F121," ")</f>
        <v> </v>
      </c>
      <c r="N121" s="180" t="str">
        <f aca="false">IF((D121="a"),F121," ")</f>
        <v> </v>
      </c>
      <c r="O121" s="180" t="str">
        <f aca="false">IF((D121="l"),F121," ")</f>
        <v> </v>
      </c>
      <c r="P121" s="180" t="str">
        <f aca="false">IF((D121="i"),F121," ")</f>
        <v> </v>
      </c>
      <c r="Q121" s="180" t="str">
        <f aca="false">IF((D121="b"),F121," ")</f>
        <v> </v>
      </c>
      <c r="R121" s="180" t="str">
        <f aca="false">IF((D121="o"),F121," ")</f>
        <v> </v>
      </c>
      <c r="S121" s="180" t="str">
        <f aca="false">IF((D121="f"),F121," ")</f>
        <v> </v>
      </c>
      <c r="U121" s="371"/>
    </row>
    <row r="122" customFormat="false" ht="12.75" hidden="false" customHeight="false" outlineLevel="0" collapsed="false">
      <c r="D122" s="371" t="str">
        <f aca="false">IF((F122&lt;&gt;0),"Enter Letter"," ")</f>
        <v> </v>
      </c>
      <c r="G122" s="180" t="str">
        <f aca="false">IF((D122="d"),F122," ")</f>
        <v> </v>
      </c>
      <c r="H122" s="180" t="str">
        <f aca="false">IF((D122="h"),F122," ")</f>
        <v> </v>
      </c>
      <c r="I122" s="180" t="str">
        <f aca="false">IF((D122="r"),F122," ")</f>
        <v> </v>
      </c>
      <c r="J122" s="180" t="str">
        <f aca="false">IF((D122="t"),F122," ")</f>
        <v> </v>
      </c>
      <c r="K122" s="180" t="str">
        <f aca="false">IF((D122="e"),F122," ")</f>
        <v> </v>
      </c>
      <c r="L122" s="180" t="str">
        <f aca="false">IF((D122="p"),F122," ")</f>
        <v> </v>
      </c>
      <c r="M122" s="180" t="str">
        <f aca="false">IF((D122="g"),F122," ")</f>
        <v> </v>
      </c>
      <c r="N122" s="180" t="str">
        <f aca="false">IF((D122="a"),F122," ")</f>
        <v> </v>
      </c>
      <c r="O122" s="180" t="str">
        <f aca="false">IF((D122="l"),F122," ")</f>
        <v> </v>
      </c>
      <c r="P122" s="180" t="str">
        <f aca="false">IF((D122="i"),F122," ")</f>
        <v> </v>
      </c>
      <c r="Q122" s="180" t="str">
        <f aca="false">IF((D122="b"),F122," ")</f>
        <v> </v>
      </c>
      <c r="R122" s="180" t="str">
        <f aca="false">IF((D122="o"),F122," ")</f>
        <v> </v>
      </c>
      <c r="S122" s="180" t="str">
        <f aca="false">IF((D122="f"),F122," ")</f>
        <v> </v>
      </c>
      <c r="U122" s="371"/>
    </row>
    <row r="123" customFormat="false" ht="12.75" hidden="false" customHeight="false" outlineLevel="0" collapsed="false">
      <c r="D123" s="371" t="str">
        <f aca="false">IF((F123&lt;&gt;0),"Enter Letter"," ")</f>
        <v> </v>
      </c>
      <c r="G123" s="180" t="str">
        <f aca="false">IF((D123="d"),F123," ")</f>
        <v> </v>
      </c>
      <c r="H123" s="180" t="str">
        <f aca="false">IF((D123="h"),F123," ")</f>
        <v> </v>
      </c>
      <c r="I123" s="180" t="str">
        <f aca="false">IF((D123="r"),F123," ")</f>
        <v> </v>
      </c>
      <c r="J123" s="180" t="str">
        <f aca="false">IF((D123="t"),F123," ")</f>
        <v> </v>
      </c>
      <c r="K123" s="180" t="str">
        <f aca="false">IF((D123="e"),F123," ")</f>
        <v> </v>
      </c>
      <c r="L123" s="180" t="str">
        <f aca="false">IF((D123="p"),F123," ")</f>
        <v> </v>
      </c>
      <c r="M123" s="180" t="str">
        <f aca="false">IF((D123="g"),F123," ")</f>
        <v> </v>
      </c>
      <c r="N123" s="180" t="str">
        <f aca="false">IF((D123="a"),F123," ")</f>
        <v> </v>
      </c>
      <c r="O123" s="180" t="str">
        <f aca="false">IF((D123="l"),F123," ")</f>
        <v> </v>
      </c>
      <c r="P123" s="180" t="str">
        <f aca="false">IF((D123="i"),F123," ")</f>
        <v> </v>
      </c>
      <c r="Q123" s="180" t="str">
        <f aca="false">IF((D123="b"),F123," ")</f>
        <v> </v>
      </c>
      <c r="R123" s="180" t="str">
        <f aca="false">IF((D123="o"),F123," ")</f>
        <v> </v>
      </c>
      <c r="S123" s="180" t="str">
        <f aca="false">IF((D123="f"),F123," ")</f>
        <v> </v>
      </c>
      <c r="U123" s="371"/>
    </row>
    <row r="124" customFormat="false" ht="12.75" hidden="false" customHeight="false" outlineLevel="0" collapsed="false">
      <c r="D124" s="371" t="str">
        <f aca="false">IF((F124&lt;&gt;0),"Enter Letter"," ")</f>
        <v> </v>
      </c>
      <c r="G124" s="180" t="str">
        <f aca="false">IF((D124="d"),F124," ")</f>
        <v> </v>
      </c>
      <c r="H124" s="180" t="str">
        <f aca="false">IF((D124="h"),F124," ")</f>
        <v> </v>
      </c>
      <c r="I124" s="180" t="str">
        <f aca="false">IF((D124="r"),F124," ")</f>
        <v> </v>
      </c>
      <c r="J124" s="180" t="str">
        <f aca="false">IF((D124="t"),F124," ")</f>
        <v> </v>
      </c>
      <c r="K124" s="180" t="str">
        <f aca="false">IF((D124="e"),F124," ")</f>
        <v> </v>
      </c>
      <c r="L124" s="180" t="str">
        <f aca="false">IF((D124="p"),F124," ")</f>
        <v> </v>
      </c>
      <c r="M124" s="180" t="str">
        <f aca="false">IF((D124="g"),F124," ")</f>
        <v> </v>
      </c>
      <c r="N124" s="180" t="str">
        <f aca="false">IF((D124="a"),F124," ")</f>
        <v> </v>
      </c>
      <c r="O124" s="180" t="str">
        <f aca="false">IF((D124="l"),F124," ")</f>
        <v> </v>
      </c>
      <c r="P124" s="180" t="str">
        <f aca="false">IF((D124="i"),F124," ")</f>
        <v> </v>
      </c>
      <c r="Q124" s="180" t="str">
        <f aca="false">IF((D124="b"),F124," ")</f>
        <v> </v>
      </c>
      <c r="R124" s="180" t="str">
        <f aca="false">IF((D124="o"),F124," ")</f>
        <v> </v>
      </c>
      <c r="S124" s="180" t="str">
        <f aca="false">IF((D124="f"),F124," ")</f>
        <v> </v>
      </c>
      <c r="U124" s="371"/>
    </row>
    <row r="125" customFormat="false" ht="12.75" hidden="false" customHeight="false" outlineLevel="0" collapsed="false">
      <c r="D125" s="371" t="str">
        <f aca="false">IF((F125&lt;&gt;0),"Enter Letter"," ")</f>
        <v> </v>
      </c>
      <c r="G125" s="180" t="str">
        <f aca="false">IF((D125="d"),F125," ")</f>
        <v> </v>
      </c>
      <c r="H125" s="180" t="str">
        <f aca="false">IF((D125="h"),F125," ")</f>
        <v> </v>
      </c>
      <c r="I125" s="180" t="str">
        <f aca="false">IF((D125="r"),F125," ")</f>
        <v> </v>
      </c>
      <c r="J125" s="180" t="str">
        <f aca="false">IF((D125="t"),F125," ")</f>
        <v> </v>
      </c>
      <c r="K125" s="180" t="str">
        <f aca="false">IF((D125="e"),F125," ")</f>
        <v> </v>
      </c>
      <c r="L125" s="180" t="str">
        <f aca="false">IF((D125="p"),F125," ")</f>
        <v> </v>
      </c>
      <c r="M125" s="180" t="str">
        <f aca="false">IF((D125="g"),F125," ")</f>
        <v> </v>
      </c>
      <c r="N125" s="180" t="str">
        <f aca="false">IF((D125="a"),F125," ")</f>
        <v> </v>
      </c>
      <c r="O125" s="180" t="str">
        <f aca="false">IF((D125="l"),F125," ")</f>
        <v> </v>
      </c>
      <c r="P125" s="180" t="str">
        <f aca="false">IF((D125="i"),F125," ")</f>
        <v> </v>
      </c>
      <c r="Q125" s="180" t="str">
        <f aca="false">IF((D125="b"),F125," ")</f>
        <v> </v>
      </c>
      <c r="R125" s="180" t="str">
        <f aca="false">IF((D125="o"),F125," ")</f>
        <v> </v>
      </c>
      <c r="S125" s="180" t="str">
        <f aca="false">IF((D125="f"),F125," ")</f>
        <v> </v>
      </c>
      <c r="U125" s="371"/>
    </row>
    <row r="126" customFormat="false" ht="12.75" hidden="false" customHeight="false" outlineLevel="0" collapsed="false">
      <c r="D126" s="371" t="str">
        <f aca="false">IF((F126&lt;&gt;0),"Enter Letter"," ")</f>
        <v> </v>
      </c>
      <c r="G126" s="180" t="str">
        <f aca="false">IF((D126="d"),F126," ")</f>
        <v> </v>
      </c>
      <c r="H126" s="180" t="str">
        <f aca="false">IF((D126="h"),F126," ")</f>
        <v> </v>
      </c>
      <c r="I126" s="180" t="str">
        <f aca="false">IF((D126="r"),F126," ")</f>
        <v> </v>
      </c>
      <c r="J126" s="180" t="str">
        <f aca="false">IF((D126="t"),F126," ")</f>
        <v> </v>
      </c>
      <c r="K126" s="180" t="str">
        <f aca="false">IF((D126="e"),F126," ")</f>
        <v> </v>
      </c>
      <c r="L126" s="180" t="str">
        <f aca="false">IF((D126="p"),F126," ")</f>
        <v> </v>
      </c>
      <c r="M126" s="180" t="str">
        <f aca="false">IF((D126="g"),F126," ")</f>
        <v> </v>
      </c>
      <c r="N126" s="180" t="str">
        <f aca="false">IF((D126="a"),F126," ")</f>
        <v> </v>
      </c>
      <c r="O126" s="180" t="str">
        <f aca="false">IF((D126="l"),F126," ")</f>
        <v> </v>
      </c>
      <c r="P126" s="180" t="str">
        <f aca="false">IF((D126="i"),F126," ")</f>
        <v> </v>
      </c>
      <c r="Q126" s="180" t="str">
        <f aca="false">IF((D126="b"),F126," ")</f>
        <v> </v>
      </c>
      <c r="R126" s="180" t="str">
        <f aca="false">IF((D126="o"),F126," ")</f>
        <v> </v>
      </c>
      <c r="S126" s="180" t="str">
        <f aca="false">IF((D126="f"),F126," ")</f>
        <v> </v>
      </c>
      <c r="U126" s="371"/>
    </row>
    <row r="127" customFormat="false" ht="12.75" hidden="false" customHeight="false" outlineLevel="0" collapsed="false">
      <c r="D127" s="371" t="str">
        <f aca="false">IF((F127&lt;&gt;0),"Enter Letter"," ")</f>
        <v> </v>
      </c>
      <c r="G127" s="180" t="str">
        <f aca="false">IF((D127="d"),F127," ")</f>
        <v> </v>
      </c>
      <c r="H127" s="180" t="str">
        <f aca="false">IF((D127="h"),F127," ")</f>
        <v> </v>
      </c>
      <c r="I127" s="180" t="str">
        <f aca="false">IF((D127="r"),F127," ")</f>
        <v> </v>
      </c>
      <c r="J127" s="180" t="str">
        <f aca="false">IF((D127="t"),F127," ")</f>
        <v> </v>
      </c>
      <c r="K127" s="180" t="str">
        <f aca="false">IF((D127="e"),F127," ")</f>
        <v> </v>
      </c>
      <c r="L127" s="180" t="str">
        <f aca="false">IF((D127="p"),F127," ")</f>
        <v> </v>
      </c>
      <c r="M127" s="180" t="str">
        <f aca="false">IF((D127="g"),F127," ")</f>
        <v> </v>
      </c>
      <c r="N127" s="180" t="str">
        <f aca="false">IF((D127="a"),F127," ")</f>
        <v> </v>
      </c>
      <c r="O127" s="180" t="str">
        <f aca="false">IF((D127="l"),F127," ")</f>
        <v> </v>
      </c>
      <c r="P127" s="180" t="str">
        <f aca="false">IF((D127="i"),F127," ")</f>
        <v> </v>
      </c>
      <c r="Q127" s="180" t="str">
        <f aca="false">IF((D127="b"),F127," ")</f>
        <v> </v>
      </c>
      <c r="R127" s="180" t="str">
        <f aca="false">IF((D127="o"),F127," ")</f>
        <v> </v>
      </c>
      <c r="S127" s="180" t="str">
        <f aca="false">IF((D127="f"),F127," ")</f>
        <v> </v>
      </c>
      <c r="U127" s="371"/>
    </row>
    <row r="128" customFormat="false" ht="12.75" hidden="false" customHeight="false" outlineLevel="0" collapsed="false">
      <c r="D128" s="371" t="str">
        <f aca="false">IF((F128&lt;&gt;0),"Enter Letter"," ")</f>
        <v> </v>
      </c>
      <c r="G128" s="180" t="str">
        <f aca="false">IF((D128="d"),F128," ")</f>
        <v> </v>
      </c>
      <c r="H128" s="180" t="str">
        <f aca="false">IF((D128="h"),F128," ")</f>
        <v> </v>
      </c>
      <c r="I128" s="180" t="str">
        <f aca="false">IF((D128="r"),F128," ")</f>
        <v> </v>
      </c>
      <c r="J128" s="180" t="str">
        <f aca="false">IF((D128="t"),F128," ")</f>
        <v> </v>
      </c>
      <c r="K128" s="180" t="str">
        <f aca="false">IF((D128="e"),F128," ")</f>
        <v> </v>
      </c>
      <c r="L128" s="180" t="str">
        <f aca="false">IF((D128="p"),F128," ")</f>
        <v> </v>
      </c>
      <c r="M128" s="180" t="str">
        <f aca="false">IF((D128="g"),F128," ")</f>
        <v> </v>
      </c>
      <c r="N128" s="180" t="str">
        <f aca="false">IF((D128="a"),F128," ")</f>
        <v> </v>
      </c>
      <c r="O128" s="180" t="str">
        <f aca="false">IF((D128="l"),F128," ")</f>
        <v> </v>
      </c>
      <c r="P128" s="180" t="str">
        <f aca="false">IF((D128="i"),F128," ")</f>
        <v> </v>
      </c>
      <c r="Q128" s="180" t="str">
        <f aca="false">IF((D128="b"),F128," ")</f>
        <v> </v>
      </c>
      <c r="R128" s="180" t="str">
        <f aca="false">IF((D128="o"),F128," ")</f>
        <v> </v>
      </c>
      <c r="S128" s="180" t="str">
        <f aca="false">IF((D128="f"),F128," ")</f>
        <v> </v>
      </c>
      <c r="U128" s="371"/>
    </row>
    <row r="129" customFormat="false" ht="12.75" hidden="false" customHeight="false" outlineLevel="0" collapsed="false">
      <c r="D129" s="371" t="str">
        <f aca="false">IF((F129&lt;&gt;0),"Enter Letter"," ")</f>
        <v> </v>
      </c>
      <c r="G129" s="180" t="str">
        <f aca="false">IF((D129="d"),F129," ")</f>
        <v> </v>
      </c>
      <c r="H129" s="180" t="str">
        <f aca="false">IF((D129="h"),F129," ")</f>
        <v> </v>
      </c>
      <c r="I129" s="180" t="str">
        <f aca="false">IF((D129="r"),F129," ")</f>
        <v> </v>
      </c>
      <c r="J129" s="180" t="str">
        <f aca="false">IF((D129="t"),F129," ")</f>
        <v> </v>
      </c>
      <c r="K129" s="180" t="str">
        <f aca="false">IF((D129="e"),F129," ")</f>
        <v> </v>
      </c>
      <c r="L129" s="180" t="str">
        <f aca="false">IF((D129="p"),F129," ")</f>
        <v> </v>
      </c>
      <c r="M129" s="180" t="str">
        <f aca="false">IF((D129="g"),F129," ")</f>
        <v> </v>
      </c>
      <c r="N129" s="180" t="str">
        <f aca="false">IF((D129="a"),F129," ")</f>
        <v> </v>
      </c>
      <c r="O129" s="180" t="str">
        <f aca="false">IF((D129="l"),F129," ")</f>
        <v> </v>
      </c>
      <c r="P129" s="180" t="str">
        <f aca="false">IF((D129="i"),F129," ")</f>
        <v> </v>
      </c>
      <c r="Q129" s="180" t="str">
        <f aca="false">IF((D129="b"),F129," ")</f>
        <v> </v>
      </c>
      <c r="R129" s="180" t="str">
        <f aca="false">IF((D129="o"),F129," ")</f>
        <v> </v>
      </c>
      <c r="S129" s="180" t="str">
        <f aca="false">IF((D129="f"),F129," ")</f>
        <v> </v>
      </c>
      <c r="U129" s="371"/>
    </row>
    <row r="130" customFormat="false" ht="12.75" hidden="false" customHeight="false" outlineLevel="0" collapsed="false">
      <c r="D130" s="371" t="str">
        <f aca="false">IF((F130&lt;&gt;0),"Enter Letter"," ")</f>
        <v> </v>
      </c>
      <c r="G130" s="180" t="str">
        <f aca="false">IF((D130="d"),F130," ")</f>
        <v> </v>
      </c>
      <c r="H130" s="180" t="str">
        <f aca="false">IF((D130="h"),F130," ")</f>
        <v> </v>
      </c>
      <c r="I130" s="180" t="str">
        <f aca="false">IF((D130="r"),F130," ")</f>
        <v> </v>
      </c>
      <c r="J130" s="180" t="str">
        <f aca="false">IF((D130="t"),F130," ")</f>
        <v> </v>
      </c>
      <c r="K130" s="180" t="str">
        <f aca="false">IF((D130="e"),F130," ")</f>
        <v> </v>
      </c>
      <c r="L130" s="180" t="str">
        <f aca="false">IF((D130="p"),F130," ")</f>
        <v> </v>
      </c>
      <c r="M130" s="180" t="str">
        <f aca="false">IF((D130="g"),F130," ")</f>
        <v> </v>
      </c>
      <c r="N130" s="180" t="str">
        <f aca="false">IF((D130="a"),F130," ")</f>
        <v> </v>
      </c>
      <c r="O130" s="180" t="str">
        <f aca="false">IF((D130="l"),F130," ")</f>
        <v> </v>
      </c>
      <c r="P130" s="180" t="str">
        <f aca="false">IF((D130="i"),F130," ")</f>
        <v> </v>
      </c>
      <c r="Q130" s="180" t="str">
        <f aca="false">IF((D130="b"),F130," ")</f>
        <v> </v>
      </c>
      <c r="R130" s="180" t="str">
        <f aca="false">IF((D130="o"),F130," ")</f>
        <v> </v>
      </c>
      <c r="S130" s="180" t="str">
        <f aca="false">IF((D130="f"),F130," ")</f>
        <v> </v>
      </c>
      <c r="U130" s="371"/>
    </row>
    <row r="131" customFormat="false" ht="12.75" hidden="false" customHeight="false" outlineLevel="0" collapsed="false">
      <c r="D131" s="371" t="str">
        <f aca="false">IF((F131&lt;&gt;0),"Enter Letter"," ")</f>
        <v> </v>
      </c>
      <c r="G131" s="180" t="str">
        <f aca="false">IF((D131="d"),F131," ")</f>
        <v> </v>
      </c>
      <c r="H131" s="180" t="str">
        <f aca="false">IF((D131="h"),F131," ")</f>
        <v> </v>
      </c>
      <c r="I131" s="180" t="str">
        <f aca="false">IF((D131="r"),F131," ")</f>
        <v> </v>
      </c>
      <c r="J131" s="180" t="str">
        <f aca="false">IF((D131="t"),F131," ")</f>
        <v> </v>
      </c>
      <c r="K131" s="180" t="str">
        <f aca="false">IF((D131="e"),F131," ")</f>
        <v> </v>
      </c>
      <c r="L131" s="180" t="str">
        <f aca="false">IF((D131="p"),F131," ")</f>
        <v> </v>
      </c>
      <c r="M131" s="180" t="str">
        <f aca="false">IF((D131="g"),F131," ")</f>
        <v> </v>
      </c>
      <c r="N131" s="180" t="str">
        <f aca="false">IF((D131="a"),F131," ")</f>
        <v> </v>
      </c>
      <c r="O131" s="180" t="str">
        <f aca="false">IF((D131="l"),F131," ")</f>
        <v> </v>
      </c>
      <c r="P131" s="180" t="str">
        <f aca="false">IF((D131="i"),F131," ")</f>
        <v> </v>
      </c>
      <c r="Q131" s="180" t="str">
        <f aca="false">IF((D131="b"),F131," ")</f>
        <v> </v>
      </c>
      <c r="R131" s="180" t="str">
        <f aca="false">IF((D131="o"),F131," ")</f>
        <v> </v>
      </c>
      <c r="S131" s="180" t="str">
        <f aca="false">IF((D131="f"),F131," ")</f>
        <v> </v>
      </c>
      <c r="U131" s="371"/>
    </row>
    <row r="132" customFormat="false" ht="12.75" hidden="false" customHeight="false" outlineLevel="0" collapsed="false">
      <c r="D132" s="371" t="str">
        <f aca="false">IF((F132&lt;&gt;0),"Enter Letter"," ")</f>
        <v> </v>
      </c>
      <c r="G132" s="180" t="str">
        <f aca="false">IF((D132="d"),F132," ")</f>
        <v> </v>
      </c>
      <c r="H132" s="180" t="str">
        <f aca="false">IF((D132="h"),F132," ")</f>
        <v> </v>
      </c>
      <c r="I132" s="180" t="str">
        <f aca="false">IF((D132="r"),F132," ")</f>
        <v> </v>
      </c>
      <c r="J132" s="180" t="str">
        <f aca="false">IF((D132="t"),F132," ")</f>
        <v> </v>
      </c>
      <c r="K132" s="180" t="str">
        <f aca="false">IF((D132="e"),F132," ")</f>
        <v> </v>
      </c>
      <c r="L132" s="180" t="str">
        <f aca="false">IF((D132="p"),F132," ")</f>
        <v> </v>
      </c>
      <c r="M132" s="180" t="str">
        <f aca="false">IF((D132="g"),F132," ")</f>
        <v> </v>
      </c>
      <c r="N132" s="180" t="str">
        <f aca="false">IF((D132="a"),F132," ")</f>
        <v> </v>
      </c>
      <c r="O132" s="180" t="str">
        <f aca="false">IF((D132="l"),F132," ")</f>
        <v> </v>
      </c>
      <c r="P132" s="180" t="str">
        <f aca="false">IF((D132="i"),F132," ")</f>
        <v> </v>
      </c>
      <c r="Q132" s="180" t="str">
        <f aca="false">IF((D132="b"),F132," ")</f>
        <v> </v>
      </c>
      <c r="R132" s="180" t="str">
        <f aca="false">IF((D132="o"),F132," ")</f>
        <v> </v>
      </c>
      <c r="S132" s="180" t="str">
        <f aca="false">IF((D132="f"),F132," ")</f>
        <v> </v>
      </c>
      <c r="U132" s="371"/>
    </row>
    <row r="133" customFormat="false" ht="12.75" hidden="false" customHeight="false" outlineLevel="0" collapsed="false">
      <c r="D133" s="371" t="str">
        <f aca="false">IF((F133&lt;&gt;0),"Enter Letter"," ")</f>
        <v> </v>
      </c>
      <c r="G133" s="180" t="str">
        <f aca="false">IF((D133="d"),F133," ")</f>
        <v> </v>
      </c>
      <c r="H133" s="180" t="str">
        <f aca="false">IF((D133="h"),F133," ")</f>
        <v> </v>
      </c>
      <c r="I133" s="180" t="str">
        <f aca="false">IF((D133="r"),F133," ")</f>
        <v> </v>
      </c>
      <c r="J133" s="180" t="str">
        <f aca="false">IF((D133="t"),F133," ")</f>
        <v> </v>
      </c>
      <c r="K133" s="180" t="str">
        <f aca="false">IF((D133="e"),F133," ")</f>
        <v> </v>
      </c>
      <c r="L133" s="180" t="str">
        <f aca="false">IF((D133="p"),F133," ")</f>
        <v> </v>
      </c>
      <c r="M133" s="180" t="str">
        <f aca="false">IF((D133="g"),F133," ")</f>
        <v> </v>
      </c>
      <c r="N133" s="180" t="str">
        <f aca="false">IF((D133="a"),F133," ")</f>
        <v> </v>
      </c>
      <c r="O133" s="180" t="str">
        <f aca="false">IF((D133="l"),F133," ")</f>
        <v> </v>
      </c>
      <c r="P133" s="180" t="str">
        <f aca="false">IF((D133="i"),F133," ")</f>
        <v> </v>
      </c>
      <c r="Q133" s="180" t="str">
        <f aca="false">IF((D133="b"),F133," ")</f>
        <v> </v>
      </c>
      <c r="R133" s="180" t="str">
        <f aca="false">IF((D133="o"),F133," ")</f>
        <v> </v>
      </c>
      <c r="S133" s="180" t="str">
        <f aca="false">IF((D133="f"),F133," ")</f>
        <v> </v>
      </c>
      <c r="U133" s="371"/>
    </row>
    <row r="134" customFormat="false" ht="12.75" hidden="false" customHeight="false" outlineLevel="0" collapsed="false">
      <c r="D134" s="371" t="str">
        <f aca="false">IF((F134&lt;&gt;0),"Enter Letter"," ")</f>
        <v> </v>
      </c>
      <c r="G134" s="180" t="str">
        <f aca="false">IF((D134="d"),F134," ")</f>
        <v> </v>
      </c>
      <c r="H134" s="180" t="str">
        <f aca="false">IF((D134="h"),F134," ")</f>
        <v> </v>
      </c>
      <c r="I134" s="180" t="str">
        <f aca="false">IF((D134="r"),F134," ")</f>
        <v> </v>
      </c>
      <c r="J134" s="180" t="str">
        <f aca="false">IF((D134="t"),F134," ")</f>
        <v> </v>
      </c>
      <c r="K134" s="180" t="str">
        <f aca="false">IF((D134="e"),F134," ")</f>
        <v> </v>
      </c>
      <c r="L134" s="180" t="str">
        <f aca="false">IF((D134="p"),F134," ")</f>
        <v> </v>
      </c>
      <c r="M134" s="180" t="str">
        <f aca="false">IF((D134="g"),F134," ")</f>
        <v> </v>
      </c>
      <c r="N134" s="180" t="str">
        <f aca="false">IF((D134="a"),F134," ")</f>
        <v> </v>
      </c>
      <c r="O134" s="180" t="str">
        <f aca="false">IF((D134="l"),F134," ")</f>
        <v> </v>
      </c>
      <c r="P134" s="180" t="str">
        <f aca="false">IF((D134="i"),F134," ")</f>
        <v> </v>
      </c>
      <c r="Q134" s="180" t="str">
        <f aca="false">IF((D134="b"),F134," ")</f>
        <v> </v>
      </c>
      <c r="R134" s="180" t="str">
        <f aca="false">IF((D134="o"),F134," ")</f>
        <v> </v>
      </c>
      <c r="S134" s="180" t="str">
        <f aca="false">IF((D134="f"),F134," ")</f>
        <v> </v>
      </c>
      <c r="U134" s="371"/>
    </row>
    <row r="135" customFormat="false" ht="12.75" hidden="false" customHeight="false" outlineLevel="0" collapsed="false">
      <c r="D135" s="371" t="str">
        <f aca="false">IF((F135&lt;&gt;0),"Enter Letter"," ")</f>
        <v> </v>
      </c>
      <c r="G135" s="180" t="str">
        <f aca="false">IF((D135="d"),F135," ")</f>
        <v> </v>
      </c>
      <c r="H135" s="180" t="str">
        <f aca="false">IF((D135="h"),F135," ")</f>
        <v> </v>
      </c>
      <c r="I135" s="180" t="str">
        <f aca="false">IF((D135="r"),F135," ")</f>
        <v> </v>
      </c>
      <c r="J135" s="180" t="str">
        <f aca="false">IF((D135="t"),F135," ")</f>
        <v> </v>
      </c>
      <c r="K135" s="180" t="str">
        <f aca="false">IF((D135="e"),F135," ")</f>
        <v> </v>
      </c>
      <c r="L135" s="180" t="str">
        <f aca="false">IF((D135="p"),F135," ")</f>
        <v> </v>
      </c>
      <c r="M135" s="180" t="str">
        <f aca="false">IF((D135="g"),F135," ")</f>
        <v> </v>
      </c>
      <c r="N135" s="180" t="str">
        <f aca="false">IF((D135="a"),F135," ")</f>
        <v> </v>
      </c>
      <c r="O135" s="180" t="str">
        <f aca="false">IF((D135="l"),F135," ")</f>
        <v> </v>
      </c>
      <c r="P135" s="180" t="str">
        <f aca="false">IF((D135="i"),F135," ")</f>
        <v> </v>
      </c>
      <c r="Q135" s="180" t="str">
        <f aca="false">IF((D135="b"),F135," ")</f>
        <v> </v>
      </c>
      <c r="R135" s="180" t="str">
        <f aca="false">IF((D135="o"),F135," ")</f>
        <v> </v>
      </c>
      <c r="S135" s="180" t="str">
        <f aca="false">IF((D135="f"),F135," ")</f>
        <v> </v>
      </c>
      <c r="U135" s="371"/>
    </row>
    <row r="136" customFormat="false" ht="12.75" hidden="false" customHeight="false" outlineLevel="0" collapsed="false">
      <c r="D136" s="371" t="str">
        <f aca="false">IF((F136&lt;&gt;0),"Enter Letter"," ")</f>
        <v> </v>
      </c>
      <c r="G136" s="180" t="str">
        <f aca="false">IF((D136="d"),F136," ")</f>
        <v> </v>
      </c>
      <c r="H136" s="180" t="str">
        <f aca="false">IF((D136="h"),F136," ")</f>
        <v> </v>
      </c>
      <c r="I136" s="180" t="str">
        <f aca="false">IF((D136="r"),F136," ")</f>
        <v> </v>
      </c>
      <c r="J136" s="180" t="str">
        <f aca="false">IF((D136="t"),F136," ")</f>
        <v> </v>
      </c>
      <c r="K136" s="180" t="str">
        <f aca="false">IF((D136="e"),F136," ")</f>
        <v> </v>
      </c>
      <c r="L136" s="180" t="str">
        <f aca="false">IF((D136="p"),F136," ")</f>
        <v> </v>
      </c>
      <c r="M136" s="180" t="str">
        <f aca="false">IF((D136="g"),F136," ")</f>
        <v> </v>
      </c>
      <c r="N136" s="180" t="str">
        <f aca="false">IF((D136="a"),F136," ")</f>
        <v> </v>
      </c>
      <c r="O136" s="180" t="str">
        <f aca="false">IF((D136="l"),F136," ")</f>
        <v> </v>
      </c>
      <c r="P136" s="180" t="str">
        <f aca="false">IF((D136="i"),F136," ")</f>
        <v> </v>
      </c>
      <c r="Q136" s="180" t="str">
        <f aca="false">IF((D136="b"),F136," ")</f>
        <v> </v>
      </c>
      <c r="R136" s="180" t="str">
        <f aca="false">IF((D136="o"),F136," ")</f>
        <v> </v>
      </c>
      <c r="S136" s="180" t="str">
        <f aca="false">IF((D136="f"),F136," ")</f>
        <v> </v>
      </c>
      <c r="U136" s="371"/>
    </row>
    <row r="137" customFormat="false" ht="12.75" hidden="false" customHeight="false" outlineLevel="0" collapsed="false">
      <c r="D137" s="371" t="str">
        <f aca="false">IF((F137&lt;&gt;0),"Enter Letter"," ")</f>
        <v> </v>
      </c>
      <c r="G137" s="180" t="str">
        <f aca="false">IF((D137="d"),F137," ")</f>
        <v> </v>
      </c>
      <c r="H137" s="180" t="str">
        <f aca="false">IF((D137="h"),F137," ")</f>
        <v> </v>
      </c>
      <c r="I137" s="180" t="str">
        <f aca="false">IF((D137="r"),F137," ")</f>
        <v> </v>
      </c>
      <c r="J137" s="180" t="str">
        <f aca="false">IF((D137="t"),F137," ")</f>
        <v> </v>
      </c>
      <c r="K137" s="180" t="str">
        <f aca="false">IF((D137="e"),F137," ")</f>
        <v> </v>
      </c>
      <c r="L137" s="180" t="str">
        <f aca="false">IF((D137="p"),F137," ")</f>
        <v> </v>
      </c>
      <c r="M137" s="180" t="str">
        <f aca="false">IF((D137="g"),F137," ")</f>
        <v> </v>
      </c>
      <c r="N137" s="180" t="str">
        <f aca="false">IF((D137="a"),F137," ")</f>
        <v> </v>
      </c>
      <c r="O137" s="180" t="str">
        <f aca="false">IF((D137="l"),F137," ")</f>
        <v> </v>
      </c>
      <c r="P137" s="180" t="str">
        <f aca="false">IF((D137="i"),F137," ")</f>
        <v> </v>
      </c>
      <c r="Q137" s="180" t="str">
        <f aca="false">IF((D137="b"),F137," ")</f>
        <v> </v>
      </c>
      <c r="R137" s="180" t="str">
        <f aca="false">IF((D137="o"),F137," ")</f>
        <v> </v>
      </c>
      <c r="S137" s="180" t="str">
        <f aca="false">IF((D137="f"),F137," ")</f>
        <v> </v>
      </c>
      <c r="U137" s="371"/>
    </row>
    <row r="138" customFormat="false" ht="12.75" hidden="false" customHeight="false" outlineLevel="0" collapsed="false">
      <c r="D138" s="371" t="str">
        <f aca="false">IF((F138&lt;&gt;0),"Enter Letter"," ")</f>
        <v> </v>
      </c>
      <c r="G138" s="180" t="str">
        <f aca="false">IF((D138="d"),F138," ")</f>
        <v> </v>
      </c>
      <c r="H138" s="180" t="str">
        <f aca="false">IF((D138="h"),F138," ")</f>
        <v> </v>
      </c>
      <c r="I138" s="180" t="str">
        <f aca="false">IF((D138="r"),F138," ")</f>
        <v> </v>
      </c>
      <c r="J138" s="180" t="str">
        <f aca="false">IF((D138="t"),F138," ")</f>
        <v> </v>
      </c>
      <c r="K138" s="180" t="str">
        <f aca="false">IF((D138="e"),F138," ")</f>
        <v> </v>
      </c>
      <c r="L138" s="180" t="str">
        <f aca="false">IF((D138="p"),F138," ")</f>
        <v> </v>
      </c>
      <c r="M138" s="180" t="str">
        <f aca="false">IF((D138="g"),F138," ")</f>
        <v> </v>
      </c>
      <c r="N138" s="180" t="str">
        <f aca="false">IF((D138="a"),F138," ")</f>
        <v> </v>
      </c>
      <c r="O138" s="180" t="str">
        <f aca="false">IF((D138="l"),F138," ")</f>
        <v> </v>
      </c>
      <c r="P138" s="180" t="str">
        <f aca="false">IF((D138="i"),F138," ")</f>
        <v> </v>
      </c>
      <c r="Q138" s="180" t="str">
        <f aca="false">IF((D138="b"),F138," ")</f>
        <v> </v>
      </c>
      <c r="R138" s="180" t="str">
        <f aca="false">IF((D138="o"),F138," ")</f>
        <v> </v>
      </c>
      <c r="S138" s="180" t="str">
        <f aca="false">IF((D138="f"),F138," ")</f>
        <v> </v>
      </c>
      <c r="U138" s="371"/>
    </row>
    <row r="139" customFormat="false" ht="12.75" hidden="false" customHeight="false" outlineLevel="0" collapsed="false">
      <c r="D139" s="371" t="str">
        <f aca="false">IF((F139&lt;&gt;0),"Enter Letter"," ")</f>
        <v> </v>
      </c>
      <c r="G139" s="180" t="str">
        <f aca="false">IF((D139="d"),F139," ")</f>
        <v> </v>
      </c>
      <c r="H139" s="180" t="str">
        <f aca="false">IF((D139="h"),F139," ")</f>
        <v> </v>
      </c>
      <c r="I139" s="180" t="str">
        <f aca="false">IF((D139="r"),F139," ")</f>
        <v> </v>
      </c>
      <c r="J139" s="180" t="str">
        <f aca="false">IF((D139="t"),F139," ")</f>
        <v> </v>
      </c>
      <c r="K139" s="180" t="str">
        <f aca="false">IF((D139="e"),F139," ")</f>
        <v> </v>
      </c>
      <c r="L139" s="180" t="str">
        <f aca="false">IF((D139="p"),F139," ")</f>
        <v> </v>
      </c>
      <c r="M139" s="180" t="str">
        <f aca="false">IF((D139="g"),F139," ")</f>
        <v> </v>
      </c>
      <c r="N139" s="180" t="str">
        <f aca="false">IF((D139="a"),F139," ")</f>
        <v> </v>
      </c>
      <c r="O139" s="180" t="str">
        <f aca="false">IF((D139="l"),F139," ")</f>
        <v> </v>
      </c>
      <c r="P139" s="180" t="str">
        <f aca="false">IF((D139="i"),F139," ")</f>
        <v> </v>
      </c>
      <c r="Q139" s="180" t="str">
        <f aca="false">IF((D139="b"),F139," ")</f>
        <v> </v>
      </c>
      <c r="R139" s="180" t="str">
        <f aca="false">IF((D139="o"),F139," ")</f>
        <v> </v>
      </c>
      <c r="S139" s="180" t="str">
        <f aca="false">IF((D139="f"),F139," ")</f>
        <v> </v>
      </c>
      <c r="U139" s="371"/>
    </row>
    <row r="140" customFormat="false" ht="12.75" hidden="false" customHeight="false" outlineLevel="0" collapsed="false">
      <c r="D140" s="371" t="str">
        <f aca="false">IF((F140&lt;&gt;0),"Enter Letter"," ")</f>
        <v> </v>
      </c>
      <c r="G140" s="180" t="str">
        <f aca="false">IF((D140="d"),F140," ")</f>
        <v> </v>
      </c>
      <c r="H140" s="180" t="str">
        <f aca="false">IF((D140="h"),F140," ")</f>
        <v> </v>
      </c>
      <c r="I140" s="180" t="str">
        <f aca="false">IF((D140="r"),F140," ")</f>
        <v> </v>
      </c>
      <c r="J140" s="180" t="str">
        <f aca="false">IF((D140="t"),F140," ")</f>
        <v> </v>
      </c>
      <c r="K140" s="180" t="str">
        <f aca="false">IF((D140="e"),F140," ")</f>
        <v> </v>
      </c>
      <c r="L140" s="180" t="str">
        <f aca="false">IF((D140="p"),F140," ")</f>
        <v> </v>
      </c>
      <c r="M140" s="180" t="str">
        <f aca="false">IF((D140="g"),F140," ")</f>
        <v> </v>
      </c>
      <c r="N140" s="180" t="str">
        <f aca="false">IF((D140="a"),F140," ")</f>
        <v> </v>
      </c>
      <c r="O140" s="180" t="str">
        <f aca="false">IF((D140="l"),F140," ")</f>
        <v> </v>
      </c>
      <c r="P140" s="180" t="str">
        <f aca="false">IF((D140="i"),F140," ")</f>
        <v> </v>
      </c>
      <c r="Q140" s="180" t="str">
        <f aca="false">IF((D140="b"),F140," ")</f>
        <v> </v>
      </c>
      <c r="R140" s="180" t="str">
        <f aca="false">IF((D140="o"),F140," ")</f>
        <v> </v>
      </c>
      <c r="S140" s="180" t="str">
        <f aca="false">IF((D140="f"),F140," ")</f>
        <v> </v>
      </c>
      <c r="U140" s="371"/>
    </row>
    <row r="141" customFormat="false" ht="12.75" hidden="false" customHeight="false" outlineLevel="0" collapsed="false">
      <c r="D141" s="371" t="str">
        <f aca="false">IF((F141&lt;&gt;0),"Enter Letter"," ")</f>
        <v> </v>
      </c>
      <c r="G141" s="180" t="str">
        <f aca="false">IF((D141="d"),F141," ")</f>
        <v> </v>
      </c>
      <c r="H141" s="180" t="str">
        <f aca="false">IF((D141="h"),F141," ")</f>
        <v> </v>
      </c>
      <c r="I141" s="180" t="str">
        <f aca="false">IF((D141="r"),F141," ")</f>
        <v> </v>
      </c>
      <c r="J141" s="180" t="str">
        <f aca="false">IF((D141="t"),F141," ")</f>
        <v> </v>
      </c>
      <c r="K141" s="180" t="str">
        <f aca="false">IF((D141="e"),F141," ")</f>
        <v> </v>
      </c>
      <c r="L141" s="180" t="str">
        <f aca="false">IF((D141="p"),F141," ")</f>
        <v> </v>
      </c>
      <c r="M141" s="180" t="str">
        <f aca="false">IF((D141="g"),F141," ")</f>
        <v> </v>
      </c>
      <c r="N141" s="180" t="str">
        <f aca="false">IF((D141="a"),F141," ")</f>
        <v> </v>
      </c>
      <c r="O141" s="180" t="str">
        <f aca="false">IF((D141="l"),F141," ")</f>
        <v> </v>
      </c>
      <c r="P141" s="180" t="str">
        <f aca="false">IF((D141="i"),F141," ")</f>
        <v> </v>
      </c>
      <c r="Q141" s="180" t="str">
        <f aca="false">IF((D141="b"),F141," ")</f>
        <v> </v>
      </c>
      <c r="R141" s="180" t="str">
        <f aca="false">IF((D141="o"),F141," ")</f>
        <v> </v>
      </c>
      <c r="S141" s="180" t="str">
        <f aca="false">IF((D141="f"),F141," ")</f>
        <v> </v>
      </c>
      <c r="U141" s="371"/>
    </row>
    <row r="142" customFormat="false" ht="12.75" hidden="false" customHeight="false" outlineLevel="0" collapsed="false">
      <c r="D142" s="371" t="str">
        <f aca="false">IF((F142&lt;&gt;0),"Enter Letter"," ")</f>
        <v> </v>
      </c>
      <c r="G142" s="180" t="str">
        <f aca="false">IF((D142="d"),F142," ")</f>
        <v> </v>
      </c>
      <c r="H142" s="180" t="str">
        <f aca="false">IF((D142="h"),F142," ")</f>
        <v> </v>
      </c>
      <c r="I142" s="180" t="str">
        <f aca="false">IF((D142="r"),F142," ")</f>
        <v> </v>
      </c>
      <c r="J142" s="180" t="str">
        <f aca="false">IF((D142="t"),F142," ")</f>
        <v> </v>
      </c>
      <c r="K142" s="180" t="str">
        <f aca="false">IF((D142="e"),F142," ")</f>
        <v> </v>
      </c>
      <c r="L142" s="180" t="str">
        <f aca="false">IF((D142="p"),F142," ")</f>
        <v> </v>
      </c>
      <c r="M142" s="180" t="str">
        <f aca="false">IF((D142="g"),F142," ")</f>
        <v> </v>
      </c>
      <c r="N142" s="180" t="str">
        <f aca="false">IF((D142="a"),F142," ")</f>
        <v> </v>
      </c>
      <c r="O142" s="180" t="str">
        <f aca="false">IF((D142="l"),F142," ")</f>
        <v> </v>
      </c>
      <c r="P142" s="180" t="str">
        <f aca="false">IF((D142="i"),F142," ")</f>
        <v> </v>
      </c>
      <c r="Q142" s="180" t="str">
        <f aca="false">IF((D142="b"),F142," ")</f>
        <v> </v>
      </c>
      <c r="R142" s="180" t="str">
        <f aca="false">IF((D142="o"),F142," ")</f>
        <v> </v>
      </c>
      <c r="S142" s="180" t="str">
        <f aca="false">IF((D142="f"),F142," ")</f>
        <v> </v>
      </c>
      <c r="U142" s="371"/>
    </row>
    <row r="143" customFormat="false" ht="12.75" hidden="false" customHeight="false" outlineLevel="0" collapsed="false">
      <c r="D143" s="371" t="str">
        <f aca="false">IF((F143&lt;&gt;0),"Enter Letter"," ")</f>
        <v> </v>
      </c>
      <c r="G143" s="180" t="str">
        <f aca="false">IF((D143="d"),F143," ")</f>
        <v> </v>
      </c>
      <c r="H143" s="180" t="str">
        <f aca="false">IF((D143="h"),F143," ")</f>
        <v> </v>
      </c>
      <c r="I143" s="180" t="str">
        <f aca="false">IF((D143="r"),F143," ")</f>
        <v> </v>
      </c>
      <c r="J143" s="180" t="str">
        <f aca="false">IF((D143="t"),F143," ")</f>
        <v> </v>
      </c>
      <c r="K143" s="180" t="str">
        <f aca="false">IF((D143="e"),F143," ")</f>
        <v> </v>
      </c>
      <c r="L143" s="180" t="str">
        <f aca="false">IF((D143="p"),F143," ")</f>
        <v> </v>
      </c>
      <c r="M143" s="180" t="str">
        <f aca="false">IF((D143="g"),F143," ")</f>
        <v> </v>
      </c>
      <c r="N143" s="180" t="str">
        <f aca="false">IF((D143="a"),F143," ")</f>
        <v> </v>
      </c>
      <c r="O143" s="180" t="str">
        <f aca="false">IF((D143="l"),F143," ")</f>
        <v> </v>
      </c>
      <c r="P143" s="180" t="str">
        <f aca="false">IF((D143="i"),F143," ")</f>
        <v> </v>
      </c>
      <c r="Q143" s="180" t="str">
        <f aca="false">IF((D143="b"),F143," ")</f>
        <v> </v>
      </c>
      <c r="R143" s="180" t="str">
        <f aca="false">IF((D143="o"),F143," ")</f>
        <v> </v>
      </c>
      <c r="S143" s="180" t="str">
        <f aca="false">IF((D143="f"),F143," ")</f>
        <v> </v>
      </c>
      <c r="U143" s="371"/>
    </row>
    <row r="144" customFormat="false" ht="12.75" hidden="false" customHeight="false" outlineLevel="0" collapsed="false">
      <c r="D144" s="371" t="str">
        <f aca="false">IF((F144&lt;&gt;0),"Enter Letter"," ")</f>
        <v> </v>
      </c>
      <c r="G144" s="180" t="str">
        <f aca="false">IF((D144="d"),F144," ")</f>
        <v> </v>
      </c>
      <c r="H144" s="180" t="str">
        <f aca="false">IF((D144="h"),F144," ")</f>
        <v> </v>
      </c>
      <c r="I144" s="180" t="str">
        <f aca="false">IF((D144="r"),F144," ")</f>
        <v> </v>
      </c>
      <c r="J144" s="180" t="str">
        <f aca="false">IF((D144="t"),F144," ")</f>
        <v> </v>
      </c>
      <c r="K144" s="180" t="str">
        <f aca="false">IF((D144="e"),F144," ")</f>
        <v> </v>
      </c>
      <c r="L144" s="180" t="str">
        <f aca="false">IF((D144="p"),F144," ")</f>
        <v> </v>
      </c>
      <c r="M144" s="180" t="str">
        <f aca="false">IF((D144="g"),F144," ")</f>
        <v> </v>
      </c>
      <c r="N144" s="180" t="str">
        <f aca="false">IF((D144="a"),F144," ")</f>
        <v> </v>
      </c>
      <c r="O144" s="180" t="str">
        <f aca="false">IF((D144="l"),F144," ")</f>
        <v> </v>
      </c>
      <c r="P144" s="180" t="str">
        <f aca="false">IF((D144="i"),F144," ")</f>
        <v> </v>
      </c>
      <c r="Q144" s="180" t="str">
        <f aca="false">IF((D144="b"),F144," ")</f>
        <v> </v>
      </c>
      <c r="R144" s="180" t="str">
        <f aca="false">IF((D144="o"),F144," ")</f>
        <v> </v>
      </c>
      <c r="S144" s="180" t="str">
        <f aca="false">IF((D144="f"),F144," ")</f>
        <v> </v>
      </c>
      <c r="U144" s="371"/>
    </row>
    <row r="145" customFormat="false" ht="12.75" hidden="false" customHeight="false" outlineLevel="0" collapsed="false">
      <c r="D145" s="371" t="str">
        <f aca="false">IF((F145&lt;&gt;0),"Enter Letter"," ")</f>
        <v> </v>
      </c>
      <c r="G145" s="180" t="str">
        <f aca="false">IF((D145="d"),F145," ")</f>
        <v> </v>
      </c>
      <c r="H145" s="180" t="str">
        <f aca="false">IF((D145="h"),F145," ")</f>
        <v> </v>
      </c>
      <c r="I145" s="180" t="str">
        <f aca="false">IF((D145="r"),F145," ")</f>
        <v> </v>
      </c>
      <c r="J145" s="180" t="str">
        <f aca="false">IF((D145="t"),F145," ")</f>
        <v> </v>
      </c>
      <c r="K145" s="180" t="str">
        <f aca="false">IF((D145="e"),F145," ")</f>
        <v> </v>
      </c>
      <c r="L145" s="180" t="str">
        <f aca="false">IF((D145="p"),F145," ")</f>
        <v> </v>
      </c>
      <c r="M145" s="180" t="str">
        <f aca="false">IF((D145="g"),F145," ")</f>
        <v> </v>
      </c>
      <c r="N145" s="180" t="str">
        <f aca="false">IF((D145="a"),F145," ")</f>
        <v> </v>
      </c>
      <c r="O145" s="180" t="str">
        <f aca="false">IF((D145="l"),F145," ")</f>
        <v> </v>
      </c>
      <c r="P145" s="180" t="str">
        <f aca="false">IF((D145="i"),F145," ")</f>
        <v> </v>
      </c>
      <c r="Q145" s="180" t="str">
        <f aca="false">IF((D145="b"),F145," ")</f>
        <v> </v>
      </c>
      <c r="R145" s="180" t="str">
        <f aca="false">IF((D145="o"),F145," ")</f>
        <v> </v>
      </c>
      <c r="S145" s="180" t="str">
        <f aca="false">IF((D145="f"),F145," ")</f>
        <v> </v>
      </c>
      <c r="U145" s="371"/>
    </row>
    <row r="146" customFormat="false" ht="12.75" hidden="false" customHeight="false" outlineLevel="0" collapsed="false">
      <c r="D146" s="371" t="str">
        <f aca="false">IF((F146&lt;&gt;0),"Enter Letter"," ")</f>
        <v> </v>
      </c>
      <c r="G146" s="180" t="str">
        <f aca="false">IF((D146="d"),F146," ")</f>
        <v> </v>
      </c>
      <c r="H146" s="180" t="str">
        <f aca="false">IF((D146="h"),F146," ")</f>
        <v> </v>
      </c>
      <c r="I146" s="180" t="str">
        <f aca="false">IF((D146="r"),F146," ")</f>
        <v> </v>
      </c>
      <c r="J146" s="180" t="str">
        <f aca="false">IF((D146="t"),F146," ")</f>
        <v> </v>
      </c>
      <c r="K146" s="180" t="str">
        <f aca="false">IF((D146="e"),F146," ")</f>
        <v> </v>
      </c>
      <c r="L146" s="180" t="str">
        <f aca="false">IF((D146="p"),F146," ")</f>
        <v> </v>
      </c>
      <c r="M146" s="180" t="str">
        <f aca="false">IF((D146="g"),F146," ")</f>
        <v> </v>
      </c>
      <c r="N146" s="180" t="str">
        <f aca="false">IF((D146="a"),F146," ")</f>
        <v> </v>
      </c>
      <c r="O146" s="180" t="str">
        <f aca="false">IF((D146="l"),F146," ")</f>
        <v> </v>
      </c>
      <c r="P146" s="180" t="str">
        <f aca="false">IF((D146="i"),F146," ")</f>
        <v> </v>
      </c>
      <c r="Q146" s="180" t="str">
        <f aca="false">IF((D146="b"),F146," ")</f>
        <v> </v>
      </c>
      <c r="R146" s="180" t="str">
        <f aca="false">IF((D146="o"),F146," ")</f>
        <v> </v>
      </c>
      <c r="S146" s="180" t="str">
        <f aca="false">IF((D146="f"),F146," ")</f>
        <v> </v>
      </c>
      <c r="U146" s="371"/>
    </row>
    <row r="147" customFormat="false" ht="12.75" hidden="false" customHeight="false" outlineLevel="0" collapsed="false">
      <c r="D147" s="371" t="str">
        <f aca="false">IF((F147&lt;&gt;0),"Enter Letter"," ")</f>
        <v> </v>
      </c>
      <c r="G147" s="180" t="str">
        <f aca="false">IF((D147="d"),F147," ")</f>
        <v> </v>
      </c>
      <c r="H147" s="180" t="str">
        <f aca="false">IF((D147="h"),F147," ")</f>
        <v> </v>
      </c>
      <c r="I147" s="180" t="str">
        <f aca="false">IF((D147="r"),F147," ")</f>
        <v> </v>
      </c>
      <c r="J147" s="180" t="str">
        <f aca="false">IF((D147="t"),F147," ")</f>
        <v> </v>
      </c>
      <c r="K147" s="180" t="str">
        <f aca="false">IF((D147="e"),F147," ")</f>
        <v> </v>
      </c>
      <c r="L147" s="180" t="str">
        <f aca="false">IF((D147="p"),F147," ")</f>
        <v> </v>
      </c>
      <c r="M147" s="180" t="str">
        <f aca="false">IF((D147="g"),F147," ")</f>
        <v> </v>
      </c>
      <c r="N147" s="180" t="str">
        <f aca="false">IF((D147="a"),F147," ")</f>
        <v> </v>
      </c>
      <c r="O147" s="180" t="str">
        <f aca="false">IF((D147="l"),F147," ")</f>
        <v> </v>
      </c>
      <c r="P147" s="180" t="str">
        <f aca="false">IF((D147="i"),F147," ")</f>
        <v> </v>
      </c>
      <c r="Q147" s="180" t="str">
        <f aca="false">IF((D147="b"),F147," ")</f>
        <v> </v>
      </c>
      <c r="R147" s="180" t="str">
        <f aca="false">IF((D147="o"),F147," ")</f>
        <v> </v>
      </c>
      <c r="S147" s="180" t="str">
        <f aca="false">IF((D147="f"),F147," ")</f>
        <v> </v>
      </c>
      <c r="U147" s="371"/>
    </row>
    <row r="148" customFormat="false" ht="12.75" hidden="false" customHeight="false" outlineLevel="0" collapsed="false">
      <c r="D148" s="371" t="str">
        <f aca="false">IF((F148&lt;&gt;0),"Enter Letter"," ")</f>
        <v> </v>
      </c>
      <c r="G148" s="180" t="str">
        <f aca="false">IF((D148="d"),F148," ")</f>
        <v> </v>
      </c>
      <c r="H148" s="180" t="str">
        <f aca="false">IF((D148="h"),F148," ")</f>
        <v> </v>
      </c>
      <c r="I148" s="180" t="str">
        <f aca="false">IF((D148="r"),F148," ")</f>
        <v> </v>
      </c>
      <c r="J148" s="180" t="str">
        <f aca="false">IF((D148="t"),F148," ")</f>
        <v> </v>
      </c>
      <c r="K148" s="180" t="str">
        <f aca="false">IF((D148="e"),F148," ")</f>
        <v> </v>
      </c>
      <c r="L148" s="180" t="str">
        <f aca="false">IF((D148="p"),F148," ")</f>
        <v> </v>
      </c>
      <c r="M148" s="180" t="str">
        <f aca="false">IF((D148="g"),F148," ")</f>
        <v> </v>
      </c>
      <c r="N148" s="180" t="str">
        <f aca="false">IF((D148="a"),F148," ")</f>
        <v> </v>
      </c>
      <c r="O148" s="180" t="str">
        <f aca="false">IF((D148="l"),F148," ")</f>
        <v> </v>
      </c>
      <c r="P148" s="180" t="str">
        <f aca="false">IF((D148="i"),F148," ")</f>
        <v> </v>
      </c>
      <c r="Q148" s="180" t="str">
        <f aca="false">IF((D148="b"),F148," ")</f>
        <v> </v>
      </c>
      <c r="R148" s="180" t="str">
        <f aca="false">IF((D148="o"),F148," ")</f>
        <v> </v>
      </c>
      <c r="S148" s="180" t="str">
        <f aca="false">IF((D148="f"),F148," ")</f>
        <v> </v>
      </c>
      <c r="U148" s="371"/>
    </row>
    <row r="149" customFormat="false" ht="12.75" hidden="false" customHeight="false" outlineLevel="0" collapsed="false">
      <c r="D149" s="371" t="str">
        <f aca="false">IF((F149&lt;&gt;0),"Enter Letter"," ")</f>
        <v> </v>
      </c>
      <c r="G149" s="180" t="str">
        <f aca="false">IF((D149="d"),F149," ")</f>
        <v> </v>
      </c>
      <c r="H149" s="180" t="str">
        <f aca="false">IF((D149="h"),F149," ")</f>
        <v> </v>
      </c>
      <c r="I149" s="180" t="str">
        <f aca="false">IF((D149="r"),F149," ")</f>
        <v> </v>
      </c>
      <c r="J149" s="180" t="str">
        <f aca="false">IF((D149="t"),F149," ")</f>
        <v> </v>
      </c>
      <c r="K149" s="180" t="str">
        <f aca="false">IF((D149="e"),F149," ")</f>
        <v> </v>
      </c>
      <c r="L149" s="180" t="str">
        <f aca="false">IF((D149="p"),F149," ")</f>
        <v> </v>
      </c>
      <c r="M149" s="180" t="str">
        <f aca="false">IF((D149="g"),F149," ")</f>
        <v> </v>
      </c>
      <c r="N149" s="180" t="str">
        <f aca="false">IF((D149="a"),F149," ")</f>
        <v> </v>
      </c>
      <c r="O149" s="180" t="str">
        <f aca="false">IF((D149="l"),F149," ")</f>
        <v> </v>
      </c>
      <c r="P149" s="180" t="str">
        <f aca="false">IF((D149="i"),F149," ")</f>
        <v> </v>
      </c>
      <c r="Q149" s="180" t="str">
        <f aca="false">IF((D149="b"),F149," ")</f>
        <v> </v>
      </c>
      <c r="R149" s="180" t="str">
        <f aca="false">IF((D149="o"),F149," ")</f>
        <v> </v>
      </c>
      <c r="S149" s="180" t="str">
        <f aca="false">IF((D149="f"),F149," ")</f>
        <v> </v>
      </c>
      <c r="U149" s="371"/>
    </row>
    <row r="150" customFormat="false" ht="12.75" hidden="false" customHeight="false" outlineLevel="0" collapsed="false">
      <c r="D150" s="371" t="str">
        <f aca="false">IF((F150&lt;&gt;0),"Enter Letter"," ")</f>
        <v> </v>
      </c>
      <c r="G150" s="180" t="str">
        <f aca="false">IF((D150="d"),F150," ")</f>
        <v> </v>
      </c>
      <c r="H150" s="180" t="str">
        <f aca="false">IF((D150="h"),F150," ")</f>
        <v> </v>
      </c>
      <c r="I150" s="180" t="str">
        <f aca="false">IF((D150="r"),F150," ")</f>
        <v> </v>
      </c>
      <c r="J150" s="180" t="str">
        <f aca="false">IF((D150="t"),F150," ")</f>
        <v> </v>
      </c>
      <c r="K150" s="180" t="str">
        <f aca="false">IF((D150="e"),F150," ")</f>
        <v> </v>
      </c>
      <c r="L150" s="180" t="str">
        <f aca="false">IF((D150="p"),F150," ")</f>
        <v> </v>
      </c>
      <c r="M150" s="180" t="str">
        <f aca="false">IF((D150="g"),F150," ")</f>
        <v> </v>
      </c>
      <c r="N150" s="180" t="str">
        <f aca="false">IF((D150="a"),F150," ")</f>
        <v> </v>
      </c>
      <c r="O150" s="180" t="str">
        <f aca="false">IF((D150="l"),F150," ")</f>
        <v> </v>
      </c>
      <c r="P150" s="180" t="str">
        <f aca="false">IF((D150="i"),F150," ")</f>
        <v> </v>
      </c>
      <c r="Q150" s="180" t="str">
        <f aca="false">IF((D150="b"),F150," ")</f>
        <v> </v>
      </c>
      <c r="R150" s="180" t="str">
        <f aca="false">IF((D150="o"),F150," ")</f>
        <v> </v>
      </c>
      <c r="S150" s="180" t="str">
        <f aca="false">IF((D150="f"),F150," ")</f>
        <v> </v>
      </c>
      <c r="U150" s="371"/>
    </row>
    <row r="151" customFormat="false" ht="12.75" hidden="false" customHeight="false" outlineLevel="0" collapsed="false">
      <c r="D151" s="371" t="str">
        <f aca="false">IF((F151&lt;&gt;0),"Enter Letter"," ")</f>
        <v> </v>
      </c>
      <c r="G151" s="180" t="str">
        <f aca="false">IF((D151="d"),F151," ")</f>
        <v> </v>
      </c>
      <c r="H151" s="180" t="str">
        <f aca="false">IF((D151="h"),F151," ")</f>
        <v> </v>
      </c>
      <c r="I151" s="180" t="str">
        <f aca="false">IF((D151="r"),F151," ")</f>
        <v> </v>
      </c>
      <c r="J151" s="180" t="str">
        <f aca="false">IF((D151="t"),F151," ")</f>
        <v> </v>
      </c>
      <c r="K151" s="180" t="str">
        <f aca="false">IF((D151="e"),F151," ")</f>
        <v> </v>
      </c>
      <c r="L151" s="180" t="str">
        <f aca="false">IF((D151="p"),F151," ")</f>
        <v> </v>
      </c>
      <c r="M151" s="180" t="str">
        <f aca="false">IF((D151="g"),F151," ")</f>
        <v> </v>
      </c>
      <c r="N151" s="180" t="str">
        <f aca="false">IF((D151="a"),F151," ")</f>
        <v> </v>
      </c>
      <c r="O151" s="180" t="str">
        <f aca="false">IF((D151="l"),F151," ")</f>
        <v> </v>
      </c>
      <c r="P151" s="180" t="str">
        <f aca="false">IF((D151="i"),F151," ")</f>
        <v> </v>
      </c>
      <c r="Q151" s="180" t="str">
        <f aca="false">IF((D151="b"),F151," ")</f>
        <v> </v>
      </c>
      <c r="R151" s="180" t="str">
        <f aca="false">IF((D151="o"),F151," ")</f>
        <v> </v>
      </c>
      <c r="S151" s="180" t="str">
        <f aca="false">IF((D151="f"),F151," ")</f>
        <v> </v>
      </c>
      <c r="U151" s="371"/>
    </row>
    <row r="152" customFormat="false" ht="12.75" hidden="false" customHeight="false" outlineLevel="0" collapsed="false">
      <c r="D152" s="371" t="str">
        <f aca="false">IF((F152&lt;&gt;0),"Enter Letter"," ")</f>
        <v> </v>
      </c>
      <c r="G152" s="180" t="str">
        <f aca="false">IF((D152="d"),F152," ")</f>
        <v> </v>
      </c>
      <c r="H152" s="180" t="str">
        <f aca="false">IF((D152="h"),F152," ")</f>
        <v> </v>
      </c>
      <c r="I152" s="180" t="str">
        <f aca="false">IF((D152="r"),F152," ")</f>
        <v> </v>
      </c>
      <c r="J152" s="180" t="str">
        <f aca="false">IF((D152="t"),F152," ")</f>
        <v> </v>
      </c>
      <c r="K152" s="180" t="str">
        <f aca="false">IF((D152="e"),F152," ")</f>
        <v> </v>
      </c>
      <c r="L152" s="180" t="str">
        <f aca="false">IF((D152="p"),F152," ")</f>
        <v> </v>
      </c>
      <c r="M152" s="180" t="str">
        <f aca="false">IF((D152="g"),F152," ")</f>
        <v> </v>
      </c>
      <c r="N152" s="180" t="str">
        <f aca="false">IF((D152="a"),F152," ")</f>
        <v> </v>
      </c>
      <c r="O152" s="180" t="str">
        <f aca="false">IF((D152="l"),F152," ")</f>
        <v> </v>
      </c>
      <c r="P152" s="180" t="str">
        <f aca="false">IF((D152="i"),F152," ")</f>
        <v> </v>
      </c>
      <c r="Q152" s="180" t="str">
        <f aca="false">IF((D152="b"),F152," ")</f>
        <v> </v>
      </c>
      <c r="R152" s="180" t="str">
        <f aca="false">IF((D152="o"),F152," ")</f>
        <v> </v>
      </c>
      <c r="S152" s="180" t="str">
        <f aca="false">IF((D152="f"),F152," ")</f>
        <v> </v>
      </c>
      <c r="U152" s="371"/>
    </row>
    <row r="153" customFormat="false" ht="12.75" hidden="false" customHeight="false" outlineLevel="0" collapsed="false">
      <c r="D153" s="371" t="str">
        <f aca="false">IF((F153&lt;&gt;0),"Enter Letter"," ")</f>
        <v> </v>
      </c>
      <c r="G153" s="180" t="str">
        <f aca="false">IF((D153="d"),F153," ")</f>
        <v> </v>
      </c>
      <c r="H153" s="180" t="str">
        <f aca="false">IF((D153="h"),F153," ")</f>
        <v> </v>
      </c>
      <c r="I153" s="180" t="str">
        <f aca="false">IF((D153="r"),F153," ")</f>
        <v> </v>
      </c>
      <c r="J153" s="180" t="str">
        <f aca="false">IF((D153="t"),F153," ")</f>
        <v> </v>
      </c>
      <c r="K153" s="180" t="str">
        <f aca="false">IF((D153="e"),F153," ")</f>
        <v> </v>
      </c>
      <c r="L153" s="180" t="str">
        <f aca="false">IF((D153="p"),F153," ")</f>
        <v> </v>
      </c>
      <c r="M153" s="180" t="str">
        <f aca="false">IF((D153="g"),F153," ")</f>
        <v> </v>
      </c>
      <c r="N153" s="180" t="str">
        <f aca="false">IF((D153="a"),F153," ")</f>
        <v> </v>
      </c>
      <c r="O153" s="180" t="str">
        <f aca="false">IF((D153="l"),F153," ")</f>
        <v> </v>
      </c>
      <c r="P153" s="180" t="str">
        <f aca="false">IF((D153="i"),F153," ")</f>
        <v> </v>
      </c>
      <c r="Q153" s="180" t="str">
        <f aca="false">IF((D153="b"),F153," ")</f>
        <v> </v>
      </c>
      <c r="R153" s="180" t="str">
        <f aca="false">IF((D153="o"),F153," ")</f>
        <v> </v>
      </c>
      <c r="S153" s="180" t="str">
        <f aca="false">IF((D153="f"),F153," ")</f>
        <v> </v>
      </c>
      <c r="U153" s="371"/>
    </row>
    <row r="154" customFormat="false" ht="12.75" hidden="false" customHeight="false" outlineLevel="0" collapsed="false">
      <c r="D154" s="371" t="str">
        <f aca="false">IF((F154&lt;&gt;0),"Enter Letter"," ")</f>
        <v> </v>
      </c>
      <c r="G154" s="180" t="str">
        <f aca="false">IF((D154="d"),F154," ")</f>
        <v> </v>
      </c>
      <c r="H154" s="180" t="str">
        <f aca="false">IF((D154="h"),F154," ")</f>
        <v> </v>
      </c>
      <c r="I154" s="180" t="str">
        <f aca="false">IF((D154="r"),F154," ")</f>
        <v> </v>
      </c>
      <c r="J154" s="180" t="str">
        <f aca="false">IF((D154="t"),F154," ")</f>
        <v> </v>
      </c>
      <c r="K154" s="180" t="str">
        <f aca="false">IF((D154="e"),F154," ")</f>
        <v> </v>
      </c>
      <c r="L154" s="180" t="str">
        <f aca="false">IF((D154="p"),F154," ")</f>
        <v> </v>
      </c>
      <c r="M154" s="180" t="str">
        <f aca="false">IF((D154="g"),F154," ")</f>
        <v> </v>
      </c>
      <c r="N154" s="180" t="str">
        <f aca="false">IF((D154="a"),F154," ")</f>
        <v> </v>
      </c>
      <c r="O154" s="180" t="str">
        <f aca="false">IF((D154="l"),F154," ")</f>
        <v> </v>
      </c>
      <c r="P154" s="180" t="str">
        <f aca="false">IF((D154="i"),F154," ")</f>
        <v> </v>
      </c>
      <c r="Q154" s="180" t="str">
        <f aca="false">IF((D154="b"),F154," ")</f>
        <v> </v>
      </c>
      <c r="R154" s="180" t="str">
        <f aca="false">IF((D154="o"),F154," ")</f>
        <v> </v>
      </c>
      <c r="S154" s="180" t="str">
        <f aca="false">IF((D154="f"),F154," ")</f>
        <v> </v>
      </c>
      <c r="U154" s="371"/>
    </row>
    <row r="155" customFormat="false" ht="12.75" hidden="false" customHeight="false" outlineLevel="0" collapsed="false">
      <c r="D155" s="371" t="str">
        <f aca="false">IF((F155&lt;&gt;0),"Enter Letter"," ")</f>
        <v> </v>
      </c>
      <c r="G155" s="180" t="str">
        <f aca="false">IF((D155="d"),F155," ")</f>
        <v> </v>
      </c>
      <c r="H155" s="180" t="str">
        <f aca="false">IF((D155="h"),F155," ")</f>
        <v> </v>
      </c>
      <c r="I155" s="180" t="str">
        <f aca="false">IF((D155="r"),F155," ")</f>
        <v> </v>
      </c>
      <c r="J155" s="180" t="str">
        <f aca="false">IF((D155="t"),F155," ")</f>
        <v> </v>
      </c>
      <c r="K155" s="180" t="str">
        <f aca="false">IF((D155="e"),F155," ")</f>
        <v> </v>
      </c>
      <c r="L155" s="180" t="str">
        <f aca="false">IF((D155="p"),F155," ")</f>
        <v> </v>
      </c>
      <c r="M155" s="180" t="str">
        <f aca="false">IF((D155="g"),F155," ")</f>
        <v> </v>
      </c>
      <c r="N155" s="180" t="str">
        <f aca="false">IF((D155="a"),F155," ")</f>
        <v> </v>
      </c>
      <c r="O155" s="180" t="str">
        <f aca="false">IF((D155="l"),F155," ")</f>
        <v> </v>
      </c>
      <c r="P155" s="180" t="str">
        <f aca="false">IF((D155="i"),F155," ")</f>
        <v> </v>
      </c>
      <c r="Q155" s="180" t="str">
        <f aca="false">IF((D155="b"),F155," ")</f>
        <v> </v>
      </c>
      <c r="R155" s="180" t="str">
        <f aca="false">IF((D155="o"),F155," ")</f>
        <v> </v>
      </c>
      <c r="S155" s="180" t="str">
        <f aca="false">IF((D155="f"),F155," ")</f>
        <v> </v>
      </c>
      <c r="U155" s="371"/>
    </row>
    <row r="156" customFormat="false" ht="12.75" hidden="false" customHeight="false" outlineLevel="0" collapsed="false">
      <c r="D156" s="371" t="str">
        <f aca="false">IF((F156&lt;&gt;0),"Enter Letter"," ")</f>
        <v> </v>
      </c>
      <c r="G156" s="180" t="str">
        <f aca="false">IF((D156="d"),F156," ")</f>
        <v> </v>
      </c>
      <c r="H156" s="180" t="str">
        <f aca="false">IF((D156="h"),F156," ")</f>
        <v> </v>
      </c>
      <c r="I156" s="180" t="str">
        <f aca="false">IF((D156="r"),F156," ")</f>
        <v> </v>
      </c>
      <c r="J156" s="180" t="str">
        <f aca="false">IF((D156="t"),F156," ")</f>
        <v> </v>
      </c>
      <c r="K156" s="180" t="str">
        <f aca="false">IF((D156="e"),F156," ")</f>
        <v> </v>
      </c>
      <c r="L156" s="180" t="str">
        <f aca="false">IF((D156="p"),F156," ")</f>
        <v> </v>
      </c>
      <c r="M156" s="180" t="str">
        <f aca="false">IF((D156="g"),F156," ")</f>
        <v> </v>
      </c>
      <c r="N156" s="180" t="str">
        <f aca="false">IF((D156="a"),F156," ")</f>
        <v> </v>
      </c>
      <c r="O156" s="180" t="str">
        <f aca="false">IF((D156="l"),F156," ")</f>
        <v> </v>
      </c>
      <c r="P156" s="180" t="str">
        <f aca="false">IF((D156="i"),F156," ")</f>
        <v> </v>
      </c>
      <c r="Q156" s="180" t="str">
        <f aca="false">IF((D156="b"),F156," ")</f>
        <v> </v>
      </c>
      <c r="R156" s="180" t="str">
        <f aca="false">IF((D156="o"),F156," ")</f>
        <v> </v>
      </c>
      <c r="S156" s="180" t="str">
        <f aca="false">IF((D156="f"),F156," ")</f>
        <v> </v>
      </c>
      <c r="U156" s="371"/>
    </row>
    <row r="157" customFormat="false" ht="12.75" hidden="false" customHeight="false" outlineLevel="0" collapsed="false">
      <c r="D157" s="371" t="str">
        <f aca="false">IF((F157&lt;&gt;0),"Enter Letter"," ")</f>
        <v> </v>
      </c>
      <c r="G157" s="180" t="str">
        <f aca="false">IF((D157="d"),F157," ")</f>
        <v> </v>
      </c>
      <c r="H157" s="180" t="str">
        <f aca="false">IF((D157="h"),F157," ")</f>
        <v> </v>
      </c>
      <c r="I157" s="180" t="str">
        <f aca="false">IF((D157="r"),F157," ")</f>
        <v> </v>
      </c>
      <c r="J157" s="180" t="str">
        <f aca="false">IF((D157="t"),F157," ")</f>
        <v> </v>
      </c>
      <c r="K157" s="180" t="str">
        <f aca="false">IF((D157="e"),F157," ")</f>
        <v> </v>
      </c>
      <c r="L157" s="180" t="str">
        <f aca="false">IF((D157="p"),F157," ")</f>
        <v> </v>
      </c>
      <c r="M157" s="180" t="str">
        <f aca="false">IF((D157="g"),F157," ")</f>
        <v> </v>
      </c>
      <c r="N157" s="180" t="str">
        <f aca="false">IF((D157="a"),F157," ")</f>
        <v> </v>
      </c>
      <c r="O157" s="180" t="str">
        <f aca="false">IF((D157="l"),F157," ")</f>
        <v> </v>
      </c>
      <c r="P157" s="180" t="str">
        <f aca="false">IF((D157="i"),F157," ")</f>
        <v> </v>
      </c>
      <c r="Q157" s="180" t="str">
        <f aca="false">IF((D157="b"),F157," ")</f>
        <v> </v>
      </c>
      <c r="R157" s="180" t="str">
        <f aca="false">IF((D157="o"),F157," ")</f>
        <v> </v>
      </c>
      <c r="S157" s="180" t="str">
        <f aca="false">IF((D157="f"),F157," ")</f>
        <v> </v>
      </c>
      <c r="U157" s="371"/>
    </row>
    <row r="158" customFormat="false" ht="12.75" hidden="false" customHeight="false" outlineLevel="0" collapsed="false">
      <c r="D158" s="371" t="str">
        <f aca="false">IF((F158&lt;&gt;0),"Enter Letter"," ")</f>
        <v> </v>
      </c>
      <c r="G158" s="180" t="str">
        <f aca="false">IF((D158="d"),F158," ")</f>
        <v> </v>
      </c>
      <c r="H158" s="180" t="str">
        <f aca="false">IF((D158="h"),F158," ")</f>
        <v> </v>
      </c>
      <c r="I158" s="180" t="str">
        <f aca="false">IF((D158="r"),F158," ")</f>
        <v> </v>
      </c>
      <c r="J158" s="180" t="str">
        <f aca="false">IF((D158="t"),F158," ")</f>
        <v> </v>
      </c>
      <c r="K158" s="180" t="str">
        <f aca="false">IF((D158="e"),F158," ")</f>
        <v> </v>
      </c>
      <c r="L158" s="180" t="str">
        <f aca="false">IF((D158="p"),F158," ")</f>
        <v> </v>
      </c>
      <c r="M158" s="180" t="str">
        <f aca="false">IF((D158="g"),F158," ")</f>
        <v> </v>
      </c>
      <c r="N158" s="180" t="str">
        <f aca="false">IF((D158="a"),F158," ")</f>
        <v> </v>
      </c>
      <c r="O158" s="180" t="str">
        <f aca="false">IF((D158="l"),F158," ")</f>
        <v> </v>
      </c>
      <c r="P158" s="180" t="str">
        <f aca="false">IF((D158="i"),F158," ")</f>
        <v> </v>
      </c>
      <c r="Q158" s="180" t="str">
        <f aca="false">IF((D158="b"),F158," ")</f>
        <v> </v>
      </c>
      <c r="R158" s="180" t="str">
        <f aca="false">IF((D158="o"),F158," ")</f>
        <v> </v>
      </c>
      <c r="S158" s="180" t="str">
        <f aca="false">IF((D158="f"),F158," ")</f>
        <v> </v>
      </c>
      <c r="U158" s="371"/>
    </row>
    <row r="159" customFormat="false" ht="12.75" hidden="false" customHeight="false" outlineLevel="0" collapsed="false">
      <c r="D159" s="371" t="str">
        <f aca="false">IF((F159&lt;&gt;0),"Enter Letter"," ")</f>
        <v> </v>
      </c>
      <c r="G159" s="180" t="str">
        <f aca="false">IF((D159="d"),F159," ")</f>
        <v> </v>
      </c>
      <c r="H159" s="180" t="str">
        <f aca="false">IF((D159="h"),F159," ")</f>
        <v> </v>
      </c>
      <c r="I159" s="180" t="str">
        <f aca="false">IF((D159="r"),F159," ")</f>
        <v> </v>
      </c>
      <c r="J159" s="180" t="str">
        <f aca="false">IF((D159="t"),F159," ")</f>
        <v> </v>
      </c>
      <c r="K159" s="180" t="str">
        <f aca="false">IF((D159="e"),F159," ")</f>
        <v> </v>
      </c>
      <c r="L159" s="180" t="str">
        <f aca="false">IF((D159="p"),F159," ")</f>
        <v> </v>
      </c>
      <c r="M159" s="180" t="str">
        <f aca="false">IF((D159="g"),F159," ")</f>
        <v> </v>
      </c>
      <c r="N159" s="180" t="str">
        <f aca="false">IF((D159="a"),F159," ")</f>
        <v> </v>
      </c>
      <c r="O159" s="180" t="str">
        <f aca="false">IF((D159="l"),F159," ")</f>
        <v> </v>
      </c>
      <c r="P159" s="180" t="str">
        <f aca="false">IF((D159="i"),F159," ")</f>
        <v> </v>
      </c>
      <c r="Q159" s="180" t="str">
        <f aca="false">IF((D159="b"),F159," ")</f>
        <v> </v>
      </c>
      <c r="R159" s="180" t="str">
        <f aca="false">IF((D159="o"),F159," ")</f>
        <v> </v>
      </c>
      <c r="S159" s="180" t="str">
        <f aca="false">IF((D159="f"),F159," ")</f>
        <v> </v>
      </c>
      <c r="U159" s="371"/>
    </row>
    <row r="160" customFormat="false" ht="12.75" hidden="false" customHeight="false" outlineLevel="0" collapsed="false">
      <c r="D160" s="371" t="str">
        <f aca="false">IF((F160&lt;&gt;0),"Enter Letter"," ")</f>
        <v> </v>
      </c>
      <c r="G160" s="180" t="str">
        <f aca="false">IF((D160="d"),F160," ")</f>
        <v> </v>
      </c>
      <c r="H160" s="180" t="str">
        <f aca="false">IF((D160="h"),F160," ")</f>
        <v> </v>
      </c>
      <c r="I160" s="180" t="str">
        <f aca="false">IF((D160="r"),F160," ")</f>
        <v> </v>
      </c>
      <c r="J160" s="180" t="str">
        <f aca="false">IF((D160="t"),F160," ")</f>
        <v> </v>
      </c>
      <c r="K160" s="180" t="str">
        <f aca="false">IF((D160="e"),F160," ")</f>
        <v> </v>
      </c>
      <c r="L160" s="180" t="str">
        <f aca="false">IF((D160="p"),F160," ")</f>
        <v> </v>
      </c>
      <c r="M160" s="180" t="str">
        <f aca="false">IF((D160="g"),F160," ")</f>
        <v> </v>
      </c>
      <c r="N160" s="180" t="str">
        <f aca="false">IF((D160="a"),F160," ")</f>
        <v> </v>
      </c>
      <c r="O160" s="180" t="str">
        <f aca="false">IF((D160="l"),F160," ")</f>
        <v> </v>
      </c>
      <c r="P160" s="180" t="str">
        <f aca="false">IF((D160="i"),F160," ")</f>
        <v> </v>
      </c>
      <c r="Q160" s="180" t="str">
        <f aca="false">IF((D160="b"),F160," ")</f>
        <v> </v>
      </c>
      <c r="R160" s="180" t="str">
        <f aca="false">IF((D160="o"),F160," ")</f>
        <v> </v>
      </c>
      <c r="S160" s="180" t="str">
        <f aca="false">IF((D160="f"),F160," ")</f>
        <v> </v>
      </c>
      <c r="U160" s="371"/>
    </row>
    <row r="161" customFormat="false" ht="12.75" hidden="false" customHeight="false" outlineLevel="0" collapsed="false">
      <c r="D161" s="371" t="str">
        <f aca="false">IF((F161&lt;&gt;0),"Enter Letter"," ")</f>
        <v> </v>
      </c>
      <c r="G161" s="180" t="str">
        <f aca="false">IF((D161="d"),F161," ")</f>
        <v> </v>
      </c>
      <c r="H161" s="180" t="str">
        <f aca="false">IF((D161="h"),F161," ")</f>
        <v> </v>
      </c>
      <c r="I161" s="180" t="str">
        <f aca="false">IF((D161="r"),F161," ")</f>
        <v> </v>
      </c>
      <c r="J161" s="180" t="str">
        <f aca="false">IF((D161="t"),F161," ")</f>
        <v> </v>
      </c>
      <c r="K161" s="180" t="str">
        <f aca="false">IF((D161="e"),F161," ")</f>
        <v> </v>
      </c>
      <c r="L161" s="180" t="str">
        <f aca="false">IF((D161="p"),F161," ")</f>
        <v> </v>
      </c>
      <c r="M161" s="180" t="str">
        <f aca="false">IF((D161="g"),F161," ")</f>
        <v> </v>
      </c>
      <c r="N161" s="180" t="str">
        <f aca="false">IF((D161="a"),F161," ")</f>
        <v> </v>
      </c>
      <c r="O161" s="180" t="str">
        <f aca="false">IF((D161="l"),F161," ")</f>
        <v> </v>
      </c>
      <c r="P161" s="180" t="str">
        <f aca="false">IF((D161="i"),F161," ")</f>
        <v> </v>
      </c>
      <c r="Q161" s="180" t="str">
        <f aca="false">IF((D161="b"),F161," ")</f>
        <v> </v>
      </c>
      <c r="R161" s="180" t="str">
        <f aca="false">IF((D161="o"),F161," ")</f>
        <v> </v>
      </c>
      <c r="S161" s="180" t="str">
        <f aca="false">IF((D161="f"),F161," ")</f>
        <v> </v>
      </c>
      <c r="U161" s="371"/>
    </row>
    <row r="162" customFormat="false" ht="12.75" hidden="false" customHeight="false" outlineLevel="0" collapsed="false">
      <c r="D162" s="371" t="str">
        <f aca="false">IF((F162&lt;&gt;0),"Enter Letter"," ")</f>
        <v> </v>
      </c>
      <c r="G162" s="180" t="str">
        <f aca="false">IF((D162="d"),F162," ")</f>
        <v> </v>
      </c>
      <c r="H162" s="180" t="str">
        <f aca="false">IF((D162="h"),F162," ")</f>
        <v> </v>
      </c>
      <c r="I162" s="180" t="str">
        <f aca="false">IF((D162="r"),F162," ")</f>
        <v> </v>
      </c>
      <c r="J162" s="180" t="str">
        <f aca="false">IF((D162="t"),F162," ")</f>
        <v> </v>
      </c>
      <c r="K162" s="180" t="str">
        <f aca="false">IF((D162="e"),F162," ")</f>
        <v> </v>
      </c>
      <c r="L162" s="180" t="str">
        <f aca="false">IF((D162="p"),F162," ")</f>
        <v> </v>
      </c>
      <c r="M162" s="180" t="str">
        <f aca="false">IF((D162="g"),F162," ")</f>
        <v> </v>
      </c>
      <c r="N162" s="180" t="str">
        <f aca="false">IF((D162="a"),F162," ")</f>
        <v> </v>
      </c>
      <c r="O162" s="180" t="str">
        <f aca="false">IF((D162="l"),F162," ")</f>
        <v> </v>
      </c>
      <c r="P162" s="180" t="str">
        <f aca="false">IF((D162="i"),F162," ")</f>
        <v> </v>
      </c>
      <c r="Q162" s="180" t="str">
        <f aca="false">IF((D162="b"),F162," ")</f>
        <v> </v>
      </c>
      <c r="R162" s="180" t="str">
        <f aca="false">IF((D162="o"),F162," ")</f>
        <v> </v>
      </c>
      <c r="S162" s="180" t="str">
        <f aca="false">IF((D162="f"),F162," ")</f>
        <v> </v>
      </c>
      <c r="U162" s="371"/>
    </row>
    <row r="163" customFormat="false" ht="12.75" hidden="false" customHeight="false" outlineLevel="0" collapsed="false">
      <c r="D163" s="371" t="str">
        <f aca="false">IF((F163&lt;&gt;0),"Enter Letter"," ")</f>
        <v> </v>
      </c>
      <c r="G163" s="180" t="str">
        <f aca="false">IF((D163="d"),F163," ")</f>
        <v> </v>
      </c>
      <c r="H163" s="180" t="str">
        <f aca="false">IF((D163="h"),F163," ")</f>
        <v> </v>
      </c>
      <c r="I163" s="180" t="str">
        <f aca="false">IF((D163="r"),F163," ")</f>
        <v> </v>
      </c>
      <c r="J163" s="180" t="str">
        <f aca="false">IF((D163="t"),F163," ")</f>
        <v> </v>
      </c>
      <c r="K163" s="180" t="str">
        <f aca="false">IF((D163="e"),F163," ")</f>
        <v> </v>
      </c>
      <c r="L163" s="180" t="str">
        <f aca="false">IF((D163="p"),F163," ")</f>
        <v> </v>
      </c>
      <c r="M163" s="180" t="str">
        <f aca="false">IF((D163="g"),F163," ")</f>
        <v> </v>
      </c>
      <c r="N163" s="180" t="str">
        <f aca="false">IF((D163="a"),F163," ")</f>
        <v> </v>
      </c>
      <c r="O163" s="180" t="str">
        <f aca="false">IF((D163="l"),F163," ")</f>
        <v> </v>
      </c>
      <c r="P163" s="180" t="str">
        <f aca="false">IF((D163="i"),F163," ")</f>
        <v> </v>
      </c>
      <c r="Q163" s="180" t="str">
        <f aca="false">IF((D163="b"),F163," ")</f>
        <v> </v>
      </c>
      <c r="R163" s="180" t="str">
        <f aca="false">IF((D163="o"),F163," ")</f>
        <v> </v>
      </c>
      <c r="S163" s="180" t="str">
        <f aca="false">IF((D163="f"),F163," ")</f>
        <v> </v>
      </c>
      <c r="U163" s="371"/>
    </row>
    <row r="164" customFormat="false" ht="12.75" hidden="false" customHeight="false" outlineLevel="0" collapsed="false">
      <c r="D164" s="371" t="str">
        <f aca="false">IF((F164&lt;&gt;0),"Enter Letter"," ")</f>
        <v> </v>
      </c>
      <c r="G164" s="180" t="str">
        <f aca="false">IF((D164="d"),F164," ")</f>
        <v> </v>
      </c>
      <c r="H164" s="180" t="str">
        <f aca="false">IF((D164="h"),F164," ")</f>
        <v> </v>
      </c>
      <c r="I164" s="180" t="str">
        <f aca="false">IF((D164="r"),F164," ")</f>
        <v> </v>
      </c>
      <c r="J164" s="180" t="str">
        <f aca="false">IF((D164="t"),F164," ")</f>
        <v> </v>
      </c>
      <c r="K164" s="180" t="str">
        <f aca="false">IF((D164="e"),F164," ")</f>
        <v> </v>
      </c>
      <c r="L164" s="180" t="str">
        <f aca="false">IF((D164="p"),F164," ")</f>
        <v> </v>
      </c>
      <c r="M164" s="180" t="str">
        <f aca="false">IF((D164="g"),F164," ")</f>
        <v> </v>
      </c>
      <c r="N164" s="180" t="str">
        <f aca="false">IF((D164="a"),F164," ")</f>
        <v> </v>
      </c>
      <c r="O164" s="180" t="str">
        <f aca="false">IF((D164="l"),F164," ")</f>
        <v> </v>
      </c>
      <c r="P164" s="180" t="str">
        <f aca="false">IF((D164="i"),F164," ")</f>
        <v> </v>
      </c>
      <c r="Q164" s="180" t="str">
        <f aca="false">IF((D164="b"),F164," ")</f>
        <v> </v>
      </c>
      <c r="R164" s="180" t="str">
        <f aca="false">IF((D164="o"),F164," ")</f>
        <v> </v>
      </c>
      <c r="S164" s="180" t="str">
        <f aca="false">IF((D164="f"),F164," ")</f>
        <v> </v>
      </c>
      <c r="U164" s="371"/>
    </row>
    <row r="165" customFormat="false" ht="12.75" hidden="false" customHeight="false" outlineLevel="0" collapsed="false">
      <c r="D165" s="371" t="str">
        <f aca="false">IF((F165&lt;&gt;0),"Enter Letter"," ")</f>
        <v> </v>
      </c>
      <c r="G165" s="180" t="str">
        <f aca="false">IF((D165="d"),F165," ")</f>
        <v> </v>
      </c>
      <c r="H165" s="180" t="str">
        <f aca="false">IF((D165="h"),F165," ")</f>
        <v> </v>
      </c>
      <c r="I165" s="180" t="str">
        <f aca="false">IF((D165="r"),F165," ")</f>
        <v> </v>
      </c>
      <c r="J165" s="180" t="str">
        <f aca="false">IF((D165="t"),F165," ")</f>
        <v> </v>
      </c>
      <c r="K165" s="180" t="str">
        <f aca="false">IF((D165="e"),F165," ")</f>
        <v> </v>
      </c>
      <c r="L165" s="180" t="str">
        <f aca="false">IF((D165="p"),F165," ")</f>
        <v> </v>
      </c>
      <c r="M165" s="180" t="str">
        <f aca="false">IF((D165="g"),F165," ")</f>
        <v> </v>
      </c>
      <c r="N165" s="180" t="str">
        <f aca="false">IF((D165="a"),F165," ")</f>
        <v> </v>
      </c>
      <c r="O165" s="180" t="str">
        <f aca="false">IF((D165="l"),F165," ")</f>
        <v> </v>
      </c>
      <c r="P165" s="180" t="str">
        <f aca="false">IF((D165="i"),F165," ")</f>
        <v> </v>
      </c>
      <c r="Q165" s="180" t="str">
        <f aca="false">IF((D165="b"),F165," ")</f>
        <v> </v>
      </c>
      <c r="R165" s="180" t="str">
        <f aca="false">IF((D165="o"),F165," ")</f>
        <v> </v>
      </c>
      <c r="S165" s="180" t="str">
        <f aca="false">IF((D165="f"),F165," ")</f>
        <v> </v>
      </c>
      <c r="U165" s="371"/>
    </row>
    <row r="166" customFormat="false" ht="12.75" hidden="false" customHeight="false" outlineLevel="0" collapsed="false">
      <c r="D166" s="371" t="str">
        <f aca="false">IF((F166&lt;&gt;0),"Enter Letter"," ")</f>
        <v> </v>
      </c>
      <c r="G166" s="180" t="str">
        <f aca="false">IF((D166="d"),F166," ")</f>
        <v> </v>
      </c>
      <c r="H166" s="180" t="str">
        <f aca="false">IF((D166="h"),F166," ")</f>
        <v> </v>
      </c>
      <c r="I166" s="180" t="str">
        <f aca="false">IF((D166="r"),F166," ")</f>
        <v> </v>
      </c>
      <c r="J166" s="180" t="str">
        <f aca="false">IF((D166="t"),F166," ")</f>
        <v> </v>
      </c>
      <c r="K166" s="180" t="str">
        <f aca="false">IF((D166="e"),F166," ")</f>
        <v> </v>
      </c>
      <c r="L166" s="180" t="str">
        <f aca="false">IF((D166="p"),F166," ")</f>
        <v> </v>
      </c>
      <c r="M166" s="180" t="str">
        <f aca="false">IF((D166="g"),F166," ")</f>
        <v> </v>
      </c>
      <c r="N166" s="180" t="str">
        <f aca="false">IF((D166="a"),F166," ")</f>
        <v> </v>
      </c>
      <c r="O166" s="180" t="str">
        <f aca="false">IF((D166="l"),F166," ")</f>
        <v> </v>
      </c>
      <c r="P166" s="180" t="str">
        <f aca="false">IF((D166="i"),F166," ")</f>
        <v> </v>
      </c>
      <c r="Q166" s="180" t="str">
        <f aca="false">IF((D166="b"),F166," ")</f>
        <v> </v>
      </c>
      <c r="R166" s="180" t="str">
        <f aca="false">IF((D166="o"),F166," ")</f>
        <v> </v>
      </c>
      <c r="S166" s="180" t="str">
        <f aca="false">IF((D166="f"),F166," ")</f>
        <v> </v>
      </c>
      <c r="U166" s="371"/>
    </row>
    <row r="167" customFormat="false" ht="12.75" hidden="false" customHeight="false" outlineLevel="0" collapsed="false">
      <c r="D167" s="371" t="str">
        <f aca="false">IF((F167&lt;&gt;0),"Enter Letter"," ")</f>
        <v> </v>
      </c>
      <c r="G167" s="180" t="str">
        <f aca="false">IF((D167="d"),F167," ")</f>
        <v> </v>
      </c>
      <c r="H167" s="180" t="str">
        <f aca="false">IF((D167="h"),F167," ")</f>
        <v> </v>
      </c>
      <c r="I167" s="180" t="str">
        <f aca="false">IF((D167="r"),F167," ")</f>
        <v> </v>
      </c>
      <c r="J167" s="180" t="str">
        <f aca="false">IF((D167="t"),F167," ")</f>
        <v> </v>
      </c>
      <c r="K167" s="180" t="str">
        <f aca="false">IF((D167="e"),F167," ")</f>
        <v> </v>
      </c>
      <c r="L167" s="180" t="str">
        <f aca="false">IF((D167="p"),F167," ")</f>
        <v> </v>
      </c>
      <c r="M167" s="180" t="str">
        <f aca="false">IF((D167="g"),F167," ")</f>
        <v> </v>
      </c>
      <c r="N167" s="180" t="str">
        <f aca="false">IF((D167="a"),F167," ")</f>
        <v> </v>
      </c>
      <c r="O167" s="180" t="str">
        <f aca="false">IF((D167="l"),F167," ")</f>
        <v> </v>
      </c>
      <c r="P167" s="180" t="str">
        <f aca="false">IF((D167="i"),F167," ")</f>
        <v> </v>
      </c>
      <c r="Q167" s="180" t="str">
        <f aca="false">IF((D167="b"),F167," ")</f>
        <v> </v>
      </c>
      <c r="R167" s="180" t="str">
        <f aca="false">IF((D167="o"),F167," ")</f>
        <v> </v>
      </c>
      <c r="S167" s="180" t="str">
        <f aca="false">IF((D167="f"),F167," ")</f>
        <v> </v>
      </c>
      <c r="U167" s="371"/>
    </row>
    <row r="168" customFormat="false" ht="12.75" hidden="false" customHeight="false" outlineLevel="0" collapsed="false">
      <c r="D168" s="371" t="str">
        <f aca="false">IF((F168&lt;&gt;0),"Enter Letter"," ")</f>
        <v> </v>
      </c>
      <c r="G168" s="180" t="str">
        <f aca="false">IF((D168="d"),F168," ")</f>
        <v> </v>
      </c>
      <c r="H168" s="180" t="str">
        <f aca="false">IF((D168="h"),F168," ")</f>
        <v> </v>
      </c>
      <c r="I168" s="180" t="str">
        <f aca="false">IF((D168="r"),F168," ")</f>
        <v> </v>
      </c>
      <c r="J168" s="180" t="str">
        <f aca="false">IF((D168="t"),F168," ")</f>
        <v> </v>
      </c>
      <c r="K168" s="180" t="str">
        <f aca="false">IF((D168="e"),F168," ")</f>
        <v> </v>
      </c>
      <c r="L168" s="180" t="str">
        <f aca="false">IF((D168="p"),F168," ")</f>
        <v> </v>
      </c>
      <c r="M168" s="180" t="str">
        <f aca="false">IF((D168="g"),F168," ")</f>
        <v> </v>
      </c>
      <c r="N168" s="180" t="str">
        <f aca="false">IF((D168="a"),F168," ")</f>
        <v> </v>
      </c>
      <c r="O168" s="180" t="str">
        <f aca="false">IF((D168="l"),F168," ")</f>
        <v> </v>
      </c>
      <c r="P168" s="180" t="str">
        <f aca="false">IF((D168="i"),F168," ")</f>
        <v> </v>
      </c>
      <c r="Q168" s="180" t="str">
        <f aca="false">IF((D168="b"),F168," ")</f>
        <v> </v>
      </c>
      <c r="R168" s="180" t="str">
        <f aca="false">IF((D168="o"),F168," ")</f>
        <v> </v>
      </c>
      <c r="S168" s="180" t="str">
        <f aca="false">IF((D168="f"),F168," ")</f>
        <v> </v>
      </c>
      <c r="U168" s="371"/>
    </row>
    <row r="169" customFormat="false" ht="12.75" hidden="false" customHeight="false" outlineLevel="0" collapsed="false">
      <c r="D169" s="371" t="str">
        <f aca="false">IF((F169&lt;&gt;0),"Enter Letter"," ")</f>
        <v> </v>
      </c>
      <c r="G169" s="180" t="str">
        <f aca="false">IF((D169="d"),F169," ")</f>
        <v> </v>
      </c>
      <c r="H169" s="180" t="str">
        <f aca="false">IF((D169="h"),F169," ")</f>
        <v> </v>
      </c>
      <c r="I169" s="180" t="str">
        <f aca="false">IF((D169="r"),F169," ")</f>
        <v> </v>
      </c>
      <c r="J169" s="180" t="str">
        <f aca="false">IF((D169="t"),F169," ")</f>
        <v> </v>
      </c>
      <c r="K169" s="180" t="str">
        <f aca="false">IF((D169="e"),F169," ")</f>
        <v> </v>
      </c>
      <c r="L169" s="180" t="str">
        <f aca="false">IF((D169="p"),F169," ")</f>
        <v> </v>
      </c>
      <c r="M169" s="180" t="str">
        <f aca="false">IF((D169="g"),F169," ")</f>
        <v> </v>
      </c>
      <c r="N169" s="180" t="str">
        <f aca="false">IF((D169="a"),F169," ")</f>
        <v> </v>
      </c>
      <c r="O169" s="180" t="str">
        <f aca="false">IF((D169="l"),F169," ")</f>
        <v> </v>
      </c>
      <c r="P169" s="180" t="str">
        <f aca="false">IF((D169="i"),F169," ")</f>
        <v> </v>
      </c>
      <c r="Q169" s="180" t="str">
        <f aca="false">IF((D169="b"),F169," ")</f>
        <v> </v>
      </c>
      <c r="R169" s="180" t="str">
        <f aca="false">IF((D169="o"),F169," ")</f>
        <v> </v>
      </c>
      <c r="S169" s="180" t="str">
        <f aca="false">IF((D169="f"),F169," ")</f>
        <v> </v>
      </c>
      <c r="U169" s="371"/>
    </row>
    <row r="170" customFormat="false" ht="12.75" hidden="false" customHeight="false" outlineLevel="0" collapsed="false">
      <c r="D170" s="371" t="str">
        <f aca="false">IF((F170&lt;&gt;0),"Enter Letter"," ")</f>
        <v> </v>
      </c>
      <c r="G170" s="180" t="str">
        <f aca="false">IF((D170="d"),F170," ")</f>
        <v> </v>
      </c>
      <c r="H170" s="180" t="str">
        <f aca="false">IF((D170="h"),F170," ")</f>
        <v> </v>
      </c>
      <c r="I170" s="180" t="str">
        <f aca="false">IF((D170="r"),F170," ")</f>
        <v> </v>
      </c>
      <c r="J170" s="180" t="str">
        <f aca="false">IF((D170="t"),F170," ")</f>
        <v> </v>
      </c>
      <c r="K170" s="180" t="str">
        <f aca="false">IF((D170="e"),F170," ")</f>
        <v> </v>
      </c>
      <c r="L170" s="180" t="str">
        <f aca="false">IF((D170="p"),F170," ")</f>
        <v> </v>
      </c>
      <c r="M170" s="180" t="str">
        <f aca="false">IF((D170="g"),F170," ")</f>
        <v> </v>
      </c>
      <c r="N170" s="180" t="str">
        <f aca="false">IF((D170="a"),F170," ")</f>
        <v> </v>
      </c>
      <c r="O170" s="180" t="str">
        <f aca="false">IF((D170="l"),F170," ")</f>
        <v> </v>
      </c>
      <c r="P170" s="180" t="str">
        <f aca="false">IF((D170="i"),F170," ")</f>
        <v> </v>
      </c>
      <c r="Q170" s="180" t="str">
        <f aca="false">IF((D170="b"),F170," ")</f>
        <v> </v>
      </c>
      <c r="R170" s="180" t="str">
        <f aca="false">IF((D170="o"),F170," ")</f>
        <v> </v>
      </c>
      <c r="S170" s="180" t="str">
        <f aca="false">IF((D170="f"),F170," ")</f>
        <v> </v>
      </c>
      <c r="U170" s="371"/>
    </row>
    <row r="171" customFormat="false" ht="12.75" hidden="false" customHeight="false" outlineLevel="0" collapsed="false">
      <c r="D171" s="371" t="str">
        <f aca="false">IF((F171&lt;&gt;0),"Enter Letter"," ")</f>
        <v> </v>
      </c>
      <c r="G171" s="180" t="str">
        <f aca="false">IF((D171="d"),F171," ")</f>
        <v> </v>
      </c>
      <c r="H171" s="180" t="str">
        <f aca="false">IF((D171="h"),F171," ")</f>
        <v> </v>
      </c>
      <c r="I171" s="180" t="str">
        <f aca="false">IF((D171="r"),F171," ")</f>
        <v> </v>
      </c>
      <c r="J171" s="180" t="str">
        <f aca="false">IF((D171="t"),F171," ")</f>
        <v> </v>
      </c>
      <c r="K171" s="180" t="str">
        <f aca="false">IF((D171="e"),F171," ")</f>
        <v> </v>
      </c>
      <c r="L171" s="180" t="str">
        <f aca="false">IF((D171="p"),F171," ")</f>
        <v> </v>
      </c>
      <c r="M171" s="180" t="str">
        <f aca="false">IF((D171="g"),F171," ")</f>
        <v> </v>
      </c>
      <c r="N171" s="180" t="str">
        <f aca="false">IF((D171="a"),F171," ")</f>
        <v> </v>
      </c>
      <c r="O171" s="180" t="str">
        <f aca="false">IF((D171="l"),F171," ")</f>
        <v> </v>
      </c>
      <c r="P171" s="180" t="str">
        <f aca="false">IF((D171="i"),F171," ")</f>
        <v> </v>
      </c>
      <c r="Q171" s="180" t="str">
        <f aca="false">IF((D171="b"),F171," ")</f>
        <v> </v>
      </c>
      <c r="R171" s="180" t="str">
        <f aca="false">IF((D171="o"),F171," ")</f>
        <v> </v>
      </c>
      <c r="S171" s="180" t="str">
        <f aca="false">IF((D171="f"),F171," ")</f>
        <v> </v>
      </c>
      <c r="U171" s="371"/>
    </row>
    <row r="172" customFormat="false" ht="12.75" hidden="false" customHeight="false" outlineLevel="0" collapsed="false">
      <c r="D172" s="371" t="str">
        <f aca="false">IF((F172&lt;&gt;0),"Enter Letter"," ")</f>
        <v> </v>
      </c>
      <c r="G172" s="180" t="str">
        <f aca="false">IF((D172="d"),F172," ")</f>
        <v> </v>
      </c>
      <c r="H172" s="180" t="str">
        <f aca="false">IF((D172="h"),F172," ")</f>
        <v> </v>
      </c>
      <c r="I172" s="180" t="str">
        <f aca="false">IF((D172="r"),F172," ")</f>
        <v> </v>
      </c>
      <c r="J172" s="180" t="str">
        <f aca="false">IF((D172="t"),F172," ")</f>
        <v> </v>
      </c>
      <c r="K172" s="180" t="str">
        <f aca="false">IF((D172="e"),F172," ")</f>
        <v> </v>
      </c>
      <c r="L172" s="180" t="str">
        <f aca="false">IF((D172="p"),F172," ")</f>
        <v> </v>
      </c>
      <c r="M172" s="180" t="str">
        <f aca="false">IF((D172="g"),F172," ")</f>
        <v> </v>
      </c>
      <c r="N172" s="180" t="str">
        <f aca="false">IF((D172="a"),F172," ")</f>
        <v> </v>
      </c>
      <c r="O172" s="180" t="str">
        <f aca="false">IF((D172="l"),F172," ")</f>
        <v> </v>
      </c>
      <c r="P172" s="180" t="str">
        <f aca="false">IF((D172="i"),F172," ")</f>
        <v> </v>
      </c>
      <c r="Q172" s="180" t="str">
        <f aca="false">IF((D172="b"),F172," ")</f>
        <v> </v>
      </c>
      <c r="R172" s="180" t="str">
        <f aca="false">IF((D172="o"),F172," ")</f>
        <v> </v>
      </c>
      <c r="S172" s="180" t="str">
        <f aca="false">IF((D172="f"),F172," ")</f>
        <v> </v>
      </c>
      <c r="U172" s="371"/>
    </row>
    <row r="173" customFormat="false" ht="12.75" hidden="false" customHeight="false" outlineLevel="0" collapsed="false">
      <c r="D173" s="371" t="str">
        <f aca="false">IF((F173&lt;&gt;0),"Enter Letter"," ")</f>
        <v> </v>
      </c>
      <c r="G173" s="180" t="str">
        <f aca="false">IF((D173="d"),F173," ")</f>
        <v> </v>
      </c>
      <c r="H173" s="180" t="str">
        <f aca="false">IF((D173="h"),F173," ")</f>
        <v> </v>
      </c>
      <c r="I173" s="180" t="str">
        <f aca="false">IF((D173="r"),F173," ")</f>
        <v> </v>
      </c>
      <c r="J173" s="180" t="str">
        <f aca="false">IF((D173="t"),F173," ")</f>
        <v> </v>
      </c>
      <c r="K173" s="180" t="str">
        <f aca="false">IF((D173="e"),F173," ")</f>
        <v> </v>
      </c>
      <c r="L173" s="180" t="str">
        <f aca="false">IF((D173="p"),F173," ")</f>
        <v> </v>
      </c>
      <c r="M173" s="180" t="str">
        <f aca="false">IF((D173="g"),F173," ")</f>
        <v> </v>
      </c>
      <c r="N173" s="180" t="str">
        <f aca="false">IF((D173="a"),F173," ")</f>
        <v> </v>
      </c>
      <c r="O173" s="180" t="str">
        <f aca="false">IF((D173="l"),F173," ")</f>
        <v> </v>
      </c>
      <c r="P173" s="180" t="str">
        <f aca="false">IF((D173="i"),F173," ")</f>
        <v> </v>
      </c>
      <c r="Q173" s="180" t="str">
        <f aca="false">IF((D173="b"),F173," ")</f>
        <v> </v>
      </c>
      <c r="R173" s="180" t="str">
        <f aca="false">IF((D173="o"),F173," ")</f>
        <v> </v>
      </c>
      <c r="S173" s="180" t="str">
        <f aca="false">IF((D173="f"),F173," ")</f>
        <v> </v>
      </c>
      <c r="U173" s="371"/>
    </row>
    <row r="174" customFormat="false" ht="12.75" hidden="false" customHeight="false" outlineLevel="0" collapsed="false">
      <c r="D174" s="371" t="str">
        <f aca="false">IF((F174&lt;&gt;0),"Enter Letter"," ")</f>
        <v> </v>
      </c>
      <c r="G174" s="180" t="str">
        <f aca="false">IF((D174="d"),F174," ")</f>
        <v> </v>
      </c>
      <c r="H174" s="180" t="str">
        <f aca="false">IF((D174="h"),F174," ")</f>
        <v> </v>
      </c>
      <c r="I174" s="180" t="str">
        <f aca="false">IF((D174="r"),F174," ")</f>
        <v> </v>
      </c>
      <c r="J174" s="180" t="str">
        <f aca="false">IF((D174="t"),F174," ")</f>
        <v> </v>
      </c>
      <c r="K174" s="180" t="str">
        <f aca="false">IF((D174="e"),F174," ")</f>
        <v> </v>
      </c>
      <c r="L174" s="180" t="str">
        <f aca="false">IF((D174="p"),F174," ")</f>
        <v> </v>
      </c>
      <c r="M174" s="180" t="str">
        <f aca="false">IF((D174="g"),F174," ")</f>
        <v> </v>
      </c>
      <c r="N174" s="180" t="str">
        <f aca="false">IF((D174="a"),F174," ")</f>
        <v> </v>
      </c>
      <c r="O174" s="180" t="str">
        <f aca="false">IF((D174="l"),F174," ")</f>
        <v> </v>
      </c>
      <c r="P174" s="180" t="str">
        <f aca="false">IF((D174="i"),F174," ")</f>
        <v> </v>
      </c>
      <c r="Q174" s="180" t="str">
        <f aca="false">IF((D174="b"),F174," ")</f>
        <v> </v>
      </c>
      <c r="R174" s="180" t="str">
        <f aca="false">IF((D174="o"),F174," ")</f>
        <v> </v>
      </c>
      <c r="S174" s="180" t="str">
        <f aca="false">IF((D174="f"),F174," ")</f>
        <v> </v>
      </c>
      <c r="U174" s="371"/>
    </row>
    <row r="175" customFormat="false" ht="12.75" hidden="false" customHeight="false" outlineLevel="0" collapsed="false">
      <c r="D175" s="371" t="str">
        <f aca="false">IF((F175&lt;&gt;0),"Enter Letter"," ")</f>
        <v> </v>
      </c>
      <c r="G175" s="180" t="str">
        <f aca="false">IF((D175="d"),F175," ")</f>
        <v> </v>
      </c>
      <c r="H175" s="180" t="str">
        <f aca="false">IF((D175="h"),F175," ")</f>
        <v> </v>
      </c>
      <c r="I175" s="180" t="str">
        <f aca="false">IF((D175="r"),F175," ")</f>
        <v> </v>
      </c>
      <c r="J175" s="180" t="str">
        <f aca="false">IF((D175="t"),F175," ")</f>
        <v> </v>
      </c>
      <c r="K175" s="180" t="str">
        <f aca="false">IF((D175="e"),F175," ")</f>
        <v> </v>
      </c>
      <c r="L175" s="180" t="str">
        <f aca="false">IF((D175="p"),F175," ")</f>
        <v> </v>
      </c>
      <c r="M175" s="180" t="str">
        <f aca="false">IF((D175="g"),F175," ")</f>
        <v> </v>
      </c>
      <c r="N175" s="180" t="str">
        <f aca="false">IF((D175="a"),F175," ")</f>
        <v> </v>
      </c>
      <c r="O175" s="180" t="str">
        <f aca="false">IF((D175="l"),F175," ")</f>
        <v> </v>
      </c>
      <c r="P175" s="180" t="str">
        <f aca="false">IF((D175="i"),F175," ")</f>
        <v> </v>
      </c>
      <c r="Q175" s="180" t="str">
        <f aca="false">IF((D175="b"),F175," ")</f>
        <v> </v>
      </c>
      <c r="R175" s="180" t="str">
        <f aca="false">IF((D175="o"),F175," ")</f>
        <v> </v>
      </c>
      <c r="S175" s="180" t="str">
        <f aca="false">IF((D175="f"),F175," ")</f>
        <v> </v>
      </c>
      <c r="U175" s="371"/>
    </row>
    <row r="176" customFormat="false" ht="12.75" hidden="false" customHeight="false" outlineLevel="0" collapsed="false">
      <c r="D176" s="371" t="str">
        <f aca="false">IF((F176&lt;&gt;0),"Enter Letter"," ")</f>
        <v> </v>
      </c>
      <c r="G176" s="180" t="str">
        <f aca="false">IF((D176="d"),F176," ")</f>
        <v> </v>
      </c>
      <c r="H176" s="180" t="str">
        <f aca="false">IF((D176="h"),F176," ")</f>
        <v> </v>
      </c>
      <c r="I176" s="180" t="str">
        <f aca="false">IF((D176="r"),F176," ")</f>
        <v> </v>
      </c>
      <c r="J176" s="180" t="str">
        <f aca="false">IF((D176="t"),F176," ")</f>
        <v> </v>
      </c>
      <c r="K176" s="180" t="str">
        <f aca="false">IF((D176="e"),F176," ")</f>
        <v> </v>
      </c>
      <c r="L176" s="180" t="str">
        <f aca="false">IF((D176="p"),F176," ")</f>
        <v> </v>
      </c>
      <c r="M176" s="180" t="str">
        <f aca="false">IF((D176="g"),F176," ")</f>
        <v> </v>
      </c>
      <c r="N176" s="180" t="str">
        <f aca="false">IF((D176="a"),F176," ")</f>
        <v> </v>
      </c>
      <c r="O176" s="180" t="str">
        <f aca="false">IF((D176="l"),F176," ")</f>
        <v> </v>
      </c>
      <c r="P176" s="180" t="str">
        <f aca="false">IF((D176="i"),F176," ")</f>
        <v> </v>
      </c>
      <c r="Q176" s="180" t="str">
        <f aca="false">IF((D176="b"),F176," ")</f>
        <v> </v>
      </c>
      <c r="R176" s="180" t="str">
        <f aca="false">IF((D176="o"),F176," ")</f>
        <v> </v>
      </c>
      <c r="S176" s="180" t="str">
        <f aca="false">IF((D176="f"),F176," ")</f>
        <v> </v>
      </c>
      <c r="U176" s="371"/>
    </row>
    <row r="177" customFormat="false" ht="12.75" hidden="false" customHeight="false" outlineLevel="0" collapsed="false">
      <c r="D177" s="371" t="str">
        <f aca="false">IF((F177&lt;&gt;0),"Enter Letter"," ")</f>
        <v> </v>
      </c>
      <c r="G177" s="180" t="str">
        <f aca="false">IF((D177="d"),F177," ")</f>
        <v> </v>
      </c>
      <c r="H177" s="180" t="str">
        <f aca="false">IF((D177="h"),F177," ")</f>
        <v> </v>
      </c>
      <c r="I177" s="180" t="str">
        <f aca="false">IF((D177="r"),F177," ")</f>
        <v> </v>
      </c>
      <c r="J177" s="180" t="str">
        <f aca="false">IF((D177="t"),F177," ")</f>
        <v> </v>
      </c>
      <c r="K177" s="180" t="str">
        <f aca="false">IF((D177="e"),F177," ")</f>
        <v> </v>
      </c>
      <c r="L177" s="180" t="str">
        <f aca="false">IF((D177="p"),F177," ")</f>
        <v> </v>
      </c>
      <c r="M177" s="180" t="str">
        <f aca="false">IF((D177="g"),F177," ")</f>
        <v> </v>
      </c>
      <c r="N177" s="180" t="str">
        <f aca="false">IF((D177="a"),F177," ")</f>
        <v> </v>
      </c>
      <c r="O177" s="180" t="str">
        <f aca="false">IF((D177="l"),F177," ")</f>
        <v> </v>
      </c>
      <c r="P177" s="180" t="str">
        <f aca="false">IF((D177="i"),F177," ")</f>
        <v> </v>
      </c>
      <c r="Q177" s="180" t="str">
        <f aca="false">IF((D177="b"),F177," ")</f>
        <v> </v>
      </c>
      <c r="R177" s="180" t="str">
        <f aca="false">IF((D177="o"),F177," ")</f>
        <v> </v>
      </c>
      <c r="S177" s="180" t="str">
        <f aca="false">IF((D177="f"),F177," ")</f>
        <v> </v>
      </c>
      <c r="U177" s="371"/>
    </row>
    <row r="178" customFormat="false" ht="12.75" hidden="false" customHeight="false" outlineLevel="0" collapsed="false">
      <c r="D178" s="371" t="str">
        <f aca="false">IF((F178&lt;&gt;0),"Enter Letter"," ")</f>
        <v> </v>
      </c>
      <c r="G178" s="180" t="str">
        <f aca="false">IF((D178="d"),F178," ")</f>
        <v> </v>
      </c>
      <c r="H178" s="180" t="str">
        <f aca="false">IF((D178="h"),F178," ")</f>
        <v> </v>
      </c>
      <c r="I178" s="180" t="str">
        <f aca="false">IF((D178="r"),F178," ")</f>
        <v> </v>
      </c>
      <c r="J178" s="180" t="str">
        <f aca="false">IF((D178="t"),F178," ")</f>
        <v> </v>
      </c>
      <c r="K178" s="180" t="str">
        <f aca="false">IF((D178="e"),F178," ")</f>
        <v> </v>
      </c>
      <c r="L178" s="180" t="str">
        <f aca="false">IF((D178="p"),F178," ")</f>
        <v> </v>
      </c>
      <c r="M178" s="180" t="str">
        <f aca="false">IF((D178="g"),F178," ")</f>
        <v> </v>
      </c>
      <c r="N178" s="180" t="str">
        <f aca="false">IF((D178="a"),F178," ")</f>
        <v> </v>
      </c>
      <c r="O178" s="180" t="str">
        <f aca="false">IF((D178="l"),F178," ")</f>
        <v> </v>
      </c>
      <c r="P178" s="180" t="str">
        <f aca="false">IF((D178="i"),F178," ")</f>
        <v> </v>
      </c>
      <c r="Q178" s="180" t="str">
        <f aca="false">IF((D178="b"),F178," ")</f>
        <v> </v>
      </c>
      <c r="R178" s="180" t="str">
        <f aca="false">IF((D178="o"),F178," ")</f>
        <v> </v>
      </c>
      <c r="S178" s="180" t="str">
        <f aca="false">IF((D178="f"),F178," ")</f>
        <v> </v>
      </c>
      <c r="U178" s="371"/>
    </row>
    <row r="179" customFormat="false" ht="12.75" hidden="false" customHeight="false" outlineLevel="0" collapsed="false">
      <c r="D179" s="371" t="str">
        <f aca="false">IF((F179&lt;&gt;0),"Enter Letter"," ")</f>
        <v> </v>
      </c>
      <c r="G179" s="180" t="str">
        <f aca="false">IF((D179="d"),F179," ")</f>
        <v> </v>
      </c>
      <c r="H179" s="180" t="str">
        <f aca="false">IF((D179="h"),F179," ")</f>
        <v> </v>
      </c>
      <c r="I179" s="180" t="str">
        <f aca="false">IF((D179="r"),F179," ")</f>
        <v> </v>
      </c>
      <c r="J179" s="180" t="str">
        <f aca="false">IF((D179="t"),F179," ")</f>
        <v> </v>
      </c>
      <c r="K179" s="180" t="str">
        <f aca="false">IF((D179="e"),F179," ")</f>
        <v> </v>
      </c>
      <c r="L179" s="180" t="str">
        <f aca="false">IF((D179="p"),F179," ")</f>
        <v> </v>
      </c>
      <c r="M179" s="180" t="str">
        <f aca="false">IF((D179="g"),F179," ")</f>
        <v> </v>
      </c>
      <c r="N179" s="180" t="str">
        <f aca="false">IF((D179="a"),F179," ")</f>
        <v> </v>
      </c>
      <c r="O179" s="180" t="str">
        <f aca="false">IF((D179="l"),F179," ")</f>
        <v> </v>
      </c>
      <c r="P179" s="180" t="str">
        <f aca="false">IF((D179="i"),F179," ")</f>
        <v> </v>
      </c>
      <c r="Q179" s="180" t="str">
        <f aca="false">IF((D179="b"),F179," ")</f>
        <v> </v>
      </c>
      <c r="R179" s="180" t="str">
        <f aca="false">IF((D179="o"),F179," ")</f>
        <v> </v>
      </c>
      <c r="S179" s="180" t="str">
        <f aca="false">IF((D179="f"),F179," ")</f>
        <v> </v>
      </c>
      <c r="U179" s="371"/>
    </row>
    <row r="180" customFormat="false" ht="12.75" hidden="false" customHeight="false" outlineLevel="0" collapsed="false">
      <c r="D180" s="371" t="str">
        <f aca="false">IF((F180&lt;&gt;0),"Enter Letter"," ")</f>
        <v> </v>
      </c>
      <c r="G180" s="180" t="str">
        <f aca="false">IF((D180="d"),F180," ")</f>
        <v> </v>
      </c>
      <c r="H180" s="180" t="str">
        <f aca="false">IF((D180="h"),F180," ")</f>
        <v> </v>
      </c>
      <c r="I180" s="180" t="str">
        <f aca="false">IF((D180="r"),F180," ")</f>
        <v> </v>
      </c>
      <c r="J180" s="180" t="str">
        <f aca="false">IF((D180="t"),F180," ")</f>
        <v> </v>
      </c>
      <c r="K180" s="180" t="str">
        <f aca="false">IF((D180="e"),F180," ")</f>
        <v> </v>
      </c>
      <c r="L180" s="180" t="str">
        <f aca="false">IF((D180="p"),F180," ")</f>
        <v> </v>
      </c>
      <c r="M180" s="180" t="str">
        <f aca="false">IF((D180="g"),F180," ")</f>
        <v> </v>
      </c>
      <c r="N180" s="180" t="str">
        <f aca="false">IF((D180="a"),F180," ")</f>
        <v> </v>
      </c>
      <c r="O180" s="180" t="str">
        <f aca="false">IF((D180="l"),F180," ")</f>
        <v> </v>
      </c>
      <c r="P180" s="180" t="str">
        <f aca="false">IF((D180="i"),F180," ")</f>
        <v> </v>
      </c>
      <c r="Q180" s="180" t="str">
        <f aca="false">IF((D180="b"),F180," ")</f>
        <v> </v>
      </c>
      <c r="R180" s="180" t="str">
        <f aca="false">IF((D180="o"),F180," ")</f>
        <v> </v>
      </c>
      <c r="S180" s="180" t="str">
        <f aca="false">IF((D180="f"),F180," ")</f>
        <v> </v>
      </c>
      <c r="U180" s="371"/>
    </row>
    <row r="181" customFormat="false" ht="12.75" hidden="false" customHeight="false" outlineLevel="0" collapsed="false">
      <c r="D181" s="371" t="str">
        <f aca="false">IF((F181&lt;&gt;0),"Enter Letter"," ")</f>
        <v> </v>
      </c>
      <c r="G181" s="180" t="str">
        <f aca="false">IF((D181="d"),F181," ")</f>
        <v> </v>
      </c>
      <c r="H181" s="180" t="str">
        <f aca="false">IF((D181="h"),F181," ")</f>
        <v> </v>
      </c>
      <c r="I181" s="180" t="str">
        <f aca="false">IF((D181="r"),F181," ")</f>
        <v> </v>
      </c>
      <c r="J181" s="180" t="str">
        <f aca="false">IF((D181="t"),F181," ")</f>
        <v> </v>
      </c>
      <c r="K181" s="180" t="str">
        <f aca="false">IF((D181="e"),F181," ")</f>
        <v> </v>
      </c>
      <c r="L181" s="180" t="str">
        <f aca="false">IF((D181="p"),F181," ")</f>
        <v> </v>
      </c>
      <c r="M181" s="180" t="str">
        <f aca="false">IF((D181="g"),F181," ")</f>
        <v> </v>
      </c>
      <c r="N181" s="180" t="str">
        <f aca="false">IF((D181="a"),F181," ")</f>
        <v> </v>
      </c>
      <c r="O181" s="180" t="str">
        <f aca="false">IF((D181="l"),F181," ")</f>
        <v> </v>
      </c>
      <c r="P181" s="180" t="str">
        <f aca="false">IF((D181="i"),F181," ")</f>
        <v> </v>
      </c>
      <c r="Q181" s="180" t="str">
        <f aca="false">IF((D181="b"),F181," ")</f>
        <v> </v>
      </c>
      <c r="R181" s="180" t="str">
        <f aca="false">IF((D181="o"),F181," ")</f>
        <v> </v>
      </c>
      <c r="S181" s="180" t="str">
        <f aca="false">IF((D181="f"),F181," ")</f>
        <v> </v>
      </c>
      <c r="U181" s="371"/>
    </row>
    <row r="182" customFormat="false" ht="12.75" hidden="false" customHeight="false" outlineLevel="0" collapsed="false">
      <c r="D182" s="371" t="str">
        <f aca="false">IF((F182&lt;&gt;0),"Enter Letter"," ")</f>
        <v> </v>
      </c>
      <c r="G182" s="180" t="str">
        <f aca="false">IF((D182="d"),F182," ")</f>
        <v> </v>
      </c>
      <c r="H182" s="180" t="str">
        <f aca="false">IF((D182="h"),F182," ")</f>
        <v> </v>
      </c>
      <c r="I182" s="180" t="str">
        <f aca="false">IF((D182="r"),F182," ")</f>
        <v> </v>
      </c>
      <c r="J182" s="180" t="str">
        <f aca="false">IF((D182="t"),F182," ")</f>
        <v> </v>
      </c>
      <c r="K182" s="180" t="str">
        <f aca="false">IF((D182="e"),F182," ")</f>
        <v> </v>
      </c>
      <c r="L182" s="180" t="str">
        <f aca="false">IF((D182="p"),F182," ")</f>
        <v> </v>
      </c>
      <c r="M182" s="180" t="str">
        <f aca="false">IF((D182="g"),F182," ")</f>
        <v> </v>
      </c>
      <c r="N182" s="180" t="str">
        <f aca="false">IF((D182="a"),F182," ")</f>
        <v> </v>
      </c>
      <c r="O182" s="180" t="str">
        <f aca="false">IF((D182="l"),F182," ")</f>
        <v> </v>
      </c>
      <c r="P182" s="180" t="str">
        <f aca="false">IF((D182="i"),F182," ")</f>
        <v> </v>
      </c>
      <c r="Q182" s="180" t="str">
        <f aca="false">IF((D182="b"),F182," ")</f>
        <v> </v>
      </c>
      <c r="R182" s="180" t="str">
        <f aca="false">IF((D182="o"),F182," ")</f>
        <v> </v>
      </c>
      <c r="S182" s="180" t="str">
        <f aca="false">IF((D182="f"),F182," ")</f>
        <v> </v>
      </c>
      <c r="U182" s="371"/>
    </row>
    <row r="183" customFormat="false" ht="12.75" hidden="false" customHeight="false" outlineLevel="0" collapsed="false">
      <c r="D183" s="371" t="str">
        <f aca="false">IF((F183&lt;&gt;0),"Enter Letter"," ")</f>
        <v> </v>
      </c>
      <c r="G183" s="180" t="str">
        <f aca="false">IF((D183="d"),F183," ")</f>
        <v> </v>
      </c>
      <c r="H183" s="180" t="str">
        <f aca="false">IF((D183="h"),F183," ")</f>
        <v> </v>
      </c>
      <c r="I183" s="180" t="str">
        <f aca="false">IF((D183="r"),F183," ")</f>
        <v> </v>
      </c>
      <c r="J183" s="180" t="str">
        <f aca="false">IF((D183="t"),F183," ")</f>
        <v> </v>
      </c>
      <c r="K183" s="180" t="str">
        <f aca="false">IF((D183="e"),F183," ")</f>
        <v> </v>
      </c>
      <c r="L183" s="180" t="str">
        <f aca="false">IF((D183="p"),F183," ")</f>
        <v> </v>
      </c>
      <c r="M183" s="180" t="str">
        <f aca="false">IF((D183="g"),F183," ")</f>
        <v> </v>
      </c>
      <c r="N183" s="180" t="str">
        <f aca="false">IF((D183="a"),F183," ")</f>
        <v> </v>
      </c>
      <c r="O183" s="180" t="str">
        <f aca="false">IF((D183="l"),F183," ")</f>
        <v> </v>
      </c>
      <c r="P183" s="180" t="str">
        <f aca="false">IF((D183="i"),F183," ")</f>
        <v> </v>
      </c>
      <c r="Q183" s="180" t="str">
        <f aca="false">IF((D183="b"),F183," ")</f>
        <v> </v>
      </c>
      <c r="R183" s="180" t="str">
        <f aca="false">IF((D183="o"),F183," ")</f>
        <v> </v>
      </c>
      <c r="S183" s="180" t="str">
        <f aca="false">IF((D183="f"),F183," ")</f>
        <v> </v>
      </c>
      <c r="U183" s="371"/>
    </row>
    <row r="184" customFormat="false" ht="12.75" hidden="false" customHeight="false" outlineLevel="0" collapsed="false">
      <c r="D184" s="371" t="str">
        <f aca="false">IF((F184&lt;&gt;0),"Enter Letter"," ")</f>
        <v> </v>
      </c>
      <c r="G184" s="180" t="str">
        <f aca="false">IF((D184="d"),F184," ")</f>
        <v> </v>
      </c>
      <c r="H184" s="180" t="str">
        <f aca="false">IF((D184="h"),F184," ")</f>
        <v> </v>
      </c>
      <c r="I184" s="180" t="str">
        <f aca="false">IF((D184="r"),F184," ")</f>
        <v> </v>
      </c>
      <c r="J184" s="180" t="str">
        <f aca="false">IF((D184="t"),F184," ")</f>
        <v> </v>
      </c>
      <c r="K184" s="180" t="str">
        <f aca="false">IF((D184="e"),F184," ")</f>
        <v> </v>
      </c>
      <c r="L184" s="180" t="str">
        <f aca="false">IF((D184="p"),F184," ")</f>
        <v> </v>
      </c>
      <c r="M184" s="180" t="str">
        <f aca="false">IF((D184="g"),F184," ")</f>
        <v> </v>
      </c>
      <c r="N184" s="180" t="str">
        <f aca="false">IF((D184="a"),F184," ")</f>
        <v> </v>
      </c>
      <c r="O184" s="180" t="str">
        <f aca="false">IF((D184="l"),F184," ")</f>
        <v> </v>
      </c>
      <c r="P184" s="180" t="str">
        <f aca="false">IF((D184="i"),F184," ")</f>
        <v> </v>
      </c>
      <c r="Q184" s="180" t="str">
        <f aca="false">IF((D184="b"),F184," ")</f>
        <v> </v>
      </c>
      <c r="R184" s="180" t="str">
        <f aca="false">IF((D184="o"),F184," ")</f>
        <v> </v>
      </c>
      <c r="S184" s="180" t="str">
        <f aca="false">IF((D184="f"),F184," ")</f>
        <v> </v>
      </c>
      <c r="U184" s="371"/>
    </row>
    <row r="185" customFormat="false" ht="12.75" hidden="false" customHeight="false" outlineLevel="0" collapsed="false">
      <c r="D185" s="371" t="str">
        <f aca="false">IF((F185&lt;&gt;0),"Enter Letter"," ")</f>
        <v> </v>
      </c>
      <c r="G185" s="180" t="str">
        <f aca="false">IF((D185="d"),F185," ")</f>
        <v> </v>
      </c>
      <c r="H185" s="180" t="str">
        <f aca="false">IF((D185="h"),F185," ")</f>
        <v> </v>
      </c>
      <c r="I185" s="180" t="str">
        <f aca="false">IF((D185="r"),F185," ")</f>
        <v> </v>
      </c>
      <c r="J185" s="180" t="str">
        <f aca="false">IF((D185="t"),F185," ")</f>
        <v> </v>
      </c>
      <c r="K185" s="180" t="str">
        <f aca="false">IF((D185="e"),F185," ")</f>
        <v> </v>
      </c>
      <c r="L185" s="180" t="str">
        <f aca="false">IF((D185="p"),F185," ")</f>
        <v> </v>
      </c>
      <c r="M185" s="180" t="str">
        <f aca="false">IF((D185="g"),F185," ")</f>
        <v> </v>
      </c>
      <c r="N185" s="180" t="str">
        <f aca="false">IF((D185="a"),F185," ")</f>
        <v> </v>
      </c>
      <c r="O185" s="180" t="str">
        <f aca="false">IF((D185="l"),F185," ")</f>
        <v> </v>
      </c>
      <c r="P185" s="180" t="str">
        <f aca="false">IF((D185="i"),F185," ")</f>
        <v> </v>
      </c>
      <c r="Q185" s="180" t="str">
        <f aca="false">IF((D185="b"),F185," ")</f>
        <v> </v>
      </c>
      <c r="R185" s="180" t="str">
        <f aca="false">IF((D185="o"),F185," ")</f>
        <v> </v>
      </c>
      <c r="S185" s="180" t="str">
        <f aca="false">IF((D185="f"),F185," ")</f>
        <v> </v>
      </c>
      <c r="U185" s="371"/>
    </row>
    <row r="186" customFormat="false" ht="12.75" hidden="false" customHeight="false" outlineLevel="0" collapsed="false">
      <c r="D186" s="371" t="str">
        <f aca="false">IF((F186&lt;&gt;0),"Enter Letter"," ")</f>
        <v> </v>
      </c>
      <c r="G186" s="180" t="str">
        <f aca="false">IF((D186="d"),F186," ")</f>
        <v> </v>
      </c>
      <c r="H186" s="180" t="str">
        <f aca="false">IF((D186="h"),F186," ")</f>
        <v> </v>
      </c>
      <c r="I186" s="180" t="str">
        <f aca="false">IF((D186="r"),F186," ")</f>
        <v> </v>
      </c>
      <c r="J186" s="180" t="str">
        <f aca="false">IF((D186="t"),F186," ")</f>
        <v> </v>
      </c>
      <c r="K186" s="180" t="str">
        <f aca="false">IF((D186="e"),F186," ")</f>
        <v> </v>
      </c>
      <c r="L186" s="180" t="str">
        <f aca="false">IF((D186="p"),F186," ")</f>
        <v> </v>
      </c>
      <c r="M186" s="180" t="str">
        <f aca="false">IF((D186="g"),F186," ")</f>
        <v> </v>
      </c>
      <c r="N186" s="180" t="str">
        <f aca="false">IF((D186="a"),F186," ")</f>
        <v> </v>
      </c>
      <c r="O186" s="180" t="str">
        <f aca="false">IF((D186="l"),F186," ")</f>
        <v> </v>
      </c>
      <c r="P186" s="180" t="str">
        <f aca="false">IF((D186="i"),F186," ")</f>
        <v> </v>
      </c>
      <c r="Q186" s="180" t="str">
        <f aca="false">IF((D186="b"),F186," ")</f>
        <v> </v>
      </c>
      <c r="R186" s="180" t="str">
        <f aca="false">IF((D186="o"),F186," ")</f>
        <v> </v>
      </c>
      <c r="S186" s="180" t="str">
        <f aca="false">IF((D186="f"),F186," ")</f>
        <v> </v>
      </c>
      <c r="U186" s="371"/>
    </row>
    <row r="187" customFormat="false" ht="12.75" hidden="false" customHeight="false" outlineLevel="0" collapsed="false">
      <c r="D187" s="371" t="str">
        <f aca="false">IF((F187&lt;&gt;0),"Enter Letter"," ")</f>
        <v> </v>
      </c>
      <c r="G187" s="180" t="str">
        <f aca="false">IF((D187="d"),F187," ")</f>
        <v> </v>
      </c>
      <c r="H187" s="180" t="str">
        <f aca="false">IF((D187="h"),F187," ")</f>
        <v> </v>
      </c>
      <c r="I187" s="180" t="str">
        <f aca="false">IF((D187="r"),F187," ")</f>
        <v> </v>
      </c>
      <c r="J187" s="180" t="str">
        <f aca="false">IF((D187="t"),F187," ")</f>
        <v> </v>
      </c>
      <c r="K187" s="180" t="str">
        <f aca="false">IF((D187="e"),F187," ")</f>
        <v> </v>
      </c>
      <c r="L187" s="180" t="str">
        <f aca="false">IF((D187="p"),F187," ")</f>
        <v> </v>
      </c>
      <c r="M187" s="180" t="str">
        <f aca="false">IF((D187="g"),F187," ")</f>
        <v> </v>
      </c>
      <c r="N187" s="180" t="str">
        <f aca="false">IF((D187="a"),F187," ")</f>
        <v> </v>
      </c>
      <c r="O187" s="180" t="str">
        <f aca="false">IF((D187="l"),F187," ")</f>
        <v> </v>
      </c>
      <c r="P187" s="180" t="str">
        <f aca="false">IF((D187="i"),F187," ")</f>
        <v> </v>
      </c>
      <c r="Q187" s="180" t="str">
        <f aca="false">IF((D187="b"),F187," ")</f>
        <v> </v>
      </c>
      <c r="R187" s="180" t="str">
        <f aca="false">IF((D187="o"),F187," ")</f>
        <v> </v>
      </c>
      <c r="S187" s="180" t="str">
        <f aca="false">IF((D187="f"),F187," ")</f>
        <v> </v>
      </c>
      <c r="U187" s="371"/>
    </row>
    <row r="188" customFormat="false" ht="12.75" hidden="false" customHeight="false" outlineLevel="0" collapsed="false">
      <c r="D188" s="371" t="str">
        <f aca="false">IF((F188&lt;&gt;0),"Enter Letter"," ")</f>
        <v> </v>
      </c>
      <c r="G188" s="180" t="str">
        <f aca="false">IF((D188="d"),F188," ")</f>
        <v> </v>
      </c>
      <c r="H188" s="180" t="str">
        <f aca="false">IF((D188="h"),F188," ")</f>
        <v> </v>
      </c>
      <c r="I188" s="180" t="str">
        <f aca="false">IF((D188="r"),F188," ")</f>
        <v> </v>
      </c>
      <c r="J188" s="180" t="str">
        <f aca="false">IF((D188="t"),F188," ")</f>
        <v> </v>
      </c>
      <c r="K188" s="180" t="str">
        <f aca="false">IF((D188="e"),F188," ")</f>
        <v> </v>
      </c>
      <c r="L188" s="180" t="str">
        <f aca="false">IF((D188="p"),F188," ")</f>
        <v> </v>
      </c>
      <c r="M188" s="180" t="str">
        <f aca="false">IF((D188="g"),F188," ")</f>
        <v> </v>
      </c>
      <c r="N188" s="180" t="str">
        <f aca="false">IF((D188="a"),F188," ")</f>
        <v> </v>
      </c>
      <c r="O188" s="180" t="str">
        <f aca="false">IF((D188="l"),F188," ")</f>
        <v> </v>
      </c>
      <c r="P188" s="180" t="str">
        <f aca="false">IF((D188="i"),F188," ")</f>
        <v> </v>
      </c>
      <c r="Q188" s="180" t="str">
        <f aca="false">IF((D188="b"),F188," ")</f>
        <v> </v>
      </c>
      <c r="R188" s="180" t="str">
        <f aca="false">IF((D188="o"),F188," ")</f>
        <v> </v>
      </c>
      <c r="S188" s="180" t="str">
        <f aca="false">IF((D188="f"),F188," ")</f>
        <v> </v>
      </c>
      <c r="U188" s="371"/>
    </row>
    <row r="189" customFormat="false" ht="12.75" hidden="false" customHeight="false" outlineLevel="0" collapsed="false">
      <c r="D189" s="371" t="str">
        <f aca="false">IF((F189&lt;&gt;0),"Enter Letter"," ")</f>
        <v> </v>
      </c>
      <c r="G189" s="180" t="str">
        <f aca="false">IF((D189="d"),F189," ")</f>
        <v> </v>
      </c>
      <c r="H189" s="180" t="str">
        <f aca="false">IF((D189="h"),F189," ")</f>
        <v> </v>
      </c>
      <c r="I189" s="180" t="str">
        <f aca="false">IF((D189="r"),F189," ")</f>
        <v> </v>
      </c>
      <c r="J189" s="180" t="str">
        <f aca="false">IF((D189="t"),F189," ")</f>
        <v> </v>
      </c>
      <c r="K189" s="180" t="str">
        <f aca="false">IF((D189="e"),F189," ")</f>
        <v> </v>
      </c>
      <c r="L189" s="180" t="str">
        <f aca="false">IF((D189="p"),F189," ")</f>
        <v> </v>
      </c>
      <c r="M189" s="180" t="str">
        <f aca="false">IF((D189="g"),F189," ")</f>
        <v> </v>
      </c>
      <c r="N189" s="180" t="str">
        <f aca="false">IF((D189="a"),F189," ")</f>
        <v> </v>
      </c>
      <c r="O189" s="180" t="str">
        <f aca="false">IF((D189="l"),F189," ")</f>
        <v> </v>
      </c>
      <c r="P189" s="180" t="str">
        <f aca="false">IF((D189="i"),F189," ")</f>
        <v> </v>
      </c>
      <c r="Q189" s="180" t="str">
        <f aca="false">IF((D189="b"),F189," ")</f>
        <v> </v>
      </c>
      <c r="R189" s="180" t="str">
        <f aca="false">IF((D189="o"),F189," ")</f>
        <v> </v>
      </c>
      <c r="S189" s="180" t="str">
        <f aca="false">IF((D189="f"),F189," ")</f>
        <v> </v>
      </c>
      <c r="U189" s="371"/>
    </row>
    <row r="190" customFormat="false" ht="12.75" hidden="false" customHeight="false" outlineLevel="0" collapsed="false">
      <c r="D190" s="371" t="str">
        <f aca="false">IF((F190&lt;&gt;0),"Enter Letter"," ")</f>
        <v> </v>
      </c>
      <c r="G190" s="180" t="str">
        <f aca="false">IF((D190="d"),F190," ")</f>
        <v> </v>
      </c>
      <c r="H190" s="180" t="str">
        <f aca="false">IF((D190="h"),F190," ")</f>
        <v> </v>
      </c>
      <c r="I190" s="180" t="str">
        <f aca="false">IF((D190="r"),F190," ")</f>
        <v> </v>
      </c>
      <c r="J190" s="180" t="str">
        <f aca="false">IF((D190="t"),F190," ")</f>
        <v> </v>
      </c>
      <c r="K190" s="180" t="str">
        <f aca="false">IF((D190="e"),F190," ")</f>
        <v> </v>
      </c>
      <c r="L190" s="180" t="str">
        <f aca="false">IF((D190="p"),F190," ")</f>
        <v> </v>
      </c>
      <c r="M190" s="180" t="str">
        <f aca="false">IF((D190="g"),F190," ")</f>
        <v> </v>
      </c>
      <c r="N190" s="180" t="str">
        <f aca="false">IF((D190="a"),F190," ")</f>
        <v> </v>
      </c>
      <c r="O190" s="180" t="str">
        <f aca="false">IF((D190="l"),F190," ")</f>
        <v> </v>
      </c>
      <c r="P190" s="180" t="str">
        <f aca="false">IF((D190="i"),F190," ")</f>
        <v> </v>
      </c>
      <c r="Q190" s="180" t="str">
        <f aca="false">IF((D190="b"),F190," ")</f>
        <v> </v>
      </c>
      <c r="R190" s="180" t="str">
        <f aca="false">IF((D190="o"),F190," ")</f>
        <v> </v>
      </c>
      <c r="S190" s="180" t="str">
        <f aca="false">IF((D190="f"),F190," ")</f>
        <v> </v>
      </c>
      <c r="U190" s="371"/>
    </row>
    <row r="191" customFormat="false" ht="12.75" hidden="false" customHeight="false" outlineLevel="0" collapsed="false">
      <c r="D191" s="371" t="str">
        <f aca="false">IF((F191&lt;&gt;0),"Enter Letter"," ")</f>
        <v> </v>
      </c>
      <c r="G191" s="180" t="str">
        <f aca="false">IF((D191="d"),F191," ")</f>
        <v> </v>
      </c>
      <c r="H191" s="180" t="str">
        <f aca="false">IF((D191="h"),F191," ")</f>
        <v> </v>
      </c>
      <c r="I191" s="180" t="str">
        <f aca="false">IF((D191="r"),F191," ")</f>
        <v> </v>
      </c>
      <c r="J191" s="180" t="str">
        <f aca="false">IF((D191="t"),F191," ")</f>
        <v> </v>
      </c>
      <c r="K191" s="180" t="str">
        <f aca="false">IF((D191="e"),F191," ")</f>
        <v> </v>
      </c>
      <c r="L191" s="180" t="str">
        <f aca="false">IF((D191="p"),F191," ")</f>
        <v> </v>
      </c>
      <c r="M191" s="180" t="str">
        <f aca="false">IF((D191="g"),F191," ")</f>
        <v> </v>
      </c>
      <c r="N191" s="180" t="str">
        <f aca="false">IF((D191="a"),F191," ")</f>
        <v> </v>
      </c>
      <c r="O191" s="180" t="str">
        <f aca="false">IF((D191="l"),F191," ")</f>
        <v> </v>
      </c>
      <c r="P191" s="180" t="str">
        <f aca="false">IF((D191="i"),F191," ")</f>
        <v> </v>
      </c>
      <c r="Q191" s="180" t="str">
        <f aca="false">IF((D191="b"),F191," ")</f>
        <v> </v>
      </c>
      <c r="R191" s="180" t="str">
        <f aca="false">IF((D191="o"),F191," ")</f>
        <v> </v>
      </c>
      <c r="S191" s="180" t="str">
        <f aca="false">IF((D191="f"),F191," ")</f>
        <v> </v>
      </c>
      <c r="U191" s="371"/>
    </row>
    <row r="192" customFormat="false" ht="12.75" hidden="false" customHeight="false" outlineLevel="0" collapsed="false">
      <c r="D192" s="371" t="str">
        <f aca="false">IF((F192&lt;&gt;0),"Enter Letter"," ")</f>
        <v> </v>
      </c>
      <c r="G192" s="180" t="str">
        <f aca="false">IF((D192="d"),F192," ")</f>
        <v> </v>
      </c>
      <c r="H192" s="180" t="str">
        <f aca="false">IF((D192="h"),F192," ")</f>
        <v> </v>
      </c>
      <c r="I192" s="180" t="str">
        <f aca="false">IF((D192="r"),F192," ")</f>
        <v> </v>
      </c>
      <c r="J192" s="180" t="str">
        <f aca="false">IF((D192="t"),F192," ")</f>
        <v> </v>
      </c>
      <c r="K192" s="180" t="str">
        <f aca="false">IF((D192="e"),F192," ")</f>
        <v> </v>
      </c>
      <c r="L192" s="180" t="str">
        <f aca="false">IF((D192="p"),F192," ")</f>
        <v> </v>
      </c>
      <c r="M192" s="180" t="str">
        <f aca="false">IF((D192="g"),F192," ")</f>
        <v> </v>
      </c>
      <c r="N192" s="180" t="str">
        <f aca="false">IF((D192="a"),F192," ")</f>
        <v> </v>
      </c>
      <c r="O192" s="180" t="str">
        <f aca="false">IF((D192="l"),F192," ")</f>
        <v> </v>
      </c>
      <c r="P192" s="180" t="str">
        <f aca="false">IF((D192="i"),F192," ")</f>
        <v> </v>
      </c>
      <c r="Q192" s="180" t="str">
        <f aca="false">IF((D192="b"),F192," ")</f>
        <v> </v>
      </c>
      <c r="R192" s="180" t="str">
        <f aca="false">IF((D192="o"),F192," ")</f>
        <v> </v>
      </c>
      <c r="S192" s="180" t="str">
        <f aca="false">IF((D192="f"),F192," ")</f>
        <v> </v>
      </c>
      <c r="U192" s="371"/>
    </row>
    <row r="193" customFormat="false" ht="12.75" hidden="false" customHeight="false" outlineLevel="0" collapsed="false">
      <c r="D193" s="371" t="str">
        <f aca="false">IF((F193&lt;&gt;0),"Enter Letter"," ")</f>
        <v> </v>
      </c>
      <c r="G193" s="180" t="str">
        <f aca="false">IF((D193="d"),F193," ")</f>
        <v> </v>
      </c>
      <c r="H193" s="180" t="str">
        <f aca="false">IF((D193="h"),F193," ")</f>
        <v> </v>
      </c>
      <c r="I193" s="180" t="str">
        <f aca="false">IF((D193="r"),F193," ")</f>
        <v> </v>
      </c>
      <c r="J193" s="180" t="str">
        <f aca="false">IF((D193="t"),F193," ")</f>
        <v> </v>
      </c>
      <c r="K193" s="180" t="str">
        <f aca="false">IF((D193="e"),F193," ")</f>
        <v> </v>
      </c>
      <c r="L193" s="180" t="str">
        <f aca="false">IF((D193="p"),F193," ")</f>
        <v> </v>
      </c>
      <c r="M193" s="180" t="str">
        <f aca="false">IF((D193="g"),F193," ")</f>
        <v> </v>
      </c>
      <c r="N193" s="180" t="str">
        <f aca="false">IF((D193="a"),F193," ")</f>
        <v> </v>
      </c>
      <c r="O193" s="180" t="str">
        <f aca="false">IF((D193="l"),F193," ")</f>
        <v> </v>
      </c>
      <c r="P193" s="180" t="str">
        <f aca="false">IF((D193="i"),F193," ")</f>
        <v> </v>
      </c>
      <c r="Q193" s="180" t="str">
        <f aca="false">IF((D193="b"),F193," ")</f>
        <v> </v>
      </c>
      <c r="R193" s="180" t="str">
        <f aca="false">IF((D193="o"),F193," ")</f>
        <v> </v>
      </c>
      <c r="S193" s="180" t="str">
        <f aca="false">IF((D193="f"),F193," ")</f>
        <v> </v>
      </c>
      <c r="U193" s="371"/>
    </row>
    <row r="194" customFormat="false" ht="12.75" hidden="false" customHeight="false" outlineLevel="0" collapsed="false">
      <c r="D194" s="371" t="str">
        <f aca="false">IF((F194&lt;&gt;0),"Enter Letter"," ")</f>
        <v> </v>
      </c>
      <c r="G194" s="180" t="str">
        <f aca="false">IF((D194="d"),F194," ")</f>
        <v> </v>
      </c>
      <c r="H194" s="180" t="str">
        <f aca="false">IF((D194="h"),F194," ")</f>
        <v> </v>
      </c>
      <c r="I194" s="180" t="str">
        <f aca="false">IF((D194="r"),F194," ")</f>
        <v> </v>
      </c>
      <c r="J194" s="180" t="str">
        <f aca="false">IF((D194="t"),F194," ")</f>
        <v> </v>
      </c>
      <c r="K194" s="180" t="str">
        <f aca="false">IF((D194="e"),F194," ")</f>
        <v> </v>
      </c>
      <c r="L194" s="180" t="str">
        <f aca="false">IF((D194="p"),F194," ")</f>
        <v> </v>
      </c>
      <c r="M194" s="180" t="str">
        <f aca="false">IF((D194="g"),F194," ")</f>
        <v> </v>
      </c>
      <c r="N194" s="180" t="str">
        <f aca="false">IF((D194="a"),F194," ")</f>
        <v> </v>
      </c>
      <c r="O194" s="180" t="str">
        <f aca="false">IF((D194="l"),F194," ")</f>
        <v> </v>
      </c>
      <c r="P194" s="180" t="str">
        <f aca="false">IF((D194="i"),F194," ")</f>
        <v> </v>
      </c>
      <c r="Q194" s="180" t="str">
        <f aca="false">IF((D194="b"),F194," ")</f>
        <v> </v>
      </c>
      <c r="R194" s="180" t="str">
        <f aca="false">IF((D194="o"),F194," ")</f>
        <v> </v>
      </c>
      <c r="S194" s="180" t="str">
        <f aca="false">IF((D194="f"),F194," ")</f>
        <v> </v>
      </c>
      <c r="U194" s="371"/>
    </row>
    <row r="195" customFormat="false" ht="12.75" hidden="false" customHeight="false" outlineLevel="0" collapsed="false">
      <c r="D195" s="371" t="str">
        <f aca="false">IF((F195&lt;&gt;0),"Enter Letter"," ")</f>
        <v> </v>
      </c>
      <c r="G195" s="180" t="str">
        <f aca="false">IF((D195="d"),F195," ")</f>
        <v> </v>
      </c>
      <c r="H195" s="180" t="str">
        <f aca="false">IF((D195="h"),F195," ")</f>
        <v> </v>
      </c>
      <c r="I195" s="180" t="str">
        <f aca="false">IF((D195="r"),F195," ")</f>
        <v> </v>
      </c>
      <c r="J195" s="180" t="str">
        <f aca="false">IF((D195="t"),F195," ")</f>
        <v> </v>
      </c>
      <c r="K195" s="180" t="str">
        <f aca="false">IF((D195="e"),F195," ")</f>
        <v> </v>
      </c>
      <c r="L195" s="180" t="str">
        <f aca="false">IF((D195="p"),F195," ")</f>
        <v> </v>
      </c>
      <c r="M195" s="180" t="str">
        <f aca="false">IF((D195="g"),F195," ")</f>
        <v> </v>
      </c>
      <c r="N195" s="180" t="str">
        <f aca="false">IF((D195="a"),F195," ")</f>
        <v> </v>
      </c>
      <c r="O195" s="180" t="str">
        <f aca="false">IF((D195="l"),F195," ")</f>
        <v> </v>
      </c>
      <c r="P195" s="180" t="str">
        <f aca="false">IF((D195="i"),F195," ")</f>
        <v> </v>
      </c>
      <c r="Q195" s="180" t="str">
        <f aca="false">IF((D195="b"),F195," ")</f>
        <v> </v>
      </c>
      <c r="R195" s="180" t="str">
        <f aca="false">IF((D195="o"),F195," ")</f>
        <v> </v>
      </c>
      <c r="S195" s="180" t="str">
        <f aca="false">IF((D195="f"),F195," ")</f>
        <v> </v>
      </c>
      <c r="U195" s="371"/>
    </row>
    <row r="196" customFormat="false" ht="12.75" hidden="false" customHeight="false" outlineLevel="0" collapsed="false">
      <c r="D196" s="371" t="str">
        <f aca="false">IF((F196&lt;&gt;0),"Enter Letter"," ")</f>
        <v> </v>
      </c>
      <c r="G196" s="180" t="str">
        <f aca="false">IF((D196="d"),F196," ")</f>
        <v> </v>
      </c>
      <c r="H196" s="180" t="str">
        <f aca="false">IF((D196="h"),F196," ")</f>
        <v> </v>
      </c>
      <c r="I196" s="180" t="str">
        <f aca="false">IF((D196="r"),F196," ")</f>
        <v> </v>
      </c>
      <c r="J196" s="180" t="str">
        <f aca="false">IF((D196="t"),F196," ")</f>
        <v> </v>
      </c>
      <c r="K196" s="180" t="str">
        <f aca="false">IF((D196="e"),F196," ")</f>
        <v> </v>
      </c>
      <c r="L196" s="180" t="str">
        <f aca="false">IF((D196="p"),F196," ")</f>
        <v> </v>
      </c>
      <c r="M196" s="180" t="str">
        <f aca="false">IF((D196="g"),F196," ")</f>
        <v> </v>
      </c>
      <c r="N196" s="180" t="str">
        <f aca="false">IF((D196="a"),F196," ")</f>
        <v> </v>
      </c>
      <c r="O196" s="180" t="str">
        <f aca="false">IF((D196="l"),F196," ")</f>
        <v> </v>
      </c>
      <c r="P196" s="180" t="str">
        <f aca="false">IF((D196="i"),F196," ")</f>
        <v> </v>
      </c>
      <c r="Q196" s="180" t="str">
        <f aca="false">IF((D196="b"),F196," ")</f>
        <v> </v>
      </c>
      <c r="R196" s="180" t="str">
        <f aca="false">IF((D196="o"),F196," ")</f>
        <v> </v>
      </c>
      <c r="S196" s="180" t="str">
        <f aca="false">IF((D196="f"),F196," ")</f>
        <v> </v>
      </c>
      <c r="U196" s="371"/>
    </row>
    <row r="197" customFormat="false" ht="12.75" hidden="false" customHeight="false" outlineLevel="0" collapsed="false">
      <c r="D197" s="371" t="str">
        <f aca="false">IF((F197&lt;&gt;0),"Enter Letter"," ")</f>
        <v> </v>
      </c>
      <c r="G197" s="180" t="str">
        <f aca="false">IF((D197="d"),F197," ")</f>
        <v> </v>
      </c>
      <c r="H197" s="180" t="str">
        <f aca="false">IF((D197="h"),F197," ")</f>
        <v> </v>
      </c>
      <c r="I197" s="180" t="str">
        <f aca="false">IF((D197="r"),F197," ")</f>
        <v> </v>
      </c>
      <c r="J197" s="180" t="str">
        <f aca="false">IF((D197="t"),F197," ")</f>
        <v> </v>
      </c>
      <c r="K197" s="180" t="str">
        <f aca="false">IF((D197="e"),F197," ")</f>
        <v> </v>
      </c>
      <c r="L197" s="180" t="str">
        <f aca="false">IF((D197="p"),F197," ")</f>
        <v> </v>
      </c>
      <c r="M197" s="180" t="str">
        <f aca="false">IF((D197="g"),F197," ")</f>
        <v> </v>
      </c>
      <c r="N197" s="180" t="str">
        <f aca="false">IF((D197="a"),F197," ")</f>
        <v> </v>
      </c>
      <c r="O197" s="180" t="str">
        <f aca="false">IF((D197="l"),F197," ")</f>
        <v> </v>
      </c>
      <c r="P197" s="180" t="str">
        <f aca="false">IF((D197="i"),F197," ")</f>
        <v> </v>
      </c>
      <c r="Q197" s="180" t="str">
        <f aca="false">IF((D197="b"),F197," ")</f>
        <v> </v>
      </c>
      <c r="R197" s="180" t="str">
        <f aca="false">IF((D197="o"),F197," ")</f>
        <v> </v>
      </c>
      <c r="S197" s="180" t="str">
        <f aca="false">IF((D197="f"),F197," ")</f>
        <v> </v>
      </c>
      <c r="U197" s="371"/>
    </row>
    <row r="198" customFormat="false" ht="12.75" hidden="false" customHeight="false" outlineLevel="0" collapsed="false">
      <c r="D198" s="371" t="str">
        <f aca="false">IF((F198&lt;&gt;0),"Enter Letter"," ")</f>
        <v> </v>
      </c>
      <c r="G198" s="180" t="str">
        <f aca="false">IF((D198="d"),F198," ")</f>
        <v> </v>
      </c>
      <c r="H198" s="180" t="str">
        <f aca="false">IF((D198="h"),F198," ")</f>
        <v> </v>
      </c>
      <c r="I198" s="180" t="str">
        <f aca="false">IF((D198="r"),F198," ")</f>
        <v> </v>
      </c>
      <c r="J198" s="180" t="str">
        <f aca="false">IF((D198="t"),F198," ")</f>
        <v> </v>
      </c>
      <c r="K198" s="180" t="str">
        <f aca="false">IF((D198="e"),F198," ")</f>
        <v> </v>
      </c>
      <c r="L198" s="180" t="str">
        <f aca="false">IF((D198="p"),F198," ")</f>
        <v> </v>
      </c>
      <c r="M198" s="180" t="str">
        <f aca="false">IF((D198="g"),F198," ")</f>
        <v> </v>
      </c>
      <c r="N198" s="180" t="str">
        <f aca="false">IF((D198="a"),F198," ")</f>
        <v> </v>
      </c>
      <c r="O198" s="180" t="str">
        <f aca="false">IF((D198="l"),F198," ")</f>
        <v> </v>
      </c>
      <c r="P198" s="180" t="str">
        <f aca="false">IF((D198="i"),F198," ")</f>
        <v> </v>
      </c>
      <c r="Q198" s="180" t="str">
        <f aca="false">IF((D198="b"),F198," ")</f>
        <v> </v>
      </c>
      <c r="R198" s="180" t="str">
        <f aca="false">IF((D198="o"),F198," ")</f>
        <v> </v>
      </c>
      <c r="S198" s="180" t="str">
        <f aca="false">IF((D198="f"),F198," ")</f>
        <v> </v>
      </c>
      <c r="U198" s="371"/>
    </row>
    <row r="199" customFormat="false" ht="12.75" hidden="false" customHeight="false" outlineLevel="0" collapsed="false">
      <c r="D199" s="371" t="str">
        <f aca="false">IF((F199&lt;&gt;0),"Enter Letter"," ")</f>
        <v> </v>
      </c>
      <c r="G199" s="180" t="str">
        <f aca="false">IF((D199="d"),F199," ")</f>
        <v> </v>
      </c>
      <c r="H199" s="180" t="str">
        <f aca="false">IF((D199="h"),F199," ")</f>
        <v> </v>
      </c>
      <c r="I199" s="180" t="str">
        <f aca="false">IF((D199="r"),F199," ")</f>
        <v> </v>
      </c>
      <c r="J199" s="180" t="str">
        <f aca="false">IF((D199="t"),F199," ")</f>
        <v> </v>
      </c>
      <c r="K199" s="180" t="str">
        <f aca="false">IF((D199="e"),F199," ")</f>
        <v> </v>
      </c>
      <c r="L199" s="180" t="str">
        <f aca="false">IF((D199="p"),F199," ")</f>
        <v> </v>
      </c>
      <c r="M199" s="180" t="str">
        <f aca="false">IF((D199="g"),F199," ")</f>
        <v> </v>
      </c>
      <c r="N199" s="180" t="str">
        <f aca="false">IF((D199="a"),F199," ")</f>
        <v> </v>
      </c>
      <c r="O199" s="180" t="str">
        <f aca="false">IF((D199="l"),F199," ")</f>
        <v> </v>
      </c>
      <c r="P199" s="180" t="str">
        <f aca="false">IF((D199="i"),F199," ")</f>
        <v> </v>
      </c>
      <c r="Q199" s="180" t="str">
        <f aca="false">IF((D199="b"),F199," ")</f>
        <v> </v>
      </c>
      <c r="R199" s="180" t="str">
        <f aca="false">IF((D199="o"),F199," ")</f>
        <v> </v>
      </c>
      <c r="S199" s="180" t="str">
        <f aca="false">IF((D199="f"),F199," ")</f>
        <v> </v>
      </c>
      <c r="U199" s="371"/>
    </row>
    <row r="200" customFormat="false" ht="12.75" hidden="false" customHeight="false" outlineLevel="0" collapsed="false">
      <c r="D200" s="371" t="str">
        <f aca="false">IF((F200&lt;&gt;0),"Enter Letter"," ")</f>
        <v> </v>
      </c>
      <c r="G200" s="180" t="str">
        <f aca="false">IF((D200="d"),F200," ")</f>
        <v> </v>
      </c>
      <c r="H200" s="180" t="str">
        <f aca="false">IF((D200="h"),F200," ")</f>
        <v> </v>
      </c>
      <c r="I200" s="180" t="str">
        <f aca="false">IF((D200="r"),F200," ")</f>
        <v> </v>
      </c>
      <c r="J200" s="180" t="str">
        <f aca="false">IF((D200="t"),F200," ")</f>
        <v> </v>
      </c>
      <c r="K200" s="180" t="str">
        <f aca="false">IF((D200="e"),F200," ")</f>
        <v> </v>
      </c>
      <c r="L200" s="180" t="str">
        <f aca="false">IF((D200="p"),F200," ")</f>
        <v> </v>
      </c>
      <c r="M200" s="180" t="str">
        <f aca="false">IF((D200="g"),F200," ")</f>
        <v> </v>
      </c>
      <c r="N200" s="180" t="str">
        <f aca="false">IF((D200="a"),F200," ")</f>
        <v> </v>
      </c>
      <c r="O200" s="180" t="str">
        <f aca="false">IF((D200="l"),F200," ")</f>
        <v> </v>
      </c>
      <c r="P200" s="180" t="str">
        <f aca="false">IF((D200="i"),F200," ")</f>
        <v> </v>
      </c>
      <c r="Q200" s="180" t="str">
        <f aca="false">IF((D200="b"),F200," ")</f>
        <v> </v>
      </c>
      <c r="R200" s="180" t="str">
        <f aca="false">IF((D200="o"),F200," ")</f>
        <v> </v>
      </c>
      <c r="S200" s="180" t="str">
        <f aca="false">IF((D200="f"),F200," ")</f>
        <v> </v>
      </c>
      <c r="U200" s="371"/>
    </row>
    <row r="201" customFormat="false" ht="12.75" hidden="false" customHeight="false" outlineLevel="0" collapsed="false">
      <c r="D201" s="371" t="str">
        <f aca="false">IF((F201&lt;&gt;0),"Enter Letter"," ")</f>
        <v> </v>
      </c>
      <c r="G201" s="180" t="str">
        <f aca="false">IF((D201="d"),F201," ")</f>
        <v> </v>
      </c>
      <c r="H201" s="180" t="str">
        <f aca="false">IF((D201="h"),F201," ")</f>
        <v> </v>
      </c>
      <c r="I201" s="180" t="str">
        <f aca="false">IF((D201="r"),F201," ")</f>
        <v> </v>
      </c>
      <c r="J201" s="180" t="str">
        <f aca="false">IF((D201="t"),F201," ")</f>
        <v> </v>
      </c>
      <c r="K201" s="180" t="str">
        <f aca="false">IF((D201="e"),F201," ")</f>
        <v> </v>
      </c>
      <c r="L201" s="180" t="str">
        <f aca="false">IF((D201="p"),F201," ")</f>
        <v> </v>
      </c>
      <c r="M201" s="180" t="str">
        <f aca="false">IF((D201="g"),F201," ")</f>
        <v> </v>
      </c>
      <c r="N201" s="180" t="str">
        <f aca="false">IF((D201="a"),F201," ")</f>
        <v> </v>
      </c>
      <c r="O201" s="180" t="str">
        <f aca="false">IF((D201="l"),F201," ")</f>
        <v> </v>
      </c>
      <c r="P201" s="180" t="str">
        <f aca="false">IF((D201="i"),F201," ")</f>
        <v> </v>
      </c>
      <c r="Q201" s="180" t="str">
        <f aca="false">IF((D201="b"),F201," ")</f>
        <v> </v>
      </c>
      <c r="R201" s="180" t="str">
        <f aca="false">IF((D201="o"),F201," ")</f>
        <v> </v>
      </c>
      <c r="S201" s="180" t="str">
        <f aca="false">IF((D201="f"),F201," ")</f>
        <v> </v>
      </c>
      <c r="U201" s="371"/>
    </row>
    <row r="202" customFormat="false" ht="12.75" hidden="false" customHeight="false" outlineLevel="0" collapsed="false">
      <c r="D202" s="371" t="str">
        <f aca="false">IF((F202&lt;&gt;0),"Enter Letter"," ")</f>
        <v> </v>
      </c>
      <c r="G202" s="180" t="str">
        <f aca="false">IF((D202="d"),F202," ")</f>
        <v> </v>
      </c>
      <c r="H202" s="180" t="str">
        <f aca="false">IF((D202="h"),F202," ")</f>
        <v> </v>
      </c>
      <c r="I202" s="180" t="str">
        <f aca="false">IF((D202="r"),F202," ")</f>
        <v> </v>
      </c>
      <c r="J202" s="180" t="str">
        <f aca="false">IF((D202="t"),F202," ")</f>
        <v> </v>
      </c>
      <c r="K202" s="180" t="str">
        <f aca="false">IF((D202="e"),F202," ")</f>
        <v> </v>
      </c>
      <c r="L202" s="180" t="str">
        <f aca="false">IF((D202="p"),F202," ")</f>
        <v> </v>
      </c>
      <c r="M202" s="180" t="str">
        <f aca="false">IF((D202="g"),F202," ")</f>
        <v> </v>
      </c>
      <c r="N202" s="180" t="str">
        <f aca="false">IF((D202="a"),F202," ")</f>
        <v> </v>
      </c>
      <c r="O202" s="180" t="str">
        <f aca="false">IF((D202="l"),F202," ")</f>
        <v> </v>
      </c>
      <c r="P202" s="180" t="str">
        <f aca="false">IF((D202="i"),F202," ")</f>
        <v> </v>
      </c>
      <c r="Q202" s="180" t="str">
        <f aca="false">IF((D202="b"),F202," ")</f>
        <v> </v>
      </c>
      <c r="R202" s="180" t="str">
        <f aca="false">IF((D202="o"),F202," ")</f>
        <v> </v>
      </c>
      <c r="S202" s="180" t="str">
        <f aca="false">IF((D202="f"),F202," ")</f>
        <v> </v>
      </c>
      <c r="U202" s="371"/>
    </row>
    <row r="203" customFormat="false" ht="12.75" hidden="false" customHeight="false" outlineLevel="0" collapsed="false">
      <c r="D203" s="371" t="str">
        <f aca="false">IF((F203&lt;&gt;0),"Enter Letter"," ")</f>
        <v> </v>
      </c>
      <c r="G203" s="180" t="str">
        <f aca="false">IF((D203="d"),F203," ")</f>
        <v> </v>
      </c>
      <c r="H203" s="180" t="str">
        <f aca="false">IF((D203="h"),F203," ")</f>
        <v> </v>
      </c>
      <c r="I203" s="180" t="str">
        <f aca="false">IF((D203="r"),F203," ")</f>
        <v> </v>
      </c>
      <c r="J203" s="180" t="str">
        <f aca="false">IF((D203="t"),F203," ")</f>
        <v> </v>
      </c>
      <c r="K203" s="180" t="str">
        <f aca="false">IF((D203="e"),F203," ")</f>
        <v> </v>
      </c>
      <c r="L203" s="180" t="str">
        <f aca="false">IF((D203="p"),F203," ")</f>
        <v> </v>
      </c>
      <c r="M203" s="180" t="str">
        <f aca="false">IF((D203="g"),F203," ")</f>
        <v> </v>
      </c>
      <c r="N203" s="180" t="str">
        <f aca="false">IF((D203="a"),F203," ")</f>
        <v> </v>
      </c>
      <c r="O203" s="180" t="str">
        <f aca="false">IF((D203="l"),F203," ")</f>
        <v> </v>
      </c>
      <c r="P203" s="180" t="str">
        <f aca="false">IF((D203="i"),F203," ")</f>
        <v> </v>
      </c>
      <c r="Q203" s="180" t="str">
        <f aca="false">IF((D203="b"),F203," ")</f>
        <v> </v>
      </c>
      <c r="R203" s="180" t="str">
        <f aca="false">IF((D203="o"),F203," ")</f>
        <v> </v>
      </c>
      <c r="S203" s="180" t="str">
        <f aca="false">IF((D203="f"),F203," ")</f>
        <v> </v>
      </c>
      <c r="U203" s="371"/>
    </row>
    <row r="204" customFormat="false" ht="12.75" hidden="false" customHeight="false" outlineLevel="0" collapsed="false">
      <c r="D204" s="371" t="str">
        <f aca="false">IF((F204&lt;&gt;0),"Enter Letter"," ")</f>
        <v> </v>
      </c>
      <c r="G204" s="180" t="str">
        <f aca="false">IF((D204="d"),F204," ")</f>
        <v> </v>
      </c>
      <c r="H204" s="180" t="str">
        <f aca="false">IF((D204="h"),F204," ")</f>
        <v> </v>
      </c>
      <c r="I204" s="180" t="str">
        <f aca="false">IF((D204="r"),F204," ")</f>
        <v> </v>
      </c>
      <c r="J204" s="180" t="str">
        <f aca="false">IF((D204="t"),F204," ")</f>
        <v> </v>
      </c>
      <c r="K204" s="180" t="str">
        <f aca="false">IF((D204="e"),F204," ")</f>
        <v> </v>
      </c>
      <c r="L204" s="180" t="str">
        <f aca="false">IF((D204="p"),F204," ")</f>
        <v> </v>
      </c>
      <c r="M204" s="180" t="str">
        <f aca="false">IF((D204="g"),F204," ")</f>
        <v> </v>
      </c>
      <c r="N204" s="180" t="str">
        <f aca="false">IF((D204="a"),F204," ")</f>
        <v> </v>
      </c>
      <c r="O204" s="180" t="str">
        <f aca="false">IF((D204="l"),F204," ")</f>
        <v> </v>
      </c>
      <c r="P204" s="180" t="str">
        <f aca="false">IF((D204="i"),F204," ")</f>
        <v> </v>
      </c>
      <c r="Q204" s="180" t="str">
        <f aca="false">IF((D204="b"),F204," ")</f>
        <v> </v>
      </c>
      <c r="R204" s="180" t="str">
        <f aca="false">IF((D204="o"),F204," ")</f>
        <v> </v>
      </c>
      <c r="S204" s="180" t="str">
        <f aca="false">IF((D204="f"),F204," ")</f>
        <v> </v>
      </c>
      <c r="U204" s="371"/>
    </row>
    <row r="205" customFormat="false" ht="12.75" hidden="false" customHeight="false" outlineLevel="0" collapsed="false">
      <c r="U205" s="371"/>
    </row>
    <row r="206" customFormat="false" ht="12.75" hidden="false" customHeight="false" outlineLevel="0" collapsed="false">
      <c r="U206" s="371"/>
    </row>
    <row r="207" customFormat="false" ht="12.75" hidden="false" customHeight="false" outlineLevel="0" collapsed="false">
      <c r="U207" s="371"/>
    </row>
    <row r="208" customFormat="false" ht="12.75" hidden="false" customHeight="false" outlineLevel="0" collapsed="false">
      <c r="U208" s="371"/>
    </row>
    <row r="209" customFormat="false" ht="12.75" hidden="false" customHeight="false" outlineLevel="0" collapsed="false">
      <c r="U209" s="371"/>
    </row>
    <row r="210" customFormat="false" ht="12.75" hidden="false" customHeight="false" outlineLevel="0" collapsed="false">
      <c r="U210" s="371"/>
    </row>
    <row r="211" customFormat="false" ht="12.75" hidden="false" customHeight="false" outlineLevel="0" collapsed="false">
      <c r="U211" s="371"/>
    </row>
    <row r="212" customFormat="false" ht="12.75" hidden="false" customHeight="false" outlineLevel="0" collapsed="false">
      <c r="U212" s="371"/>
    </row>
    <row r="213" customFormat="false" ht="12.75" hidden="false" customHeight="false" outlineLevel="0" collapsed="false">
      <c r="U213" s="371"/>
    </row>
    <row r="214" customFormat="false" ht="12.75" hidden="false" customHeight="false" outlineLevel="0" collapsed="false">
      <c r="U214" s="371"/>
    </row>
    <row r="215" customFormat="false" ht="12.75" hidden="false" customHeight="false" outlineLevel="0" collapsed="false">
      <c r="U215" s="371"/>
    </row>
    <row r="216" customFormat="false" ht="12.75" hidden="false" customHeight="false" outlineLevel="0" collapsed="false">
      <c r="U216" s="371"/>
    </row>
    <row r="217" customFormat="false" ht="12.75" hidden="false" customHeight="false" outlineLevel="0" collapsed="false">
      <c r="U217" s="371"/>
    </row>
    <row r="218" customFormat="false" ht="12.75" hidden="false" customHeight="false" outlineLevel="0" collapsed="false">
      <c r="U218" s="371"/>
    </row>
    <row r="219" customFormat="false" ht="12.75" hidden="false" customHeight="false" outlineLevel="0" collapsed="false">
      <c r="U219" s="371"/>
    </row>
    <row r="220" customFormat="false" ht="12.75" hidden="false" customHeight="false" outlineLevel="0" collapsed="false">
      <c r="U220" s="371"/>
    </row>
    <row r="221" customFormat="false" ht="12.75" hidden="false" customHeight="false" outlineLevel="0" collapsed="false">
      <c r="U221" s="371"/>
    </row>
    <row r="222" customFormat="false" ht="12.75" hidden="false" customHeight="false" outlineLevel="0" collapsed="false">
      <c r="U222" s="371"/>
    </row>
    <row r="223" customFormat="false" ht="12.75" hidden="false" customHeight="false" outlineLevel="0" collapsed="false">
      <c r="U223" s="371"/>
    </row>
    <row r="224" customFormat="false" ht="12.75" hidden="false" customHeight="false" outlineLevel="0" collapsed="false">
      <c r="U224" s="371"/>
    </row>
    <row r="225" customFormat="false" ht="12.75" hidden="false" customHeight="false" outlineLevel="0" collapsed="false">
      <c r="U225" s="371"/>
    </row>
    <row r="226" customFormat="false" ht="12.75" hidden="false" customHeight="false" outlineLevel="0" collapsed="false">
      <c r="U226" s="371"/>
    </row>
    <row r="227" customFormat="false" ht="12.75" hidden="false" customHeight="false" outlineLevel="0" collapsed="false">
      <c r="U227" s="371"/>
    </row>
    <row r="228" customFormat="false" ht="12.75" hidden="false" customHeight="false" outlineLevel="0" collapsed="false">
      <c r="U228" s="371"/>
    </row>
    <row r="229" customFormat="false" ht="12.75" hidden="false" customHeight="false" outlineLevel="0" collapsed="false">
      <c r="U229" s="371"/>
    </row>
    <row r="230" customFormat="false" ht="12.75" hidden="false" customHeight="false" outlineLevel="0" collapsed="false">
      <c r="U230" s="371"/>
    </row>
    <row r="231" customFormat="false" ht="12.75" hidden="false" customHeight="false" outlineLevel="0" collapsed="false">
      <c r="U231" s="371"/>
    </row>
    <row r="232" customFormat="false" ht="12.75" hidden="false" customHeight="false" outlineLevel="0" collapsed="false">
      <c r="U232" s="371"/>
    </row>
    <row r="233" customFormat="false" ht="12.75" hidden="false" customHeight="false" outlineLevel="0" collapsed="false">
      <c r="U233" s="371"/>
    </row>
    <row r="234" customFormat="false" ht="12.75" hidden="false" customHeight="false" outlineLevel="0" collapsed="false">
      <c r="U234" s="371"/>
    </row>
    <row r="235" customFormat="false" ht="12.75" hidden="false" customHeight="false" outlineLevel="0" collapsed="false">
      <c r="U235" s="371"/>
    </row>
  </sheetData>
  <mergeCells count="18">
    <mergeCell ref="C2:C4"/>
    <mergeCell ref="D2:D4"/>
    <mergeCell ref="E2:E4"/>
    <mergeCell ref="F2:F4"/>
    <mergeCell ref="G2:H2"/>
    <mergeCell ref="I2:J2"/>
    <mergeCell ref="K2:K3"/>
    <mergeCell ref="L2:L3"/>
    <mergeCell ref="M2:M3"/>
    <mergeCell ref="N2:N3"/>
    <mergeCell ref="O2:O3"/>
    <mergeCell ref="P2:P3"/>
    <mergeCell ref="Q2:Q3"/>
    <mergeCell ref="R2:R3"/>
    <mergeCell ref="S2:S3"/>
    <mergeCell ref="T2:T4"/>
    <mergeCell ref="U2:U3"/>
    <mergeCell ref="B3:B4"/>
  </mergeCells>
  <dataValidations count="1">
    <dataValidation allowBlank="true" errorStyle="stop" operator="between" showDropDown="false" showErrorMessage="true" showInputMessage="false" sqref="D5:D200" type="list">
      <formula1>$G$4:$S$4</formula1>
      <formula2>0</formula2>
    </dataValidation>
  </dataValidations>
  <printOptions headings="false" gridLines="true" gridLinesSet="true" horizontalCentered="true" verticalCentered="false"/>
  <pageMargins left="0.196527777777778" right="0.196527777777778" top="0.590277777777778" bottom="0.590277777777778" header="0.196527777777778" footer="0.196527777777778"/>
  <pageSetup paperSize="9" scale="100" fitToWidth="1" fitToHeight="1" pageOrder="downThenOver" orientation="landscape" blackAndWhite="false" draft="false" cellComments="none" horizontalDpi="300" verticalDpi="300" copies="1"/>
  <headerFooter differentFirst="false" differentOddEven="false">
    <oddHeader>&amp;C&amp;"Arial,Bold"&amp;11Costs and Expenses</oddHeader>
    <oddFooter>&amp;L&amp;D  &amp;T&amp;C&amp;P  of  &amp;N&amp;R&amp;F  &amp;A</oddFooter>
  </headerFooter>
  <colBreaks count="1" manualBreakCount="1">
    <brk id="6" man="true" max="65535" min="0"/>
  </colBreaks>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5625" defaultRowHeight="12" customHeight="false" zeroHeight="false" outlineLevelRow="0" outlineLevelCol="0"/>
  <cols>
    <col collapsed="false" customWidth="true" hidden="false" outlineLevel="0" max="1" min="1" style="54" width="1.5"/>
    <col collapsed="false" customWidth="true" hidden="false" outlineLevel="0" max="2" min="2" style="395" width="10.15"/>
    <col collapsed="false" customWidth="true" hidden="false" outlineLevel="0" max="3" min="3" style="54" width="4.66"/>
    <col collapsed="false" customWidth="true" hidden="false" outlineLevel="0" max="5" min="4" style="54" width="11.15"/>
    <col collapsed="false" customWidth="true" hidden="false" outlineLevel="0" max="6" min="6" style="54" width="10.99"/>
    <col collapsed="false" customWidth="false" hidden="false" outlineLevel="0" max="7" min="7" style="396" width="9.15"/>
    <col collapsed="false" customWidth="true" hidden="false" outlineLevel="0" max="8" min="8" style="54" width="4.66"/>
    <col collapsed="false" customWidth="false" hidden="false" outlineLevel="0" max="12" min="9" style="54" width="9.15"/>
    <col collapsed="false" customWidth="true" hidden="false" outlineLevel="0" max="13" min="13" style="54" width="11.5"/>
    <col collapsed="false" customWidth="false" hidden="false" outlineLevel="0" max="14" min="14" style="54" width="9.15"/>
    <col collapsed="false" customWidth="true" hidden="false" outlineLevel="0" max="15" min="15" style="54" width="5.99"/>
    <col collapsed="false" customWidth="false" hidden="false" outlineLevel="0" max="257" min="16" style="54" width="9.15"/>
  </cols>
  <sheetData>
    <row r="1" customFormat="false" ht="12" hidden="false" customHeight="true" outlineLevel="0" collapsed="false">
      <c r="A1" s="67"/>
      <c r="B1" s="397" t="s">
        <v>295</v>
      </c>
      <c r="C1" s="67"/>
      <c r="D1" s="398"/>
      <c r="E1" s="398"/>
      <c r="F1" s="398"/>
      <c r="G1" s="399"/>
      <c r="H1" s="67"/>
      <c r="I1" s="67"/>
      <c r="J1" s="67"/>
      <c r="K1" s="67"/>
      <c r="L1" s="67"/>
      <c r="M1" s="67"/>
      <c r="N1" s="67"/>
      <c r="O1" s="67"/>
    </row>
    <row r="2" customFormat="false" ht="12" hidden="false" customHeight="true" outlineLevel="0" collapsed="false">
      <c r="A2" s="67"/>
      <c r="B2" s="400" t="n">
        <v>46081</v>
      </c>
      <c r="C2" s="67"/>
      <c r="D2" s="401" t="s">
        <v>296</v>
      </c>
      <c r="E2" s="401"/>
      <c r="F2" s="401"/>
      <c r="G2" s="402" t="str">
        <f aca="false">B23</f>
        <v>2026-27</v>
      </c>
      <c r="H2" s="67"/>
      <c r="I2" s="403" t="s">
        <v>297</v>
      </c>
      <c r="J2" s="403"/>
      <c r="K2" s="404" t="str">
        <f aca="false">G2</f>
        <v>2026-27</v>
      </c>
      <c r="L2" s="67"/>
      <c r="M2" s="67"/>
      <c r="N2" s="67"/>
      <c r="O2" s="67"/>
    </row>
    <row r="3" customFormat="false" ht="12" hidden="false" customHeight="true" outlineLevel="0" collapsed="false">
      <c r="A3" s="67"/>
      <c r="B3" s="400" t="n">
        <v>46112</v>
      </c>
      <c r="C3" s="67"/>
      <c r="D3" s="67"/>
      <c r="E3" s="67"/>
      <c r="F3" s="67"/>
      <c r="G3" s="405"/>
      <c r="H3" s="67"/>
      <c r="I3" s="67"/>
      <c r="J3" s="406"/>
      <c r="K3" s="406"/>
      <c r="L3" s="399"/>
      <c r="M3" s="67"/>
      <c r="N3" s="67"/>
      <c r="O3" s="67"/>
    </row>
    <row r="4" customFormat="false" ht="12" hidden="false" customHeight="true" outlineLevel="0" collapsed="false">
      <c r="A4" s="67"/>
      <c r="B4" s="407" t="n">
        <v>46118</v>
      </c>
      <c r="C4" s="67"/>
      <c r="D4" s="408" t="s">
        <v>73</v>
      </c>
      <c r="E4" s="408"/>
      <c r="F4" s="408"/>
      <c r="G4" s="409" t="n">
        <v>1</v>
      </c>
      <c r="H4" s="67"/>
      <c r="I4" s="408" t="s">
        <v>298</v>
      </c>
      <c r="J4" s="408"/>
      <c r="K4" s="408"/>
      <c r="L4" s="408"/>
      <c r="M4" s="408"/>
      <c r="N4" s="410" t="n">
        <v>12570</v>
      </c>
      <c r="O4" s="405" t="s">
        <v>33</v>
      </c>
    </row>
    <row r="5" customFormat="false" ht="12" hidden="false" customHeight="true" outlineLevel="0" collapsed="false">
      <c r="A5" s="67"/>
      <c r="B5" s="400" t="n">
        <v>46142</v>
      </c>
      <c r="C5" s="67"/>
      <c r="D5" s="408" t="s">
        <v>299</v>
      </c>
      <c r="E5" s="408"/>
      <c r="F5" s="408"/>
      <c r="G5" s="409" t="n">
        <v>0.14</v>
      </c>
      <c r="H5" s="67"/>
      <c r="I5" s="67" t="s">
        <v>300</v>
      </c>
      <c r="J5" s="67"/>
      <c r="K5" s="67"/>
      <c r="L5" s="67"/>
      <c r="M5" s="67"/>
      <c r="N5" s="411" t="n">
        <v>100000</v>
      </c>
      <c r="O5" s="405"/>
    </row>
    <row r="6" customFormat="false" ht="12" hidden="false" customHeight="true" outlineLevel="0" collapsed="false">
      <c r="A6" s="67"/>
      <c r="B6" s="400" t="n">
        <v>46173</v>
      </c>
      <c r="C6" s="67"/>
      <c r="D6" s="67"/>
      <c r="E6" s="67"/>
      <c r="F6" s="67"/>
      <c r="G6" s="405"/>
      <c r="H6" s="67"/>
      <c r="I6" s="408" t="s">
        <v>301</v>
      </c>
      <c r="J6" s="408"/>
      <c r="K6" s="408"/>
      <c r="L6" s="408"/>
      <c r="M6" s="408"/>
      <c r="N6" s="409" t="n">
        <v>0.2</v>
      </c>
      <c r="O6" s="405" t="s">
        <v>302</v>
      </c>
    </row>
    <row r="7" customFormat="false" ht="12" hidden="false" customHeight="true" outlineLevel="0" collapsed="false">
      <c r="A7" s="67"/>
      <c r="B7" s="400" t="n">
        <v>46203</v>
      </c>
      <c r="C7" s="67"/>
      <c r="D7" s="408" t="s">
        <v>303</v>
      </c>
      <c r="E7" s="408"/>
      <c r="F7" s="408"/>
      <c r="G7" s="405"/>
      <c r="H7" s="67"/>
      <c r="I7" s="408" t="s">
        <v>304</v>
      </c>
      <c r="J7" s="408"/>
      <c r="K7" s="408"/>
      <c r="L7" s="408"/>
      <c r="M7" s="408"/>
      <c r="N7" s="409" t="n">
        <v>0.4</v>
      </c>
      <c r="O7" s="405" t="s">
        <v>302</v>
      </c>
    </row>
    <row r="8" customFormat="false" ht="12" hidden="false" customHeight="true" outlineLevel="0" collapsed="false">
      <c r="A8" s="67"/>
      <c r="B8" s="400" t="n">
        <v>46234</v>
      </c>
      <c r="C8" s="67"/>
      <c r="D8" s="67"/>
      <c r="E8" s="411"/>
      <c r="F8" s="67"/>
      <c r="G8" s="411"/>
      <c r="H8" s="67"/>
      <c r="I8" s="67" t="s">
        <v>305</v>
      </c>
      <c r="J8" s="67"/>
      <c r="K8" s="67"/>
      <c r="L8" s="67"/>
      <c r="M8" s="67"/>
      <c r="N8" s="409" t="n">
        <v>0.45</v>
      </c>
      <c r="O8" s="405"/>
    </row>
    <row r="9" customFormat="false" ht="12" hidden="false" customHeight="true" outlineLevel="0" collapsed="false">
      <c r="A9" s="67"/>
      <c r="B9" s="400" t="n">
        <v>46265</v>
      </c>
      <c r="C9" s="67"/>
      <c r="D9" s="67"/>
      <c r="E9" s="405"/>
      <c r="F9" s="67"/>
      <c r="G9" s="405"/>
      <c r="H9" s="67"/>
      <c r="I9" s="408" t="s">
        <v>306</v>
      </c>
      <c r="J9" s="408"/>
      <c r="K9" s="408"/>
      <c r="L9" s="412" t="s">
        <v>307</v>
      </c>
      <c r="M9" s="412" t="s">
        <v>308</v>
      </c>
      <c r="N9" s="413" t="s">
        <v>309</v>
      </c>
      <c r="O9" s="405"/>
    </row>
    <row r="10" customFormat="false" ht="12" hidden="false" customHeight="true" outlineLevel="0" collapsed="false">
      <c r="A10" s="67"/>
      <c r="B10" s="400" t="n">
        <v>46295</v>
      </c>
      <c r="C10" s="67"/>
      <c r="D10" s="67"/>
      <c r="E10" s="405"/>
      <c r="F10" s="67"/>
      <c r="G10" s="405"/>
      <c r="H10" s="67"/>
      <c r="I10" s="67"/>
      <c r="J10" s="67"/>
      <c r="K10" s="67"/>
      <c r="L10" s="67"/>
      <c r="M10" s="67"/>
      <c r="N10" s="405"/>
      <c r="O10" s="405"/>
    </row>
    <row r="11" customFormat="false" ht="12" hidden="false" customHeight="true" outlineLevel="0" collapsed="false">
      <c r="A11" s="67"/>
      <c r="B11" s="400" t="n">
        <v>46326</v>
      </c>
      <c r="C11" s="67"/>
      <c r="D11" s="401" t="s">
        <v>310</v>
      </c>
      <c r="E11" s="401"/>
      <c r="F11" s="401"/>
      <c r="G11" s="405" t="s">
        <v>302</v>
      </c>
      <c r="H11" s="67"/>
      <c r="I11" s="67" t="s">
        <v>311</v>
      </c>
      <c r="J11" s="67"/>
      <c r="K11" s="414" t="n">
        <v>0.2</v>
      </c>
      <c r="L11" s="405" t="n">
        <f aca="false">N11</f>
        <v>0</v>
      </c>
      <c r="M11" s="405" t="n">
        <v>37700</v>
      </c>
      <c r="N11" s="411" t="n">
        <v>0</v>
      </c>
      <c r="O11" s="405"/>
    </row>
    <row r="12" customFormat="false" ht="12" hidden="false" customHeight="true" outlineLevel="0" collapsed="false">
      <c r="A12" s="67"/>
      <c r="B12" s="400" t="n">
        <v>46356</v>
      </c>
      <c r="C12" s="67"/>
      <c r="D12" s="67"/>
      <c r="E12" s="67"/>
      <c r="F12" s="67"/>
      <c r="G12" s="405"/>
      <c r="H12" s="67"/>
      <c r="I12" s="67" t="s">
        <v>312</v>
      </c>
      <c r="J12" s="67"/>
      <c r="K12" s="414" t="n">
        <v>0.4</v>
      </c>
      <c r="L12" s="405" t="n">
        <v>37701</v>
      </c>
      <c r="M12" s="67"/>
      <c r="N12" s="411" t="n">
        <v>37701</v>
      </c>
      <c r="O12" s="405"/>
    </row>
    <row r="13" customFormat="false" ht="12" hidden="false" customHeight="true" outlineLevel="0" collapsed="false">
      <c r="A13" s="67"/>
      <c r="B13" s="400" t="n">
        <v>46387</v>
      </c>
      <c r="C13" s="67"/>
      <c r="D13" s="408" t="s">
        <v>313</v>
      </c>
      <c r="E13" s="408"/>
      <c r="F13" s="408"/>
      <c r="G13" s="409" t="n">
        <v>0</v>
      </c>
      <c r="H13" s="67"/>
      <c r="I13" s="67" t="s">
        <v>314</v>
      </c>
      <c r="J13" s="67"/>
      <c r="K13" s="414" t="n">
        <v>0.45</v>
      </c>
      <c r="L13" s="405" t="n">
        <v>125141</v>
      </c>
      <c r="M13" s="67"/>
      <c r="N13" s="411" t="n">
        <v>125140</v>
      </c>
      <c r="O13" s="67"/>
    </row>
    <row r="14" customFormat="false" ht="12" hidden="false" customHeight="true" outlineLevel="0" collapsed="false">
      <c r="A14" s="67"/>
      <c r="B14" s="400" t="n">
        <v>46418</v>
      </c>
      <c r="C14" s="67"/>
      <c r="D14" s="408" t="s">
        <v>315</v>
      </c>
      <c r="E14" s="408"/>
      <c r="F14" s="408"/>
      <c r="G14" s="409" t="n">
        <v>0.1</v>
      </c>
      <c r="H14" s="67"/>
      <c r="I14" s="401" t="s">
        <v>316</v>
      </c>
      <c r="J14" s="401"/>
      <c r="K14" s="401"/>
      <c r="L14" s="404" t="str">
        <f aca="false">G2</f>
        <v>2026-27</v>
      </c>
      <c r="M14" s="67"/>
      <c r="N14" s="67"/>
      <c r="O14" s="67"/>
    </row>
    <row r="15" customFormat="false" ht="12" hidden="false" customHeight="true" outlineLevel="0" collapsed="false">
      <c r="A15" s="67"/>
      <c r="B15" s="400" t="n">
        <v>46446</v>
      </c>
      <c r="C15" s="67"/>
      <c r="D15" s="408" t="s">
        <v>317</v>
      </c>
      <c r="E15" s="408"/>
      <c r="F15" s="408"/>
      <c r="G15" s="409" t="n">
        <v>0.2</v>
      </c>
      <c r="H15" s="67"/>
      <c r="I15" s="67"/>
      <c r="J15" s="67"/>
      <c r="K15" s="67"/>
      <c r="L15" s="67"/>
      <c r="M15" s="67"/>
      <c r="N15" s="67"/>
      <c r="O15" s="67"/>
    </row>
    <row r="16" customFormat="false" ht="12" hidden="false" customHeight="true" outlineLevel="0" collapsed="false">
      <c r="A16" s="67"/>
      <c r="B16" s="400" t="n">
        <v>46477</v>
      </c>
      <c r="C16" s="67"/>
      <c r="D16" s="408" t="s">
        <v>318</v>
      </c>
      <c r="E16" s="408"/>
      <c r="F16" s="408"/>
      <c r="G16" s="409" t="n">
        <v>0.33</v>
      </c>
      <c r="H16" s="67"/>
      <c r="I16" s="408" t="s">
        <v>319</v>
      </c>
      <c r="J16" s="408"/>
      <c r="K16" s="408"/>
      <c r="L16" s="415" t="n">
        <v>3.65</v>
      </c>
      <c r="M16" s="67" t="s">
        <v>320</v>
      </c>
      <c r="N16" s="67" t="n">
        <v>7105</v>
      </c>
      <c r="O16" s="67"/>
    </row>
    <row r="17" customFormat="false" ht="12" hidden="false" customHeight="true" outlineLevel="0" collapsed="false">
      <c r="A17" s="67"/>
      <c r="B17" s="407" t="n">
        <v>46482</v>
      </c>
      <c r="C17" s="67"/>
      <c r="D17" s="408" t="s">
        <v>321</v>
      </c>
      <c r="E17" s="408"/>
      <c r="F17" s="408"/>
      <c r="G17" s="409" t="n">
        <v>0.25</v>
      </c>
      <c r="H17" s="67"/>
      <c r="I17" s="67"/>
      <c r="J17" s="67"/>
      <c r="K17" s="67"/>
      <c r="L17" s="416"/>
      <c r="M17" s="67"/>
      <c r="N17" s="67"/>
      <c r="O17" s="67"/>
    </row>
    <row r="18" customFormat="false" ht="12" hidden="false" customHeight="true" outlineLevel="0" collapsed="false">
      <c r="A18" s="67"/>
      <c r="B18" s="400" t="n">
        <v>46507</v>
      </c>
      <c r="C18" s="67"/>
      <c r="D18" s="67"/>
      <c r="E18" s="67"/>
      <c r="F18" s="67"/>
      <c r="G18" s="405"/>
      <c r="H18" s="67"/>
      <c r="I18" s="67"/>
      <c r="J18" s="67"/>
      <c r="K18" s="67"/>
      <c r="L18" s="67"/>
      <c r="M18" s="67"/>
      <c r="N18" s="67"/>
      <c r="O18" s="67"/>
    </row>
    <row r="19" customFormat="false" ht="12" hidden="false" customHeight="true" outlineLevel="0" collapsed="false">
      <c r="A19" s="67"/>
      <c r="B19" s="400" t="n">
        <v>46538</v>
      </c>
      <c r="C19" s="67"/>
      <c r="D19" s="401" t="s">
        <v>322</v>
      </c>
      <c r="E19" s="401"/>
      <c r="F19" s="405" t="s">
        <v>323</v>
      </c>
      <c r="G19" s="405" t="s">
        <v>324</v>
      </c>
      <c r="H19" s="67"/>
      <c r="I19" s="417" t="s">
        <v>325</v>
      </c>
      <c r="J19" s="417"/>
      <c r="K19" s="417"/>
      <c r="L19" s="67"/>
      <c r="M19" s="418" t="s">
        <v>326</v>
      </c>
      <c r="N19" s="67"/>
      <c r="O19" s="67"/>
    </row>
    <row r="20" customFormat="false" ht="12" hidden="false" customHeight="true" outlineLevel="0" collapsed="false">
      <c r="A20" s="67"/>
      <c r="B20" s="400" t="n">
        <v>46568</v>
      </c>
      <c r="C20" s="67"/>
      <c r="D20" s="399"/>
      <c r="E20" s="399"/>
      <c r="F20" s="405"/>
      <c r="G20" s="405"/>
      <c r="H20" s="67"/>
      <c r="I20" s="417"/>
      <c r="J20" s="417"/>
      <c r="K20" s="417"/>
      <c r="L20" s="419" t="n">
        <v>0.06</v>
      </c>
      <c r="M20" s="418"/>
      <c r="N20" s="411" t="n">
        <v>12570</v>
      </c>
      <c r="O20" s="405" t="s">
        <v>33</v>
      </c>
    </row>
    <row r="21" customFormat="false" ht="12" hidden="false" customHeight="true" outlineLevel="0" collapsed="false">
      <c r="A21" s="67"/>
      <c r="B21" s="400" t="n">
        <v>46783</v>
      </c>
      <c r="C21" s="67"/>
      <c r="D21" s="408" t="s">
        <v>327</v>
      </c>
      <c r="E21" s="408"/>
      <c r="F21" s="411" t="n">
        <v>10000</v>
      </c>
      <c r="G21" s="415" t="n">
        <v>0.55</v>
      </c>
      <c r="H21" s="67"/>
      <c r="I21" s="420"/>
      <c r="J21" s="420"/>
      <c r="K21" s="420"/>
      <c r="L21" s="414"/>
      <c r="M21" s="67"/>
      <c r="N21" s="67"/>
      <c r="O21" s="67"/>
    </row>
    <row r="22" customFormat="false" ht="12" hidden="false" customHeight="true" outlineLevel="0" collapsed="false">
      <c r="A22" s="67"/>
      <c r="B22" s="400" t="n">
        <v>46965</v>
      </c>
      <c r="C22" s="67"/>
      <c r="D22" s="67" t="s">
        <v>328</v>
      </c>
      <c r="E22" s="67"/>
      <c r="F22" s="411" t="n">
        <v>10001</v>
      </c>
      <c r="G22" s="415" t="n">
        <v>0.25</v>
      </c>
      <c r="H22" s="67"/>
      <c r="I22" s="417" t="s">
        <v>329</v>
      </c>
      <c r="J22" s="417"/>
      <c r="K22" s="417"/>
      <c r="L22" s="67"/>
      <c r="M22" s="418" t="s">
        <v>330</v>
      </c>
      <c r="N22" s="67"/>
      <c r="O22" s="67"/>
    </row>
    <row r="23" customFormat="false" ht="12" hidden="false" customHeight="true" outlineLevel="0" collapsed="false">
      <c r="A23" s="67"/>
      <c r="B23" s="407" t="s">
        <v>331</v>
      </c>
      <c r="C23" s="67"/>
      <c r="D23" s="67"/>
      <c r="E23" s="67"/>
      <c r="F23" s="405"/>
      <c r="G23" s="416"/>
      <c r="H23" s="67"/>
      <c r="I23" s="417"/>
      <c r="J23" s="417"/>
      <c r="K23" s="417"/>
      <c r="L23" s="419" t="n">
        <v>0.02</v>
      </c>
      <c r="M23" s="418"/>
      <c r="N23" s="411" t="n">
        <v>50270</v>
      </c>
      <c r="O23" s="405" t="s">
        <v>33</v>
      </c>
    </row>
    <row r="24" customFormat="false" ht="12" hidden="false" customHeight="true" outlineLevel="0" collapsed="false">
      <c r="A24" s="67"/>
      <c r="B24" s="407" t="s">
        <v>332</v>
      </c>
      <c r="C24" s="67"/>
      <c r="D24" s="401" t="s">
        <v>322</v>
      </c>
      <c r="E24" s="401"/>
      <c r="F24" s="67"/>
      <c r="G24" s="67"/>
      <c r="H24" s="67"/>
      <c r="I24" s="67"/>
      <c r="J24" s="67"/>
      <c r="K24" s="67"/>
      <c r="L24" s="67"/>
      <c r="M24" s="67"/>
      <c r="N24" s="67"/>
      <c r="O24" s="67"/>
    </row>
    <row r="25" customFormat="false" ht="12" hidden="false" customHeight="true" outlineLevel="0" collapsed="false">
      <c r="A25" s="67"/>
      <c r="B25" s="67"/>
      <c r="C25" s="67"/>
      <c r="D25" s="67"/>
      <c r="E25" s="67"/>
      <c r="F25" s="67"/>
      <c r="G25" s="67"/>
      <c r="H25" s="67"/>
      <c r="I25" s="67"/>
      <c r="J25" s="67"/>
      <c r="K25" s="67"/>
      <c r="L25" s="67"/>
      <c r="M25" s="67"/>
      <c r="N25" s="67"/>
      <c r="O25" s="67"/>
    </row>
    <row r="26" customFormat="false" ht="12" hidden="false" customHeight="true" outlineLevel="0" collapsed="false">
      <c r="A26" s="67"/>
      <c r="B26" s="421"/>
      <c r="C26" s="67"/>
      <c r="D26" s="408" t="s">
        <v>333</v>
      </c>
      <c r="E26" s="408"/>
      <c r="F26" s="411" t="n">
        <v>90000</v>
      </c>
      <c r="G26" s="67"/>
      <c r="H26" s="67"/>
      <c r="I26" s="67"/>
      <c r="J26" s="67"/>
      <c r="K26" s="67"/>
      <c r="L26" s="67"/>
      <c r="M26" s="67"/>
      <c r="N26" s="67"/>
      <c r="O26" s="67"/>
    </row>
    <row r="27" customFormat="false" ht="12" hidden="false" customHeight="false" outlineLevel="0" collapsed="false">
      <c r="A27" s="67"/>
      <c r="B27" s="421"/>
      <c r="C27" s="67"/>
      <c r="D27" s="67"/>
      <c r="E27" s="67"/>
      <c r="F27" s="67"/>
      <c r="G27" s="405"/>
      <c r="H27" s="67"/>
      <c r="I27" s="67"/>
      <c r="J27" s="67"/>
      <c r="K27" s="67"/>
      <c r="L27" s="67"/>
      <c r="M27" s="67"/>
      <c r="N27" s="67"/>
      <c r="O27" s="67"/>
    </row>
  </sheetData>
  <mergeCells count="26">
    <mergeCell ref="D1:F1"/>
    <mergeCell ref="D2:F2"/>
    <mergeCell ref="I2:J2"/>
    <mergeCell ref="D4:F4"/>
    <mergeCell ref="I4:M4"/>
    <mergeCell ref="D5:F5"/>
    <mergeCell ref="I6:M6"/>
    <mergeCell ref="D7:F7"/>
    <mergeCell ref="I7:M7"/>
    <mergeCell ref="I9:K9"/>
    <mergeCell ref="D11:F11"/>
    <mergeCell ref="D13:F13"/>
    <mergeCell ref="D14:F14"/>
    <mergeCell ref="I14:K14"/>
    <mergeCell ref="D15:F15"/>
    <mergeCell ref="D16:F16"/>
    <mergeCell ref="I16:K16"/>
    <mergeCell ref="D17:F17"/>
    <mergeCell ref="D19:E19"/>
    <mergeCell ref="I19:K20"/>
    <mergeCell ref="M19:M20"/>
    <mergeCell ref="D21:E21"/>
    <mergeCell ref="I22:K23"/>
    <mergeCell ref="M22:M23"/>
    <mergeCell ref="D24:E24"/>
    <mergeCell ref="D26:E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LibreOffice/26.2.5.2$MacOSX_X86_64 LibreOffice_project/cd7284b4cbbfeb507e630c1aac019f4157393acb</Application>
  <AppVersion>15.0000</AppVersion>
  <Company>y</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2002-12-30T15:31:19Z</dcterms:created>
  <dc:creator>DIY Accounting Limited</dc:creator>
  <dc:description>Copyright (C) 2006-2026 DIY Accounting Limited. Licensed under the PolyForm Internal Use License 1.0.0 with an additional grant for accountants.</dc:description>
  <dc:language>en-GB</dc:language>
  <cp:lastModifiedBy>DIY Accounting Limited</cp:lastModifiedBy>
  <cp:lastPrinted>2008-06-02T20:50:10Z</cp:lastPrinted>
  <dcterms:modified xsi:type="dcterms:W3CDTF">2026-03-31T22:02:53Z</dcterms:modified>
  <cp:revision>0</cp:revision>
  <dc:subject/>
  <dc:title>Financial Accounts</dc:title>
</cp:coreProperties>
</file>

<file path=docProps/custom.xml><?xml version="1.0" encoding="utf-8"?>
<Properties xmlns="http://schemas.openxmlformats.org/officeDocument/2006/custom-properties" xmlns:vt="http://schemas.openxmlformats.org/officeDocument/2006/docPropsVTypes"/>
</file>