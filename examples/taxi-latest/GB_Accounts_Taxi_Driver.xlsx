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<sst xmlns="http://schemas.openxmlformats.org/spreadsheetml/2006/main" count="1097" uniqueCount="333">
  <si>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</si>
  <si>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</si>
  <si>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</si>
  <si>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</si>
  <si>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</si>
  <si>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</si>
  <si>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</si>
  <si>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</si>
  <si>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</si>
  <si>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</si>
  <si>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</si>
  <si>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</si>
  <si>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</si>
  <si>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</si>
  <si>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</si>
  <si>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</si>
  <si>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</si>
  <si>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</si>
  <si>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</si>
  <si>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</si>
  <si>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</si>
  <si>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</si>
  <si>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</si>
  <si>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</si>
  <si>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</si>
  <si>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</si>
  <si>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</si>
  <si>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</si>
  <si>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</si>
  <si>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</si>
  <si>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</si>
  <si>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</si>
  <si>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</si>
  <si>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</si>
  <si>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</si>
  <si>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</si>
  <si>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</si>
  <si>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</si>
  <si>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</si>
  <si>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</si>
  <si>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</si>
  <si>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</si>
  <si>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</si>
  <si>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</si>
  <si>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</si>
  <si>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</si>
  <si>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</si>
  <si>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</si>
  <si>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</si>
  <si>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</si>
  <si>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</si>
  <si>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</si>
  <si>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</si>
  <si>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</si>
  <si>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</si>
  <si>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</si>
  <si>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</si>
  <si>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</si>
  <si>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</si>
  <si>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</si>
  <si>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</si>
  <si>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</si>
  <si>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</si>
  <si>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</si>
  <si>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</si>
  <si>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</si>
  <si>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</si>
  <si>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</si>
  <si>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</si>
  <si>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</si>
  <si>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</si>
  <si>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</si>
  <si>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</si>
  <si>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</si>
  <si>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</si>
  <si>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</si>
  <si>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</si>
  <si>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</si>
  <si>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</si>
  <si>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</si>
  <si>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</si>
  <si>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</si>
  <si>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</si>
  <si>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</si>
  <si>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</si>
  <si>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</si>
  <si>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</si>
  <si>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</si>
  <si>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</si>
  <si>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</si>
  <si>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</si>
  <si>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</si>
  <si>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</si>
  <si>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</si>
  <si>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</si>
  <si>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</si>
  <si>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</si>
  <si>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</si>
  <si>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</si>
  <si>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</si>
  <si>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</si>
  <si>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</si>
  <si>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</si>
  <si>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</si>
  <si>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</si>
  <si>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</si>
  <si>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</si>
  <si>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</si>
  <si>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</si>
  <si>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</si>
  <si>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</si>
  <si>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</si>
  <si>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</si>
  <si>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</si>
  <si>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</si>
  <si>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</si>
  <si>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</si>
  <si>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</si>
  <si>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</si>
  <si>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</si>
  <si>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</si>
  <si>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</si>
  <si>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</si>
  <si>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</si>
  <si>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</si>
  <si>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</si>
  <si>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</si>
  <si>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</si>
  <si>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</si>
  <si>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</si>
  <si>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</si>
  <si>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</si>
  <si>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</si>
  <si>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</si>
  <si>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</si>
  <si>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</si>
  <si>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</si>
  <si>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</si>
  <si>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</si>
  <si>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</si>
  <si>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</si>
  <si>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</si>
  <si>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</si>
  <si>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</si>
  <si>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</si>
  <si>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</si>
  <si>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</si>
  <si>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</si>
  <si>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</si>
  <si>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</si>
  <si>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</si>
  <si>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</si>
  <si>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</si>
  <si>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</si>
  <si>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</si>
  <si>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</si>
  <si>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</si>
  <si>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</si>
  <si>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</si>
  <si>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</si>
  <si>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</si>
  <si>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</si>
  <si>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</si>
  <si>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</si>
  <si>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</si>
  <si>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</si>
  <si>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</si>
  <si>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</si>
  <si>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</si>
  <si>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</si>
  <si>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</si>
  <si>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</si>
  <si>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</si>
  <si>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</si>
  <si>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</si>
  <si>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</si>
  <si>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</si>
  <si>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</si>
  <si>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</si>
  <si>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</si>
  <si>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</si>
  <si>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</si>
  <si>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</si>
  <si>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</si>
  <si>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</si>
  <si>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</si>
  <si>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</si>
  <si>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</si>
  <si>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</si>
  <si>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</si>
  <si>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</si>
  <si>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</si>
  <si>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Car Dealer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</si>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</sst>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46482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1120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28520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28520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119</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138</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8000</v>
      </c>
      <c r="E1" s="199"/>
      <c r="F1" s="200" t="s">
        <v>171</v>
      </c>
      <c r="G1" s="201"/>
      <c r="H1" s="202" t="n">
        <f aca="false">H33+H62</f>
        <v>0</v>
      </c>
      <c r="I1" s="202" t="n">
        <f aca="false">I33+I62</f>
        <v>0</v>
      </c>
      <c r="J1" s="202" t="n">
        <f aca="false">J33+J62</f>
        <v>1120</v>
      </c>
      <c r="K1" s="202" t="n">
        <f aca="false">K33+K62</f>
        <v>6880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191</v>
      </c>
      <c r="C47" s="257" t="s">
        <v>192</v>
      </c>
      <c r="D47" s="227" t="n">
        <v>8000</v>
      </c>
      <c r="E47" s="218"/>
      <c r="F47" s="243"/>
      <c r="G47" s="217"/>
      <c r="H47" s="175" t="n">
        <v>0</v>
      </c>
      <c r="I47" s="175" t="n">
        <v>0</v>
      </c>
      <c r="J47" s="215" t="n">
        <f aca="false">IF(D47&gt;0,MIN(D47*J$4*(1-F47),Admin!G$8*(1-F47)),"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193</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194</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195</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196</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197</v>
      </c>
      <c r="C2" s="278" t="str">
        <f aca="false">Admin!K$2</f>
        <v>2026-27</v>
      </c>
      <c r="D2" s="279" t="s">
        <v>198</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199</v>
      </c>
      <c r="C5" s="283"/>
      <c r="D5" s="283"/>
      <c r="E5" s="284" t="n">
        <f aca="false">'SE Short'!D106</f>
        <v>28520</v>
      </c>
      <c r="F5" s="276"/>
      <c r="G5" s="280"/>
      <c r="K5" s="285"/>
    </row>
    <row r="6" customFormat="false" ht="12.75" hidden="false" customHeight="false" outlineLevel="0" collapsed="false">
      <c r="A6" s="135"/>
      <c r="B6" s="144" t="s">
        <v>200</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201</v>
      </c>
      <c r="C7" s="283"/>
      <c r="D7" s="283"/>
      <c r="E7" s="284" t="n">
        <f aca="false">IF((E5&gt;E6),(E5-E6),0)</f>
        <v>15950</v>
      </c>
      <c r="F7" s="276"/>
      <c r="G7" s="280"/>
      <c r="K7" s="285"/>
    </row>
    <row r="8" customFormat="false" ht="12.75" hidden="false" customHeight="false" outlineLevel="0" collapsed="false">
      <c r="A8" s="135"/>
      <c r="B8" s="144" t="s">
        <v>202</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203</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204</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205</v>
      </c>
      <c r="C11" s="290"/>
      <c r="D11" s="291"/>
      <c r="E11" s="292" t="n">
        <f aca="false">SUM(E8:E10)</f>
        <v>3190</v>
      </c>
      <c r="F11" s="293"/>
      <c r="G11" s="294"/>
      <c r="K11" s="285"/>
    </row>
    <row r="12" customFormat="false" ht="12.75" hidden="false" customHeight="false" outlineLevel="0" collapsed="false">
      <c r="A12" s="135"/>
      <c r="B12" s="295" t="s">
        <v>206</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207</v>
      </c>
      <c r="C14" s="299"/>
      <c r="D14" s="287" t="n">
        <f aca="false">Admin!L$20</f>
        <v>0.06</v>
      </c>
      <c r="E14" s="300" t="n">
        <f aca="false">IF(E5&gt;Admin!N20,IF(E5&lt;Admin!N$23,(E5-Admin!N20)*D14,(Admin!N$23-Admin!N20)*D14),0)</f>
        <v>957</v>
      </c>
      <c r="F14" s="276"/>
      <c r="G14" s="294"/>
      <c r="K14" s="285"/>
    </row>
    <row r="15" customFormat="false" ht="12.75" hidden="false" customHeight="false" outlineLevel="0" collapsed="false">
      <c r="A15" s="135"/>
      <c r="B15" s="299" t="s">
        <v>208</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209</v>
      </c>
      <c r="C17" s="301"/>
      <c r="D17" s="297"/>
      <c r="E17" s="292" t="n">
        <f aca="false">SUM(E11:E16)</f>
        <v>4147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210</v>
      </c>
      <c r="C20" s="303"/>
      <c r="D20" s="304" t="s">
        <v>211</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212</v>
      </c>
      <c r="E22" s="307" t="s">
        <v>213</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214</v>
      </c>
      <c r="C24" s="310" t="str">
        <f aca="false">Admin!B$24</f>
        <v>2027-28</v>
      </c>
      <c r="D24" s="311" t="s">
        <v>215</v>
      </c>
      <c r="E24" s="300" t="n">
        <f aca="false">E17</f>
        <v>4147</v>
      </c>
      <c r="F24" s="276"/>
      <c r="G24" s="280"/>
    </row>
    <row r="25" customFormat="false" ht="12.75" hidden="false" customHeight="false" outlineLevel="0" collapsed="false">
      <c r="A25" s="135"/>
      <c r="B25" s="144" t="s">
        <v>216</v>
      </c>
      <c r="C25" s="144"/>
      <c r="D25" s="312" t="n">
        <f aca="false">Admin!B$21</f>
        <v>46783</v>
      </c>
      <c r="E25" s="284" t="n">
        <f aca="false">E24/2</f>
        <v>2073.5</v>
      </c>
      <c r="F25" s="276"/>
      <c r="G25" s="280"/>
    </row>
    <row r="26" customFormat="false" ht="12.75" hidden="false" customHeight="false" outlineLevel="0" collapsed="false">
      <c r="A26" s="135"/>
      <c r="B26" s="144" t="s">
        <v>216</v>
      </c>
      <c r="C26" s="144"/>
      <c r="D26" s="312" t="n">
        <f aca="false">Admin!B$22</f>
        <v>46965</v>
      </c>
      <c r="E26" s="284" t="n">
        <f aca="false">E24/2</f>
        <v>2073.5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217</v>
      </c>
      <c r="C28" s="160"/>
      <c r="D28" s="297"/>
      <c r="E28" s="275"/>
      <c r="F28" s="276"/>
      <c r="G28" s="280"/>
    </row>
    <row r="29" customFormat="false" ht="12.75" hidden="false" customHeight="false" outlineLevel="0" collapsed="false">
      <c r="A29" s="135"/>
      <c r="B29" s="314" t="s">
        <v>218</v>
      </c>
      <c r="C29" s="314"/>
      <c r="D29" s="135"/>
      <c r="E29" s="315"/>
      <c r="F29" s="276"/>
      <c r="G29" s="316"/>
    </row>
    <row r="30" customFormat="false" ht="12.75" hidden="false" customHeight="false" outlineLevel="0" collapsed="false">
      <c r="A30" s="135"/>
      <c r="B30" s="317" t="s">
        <v>219</v>
      </c>
      <c r="C30" s="317"/>
      <c r="D30" s="318"/>
      <c r="E30" s="315"/>
      <c r="F30" s="276"/>
      <c r="G30" s="316"/>
    </row>
    <row r="31" customFormat="false" ht="12.75" hidden="false" customHeight="false" outlineLevel="0" collapsed="false">
      <c r="A31" s="135"/>
      <c r="B31" s="319" t="s">
        <v>220</v>
      </c>
      <c r="C31" s="317"/>
      <c r="D31" s="318"/>
      <c r="E31" s="315"/>
      <c r="F31" s="276"/>
      <c r="G31" s="316"/>
    </row>
    <row r="32" customFormat="false" ht="12.75" hidden="false" customHeight="false" outlineLevel="0" collapsed="false">
      <c r="A32" s="135"/>
      <c r="B32" s="160" t="s">
        <v>221</v>
      </c>
      <c r="C32" s="160"/>
      <c r="D32" s="318"/>
      <c r="E32" s="320"/>
      <c r="F32" s="276"/>
      <c r="G32" s="316"/>
    </row>
    <row r="33" customFormat="false" ht="12.75" hidden="false" customHeight="false" outlineLevel="0" collapsed="false">
      <c r="A33" s="135"/>
      <c r="B33" s="160" t="s">
        <v>222</v>
      </c>
      <c r="C33" s="160"/>
      <c r="D33" s="318"/>
      <c r="E33" s="320"/>
      <c r="F33" s="276"/>
      <c r="G33" s="316"/>
    </row>
    <row r="34" customFormat="false" ht="12.75" hidden="false" customHeight="false" outlineLevel="0" collapsed="false">
      <c r="A34" s="135"/>
      <c r="B34" s="160" t="s">
        <v>223</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224</v>
      </c>
      <c r="C2" s="323" t="s">
        <v>225</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1"/>
    </row>
    <row r="5" s="204" customFormat="true" ht="12" hidden="false" customHeight="false" outlineLevel="0" collapsed="false">
      <c r="A5" s="263"/>
      <c r="B5" s="330"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226</v>
      </c>
      <c r="C7" s="176"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118</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119</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227</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228</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229</v>
      </c>
      <c r="C17" s="323" t="s">
        <v>225</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226</v>
      </c>
      <c r="C22" s="176"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118</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119</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227</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228</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230</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231</v>
      </c>
      <c r="C34" s="341" t="n">
        <f aca="false">C30-C33</f>
        <v>28520</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232</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233</v>
      </c>
      <c r="C36" s="341"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234</v>
      </c>
      <c r="C37" s="341" t="n">
        <f aca="false">IF((C36&gt;0),(IF((C36&lt;Admin!M$11),C36*Admin!N$6,Admin!M$11*Admin!N$6)),0)</f>
        <v>3190</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235</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236</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237</v>
      </c>
      <c r="C40" s="341" t="n">
        <f aca="false">IF(C34&gt;Admin!N$20,IF(C34&lt;Admin!N$23,(C34-Admin!N$20)*Admin!L$20,(Admin!N$23-Admin!N$20)*Admin!L$20),0)+IF(C34&gt;Admin!N$23,(C34-Admin!N$23)*Admin!L$23,0)</f>
        <v>957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238</v>
      </c>
      <c r="C41" s="343" t="n">
        <f aca="false">C37+C38+C39+C40</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SUM(D4:D36)</f>
        <v>0</v>
      </c>
      <c r="E1" s="351" t="n">
        <f aca="false">SUM(E4:E36)/2</f>
        <v>3000</v>
      </c>
      <c r="F1" s="351" t="n">
        <f aca="false">SUM(F4:F36)/2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200</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246</v>
      </c>
      <c r="F12" s="364"/>
    </row>
    <row r="13" customFormat="false" ht="12.75" hidden="false" customHeight="false" outlineLevel="0" collapsed="false">
      <c r="A13" s="363" t="n">
        <v>46124</v>
      </c>
      <c r="B13" s="346" t="s">
        <v>247</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246</v>
      </c>
      <c r="F23" s="364"/>
    </row>
    <row r="24" customFormat="false" ht="12.75" hidden="false" customHeight="false" outlineLevel="0" collapsed="false">
      <c r="A24" s="363" t="n">
        <v>46131</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246</v>
      </c>
      <c r="F34" s="364"/>
    </row>
    <row r="35" customFormat="false" ht="12.75" hidden="false" customHeight="false" outlineLevel="0" collapsed="false">
      <c r="A35" s="363" t="n">
        <v>46138</v>
      </c>
      <c r="B35" s="346" t="s">
        <v>247</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248</v>
      </c>
      <c r="C1" s="375" t="s">
        <v>241</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249</v>
      </c>
      <c r="C2" s="379" t="s">
        <v>250</v>
      </c>
      <c r="D2" s="379" t="s">
        <v>251</v>
      </c>
      <c r="E2" s="379" t="s">
        <v>252</v>
      </c>
      <c r="F2" s="207" t="s">
        <v>253</v>
      </c>
      <c r="G2" s="380" t="s">
        <v>254</v>
      </c>
      <c r="H2" s="380"/>
      <c r="I2" s="381" t="n">
        <f aca="false">G1+H1+I1+J1</f>
        <v>1680</v>
      </c>
      <c r="J2" s="381"/>
      <c r="K2" s="207" t="s">
        <v>255</v>
      </c>
      <c r="L2" s="207" t="s">
        <v>256</v>
      </c>
      <c r="M2" s="207" t="s">
        <v>257</v>
      </c>
      <c r="N2" s="207" t="s">
        <v>258</v>
      </c>
      <c r="O2" s="207" t="s">
        <v>259</v>
      </c>
      <c r="P2" s="207" t="s">
        <v>260</v>
      </c>
      <c r="Q2" s="207" t="s">
        <v>261</v>
      </c>
      <c r="R2" s="207" t="s">
        <v>262</v>
      </c>
      <c r="S2" s="382" t="s">
        <v>263</v>
      </c>
      <c r="T2" s="383" t="str">
        <f aca="false">IF(T1&gt;'Fixed Assets'!$D$74,"ENTER VEHICLE CHANGES        on Fixed Asset schedule","Motor Vehicles: make, model, date reg. and reg. Mark")</f>
        <v>Motor Vehicles: make, model, date reg. and reg. Mark</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78" t="n">
        <f aca="false">IF((A1&lt;Admin!$F$22),((A1)*Admin!$G$21),(A1*Admin!$G$21-(A1-Admin!$F$21)*(Admin!$G$21-Admin!$G$22)))</f>
        <v>0</v>
      </c>
    </row>
    <row r="5" s="372" customFormat="true" ht="12.75" hidden="false" customHeight="false" outlineLevel="0" collapsed="false">
      <c r="A5" s="371" t="n">
        <v>45762</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45753</v>
      </c>
      <c r="B6" s="180" t="s">
        <v>282</v>
      </c>
      <c r="D6" s="372" t="s">
        <v>283</v>
      </c>
      <c r="F6" s="373"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45757</v>
      </c>
      <c r="B7" s="180" t="s">
        <v>284</v>
      </c>
      <c r="D7" s="372" t="s">
        <v>283</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45767</v>
      </c>
      <c r="B8" s="180" t="s">
        <v>285</v>
      </c>
      <c r="D8" s="372" t="s">
        <v>286</v>
      </c>
      <c r="F8" s="373"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45755</v>
      </c>
      <c r="B9" s="180" t="s">
        <v>287</v>
      </c>
      <c r="D9" s="372" t="s">
        <v>288</v>
      </c>
      <c r="F9" s="373"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SUM(D4:D58)</f>
        <v>0</v>
      </c>
      <c r="E1" s="351" t="n">
        <f aca="false">SUM(E4:E58)/2</f>
        <v>3000</v>
      </c>
      <c r="F1" s="351" t="n">
        <f aca="false">SUM(F4:F58)/2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246</v>
      </c>
      <c r="F12" s="364"/>
    </row>
    <row r="13" customFormat="false" ht="12.75" hidden="false" customHeight="false" outlineLevel="0" collapsed="false">
      <c r="A13" s="363" t="n">
        <v>46145</v>
      </c>
      <c r="B13" s="346" t="s">
        <v>247</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246</v>
      </c>
      <c r="F23" s="364"/>
    </row>
    <row r="24" customFormat="false" ht="12.75" hidden="false" customHeight="false" outlineLevel="0" collapsed="false">
      <c r="A24" s="363" t="n">
        <v>46152</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246</v>
      </c>
      <c r="F34" s="364"/>
    </row>
    <row r="35" customFormat="false" ht="12.75" hidden="false" customHeight="false" outlineLevel="0" collapsed="false">
      <c r="A35" s="363" t="n">
        <v>46159</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246</v>
      </c>
      <c r="F45" s="364"/>
    </row>
    <row r="46" customFormat="false" ht="12.75" hidden="false" customHeight="false" outlineLevel="0" collapsed="false">
      <c r="A46" s="363" t="n">
        <v>46166</v>
      </c>
      <c r="B46" s="346" t="s">
        <v>247</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246</v>
      </c>
      <c r="F56" s="364"/>
    </row>
    <row r="57" customFormat="false" ht="12.75" hidden="false" customHeight="false" outlineLevel="0" collapsed="false">
      <c r="A57" s="363" t="n">
        <v>46173</v>
      </c>
      <c r="B57" s="346" t="s">
        <v>247</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249</v>
      </c>
      <c r="C2" s="379" t="s">
        <v>250</v>
      </c>
      <c r="D2" s="379" t="s">
        <v>251</v>
      </c>
      <c r="E2" s="379" t="s">
        <v>252</v>
      </c>
      <c r="F2" s="207" t="s">
        <v>253</v>
      </c>
      <c r="G2" s="380" t="s">
        <v>254</v>
      </c>
      <c r="H2" s="380"/>
      <c r="I2" s="381" t="n">
        <f aca="false">G1+H1+I1+J1+PurchasesApr!I2</f>
        <v>1980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Motor Vehicles: make, model, date reg. and reg. Mark</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IF((A1&lt;Admin!$F$22),((A1-PurchasesApr!A1)*Admin!$G$21),(A1*Admin!$G$21-(A1-Admin!$F$21)*(Admin!$G$21-Admin!$G$22)-PurchasesApr!A2))</f>
        <v>0</v>
      </c>
    </row>
    <row r="5" s="372" customFormat="true" ht="12.75" hidden="false" customHeight="false" outlineLevel="0" collapsed="false">
      <c r="A5" s="371" t="n">
        <v>45792</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SUM(D4:D47)</f>
        <v>0</v>
      </c>
      <c r="E1" s="351" t="n">
        <f aca="false">SUM(E4:E47)/2</f>
        <v>3000</v>
      </c>
      <c r="F1" s="351" t="n">
        <f aca="false">SUM(F4:F47)/2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246</v>
      </c>
      <c r="F12" s="364"/>
    </row>
    <row r="13" customFormat="false" ht="12.75" hidden="false" customHeight="false" outlineLevel="0" collapsed="false">
      <c r="A13" s="363" t="n">
        <v>46180</v>
      </c>
      <c r="B13" s="346" t="s">
        <v>247</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246</v>
      </c>
      <c r="F23" s="364"/>
    </row>
    <row r="24" customFormat="false" ht="12.75" hidden="false" customHeight="false" outlineLevel="0" collapsed="false">
      <c r="A24" s="363" t="n">
        <v>46187</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246</v>
      </c>
      <c r="F34" s="364"/>
    </row>
    <row r="35" customFormat="false" ht="12.75" hidden="false" customHeight="false" outlineLevel="0" collapsed="false">
      <c r="A35" s="363" t="n">
        <v>46194</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246</v>
      </c>
      <c r="F45" s="364"/>
    </row>
    <row r="46" customFormat="false" ht="12.75" hidden="false" customHeight="false" outlineLevel="0" collapsed="false">
      <c r="A46" s="363" t="n">
        <v>46201</v>
      </c>
      <c r="B46" s="346" t="s">
        <v>247</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248</v>
      </c>
      <c r="C1" s="392" t="s">
        <v>241</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249</v>
      </c>
      <c r="C2" s="379" t="s">
        <v>250</v>
      </c>
      <c r="D2" s="379" t="s">
        <v>251</v>
      </c>
      <c r="E2" s="379" t="s">
        <v>252</v>
      </c>
      <c r="F2" s="207" t="s">
        <v>253</v>
      </c>
      <c r="G2" s="380" t="s">
        <v>254</v>
      </c>
      <c r="H2" s="380"/>
      <c r="I2" s="381" t="n">
        <f aca="false">G1+H1+I1+J1+PurchasesMay!I2</f>
        <v>2280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IF((A1&lt;Admin!$F$22),((A1-PurchasesMay!A1)*Admin!$G$21),(A1*Admin!$G$21-(A1-Admin!$F$21)*(Admin!$G$21-Admin!$G$22)-PurchasesMay!A2))</f>
        <v>0</v>
      </c>
    </row>
    <row r="5" s="372" customFormat="true" ht="12.75" hidden="false" customHeight="false" outlineLevel="0" collapsed="false">
      <c r="A5" s="371" t="n">
        <v>45823</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45809</v>
      </c>
      <c r="B6" s="180" t="s">
        <v>192</v>
      </c>
      <c r="D6" s="372" t="s">
        <v>290</v>
      </c>
      <c r="F6" s="373"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SUM(D4:D47)</f>
        <v>0</v>
      </c>
      <c r="E1" s="351" t="n">
        <f aca="false">SUM(E4:E47)/2</f>
        <v>3000</v>
      </c>
      <c r="F1" s="351" t="n">
        <f aca="false">SUM(F4:F47)/2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246</v>
      </c>
      <c r="F12" s="364"/>
    </row>
    <row r="13" customFormat="false" ht="12.75" hidden="false" customHeight="false" outlineLevel="0" collapsed="false">
      <c r="A13" s="363" t="n">
        <v>46208</v>
      </c>
      <c r="B13" s="346" t="s">
        <v>247</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246</v>
      </c>
      <c r="F23" s="364"/>
    </row>
    <row r="24" customFormat="false" ht="12.75" hidden="false" customHeight="false" outlineLevel="0" collapsed="false">
      <c r="A24" s="363" t="n">
        <v>46215</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246</v>
      </c>
      <c r="F34" s="364"/>
    </row>
    <row r="35" customFormat="false" ht="12.75" hidden="false" customHeight="false" outlineLevel="0" collapsed="false">
      <c r="A35" s="363" t="n">
        <v>46222</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246</v>
      </c>
      <c r="F45" s="364"/>
    </row>
    <row r="46" customFormat="false" ht="12.75" hidden="false" customHeight="false" outlineLevel="0" collapsed="false">
      <c r="A46" s="363" t="n">
        <v>46229</v>
      </c>
      <c r="B46" s="346" t="s">
        <v>247</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248</v>
      </c>
      <c r="C1" s="392" t="s">
        <v>241</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249</v>
      </c>
      <c r="C2" s="379" t="s">
        <v>250</v>
      </c>
      <c r="D2" s="379" t="s">
        <v>251</v>
      </c>
      <c r="E2" s="379" t="s">
        <v>252</v>
      </c>
      <c r="F2" s="207" t="s">
        <v>253</v>
      </c>
      <c r="G2" s="380" t="s">
        <v>254</v>
      </c>
      <c r="H2" s="380"/>
      <c r="I2" s="381" t="n">
        <f aca="false">G1+H1+I1+J1+PurchasesJun!I2</f>
        <v>2580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IF((A1&lt;Admin!$F$22),((A1-PurchasesJun!A1)*Admin!$G$21),(A1*Admin!$G$21-(A1-Admin!$F$21)*(Admin!$G$21-Admin!$G$22)-PurchasesJun!A2))</f>
        <v>0</v>
      </c>
    </row>
    <row r="5" s="372" customFormat="true" ht="12.75" hidden="false" customHeight="false" outlineLevel="0" collapsed="false">
      <c r="A5" s="371" t="n">
        <v>45853</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45848</v>
      </c>
      <c r="B6" s="389" t="s">
        <v>285</v>
      </c>
      <c r="D6" s="372" t="s">
        <v>286</v>
      </c>
      <c r="F6" s="373"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SUM(D4:D58)</f>
        <v>0</v>
      </c>
      <c r="E1" s="351" t="n">
        <f aca="false">SUM(E4:E58)/2</f>
        <v>3000</v>
      </c>
      <c r="F1" s="351" t="n">
        <f aca="false">SUM(F4:F58)/2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246</v>
      </c>
      <c r="F12" s="364"/>
    </row>
    <row r="13" customFormat="false" ht="12.75" hidden="false" customHeight="false" outlineLevel="0" collapsed="false">
      <c r="A13" s="363" t="n">
        <v>46236</v>
      </c>
      <c r="B13" s="346" t="s">
        <v>247</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246</v>
      </c>
      <c r="F23" s="364"/>
    </row>
    <row r="24" customFormat="false" ht="12.75" hidden="false" customHeight="false" outlineLevel="0" collapsed="false">
      <c r="A24" s="363" t="n">
        <v>46243</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246</v>
      </c>
      <c r="F34" s="364"/>
    </row>
    <row r="35" customFormat="false" ht="12.75" hidden="false" customHeight="false" outlineLevel="0" collapsed="false">
      <c r="A35" s="363" t="n">
        <v>46250</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246</v>
      </c>
      <c r="F45" s="364"/>
    </row>
    <row r="46" customFormat="false" ht="12.75" hidden="false" customHeight="false" outlineLevel="0" collapsed="false">
      <c r="A46" s="363" t="n">
        <v>46257</v>
      </c>
      <c r="B46" s="346" t="s">
        <v>247</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246</v>
      </c>
      <c r="F56" s="364"/>
    </row>
    <row r="57" customFormat="false" ht="12.75" hidden="false" customHeight="false" outlineLevel="0" collapsed="false">
      <c r="A57" s="363" t="n">
        <v>46264</v>
      </c>
      <c r="B57" s="346" t="s">
        <v>247</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249</v>
      </c>
      <c r="C2" s="379" t="s">
        <v>250</v>
      </c>
      <c r="D2" s="379" t="s">
        <v>251</v>
      </c>
      <c r="E2" s="379" t="s">
        <v>252</v>
      </c>
      <c r="F2" s="207" t="s">
        <v>253</v>
      </c>
      <c r="G2" s="380" t="s">
        <v>254</v>
      </c>
      <c r="H2" s="380"/>
      <c r="I2" s="381" t="n">
        <f aca="false">G1+H1+I1+J1+PurchasesJul!I2</f>
        <v>2880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IF((A1&lt;Admin!$F$22),((A1-PurchasesJul!A1)*Admin!$G$21),(A1*Admin!$G$21-(A1-Admin!$F$21)*(Admin!$G$21-Admin!$G$22)-PurchasesJul!A2))</f>
        <v>0</v>
      </c>
    </row>
    <row r="5" s="372" customFormat="true" ht="12.75" hidden="false" customHeight="false" outlineLevel="0" collapsed="false">
      <c r="A5" s="371" t="n">
        <v>45884</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SUM(D4:D47)</f>
        <v>0</v>
      </c>
      <c r="E1" s="351" t="n">
        <f aca="false">SUM(E4:E47)/2</f>
        <v>3000</v>
      </c>
      <c r="F1" s="351" t="n">
        <f aca="false">SUM(F4:F47)/2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246</v>
      </c>
      <c r="F12" s="364"/>
    </row>
    <row r="13" customFormat="false" ht="12.75" hidden="false" customHeight="false" outlineLevel="0" collapsed="false">
      <c r="A13" s="363" t="n">
        <v>46271</v>
      </c>
      <c r="B13" s="346" t="s">
        <v>247</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246</v>
      </c>
      <c r="F23" s="364"/>
    </row>
    <row r="24" customFormat="false" ht="12.75" hidden="false" customHeight="false" outlineLevel="0" collapsed="false">
      <c r="A24" s="363" t="n">
        <v>46278</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E28" s="348" t="n">
        <v>200</v>
      </c>
      <c r="F28" s="364"/>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246</v>
      </c>
      <c r="F34" s="364"/>
    </row>
    <row r="35" customFormat="false" ht="12.75" hidden="false" customHeight="false" outlineLevel="0" collapsed="false">
      <c r="A35" s="363" t="n">
        <v>46285</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246</v>
      </c>
      <c r="F45" s="364"/>
    </row>
    <row r="46" customFormat="false" ht="12.75" hidden="false" customHeight="false" outlineLevel="0" collapsed="false">
      <c r="A46" s="363" t="n">
        <v>46292</v>
      </c>
      <c r="B46" s="346" t="s">
        <v>247</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249</v>
      </c>
      <c r="C2" s="379" t="s">
        <v>250</v>
      </c>
      <c r="D2" s="379" t="s">
        <v>251</v>
      </c>
      <c r="E2" s="379" t="s">
        <v>252</v>
      </c>
      <c r="F2" s="207" t="s">
        <v>253</v>
      </c>
      <c r="G2" s="380" t="s">
        <v>254</v>
      </c>
      <c r="H2" s="380"/>
      <c r="I2" s="381" t="n">
        <f aca="false">G1+H1+I1+J1+PurchasesAug!I2</f>
        <v>3180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IF((A1&lt;Admin!$F$22),((A1-PurchasesAug!A1)*Admin!$G$21),(A1*Admin!$G$21-(A1-Admin!$F$21)*(Admin!$G$21-Admin!$G$22)-PurchasesAug!A2))</f>
        <v>0</v>
      </c>
    </row>
    <row r="5" s="372" customFormat="true" ht="12.75" hidden="false" customHeight="false" outlineLevel="0" collapsed="false">
      <c r="A5" s="371" t="n">
        <v>45915</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SUM(D4:D47)</f>
        <v>0</v>
      </c>
      <c r="E1" s="351" t="n">
        <f aca="false">SUM(E4:E47)/2</f>
        <v>3000</v>
      </c>
      <c r="F1" s="351" t="n">
        <f aca="false">SUM(F4:F47)/2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246</v>
      </c>
      <c r="F12" s="364"/>
    </row>
    <row r="13" customFormat="false" ht="12.75" hidden="false" customHeight="false" outlineLevel="0" collapsed="false">
      <c r="A13" s="363" t="n">
        <v>46299</v>
      </c>
      <c r="B13" s="346" t="s">
        <v>247</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246</v>
      </c>
      <c r="F23" s="364"/>
    </row>
    <row r="24" customFormat="false" ht="12.75" hidden="false" customHeight="false" outlineLevel="0" collapsed="false">
      <c r="A24" s="363" t="n">
        <v>46306</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246</v>
      </c>
      <c r="F34" s="364"/>
    </row>
    <row r="35" customFormat="false" ht="12.75" hidden="false" customHeight="false" outlineLevel="0" collapsed="false">
      <c r="A35" s="363" t="n">
        <v>46313</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246</v>
      </c>
      <c r="F45" s="364"/>
    </row>
    <row r="46" customFormat="false" ht="12.75" hidden="false" customHeight="false" outlineLevel="0" collapsed="false">
      <c r="A46" s="363" t="n">
        <v>46320</v>
      </c>
      <c r="B46" s="346" t="s">
        <v>247</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248</v>
      </c>
      <c r="C1" s="392" t="s">
        <v>241</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249</v>
      </c>
      <c r="C2" s="379" t="s">
        <v>250</v>
      </c>
      <c r="D2" s="379" t="s">
        <v>251</v>
      </c>
      <c r="E2" s="379" t="s">
        <v>252</v>
      </c>
      <c r="F2" s="207" t="s">
        <v>253</v>
      </c>
      <c r="G2" s="380" t="s">
        <v>254</v>
      </c>
      <c r="H2" s="380"/>
      <c r="I2" s="381" t="n">
        <f aca="false">G1+H1+I1+J1+PurchasesSep!I2</f>
        <v>3480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IF((A1&lt;Admin!$F$22),((A1-PurchasesSep!A1)*Admin!$G$21),(A1*Admin!$G$21-(A1-Admin!$F$21)*(Admin!$G$21-Admin!$G$22)-PurchasesSep!A2))</f>
        <v>0</v>
      </c>
    </row>
    <row r="5" s="372" customFormat="true" ht="12.75" hidden="false" customHeight="false" outlineLevel="0" collapsed="false">
      <c r="A5" s="371" t="n">
        <v>45945</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45940</v>
      </c>
      <c r="B6" s="180" t="s">
        <v>285</v>
      </c>
      <c r="D6" s="372" t="s">
        <v>286</v>
      </c>
      <c r="F6" s="373"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SUM(D4:D58)</f>
        <v>0</v>
      </c>
      <c r="E1" s="351" t="n">
        <f aca="false">SUM(E4:E58)/2</f>
        <v>3000</v>
      </c>
      <c r="F1" s="351" t="n">
        <f aca="false">SUM(F4:F58)/2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246</v>
      </c>
      <c r="F12" s="364"/>
    </row>
    <row r="13" customFormat="false" ht="12.75" hidden="false" customHeight="false" outlineLevel="0" collapsed="false">
      <c r="A13" s="363" t="n">
        <v>46327</v>
      </c>
      <c r="B13" s="346" t="s">
        <v>247</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246</v>
      </c>
      <c r="F23" s="364"/>
    </row>
    <row r="24" customFormat="false" ht="12.75" hidden="false" customHeight="false" outlineLevel="0" collapsed="false">
      <c r="A24" s="363" t="n">
        <v>46334</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246</v>
      </c>
      <c r="F34" s="364"/>
    </row>
    <row r="35" customFormat="false" ht="12.75" hidden="false" customHeight="false" outlineLevel="0" collapsed="false">
      <c r="A35" s="363" t="n">
        <v>46341</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246</v>
      </c>
      <c r="F45" s="364"/>
    </row>
    <row r="46" customFormat="false" ht="12.75" hidden="false" customHeight="false" outlineLevel="0" collapsed="false">
      <c r="A46" s="363" t="n">
        <v>46348</v>
      </c>
      <c r="B46" s="346" t="s">
        <v>247</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246</v>
      </c>
      <c r="F56" s="364"/>
    </row>
    <row r="57" customFormat="false" ht="12.75" hidden="false" customHeight="false" outlineLevel="0" collapsed="false">
      <c r="A57" s="363" t="n">
        <v>46355</v>
      </c>
      <c r="B57" s="346" t="s">
        <v>247</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249</v>
      </c>
      <c r="C2" s="379" t="s">
        <v>250</v>
      </c>
      <c r="D2" s="379" t="s">
        <v>251</v>
      </c>
      <c r="E2" s="379" t="s">
        <v>252</v>
      </c>
      <c r="F2" s="207" t="s">
        <v>253</v>
      </c>
      <c r="G2" s="380" t="s">
        <v>254</v>
      </c>
      <c r="H2" s="380"/>
      <c r="I2" s="381" t="n">
        <f aca="false">G1+H1+I1+J1+PurchasesOct!I2</f>
        <v>3780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IF((A1&lt;Admin!$F$22),((A1-PurchasesOct!A1)*Admin!$G$21),(A1*Admin!$G$21-(A1-Admin!$F$21)*(Admin!$G$21-Admin!$G$22)-PurchasesOct!A2))</f>
        <v>0</v>
      </c>
    </row>
    <row r="5" s="372" customFormat="true" ht="12.75" hidden="false" customHeight="false" outlineLevel="0" collapsed="false">
      <c r="A5" s="371" t="n">
        <v>45976</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SUM(D4:D47)</f>
        <v>0</v>
      </c>
      <c r="E1" s="351" t="n">
        <f aca="false">SUM(E4:E47)/2</f>
        <v>3000</v>
      </c>
      <c r="F1" s="351" t="n">
        <f aca="false">SUM(F4:F47)/2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246</v>
      </c>
      <c r="F12" s="364"/>
    </row>
    <row r="13" customFormat="false" ht="12.75" hidden="false" customHeight="false" outlineLevel="0" collapsed="false">
      <c r="A13" s="363" t="n">
        <v>46362</v>
      </c>
      <c r="B13" s="346" t="s">
        <v>247</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246</v>
      </c>
      <c r="F23" s="364"/>
    </row>
    <row r="24" customFormat="false" ht="12.75" hidden="false" customHeight="false" outlineLevel="0" collapsed="false">
      <c r="A24" s="363" t="n">
        <v>46369</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246</v>
      </c>
      <c r="F34" s="364"/>
    </row>
    <row r="35" customFormat="false" ht="12.75" hidden="false" customHeight="false" outlineLevel="0" collapsed="false">
      <c r="A35" s="363" t="n">
        <v>46376</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246</v>
      </c>
      <c r="F45" s="364"/>
    </row>
    <row r="46" customFormat="false" ht="12.75" hidden="false" customHeight="false" outlineLevel="0" collapsed="false">
      <c r="A46" s="363" t="n">
        <v>46383</v>
      </c>
      <c r="B46" s="346" t="s">
        <v>247</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249</v>
      </c>
      <c r="C2" s="379" t="s">
        <v>250</v>
      </c>
      <c r="D2" s="379" t="s">
        <v>251</v>
      </c>
      <c r="E2" s="379" t="s">
        <v>252</v>
      </c>
      <c r="F2" s="207" t="s">
        <v>253</v>
      </c>
      <c r="G2" s="380" t="s">
        <v>254</v>
      </c>
      <c r="H2" s="380"/>
      <c r="I2" s="381" t="n">
        <f aca="false">G1+H1+I1+J1+PurchasesNov!I2</f>
        <v>4080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IF((A1&lt;Admin!$F$22),((A1-PurchasesNov!A1)*Admin!$G$21),(A1*Admin!$G$21-(A1-Admin!$F$21)*(Admin!$G$21-Admin!$G$22)-PurchasesNov!A2))</f>
        <v>0</v>
      </c>
    </row>
    <row r="5" s="372" customFormat="true" ht="12.75" hidden="false" customHeight="false" outlineLevel="0" collapsed="false">
      <c r="A5" s="371" t="n">
        <v>46006</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SUM(D4:D58)</f>
        <v>0</v>
      </c>
      <c r="E1" s="351" t="n">
        <f aca="false">SUM(E4:E58)/2</f>
        <v>3000</v>
      </c>
      <c r="F1" s="351" t="n">
        <f aca="false">SUM(F4:F58)/2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246</v>
      </c>
      <c r="F12" s="364"/>
    </row>
    <row r="13" customFormat="false" ht="12.75" hidden="false" customHeight="false" outlineLevel="0" collapsed="false">
      <c r="A13" s="363" t="n">
        <v>46390</v>
      </c>
      <c r="B13" s="346" t="s">
        <v>247</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246</v>
      </c>
      <c r="F23" s="364"/>
    </row>
    <row r="24" customFormat="false" ht="12.75" hidden="false" customHeight="false" outlineLevel="0" collapsed="false">
      <c r="A24" s="363" t="n">
        <v>46397</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246</v>
      </c>
      <c r="F34" s="364"/>
    </row>
    <row r="35" customFormat="false" ht="12.75" hidden="false" customHeight="false" outlineLevel="0" collapsed="false">
      <c r="A35" s="363" t="n">
        <v>46404</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246</v>
      </c>
      <c r="F45" s="364"/>
    </row>
    <row r="46" customFormat="false" ht="12.75" hidden="false" customHeight="false" outlineLevel="0" collapsed="false">
      <c r="A46" s="363" t="n">
        <v>46411</v>
      </c>
      <c r="B46" s="346" t="s">
        <v>247</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246</v>
      </c>
      <c r="F56" s="364"/>
    </row>
    <row r="57" customFormat="false" ht="12.75" hidden="false" customHeight="false" outlineLevel="0" collapsed="false">
      <c r="A57" s="363" t="n">
        <v>46418</v>
      </c>
      <c r="B57" s="346" t="s">
        <v>247</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248</v>
      </c>
      <c r="C1" s="392" t="s">
        <v>241</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249</v>
      </c>
      <c r="C2" s="379" t="s">
        <v>250</v>
      </c>
      <c r="D2" s="379" t="s">
        <v>251</v>
      </c>
      <c r="E2" s="379" t="s">
        <v>252</v>
      </c>
      <c r="F2" s="207" t="s">
        <v>253</v>
      </c>
      <c r="G2" s="380" t="s">
        <v>254</v>
      </c>
      <c r="H2" s="380"/>
      <c r="I2" s="381" t="n">
        <f aca="false">G1+H1+I1+J1+PurchasesDec!I2</f>
        <v>4380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IF((A1&lt;Admin!$F$22),((A1-PurchasesDec!A1)*Admin!$G$21),(A1*Admin!$G$21-(A1-Admin!$F$21)*(Admin!$G$21-Admin!$G$22)-PurchasesDec!A2))</f>
        <v>0</v>
      </c>
    </row>
    <row r="5" s="372" customFormat="true" ht="12.75" hidden="false" customHeight="false" outlineLevel="0" collapsed="false">
      <c r="A5" s="371" t="n">
        <v>46037</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46032</v>
      </c>
      <c r="B6" s="180" t="s">
        <v>285</v>
      </c>
      <c r="D6" s="372" t="s">
        <v>286</v>
      </c>
      <c r="F6" s="373"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46042</v>
      </c>
      <c r="B7" s="180" t="s">
        <v>291</v>
      </c>
      <c r="D7" s="372" t="s">
        <v>288</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239</v>
      </c>
      <c r="B1" s="350" t="s">
        <v>240</v>
      </c>
      <c r="C1" s="351" t="s">
        <v>241</v>
      </c>
      <c r="D1" s="352" t="n">
        <f aca="false">SUM(D4:D47)</f>
        <v>0</v>
      </c>
      <c r="E1" s="351" t="n">
        <f aca="false">SUM(E4:E47)/2</f>
        <v>3000</v>
      </c>
      <c r="F1" s="351" t="n">
        <f aca="false">SUM(F4:F47)/2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246</v>
      </c>
      <c r="F12" s="364"/>
    </row>
    <row r="13" customFormat="false" ht="12.75" hidden="false" customHeight="false" outlineLevel="0" collapsed="false">
      <c r="A13" s="363" t="n">
        <v>46425</v>
      </c>
      <c r="B13" s="346" t="s">
        <v>247</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246</v>
      </c>
      <c r="F23" s="364"/>
    </row>
    <row r="24" customFormat="false" ht="12.75" hidden="false" customHeight="false" outlineLevel="0" collapsed="false">
      <c r="A24" s="363" t="n">
        <v>46432</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246</v>
      </c>
      <c r="F34" s="364"/>
    </row>
    <row r="35" customFormat="false" ht="12.75" hidden="false" customHeight="false" outlineLevel="0" collapsed="false">
      <c r="A35" s="363" t="n">
        <v>46439</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246</v>
      </c>
      <c r="F45" s="364"/>
    </row>
    <row r="46" customFormat="false" ht="12.75" hidden="false" customHeight="false" outlineLevel="0" collapsed="false">
      <c r="A46" s="363" t="n">
        <v>46446</v>
      </c>
      <c r="B46" s="346" t="s">
        <v>247</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249</v>
      </c>
      <c r="C2" s="379" t="s">
        <v>250</v>
      </c>
      <c r="D2" s="379" t="s">
        <v>251</v>
      </c>
      <c r="E2" s="379" t="s">
        <v>252</v>
      </c>
      <c r="F2" s="207" t="s">
        <v>253</v>
      </c>
      <c r="G2" s="380" t="s">
        <v>254</v>
      </c>
      <c r="H2" s="380"/>
      <c r="I2" s="381" t="n">
        <f aca="false">G1+H1+I1+J1+PurchasesJan!I2</f>
        <v>4680</v>
      </c>
      <c r="J2" s="381"/>
      <c r="K2" s="207" t="s">
        <v>255</v>
      </c>
      <c r="L2" s="207" t="s">
        <v>256</v>
      </c>
      <c r="M2" s="207" t="s">
        <v>257</v>
      </c>
      <c r="N2" s="207" t="s">
        <v>289</v>
      </c>
      <c r="O2" s="207" t="s">
        <v>259</v>
      </c>
      <c r="P2" s="207" t="s">
        <v>260</v>
      </c>
      <c r="Q2" s="207" t="s">
        <v>261</v>
      </c>
      <c r="R2" s="207" t="s">
        <v>262</v>
      </c>
      <c r="S2" s="382" t="s">
        <v>263</v>
      </c>
      <c r="T2" s="383" t="str">
        <f aca="false">IF(T1&gt;'Fixed Assets'!$D$74,"ENTER VEHICLE CHANGES        on Fixed Asset schedule","Motor Vehicles: make, model, date reg. and reg. Mark")</f>
        <v>ENTER VEHICLE CHANGES        on Fixed Asset schedule</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IF((A1&lt;Admin!$F$22),((A1-PurchasesJan!A1)*Admin!$G$21),(A1*Admin!$G$21-(A1-Admin!$F$21)*(Admin!$G$21-Admin!$G$22)-PurchasesJan!A2))</f>
        <v>0</v>
      </c>
    </row>
    <row r="5" s="372" customFormat="true" ht="12.75" hidden="false" customHeight="false" outlineLevel="0" collapsed="false">
      <c r="A5" s="371" t="n">
        <v>46068</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239</v>
      </c>
      <c r="B1" s="350" t="s">
        <v>240</v>
      </c>
      <c r="C1" s="351" t="s">
        <v>241</v>
      </c>
      <c r="D1" s="352" t="n">
        <f aca="false">SUM(D4:D63)</f>
        <v>0</v>
      </c>
      <c r="E1" s="351" t="n">
        <f aca="false">SUM(E4:E63)/2</f>
        <v>3000</v>
      </c>
      <c r="F1" s="351" t="n">
        <f aca="false">SUM(F4:F63)/2</f>
        <v>0</v>
      </c>
    </row>
    <row r="2" s="353" customFormat="true" ht="12.75" hidden="false" customHeight="true" outlineLevel="0" collapsed="false">
      <c r="A2" s="349"/>
      <c r="B2" s="350"/>
      <c r="C2" s="354" t="s">
        <v>242</v>
      </c>
      <c r="D2" s="355" t="s">
        <v>243</v>
      </c>
      <c r="E2" s="354" t="s">
        <v>244</v>
      </c>
      <c r="F2" s="354" t="s">
        <v>245</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246</v>
      </c>
      <c r="F12" s="364"/>
    </row>
    <row r="13" customFormat="false" ht="12.75" hidden="false" customHeight="false" outlineLevel="0" collapsed="false">
      <c r="A13" s="363" t="n">
        <v>46453</v>
      </c>
      <c r="B13" s="346" t="s">
        <v>247</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246</v>
      </c>
      <c r="F23" s="364"/>
    </row>
    <row r="24" customFormat="false" ht="12.75" hidden="false" customHeight="false" outlineLevel="0" collapsed="false">
      <c r="A24" s="363" t="n">
        <v>46460</v>
      </c>
      <c r="B24" s="346" t="s">
        <v>247</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246</v>
      </c>
      <c r="F34" s="364"/>
    </row>
    <row r="35" customFormat="false" ht="12.75" hidden="false" customHeight="false" outlineLevel="0" collapsed="false">
      <c r="A35" s="363" t="n">
        <v>46467</v>
      </c>
      <c r="B35" s="346" t="s">
        <v>247</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246</v>
      </c>
      <c r="F45" s="364"/>
    </row>
    <row r="46" customFormat="false" ht="12.75" hidden="false" customHeight="false" outlineLevel="0" collapsed="false">
      <c r="A46" s="363" t="n">
        <v>46474</v>
      </c>
      <c r="B46" s="346" t="s">
        <v>247</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246</v>
      </c>
      <c r="F56" s="364"/>
    </row>
    <row r="57" customFormat="false" ht="12.75" hidden="false" customHeight="false" outlineLevel="0" collapsed="false">
      <c r="A57" s="363" t="n">
        <v>46481</v>
      </c>
      <c r="B57" s="346" t="s">
        <v>247</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246</v>
      </c>
      <c r="F61" s="364"/>
    </row>
    <row r="62" customFormat="false" ht="12.75" hidden="false" customHeight="false" outlineLevel="0" collapsed="false">
      <c r="A62" s="363" t="n">
        <v>46482</v>
      </c>
      <c r="B62" s="346" t="s">
        <v>247</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248</v>
      </c>
      <c r="C1" s="392" t="s">
        <v>241</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249</v>
      </c>
      <c r="C2" s="379" t="s">
        <v>250</v>
      </c>
      <c r="D2" s="379" t="s">
        <v>251</v>
      </c>
      <c r="E2" s="379" t="s">
        <v>252</v>
      </c>
      <c r="F2" s="207" t="s">
        <v>253</v>
      </c>
      <c r="G2" s="380" t="s">
        <v>254</v>
      </c>
      <c r="H2" s="380"/>
      <c r="I2" s="381" t="n">
        <f aca="false">G1+H1+I1+J1+PurchasesFeb!I2</f>
        <v>4980</v>
      </c>
      <c r="J2" s="381"/>
      <c r="K2" s="207" t="s">
        <v>255</v>
      </c>
      <c r="L2" s="207" t="s">
        <v>256</v>
      </c>
      <c r="M2" s="207" t="s">
        <v>257</v>
      </c>
      <c r="N2" s="207" t="s">
        <v>289</v>
      </c>
      <c r="O2" s="207" t="s">
        <v>259</v>
      </c>
      <c r="P2" s="207" t="s">
        <v>260</v>
      </c>
      <c r="Q2" s="207" t="s">
        <v>261</v>
      </c>
      <c r="R2" s="207" t="s">
        <v>262</v>
      </c>
      <c r="S2" s="382" t="s">
        <v>263</v>
      </c>
      <c r="T2" s="383" t="str">
        <f aca="false">IF(T1&gt;'Fixed Assets'!$D$62,"ENTER VEHICLE CHANGES        on Fixed Asset schedule","Motor Vehicles: make, model, date reg. and reg. Mark")</f>
        <v>Motor Vehicles: make, model, date reg. and reg. Mark</v>
      </c>
      <c r="U2" s="382" t="s">
        <v>117</v>
      </c>
    </row>
    <row r="3" s="385" customFormat="true" ht="45" hidden="false" customHeight="true" outlineLevel="0" collapsed="false">
      <c r="A3" s="384" t="s">
        <v>264</v>
      </c>
      <c r="B3" s="207" t="s">
        <v>265</v>
      </c>
      <c r="C3" s="379"/>
      <c r="D3" s="379"/>
      <c r="E3" s="379"/>
      <c r="F3" s="379"/>
      <c r="G3" s="207" t="s">
        <v>112</v>
      </c>
      <c r="H3" s="207" t="s">
        <v>266</v>
      </c>
      <c r="I3" s="207" t="s">
        <v>114</v>
      </c>
      <c r="J3" s="207" t="s">
        <v>115</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267</v>
      </c>
      <c r="H4" s="375" t="s">
        <v>268</v>
      </c>
      <c r="I4" s="375" t="s">
        <v>269</v>
      </c>
      <c r="J4" s="375" t="s">
        <v>270</v>
      </c>
      <c r="K4" s="375" t="s">
        <v>271</v>
      </c>
      <c r="L4" s="375" t="s">
        <v>272</v>
      </c>
      <c r="M4" s="375" t="s">
        <v>273</v>
      </c>
      <c r="N4" s="375" t="s">
        <v>274</v>
      </c>
      <c r="O4" s="375" t="s">
        <v>275</v>
      </c>
      <c r="P4" s="375" t="s">
        <v>276</v>
      </c>
      <c r="Q4" s="375" t="s">
        <v>277</v>
      </c>
      <c r="R4" s="375" t="s">
        <v>278</v>
      </c>
      <c r="S4" s="387" t="s">
        <v>279</v>
      </c>
      <c r="T4" s="383"/>
      <c r="U4" s="394" t="n">
        <f aca="false">IF((A1&lt;Admin!$F$22),((A1-PurchasesFeb!A1)*Admin!$G$21),(A1*Admin!$G$21-(A1-Admin!$F$21)*(Admin!$G$21-Admin!$G$22)-PurchasesFeb!A2))</f>
        <v>0</v>
      </c>
    </row>
    <row r="5" s="372" customFormat="true" ht="12.75" hidden="false" customHeight="false" outlineLevel="0" collapsed="false">
      <c r="A5" s="371" t="n">
        <v>46096</v>
      </c>
      <c r="B5" s="389" t="s">
        <v>280</v>
      </c>
      <c r="D5" s="372" t="s">
        <v>281</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292</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293</v>
      </c>
      <c r="E2" s="402"/>
      <c r="F2" s="402"/>
      <c r="G2" s="403" t="str">
        <f aca="false">B23</f>
        <v>2026-27</v>
      </c>
      <c r="H2" s="68"/>
      <c r="I2" s="404" t="s">
        <v>294</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69</v>
      </c>
      <c r="E4" s="409"/>
      <c r="F4" s="409"/>
      <c r="G4" s="410" t="n">
        <v>1</v>
      </c>
      <c r="H4" s="68"/>
      <c r="I4" s="409" t="s">
        <v>295</v>
      </c>
      <c r="J4" s="409"/>
      <c r="K4" s="409"/>
      <c r="L4" s="409"/>
      <c r="M4" s="409"/>
      <c r="N4" s="411" t="n">
        <v>12570</v>
      </c>
      <c r="O4" s="406" t="s">
        <v>29</v>
      </c>
    </row>
    <row r="5" customFormat="false" ht="12" hidden="false" customHeight="true" outlineLevel="0" collapsed="false">
      <c r="A5" s="68"/>
      <c r="B5" s="401" t="n">
        <v>46142</v>
      </c>
      <c r="C5" s="68"/>
      <c r="D5" s="409" t="s">
        <v>296</v>
      </c>
      <c r="E5" s="409"/>
      <c r="F5" s="409"/>
      <c r="G5" s="410" t="n">
        <v>0.14</v>
      </c>
      <c r="H5" s="68"/>
      <c r="I5" s="68" t="s">
        <v>297</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298</v>
      </c>
      <c r="J6" s="409"/>
      <c r="K6" s="409"/>
      <c r="L6" s="409"/>
      <c r="M6" s="409"/>
      <c r="N6" s="410" t="n">
        <v>0.2</v>
      </c>
      <c r="O6" s="406" t="s">
        <v>299</v>
      </c>
    </row>
    <row r="7" customFormat="false" ht="12" hidden="false" customHeight="true" outlineLevel="0" collapsed="false">
      <c r="A7" s="68"/>
      <c r="B7" s="401" t="n">
        <v>46203</v>
      </c>
      <c r="C7" s="68"/>
      <c r="D7" s="409" t="s">
        <v>300</v>
      </c>
      <c r="E7" s="409"/>
      <c r="F7" s="409"/>
      <c r="G7" s="406"/>
      <c r="H7" s="68"/>
      <c r="I7" s="409" t="s">
        <v>301</v>
      </c>
      <c r="J7" s="409"/>
      <c r="K7" s="409"/>
      <c r="L7" s="409"/>
      <c r="M7" s="409"/>
      <c r="N7" s="410" t="n">
        <v>0.4</v>
      </c>
      <c r="O7" s="406" t="s">
        <v>299</v>
      </c>
    </row>
    <row r="8" customFormat="false" ht="12" hidden="false" customHeight="true" outlineLevel="0" collapsed="false">
      <c r="A8" s="68"/>
      <c r="B8" s="401" t="n">
        <v>46234</v>
      </c>
      <c r="C8" s="68"/>
      <c r="D8" s="68" t="s">
        <v>302</v>
      </c>
      <c r="E8" s="412" t="n">
        <v>12000</v>
      </c>
      <c r="F8" s="68" t="s">
        <v>303</v>
      </c>
      <c r="G8" s="412" t="n">
        <v>3000</v>
      </c>
      <c r="H8" s="68"/>
      <c r="I8" s="68" t="s">
        <v>304</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305</v>
      </c>
      <c r="J9" s="409"/>
      <c r="K9" s="409"/>
      <c r="L9" s="413" t="s">
        <v>306</v>
      </c>
      <c r="M9" s="413" t="s">
        <v>307</v>
      </c>
      <c r="N9" s="414" t="s">
        <v>308</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309</v>
      </c>
      <c r="E11" s="402"/>
      <c r="F11" s="402"/>
      <c r="G11" s="406" t="s">
        <v>299</v>
      </c>
      <c r="H11" s="68"/>
      <c r="I11" s="68" t="s">
        <v>310</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311</v>
      </c>
      <c r="J12" s="68"/>
      <c r="K12" s="415" t="n">
        <v>0.4</v>
      </c>
      <c r="L12" s="406" t="n">
        <v>37701</v>
      </c>
      <c r="M12" s="68"/>
      <c r="N12" s="412" t="n">
        <v>37701</v>
      </c>
      <c r="O12" s="406"/>
    </row>
    <row r="13" customFormat="false" ht="12" hidden="false" customHeight="true" outlineLevel="0" collapsed="false">
      <c r="A13" s="68"/>
      <c r="B13" s="401" t="n">
        <v>46387</v>
      </c>
      <c r="C13" s="68"/>
      <c r="D13" s="409" t="s">
        <v>312</v>
      </c>
      <c r="E13" s="409"/>
      <c r="F13" s="409"/>
      <c r="G13" s="410" t="n">
        <v>0</v>
      </c>
      <c r="H13" s="68"/>
      <c r="I13" s="68" t="s">
        <v>313</v>
      </c>
      <c r="J13" s="68"/>
      <c r="K13" s="415" t="n">
        <v>0.45</v>
      </c>
      <c r="L13" s="406" t="n">
        <v>125141</v>
      </c>
      <c r="M13" s="68"/>
      <c r="N13" s="412" t="n">
        <v>125140</v>
      </c>
      <c r="O13" s="68"/>
    </row>
    <row r="14" customFormat="false" ht="12" hidden="false" customHeight="true" outlineLevel="0" collapsed="false">
      <c r="A14" s="68"/>
      <c r="B14" s="401" t="n">
        <v>46418</v>
      </c>
      <c r="C14" s="68"/>
      <c r="D14" s="409" t="s">
        <v>314</v>
      </c>
      <c r="E14" s="409"/>
      <c r="F14" s="409"/>
      <c r="G14" s="410" t="n">
        <v>0.1</v>
      </c>
      <c r="H14" s="68"/>
      <c r="I14" s="402" t="s">
        <v>315</v>
      </c>
      <c r="J14" s="402"/>
      <c r="K14" s="402"/>
      <c r="L14" s="405" t="str">
        <f aca="false">G2</f>
        <v>2026-27</v>
      </c>
      <c r="M14" s="68"/>
      <c r="N14" s="68"/>
      <c r="O14" s="68"/>
    </row>
    <row r="15" customFormat="false" ht="12" hidden="false" customHeight="true" outlineLevel="0" collapsed="false">
      <c r="A15" s="68"/>
      <c r="B15" s="401" t="n">
        <v>46446</v>
      </c>
      <c r="C15" s="68"/>
      <c r="D15" s="409" t="s">
        <v>316</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317</v>
      </c>
      <c r="E16" s="409"/>
      <c r="F16" s="409"/>
      <c r="G16" s="410" t="n">
        <v>0.33</v>
      </c>
      <c r="H16" s="68"/>
      <c r="I16" s="409" t="s">
        <v>318</v>
      </c>
      <c r="J16" s="409"/>
      <c r="K16" s="409"/>
      <c r="L16" s="416" t="n">
        <v>0</v>
      </c>
      <c r="M16" s="68" t="s">
        <v>319</v>
      </c>
      <c r="N16" s="68"/>
      <c r="O16" s="68"/>
    </row>
    <row r="17" customFormat="false" ht="12" hidden="false" customHeight="true" outlineLevel="0" collapsed="false">
      <c r="A17" s="68"/>
      <c r="B17" s="408" t="n">
        <v>46482</v>
      </c>
      <c r="C17" s="68"/>
      <c r="D17" s="409" t="s">
        <v>320</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321</v>
      </c>
      <c r="E19" s="402"/>
      <c r="F19" s="406" t="s">
        <v>322</v>
      </c>
      <c r="G19" s="406" t="s">
        <v>323</v>
      </c>
      <c r="H19" s="68"/>
      <c r="I19" s="418" t="s">
        <v>324</v>
      </c>
      <c r="J19" s="418"/>
      <c r="K19" s="418"/>
      <c r="L19" s="68"/>
      <c r="M19" s="419" t="s">
        <v>325</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29</v>
      </c>
    </row>
    <row r="21" customFormat="false" ht="12" hidden="false" customHeight="true" outlineLevel="0" collapsed="false">
      <c r="A21" s="68"/>
      <c r="B21" s="401" t="n">
        <v>46783</v>
      </c>
      <c r="C21" s="68"/>
      <c r="D21" s="409" t="s">
        <v>326</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327</v>
      </c>
      <c r="E22" s="68"/>
      <c r="F22" s="412" t="n">
        <v>10001</v>
      </c>
      <c r="G22" s="416" t="n">
        <v>0.25</v>
      </c>
      <c r="H22" s="68"/>
      <c r="I22" s="418" t="s">
        <v>328</v>
      </c>
      <c r="J22" s="418"/>
      <c r="K22" s="418"/>
      <c r="L22" s="68"/>
      <c r="M22" s="419" t="s">
        <v>329</v>
      </c>
      <c r="N22" s="68"/>
      <c r="O22" s="68"/>
    </row>
    <row r="23" customFormat="false" ht="12" hidden="false" customHeight="true" outlineLevel="0" collapsed="false">
      <c r="A23" s="68"/>
      <c r="B23" s="408" t="s">
        <v>330</v>
      </c>
      <c r="C23" s="68"/>
      <c r="D23" s="68"/>
      <c r="E23" s="68"/>
      <c r="F23" s="406"/>
      <c r="G23" s="417"/>
      <c r="H23" s="68"/>
      <c r="I23" s="418"/>
      <c r="J23" s="418"/>
      <c r="K23" s="418"/>
      <c r="L23" s="420" t="n">
        <v>0.02</v>
      </c>
      <c r="M23" s="419"/>
      <c r="N23" s="412" t="n">
        <v>50270</v>
      </c>
      <c r="O23" s="406" t="s">
        <v>29</v>
      </c>
    </row>
    <row r="24" customFormat="false" ht="12" hidden="false" customHeight="true" outlineLevel="0" collapsed="false">
      <c r="A24" s="68"/>
      <c r="B24" s="408" t="s">
        <v>331</v>
      </c>
      <c r="C24" s="68"/>
      <c r="D24" s="402" t="s">
        <v>321</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332</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