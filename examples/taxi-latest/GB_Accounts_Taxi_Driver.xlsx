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<sst xmlns="http://schemas.openxmlformats.org/spreadsheetml/2006/main" count="1092" uniqueCount="328">
  <si>
    <t xml:space="preserve">Taxi Driver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</si>
  <si>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</si>
  <si>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</si>
  <si>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</si>
  <si>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</si>
  <si>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</si>
  <si>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</si>
  <si>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</si>
  <si>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</si>
  <si>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</si>
  <si>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</si>
  <si>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</si>
  <si>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</si>
  <si>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</si>
  <si>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</si>
  <si>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</si>
  <si>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</si>
  <si>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</si>
  <si>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</si>
  <si>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</si>
  <si>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</si>
  <si>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</si>
  <si>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</si>
  <si>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</si>
  <si>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</si>
  <si>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</si>
  <si>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</si>
  <si>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</si>
  <si>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</si>
  <si>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</si>
  <si>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</si>
  <si>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</si>
  <si>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</si>
  <si>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</si>
  <si>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</si>
  <si>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</si>
  <si>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</si>
  <si>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</si>
  <si>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</si>
  <si>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</si>
  <si>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</si>
  <si>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</si>
  <si>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</si>
  <si>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</si>
  <si>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</si>
  <si>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</si>
  <si>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</si>
  <si>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</si>
  <si>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</si>
  <si>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</si>
  <si>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</si>
  <si>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</si>
  <si>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</si>
  <si>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</si>
  <si>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</si>
  <si>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</si>
  <si>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</si>
  <si>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</si>
  <si>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</si>
  <si>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</si>
  <si>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</si>
  <si>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</si>
  <si>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</si>
  <si>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</si>
  <si>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</si>
  <si>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</si>
  <si>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</si>
  <si>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</si>
  <si>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</si>
  <si>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</si>
  <si>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</si>
  <si>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</si>
  <si>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</si>
  <si>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</si>
  <si>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</si>
  <si>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</si>
  <si>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</si>
  <si>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</si>
  <si>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</si>
  <si>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</si>
  <si>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</si>
  <si>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</si>
  <si>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</si>
  <si>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</si>
  <si>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</si>
  <si>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</si>
  <si>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</si>
  <si>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</si>
  <si>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</si>
  <si>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</si>
  <si>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</si>
  <si>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</si>
  <si>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</si>
  <si>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</si>
  <si>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</si>
  <si>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</si>
  <si>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</si>
  <si>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</si>
  <si>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</si>
  <si>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</si>
  <si>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</si>
  <si>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</si>
  <si>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</si>
  <si>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</si>
  <si>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</si>
  <si>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</si>
  <si>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</si>
  <si>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</si>
  <si>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</si>
  <si>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</si>
  <si>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</si>
  <si>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</si>
  <si>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</si>
  <si>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</si>
  <si>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</si>
  <si>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</si>
  <si>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</si>
  <si>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</si>
  <si>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</si>
  <si>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</si>
  <si>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</si>
  <si>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</si>
  <si>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</si>
  <si>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</si>
  <si>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</si>
  <si>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</si>
  <si>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</si>
  <si>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</si>
  <si>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</si>
  <si>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</si>
  <si>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</si>
  <si>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</si>
  <si>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</si>
  <si>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</si>
  <si>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</si>
  <si>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</si>
  <si>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</si>
  <si>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</si>
  <si>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</si>
  <si>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</si>
  <si>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</si>
  <si>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</si>
  <si>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</si>
  <si>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</si>
  <si>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</si>
  <si>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</si>
  <si>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</si>
  <si>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</si>
  <si>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</si>
  <si>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</si>
  <si>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</si>
  <si>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</si>
  <si>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</si>
  <si>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</si>
  <si>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</si>
  <si>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</si>
  <si>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</si>
  <si>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</si>
  <si>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</si>
  <si>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</si>
  <si>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</si>
  <si>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</si>
  <si>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</si>
  <si>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</si>
  <si>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</si>
  <si>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</si>
  <si>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</si>
  <si>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</si>
  <si>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</si>
  <si>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</si>
  <si>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</si>
  <si>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</si>
  <si>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</si>
  <si>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</si>
  <si>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</si>
  <si>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</si>
  <si>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</si>
  <si>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</si>
  <si>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</si>
  <si>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</si>
  <si>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</si>
  <si>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</si>
  <si>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</si>
  <si>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</si>
  <si>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</si>
  <si>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</si>
  <si>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</si>
  <si>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</si>
  <si>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</si>
  <si>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</si>
  <si>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</si>
  <si>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</si>
  <si>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Car Dealer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</si>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</sst>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8"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9"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2"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8" fontId="12" fillId="0" borderId="7" xfId="0" applyFont="true" applyBorder="true" applyAlignment="true" applyProtection="true">
      <alignment horizontal="center" vertical="center" textRotation="0" wrapText="false" indent="0" shrinkToFit="false"/>
      <protection locked="true" hidden="true"/>
    </xf>
    <xf numFmtId="165" fontId="12" fillId="0" borderId="7" xfId="0" applyFont="true" applyBorder="true" applyAlignment="true" applyProtection="true">
      <alignment horizontal="right" vertical="bottom" textRotation="0" wrapText="false" indent="0" shrinkToFit="false"/>
      <protection locked="true" hidden="true"/>
    </xf>
    <xf numFmtId="165"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5"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9"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7" xfId="0" applyFont="true" applyBorder="true" applyAlignment="true" applyProtection="true">
      <alignment horizontal="center" vertical="center" textRotation="0" wrapText="false" indent="0" shrinkToFit="false"/>
      <protection locked="true" hidden="true"/>
    </xf>
    <xf numFmtId="170" fontId="24" fillId="3" borderId="9"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70"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2" fontId="27" fillId="3" borderId="22" xfId="0" applyFont="true" applyBorder="true" applyAlignment="true" applyProtection="true">
      <alignment horizontal="center" vertical="center" textRotation="0" wrapText="false" indent="0" shrinkToFit="false"/>
      <protection locked="true" hidden="true"/>
    </xf>
    <xf numFmtId="173" fontId="28" fillId="3" borderId="23" xfId="0" applyFont="true" applyBorder="true" applyAlignment="true" applyProtection="false">
      <alignment horizontal="center" vertical="center" textRotation="0" wrapText="true" indent="0" shrinkToFit="false"/>
      <protection locked="true" hidden="fals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6" fontId="8" fillId="3" borderId="24" xfId="0" applyFont="true" applyBorder="true" applyAlignment="true" applyProtection="true">
      <alignment horizontal="center" vertical="center" textRotation="0" wrapText="true" indent="0" shrinkToFit="false"/>
      <protection locked="true" hidden="true"/>
    </xf>
    <xf numFmtId="166" fontId="8" fillId="3" borderId="21"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6" xfId="0" applyFont="true" applyBorder="true" applyAlignment="true" applyProtection="true">
      <alignment horizontal="center" vertical="bottom" textRotation="0" wrapText="false" indent="0"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0"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0" xfId="0" applyFont="true" applyBorder="true" applyAlignment="true" applyProtection="true">
      <alignment horizontal="center" vertical="bottom" textRotation="0" wrapText="false" indent="0" shrinkToFit="false"/>
      <protection locked="true" hidden="tru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5" xfId="0" applyFont="true" applyBorder="true" applyAlignment="true" applyProtection="true">
      <alignment horizontal="center" vertical="bottom" textRotation="0" wrapText="false" indent="0" shrinkToFit="false"/>
      <protection locked="true" hidden="true"/>
    </xf>
    <xf numFmtId="169" fontId="32" fillId="3" borderId="33" xfId="0" applyFont="true" applyBorder="true" applyAlignment="false" applyProtection="false">
      <alignment horizontal="general" vertical="bottom" textRotation="0" wrapText="false" indent="0" shrinkToFit="false"/>
      <protection locked="true" hidden="false"/>
    </xf>
    <xf numFmtId="172"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9"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9"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7" fontId="9" fillId="3" borderId="42" xfId="0" applyFont="true" applyBorder="true" applyAlignment="true" applyProtection="false">
      <alignment horizontal="center" vertical="center" textRotation="0" wrapText="false" indent="0" shrinkToFit="false"/>
      <protection locked="true" hidden="false"/>
    </xf>
    <xf numFmtId="173" fontId="33" fillId="3" borderId="27"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1" xfId="0" applyFont="true" applyBorder="true" applyAlignment="true" applyProtection="false">
      <alignment horizontal="center" vertical="center" textRotation="0" wrapText="true" indent="0" shrinkToFit="false"/>
      <protection locked="true" hidden="false"/>
    </xf>
    <xf numFmtId="175" fontId="33" fillId="3" borderId="43"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1" fontId="11" fillId="3" borderId="21" xfId="0" applyFont="true" applyBorder="true" applyAlignment="true" applyProtection="false">
      <alignment horizontal="center" vertical="center" textRotation="0" wrapText="true" indent="0" shrinkToFit="false"/>
      <protection locked="true" hidden="false"/>
    </xf>
    <xf numFmtId="176" fontId="33" fillId="3" borderId="21"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1"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3"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1"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3"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1" fontId="32" fillId="5" borderId="45" xfId="0" applyFont="true" applyBorder="true" applyAlignment="true" applyProtection="false">
      <alignment horizontal="left" vertical="bottom" textRotation="0" wrapText="false" indent="0" shrinkToFit="false"/>
      <protection locked="true" hidden="false"/>
    </xf>
    <xf numFmtId="173" fontId="32" fillId="3" borderId="21" xfId="0" applyFont="true" applyBorder="true" applyAlignment="false" applyProtection="false">
      <alignment horizontal="general"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6"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1" fontId="32" fillId="5" borderId="42"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7" fontId="9" fillId="5" borderId="42" xfId="0" applyFont="true" applyBorder="true" applyAlignment="true" applyProtection="false">
      <alignment horizontal="center" vertical="center" textRotation="0" wrapText="false" indent="0" shrinkToFit="false"/>
      <protection locked="true" hidden="false"/>
    </xf>
    <xf numFmtId="173" fontId="32" fillId="3" borderId="23" xfId="0" applyFont="true" applyBorder="true" applyAlignment="false" applyProtection="false">
      <alignment horizontal="general"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3" fontId="32" fillId="3" borderId="23"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1"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1"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1" fontId="32" fillId="6" borderId="42" xfId="0" applyFont="true" applyBorder="true" applyAlignment="true" applyProtection="false">
      <alignment horizontal="left" vertical="bottom" textRotation="0" wrapText="false" indent="0" shrinkToFit="false"/>
      <protection locked="true" hidden="false"/>
    </xf>
    <xf numFmtId="173"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5" fillId="3" borderId="27"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3" fontId="25" fillId="0" borderId="21"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3"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2"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1" xfId="0" applyFont="true" applyBorder="true" applyAlignment="true" applyProtection="true">
      <alignment horizontal="center" vertical="bottom" textRotation="0" wrapText="tru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1"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6" fontId="25" fillId="3" borderId="27" xfId="0" applyFont="true" applyBorder="true" applyAlignment="true" applyProtection="true">
      <alignment horizontal="center" vertical="center" textRotation="0" wrapText="true" indent="0" shrinkToFit="false"/>
      <protection locked="true" hidden="true"/>
    </xf>
    <xf numFmtId="166" fontId="25" fillId="3" borderId="21" xfId="0" applyFont="true" applyBorder="true" applyAlignment="true" applyProtection="true">
      <alignment horizontal="center" vertical="center" textRotation="0" wrapText="true" indent="0" shrinkToFit="false"/>
      <protection locked="true" hidden="true"/>
    </xf>
    <xf numFmtId="171" fontId="32" fillId="3" borderId="47" xfId="0" applyFont="true" applyBorder="true" applyAlignment="true" applyProtection="false">
      <alignment horizontal="center" vertical="center" textRotation="0" wrapText="true" indent="0" shrinkToFit="false"/>
      <protection locked="true" hidden="false"/>
    </xf>
    <xf numFmtId="169" fontId="32" fillId="3" borderId="32" xfId="0" applyFont="true" applyBorder="true" applyAlignment="true" applyProtection="false">
      <alignment horizontal="center" vertical="bottom" textRotation="0" wrapText="false" indent="0" shrinkToFit="false"/>
      <protection locked="true" hidden="false"/>
    </xf>
    <xf numFmtId="169" fontId="32" fillId="3" borderId="21" xfId="0" applyFont="true" applyBorder="true" applyAlignment="true" applyProtection="false">
      <alignment horizontal="center" vertical="bottom" textRotation="0" wrapText="false" indent="0" shrinkToFit="false"/>
      <protection locked="true" hidden="false"/>
    </xf>
    <xf numFmtId="169" fontId="32" fillId="3" borderId="26"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3" xfId="0" applyFont="true" applyBorder="true" applyAlignment="true" applyProtection="false">
      <alignment horizontal="center" vertical="center" textRotation="0" wrapText="true" indent="0" shrinkToFit="false"/>
      <protection locked="true" hidden="false"/>
    </xf>
    <xf numFmtId="166" fontId="32" fillId="3" borderId="21" xfId="0" applyFont="true" applyBorder="true" applyAlignment="true" applyProtection="false">
      <alignment horizontal="center" vertical="center" textRotation="0" wrapText="tru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9" fontId="32" fillId="3" borderId="40" xfId="0" applyFont="true" applyBorder="true" applyAlignment="true" applyProtection="false">
      <alignment horizontal="left" vertical="bottom" textRotation="0" wrapText="false" indent="1" shrinkToFit="false"/>
      <protection locked="true" hidden="false"/>
    </xf>
    <xf numFmtId="172"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80" fontId="25" fillId="3" borderId="21" xfId="0" applyFont="true" applyBorder="true" applyAlignment="true" applyProtection="false">
      <alignment horizontal="center" vertical="center" textRotation="0" wrapText="true" indent="0" shrinkToFit="false"/>
      <protection locked="true" hidden="false"/>
    </xf>
    <xf numFmtId="173" fontId="31" fillId="3" borderId="21" xfId="0" applyFont="true" applyBorder="true" applyAlignment="true" applyProtection="false">
      <alignment horizontal="center" vertical="bottom" textRotation="0" wrapText="fals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tru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6" xfId="0" applyFont="true" applyBorder="true" applyAlignment="false" applyProtection="false">
      <alignment horizontal="general" vertical="bottom" textRotation="0" wrapText="false" indent="0" shrinkToFit="false"/>
      <protection locked="true" hidden="false"/>
    </xf>
    <xf numFmtId="180" fontId="25" fillId="0" borderId="37" xfId="0" applyFont="true" applyBorder="true" applyAlignment="false" applyProtection="false">
      <alignment horizontal="general" vertical="bottom" textRotation="0" wrapText="false" indent="0" shrinkToFit="false"/>
      <protection locked="true" hidden="false"/>
    </xf>
    <xf numFmtId="173"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3" fontId="25" fillId="0" borderId="37"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1" fontId="25" fillId="0" borderId="40" xfId="0" applyFont="true" applyBorder="true" applyAlignment="false" applyProtection="false">
      <alignment horizontal="general"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33" xfId="0" applyFont="true" applyBorder="true" applyAlignment="false" applyProtection="false">
      <alignment horizontal="general" vertical="bottom" textRotation="0" wrapText="false" indent="0" shrinkToFit="false"/>
      <protection locked="true" hidden="false"/>
    </xf>
    <xf numFmtId="180" fontId="25" fillId="0" borderId="34" xfId="0" applyFont="true" applyBorder="true" applyAlignment="false" applyProtection="false">
      <alignment horizontal="general" vertical="bottom" textRotation="0" wrapText="false" indent="0" shrinkToFit="false"/>
      <protection locked="true" hidden="false"/>
    </xf>
    <xf numFmtId="173"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true" applyProtection="false">
      <alignment horizontal="center" vertical="bottom" textRotation="0" wrapText="false" indent="0" shrinkToFit="false"/>
      <protection locked="true" hidden="false"/>
    </xf>
    <xf numFmtId="173" fontId="25" fillId="0" borderId="49" xfId="0" applyFont="true" applyBorder="true" applyAlignment="false" applyProtection="false">
      <alignment horizontal="general"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1" xfId="0" applyFont="true" applyBorder="true" applyAlignment="true" applyProtection="false">
      <alignment horizontal="center" vertical="center" textRotation="0" wrapText="fals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65" fontId="39" fillId="3" borderId="21"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bottom" textRotation="0" wrapText="false" indent="0" shrinkToFit="false"/>
      <protection locked="true" hidden="false"/>
    </xf>
    <xf numFmtId="173"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3" fontId="33" fillId="3" borderId="26"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center" textRotation="0" wrapText="true" indent="0" shrinkToFit="false"/>
      <protection locked="true" hidden="false"/>
    </xf>
    <xf numFmtId="165" fontId="32" fillId="5" borderId="21" xfId="0" applyFont="true" applyBorder="true" applyAlignment="true" applyProtection="false">
      <alignment horizontal="center" vertical="center" textRotation="0" wrapText="true" indent="0" shrinkToFit="false"/>
      <protection locked="true" hidden="false"/>
    </xf>
    <xf numFmtId="171"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false" indent="0" shrinkToFit="false"/>
      <protection locked="true" hidden="false"/>
    </xf>
    <xf numFmtId="173" fontId="31" fillId="3" borderId="21" xfId="0" applyFont="true" applyBorder="true" applyAlignment="true" applyProtection="false">
      <alignment horizontal="center" vertical="center" textRotation="0" wrapText="true" indent="0" shrinkToFit="false"/>
      <protection locked="true" hidden="false"/>
    </xf>
    <xf numFmtId="173" fontId="31" fillId="5" borderId="21" xfId="0" applyFont="true" applyBorder="true" applyAlignment="true" applyProtection="false">
      <alignment horizontal="center" vertical="bottom" textRotation="0" wrapText="false" indent="0" shrinkToFit="false"/>
      <protection locked="true" hidden="false"/>
    </xf>
    <xf numFmtId="173" fontId="25" fillId="5" borderId="21" xfId="0" applyFont="true" applyBorder="tru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1"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5"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1" xfId="0" applyFont="true" applyBorder="true" applyAlignment="true" applyProtection="true">
      <alignment horizontal="center" vertical="bottom" textRotation="0" wrapText="false" indent="0" shrinkToFit="false"/>
      <protection locked="true" hidden="true"/>
    </xf>
    <xf numFmtId="170"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1"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46482</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46482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1120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28520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28520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2026-27</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2026-27</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108</v>
      </c>
      <c r="L1" s="129"/>
      <c r="M1" s="129"/>
      <c r="N1" s="129"/>
      <c r="O1" s="135"/>
      <c r="Q1" s="136"/>
      <c r="AA1" s="136"/>
    </row>
    <row r="2" s="141" customFormat="true" ht="12.75" hidden="false" customHeight="true" outlineLevel="0" collapsed="false">
      <c r="A2" s="137" t="s">
        <v>109</v>
      </c>
      <c r="B2" s="138" t="s">
        <v>110</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119</v>
      </c>
      <c r="B13" s="149" t="n">
        <f aca="false">ROUNDUP(B5-B12,0)</f>
        <v>29900</v>
      </c>
      <c r="C13" s="150" t="n">
        <f aca="false">C5-C12</f>
        <v>1226.66666666667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28520</v>
      </c>
      <c r="C23" s="150" t="n">
        <f aca="false">C13-C22</f>
        <v>706.666666666667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28520</v>
      </c>
      <c r="C27" s="172" t="n">
        <f aca="false">'Wages Forecast'!D30</f>
        <v>706.666666666667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2606.66666666667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4147</v>
      </c>
      <c r="C32" s="172" t="n">
        <f aca="false">'Wages Forecast'!C$41/12</f>
        <v>345.583333333333</v>
      </c>
      <c r="D32" s="172" t="n">
        <f aca="false">'Wages Forecast'!C$41/12</f>
        <v>345.583333333333</v>
      </c>
      <c r="E32" s="172" t="n">
        <f aca="false">'Wages Forecast'!C$41/12</f>
        <v>345.583333333333</v>
      </c>
      <c r="F32" s="172" t="n">
        <f aca="false">'Wages Forecast'!C$41/12</f>
        <v>345.583333333333</v>
      </c>
      <c r="G32" s="172" t="n">
        <f aca="false">'Wages Forecast'!C$41/12</f>
        <v>345.583333333333</v>
      </c>
      <c r="H32" s="172" t="n">
        <f aca="false">'Wages Forecast'!C$41/12</f>
        <v>345.583333333333</v>
      </c>
      <c r="I32" s="172" t="n">
        <f aca="false">'Wages Forecast'!C$41/12</f>
        <v>345.583333333333</v>
      </c>
      <c r="J32" s="172" t="n">
        <f aca="false">'Wages Forecast'!C$41/12</f>
        <v>345.583333333333</v>
      </c>
      <c r="K32" s="172" t="n">
        <f aca="false">'Wages Forecast'!C$41/12</f>
        <v>345.583333333333</v>
      </c>
      <c r="L32" s="172" t="n">
        <f aca="false">'Wages Forecast'!C$41/12</f>
        <v>345.583333333333</v>
      </c>
      <c r="M32" s="172" t="n">
        <f aca="false">'Wages Forecast'!C$41/12</f>
        <v>345.583333333333</v>
      </c>
      <c r="N32" s="172" t="n">
        <f aca="false">'Wages Forecast'!C$41/12</f>
        <v>345.583333333333</v>
      </c>
      <c r="O32" s="173"/>
      <c r="Q32" s="128"/>
      <c r="AA32" s="128"/>
    </row>
    <row r="33" s="165" customFormat="true" ht="12.75" hidden="false" customHeight="false" outlineLevel="0" collapsed="false">
      <c r="A33" s="170" t="s">
        <v>138</v>
      </c>
      <c r="B33" s="171" t="n">
        <f aca="false">SUM(C33:N33)</f>
        <v>24373</v>
      </c>
      <c r="C33" s="177" t="n">
        <f aca="false">C27-SUM(C28:C31)-C32</f>
        <v>361.083333333333</v>
      </c>
      <c r="D33" s="177" t="n">
        <f aca="false">D27-SUM(D28:D31)-D32</f>
        <v>2261.08333333333</v>
      </c>
      <c r="E33" s="177" t="n">
        <f aca="false">E27-SUM(E28:E31)-E32</f>
        <v>2261.08333333333</v>
      </c>
      <c r="F33" s="177" t="n">
        <f aca="false">F27-SUM(F28:F31)-F32</f>
        <v>2141.08333333333</v>
      </c>
      <c r="G33" s="177" t="n">
        <f aca="false">G27-SUM(G28:G31)-G32</f>
        <v>2261.08333333333</v>
      </c>
      <c r="H33" s="177" t="n">
        <f aca="false">H27-SUM(H28:H31)-H32</f>
        <v>2261.08333333333</v>
      </c>
      <c r="I33" s="177" t="n">
        <f aca="false">I27-SUM(I28:I31)-I32</f>
        <v>2141.08333333333</v>
      </c>
      <c r="J33" s="177" t="n">
        <f aca="false">J27-SUM(J28:J31)-J32</f>
        <v>2261.08333333333</v>
      </c>
      <c r="K33" s="177" t="n">
        <f aca="false">K27-SUM(K28:K31)-K32</f>
        <v>2261.08333333333</v>
      </c>
      <c r="L33" s="177" t="n">
        <f aca="false">L27-SUM(L28:L31)-L32</f>
        <v>1641.08333333333</v>
      </c>
      <c r="M33" s="177" t="n">
        <f aca="false">M27-SUM(M28:M31)-M32</f>
        <v>2261.08333333333</v>
      </c>
      <c r="N33" s="177" t="n">
        <f aca="false">N27-SUM(N28:N31)-N32</f>
        <v>2261.08333333333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46482</v>
      </c>
      <c r="D1" s="198" t="n">
        <f aca="false">D33+D62</f>
        <v>8000</v>
      </c>
      <c r="E1" s="199"/>
      <c r="F1" s="200" t="s">
        <v>171</v>
      </c>
      <c r="G1" s="201"/>
      <c r="H1" s="202" t="n">
        <f aca="false">H33+H62</f>
        <v>0</v>
      </c>
      <c r="I1" s="202" t="n">
        <f aca="false">I33+I62</f>
        <v>0</v>
      </c>
      <c r="J1" s="202" t="n">
        <f aca="false">J33+J62</f>
        <v>1120</v>
      </c>
      <c r="K1" s="202" t="n">
        <f aca="false">K33+K62</f>
        <v>6880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191</v>
      </c>
      <c r="C47" s="257" t="s">
        <v>192</v>
      </c>
      <c r="D47" s="227" t="n">
        <v>8000</v>
      </c>
      <c r="E47" s="218"/>
      <c r="F47" s="243"/>
      <c r="G47" s="217"/>
      <c r="H47" s="175" t="n">
        <v>0</v>
      </c>
      <c r="I47" s="175" t="n">
        <v>0</v>
      </c>
      <c r="J47" s="215" t="n">
        <f aca="false">IF(D47&gt;0,MIN(D47*J$4*(1-F47),Admin!G$8*(1-F47)),"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193</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194</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195</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196</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197</v>
      </c>
      <c r="C2" s="278" t="str">
        <f aca="false">Admin!K$2</f>
        <v>2026-27</v>
      </c>
      <c r="D2" s="279" t="s">
        <v>198</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199</v>
      </c>
      <c r="C5" s="283"/>
      <c r="D5" s="283"/>
      <c r="E5" s="284" t="n">
        <f aca="false">'SE Short'!D106</f>
        <v>28520</v>
      </c>
      <c r="F5" s="276"/>
      <c r="G5" s="280"/>
      <c r="K5" s="285"/>
    </row>
    <row r="6" customFormat="false" ht="12.75" hidden="false" customHeight="false" outlineLevel="0" collapsed="false">
      <c r="A6" s="135"/>
      <c r="B6" s="144" t="s">
        <v>200</v>
      </c>
      <c r="C6" s="144" t="str">
        <f aca="false">C2</f>
        <v>2026-27</v>
      </c>
      <c r="D6" s="286"/>
      <c r="E6" s="280" t="n">
        <f aca="false">IF((E5&gt;0),Admin!N$4,0)</f>
        <v>12570</v>
      </c>
      <c r="F6" s="276"/>
      <c r="G6" s="280"/>
      <c r="K6" s="285"/>
    </row>
    <row r="7" customFormat="false" ht="12.75" hidden="false" customHeight="false" outlineLevel="0" collapsed="false">
      <c r="A7" s="135"/>
      <c r="B7" s="283" t="s">
        <v>201</v>
      </c>
      <c r="C7" s="283"/>
      <c r="D7" s="283"/>
      <c r="E7" s="284" t="n">
        <f aca="false">IF((E5&gt;E6),(E5-E6),0)</f>
        <v>15950</v>
      </c>
      <c r="F7" s="276"/>
      <c r="G7" s="280"/>
      <c r="K7" s="285"/>
    </row>
    <row r="8" customFormat="false" ht="12.75" hidden="false" customHeight="false" outlineLevel="0" collapsed="false">
      <c r="A8" s="135"/>
      <c r="B8" s="144" t="s">
        <v>202</v>
      </c>
      <c r="C8" s="144" t="n">
        <f aca="false">Admin!N$11</f>
        <v>0</v>
      </c>
      <c r="D8" s="287" t="n">
        <f aca="false">Admin!N$6</f>
        <v>0.2</v>
      </c>
      <c r="E8" s="275" t="n">
        <f aca="false">IF((E7&gt;0),(IF((E7&lt;C9),E7*D8,C9*D8)),0)</f>
        <v>3190</v>
      </c>
      <c r="F8" s="276"/>
      <c r="G8" s="280"/>
      <c r="H8" s="288"/>
      <c r="K8" s="285"/>
    </row>
    <row r="9" customFormat="false" ht="12.75" hidden="false" customHeight="false" outlineLevel="0" collapsed="false">
      <c r="A9" s="135"/>
      <c r="B9" s="144" t="s">
        <v>203</v>
      </c>
      <c r="C9" s="144" t="n">
        <f aca="false">Admin!N$12</f>
        <v>37701</v>
      </c>
      <c r="D9" s="287" t="n">
        <f aca="false">Admin!N$7</f>
        <v>0.4</v>
      </c>
      <c r="E9" s="275" t="n">
        <f aca="false">IF((E7&gt;C9),((E7-C9)*D9),0)</f>
        <v>0</v>
      </c>
      <c r="F9" s="276"/>
      <c r="G9" s="280"/>
      <c r="K9" s="285"/>
    </row>
    <row r="10" customFormat="false" ht="12.75" hidden="false" customHeight="false" outlineLevel="0" collapsed="false">
      <c r="A10" s="135"/>
      <c r="B10" s="289" t="s">
        <v>204</v>
      </c>
      <c r="C10" s="290"/>
      <c r="D10" s="291"/>
      <c r="E10" s="292" t="n">
        <f aca="false">SUM(E8:E9)</f>
        <v>3190</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205</v>
      </c>
      <c r="C12" s="297" t="n">
        <f aca="false">Admin!B$21</f>
        <v>46783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206</v>
      </c>
      <c r="C14" s="300"/>
      <c r="D14" s="287" t="n">
        <f aca="false">Admin!L$20</f>
        <v>0.06</v>
      </c>
      <c r="E14" s="301" t="n">
        <f aca="false">IF(E5&gt;Admin!N20,IF(E5&lt;Admin!N$23,(E5-Admin!N20)*D14,(Admin!N$23-Admin!N20)*D14),0)</f>
        <v>957</v>
      </c>
      <c r="F14" s="276"/>
      <c r="G14" s="295"/>
      <c r="K14" s="285"/>
    </row>
    <row r="15" customFormat="false" ht="12.75" hidden="false" customHeight="false" outlineLevel="0" collapsed="false">
      <c r="A15" s="135"/>
      <c r="B15" s="300" t="s">
        <v>207</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208</v>
      </c>
      <c r="C17" s="302"/>
      <c r="D17" s="298"/>
      <c r="E17" s="292" t="n">
        <f aca="false">SUM(E10:E16)</f>
        <v>4147</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209</v>
      </c>
      <c r="C20" s="304"/>
      <c r="D20" s="305" t="s">
        <v>210</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211</v>
      </c>
      <c r="E22" s="308" t="s">
        <v>212</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213</v>
      </c>
      <c r="C24" s="311" t="str">
        <f aca="false">Admin!B$24</f>
        <v>2027-28</v>
      </c>
      <c r="D24" s="312" t="s">
        <v>214</v>
      </c>
      <c r="E24" s="301" t="n">
        <f aca="false">E17</f>
        <v>4147</v>
      </c>
      <c r="F24" s="276"/>
      <c r="G24" s="280"/>
    </row>
    <row r="25" customFormat="false" ht="12.75" hidden="false" customHeight="false" outlineLevel="0" collapsed="false">
      <c r="A25" s="135"/>
      <c r="B25" s="144" t="s">
        <v>215</v>
      </c>
      <c r="C25" s="144"/>
      <c r="D25" s="313" t="n">
        <f aca="false">Admin!B$21</f>
        <v>46783</v>
      </c>
      <c r="E25" s="284" t="n">
        <f aca="false">E24/2</f>
        <v>2073.5</v>
      </c>
      <c r="F25" s="276"/>
      <c r="G25" s="280"/>
    </row>
    <row r="26" customFormat="false" ht="12.75" hidden="false" customHeight="false" outlineLevel="0" collapsed="false">
      <c r="A26" s="135"/>
      <c r="B26" s="144" t="s">
        <v>215</v>
      </c>
      <c r="C26" s="144"/>
      <c r="D26" s="313" t="n">
        <f aca="false">Admin!B$22</f>
        <v>46965</v>
      </c>
      <c r="E26" s="284" t="n">
        <f aca="false">E24/2</f>
        <v>2073.5</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216</v>
      </c>
      <c r="C28" s="160"/>
      <c r="D28" s="298"/>
      <c r="E28" s="275"/>
      <c r="F28" s="276"/>
      <c r="G28" s="280"/>
    </row>
    <row r="29" customFormat="false" ht="12.75" hidden="false" customHeight="false" outlineLevel="0" collapsed="false">
      <c r="A29" s="135"/>
      <c r="B29" s="315" t="s">
        <v>217</v>
      </c>
      <c r="C29" s="315"/>
      <c r="D29" s="135"/>
      <c r="E29" s="316"/>
      <c r="F29" s="276"/>
      <c r="G29" s="317"/>
    </row>
    <row r="30" customFormat="false" ht="12.75" hidden="false" customHeight="false" outlineLevel="0" collapsed="false">
      <c r="A30" s="135"/>
      <c r="B30" s="318" t="s">
        <v>218</v>
      </c>
      <c r="C30" s="318"/>
      <c r="D30" s="319"/>
      <c r="E30" s="316"/>
      <c r="F30" s="276"/>
      <c r="G30" s="317"/>
    </row>
    <row r="31" customFormat="false" ht="12.75" hidden="false" customHeight="false" outlineLevel="0" collapsed="false">
      <c r="A31" s="135"/>
      <c r="B31" s="320" t="s">
        <v>219</v>
      </c>
      <c r="C31" s="318"/>
      <c r="D31" s="319"/>
      <c r="E31" s="316"/>
      <c r="F31" s="276"/>
      <c r="G31" s="317"/>
    </row>
    <row r="32" customFormat="false" ht="12.75" hidden="false" customHeight="false" outlineLevel="0" collapsed="false">
      <c r="A32" s="135"/>
      <c r="B32" s="160" t="s">
        <v>220</v>
      </c>
      <c r="C32" s="160"/>
      <c r="D32" s="319"/>
      <c r="E32" s="321"/>
      <c r="F32" s="276"/>
      <c r="G32" s="317"/>
    </row>
    <row r="33" customFormat="false" ht="12.75" hidden="false" customHeight="false" outlineLevel="0" collapsed="false">
      <c r="A33" s="135"/>
      <c r="B33" s="160" t="s">
        <v>221</v>
      </c>
      <c r="C33" s="160"/>
      <c r="D33" s="319"/>
      <c r="E33" s="321"/>
      <c r="F33" s="276"/>
      <c r="G33" s="317"/>
    </row>
    <row r="34" customFormat="false" ht="12.75" hidden="false" customHeight="false" outlineLevel="0" collapsed="false">
      <c r="A34" s="135"/>
      <c r="B34" s="160" t="s">
        <v>222</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223</v>
      </c>
      <c r="C2" s="324" t="s">
        <v>224</v>
      </c>
      <c r="D2" s="325" t="n">
        <f aca="false">Admin!B$5</f>
        <v>46142</v>
      </c>
      <c r="E2" s="326" t="n">
        <f aca="false">Admin!B$6</f>
        <v>46173</v>
      </c>
      <c r="F2" s="326" t="n">
        <f aca="false">Admin!B$7</f>
        <v>46203</v>
      </c>
      <c r="G2" s="326" t="n">
        <f aca="false">Admin!B$8</f>
        <v>46234</v>
      </c>
      <c r="H2" s="326" t="n">
        <f aca="false">Admin!B$9</f>
        <v>46265</v>
      </c>
      <c r="I2" s="326" t="n">
        <f aca="false">Admin!B$10</f>
        <v>46295</v>
      </c>
      <c r="J2" s="326" t="n">
        <f aca="false">Admin!B$11</f>
        <v>46326</v>
      </c>
      <c r="K2" s="326" t="n">
        <f aca="false">Admin!B$12</f>
        <v>46356</v>
      </c>
      <c r="L2" s="326" t="n">
        <f aca="false">Admin!B$13</f>
        <v>46387</v>
      </c>
      <c r="M2" s="326" t="n">
        <f aca="false">Admin!B$14</f>
        <v>46418</v>
      </c>
      <c r="N2" s="326" t="n">
        <f aca="false">Admin!B$15</f>
        <v>46446</v>
      </c>
      <c r="O2" s="326" t="n">
        <f aca="false">Admin!B$16</f>
        <v>46477</v>
      </c>
      <c r="P2" s="241"/>
    </row>
    <row r="3" customFormat="false" ht="12" hidden="false" customHeight="true" outlineLevel="0" collapsed="false">
      <c r="A3" s="241"/>
      <c r="B3" s="323"/>
      <c r="C3" s="327" t="n">
        <f aca="false">Admin!B$17</f>
        <v>46482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225</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29900</v>
      </c>
      <c r="D11" s="176" t="n">
        <f aca="false">D5+D7-D9</f>
        <v>1226.66666666667</v>
      </c>
      <c r="E11" s="176" t="n">
        <f aca="false">E5+E7-E9</f>
        <v>2606.66666666667</v>
      </c>
      <c r="F11" s="176" t="n">
        <f aca="false">F5+F7-F9</f>
        <v>2606.66666666667</v>
      </c>
      <c r="G11" s="176" t="n">
        <f aca="false">G5+G7-G9</f>
        <v>2606.66666666667</v>
      </c>
      <c r="H11" s="176" t="n">
        <f aca="false">H5+H7-H9</f>
        <v>2606.66666666667</v>
      </c>
      <c r="I11" s="176" t="n">
        <f aca="false">I5+I7-I9</f>
        <v>2606.66666666667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226</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227</v>
      </c>
      <c r="C15" s="176" t="n">
        <f aca="false">SUM(D15:O15)</f>
        <v>28520</v>
      </c>
      <c r="D15" s="176" t="n">
        <f aca="false">D11-D13</f>
        <v>706.666666666667</v>
      </c>
      <c r="E15" s="176" t="n">
        <f aca="false">E11-E13</f>
        <v>2606.66666666667</v>
      </c>
      <c r="F15" s="176" t="n">
        <f aca="false">F11-F13</f>
        <v>2606.66666666667</v>
      </c>
      <c r="G15" s="176" t="n">
        <f aca="false">G11-G13</f>
        <v>2486.66666666667</v>
      </c>
      <c r="H15" s="176" t="n">
        <f aca="false">H11-H13</f>
        <v>2606.66666666667</v>
      </c>
      <c r="I15" s="176" t="n">
        <f aca="false">I11-I13</f>
        <v>2606.66666666667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228</v>
      </c>
      <c r="C17" s="324" t="s">
        <v>224</v>
      </c>
      <c r="D17" s="338" t="n">
        <f aca="false">D2</f>
        <v>46142</v>
      </c>
      <c r="E17" s="338" t="n">
        <f aca="false">E2</f>
        <v>46173</v>
      </c>
      <c r="F17" s="338" t="n">
        <f aca="false">F2</f>
        <v>46203</v>
      </c>
      <c r="G17" s="338" t="n">
        <f aca="false">G2</f>
        <v>46234</v>
      </c>
      <c r="H17" s="338" t="n">
        <f aca="false">H2</f>
        <v>46265</v>
      </c>
      <c r="I17" s="338" t="n">
        <f aca="false">I2</f>
        <v>46295</v>
      </c>
      <c r="J17" s="338" t="n">
        <f aca="false">J2</f>
        <v>46326</v>
      </c>
      <c r="K17" s="338" t="n">
        <f aca="false">K2</f>
        <v>46356</v>
      </c>
      <c r="L17" s="338" t="n">
        <f aca="false">L2</f>
        <v>46387</v>
      </c>
      <c r="M17" s="338" t="n">
        <f aca="false">M2</f>
        <v>46418</v>
      </c>
      <c r="N17" s="338" t="n">
        <f aca="false">N2</f>
        <v>46446</v>
      </c>
      <c r="O17" s="338" t="n">
        <f aca="false">O2</f>
        <v>46477</v>
      </c>
      <c r="P17" s="241"/>
    </row>
    <row r="18" customFormat="false" ht="12" hidden="false" customHeight="true" outlineLevel="0" collapsed="false">
      <c r="A18" s="241"/>
      <c r="B18" s="337"/>
      <c r="C18" s="327" t="n">
        <f aca="false">C3</f>
        <v>46482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225</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29900</v>
      </c>
      <c r="D26" s="176" t="n">
        <f aca="false">D20+D22-D24</f>
        <v>1226.66666666667</v>
      </c>
      <c r="E26" s="176" t="n">
        <f aca="false">E20+E22-E24</f>
        <v>2606.66666666667</v>
      </c>
      <c r="F26" s="176" t="n">
        <f aca="false">F20+F22-F24</f>
        <v>2606.66666666667</v>
      </c>
      <c r="G26" s="176" t="n">
        <f aca="false">G20+G22-G24</f>
        <v>2606.66666666667</v>
      </c>
      <c r="H26" s="176" t="n">
        <f aca="false">H20+H22-H24</f>
        <v>2606.66666666667</v>
      </c>
      <c r="I26" s="176" t="n">
        <f aca="false">I20+I22-I24</f>
        <v>2606.66666666667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226</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227</v>
      </c>
      <c r="C30" s="176" t="n">
        <f aca="false">SUM(D30:O30)</f>
        <v>28520</v>
      </c>
      <c r="D30" s="176" t="n">
        <f aca="false">D26-D28</f>
        <v>706.666666666667</v>
      </c>
      <c r="E30" s="176" t="n">
        <f aca="false">E26-E28</f>
        <v>2606.66666666667</v>
      </c>
      <c r="F30" s="176" t="n">
        <f aca="false">F26-F28</f>
        <v>2606.66666666667</v>
      </c>
      <c r="G30" s="176" t="n">
        <f aca="false">G26-G28</f>
        <v>2486.66666666667</v>
      </c>
      <c r="H30" s="176" t="n">
        <f aca="false">H26-H28</f>
        <v>2606.66666666667</v>
      </c>
      <c r="I30" s="176" t="n">
        <f aca="false">I26-I28</f>
        <v>2606.66666666667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229</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230</v>
      </c>
      <c r="C34" s="342" t="n">
        <f aca="false">C30-C33</f>
        <v>28520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231</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232</v>
      </c>
      <c r="C36" s="342" t="n">
        <f aca="false">IF((C34&gt;C35),(C34-C35),0)</f>
        <v>15950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233</v>
      </c>
      <c r="C37" s="342" t="n">
        <f aca="false">IF((C36&gt;0),(IF((C36&lt;Admin!N$12),C36*Admin!N$6,Admin!N$12*Admin!N$6)),0)</f>
        <v>3190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234</v>
      </c>
      <c r="C38" s="342" t="n">
        <f aca="false">IF((C36&gt;Admin!N$12),((C36-Admin!N$12)*Admin!N$7),0)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235</v>
      </c>
      <c r="C39" s="342" t="n">
        <f aca="false">IF((C36&gt;0),C36*Admin!L$20,0)</f>
        <v>957</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236</v>
      </c>
      <c r="C41" s="344" t="n">
        <f aca="false">C37+C38+C39</f>
        <v>4147</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SUM(D4:D36)</f>
        <v>0</v>
      </c>
      <c r="E1" s="352" t="n">
        <f aca="false">SUM(E4:E36)/2</f>
        <v>3000</v>
      </c>
      <c r="F1" s="352" t="n">
        <f aca="false">SUM(F4:F36)/2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46118</v>
      </c>
      <c r="B5" s="359" t="n">
        <v>46118</v>
      </c>
      <c r="C5" s="360"/>
      <c r="D5" s="361"/>
      <c r="E5" s="362"/>
      <c r="F5" s="363"/>
    </row>
    <row r="6" customFormat="false" ht="12.75" hidden="false" customHeight="false" outlineLevel="0" collapsed="false">
      <c r="A6" s="364" t="n">
        <v>46119</v>
      </c>
      <c r="B6" s="347" t="n">
        <v>46119</v>
      </c>
      <c r="E6" s="349" t="n">
        <v>200</v>
      </c>
      <c r="F6" s="365"/>
    </row>
    <row r="7" customFormat="false" ht="12.75" hidden="false" customHeight="false" outlineLevel="0" collapsed="false">
      <c r="A7" s="364" t="n">
        <v>46120</v>
      </c>
      <c r="B7" s="347" t="n">
        <v>46120</v>
      </c>
      <c r="E7" s="349" t="n">
        <v>220</v>
      </c>
      <c r="F7" s="365"/>
    </row>
    <row r="8" customFormat="false" ht="12.75" hidden="false" customHeight="false" outlineLevel="0" collapsed="false">
      <c r="A8" s="364" t="n">
        <v>46121</v>
      </c>
      <c r="B8" s="347" t="n">
        <v>46121</v>
      </c>
      <c r="E8" s="349" t="n">
        <v>180</v>
      </c>
      <c r="F8" s="365"/>
    </row>
    <row r="9" customFormat="false" ht="12.75" hidden="false" customHeight="false" outlineLevel="0" collapsed="false">
      <c r="A9" s="364" t="n">
        <v>46122</v>
      </c>
      <c r="B9" s="347" t="n">
        <v>46122</v>
      </c>
      <c r="E9" s="349" t="n">
        <v>210</v>
      </c>
      <c r="F9" s="365"/>
    </row>
    <row r="10" customFormat="false" ht="12.75" hidden="false" customHeight="false" outlineLevel="0" collapsed="false">
      <c r="A10" s="364" t="n">
        <v>46123</v>
      </c>
      <c r="B10" s="347" t="n">
        <v>46123</v>
      </c>
      <c r="E10" s="349" t="n">
        <v>190</v>
      </c>
      <c r="F10" s="365"/>
    </row>
    <row r="11" customFormat="false" ht="12.75" hidden="false" customHeight="false" outlineLevel="0" collapsed="false">
      <c r="A11" s="364" t="n">
        <v>46124</v>
      </c>
      <c r="B11" s="347" t="n">
        <v>46124</v>
      </c>
      <c r="F11" s="365"/>
    </row>
    <row r="12" customFormat="false" ht="12.75" hidden="false" customHeight="false" outlineLevel="0" collapsed="false">
      <c r="A12" s="364" t="n">
        <v>46124</v>
      </c>
      <c r="B12" s="347" t="s">
        <v>244</v>
      </c>
      <c r="F12" s="365"/>
    </row>
    <row r="13" customFormat="false" ht="12.75" hidden="false" customHeight="false" outlineLevel="0" collapsed="false">
      <c r="A13" s="364" t="n">
        <v>46124</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46125</v>
      </c>
      <c r="B16" s="359" t="n">
        <v>46125</v>
      </c>
      <c r="C16" s="360"/>
      <c r="D16" s="361"/>
      <c r="E16" s="362"/>
      <c r="F16" s="363"/>
    </row>
    <row r="17" customFormat="false" ht="12.75" hidden="false" customHeight="false" outlineLevel="0" collapsed="false">
      <c r="A17" s="364" t="n">
        <v>46126</v>
      </c>
      <c r="B17" s="347" t="n">
        <v>46126</v>
      </c>
      <c r="E17" s="349" t="n">
        <v>200</v>
      </c>
      <c r="F17" s="365"/>
    </row>
    <row r="18" customFormat="false" ht="12.75" hidden="false" customHeight="false" outlineLevel="0" collapsed="false">
      <c r="A18" s="364" t="n">
        <v>46127</v>
      </c>
      <c r="B18" s="347" t="n">
        <v>46127</v>
      </c>
      <c r="E18" s="349" t="n">
        <v>220</v>
      </c>
      <c r="F18" s="365"/>
    </row>
    <row r="19" customFormat="false" ht="12.75" hidden="false" customHeight="false" outlineLevel="0" collapsed="false">
      <c r="A19" s="364" t="n">
        <v>46128</v>
      </c>
      <c r="B19" s="347" t="n">
        <v>46128</v>
      </c>
      <c r="E19" s="349" t="n">
        <v>180</v>
      </c>
      <c r="F19" s="365"/>
    </row>
    <row r="20" customFormat="false" ht="12.75" hidden="false" customHeight="false" outlineLevel="0" collapsed="false">
      <c r="A20" s="364" t="n">
        <v>46129</v>
      </c>
      <c r="B20" s="347" t="n">
        <v>46129</v>
      </c>
      <c r="E20" s="349" t="n">
        <v>200</v>
      </c>
      <c r="F20" s="365"/>
    </row>
    <row r="21" customFormat="false" ht="12.75" hidden="false" customHeight="false" outlineLevel="0" collapsed="false">
      <c r="A21" s="364" t="n">
        <v>46130</v>
      </c>
      <c r="B21" s="347" t="n">
        <v>46130</v>
      </c>
      <c r="E21" s="349" t="n">
        <v>200</v>
      </c>
      <c r="F21" s="365"/>
    </row>
    <row r="22" customFormat="false" ht="12.75" hidden="false" customHeight="false" outlineLevel="0" collapsed="false">
      <c r="A22" s="364" t="n">
        <v>46131</v>
      </c>
      <c r="B22" s="347" t="n">
        <v>46131</v>
      </c>
      <c r="F22" s="365"/>
    </row>
    <row r="23" customFormat="false" ht="12.75" hidden="false" customHeight="false" outlineLevel="0" collapsed="false">
      <c r="A23" s="364" t="n">
        <v>46131</v>
      </c>
      <c r="B23" s="347" t="s">
        <v>244</v>
      </c>
      <c r="F23" s="365"/>
    </row>
    <row r="24" customFormat="false" ht="12.75" hidden="false" customHeight="false" outlineLevel="0" collapsed="false">
      <c r="A24" s="364" t="n">
        <v>46131</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46132</v>
      </c>
      <c r="B27" s="359" t="n">
        <v>46132</v>
      </c>
      <c r="C27" s="360"/>
      <c r="D27" s="361"/>
      <c r="E27" s="362"/>
      <c r="F27" s="363"/>
    </row>
    <row r="28" customFormat="false" ht="12.75" hidden="false" customHeight="false" outlineLevel="0" collapsed="false">
      <c r="A28" s="364" t="n">
        <v>46133</v>
      </c>
      <c r="B28" s="347" t="n">
        <v>46133</v>
      </c>
      <c r="E28" s="349" t="n">
        <v>200</v>
      </c>
      <c r="F28" s="365"/>
    </row>
    <row r="29" customFormat="false" ht="12.75" hidden="false" customHeight="false" outlineLevel="0" collapsed="false">
      <c r="A29" s="364" t="n">
        <v>46134</v>
      </c>
      <c r="B29" s="347" t="n">
        <v>46134</v>
      </c>
      <c r="E29" s="349" t="n">
        <v>200</v>
      </c>
      <c r="F29" s="365"/>
    </row>
    <row r="30" customFormat="false" ht="12.75" hidden="false" customHeight="false" outlineLevel="0" collapsed="false">
      <c r="A30" s="364" t="n">
        <v>46135</v>
      </c>
      <c r="B30" s="347" t="n">
        <v>46135</v>
      </c>
      <c r="E30" s="349" t="n">
        <v>200</v>
      </c>
      <c r="F30" s="365"/>
    </row>
    <row r="31" customFormat="false" ht="12.75" hidden="false" customHeight="false" outlineLevel="0" collapsed="false">
      <c r="A31" s="364" t="n">
        <v>46136</v>
      </c>
      <c r="B31" s="347" t="n">
        <v>46136</v>
      </c>
      <c r="E31" s="349" t="n">
        <v>200</v>
      </c>
      <c r="F31" s="365"/>
    </row>
    <row r="32" customFormat="false" ht="12.75" hidden="false" customHeight="false" outlineLevel="0" collapsed="false">
      <c r="A32" s="364" t="n">
        <v>46137</v>
      </c>
      <c r="B32" s="347" t="n">
        <v>46137</v>
      </c>
      <c r="E32" s="349" t="n">
        <v>200</v>
      </c>
      <c r="F32" s="365"/>
    </row>
    <row r="33" customFormat="false" ht="12.75" hidden="false" customHeight="false" outlineLevel="0" collapsed="false">
      <c r="A33" s="364" t="n">
        <v>46138</v>
      </c>
      <c r="B33" s="347" t="n">
        <v>46138</v>
      </c>
      <c r="F33" s="365"/>
    </row>
    <row r="34" customFormat="false" ht="12.75" hidden="false" customHeight="false" outlineLevel="0" collapsed="false">
      <c r="A34" s="364" t="n">
        <v>46138</v>
      </c>
      <c r="B34" s="347" t="s">
        <v>244</v>
      </c>
      <c r="F34" s="365"/>
    </row>
    <row r="35" customFormat="false" ht="12.75" hidden="false" customHeight="false" outlineLevel="0" collapsed="false">
      <c r="A35" s="364" t="n">
        <v>46138</v>
      </c>
      <c r="B35" s="347" t="s">
        <v>245</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246</v>
      </c>
      <c r="C1" s="376" t="s">
        <v>239</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247</v>
      </c>
      <c r="C2" s="380" t="s">
        <v>248</v>
      </c>
      <c r="D2" s="380" t="s">
        <v>249</v>
      </c>
      <c r="E2" s="380" t="s">
        <v>250</v>
      </c>
      <c r="F2" s="207" t="s">
        <v>251</v>
      </c>
      <c r="G2" s="381" t="s">
        <v>252</v>
      </c>
      <c r="H2" s="381"/>
      <c r="I2" s="382" t="n">
        <f aca="false">G1+H1+I1+J1</f>
        <v>1680</v>
      </c>
      <c r="J2" s="382"/>
      <c r="K2" s="207" t="s">
        <v>253</v>
      </c>
      <c r="L2" s="207" t="s">
        <v>254</v>
      </c>
      <c r="M2" s="207" t="s">
        <v>255</v>
      </c>
      <c r="N2" s="207" t="s">
        <v>256</v>
      </c>
      <c r="O2" s="207" t="s">
        <v>257</v>
      </c>
      <c r="P2" s="207" t="s">
        <v>258</v>
      </c>
      <c r="Q2" s="207" t="s">
        <v>259</v>
      </c>
      <c r="R2" s="207" t="s">
        <v>260</v>
      </c>
      <c r="S2" s="383" t="s">
        <v>261</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79" t="n">
        <f aca="false">IF((A1&lt;Admin!$F$22),((A1)*Admin!$G$21),(A1*Admin!$G$21-(A1-Admin!$F$21)*(Admin!$G$21-Admin!$G$22)))</f>
        <v>0</v>
      </c>
    </row>
    <row r="5" s="373" customFormat="true" ht="12.75" hidden="false" customHeight="false" outlineLevel="0" collapsed="false">
      <c r="A5" s="372" t="n">
        <v>45762</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280</v>
      </c>
      <c r="D6" s="373" t="s">
        <v>281</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282</v>
      </c>
      <c r="D7" s="373" t="s">
        <v>281</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283</v>
      </c>
      <c r="D8" s="373" t="s">
        <v>284</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285</v>
      </c>
      <c r="D9" s="373" t="s">
        <v>286</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46139</v>
      </c>
      <c r="B5" s="359" t="n">
        <v>46139</v>
      </c>
      <c r="C5" s="360"/>
      <c r="D5" s="361"/>
      <c r="E5" s="362"/>
      <c r="F5" s="363"/>
    </row>
    <row r="6" customFormat="false" ht="12.75" hidden="false" customHeight="false" outlineLevel="0" collapsed="false">
      <c r="A6" s="364" t="n">
        <v>46140</v>
      </c>
      <c r="B6" s="347" t="n">
        <v>46140</v>
      </c>
      <c r="F6" s="365"/>
    </row>
    <row r="7" customFormat="false" ht="12.75" hidden="false" customHeight="false" outlineLevel="0" collapsed="false">
      <c r="A7" s="364" t="n">
        <v>46141</v>
      </c>
      <c r="B7" s="347" t="n">
        <v>46141</v>
      </c>
      <c r="F7" s="365"/>
    </row>
    <row r="8" customFormat="false" ht="12.75" hidden="false" customHeight="false" outlineLevel="0" collapsed="false">
      <c r="A8" s="364" t="n">
        <v>46142</v>
      </c>
      <c r="B8" s="347" t="n">
        <v>46142</v>
      </c>
      <c r="F8" s="365"/>
    </row>
    <row r="9" customFormat="false" ht="12.75" hidden="false" customHeight="false" outlineLevel="0" collapsed="false">
      <c r="A9" s="364" t="n">
        <v>46143</v>
      </c>
      <c r="B9" s="347" t="n">
        <v>46143</v>
      </c>
      <c r="F9" s="365"/>
    </row>
    <row r="10" customFormat="false" ht="12.75" hidden="false" customHeight="false" outlineLevel="0" collapsed="false">
      <c r="A10" s="364" t="n">
        <v>46144</v>
      </c>
      <c r="B10" s="347" t="n">
        <v>46144</v>
      </c>
      <c r="F10" s="365"/>
    </row>
    <row r="11" customFormat="false" ht="12.75" hidden="false" customHeight="false" outlineLevel="0" collapsed="false">
      <c r="A11" s="364" t="n">
        <v>46145</v>
      </c>
      <c r="B11" s="347" t="n">
        <v>46145</v>
      </c>
      <c r="F11" s="365"/>
    </row>
    <row r="12" customFormat="false" ht="12.75" hidden="false" customHeight="false" outlineLevel="0" collapsed="false">
      <c r="A12" s="364" t="n">
        <v>46145</v>
      </c>
      <c r="B12" s="347" t="s">
        <v>244</v>
      </c>
      <c r="F12" s="365"/>
    </row>
    <row r="13" customFormat="false" ht="12.75" hidden="false" customHeight="false" outlineLevel="0" collapsed="false">
      <c r="A13" s="364" t="n">
        <v>46145</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46146</v>
      </c>
      <c r="B16" s="359" t="n">
        <v>46146</v>
      </c>
      <c r="C16" s="360"/>
      <c r="D16" s="361"/>
      <c r="E16" s="362"/>
      <c r="F16" s="363"/>
    </row>
    <row r="17" customFormat="false" ht="12.75" hidden="false" customHeight="false" outlineLevel="0" collapsed="false">
      <c r="A17" s="364" t="n">
        <v>46147</v>
      </c>
      <c r="B17" s="347" t="n">
        <v>46147</v>
      </c>
      <c r="E17" s="349" t="n">
        <v>200</v>
      </c>
      <c r="F17" s="365"/>
    </row>
    <row r="18" customFormat="false" ht="12.75" hidden="false" customHeight="false" outlineLevel="0" collapsed="false">
      <c r="A18" s="364" t="n">
        <v>46148</v>
      </c>
      <c r="B18" s="347" t="n">
        <v>46148</v>
      </c>
      <c r="E18" s="349" t="n">
        <v>200</v>
      </c>
      <c r="F18" s="365"/>
    </row>
    <row r="19" customFormat="false" ht="12.75" hidden="false" customHeight="false" outlineLevel="0" collapsed="false">
      <c r="A19" s="364" t="n">
        <v>46149</v>
      </c>
      <c r="B19" s="347" t="n">
        <v>46149</v>
      </c>
      <c r="E19" s="349" t="n">
        <v>200</v>
      </c>
      <c r="F19" s="365"/>
    </row>
    <row r="20" customFormat="false" ht="12.75" hidden="false" customHeight="false" outlineLevel="0" collapsed="false">
      <c r="A20" s="364" t="n">
        <v>46150</v>
      </c>
      <c r="B20" s="347" t="n">
        <v>46150</v>
      </c>
      <c r="E20" s="349" t="n">
        <v>200</v>
      </c>
      <c r="F20" s="365"/>
    </row>
    <row r="21" customFormat="false" ht="12.75" hidden="false" customHeight="false" outlineLevel="0" collapsed="false">
      <c r="A21" s="364" t="n">
        <v>46151</v>
      </c>
      <c r="B21" s="347" t="n">
        <v>46151</v>
      </c>
      <c r="E21" s="349" t="n">
        <v>200</v>
      </c>
      <c r="F21" s="365"/>
    </row>
    <row r="22" customFormat="false" ht="12.75" hidden="false" customHeight="false" outlineLevel="0" collapsed="false">
      <c r="A22" s="364" t="n">
        <v>46152</v>
      </c>
      <c r="B22" s="347" t="n">
        <v>46152</v>
      </c>
      <c r="F22" s="365"/>
    </row>
    <row r="23" customFormat="false" ht="12.75" hidden="false" customHeight="false" outlineLevel="0" collapsed="false">
      <c r="A23" s="364" t="n">
        <v>46152</v>
      </c>
      <c r="B23" s="347" t="s">
        <v>244</v>
      </c>
      <c r="F23" s="365"/>
    </row>
    <row r="24" customFormat="false" ht="12.75" hidden="false" customHeight="false" outlineLevel="0" collapsed="false">
      <c r="A24" s="364" t="n">
        <v>46152</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46153</v>
      </c>
      <c r="B27" s="359" t="n">
        <v>46153</v>
      </c>
      <c r="C27" s="360"/>
      <c r="D27" s="361"/>
      <c r="E27" s="362"/>
      <c r="F27" s="363"/>
    </row>
    <row r="28" customFormat="false" ht="12.75" hidden="false" customHeight="false" outlineLevel="0" collapsed="false">
      <c r="A28" s="364" t="n">
        <v>46154</v>
      </c>
      <c r="B28" s="347" t="n">
        <v>46154</v>
      </c>
      <c r="E28" s="349" t="n">
        <v>200</v>
      </c>
      <c r="F28" s="365"/>
    </row>
    <row r="29" customFormat="false" ht="12.75" hidden="false" customHeight="false" outlineLevel="0" collapsed="false">
      <c r="A29" s="364" t="n">
        <v>46155</v>
      </c>
      <c r="B29" s="347" t="n">
        <v>46155</v>
      </c>
      <c r="E29" s="349" t="n">
        <v>200</v>
      </c>
      <c r="F29" s="365"/>
    </row>
    <row r="30" customFormat="false" ht="12.75" hidden="false" customHeight="false" outlineLevel="0" collapsed="false">
      <c r="A30" s="364" t="n">
        <v>46156</v>
      </c>
      <c r="B30" s="347" t="n">
        <v>46156</v>
      </c>
      <c r="E30" s="349" t="n">
        <v>200</v>
      </c>
      <c r="F30" s="365"/>
    </row>
    <row r="31" customFormat="false" ht="12.75" hidden="false" customHeight="false" outlineLevel="0" collapsed="false">
      <c r="A31" s="364" t="n">
        <v>46157</v>
      </c>
      <c r="B31" s="347" t="n">
        <v>46157</v>
      </c>
      <c r="E31" s="349" t="n">
        <v>200</v>
      </c>
      <c r="F31" s="365"/>
    </row>
    <row r="32" customFormat="false" ht="12.75" hidden="false" customHeight="false" outlineLevel="0" collapsed="false">
      <c r="A32" s="364" t="n">
        <v>46158</v>
      </c>
      <c r="B32" s="347" t="n">
        <v>46158</v>
      </c>
      <c r="E32" s="349" t="n">
        <v>200</v>
      </c>
      <c r="F32" s="365"/>
    </row>
    <row r="33" customFormat="false" ht="12.75" hidden="false" customHeight="false" outlineLevel="0" collapsed="false">
      <c r="A33" s="364" t="n">
        <v>46159</v>
      </c>
      <c r="B33" s="347" t="n">
        <v>46159</v>
      </c>
      <c r="F33" s="365"/>
    </row>
    <row r="34" customFormat="false" ht="12.75" hidden="false" customHeight="false" outlineLevel="0" collapsed="false">
      <c r="A34" s="364" t="n">
        <v>46159</v>
      </c>
      <c r="B34" s="347" t="s">
        <v>244</v>
      </c>
      <c r="F34" s="365"/>
    </row>
    <row r="35" customFormat="false" ht="12.75" hidden="false" customHeight="false" outlineLevel="0" collapsed="false">
      <c r="A35" s="364" t="n">
        <v>46159</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46160</v>
      </c>
      <c r="B38" s="359" t="n">
        <v>46160</v>
      </c>
      <c r="C38" s="360"/>
      <c r="D38" s="361"/>
      <c r="E38" s="362"/>
      <c r="F38" s="363"/>
    </row>
    <row r="39" customFormat="false" ht="12.75" hidden="false" customHeight="false" outlineLevel="0" collapsed="false">
      <c r="A39" s="364" t="n">
        <v>46161</v>
      </c>
      <c r="B39" s="347" t="n">
        <v>46161</v>
      </c>
      <c r="E39" s="349" t="n">
        <v>200</v>
      </c>
      <c r="F39" s="365"/>
    </row>
    <row r="40" customFormat="false" ht="12.75" hidden="false" customHeight="false" outlineLevel="0" collapsed="false">
      <c r="A40" s="364" t="n">
        <v>46162</v>
      </c>
      <c r="B40" s="347" t="n">
        <v>46162</v>
      </c>
      <c r="E40" s="349" t="n">
        <v>200</v>
      </c>
      <c r="F40" s="365"/>
    </row>
    <row r="41" customFormat="false" ht="12.75" hidden="false" customHeight="false" outlineLevel="0" collapsed="false">
      <c r="A41" s="364" t="n">
        <v>46163</v>
      </c>
      <c r="B41" s="347" t="n">
        <v>46163</v>
      </c>
      <c r="E41" s="349" t="n">
        <v>200</v>
      </c>
      <c r="F41" s="365"/>
    </row>
    <row r="42" customFormat="false" ht="12.75" hidden="false" customHeight="false" outlineLevel="0" collapsed="false">
      <c r="A42" s="364" t="n">
        <v>46164</v>
      </c>
      <c r="B42" s="347" t="n">
        <v>46164</v>
      </c>
      <c r="E42" s="349" t="n">
        <v>200</v>
      </c>
      <c r="F42" s="365"/>
    </row>
    <row r="43" customFormat="false" ht="12.75" hidden="false" customHeight="false" outlineLevel="0" collapsed="false">
      <c r="A43" s="364" t="n">
        <v>46165</v>
      </c>
      <c r="B43" s="347" t="n">
        <v>46165</v>
      </c>
      <c r="E43" s="349" t="n">
        <v>200</v>
      </c>
      <c r="F43" s="365"/>
    </row>
    <row r="44" customFormat="false" ht="12.75" hidden="false" customHeight="false" outlineLevel="0" collapsed="false">
      <c r="A44" s="364" t="n">
        <v>46166</v>
      </c>
      <c r="B44" s="347" t="n">
        <v>46166</v>
      </c>
      <c r="F44" s="365"/>
    </row>
    <row r="45" customFormat="false" ht="12.75" hidden="false" customHeight="false" outlineLevel="0" collapsed="false">
      <c r="A45" s="364" t="n">
        <v>46166</v>
      </c>
      <c r="B45" s="347" t="s">
        <v>244</v>
      </c>
      <c r="F45" s="365"/>
    </row>
    <row r="46" customFormat="false" ht="12.75" hidden="false" customHeight="false" outlineLevel="0" collapsed="false">
      <c r="A46" s="364" t="n">
        <v>46166</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46167</v>
      </c>
      <c r="B49" s="359" t="n">
        <v>46167</v>
      </c>
      <c r="C49" s="360"/>
      <c r="D49" s="361"/>
      <c r="E49" s="362"/>
      <c r="F49" s="363"/>
    </row>
    <row r="50" customFormat="false" ht="12.75" hidden="false" customHeight="false" outlineLevel="0" collapsed="false">
      <c r="A50" s="364" t="n">
        <v>46168</v>
      </c>
      <c r="B50" s="347" t="n">
        <v>46168</v>
      </c>
      <c r="F50" s="365"/>
    </row>
    <row r="51" customFormat="false" ht="12.75" hidden="false" customHeight="false" outlineLevel="0" collapsed="false">
      <c r="A51" s="364" t="n">
        <v>46169</v>
      </c>
      <c r="B51" s="347" t="n">
        <v>46169</v>
      </c>
      <c r="F51" s="365"/>
    </row>
    <row r="52" customFormat="false" ht="12.75" hidden="false" customHeight="false" outlineLevel="0" collapsed="false">
      <c r="A52" s="364" t="n">
        <v>46170</v>
      </c>
      <c r="B52" s="347" t="n">
        <v>46170</v>
      </c>
      <c r="F52" s="365"/>
    </row>
    <row r="53" customFormat="false" ht="12.75" hidden="false" customHeight="false" outlineLevel="0" collapsed="false">
      <c r="A53" s="364" t="n">
        <v>46171</v>
      </c>
      <c r="B53" s="347" t="n">
        <v>46171</v>
      </c>
      <c r="F53" s="365"/>
    </row>
    <row r="54" customFormat="false" ht="12.75" hidden="false" customHeight="false" outlineLevel="0" collapsed="false">
      <c r="A54" s="364" t="n">
        <v>46172</v>
      </c>
      <c r="B54" s="347" t="n">
        <v>46172</v>
      </c>
      <c r="F54" s="365"/>
    </row>
    <row r="55" customFormat="false" ht="12.75" hidden="false" customHeight="false" outlineLevel="0" collapsed="false">
      <c r="A55" s="364" t="n">
        <v>46173</v>
      </c>
      <c r="B55" s="347" t="n">
        <v>46173</v>
      </c>
      <c r="F55" s="365"/>
    </row>
    <row r="56" customFormat="false" ht="12.75" hidden="false" customHeight="false" outlineLevel="0" collapsed="false">
      <c r="A56" s="364" t="n">
        <v>46173</v>
      </c>
      <c r="B56" s="347" t="s">
        <v>244</v>
      </c>
      <c r="F56" s="365"/>
    </row>
    <row r="57" customFormat="false" ht="12.75" hidden="false" customHeight="false" outlineLevel="0" collapsed="false">
      <c r="A57" s="364" t="n">
        <v>46173</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1" t="n">
        <f aca="false">E1+SalesMay!$D$1+PurchasesApr!A1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S1+PurchasesApr!T1</f>
        <v>0</v>
      </c>
      <c r="U1" s="394" t="n">
        <f aca="false">SUM(U4:U199)</f>
        <v>0</v>
      </c>
    </row>
    <row r="2" s="181" customFormat="true" ht="13.5" hidden="false" customHeight="true" outlineLevel="0" collapsed="false">
      <c r="A2" s="396" t="n">
        <f aca="false">U1+PurchasesApr!A2</f>
        <v>0</v>
      </c>
      <c r="B2" s="240" t="s">
        <v>247</v>
      </c>
      <c r="C2" s="380" t="s">
        <v>248</v>
      </c>
      <c r="D2" s="380" t="s">
        <v>249</v>
      </c>
      <c r="E2" s="380" t="s">
        <v>250</v>
      </c>
      <c r="F2" s="207" t="s">
        <v>251</v>
      </c>
      <c r="G2" s="381" t="s">
        <v>252</v>
      </c>
      <c r="H2" s="381"/>
      <c r="I2" s="382" t="n">
        <f aca="false">G1+H1+I1+J1+PurchasesApr!I2</f>
        <v>1980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IF((A1&lt;Admin!$F$22),((A1-PurchasesApr!A1)*Admin!$G$21),(A1*Admin!$G$21-(A1-Admin!$F$21)*(Admin!$G$21-Admin!$G$22)-PurchasesApr!A2))</f>
        <v>0</v>
      </c>
    </row>
    <row r="5" s="373" customFormat="true" ht="12.75" hidden="false" customHeight="false" outlineLevel="0" collapsed="false">
      <c r="A5" s="372" t="n">
        <v>45792</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46174</v>
      </c>
      <c r="B5" s="359" t="n">
        <v>46174</v>
      </c>
      <c r="C5" s="360"/>
      <c r="D5" s="361"/>
      <c r="E5" s="362"/>
      <c r="F5" s="363"/>
    </row>
    <row r="6" customFormat="false" ht="12.75" hidden="false" customHeight="false" outlineLevel="0" collapsed="false">
      <c r="A6" s="364" t="n">
        <v>46175</v>
      </c>
      <c r="B6" s="347" t="n">
        <v>46175</v>
      </c>
      <c r="E6" s="349" t="n">
        <v>200</v>
      </c>
      <c r="F6" s="365"/>
    </row>
    <row r="7" customFormat="false" ht="12.75" hidden="false" customHeight="false" outlineLevel="0" collapsed="false">
      <c r="A7" s="364" t="n">
        <v>46176</v>
      </c>
      <c r="B7" s="347" t="n">
        <v>46176</v>
      </c>
      <c r="E7" s="349" t="n">
        <v>200</v>
      </c>
      <c r="F7" s="365"/>
    </row>
    <row r="8" customFormat="false" ht="12.75" hidden="false" customHeight="false" outlineLevel="0" collapsed="false">
      <c r="A8" s="364" t="n">
        <v>46177</v>
      </c>
      <c r="B8" s="347" t="n">
        <v>46177</v>
      </c>
      <c r="E8" s="349" t="n">
        <v>200</v>
      </c>
      <c r="F8" s="365"/>
    </row>
    <row r="9" customFormat="false" ht="12.75" hidden="false" customHeight="false" outlineLevel="0" collapsed="false">
      <c r="A9" s="364" t="n">
        <v>46178</v>
      </c>
      <c r="B9" s="347" t="n">
        <v>46178</v>
      </c>
      <c r="E9" s="349" t="n">
        <v>200</v>
      </c>
      <c r="F9" s="365"/>
    </row>
    <row r="10" customFormat="false" ht="12.75" hidden="false" customHeight="false" outlineLevel="0" collapsed="false">
      <c r="A10" s="364" t="n">
        <v>46179</v>
      </c>
      <c r="B10" s="347" t="n">
        <v>46179</v>
      </c>
      <c r="E10" s="349" t="n">
        <v>200</v>
      </c>
      <c r="F10" s="365"/>
    </row>
    <row r="11" customFormat="false" ht="12.75" hidden="false" customHeight="false" outlineLevel="0" collapsed="false">
      <c r="A11" s="364" t="n">
        <v>46180</v>
      </c>
      <c r="B11" s="347" t="n">
        <v>46180</v>
      </c>
      <c r="F11" s="365"/>
    </row>
    <row r="12" customFormat="false" ht="12.75" hidden="false" customHeight="false" outlineLevel="0" collapsed="false">
      <c r="A12" s="364" t="n">
        <v>46180</v>
      </c>
      <c r="B12" s="347" t="s">
        <v>244</v>
      </c>
      <c r="F12" s="365"/>
    </row>
    <row r="13" customFormat="false" ht="12.75" hidden="false" customHeight="false" outlineLevel="0" collapsed="false">
      <c r="A13" s="364" t="n">
        <v>46180</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46181</v>
      </c>
      <c r="B16" s="359" t="n">
        <v>46181</v>
      </c>
      <c r="C16" s="360"/>
      <c r="D16" s="361"/>
      <c r="E16" s="362"/>
      <c r="F16" s="363"/>
    </row>
    <row r="17" customFormat="false" ht="12.75" hidden="false" customHeight="false" outlineLevel="0" collapsed="false">
      <c r="A17" s="364" t="n">
        <v>46182</v>
      </c>
      <c r="B17" s="347" t="n">
        <v>46182</v>
      </c>
      <c r="E17" s="349" t="n">
        <v>200</v>
      </c>
      <c r="F17" s="365"/>
    </row>
    <row r="18" customFormat="false" ht="12.75" hidden="false" customHeight="false" outlineLevel="0" collapsed="false">
      <c r="A18" s="364" t="n">
        <v>46183</v>
      </c>
      <c r="B18" s="347" t="n">
        <v>46183</v>
      </c>
      <c r="E18" s="349" t="n">
        <v>200</v>
      </c>
      <c r="F18" s="365"/>
    </row>
    <row r="19" customFormat="false" ht="12.75" hidden="false" customHeight="false" outlineLevel="0" collapsed="false">
      <c r="A19" s="364" t="n">
        <v>46184</v>
      </c>
      <c r="B19" s="347" t="n">
        <v>46184</v>
      </c>
      <c r="E19" s="349" t="n">
        <v>200</v>
      </c>
      <c r="F19" s="365"/>
    </row>
    <row r="20" customFormat="false" ht="12.75" hidden="false" customHeight="false" outlineLevel="0" collapsed="false">
      <c r="A20" s="364" t="n">
        <v>46185</v>
      </c>
      <c r="B20" s="347" t="n">
        <v>46185</v>
      </c>
      <c r="E20" s="349" t="n">
        <v>200</v>
      </c>
      <c r="F20" s="365"/>
    </row>
    <row r="21" customFormat="false" ht="12.75" hidden="false" customHeight="false" outlineLevel="0" collapsed="false">
      <c r="A21" s="364" t="n">
        <v>46186</v>
      </c>
      <c r="B21" s="347" t="n">
        <v>46186</v>
      </c>
      <c r="E21" s="349" t="n">
        <v>200</v>
      </c>
      <c r="F21" s="365"/>
    </row>
    <row r="22" customFormat="false" ht="12.75" hidden="false" customHeight="false" outlineLevel="0" collapsed="false">
      <c r="A22" s="364" t="n">
        <v>46187</v>
      </c>
      <c r="B22" s="347" t="n">
        <v>46187</v>
      </c>
      <c r="F22" s="365"/>
    </row>
    <row r="23" customFormat="false" ht="12.75" hidden="false" customHeight="false" outlineLevel="0" collapsed="false">
      <c r="A23" s="364" t="n">
        <v>46187</v>
      </c>
      <c r="B23" s="347" t="s">
        <v>244</v>
      </c>
      <c r="F23" s="365"/>
    </row>
    <row r="24" customFormat="false" ht="12.75" hidden="false" customHeight="false" outlineLevel="0" collapsed="false">
      <c r="A24" s="364" t="n">
        <v>46187</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46188</v>
      </c>
      <c r="B27" s="359" t="n">
        <v>46188</v>
      </c>
      <c r="C27" s="360"/>
      <c r="D27" s="361"/>
      <c r="E27" s="362"/>
      <c r="F27" s="363"/>
    </row>
    <row r="28" customFormat="false" ht="12.75" hidden="false" customHeight="false" outlineLevel="0" collapsed="false">
      <c r="A28" s="364" t="n">
        <v>46189</v>
      </c>
      <c r="B28" s="347" t="n">
        <v>46189</v>
      </c>
      <c r="E28" s="349" t="n">
        <v>200</v>
      </c>
      <c r="F28" s="365"/>
    </row>
    <row r="29" customFormat="false" ht="12.75" hidden="false" customHeight="false" outlineLevel="0" collapsed="false">
      <c r="A29" s="364" t="n">
        <v>46190</v>
      </c>
      <c r="B29" s="347" t="n">
        <v>46190</v>
      </c>
      <c r="E29" s="349" t="n">
        <v>200</v>
      </c>
      <c r="F29" s="365"/>
    </row>
    <row r="30" customFormat="false" ht="12.75" hidden="false" customHeight="false" outlineLevel="0" collapsed="false">
      <c r="A30" s="364" t="n">
        <v>46191</v>
      </c>
      <c r="B30" s="347" t="n">
        <v>46191</v>
      </c>
      <c r="E30" s="349" t="n">
        <v>200</v>
      </c>
      <c r="F30" s="365"/>
    </row>
    <row r="31" customFormat="false" ht="12.75" hidden="false" customHeight="false" outlineLevel="0" collapsed="false">
      <c r="A31" s="364" t="n">
        <v>46192</v>
      </c>
      <c r="B31" s="347" t="n">
        <v>46192</v>
      </c>
      <c r="E31" s="349" t="n">
        <v>200</v>
      </c>
      <c r="F31" s="365"/>
    </row>
    <row r="32" customFormat="false" ht="12.75" hidden="false" customHeight="false" outlineLevel="0" collapsed="false">
      <c r="A32" s="364" t="n">
        <v>46193</v>
      </c>
      <c r="B32" s="347" t="n">
        <v>46193</v>
      </c>
      <c r="E32" s="349" t="n">
        <v>200</v>
      </c>
      <c r="F32" s="365"/>
    </row>
    <row r="33" customFormat="false" ht="12.75" hidden="false" customHeight="false" outlineLevel="0" collapsed="false">
      <c r="A33" s="364" t="n">
        <v>46194</v>
      </c>
      <c r="B33" s="347" t="n">
        <v>46194</v>
      </c>
      <c r="F33" s="365"/>
    </row>
    <row r="34" customFormat="false" ht="12.75" hidden="false" customHeight="false" outlineLevel="0" collapsed="false">
      <c r="A34" s="364" t="n">
        <v>46194</v>
      </c>
      <c r="B34" s="347" t="s">
        <v>244</v>
      </c>
      <c r="F34" s="365"/>
    </row>
    <row r="35" customFormat="false" ht="12.75" hidden="false" customHeight="false" outlineLevel="0" collapsed="false">
      <c r="A35" s="364" t="n">
        <v>46194</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46195</v>
      </c>
      <c r="B38" s="359" t="n">
        <v>46195</v>
      </c>
      <c r="C38" s="360"/>
      <c r="D38" s="361"/>
      <c r="E38" s="362"/>
      <c r="F38" s="363"/>
    </row>
    <row r="39" customFormat="false" ht="12.75" hidden="false" customHeight="false" outlineLevel="0" collapsed="false">
      <c r="A39" s="364" t="n">
        <v>46196</v>
      </c>
      <c r="B39" s="347" t="n">
        <v>46196</v>
      </c>
      <c r="F39" s="365"/>
    </row>
    <row r="40" customFormat="false" ht="12.75" hidden="false" customHeight="false" outlineLevel="0" collapsed="false">
      <c r="A40" s="364" t="n">
        <v>46197</v>
      </c>
      <c r="B40" s="347" t="n">
        <v>46197</v>
      </c>
      <c r="F40" s="365"/>
    </row>
    <row r="41" customFormat="false" ht="12.75" hidden="false" customHeight="false" outlineLevel="0" collapsed="false">
      <c r="A41" s="364" t="n">
        <v>46198</v>
      </c>
      <c r="B41" s="347" t="n">
        <v>46198</v>
      </c>
      <c r="F41" s="365"/>
    </row>
    <row r="42" customFormat="false" ht="12.75" hidden="false" customHeight="false" outlineLevel="0" collapsed="false">
      <c r="A42" s="364" t="n">
        <v>46199</v>
      </c>
      <c r="B42" s="347" t="n">
        <v>46199</v>
      </c>
      <c r="F42" s="365"/>
    </row>
    <row r="43" customFormat="false" ht="12.75" hidden="false" customHeight="false" outlineLevel="0" collapsed="false">
      <c r="A43" s="364" t="n">
        <v>46200</v>
      </c>
      <c r="B43" s="347" t="n">
        <v>46200</v>
      </c>
      <c r="F43" s="365"/>
    </row>
    <row r="44" customFormat="false" ht="12.75" hidden="false" customHeight="false" outlineLevel="0" collapsed="false">
      <c r="A44" s="364" t="n">
        <v>46201</v>
      </c>
      <c r="B44" s="347" t="n">
        <v>46201</v>
      </c>
      <c r="F44" s="365"/>
    </row>
    <row r="45" customFormat="false" ht="12.75" hidden="false" customHeight="false" outlineLevel="0" collapsed="false">
      <c r="A45" s="364" t="n">
        <v>46201</v>
      </c>
      <c r="B45" s="347" t="s">
        <v>244</v>
      </c>
      <c r="F45" s="365"/>
    </row>
    <row r="46" customFormat="false" ht="12.75" hidden="false" customHeight="false" outlineLevel="0" collapsed="false">
      <c r="A46" s="364" t="n">
        <v>46201</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E1+SalesJun!$D$1+PurchasesMay!A1</f>
        <v>0</v>
      </c>
      <c r="B1" s="392" t="s">
        <v>246</v>
      </c>
      <c r="C1" s="393" t="s">
        <v>239</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8000</v>
      </c>
      <c r="T1" s="395" t="n">
        <f aca="false">S1+PurchasesMay!T1</f>
        <v>8000</v>
      </c>
      <c r="U1" s="394" t="n">
        <f aca="false">SUM(U4:U199)</f>
        <v>0</v>
      </c>
    </row>
    <row r="2" s="181" customFormat="true" ht="13.5" hidden="false" customHeight="true" outlineLevel="0" collapsed="false">
      <c r="A2" s="396" t="n">
        <f aca="false">U1+PurchasesMay!A2</f>
        <v>0</v>
      </c>
      <c r="B2" s="240" t="s">
        <v>247</v>
      </c>
      <c r="C2" s="380" t="s">
        <v>248</v>
      </c>
      <c r="D2" s="380" t="s">
        <v>249</v>
      </c>
      <c r="E2" s="380" t="s">
        <v>250</v>
      </c>
      <c r="F2" s="207" t="s">
        <v>251</v>
      </c>
      <c r="G2" s="381" t="s">
        <v>252</v>
      </c>
      <c r="H2" s="381"/>
      <c r="I2" s="382" t="n">
        <f aca="false">G1+H1+I1+J1+PurchasesMay!I2</f>
        <v>2280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IF((A1&lt;Admin!$F$22),((A1-PurchasesMay!A1)*Admin!$G$21),(A1*Admin!$G$21-(A1-Admin!$F$21)*(Admin!$G$21-Admin!$G$22)-PurchasesMay!A2))</f>
        <v>0</v>
      </c>
    </row>
    <row r="5" s="373" customFormat="true" ht="12.75" hidden="false" customHeight="false" outlineLevel="0" collapsed="false">
      <c r="A5" s="372" t="n">
        <v>45823</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192</v>
      </c>
      <c r="D6" s="373" t="s">
        <v>288</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46202</v>
      </c>
      <c r="B5" s="359" t="n">
        <v>46202</v>
      </c>
      <c r="C5" s="360"/>
      <c r="D5" s="361"/>
      <c r="E5" s="362"/>
      <c r="F5" s="363"/>
    </row>
    <row r="6" customFormat="false" ht="12.75" hidden="false" customHeight="false" outlineLevel="0" collapsed="false">
      <c r="A6" s="364" t="n">
        <v>46203</v>
      </c>
      <c r="B6" s="347" t="n">
        <v>46203</v>
      </c>
      <c r="F6" s="365"/>
    </row>
    <row r="7" customFormat="false" ht="12.75" hidden="false" customHeight="false" outlineLevel="0" collapsed="false">
      <c r="A7" s="364" t="n">
        <v>46204</v>
      </c>
      <c r="B7" s="347" t="n">
        <v>46204</v>
      </c>
      <c r="F7" s="365"/>
    </row>
    <row r="8" customFormat="false" ht="12.75" hidden="false" customHeight="false" outlineLevel="0" collapsed="false">
      <c r="A8" s="364" t="n">
        <v>46205</v>
      </c>
      <c r="B8" s="347" t="n">
        <v>46205</v>
      </c>
      <c r="F8" s="365"/>
    </row>
    <row r="9" customFormat="false" ht="12.75" hidden="false" customHeight="false" outlineLevel="0" collapsed="false">
      <c r="A9" s="364" t="n">
        <v>46206</v>
      </c>
      <c r="B9" s="347" t="n">
        <v>46206</v>
      </c>
      <c r="F9" s="365"/>
    </row>
    <row r="10" customFormat="false" ht="12.75" hidden="false" customHeight="false" outlineLevel="0" collapsed="false">
      <c r="A10" s="364" t="n">
        <v>46207</v>
      </c>
      <c r="B10" s="347" t="n">
        <v>46207</v>
      </c>
      <c r="F10" s="365"/>
    </row>
    <row r="11" customFormat="false" ht="12.75" hidden="false" customHeight="false" outlineLevel="0" collapsed="false">
      <c r="A11" s="364" t="n">
        <v>46208</v>
      </c>
      <c r="B11" s="347" t="n">
        <v>46208</v>
      </c>
      <c r="F11" s="365"/>
    </row>
    <row r="12" customFormat="false" ht="12.75" hidden="false" customHeight="false" outlineLevel="0" collapsed="false">
      <c r="A12" s="364" t="n">
        <v>46208</v>
      </c>
      <c r="B12" s="347" t="s">
        <v>244</v>
      </c>
      <c r="F12" s="365"/>
    </row>
    <row r="13" customFormat="false" ht="12.75" hidden="false" customHeight="false" outlineLevel="0" collapsed="false">
      <c r="A13" s="364" t="n">
        <v>46208</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46209</v>
      </c>
      <c r="B16" s="359" t="n">
        <v>46209</v>
      </c>
      <c r="C16" s="360"/>
      <c r="D16" s="361"/>
      <c r="E16" s="362"/>
      <c r="F16" s="363"/>
    </row>
    <row r="17" customFormat="false" ht="12.75" hidden="false" customHeight="false" outlineLevel="0" collapsed="false">
      <c r="A17" s="364" t="n">
        <v>46210</v>
      </c>
      <c r="B17" s="347" t="n">
        <v>46210</v>
      </c>
      <c r="E17" s="349" t="n">
        <v>200</v>
      </c>
      <c r="F17" s="365"/>
    </row>
    <row r="18" customFormat="false" ht="12.75" hidden="false" customHeight="false" outlineLevel="0" collapsed="false">
      <c r="A18" s="364" t="n">
        <v>46211</v>
      </c>
      <c r="B18" s="347" t="n">
        <v>46211</v>
      </c>
      <c r="E18" s="349" t="n">
        <v>200</v>
      </c>
      <c r="F18" s="365"/>
    </row>
    <row r="19" customFormat="false" ht="12.75" hidden="false" customHeight="false" outlineLevel="0" collapsed="false">
      <c r="A19" s="364" t="n">
        <v>46212</v>
      </c>
      <c r="B19" s="347" t="n">
        <v>46212</v>
      </c>
      <c r="E19" s="349" t="n">
        <v>200</v>
      </c>
      <c r="F19" s="365"/>
    </row>
    <row r="20" customFormat="false" ht="12.75" hidden="false" customHeight="false" outlineLevel="0" collapsed="false">
      <c r="A20" s="364" t="n">
        <v>46213</v>
      </c>
      <c r="B20" s="347" t="n">
        <v>46213</v>
      </c>
      <c r="E20" s="349" t="n">
        <v>200</v>
      </c>
      <c r="F20" s="365"/>
    </row>
    <row r="21" customFormat="false" ht="12.75" hidden="false" customHeight="false" outlineLevel="0" collapsed="false">
      <c r="A21" s="364" t="n">
        <v>46214</v>
      </c>
      <c r="B21" s="347" t="n">
        <v>46214</v>
      </c>
      <c r="E21" s="349" t="n">
        <v>200</v>
      </c>
      <c r="F21" s="365"/>
    </row>
    <row r="22" customFormat="false" ht="12.75" hidden="false" customHeight="false" outlineLevel="0" collapsed="false">
      <c r="A22" s="364" t="n">
        <v>46215</v>
      </c>
      <c r="B22" s="347" t="n">
        <v>46215</v>
      </c>
      <c r="F22" s="365"/>
    </row>
    <row r="23" customFormat="false" ht="12.75" hidden="false" customHeight="false" outlineLevel="0" collapsed="false">
      <c r="A23" s="364" t="n">
        <v>46215</v>
      </c>
      <c r="B23" s="347" t="s">
        <v>244</v>
      </c>
      <c r="F23" s="365"/>
    </row>
    <row r="24" customFormat="false" ht="12.75" hidden="false" customHeight="false" outlineLevel="0" collapsed="false">
      <c r="A24" s="364" t="n">
        <v>46215</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46216</v>
      </c>
      <c r="B27" s="359" t="n">
        <v>46216</v>
      </c>
      <c r="C27" s="360"/>
      <c r="D27" s="361"/>
      <c r="E27" s="362"/>
      <c r="F27" s="363"/>
    </row>
    <row r="28" customFormat="false" ht="12.75" hidden="false" customHeight="false" outlineLevel="0" collapsed="false">
      <c r="A28" s="364" t="n">
        <v>46217</v>
      </c>
      <c r="B28" s="347" t="n">
        <v>46217</v>
      </c>
      <c r="E28" s="349" t="n">
        <v>200</v>
      </c>
      <c r="F28" s="365"/>
    </row>
    <row r="29" customFormat="false" ht="12.75" hidden="false" customHeight="false" outlineLevel="0" collapsed="false">
      <c r="A29" s="364" t="n">
        <v>46218</v>
      </c>
      <c r="B29" s="347" t="n">
        <v>46218</v>
      </c>
      <c r="E29" s="349" t="n">
        <v>200</v>
      </c>
      <c r="F29" s="365"/>
    </row>
    <row r="30" customFormat="false" ht="12.75" hidden="false" customHeight="false" outlineLevel="0" collapsed="false">
      <c r="A30" s="364" t="n">
        <v>46219</v>
      </c>
      <c r="B30" s="347" t="n">
        <v>46219</v>
      </c>
      <c r="E30" s="349" t="n">
        <v>200</v>
      </c>
      <c r="F30" s="365"/>
    </row>
    <row r="31" customFormat="false" ht="12.75" hidden="false" customHeight="false" outlineLevel="0" collapsed="false">
      <c r="A31" s="364" t="n">
        <v>46220</v>
      </c>
      <c r="B31" s="347" t="n">
        <v>46220</v>
      </c>
      <c r="E31" s="349" t="n">
        <v>200</v>
      </c>
      <c r="F31" s="365"/>
    </row>
    <row r="32" customFormat="false" ht="12.75" hidden="false" customHeight="false" outlineLevel="0" collapsed="false">
      <c r="A32" s="364" t="n">
        <v>46221</v>
      </c>
      <c r="B32" s="347" t="n">
        <v>46221</v>
      </c>
      <c r="E32" s="349" t="n">
        <v>200</v>
      </c>
      <c r="F32" s="365"/>
    </row>
    <row r="33" customFormat="false" ht="12.75" hidden="false" customHeight="false" outlineLevel="0" collapsed="false">
      <c r="A33" s="364" t="n">
        <v>46222</v>
      </c>
      <c r="B33" s="347" t="n">
        <v>46222</v>
      </c>
      <c r="F33" s="365"/>
    </row>
    <row r="34" customFormat="false" ht="12.75" hidden="false" customHeight="false" outlineLevel="0" collapsed="false">
      <c r="A34" s="364" t="n">
        <v>46222</v>
      </c>
      <c r="B34" s="347" t="s">
        <v>244</v>
      </c>
      <c r="F34" s="365"/>
    </row>
    <row r="35" customFormat="false" ht="12.75" hidden="false" customHeight="false" outlineLevel="0" collapsed="false">
      <c r="A35" s="364" t="n">
        <v>46222</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46223</v>
      </c>
      <c r="B38" s="359" t="n">
        <v>46223</v>
      </c>
      <c r="C38" s="360"/>
      <c r="D38" s="361"/>
      <c r="E38" s="362"/>
      <c r="F38" s="363"/>
    </row>
    <row r="39" customFormat="false" ht="12.75" hidden="false" customHeight="false" outlineLevel="0" collapsed="false">
      <c r="A39" s="364" t="n">
        <v>46224</v>
      </c>
      <c r="B39" s="347" t="n">
        <v>46224</v>
      </c>
      <c r="E39" s="349" t="n">
        <v>200</v>
      </c>
      <c r="F39" s="365"/>
    </row>
    <row r="40" customFormat="false" ht="12.75" hidden="false" customHeight="false" outlineLevel="0" collapsed="false">
      <c r="A40" s="364" t="n">
        <v>46225</v>
      </c>
      <c r="B40" s="347" t="n">
        <v>46225</v>
      </c>
      <c r="E40" s="349" t="n">
        <v>200</v>
      </c>
      <c r="F40" s="365"/>
    </row>
    <row r="41" customFormat="false" ht="12.75" hidden="false" customHeight="false" outlineLevel="0" collapsed="false">
      <c r="A41" s="364" t="n">
        <v>46226</v>
      </c>
      <c r="B41" s="347" t="n">
        <v>46226</v>
      </c>
      <c r="E41" s="349" t="n">
        <v>200</v>
      </c>
      <c r="F41" s="365"/>
    </row>
    <row r="42" customFormat="false" ht="12.75" hidden="false" customHeight="false" outlineLevel="0" collapsed="false">
      <c r="A42" s="364" t="n">
        <v>46227</v>
      </c>
      <c r="B42" s="347" t="n">
        <v>46227</v>
      </c>
      <c r="E42" s="349" t="n">
        <v>200</v>
      </c>
      <c r="F42" s="365"/>
    </row>
    <row r="43" customFormat="false" ht="12.75" hidden="false" customHeight="false" outlineLevel="0" collapsed="false">
      <c r="A43" s="364" t="n">
        <v>46228</v>
      </c>
      <c r="B43" s="347" t="n">
        <v>46228</v>
      </c>
      <c r="E43" s="349" t="n">
        <v>200</v>
      </c>
      <c r="F43" s="365"/>
    </row>
    <row r="44" customFormat="false" ht="12.75" hidden="false" customHeight="false" outlineLevel="0" collapsed="false">
      <c r="A44" s="364" t="n">
        <v>46229</v>
      </c>
      <c r="B44" s="347" t="n">
        <v>46229</v>
      </c>
      <c r="F44" s="365"/>
    </row>
    <row r="45" customFormat="false" ht="12.75" hidden="false" customHeight="false" outlineLevel="0" collapsed="false">
      <c r="A45" s="364" t="n">
        <v>46229</v>
      </c>
      <c r="B45" s="347" t="s">
        <v>244</v>
      </c>
      <c r="F45" s="365"/>
    </row>
    <row r="46" customFormat="false" ht="12.75" hidden="false" customHeight="false" outlineLevel="0" collapsed="false">
      <c r="A46" s="364" t="n">
        <v>46229</v>
      </c>
      <c r="B46" s="347" t="s">
        <v>245</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E1+SalesJul!$D$1+PurchasesJun!A1</f>
        <v>0</v>
      </c>
      <c r="B1" s="392" t="s">
        <v>246</v>
      </c>
      <c r="C1" s="393" t="s">
        <v>239</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S1+PurchasesJun!T1</f>
        <v>8000</v>
      </c>
      <c r="U1" s="394" t="n">
        <f aca="false">SUM(U4:U199)</f>
        <v>0</v>
      </c>
    </row>
    <row r="2" s="181" customFormat="true" ht="13.5" hidden="false" customHeight="true" outlineLevel="0" collapsed="false">
      <c r="A2" s="396" t="n">
        <f aca="false">U1+PurchasesJun!A2</f>
        <v>0</v>
      </c>
      <c r="B2" s="240" t="s">
        <v>247</v>
      </c>
      <c r="C2" s="380" t="s">
        <v>248</v>
      </c>
      <c r="D2" s="380" t="s">
        <v>249</v>
      </c>
      <c r="E2" s="380" t="s">
        <v>250</v>
      </c>
      <c r="F2" s="207" t="s">
        <v>251</v>
      </c>
      <c r="G2" s="381" t="s">
        <v>252</v>
      </c>
      <c r="H2" s="381"/>
      <c r="I2" s="382" t="n">
        <f aca="false">G1+H1+I1+J1+PurchasesJun!I2</f>
        <v>2580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IF((A1&lt;Admin!$F$22),((A1-PurchasesJun!A1)*Admin!$G$21),(A1*Admin!$G$21-(A1-Admin!$F$21)*(Admin!$G$21-Admin!$G$22)-PurchasesJun!A2))</f>
        <v>0</v>
      </c>
    </row>
    <row r="5" s="373" customFormat="true" ht="12.75" hidden="false" customHeight="false" outlineLevel="0" collapsed="false">
      <c r="A5" s="372" t="n">
        <v>45853</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46230</v>
      </c>
      <c r="B5" s="359" t="n">
        <v>46230</v>
      </c>
      <c r="C5" s="360"/>
      <c r="D5" s="361"/>
      <c r="E5" s="362"/>
      <c r="F5" s="363"/>
    </row>
    <row r="6" customFormat="false" ht="12.75" hidden="false" customHeight="false" outlineLevel="0" collapsed="false">
      <c r="A6" s="364" t="n">
        <v>46231</v>
      </c>
      <c r="B6" s="347" t="n">
        <v>46231</v>
      </c>
      <c r="F6" s="365"/>
    </row>
    <row r="7" customFormat="false" ht="12.75" hidden="false" customHeight="false" outlineLevel="0" collapsed="false">
      <c r="A7" s="364" t="n">
        <v>46232</v>
      </c>
      <c r="B7" s="347" t="n">
        <v>46232</v>
      </c>
      <c r="F7" s="365"/>
    </row>
    <row r="8" customFormat="false" ht="12.75" hidden="false" customHeight="false" outlineLevel="0" collapsed="false">
      <c r="A8" s="364" t="n">
        <v>46233</v>
      </c>
      <c r="B8" s="347" t="n">
        <v>46233</v>
      </c>
      <c r="F8" s="365"/>
    </row>
    <row r="9" customFormat="false" ht="12.75" hidden="false" customHeight="false" outlineLevel="0" collapsed="false">
      <c r="A9" s="364" t="n">
        <v>46234</v>
      </c>
      <c r="B9" s="347" t="n">
        <v>46234</v>
      </c>
      <c r="F9" s="365"/>
    </row>
    <row r="10" customFormat="false" ht="12.75" hidden="false" customHeight="false" outlineLevel="0" collapsed="false">
      <c r="A10" s="364" t="n">
        <v>46235</v>
      </c>
      <c r="B10" s="347" t="n">
        <v>46235</v>
      </c>
      <c r="F10" s="365"/>
    </row>
    <row r="11" customFormat="false" ht="12.75" hidden="false" customHeight="false" outlineLevel="0" collapsed="false">
      <c r="A11" s="364" t="n">
        <v>46236</v>
      </c>
      <c r="B11" s="347" t="n">
        <v>46236</v>
      </c>
      <c r="F11" s="365"/>
    </row>
    <row r="12" customFormat="false" ht="12.75" hidden="false" customHeight="false" outlineLevel="0" collapsed="false">
      <c r="A12" s="364" t="n">
        <v>46236</v>
      </c>
      <c r="B12" s="347" t="s">
        <v>244</v>
      </c>
      <c r="F12" s="365"/>
    </row>
    <row r="13" customFormat="false" ht="12.75" hidden="false" customHeight="false" outlineLevel="0" collapsed="false">
      <c r="A13" s="364" t="n">
        <v>46236</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46237</v>
      </c>
      <c r="B16" s="359" t="n">
        <v>46237</v>
      </c>
      <c r="C16" s="360"/>
      <c r="D16" s="361"/>
      <c r="E16" s="362"/>
      <c r="F16" s="363"/>
    </row>
    <row r="17" customFormat="false" ht="12.75" hidden="false" customHeight="false" outlineLevel="0" collapsed="false">
      <c r="A17" s="364" t="n">
        <v>46238</v>
      </c>
      <c r="B17" s="347" t="n">
        <v>46238</v>
      </c>
      <c r="E17" s="349" t="n">
        <v>200</v>
      </c>
      <c r="F17" s="365"/>
    </row>
    <row r="18" customFormat="false" ht="12.75" hidden="false" customHeight="false" outlineLevel="0" collapsed="false">
      <c r="A18" s="364" t="n">
        <v>46239</v>
      </c>
      <c r="B18" s="347" t="n">
        <v>46239</v>
      </c>
      <c r="E18" s="349" t="n">
        <v>200</v>
      </c>
      <c r="F18" s="365"/>
    </row>
    <row r="19" customFormat="false" ht="12.75" hidden="false" customHeight="false" outlineLevel="0" collapsed="false">
      <c r="A19" s="364" t="n">
        <v>46240</v>
      </c>
      <c r="B19" s="347" t="n">
        <v>46240</v>
      </c>
      <c r="E19" s="349" t="n">
        <v>200</v>
      </c>
      <c r="F19" s="365"/>
    </row>
    <row r="20" customFormat="false" ht="12.75" hidden="false" customHeight="false" outlineLevel="0" collapsed="false">
      <c r="A20" s="364" t="n">
        <v>46241</v>
      </c>
      <c r="B20" s="347" t="n">
        <v>46241</v>
      </c>
      <c r="E20" s="349" t="n">
        <v>200</v>
      </c>
      <c r="F20" s="365"/>
    </row>
    <row r="21" customFormat="false" ht="12.75" hidden="false" customHeight="false" outlineLevel="0" collapsed="false">
      <c r="A21" s="364" t="n">
        <v>46242</v>
      </c>
      <c r="B21" s="347" t="n">
        <v>46242</v>
      </c>
      <c r="E21" s="349" t="n">
        <v>200</v>
      </c>
      <c r="F21" s="365"/>
    </row>
    <row r="22" customFormat="false" ht="12.75" hidden="false" customHeight="false" outlineLevel="0" collapsed="false">
      <c r="A22" s="364" t="n">
        <v>46243</v>
      </c>
      <c r="B22" s="347" t="n">
        <v>46243</v>
      </c>
      <c r="F22" s="365"/>
    </row>
    <row r="23" customFormat="false" ht="12.75" hidden="false" customHeight="false" outlineLevel="0" collapsed="false">
      <c r="A23" s="364" t="n">
        <v>46243</v>
      </c>
      <c r="B23" s="347" t="s">
        <v>244</v>
      </c>
      <c r="F23" s="365"/>
    </row>
    <row r="24" customFormat="false" ht="12.75" hidden="false" customHeight="false" outlineLevel="0" collapsed="false">
      <c r="A24" s="364" t="n">
        <v>46243</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46244</v>
      </c>
      <c r="B27" s="359" t="n">
        <v>46244</v>
      </c>
      <c r="C27" s="360"/>
      <c r="D27" s="361"/>
      <c r="E27" s="362"/>
      <c r="F27" s="363"/>
    </row>
    <row r="28" customFormat="false" ht="12.75" hidden="false" customHeight="false" outlineLevel="0" collapsed="false">
      <c r="A28" s="364" t="n">
        <v>46245</v>
      </c>
      <c r="B28" s="347" t="n">
        <v>46245</v>
      </c>
      <c r="E28" s="349" t="n">
        <v>200</v>
      </c>
      <c r="F28" s="365"/>
    </row>
    <row r="29" customFormat="false" ht="12.75" hidden="false" customHeight="false" outlineLevel="0" collapsed="false">
      <c r="A29" s="364" t="n">
        <v>46246</v>
      </c>
      <c r="B29" s="347" t="n">
        <v>46246</v>
      </c>
      <c r="E29" s="349" t="n">
        <v>200</v>
      </c>
      <c r="F29" s="365"/>
    </row>
    <row r="30" customFormat="false" ht="12.75" hidden="false" customHeight="false" outlineLevel="0" collapsed="false">
      <c r="A30" s="364" t="n">
        <v>46247</v>
      </c>
      <c r="B30" s="347" t="n">
        <v>46247</v>
      </c>
      <c r="E30" s="349" t="n">
        <v>200</v>
      </c>
      <c r="F30" s="365"/>
    </row>
    <row r="31" customFormat="false" ht="12.75" hidden="false" customHeight="false" outlineLevel="0" collapsed="false">
      <c r="A31" s="364" t="n">
        <v>46248</v>
      </c>
      <c r="B31" s="347" t="n">
        <v>46248</v>
      </c>
      <c r="E31" s="349" t="n">
        <v>200</v>
      </c>
      <c r="F31" s="365"/>
    </row>
    <row r="32" customFormat="false" ht="12.75" hidden="false" customHeight="false" outlineLevel="0" collapsed="false">
      <c r="A32" s="364" t="n">
        <v>46249</v>
      </c>
      <c r="B32" s="347" t="n">
        <v>46249</v>
      </c>
      <c r="E32" s="349" t="n">
        <v>200</v>
      </c>
      <c r="F32" s="365"/>
    </row>
    <row r="33" customFormat="false" ht="12.75" hidden="false" customHeight="false" outlineLevel="0" collapsed="false">
      <c r="A33" s="364" t="n">
        <v>46250</v>
      </c>
      <c r="B33" s="347" t="n">
        <v>46250</v>
      </c>
      <c r="F33" s="365"/>
    </row>
    <row r="34" customFormat="false" ht="12.75" hidden="false" customHeight="false" outlineLevel="0" collapsed="false">
      <c r="A34" s="364" t="n">
        <v>46250</v>
      </c>
      <c r="B34" s="347" t="s">
        <v>244</v>
      </c>
      <c r="F34" s="365"/>
    </row>
    <row r="35" customFormat="false" ht="12.75" hidden="false" customHeight="false" outlineLevel="0" collapsed="false">
      <c r="A35" s="364" t="n">
        <v>46250</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46251</v>
      </c>
      <c r="B38" s="359" t="n">
        <v>46251</v>
      </c>
      <c r="C38" s="360"/>
      <c r="D38" s="361"/>
      <c r="E38" s="362"/>
      <c r="F38" s="363"/>
    </row>
    <row r="39" customFormat="false" ht="12.75" hidden="false" customHeight="false" outlineLevel="0" collapsed="false">
      <c r="A39" s="364" t="n">
        <v>46252</v>
      </c>
      <c r="B39" s="347" t="n">
        <v>46252</v>
      </c>
      <c r="E39" s="349" t="n">
        <v>200</v>
      </c>
      <c r="F39" s="365"/>
    </row>
    <row r="40" customFormat="false" ht="12.75" hidden="false" customHeight="false" outlineLevel="0" collapsed="false">
      <c r="A40" s="364" t="n">
        <v>46253</v>
      </c>
      <c r="B40" s="347" t="n">
        <v>46253</v>
      </c>
      <c r="E40" s="349" t="n">
        <v>200</v>
      </c>
      <c r="F40" s="365"/>
    </row>
    <row r="41" customFormat="false" ht="12.75" hidden="false" customHeight="false" outlineLevel="0" collapsed="false">
      <c r="A41" s="364" t="n">
        <v>46254</v>
      </c>
      <c r="B41" s="347" t="n">
        <v>46254</v>
      </c>
      <c r="E41" s="349" t="n">
        <v>200</v>
      </c>
      <c r="F41" s="365"/>
    </row>
    <row r="42" customFormat="false" ht="12.75" hidden="false" customHeight="false" outlineLevel="0" collapsed="false">
      <c r="A42" s="364" t="n">
        <v>46255</v>
      </c>
      <c r="B42" s="347" t="n">
        <v>46255</v>
      </c>
      <c r="E42" s="349" t="n">
        <v>200</v>
      </c>
      <c r="F42" s="365"/>
    </row>
    <row r="43" customFormat="false" ht="12.75" hidden="false" customHeight="false" outlineLevel="0" collapsed="false">
      <c r="A43" s="364" t="n">
        <v>46256</v>
      </c>
      <c r="B43" s="347" t="n">
        <v>46256</v>
      </c>
      <c r="E43" s="349" t="n">
        <v>200</v>
      </c>
      <c r="F43" s="365"/>
    </row>
    <row r="44" customFormat="false" ht="12.75" hidden="false" customHeight="false" outlineLevel="0" collapsed="false">
      <c r="A44" s="364" t="n">
        <v>46257</v>
      </c>
      <c r="B44" s="347" t="n">
        <v>46257</v>
      </c>
      <c r="F44" s="365"/>
    </row>
    <row r="45" customFormat="false" ht="12.75" hidden="false" customHeight="false" outlineLevel="0" collapsed="false">
      <c r="A45" s="364" t="n">
        <v>46257</v>
      </c>
      <c r="B45" s="347" t="s">
        <v>244</v>
      </c>
      <c r="F45" s="365"/>
    </row>
    <row r="46" customFormat="false" ht="12.75" hidden="false" customHeight="false" outlineLevel="0" collapsed="false">
      <c r="A46" s="364" t="n">
        <v>46257</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46258</v>
      </c>
      <c r="B49" s="359" t="n">
        <v>46258</v>
      </c>
      <c r="C49" s="360"/>
      <c r="D49" s="361"/>
      <c r="E49" s="362"/>
      <c r="F49" s="363"/>
    </row>
    <row r="50" customFormat="false" ht="12.75" hidden="false" customHeight="false" outlineLevel="0" collapsed="false">
      <c r="A50" s="364" t="n">
        <v>46259</v>
      </c>
      <c r="B50" s="347" t="n">
        <v>46259</v>
      </c>
      <c r="F50" s="365"/>
    </row>
    <row r="51" customFormat="false" ht="12.75" hidden="false" customHeight="false" outlineLevel="0" collapsed="false">
      <c r="A51" s="364" t="n">
        <v>46260</v>
      </c>
      <c r="B51" s="347" t="n">
        <v>46260</v>
      </c>
      <c r="F51" s="365"/>
    </row>
    <row r="52" customFormat="false" ht="12.75" hidden="false" customHeight="false" outlineLevel="0" collapsed="false">
      <c r="A52" s="364" t="n">
        <v>46261</v>
      </c>
      <c r="B52" s="347" t="n">
        <v>46261</v>
      </c>
      <c r="F52" s="365"/>
    </row>
    <row r="53" customFormat="false" ht="12.75" hidden="false" customHeight="false" outlineLevel="0" collapsed="false">
      <c r="A53" s="364" t="n">
        <v>46262</v>
      </c>
      <c r="B53" s="347" t="n">
        <v>46262</v>
      </c>
      <c r="F53" s="365"/>
    </row>
    <row r="54" customFormat="false" ht="12.75" hidden="false" customHeight="false" outlineLevel="0" collapsed="false">
      <c r="A54" s="364" t="n">
        <v>46263</v>
      </c>
      <c r="B54" s="347" t="n">
        <v>46263</v>
      </c>
      <c r="F54" s="365"/>
    </row>
    <row r="55" customFormat="false" ht="12.75" hidden="false" customHeight="false" outlineLevel="0" collapsed="false">
      <c r="A55" s="364" t="n">
        <v>46264</v>
      </c>
      <c r="B55" s="347" t="n">
        <v>46264</v>
      </c>
      <c r="F55" s="365"/>
    </row>
    <row r="56" customFormat="false" ht="12.75" hidden="false" customHeight="false" outlineLevel="0" collapsed="false">
      <c r="A56" s="364" t="n">
        <v>46264</v>
      </c>
      <c r="B56" s="347" t="s">
        <v>244</v>
      </c>
      <c r="F56" s="365"/>
    </row>
    <row r="57" customFormat="false" ht="12.75" hidden="false" customHeight="false" outlineLevel="0" collapsed="false">
      <c r="A57" s="364" t="n">
        <v>46264</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E1+SalesAug!$D$1+PurchasesJul!A1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S1+PurchasesJul!T1</f>
        <v>8000</v>
      </c>
      <c r="U1" s="394" t="n">
        <f aca="false">SUM(U4:U199)</f>
        <v>0</v>
      </c>
    </row>
    <row r="2" s="181" customFormat="true" ht="13.5" hidden="false" customHeight="true" outlineLevel="0" collapsed="false">
      <c r="A2" s="396" t="n">
        <f aca="false">U1+PurchasesJul!A2</f>
        <v>0</v>
      </c>
      <c r="B2" s="240" t="s">
        <v>247</v>
      </c>
      <c r="C2" s="380" t="s">
        <v>248</v>
      </c>
      <c r="D2" s="380" t="s">
        <v>249</v>
      </c>
      <c r="E2" s="380" t="s">
        <v>250</v>
      </c>
      <c r="F2" s="207" t="s">
        <v>251</v>
      </c>
      <c r="G2" s="381" t="s">
        <v>252</v>
      </c>
      <c r="H2" s="381"/>
      <c r="I2" s="382" t="n">
        <f aca="false">G1+H1+I1+J1+PurchasesJul!I2</f>
        <v>2880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IF((A1&lt;Admin!$F$22),((A1-PurchasesJul!A1)*Admin!$G$21),(A1*Admin!$G$21-(A1-Admin!$F$21)*(Admin!$G$21-Admin!$G$22)-PurchasesJul!A2))</f>
        <v>0</v>
      </c>
    </row>
    <row r="5" s="373" customFormat="true" ht="12.75" hidden="false" customHeight="false" outlineLevel="0" collapsed="false">
      <c r="A5" s="372" t="n">
        <v>45884</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46265</v>
      </c>
      <c r="B5" s="359" t="n">
        <v>46265</v>
      </c>
      <c r="C5" s="360"/>
      <c r="D5" s="361"/>
      <c r="E5" s="362"/>
      <c r="F5" s="363"/>
    </row>
    <row r="6" customFormat="false" ht="12.75" hidden="false" customHeight="false" outlineLevel="0" collapsed="false">
      <c r="A6" s="364" t="n">
        <v>46266</v>
      </c>
      <c r="B6" s="347" t="n">
        <v>46266</v>
      </c>
      <c r="E6" s="349" t="n">
        <v>200</v>
      </c>
      <c r="F6" s="365"/>
    </row>
    <row r="7" customFormat="false" ht="12.75" hidden="false" customHeight="false" outlineLevel="0" collapsed="false">
      <c r="A7" s="364" t="n">
        <v>46267</v>
      </c>
      <c r="B7" s="347" t="n">
        <v>46267</v>
      </c>
      <c r="E7" s="349" t="n">
        <v>200</v>
      </c>
      <c r="F7" s="365"/>
    </row>
    <row r="8" customFormat="false" ht="12.75" hidden="false" customHeight="false" outlineLevel="0" collapsed="false">
      <c r="A8" s="364" t="n">
        <v>46268</v>
      </c>
      <c r="B8" s="347" t="n">
        <v>46268</v>
      </c>
      <c r="E8" s="349" t="n">
        <v>200</v>
      </c>
      <c r="F8" s="365"/>
    </row>
    <row r="9" customFormat="false" ht="12.75" hidden="false" customHeight="false" outlineLevel="0" collapsed="false">
      <c r="A9" s="364" t="n">
        <v>46269</v>
      </c>
      <c r="B9" s="347" t="n">
        <v>46269</v>
      </c>
      <c r="E9" s="349" t="n">
        <v>200</v>
      </c>
      <c r="F9" s="365"/>
    </row>
    <row r="10" customFormat="false" ht="12.75" hidden="false" customHeight="false" outlineLevel="0" collapsed="false">
      <c r="A10" s="364" t="n">
        <v>46270</v>
      </c>
      <c r="B10" s="347" t="n">
        <v>46270</v>
      </c>
      <c r="E10" s="349" t="n">
        <v>200</v>
      </c>
      <c r="F10" s="365"/>
    </row>
    <row r="11" customFormat="false" ht="12.75" hidden="false" customHeight="false" outlineLevel="0" collapsed="false">
      <c r="A11" s="364" t="n">
        <v>46271</v>
      </c>
      <c r="B11" s="347" t="n">
        <v>46271</v>
      </c>
      <c r="F11" s="365"/>
    </row>
    <row r="12" customFormat="false" ht="12.75" hidden="false" customHeight="false" outlineLevel="0" collapsed="false">
      <c r="A12" s="364" t="n">
        <v>46271</v>
      </c>
      <c r="B12" s="347" t="s">
        <v>244</v>
      </c>
      <c r="F12" s="365"/>
    </row>
    <row r="13" customFormat="false" ht="12.75" hidden="false" customHeight="false" outlineLevel="0" collapsed="false">
      <c r="A13" s="364" t="n">
        <v>46271</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46272</v>
      </c>
      <c r="B16" s="359" t="n">
        <v>46272</v>
      </c>
      <c r="C16" s="360"/>
      <c r="D16" s="361"/>
      <c r="E16" s="362"/>
      <c r="F16" s="363"/>
    </row>
    <row r="17" customFormat="false" ht="12.75" hidden="false" customHeight="false" outlineLevel="0" collapsed="false">
      <c r="A17" s="364" t="n">
        <v>46273</v>
      </c>
      <c r="B17" s="347" t="n">
        <v>46273</v>
      </c>
      <c r="E17" s="349" t="n">
        <v>200</v>
      </c>
      <c r="F17" s="365"/>
    </row>
    <row r="18" customFormat="false" ht="12.75" hidden="false" customHeight="false" outlineLevel="0" collapsed="false">
      <c r="A18" s="364" t="n">
        <v>46274</v>
      </c>
      <c r="B18" s="347" t="n">
        <v>46274</v>
      </c>
      <c r="E18" s="349" t="n">
        <v>200</v>
      </c>
      <c r="F18" s="365"/>
    </row>
    <row r="19" customFormat="false" ht="12.75" hidden="false" customHeight="false" outlineLevel="0" collapsed="false">
      <c r="A19" s="364" t="n">
        <v>46275</v>
      </c>
      <c r="B19" s="347" t="n">
        <v>46275</v>
      </c>
      <c r="E19" s="349" t="n">
        <v>200</v>
      </c>
      <c r="F19" s="365"/>
    </row>
    <row r="20" customFormat="false" ht="12.75" hidden="false" customHeight="false" outlineLevel="0" collapsed="false">
      <c r="A20" s="364" t="n">
        <v>46276</v>
      </c>
      <c r="B20" s="347" t="n">
        <v>46276</v>
      </c>
      <c r="E20" s="349" t="n">
        <v>200</v>
      </c>
      <c r="F20" s="365"/>
    </row>
    <row r="21" customFormat="false" ht="12.75" hidden="false" customHeight="false" outlineLevel="0" collapsed="false">
      <c r="A21" s="364" t="n">
        <v>46277</v>
      </c>
      <c r="B21" s="347" t="n">
        <v>46277</v>
      </c>
      <c r="E21" s="349" t="n">
        <v>200</v>
      </c>
      <c r="F21" s="365"/>
    </row>
    <row r="22" customFormat="false" ht="12.75" hidden="false" customHeight="false" outlineLevel="0" collapsed="false">
      <c r="A22" s="364" t="n">
        <v>46278</v>
      </c>
      <c r="B22" s="347" t="n">
        <v>46278</v>
      </c>
      <c r="F22" s="365"/>
    </row>
    <row r="23" customFormat="false" ht="12.75" hidden="false" customHeight="false" outlineLevel="0" collapsed="false">
      <c r="A23" s="364" t="n">
        <v>46278</v>
      </c>
      <c r="B23" s="347" t="s">
        <v>244</v>
      </c>
      <c r="F23" s="365"/>
    </row>
    <row r="24" customFormat="false" ht="12.75" hidden="false" customHeight="false" outlineLevel="0" collapsed="false">
      <c r="A24" s="364" t="n">
        <v>46278</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46279</v>
      </c>
      <c r="B27" s="359" t="n">
        <v>46279</v>
      </c>
      <c r="C27" s="360"/>
      <c r="D27" s="361"/>
      <c r="E27" s="362"/>
      <c r="F27" s="363"/>
    </row>
    <row r="28" customFormat="false" ht="12.75" hidden="false" customHeight="false" outlineLevel="0" collapsed="false">
      <c r="A28" s="364" t="n">
        <v>46280</v>
      </c>
      <c r="B28" s="347" t="n">
        <v>46280</v>
      </c>
      <c r="E28" s="349" t="n">
        <v>200</v>
      </c>
      <c r="F28" s="365"/>
    </row>
    <row r="29" customFormat="false" ht="12.75" hidden="false" customHeight="false" outlineLevel="0" collapsed="false">
      <c r="A29" s="364" t="n">
        <v>46281</v>
      </c>
      <c r="B29" s="347" t="n">
        <v>46281</v>
      </c>
      <c r="E29" s="349" t="n">
        <v>200</v>
      </c>
      <c r="F29" s="365"/>
    </row>
    <row r="30" customFormat="false" ht="12.75" hidden="false" customHeight="false" outlineLevel="0" collapsed="false">
      <c r="A30" s="364" t="n">
        <v>46282</v>
      </c>
      <c r="B30" s="347" t="n">
        <v>46282</v>
      </c>
      <c r="E30" s="349" t="n">
        <v>200</v>
      </c>
      <c r="F30" s="365"/>
    </row>
    <row r="31" customFormat="false" ht="12.75" hidden="false" customHeight="false" outlineLevel="0" collapsed="false">
      <c r="A31" s="364" t="n">
        <v>46283</v>
      </c>
      <c r="B31" s="347" t="n">
        <v>46283</v>
      </c>
      <c r="E31" s="349" t="n">
        <v>200</v>
      </c>
      <c r="F31" s="365"/>
    </row>
    <row r="32" customFormat="false" ht="12.75" hidden="false" customHeight="false" outlineLevel="0" collapsed="false">
      <c r="A32" s="364" t="n">
        <v>46284</v>
      </c>
      <c r="B32" s="347" t="n">
        <v>46284</v>
      </c>
      <c r="E32" s="349" t="n">
        <v>200</v>
      </c>
      <c r="F32" s="365"/>
    </row>
    <row r="33" customFormat="false" ht="12.75" hidden="false" customHeight="false" outlineLevel="0" collapsed="false">
      <c r="A33" s="364" t="n">
        <v>46285</v>
      </c>
      <c r="B33" s="347" t="n">
        <v>46285</v>
      </c>
      <c r="F33" s="365"/>
    </row>
    <row r="34" customFormat="false" ht="12.75" hidden="false" customHeight="false" outlineLevel="0" collapsed="false">
      <c r="A34" s="364" t="n">
        <v>46285</v>
      </c>
      <c r="B34" s="347" t="s">
        <v>244</v>
      </c>
      <c r="F34" s="365"/>
    </row>
    <row r="35" customFormat="false" ht="12.75" hidden="false" customHeight="false" outlineLevel="0" collapsed="false">
      <c r="A35" s="364" t="n">
        <v>46285</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46286</v>
      </c>
      <c r="B38" s="359" t="n">
        <v>46286</v>
      </c>
      <c r="C38" s="360"/>
      <c r="D38" s="361"/>
      <c r="E38" s="362"/>
      <c r="F38" s="363"/>
    </row>
    <row r="39" customFormat="false" ht="12.75" hidden="false" customHeight="false" outlineLevel="0" collapsed="false">
      <c r="A39" s="364" t="n">
        <v>46287</v>
      </c>
      <c r="B39" s="347" t="n">
        <v>46287</v>
      </c>
      <c r="F39" s="365"/>
    </row>
    <row r="40" customFormat="false" ht="12.75" hidden="false" customHeight="false" outlineLevel="0" collapsed="false">
      <c r="A40" s="364" t="n">
        <v>46288</v>
      </c>
      <c r="B40" s="347" t="n">
        <v>46288</v>
      </c>
      <c r="F40" s="365"/>
    </row>
    <row r="41" customFormat="false" ht="12.75" hidden="false" customHeight="false" outlineLevel="0" collapsed="false">
      <c r="A41" s="364" t="n">
        <v>46289</v>
      </c>
      <c r="B41" s="347" t="n">
        <v>46289</v>
      </c>
      <c r="F41" s="365"/>
    </row>
    <row r="42" customFormat="false" ht="12.75" hidden="false" customHeight="false" outlineLevel="0" collapsed="false">
      <c r="A42" s="364" t="n">
        <v>46290</v>
      </c>
      <c r="B42" s="347" t="n">
        <v>46290</v>
      </c>
      <c r="F42" s="365"/>
    </row>
    <row r="43" customFormat="false" ht="12.75" hidden="false" customHeight="false" outlineLevel="0" collapsed="false">
      <c r="A43" s="364" t="n">
        <v>46291</v>
      </c>
      <c r="B43" s="347" t="n">
        <v>46291</v>
      </c>
      <c r="F43" s="365"/>
    </row>
    <row r="44" customFormat="false" ht="12.75" hidden="false" customHeight="false" outlineLevel="0" collapsed="false">
      <c r="A44" s="364" t="n">
        <v>46292</v>
      </c>
      <c r="B44" s="347" t="n">
        <v>46292</v>
      </c>
      <c r="F44" s="365"/>
    </row>
    <row r="45" customFormat="false" ht="12.75" hidden="false" customHeight="false" outlineLevel="0" collapsed="false">
      <c r="A45" s="364" t="n">
        <v>46292</v>
      </c>
      <c r="B45" s="347" t="s">
        <v>244</v>
      </c>
      <c r="F45" s="365"/>
    </row>
    <row r="46" customFormat="false" ht="12.75" hidden="false" customHeight="false" outlineLevel="0" collapsed="false">
      <c r="A46" s="364" t="n">
        <v>46292</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1" t="n">
        <f aca="false">E1+SalesSep!$D$1+PurchasesAug!A1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S1+PurchasesAug!T1</f>
        <v>8000</v>
      </c>
      <c r="U1" s="394" t="n">
        <f aca="false">SUM(U4:U199)</f>
        <v>0</v>
      </c>
    </row>
    <row r="2" s="181" customFormat="true" ht="13.5" hidden="false" customHeight="true" outlineLevel="0" collapsed="false">
      <c r="A2" s="396" t="n">
        <f aca="false">U1+PurchasesAug!A2</f>
        <v>0</v>
      </c>
      <c r="B2" s="240" t="s">
        <v>247</v>
      </c>
      <c r="C2" s="380" t="s">
        <v>248</v>
      </c>
      <c r="D2" s="380" t="s">
        <v>249</v>
      </c>
      <c r="E2" s="380" t="s">
        <v>250</v>
      </c>
      <c r="F2" s="207" t="s">
        <v>251</v>
      </c>
      <c r="G2" s="381" t="s">
        <v>252</v>
      </c>
      <c r="H2" s="381"/>
      <c r="I2" s="382" t="n">
        <f aca="false">G1+H1+I1+J1+PurchasesAug!I2</f>
        <v>3180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IF((A1&lt;Admin!$F$22),((A1-PurchasesAug!A1)*Admin!$G$21),(A1*Admin!$G$21-(A1-Admin!$F$21)*(Admin!$G$21-Admin!$G$22)-PurchasesAug!A2))</f>
        <v>0</v>
      </c>
    </row>
    <row r="5" s="373" customFormat="true" ht="12.75" hidden="false" customHeight="false" outlineLevel="0" collapsed="false">
      <c r="A5" s="372" t="n">
        <v>45915</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46293</v>
      </c>
      <c r="B5" s="359" t="n">
        <v>46293</v>
      </c>
      <c r="C5" s="360"/>
      <c r="D5" s="361"/>
      <c r="E5" s="362"/>
      <c r="F5" s="363"/>
    </row>
    <row r="6" customFormat="false" ht="12.75" hidden="false" customHeight="false" outlineLevel="0" collapsed="false">
      <c r="A6" s="364" t="n">
        <v>46294</v>
      </c>
      <c r="B6" s="347" t="n">
        <v>46294</v>
      </c>
      <c r="F6" s="365"/>
    </row>
    <row r="7" customFormat="false" ht="12.75" hidden="false" customHeight="false" outlineLevel="0" collapsed="false">
      <c r="A7" s="364" t="n">
        <v>46295</v>
      </c>
      <c r="B7" s="347" t="n">
        <v>46295</v>
      </c>
      <c r="F7" s="365"/>
    </row>
    <row r="8" customFormat="false" ht="12.75" hidden="false" customHeight="false" outlineLevel="0" collapsed="false">
      <c r="A8" s="364" t="n">
        <v>46296</v>
      </c>
      <c r="B8" s="347" t="n">
        <v>46296</v>
      </c>
      <c r="F8" s="365"/>
    </row>
    <row r="9" customFormat="false" ht="12.75" hidden="false" customHeight="false" outlineLevel="0" collapsed="false">
      <c r="A9" s="364" t="n">
        <v>46297</v>
      </c>
      <c r="B9" s="347" t="n">
        <v>46297</v>
      </c>
      <c r="F9" s="365"/>
    </row>
    <row r="10" customFormat="false" ht="12.75" hidden="false" customHeight="false" outlineLevel="0" collapsed="false">
      <c r="A10" s="364" t="n">
        <v>46298</v>
      </c>
      <c r="B10" s="347" t="n">
        <v>46298</v>
      </c>
      <c r="F10" s="365"/>
    </row>
    <row r="11" customFormat="false" ht="12.75" hidden="false" customHeight="false" outlineLevel="0" collapsed="false">
      <c r="A11" s="364" t="n">
        <v>46299</v>
      </c>
      <c r="B11" s="347" t="n">
        <v>46299</v>
      </c>
      <c r="F11" s="365"/>
    </row>
    <row r="12" customFormat="false" ht="12.75" hidden="false" customHeight="false" outlineLevel="0" collapsed="false">
      <c r="A12" s="364" t="n">
        <v>46299</v>
      </c>
      <c r="B12" s="347" t="s">
        <v>244</v>
      </c>
      <c r="F12" s="365"/>
    </row>
    <row r="13" customFormat="false" ht="12.75" hidden="false" customHeight="false" outlineLevel="0" collapsed="false">
      <c r="A13" s="364" t="n">
        <v>46299</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46300</v>
      </c>
      <c r="B16" s="359" t="n">
        <v>46300</v>
      </c>
      <c r="C16" s="360"/>
      <c r="D16" s="361"/>
      <c r="E16" s="362"/>
      <c r="F16" s="363"/>
    </row>
    <row r="17" customFormat="false" ht="12.75" hidden="false" customHeight="false" outlineLevel="0" collapsed="false">
      <c r="A17" s="364" t="n">
        <v>46301</v>
      </c>
      <c r="B17" s="347" t="n">
        <v>46301</v>
      </c>
      <c r="E17" s="349" t="n">
        <v>200</v>
      </c>
      <c r="F17" s="365"/>
    </row>
    <row r="18" customFormat="false" ht="12.75" hidden="false" customHeight="false" outlineLevel="0" collapsed="false">
      <c r="A18" s="364" t="n">
        <v>46302</v>
      </c>
      <c r="B18" s="347" t="n">
        <v>46302</v>
      </c>
      <c r="E18" s="349" t="n">
        <v>200</v>
      </c>
      <c r="F18" s="365"/>
    </row>
    <row r="19" customFormat="false" ht="12.75" hidden="false" customHeight="false" outlineLevel="0" collapsed="false">
      <c r="A19" s="364" t="n">
        <v>46303</v>
      </c>
      <c r="B19" s="347" t="n">
        <v>46303</v>
      </c>
      <c r="E19" s="349" t="n">
        <v>200</v>
      </c>
      <c r="F19" s="365"/>
    </row>
    <row r="20" customFormat="false" ht="12.75" hidden="false" customHeight="false" outlineLevel="0" collapsed="false">
      <c r="A20" s="364" t="n">
        <v>46304</v>
      </c>
      <c r="B20" s="347" t="n">
        <v>46304</v>
      </c>
      <c r="E20" s="349" t="n">
        <v>200</v>
      </c>
      <c r="F20" s="365"/>
    </row>
    <row r="21" customFormat="false" ht="12.75" hidden="false" customHeight="false" outlineLevel="0" collapsed="false">
      <c r="A21" s="364" t="n">
        <v>46305</v>
      </c>
      <c r="B21" s="347" t="n">
        <v>46305</v>
      </c>
      <c r="E21" s="349" t="n">
        <v>200</v>
      </c>
      <c r="F21" s="365"/>
    </row>
    <row r="22" customFormat="false" ht="12.75" hidden="false" customHeight="false" outlineLevel="0" collapsed="false">
      <c r="A22" s="364" t="n">
        <v>46306</v>
      </c>
      <c r="B22" s="347" t="n">
        <v>46306</v>
      </c>
      <c r="F22" s="365"/>
    </row>
    <row r="23" customFormat="false" ht="12.75" hidden="false" customHeight="false" outlineLevel="0" collapsed="false">
      <c r="A23" s="364" t="n">
        <v>46306</v>
      </c>
      <c r="B23" s="347" t="s">
        <v>244</v>
      </c>
      <c r="F23" s="365"/>
    </row>
    <row r="24" customFormat="false" ht="12.75" hidden="false" customHeight="false" outlineLevel="0" collapsed="false">
      <c r="A24" s="364" t="n">
        <v>46306</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46307</v>
      </c>
      <c r="B27" s="359" t="n">
        <v>46307</v>
      </c>
      <c r="C27" s="360"/>
      <c r="D27" s="361"/>
      <c r="E27" s="362"/>
      <c r="F27" s="363"/>
    </row>
    <row r="28" customFormat="false" ht="12.75" hidden="false" customHeight="false" outlineLevel="0" collapsed="false">
      <c r="A28" s="364" t="n">
        <v>46308</v>
      </c>
      <c r="B28" s="347" t="n">
        <v>46308</v>
      </c>
      <c r="E28" s="349" t="n">
        <v>200</v>
      </c>
      <c r="F28" s="365"/>
    </row>
    <row r="29" customFormat="false" ht="12.75" hidden="false" customHeight="false" outlineLevel="0" collapsed="false">
      <c r="A29" s="364" t="n">
        <v>46309</v>
      </c>
      <c r="B29" s="347" t="n">
        <v>46309</v>
      </c>
      <c r="E29" s="349" t="n">
        <v>200</v>
      </c>
      <c r="F29" s="365"/>
    </row>
    <row r="30" customFormat="false" ht="12.75" hidden="false" customHeight="false" outlineLevel="0" collapsed="false">
      <c r="A30" s="364" t="n">
        <v>46310</v>
      </c>
      <c r="B30" s="347" t="n">
        <v>46310</v>
      </c>
      <c r="E30" s="349" t="n">
        <v>200</v>
      </c>
      <c r="F30" s="365"/>
    </row>
    <row r="31" customFormat="false" ht="12.75" hidden="false" customHeight="false" outlineLevel="0" collapsed="false">
      <c r="A31" s="364" t="n">
        <v>46311</v>
      </c>
      <c r="B31" s="347" t="n">
        <v>46311</v>
      </c>
      <c r="E31" s="349" t="n">
        <v>200</v>
      </c>
      <c r="F31" s="365"/>
    </row>
    <row r="32" customFormat="false" ht="12.75" hidden="false" customHeight="false" outlineLevel="0" collapsed="false">
      <c r="A32" s="364" t="n">
        <v>46312</v>
      </c>
      <c r="B32" s="347" t="n">
        <v>46312</v>
      </c>
      <c r="E32" s="349" t="n">
        <v>200</v>
      </c>
      <c r="F32" s="365"/>
    </row>
    <row r="33" customFormat="false" ht="12.75" hidden="false" customHeight="false" outlineLevel="0" collapsed="false">
      <c r="A33" s="364" t="n">
        <v>46313</v>
      </c>
      <c r="B33" s="347" t="n">
        <v>46313</v>
      </c>
      <c r="F33" s="365"/>
    </row>
    <row r="34" customFormat="false" ht="12.75" hidden="false" customHeight="false" outlineLevel="0" collapsed="false">
      <c r="A34" s="364" t="n">
        <v>46313</v>
      </c>
      <c r="B34" s="347" t="s">
        <v>244</v>
      </c>
      <c r="F34" s="365"/>
    </row>
    <row r="35" customFormat="false" ht="12.75" hidden="false" customHeight="false" outlineLevel="0" collapsed="false">
      <c r="A35" s="364" t="n">
        <v>46313</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46314</v>
      </c>
      <c r="B38" s="359" t="n">
        <v>46314</v>
      </c>
      <c r="C38" s="360"/>
      <c r="D38" s="361"/>
      <c r="E38" s="362"/>
      <c r="F38" s="363"/>
    </row>
    <row r="39" customFormat="false" ht="12.75" hidden="false" customHeight="false" outlineLevel="0" collapsed="false">
      <c r="A39" s="364" t="n">
        <v>46315</v>
      </c>
      <c r="B39" s="347" t="n">
        <v>46315</v>
      </c>
      <c r="E39" s="349" t="n">
        <v>200</v>
      </c>
      <c r="F39" s="365"/>
    </row>
    <row r="40" customFormat="false" ht="12.75" hidden="false" customHeight="false" outlineLevel="0" collapsed="false">
      <c r="A40" s="364" t="n">
        <v>46316</v>
      </c>
      <c r="B40" s="347" t="n">
        <v>46316</v>
      </c>
      <c r="E40" s="349" t="n">
        <v>200</v>
      </c>
      <c r="F40" s="365"/>
    </row>
    <row r="41" customFormat="false" ht="12.75" hidden="false" customHeight="false" outlineLevel="0" collapsed="false">
      <c r="A41" s="364" t="n">
        <v>46317</v>
      </c>
      <c r="B41" s="347" t="n">
        <v>46317</v>
      </c>
      <c r="E41" s="349" t="n">
        <v>200</v>
      </c>
      <c r="F41" s="365"/>
    </row>
    <row r="42" customFormat="false" ht="12.75" hidden="false" customHeight="false" outlineLevel="0" collapsed="false">
      <c r="A42" s="364" t="n">
        <v>46318</v>
      </c>
      <c r="B42" s="347" t="n">
        <v>46318</v>
      </c>
      <c r="E42" s="349" t="n">
        <v>200</v>
      </c>
      <c r="F42" s="365"/>
    </row>
    <row r="43" customFormat="false" ht="12.75" hidden="false" customHeight="false" outlineLevel="0" collapsed="false">
      <c r="A43" s="364" t="n">
        <v>46319</v>
      </c>
      <c r="B43" s="347" t="n">
        <v>46319</v>
      </c>
      <c r="E43" s="349" t="n">
        <v>200</v>
      </c>
      <c r="F43" s="365"/>
    </row>
    <row r="44" customFormat="false" ht="12.75" hidden="false" customHeight="false" outlineLevel="0" collapsed="false">
      <c r="A44" s="364" t="n">
        <v>46320</v>
      </c>
      <c r="B44" s="347" t="n">
        <v>46320</v>
      </c>
      <c r="F44" s="365"/>
    </row>
    <row r="45" customFormat="false" ht="12.75" hidden="false" customHeight="false" outlineLevel="0" collapsed="false">
      <c r="A45" s="364" t="n">
        <v>46320</v>
      </c>
      <c r="B45" s="347" t="s">
        <v>244</v>
      </c>
      <c r="F45" s="365"/>
    </row>
    <row r="46" customFormat="false" ht="12.75" hidden="false" customHeight="false" outlineLevel="0" collapsed="false">
      <c r="A46" s="364" t="n">
        <v>46320</v>
      </c>
      <c r="B46" s="347" t="s">
        <v>245</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E1+SalesOct!$D$1+PurchasesSep!A1</f>
        <v>0</v>
      </c>
      <c r="B1" s="392" t="s">
        <v>246</v>
      </c>
      <c r="C1" s="393" t="s">
        <v>239</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S1+PurchasesSep!T1</f>
        <v>8000</v>
      </c>
      <c r="U1" s="394" t="n">
        <f aca="false">SUM(U4:U199)</f>
        <v>0</v>
      </c>
    </row>
    <row r="2" s="181" customFormat="true" ht="13.5" hidden="false" customHeight="true" outlineLevel="0" collapsed="false">
      <c r="A2" s="396" t="n">
        <f aca="false">U1+PurchasesSep!A2</f>
        <v>0</v>
      </c>
      <c r="B2" s="240" t="s">
        <v>247</v>
      </c>
      <c r="C2" s="380" t="s">
        <v>248</v>
      </c>
      <c r="D2" s="380" t="s">
        <v>249</v>
      </c>
      <c r="E2" s="380" t="s">
        <v>250</v>
      </c>
      <c r="F2" s="207" t="s">
        <v>251</v>
      </c>
      <c r="G2" s="381" t="s">
        <v>252</v>
      </c>
      <c r="H2" s="381"/>
      <c r="I2" s="382" t="n">
        <f aca="false">G1+H1+I1+J1+PurchasesSep!I2</f>
        <v>3480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IF((A1&lt;Admin!$F$22),((A1-PurchasesSep!A1)*Admin!$G$21),(A1*Admin!$G$21-(A1-Admin!$F$21)*(Admin!$G$21-Admin!$G$22)-PurchasesSep!A2))</f>
        <v>0</v>
      </c>
    </row>
    <row r="5" s="373" customFormat="true" ht="12.75" hidden="false" customHeight="false" outlineLevel="0" collapsed="false">
      <c r="A5" s="372" t="n">
        <v>45945</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46321</v>
      </c>
      <c r="B5" s="359" t="n">
        <v>46321</v>
      </c>
      <c r="C5" s="360"/>
      <c r="D5" s="361"/>
      <c r="E5" s="362"/>
      <c r="F5" s="363"/>
    </row>
    <row r="6" customFormat="false" ht="12.75" hidden="false" customHeight="false" outlineLevel="0" collapsed="false">
      <c r="A6" s="364" t="n">
        <v>46322</v>
      </c>
      <c r="B6" s="347" t="n">
        <v>46322</v>
      </c>
      <c r="F6" s="365"/>
    </row>
    <row r="7" customFormat="false" ht="12.75" hidden="false" customHeight="false" outlineLevel="0" collapsed="false">
      <c r="A7" s="364" t="n">
        <v>46323</v>
      </c>
      <c r="B7" s="347" t="n">
        <v>46323</v>
      </c>
      <c r="F7" s="365"/>
    </row>
    <row r="8" customFormat="false" ht="12.75" hidden="false" customHeight="false" outlineLevel="0" collapsed="false">
      <c r="A8" s="364" t="n">
        <v>46324</v>
      </c>
      <c r="B8" s="347" t="n">
        <v>46324</v>
      </c>
      <c r="F8" s="365"/>
    </row>
    <row r="9" customFormat="false" ht="12.75" hidden="false" customHeight="false" outlineLevel="0" collapsed="false">
      <c r="A9" s="364" t="n">
        <v>46325</v>
      </c>
      <c r="B9" s="347" t="n">
        <v>46325</v>
      </c>
      <c r="F9" s="365"/>
    </row>
    <row r="10" customFormat="false" ht="12.75" hidden="false" customHeight="false" outlineLevel="0" collapsed="false">
      <c r="A10" s="364" t="n">
        <v>46326</v>
      </c>
      <c r="B10" s="347" t="n">
        <v>46326</v>
      </c>
      <c r="F10" s="365"/>
    </row>
    <row r="11" customFormat="false" ht="12.75" hidden="false" customHeight="false" outlineLevel="0" collapsed="false">
      <c r="A11" s="364" t="n">
        <v>46327</v>
      </c>
      <c r="B11" s="347" t="n">
        <v>46327</v>
      </c>
      <c r="F11" s="365"/>
    </row>
    <row r="12" customFormat="false" ht="12.75" hidden="false" customHeight="false" outlineLevel="0" collapsed="false">
      <c r="A12" s="364" t="n">
        <v>46327</v>
      </c>
      <c r="B12" s="347" t="s">
        <v>244</v>
      </c>
      <c r="F12" s="365"/>
    </row>
    <row r="13" customFormat="false" ht="12.75" hidden="false" customHeight="false" outlineLevel="0" collapsed="false">
      <c r="A13" s="364" t="n">
        <v>46327</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46328</v>
      </c>
      <c r="B16" s="359" t="n">
        <v>46328</v>
      </c>
      <c r="C16" s="360"/>
      <c r="D16" s="361"/>
      <c r="E16" s="362"/>
      <c r="F16" s="363"/>
    </row>
    <row r="17" customFormat="false" ht="12.75" hidden="false" customHeight="false" outlineLevel="0" collapsed="false">
      <c r="A17" s="364" t="n">
        <v>46329</v>
      </c>
      <c r="B17" s="347" t="n">
        <v>46329</v>
      </c>
      <c r="E17" s="349" t="n">
        <v>200</v>
      </c>
      <c r="F17" s="365"/>
    </row>
    <row r="18" customFormat="false" ht="12.75" hidden="false" customHeight="false" outlineLevel="0" collapsed="false">
      <c r="A18" s="364" t="n">
        <v>46330</v>
      </c>
      <c r="B18" s="347" t="n">
        <v>46330</v>
      </c>
      <c r="E18" s="349" t="n">
        <v>200</v>
      </c>
      <c r="F18" s="365"/>
    </row>
    <row r="19" customFormat="false" ht="12.75" hidden="false" customHeight="false" outlineLevel="0" collapsed="false">
      <c r="A19" s="364" t="n">
        <v>46331</v>
      </c>
      <c r="B19" s="347" t="n">
        <v>46331</v>
      </c>
      <c r="E19" s="349" t="n">
        <v>200</v>
      </c>
      <c r="F19" s="365"/>
    </row>
    <row r="20" customFormat="false" ht="12.75" hidden="false" customHeight="false" outlineLevel="0" collapsed="false">
      <c r="A20" s="364" t="n">
        <v>46332</v>
      </c>
      <c r="B20" s="347" t="n">
        <v>46332</v>
      </c>
      <c r="E20" s="349" t="n">
        <v>200</v>
      </c>
      <c r="F20" s="365"/>
    </row>
    <row r="21" customFormat="false" ht="12.75" hidden="false" customHeight="false" outlineLevel="0" collapsed="false">
      <c r="A21" s="364" t="n">
        <v>46333</v>
      </c>
      <c r="B21" s="347" t="n">
        <v>46333</v>
      </c>
      <c r="E21" s="349" t="n">
        <v>200</v>
      </c>
      <c r="F21" s="365"/>
    </row>
    <row r="22" customFormat="false" ht="12.75" hidden="false" customHeight="false" outlineLevel="0" collapsed="false">
      <c r="A22" s="364" t="n">
        <v>46334</v>
      </c>
      <c r="B22" s="347" t="n">
        <v>46334</v>
      </c>
      <c r="F22" s="365"/>
    </row>
    <row r="23" customFormat="false" ht="12.75" hidden="false" customHeight="false" outlineLevel="0" collapsed="false">
      <c r="A23" s="364" t="n">
        <v>46334</v>
      </c>
      <c r="B23" s="347" t="s">
        <v>244</v>
      </c>
      <c r="F23" s="365"/>
    </row>
    <row r="24" customFormat="false" ht="12.75" hidden="false" customHeight="false" outlineLevel="0" collapsed="false">
      <c r="A24" s="364" t="n">
        <v>46334</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46335</v>
      </c>
      <c r="B27" s="359" t="n">
        <v>46335</v>
      </c>
      <c r="C27" s="360"/>
      <c r="D27" s="361"/>
      <c r="E27" s="362"/>
      <c r="F27" s="363"/>
    </row>
    <row r="28" customFormat="false" ht="12.75" hidden="false" customHeight="false" outlineLevel="0" collapsed="false">
      <c r="A28" s="364" t="n">
        <v>46336</v>
      </c>
      <c r="B28" s="347" t="n">
        <v>46336</v>
      </c>
      <c r="E28" s="349" t="n">
        <v>200</v>
      </c>
      <c r="F28" s="365"/>
    </row>
    <row r="29" customFormat="false" ht="12.75" hidden="false" customHeight="false" outlineLevel="0" collapsed="false">
      <c r="A29" s="364" t="n">
        <v>46337</v>
      </c>
      <c r="B29" s="347" t="n">
        <v>46337</v>
      </c>
      <c r="E29" s="349" t="n">
        <v>200</v>
      </c>
      <c r="F29" s="365"/>
    </row>
    <row r="30" customFormat="false" ht="12.75" hidden="false" customHeight="false" outlineLevel="0" collapsed="false">
      <c r="A30" s="364" t="n">
        <v>46338</v>
      </c>
      <c r="B30" s="347" t="n">
        <v>46338</v>
      </c>
      <c r="E30" s="349" t="n">
        <v>200</v>
      </c>
      <c r="F30" s="365"/>
    </row>
    <row r="31" customFormat="false" ht="12.75" hidden="false" customHeight="false" outlineLevel="0" collapsed="false">
      <c r="A31" s="364" t="n">
        <v>46339</v>
      </c>
      <c r="B31" s="347" t="n">
        <v>46339</v>
      </c>
      <c r="E31" s="349" t="n">
        <v>200</v>
      </c>
      <c r="F31" s="365"/>
    </row>
    <row r="32" customFormat="false" ht="12.75" hidden="false" customHeight="false" outlineLevel="0" collapsed="false">
      <c r="A32" s="364" t="n">
        <v>46340</v>
      </c>
      <c r="B32" s="347" t="n">
        <v>46340</v>
      </c>
      <c r="E32" s="349" t="n">
        <v>200</v>
      </c>
      <c r="F32" s="365"/>
    </row>
    <row r="33" customFormat="false" ht="12.75" hidden="false" customHeight="false" outlineLevel="0" collapsed="false">
      <c r="A33" s="364" t="n">
        <v>46341</v>
      </c>
      <c r="B33" s="347" t="n">
        <v>46341</v>
      </c>
      <c r="F33" s="365"/>
    </row>
    <row r="34" customFormat="false" ht="12.75" hidden="false" customHeight="false" outlineLevel="0" collapsed="false">
      <c r="A34" s="364" t="n">
        <v>46341</v>
      </c>
      <c r="B34" s="347" t="s">
        <v>244</v>
      </c>
      <c r="F34" s="365"/>
    </row>
    <row r="35" customFormat="false" ht="12.75" hidden="false" customHeight="false" outlineLevel="0" collapsed="false">
      <c r="A35" s="364" t="n">
        <v>46341</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46342</v>
      </c>
      <c r="B38" s="359" t="n">
        <v>46342</v>
      </c>
      <c r="C38" s="360"/>
      <c r="D38" s="361"/>
      <c r="E38" s="362"/>
      <c r="F38" s="363"/>
    </row>
    <row r="39" customFormat="false" ht="12.75" hidden="false" customHeight="false" outlineLevel="0" collapsed="false">
      <c r="A39" s="364" t="n">
        <v>46343</v>
      </c>
      <c r="B39" s="347" t="n">
        <v>46343</v>
      </c>
      <c r="E39" s="349" t="n">
        <v>200</v>
      </c>
      <c r="F39" s="365"/>
    </row>
    <row r="40" customFormat="false" ht="12.75" hidden="false" customHeight="false" outlineLevel="0" collapsed="false">
      <c r="A40" s="364" t="n">
        <v>46344</v>
      </c>
      <c r="B40" s="347" t="n">
        <v>46344</v>
      </c>
      <c r="E40" s="349" t="n">
        <v>200</v>
      </c>
      <c r="F40" s="365"/>
    </row>
    <row r="41" customFormat="false" ht="12.75" hidden="false" customHeight="false" outlineLevel="0" collapsed="false">
      <c r="A41" s="364" t="n">
        <v>46345</v>
      </c>
      <c r="B41" s="347" t="n">
        <v>46345</v>
      </c>
      <c r="E41" s="349" t="n">
        <v>200</v>
      </c>
      <c r="F41" s="365"/>
    </row>
    <row r="42" customFormat="false" ht="12.75" hidden="false" customHeight="false" outlineLevel="0" collapsed="false">
      <c r="A42" s="364" t="n">
        <v>46346</v>
      </c>
      <c r="B42" s="347" t="n">
        <v>46346</v>
      </c>
      <c r="E42" s="349" t="n">
        <v>200</v>
      </c>
      <c r="F42" s="365"/>
    </row>
    <row r="43" customFormat="false" ht="12.75" hidden="false" customHeight="false" outlineLevel="0" collapsed="false">
      <c r="A43" s="364" t="n">
        <v>46347</v>
      </c>
      <c r="B43" s="347" t="n">
        <v>46347</v>
      </c>
      <c r="E43" s="349" t="n">
        <v>200</v>
      </c>
      <c r="F43" s="365"/>
    </row>
    <row r="44" customFormat="false" ht="12.75" hidden="false" customHeight="false" outlineLevel="0" collapsed="false">
      <c r="A44" s="364" t="n">
        <v>46348</v>
      </c>
      <c r="B44" s="347" t="n">
        <v>46348</v>
      </c>
      <c r="F44" s="365"/>
    </row>
    <row r="45" customFormat="false" ht="12.75" hidden="false" customHeight="false" outlineLevel="0" collapsed="false">
      <c r="A45" s="364" t="n">
        <v>46348</v>
      </c>
      <c r="B45" s="347" t="s">
        <v>244</v>
      </c>
      <c r="F45" s="365"/>
    </row>
    <row r="46" customFormat="false" ht="12.75" hidden="false" customHeight="false" outlineLevel="0" collapsed="false">
      <c r="A46" s="364" t="n">
        <v>46348</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46349</v>
      </c>
      <c r="B49" s="359" t="n">
        <v>46349</v>
      </c>
      <c r="C49" s="360"/>
      <c r="D49" s="361"/>
      <c r="E49" s="362"/>
      <c r="F49" s="363"/>
    </row>
    <row r="50" customFormat="false" ht="12.75" hidden="false" customHeight="false" outlineLevel="0" collapsed="false">
      <c r="A50" s="364" t="n">
        <v>46350</v>
      </c>
      <c r="B50" s="347" t="n">
        <v>46350</v>
      </c>
      <c r="F50" s="365"/>
    </row>
    <row r="51" customFormat="false" ht="12.75" hidden="false" customHeight="false" outlineLevel="0" collapsed="false">
      <c r="A51" s="364" t="n">
        <v>46351</v>
      </c>
      <c r="B51" s="347" t="n">
        <v>46351</v>
      </c>
      <c r="F51" s="365"/>
    </row>
    <row r="52" customFormat="false" ht="12.75" hidden="false" customHeight="false" outlineLevel="0" collapsed="false">
      <c r="A52" s="364" t="n">
        <v>46352</v>
      </c>
      <c r="B52" s="347" t="n">
        <v>46352</v>
      </c>
      <c r="F52" s="365"/>
    </row>
    <row r="53" customFormat="false" ht="12.75" hidden="false" customHeight="false" outlineLevel="0" collapsed="false">
      <c r="A53" s="364" t="n">
        <v>46353</v>
      </c>
      <c r="B53" s="347" t="n">
        <v>46353</v>
      </c>
      <c r="F53" s="365"/>
    </row>
    <row r="54" customFormat="false" ht="12.75" hidden="false" customHeight="false" outlineLevel="0" collapsed="false">
      <c r="A54" s="364" t="n">
        <v>46354</v>
      </c>
      <c r="B54" s="347" t="n">
        <v>46354</v>
      </c>
      <c r="F54" s="365"/>
    </row>
    <row r="55" customFormat="false" ht="12.75" hidden="false" customHeight="false" outlineLevel="0" collapsed="false">
      <c r="A55" s="364" t="n">
        <v>46355</v>
      </c>
      <c r="B55" s="347" t="n">
        <v>46355</v>
      </c>
      <c r="F55" s="365"/>
    </row>
    <row r="56" customFormat="false" ht="12.75" hidden="false" customHeight="false" outlineLevel="0" collapsed="false">
      <c r="A56" s="364" t="n">
        <v>46355</v>
      </c>
      <c r="B56" s="347" t="s">
        <v>244</v>
      </c>
      <c r="F56" s="365"/>
    </row>
    <row r="57" customFormat="false" ht="12.75" hidden="false" customHeight="false" outlineLevel="0" collapsed="false">
      <c r="A57" s="364" t="n">
        <v>46355</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1" t="n">
        <f aca="false">E1+SalesNov!$D$1+PurchasesOct!A1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S1+PurchasesOct!T1</f>
        <v>8000</v>
      </c>
      <c r="U1" s="394" t="n">
        <f aca="false">SUM(U4:U199)</f>
        <v>0</v>
      </c>
    </row>
    <row r="2" s="181" customFormat="true" ht="13.5" hidden="false" customHeight="true" outlineLevel="0" collapsed="false">
      <c r="A2" s="396" t="n">
        <f aca="false">U1+PurchasesOct!A2</f>
        <v>0</v>
      </c>
      <c r="B2" s="240" t="s">
        <v>247</v>
      </c>
      <c r="C2" s="380" t="s">
        <v>248</v>
      </c>
      <c r="D2" s="380" t="s">
        <v>249</v>
      </c>
      <c r="E2" s="380" t="s">
        <v>250</v>
      </c>
      <c r="F2" s="207" t="s">
        <v>251</v>
      </c>
      <c r="G2" s="381" t="s">
        <v>252</v>
      </c>
      <c r="H2" s="381"/>
      <c r="I2" s="382" t="n">
        <f aca="false">G1+H1+I1+J1+PurchasesOct!I2</f>
        <v>3780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IF((A1&lt;Admin!$F$22),((A1-PurchasesOct!A1)*Admin!$G$21),(A1*Admin!$G$21-(A1-Admin!$F$21)*(Admin!$G$21-Admin!$G$22)-PurchasesOct!A2))</f>
        <v>0</v>
      </c>
    </row>
    <row r="5" s="373" customFormat="true" ht="12.75" hidden="false" customHeight="false" outlineLevel="0" collapsed="false">
      <c r="A5" s="372" t="n">
        <v>45976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46356</v>
      </c>
      <c r="B5" s="359" t="n">
        <v>46356</v>
      </c>
      <c r="C5" s="360"/>
      <c r="D5" s="361"/>
      <c r="E5" s="362"/>
      <c r="F5" s="363"/>
    </row>
    <row r="6" customFormat="false" ht="12.75" hidden="false" customHeight="false" outlineLevel="0" collapsed="false">
      <c r="A6" s="364" t="n">
        <v>46357</v>
      </c>
      <c r="B6" s="347" t="n">
        <v>46357</v>
      </c>
      <c r="E6" s="349" t="n">
        <v>200</v>
      </c>
      <c r="F6" s="365"/>
    </row>
    <row r="7" customFormat="false" ht="12.75" hidden="false" customHeight="false" outlineLevel="0" collapsed="false">
      <c r="A7" s="364" t="n">
        <v>46358</v>
      </c>
      <c r="B7" s="347" t="n">
        <v>46358</v>
      </c>
      <c r="E7" s="349" t="n">
        <v>200</v>
      </c>
      <c r="F7" s="365"/>
    </row>
    <row r="8" customFormat="false" ht="12.75" hidden="false" customHeight="false" outlineLevel="0" collapsed="false">
      <c r="A8" s="364" t="n">
        <v>46359</v>
      </c>
      <c r="B8" s="347" t="n">
        <v>46359</v>
      </c>
      <c r="E8" s="349" t="n">
        <v>200</v>
      </c>
      <c r="F8" s="365"/>
    </row>
    <row r="9" customFormat="false" ht="12.75" hidden="false" customHeight="false" outlineLevel="0" collapsed="false">
      <c r="A9" s="364" t="n">
        <v>46360</v>
      </c>
      <c r="B9" s="347" t="n">
        <v>46360</v>
      </c>
      <c r="E9" s="349" t="n">
        <v>200</v>
      </c>
      <c r="F9" s="365"/>
    </row>
    <row r="10" customFormat="false" ht="12.75" hidden="false" customHeight="false" outlineLevel="0" collapsed="false">
      <c r="A10" s="364" t="n">
        <v>46361</v>
      </c>
      <c r="B10" s="347" t="n">
        <v>46361</v>
      </c>
      <c r="E10" s="349" t="n">
        <v>200</v>
      </c>
      <c r="F10" s="365"/>
    </row>
    <row r="11" customFormat="false" ht="12.75" hidden="false" customHeight="false" outlineLevel="0" collapsed="false">
      <c r="A11" s="364" t="n">
        <v>46362</v>
      </c>
      <c r="B11" s="347" t="n">
        <v>46362</v>
      </c>
      <c r="F11" s="365"/>
    </row>
    <row r="12" customFormat="false" ht="12.75" hidden="false" customHeight="false" outlineLevel="0" collapsed="false">
      <c r="A12" s="364" t="n">
        <v>46362</v>
      </c>
      <c r="B12" s="347" t="s">
        <v>244</v>
      </c>
      <c r="F12" s="365"/>
    </row>
    <row r="13" customFormat="false" ht="12.75" hidden="false" customHeight="false" outlineLevel="0" collapsed="false">
      <c r="A13" s="364" t="n">
        <v>46362</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46363</v>
      </c>
      <c r="B16" s="359" t="n">
        <v>46363</v>
      </c>
      <c r="C16" s="360"/>
      <c r="D16" s="361"/>
      <c r="E16" s="362"/>
      <c r="F16" s="363"/>
    </row>
    <row r="17" customFormat="false" ht="12.75" hidden="false" customHeight="false" outlineLevel="0" collapsed="false">
      <c r="A17" s="364" t="n">
        <v>46364</v>
      </c>
      <c r="B17" s="347" t="n">
        <v>46364</v>
      </c>
      <c r="E17" s="349" t="n">
        <v>200</v>
      </c>
      <c r="F17" s="365"/>
    </row>
    <row r="18" customFormat="false" ht="12.75" hidden="false" customHeight="false" outlineLevel="0" collapsed="false">
      <c r="A18" s="364" t="n">
        <v>46365</v>
      </c>
      <c r="B18" s="347" t="n">
        <v>46365</v>
      </c>
      <c r="E18" s="349" t="n">
        <v>200</v>
      </c>
      <c r="F18" s="365"/>
    </row>
    <row r="19" customFormat="false" ht="12.75" hidden="false" customHeight="false" outlineLevel="0" collapsed="false">
      <c r="A19" s="364" t="n">
        <v>46366</v>
      </c>
      <c r="B19" s="347" t="n">
        <v>46366</v>
      </c>
      <c r="E19" s="349" t="n">
        <v>200</v>
      </c>
      <c r="F19" s="365"/>
    </row>
    <row r="20" customFormat="false" ht="12.75" hidden="false" customHeight="false" outlineLevel="0" collapsed="false">
      <c r="A20" s="364" t="n">
        <v>46367</v>
      </c>
      <c r="B20" s="347" t="n">
        <v>46367</v>
      </c>
      <c r="E20" s="349" t="n">
        <v>200</v>
      </c>
      <c r="F20" s="365"/>
    </row>
    <row r="21" customFormat="false" ht="12.75" hidden="false" customHeight="false" outlineLevel="0" collapsed="false">
      <c r="A21" s="364" t="n">
        <v>46368</v>
      </c>
      <c r="B21" s="347" t="n">
        <v>46368</v>
      </c>
      <c r="E21" s="349" t="n">
        <v>200</v>
      </c>
      <c r="F21" s="365"/>
    </row>
    <row r="22" customFormat="false" ht="12.75" hidden="false" customHeight="false" outlineLevel="0" collapsed="false">
      <c r="A22" s="364" t="n">
        <v>46369</v>
      </c>
      <c r="B22" s="347" t="n">
        <v>46369</v>
      </c>
      <c r="F22" s="365"/>
    </row>
    <row r="23" customFormat="false" ht="12.75" hidden="false" customHeight="false" outlineLevel="0" collapsed="false">
      <c r="A23" s="364" t="n">
        <v>46369</v>
      </c>
      <c r="B23" s="347" t="s">
        <v>244</v>
      </c>
      <c r="F23" s="365"/>
    </row>
    <row r="24" customFormat="false" ht="12.75" hidden="false" customHeight="false" outlineLevel="0" collapsed="false">
      <c r="A24" s="364" t="n">
        <v>46369</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46370</v>
      </c>
      <c r="B27" s="359" t="n">
        <v>46370</v>
      </c>
      <c r="C27" s="360"/>
      <c r="D27" s="361"/>
      <c r="E27" s="362"/>
      <c r="F27" s="363"/>
    </row>
    <row r="28" customFormat="false" ht="12.75" hidden="false" customHeight="false" outlineLevel="0" collapsed="false">
      <c r="A28" s="364" t="n">
        <v>46371</v>
      </c>
      <c r="B28" s="347" t="n">
        <v>46371</v>
      </c>
      <c r="E28" s="349" t="n">
        <v>200</v>
      </c>
      <c r="F28" s="365"/>
    </row>
    <row r="29" customFormat="false" ht="12.75" hidden="false" customHeight="false" outlineLevel="0" collapsed="false">
      <c r="A29" s="364" t="n">
        <v>46372</v>
      </c>
      <c r="B29" s="347" t="n">
        <v>46372</v>
      </c>
      <c r="E29" s="349" t="n">
        <v>200</v>
      </c>
      <c r="F29" s="365"/>
    </row>
    <row r="30" customFormat="false" ht="12.75" hidden="false" customHeight="false" outlineLevel="0" collapsed="false">
      <c r="A30" s="364" t="n">
        <v>46373</v>
      </c>
      <c r="B30" s="347" t="n">
        <v>46373</v>
      </c>
      <c r="E30" s="349" t="n">
        <v>200</v>
      </c>
      <c r="F30" s="365"/>
    </row>
    <row r="31" customFormat="false" ht="12.75" hidden="false" customHeight="false" outlineLevel="0" collapsed="false">
      <c r="A31" s="364" t="n">
        <v>46374</v>
      </c>
      <c r="B31" s="347" t="n">
        <v>46374</v>
      </c>
      <c r="E31" s="349" t="n">
        <v>200</v>
      </c>
      <c r="F31" s="365"/>
    </row>
    <row r="32" customFormat="false" ht="12.75" hidden="false" customHeight="false" outlineLevel="0" collapsed="false">
      <c r="A32" s="364" t="n">
        <v>46375</v>
      </c>
      <c r="B32" s="347" t="n">
        <v>46375</v>
      </c>
      <c r="E32" s="349" t="n">
        <v>200</v>
      </c>
      <c r="F32" s="365"/>
    </row>
    <row r="33" customFormat="false" ht="12.75" hidden="false" customHeight="false" outlineLevel="0" collapsed="false">
      <c r="A33" s="364" t="n">
        <v>46376</v>
      </c>
      <c r="B33" s="347" t="n">
        <v>46376</v>
      </c>
      <c r="F33" s="365"/>
    </row>
    <row r="34" customFormat="false" ht="12.75" hidden="false" customHeight="false" outlineLevel="0" collapsed="false">
      <c r="A34" s="364" t="n">
        <v>46376</v>
      </c>
      <c r="B34" s="347" t="s">
        <v>244</v>
      </c>
      <c r="F34" s="365"/>
    </row>
    <row r="35" customFormat="false" ht="12.75" hidden="false" customHeight="false" outlineLevel="0" collapsed="false">
      <c r="A35" s="364" t="n">
        <v>46376</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46377</v>
      </c>
      <c r="B38" s="359" t="n">
        <v>46377</v>
      </c>
      <c r="C38" s="360"/>
      <c r="D38" s="361"/>
      <c r="E38" s="362"/>
      <c r="F38" s="363"/>
    </row>
    <row r="39" customFormat="false" ht="12.75" hidden="false" customHeight="false" outlineLevel="0" collapsed="false">
      <c r="A39" s="364" t="n">
        <v>46378</v>
      </c>
      <c r="B39" s="347" t="n">
        <v>46378</v>
      </c>
      <c r="F39" s="365"/>
    </row>
    <row r="40" customFormat="false" ht="12.75" hidden="false" customHeight="false" outlineLevel="0" collapsed="false">
      <c r="A40" s="364" t="n">
        <v>46379</v>
      </c>
      <c r="B40" s="347" t="n">
        <v>46379</v>
      </c>
      <c r="F40" s="365"/>
    </row>
    <row r="41" customFormat="false" ht="12.75" hidden="false" customHeight="false" outlineLevel="0" collapsed="false">
      <c r="A41" s="364" t="n">
        <v>46380</v>
      </c>
      <c r="B41" s="347" t="n">
        <v>46380</v>
      </c>
      <c r="F41" s="365"/>
    </row>
    <row r="42" customFormat="false" ht="12.75" hidden="false" customHeight="false" outlineLevel="0" collapsed="false">
      <c r="A42" s="364" t="n">
        <v>46381</v>
      </c>
      <c r="B42" s="347" t="n">
        <v>46381</v>
      </c>
      <c r="F42" s="365"/>
    </row>
    <row r="43" customFormat="false" ht="12.75" hidden="false" customHeight="false" outlineLevel="0" collapsed="false">
      <c r="A43" s="364" t="n">
        <v>46382</v>
      </c>
      <c r="B43" s="347" t="n">
        <v>46382</v>
      </c>
      <c r="F43" s="365"/>
    </row>
    <row r="44" customFormat="false" ht="12.75" hidden="false" customHeight="false" outlineLevel="0" collapsed="false">
      <c r="A44" s="364" t="n">
        <v>46383</v>
      </c>
      <c r="B44" s="347" t="n">
        <v>46383</v>
      </c>
      <c r="F44" s="365"/>
    </row>
    <row r="45" customFormat="false" ht="12.75" hidden="false" customHeight="false" outlineLevel="0" collapsed="false">
      <c r="A45" s="364" t="n">
        <v>46383</v>
      </c>
      <c r="B45" s="347" t="s">
        <v>244</v>
      </c>
      <c r="F45" s="365"/>
    </row>
    <row r="46" customFormat="false" ht="12.75" hidden="false" customHeight="false" outlineLevel="0" collapsed="false">
      <c r="A46" s="364" t="n">
        <v>46383</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1" t="n">
        <f aca="false">E1+SalesDec!$D$1+PurchasesNov!A1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S1+PurchasesNov!T1</f>
        <v>8000</v>
      </c>
      <c r="U1" s="394" t="n">
        <f aca="false">SUM(U4:U199)</f>
        <v>0</v>
      </c>
    </row>
    <row r="2" s="181" customFormat="true" ht="13.5" hidden="false" customHeight="true" outlineLevel="0" collapsed="false">
      <c r="A2" s="396" t="n">
        <f aca="false">U1+PurchasesNov!A2</f>
        <v>0</v>
      </c>
      <c r="B2" s="240" t="s">
        <v>247</v>
      </c>
      <c r="C2" s="380" t="s">
        <v>248</v>
      </c>
      <c r="D2" s="380" t="s">
        <v>249</v>
      </c>
      <c r="E2" s="380" t="s">
        <v>250</v>
      </c>
      <c r="F2" s="207" t="s">
        <v>251</v>
      </c>
      <c r="G2" s="381" t="s">
        <v>252</v>
      </c>
      <c r="H2" s="381"/>
      <c r="I2" s="382" t="n">
        <f aca="false">G1+H1+I1+J1+PurchasesNov!I2</f>
        <v>4080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IF((A1&lt;Admin!$F$22),((A1-PurchasesNov!A1)*Admin!$G$21),(A1*Admin!$G$21-(A1-Admin!$F$21)*(Admin!$G$21-Admin!$G$22)-PurchasesNov!A2))</f>
        <v>0</v>
      </c>
    </row>
    <row r="5" s="373" customFormat="true" ht="12.75" hidden="false" customHeight="false" outlineLevel="0" collapsed="false">
      <c r="A5" s="372" t="n">
        <v>46006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46384</v>
      </c>
      <c r="B5" s="359" t="n">
        <v>46384</v>
      </c>
      <c r="C5" s="360"/>
      <c r="D5" s="361"/>
      <c r="E5" s="362"/>
      <c r="F5" s="363"/>
    </row>
    <row r="6" customFormat="false" ht="12.75" hidden="false" customHeight="false" outlineLevel="0" collapsed="false">
      <c r="A6" s="364" t="n">
        <v>46385</v>
      </c>
      <c r="B6" s="347" t="n">
        <v>46385</v>
      </c>
      <c r="F6" s="365"/>
    </row>
    <row r="7" customFormat="false" ht="12.75" hidden="false" customHeight="false" outlineLevel="0" collapsed="false">
      <c r="A7" s="364" t="n">
        <v>46386</v>
      </c>
      <c r="B7" s="347" t="n">
        <v>46386</v>
      </c>
      <c r="F7" s="365"/>
    </row>
    <row r="8" customFormat="false" ht="12.75" hidden="false" customHeight="false" outlineLevel="0" collapsed="false">
      <c r="A8" s="364" t="n">
        <v>46387</v>
      </c>
      <c r="B8" s="347" t="n">
        <v>46387</v>
      </c>
      <c r="F8" s="365"/>
    </row>
    <row r="9" customFormat="false" ht="12.75" hidden="false" customHeight="false" outlineLevel="0" collapsed="false">
      <c r="A9" s="364" t="n">
        <v>46388</v>
      </c>
      <c r="B9" s="347" t="n">
        <v>46388</v>
      </c>
      <c r="F9" s="365"/>
    </row>
    <row r="10" customFormat="false" ht="12.75" hidden="false" customHeight="false" outlineLevel="0" collapsed="false">
      <c r="A10" s="364" t="n">
        <v>46389</v>
      </c>
      <c r="B10" s="347" t="n">
        <v>46389</v>
      </c>
      <c r="F10" s="365"/>
    </row>
    <row r="11" customFormat="false" ht="12.75" hidden="false" customHeight="false" outlineLevel="0" collapsed="false">
      <c r="A11" s="364" t="n">
        <v>46390</v>
      </c>
      <c r="B11" s="347" t="n">
        <v>46390</v>
      </c>
      <c r="F11" s="365"/>
    </row>
    <row r="12" customFormat="false" ht="12.75" hidden="false" customHeight="false" outlineLevel="0" collapsed="false">
      <c r="A12" s="364" t="n">
        <v>46390</v>
      </c>
      <c r="B12" s="347" t="s">
        <v>244</v>
      </c>
      <c r="F12" s="365"/>
    </row>
    <row r="13" customFormat="false" ht="12.75" hidden="false" customHeight="false" outlineLevel="0" collapsed="false">
      <c r="A13" s="364" t="n">
        <v>46390</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46391</v>
      </c>
      <c r="B16" s="359" t="n">
        <v>46391</v>
      </c>
      <c r="C16" s="360"/>
      <c r="D16" s="361"/>
      <c r="E16" s="362"/>
      <c r="F16" s="363"/>
    </row>
    <row r="17" customFormat="false" ht="12.75" hidden="false" customHeight="false" outlineLevel="0" collapsed="false">
      <c r="A17" s="364" t="n">
        <v>46392</v>
      </c>
      <c r="B17" s="347" t="n">
        <v>46392</v>
      </c>
      <c r="E17" s="349" t="n">
        <v>200</v>
      </c>
      <c r="F17" s="365"/>
    </row>
    <row r="18" customFormat="false" ht="12.75" hidden="false" customHeight="false" outlineLevel="0" collapsed="false">
      <c r="A18" s="364" t="n">
        <v>46393</v>
      </c>
      <c r="B18" s="347" t="n">
        <v>46393</v>
      </c>
      <c r="E18" s="349" t="n">
        <v>200</v>
      </c>
      <c r="F18" s="365"/>
    </row>
    <row r="19" customFormat="false" ht="12.75" hidden="false" customHeight="false" outlineLevel="0" collapsed="false">
      <c r="A19" s="364" t="n">
        <v>46394</v>
      </c>
      <c r="B19" s="347" t="n">
        <v>46394</v>
      </c>
      <c r="E19" s="349" t="n">
        <v>200</v>
      </c>
      <c r="F19" s="365"/>
    </row>
    <row r="20" customFormat="false" ht="12.75" hidden="false" customHeight="false" outlineLevel="0" collapsed="false">
      <c r="A20" s="364" t="n">
        <v>46395</v>
      </c>
      <c r="B20" s="347" t="n">
        <v>46395</v>
      </c>
      <c r="E20" s="349" t="n">
        <v>200</v>
      </c>
      <c r="F20" s="365"/>
    </row>
    <row r="21" customFormat="false" ht="12.75" hidden="false" customHeight="false" outlineLevel="0" collapsed="false">
      <c r="A21" s="364" t="n">
        <v>46396</v>
      </c>
      <c r="B21" s="347" t="n">
        <v>46396</v>
      </c>
      <c r="E21" s="349" t="n">
        <v>200</v>
      </c>
      <c r="F21" s="365"/>
    </row>
    <row r="22" customFormat="false" ht="12.75" hidden="false" customHeight="false" outlineLevel="0" collapsed="false">
      <c r="A22" s="364" t="n">
        <v>46397</v>
      </c>
      <c r="B22" s="347" t="n">
        <v>46397</v>
      </c>
      <c r="F22" s="365"/>
    </row>
    <row r="23" customFormat="false" ht="12.75" hidden="false" customHeight="false" outlineLevel="0" collapsed="false">
      <c r="A23" s="364" t="n">
        <v>46397</v>
      </c>
      <c r="B23" s="347" t="s">
        <v>244</v>
      </c>
      <c r="F23" s="365"/>
    </row>
    <row r="24" customFormat="false" ht="12.75" hidden="false" customHeight="false" outlineLevel="0" collapsed="false">
      <c r="A24" s="364" t="n">
        <v>46397</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46398</v>
      </c>
      <c r="B27" s="359" t="n">
        <v>46398</v>
      </c>
      <c r="C27" s="360"/>
      <c r="D27" s="361"/>
      <c r="E27" s="362"/>
      <c r="F27" s="363"/>
    </row>
    <row r="28" customFormat="false" ht="12.75" hidden="false" customHeight="false" outlineLevel="0" collapsed="false">
      <c r="A28" s="364" t="n">
        <v>46399</v>
      </c>
      <c r="B28" s="347" t="n">
        <v>46399</v>
      </c>
      <c r="E28" s="349" t="n">
        <v>200</v>
      </c>
      <c r="F28" s="365"/>
    </row>
    <row r="29" customFormat="false" ht="12.75" hidden="false" customHeight="false" outlineLevel="0" collapsed="false">
      <c r="A29" s="364" t="n">
        <v>46400</v>
      </c>
      <c r="B29" s="347" t="n">
        <v>46400</v>
      </c>
      <c r="E29" s="349" t="n">
        <v>200</v>
      </c>
      <c r="F29" s="365"/>
    </row>
    <row r="30" customFormat="false" ht="12.75" hidden="false" customHeight="false" outlineLevel="0" collapsed="false">
      <c r="A30" s="364" t="n">
        <v>46401</v>
      </c>
      <c r="B30" s="347" t="n">
        <v>46401</v>
      </c>
      <c r="E30" s="349" t="n">
        <v>200</v>
      </c>
      <c r="F30" s="365"/>
    </row>
    <row r="31" customFormat="false" ht="12.75" hidden="false" customHeight="false" outlineLevel="0" collapsed="false">
      <c r="A31" s="364" t="n">
        <v>46402</v>
      </c>
      <c r="B31" s="347" t="n">
        <v>46402</v>
      </c>
      <c r="E31" s="349" t="n">
        <v>200</v>
      </c>
      <c r="F31" s="365"/>
    </row>
    <row r="32" customFormat="false" ht="12.75" hidden="false" customHeight="false" outlineLevel="0" collapsed="false">
      <c r="A32" s="364" t="n">
        <v>46403</v>
      </c>
      <c r="B32" s="347" t="n">
        <v>46403</v>
      </c>
      <c r="E32" s="349" t="n">
        <v>200</v>
      </c>
      <c r="F32" s="365"/>
    </row>
    <row r="33" customFormat="false" ht="12.75" hidden="false" customHeight="false" outlineLevel="0" collapsed="false">
      <c r="A33" s="364" t="n">
        <v>46404</v>
      </c>
      <c r="B33" s="347" t="n">
        <v>46404</v>
      </c>
      <c r="F33" s="365"/>
    </row>
    <row r="34" customFormat="false" ht="12.75" hidden="false" customHeight="false" outlineLevel="0" collapsed="false">
      <c r="A34" s="364" t="n">
        <v>46404</v>
      </c>
      <c r="B34" s="347" t="s">
        <v>244</v>
      </c>
      <c r="F34" s="365"/>
    </row>
    <row r="35" customFormat="false" ht="12.75" hidden="false" customHeight="false" outlineLevel="0" collapsed="false">
      <c r="A35" s="364" t="n">
        <v>46404</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46405</v>
      </c>
      <c r="B38" s="359" t="n">
        <v>46405</v>
      </c>
      <c r="C38" s="360"/>
      <c r="D38" s="361"/>
      <c r="E38" s="362"/>
      <c r="F38" s="363"/>
    </row>
    <row r="39" customFormat="false" ht="12.75" hidden="false" customHeight="false" outlineLevel="0" collapsed="false">
      <c r="A39" s="364" t="n">
        <v>46406</v>
      </c>
      <c r="B39" s="347" t="n">
        <v>46406</v>
      </c>
      <c r="E39" s="349" t="n">
        <v>200</v>
      </c>
      <c r="F39" s="365"/>
    </row>
    <row r="40" customFormat="false" ht="12.75" hidden="false" customHeight="false" outlineLevel="0" collapsed="false">
      <c r="A40" s="364" t="n">
        <v>46407</v>
      </c>
      <c r="B40" s="347" t="n">
        <v>46407</v>
      </c>
      <c r="E40" s="349" t="n">
        <v>200</v>
      </c>
      <c r="F40" s="365"/>
    </row>
    <row r="41" customFormat="false" ht="12.75" hidden="false" customHeight="false" outlineLevel="0" collapsed="false">
      <c r="A41" s="364" t="n">
        <v>46408</v>
      </c>
      <c r="B41" s="347" t="n">
        <v>46408</v>
      </c>
      <c r="E41" s="349" t="n">
        <v>200</v>
      </c>
      <c r="F41" s="365"/>
    </row>
    <row r="42" customFormat="false" ht="12.75" hidden="false" customHeight="false" outlineLevel="0" collapsed="false">
      <c r="A42" s="364" t="n">
        <v>46409</v>
      </c>
      <c r="B42" s="347" t="n">
        <v>46409</v>
      </c>
      <c r="E42" s="349" t="n">
        <v>200</v>
      </c>
      <c r="F42" s="365"/>
    </row>
    <row r="43" customFormat="false" ht="12.75" hidden="false" customHeight="false" outlineLevel="0" collapsed="false">
      <c r="A43" s="364" t="n">
        <v>46410</v>
      </c>
      <c r="B43" s="347" t="n">
        <v>46410</v>
      </c>
      <c r="E43" s="349" t="n">
        <v>200</v>
      </c>
      <c r="F43" s="365"/>
    </row>
    <row r="44" customFormat="false" ht="12.75" hidden="false" customHeight="false" outlineLevel="0" collapsed="false">
      <c r="A44" s="364" t="n">
        <v>46411</v>
      </c>
      <c r="B44" s="347" t="n">
        <v>46411</v>
      </c>
      <c r="F44" s="365"/>
    </row>
    <row r="45" customFormat="false" ht="12.75" hidden="false" customHeight="false" outlineLevel="0" collapsed="false">
      <c r="A45" s="364" t="n">
        <v>46411</v>
      </c>
      <c r="B45" s="347" t="s">
        <v>244</v>
      </c>
      <c r="F45" s="365"/>
    </row>
    <row r="46" customFormat="false" ht="12.75" hidden="false" customHeight="false" outlineLevel="0" collapsed="false">
      <c r="A46" s="364" t="n">
        <v>46411</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46412</v>
      </c>
      <c r="B49" s="359" t="n">
        <v>46412</v>
      </c>
      <c r="C49" s="360"/>
      <c r="D49" s="361"/>
      <c r="E49" s="362"/>
      <c r="F49" s="363"/>
    </row>
    <row r="50" customFormat="false" ht="12.75" hidden="false" customHeight="false" outlineLevel="0" collapsed="false">
      <c r="A50" s="364" t="n">
        <v>46413</v>
      </c>
      <c r="B50" s="347" t="n">
        <v>46413</v>
      </c>
      <c r="F50" s="365"/>
    </row>
    <row r="51" customFormat="false" ht="12.75" hidden="false" customHeight="false" outlineLevel="0" collapsed="false">
      <c r="A51" s="364" t="n">
        <v>46414</v>
      </c>
      <c r="B51" s="347" t="n">
        <v>46414</v>
      </c>
      <c r="F51" s="365"/>
    </row>
    <row r="52" customFormat="false" ht="12.75" hidden="false" customHeight="false" outlineLevel="0" collapsed="false">
      <c r="A52" s="364" t="n">
        <v>46415</v>
      </c>
      <c r="B52" s="347" t="n">
        <v>46415</v>
      </c>
      <c r="F52" s="365"/>
    </row>
    <row r="53" customFormat="false" ht="12.75" hidden="false" customHeight="false" outlineLevel="0" collapsed="false">
      <c r="A53" s="364" t="n">
        <v>46416</v>
      </c>
      <c r="B53" s="347" t="n">
        <v>46416</v>
      </c>
      <c r="F53" s="365"/>
    </row>
    <row r="54" customFormat="false" ht="12.75" hidden="false" customHeight="false" outlineLevel="0" collapsed="false">
      <c r="A54" s="364" t="n">
        <v>46417</v>
      </c>
      <c r="B54" s="347" t="n">
        <v>46417</v>
      </c>
      <c r="F54" s="365"/>
    </row>
    <row r="55" customFormat="false" ht="12.75" hidden="false" customHeight="false" outlineLevel="0" collapsed="false">
      <c r="A55" s="364" t="n">
        <v>46418</v>
      </c>
      <c r="B55" s="347" t="n">
        <v>46418</v>
      </c>
      <c r="F55" s="365"/>
    </row>
    <row r="56" customFormat="false" ht="12.75" hidden="false" customHeight="false" outlineLevel="0" collapsed="false">
      <c r="A56" s="364" t="n">
        <v>46418</v>
      </c>
      <c r="B56" s="347" t="s">
        <v>244</v>
      </c>
      <c r="F56" s="365"/>
    </row>
    <row r="57" customFormat="false" ht="12.75" hidden="false" customHeight="false" outlineLevel="0" collapsed="false">
      <c r="A57" s="364" t="n">
        <v>46418</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E1+SalesJan!$D$1+PurchasesDec!A1</f>
        <v>0</v>
      </c>
      <c r="B1" s="392" t="s">
        <v>246</v>
      </c>
      <c r="C1" s="393" t="s">
        <v>239</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4" t="n">
        <f aca="false">SUM(S5:S199)</f>
        <v>0</v>
      </c>
      <c r="T1" s="395" t="n">
        <f aca="false">S1+PurchasesDec!T1</f>
        <v>8000</v>
      </c>
      <c r="U1" s="394" t="n">
        <f aca="false">SUM(U4:U199)</f>
        <v>0</v>
      </c>
    </row>
    <row r="2" s="181" customFormat="true" ht="13.5" hidden="false" customHeight="true" outlineLevel="0" collapsed="false">
      <c r="A2" s="396" t="n">
        <f aca="false">U1+PurchasesDec!A2</f>
        <v>0</v>
      </c>
      <c r="B2" s="240" t="s">
        <v>247</v>
      </c>
      <c r="C2" s="380" t="s">
        <v>248</v>
      </c>
      <c r="D2" s="380" t="s">
        <v>249</v>
      </c>
      <c r="E2" s="380" t="s">
        <v>250</v>
      </c>
      <c r="F2" s="207" t="s">
        <v>251</v>
      </c>
      <c r="G2" s="381" t="s">
        <v>252</v>
      </c>
      <c r="H2" s="381"/>
      <c r="I2" s="382" t="n">
        <f aca="false">G1+H1+I1+J1+PurchasesDec!I2</f>
        <v>4380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IF((A1&lt;Admin!$F$22),((A1-PurchasesDec!A1)*Admin!$G$21),(A1*Admin!$G$21-(A1-Admin!$F$21)*(Admin!$G$21-Admin!$G$22)-PurchasesDec!A2))</f>
        <v>0</v>
      </c>
    </row>
    <row r="5" s="373" customFormat="true" ht="12.75" hidden="false" customHeight="false" outlineLevel="0" collapsed="false">
      <c r="A5" s="372" t="n">
        <v>46037</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289</v>
      </c>
      <c r="D7" s="373" t="s">
        <v>286</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46419</v>
      </c>
      <c r="B5" s="359" t="n">
        <v>46419</v>
      </c>
      <c r="C5" s="360"/>
      <c r="D5" s="361"/>
      <c r="E5" s="362"/>
      <c r="F5" s="363"/>
    </row>
    <row r="6" customFormat="false" ht="12.75" hidden="false" customHeight="false" outlineLevel="0" collapsed="false">
      <c r="A6" s="364" t="n">
        <v>46420</v>
      </c>
      <c r="B6" s="347" t="n">
        <v>46420</v>
      </c>
      <c r="E6" s="349" t="n">
        <v>200</v>
      </c>
      <c r="F6" s="365"/>
    </row>
    <row r="7" customFormat="false" ht="12.75" hidden="false" customHeight="false" outlineLevel="0" collapsed="false">
      <c r="A7" s="364" t="n">
        <v>46421</v>
      </c>
      <c r="B7" s="347" t="n">
        <v>46421</v>
      </c>
      <c r="E7" s="349" t="n">
        <v>200</v>
      </c>
      <c r="F7" s="365"/>
    </row>
    <row r="8" customFormat="false" ht="12.75" hidden="false" customHeight="false" outlineLevel="0" collapsed="false">
      <c r="A8" s="364" t="n">
        <v>46422</v>
      </c>
      <c r="B8" s="347" t="n">
        <v>46422</v>
      </c>
      <c r="E8" s="349" t="n">
        <v>200</v>
      </c>
      <c r="F8" s="365"/>
    </row>
    <row r="9" customFormat="false" ht="12.75" hidden="false" customHeight="false" outlineLevel="0" collapsed="false">
      <c r="A9" s="364" t="n">
        <v>46423</v>
      </c>
      <c r="B9" s="347" t="n">
        <v>46423</v>
      </c>
      <c r="E9" s="349" t="n">
        <v>200</v>
      </c>
      <c r="F9" s="365"/>
    </row>
    <row r="10" customFormat="false" ht="12.75" hidden="false" customHeight="false" outlineLevel="0" collapsed="false">
      <c r="A10" s="364" t="n">
        <v>46424</v>
      </c>
      <c r="B10" s="347" t="n">
        <v>46424</v>
      </c>
      <c r="E10" s="349" t="n">
        <v>200</v>
      </c>
      <c r="F10" s="365"/>
    </row>
    <row r="11" customFormat="false" ht="12.75" hidden="false" customHeight="false" outlineLevel="0" collapsed="false">
      <c r="A11" s="364" t="n">
        <v>46425</v>
      </c>
      <c r="B11" s="347" t="n">
        <v>46425</v>
      </c>
      <c r="F11" s="365"/>
    </row>
    <row r="12" customFormat="false" ht="12.75" hidden="false" customHeight="false" outlineLevel="0" collapsed="false">
      <c r="A12" s="364" t="n">
        <v>46425</v>
      </c>
      <c r="B12" s="347" t="s">
        <v>244</v>
      </c>
      <c r="F12" s="365"/>
    </row>
    <row r="13" customFormat="false" ht="12.75" hidden="false" customHeight="false" outlineLevel="0" collapsed="false">
      <c r="A13" s="364" t="n">
        <v>46425</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46426</v>
      </c>
      <c r="B16" s="359" t="n">
        <v>46426</v>
      </c>
      <c r="C16" s="360"/>
      <c r="D16" s="361"/>
      <c r="E16" s="362"/>
      <c r="F16" s="363"/>
    </row>
    <row r="17" customFormat="false" ht="12.75" hidden="false" customHeight="false" outlineLevel="0" collapsed="false">
      <c r="A17" s="364" t="n">
        <v>46427</v>
      </c>
      <c r="B17" s="347" t="n">
        <v>46427</v>
      </c>
      <c r="E17" s="349" t="n">
        <v>200</v>
      </c>
      <c r="F17" s="365"/>
    </row>
    <row r="18" customFormat="false" ht="12.75" hidden="false" customHeight="false" outlineLevel="0" collapsed="false">
      <c r="A18" s="364" t="n">
        <v>46428</v>
      </c>
      <c r="B18" s="347" t="n">
        <v>46428</v>
      </c>
      <c r="E18" s="349" t="n">
        <v>200</v>
      </c>
      <c r="F18" s="365"/>
    </row>
    <row r="19" customFormat="false" ht="12.75" hidden="false" customHeight="false" outlineLevel="0" collapsed="false">
      <c r="A19" s="364" t="n">
        <v>46429</v>
      </c>
      <c r="B19" s="347" t="n">
        <v>46429</v>
      </c>
      <c r="E19" s="349" t="n">
        <v>200</v>
      </c>
      <c r="F19" s="365"/>
    </row>
    <row r="20" customFormat="false" ht="12.75" hidden="false" customHeight="false" outlineLevel="0" collapsed="false">
      <c r="A20" s="364" t="n">
        <v>46430</v>
      </c>
      <c r="B20" s="347" t="n">
        <v>46430</v>
      </c>
      <c r="E20" s="349" t="n">
        <v>200</v>
      </c>
      <c r="F20" s="365"/>
    </row>
    <row r="21" customFormat="false" ht="12.75" hidden="false" customHeight="false" outlineLevel="0" collapsed="false">
      <c r="A21" s="364" t="n">
        <v>46431</v>
      </c>
      <c r="B21" s="347" t="n">
        <v>46431</v>
      </c>
      <c r="E21" s="349" t="n">
        <v>200</v>
      </c>
      <c r="F21" s="365"/>
    </row>
    <row r="22" customFormat="false" ht="12.75" hidden="false" customHeight="false" outlineLevel="0" collapsed="false">
      <c r="A22" s="364" t="n">
        <v>46432</v>
      </c>
      <c r="B22" s="347" t="n">
        <v>46432</v>
      </c>
      <c r="F22" s="365"/>
    </row>
    <row r="23" customFormat="false" ht="12.75" hidden="false" customHeight="false" outlineLevel="0" collapsed="false">
      <c r="A23" s="364" t="n">
        <v>46432</v>
      </c>
      <c r="B23" s="347" t="s">
        <v>244</v>
      </c>
      <c r="F23" s="365"/>
    </row>
    <row r="24" customFormat="false" ht="12.75" hidden="false" customHeight="false" outlineLevel="0" collapsed="false">
      <c r="A24" s="364" t="n">
        <v>46432</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46433</v>
      </c>
      <c r="B27" s="359" t="n">
        <v>46433</v>
      </c>
      <c r="C27" s="360"/>
      <c r="D27" s="361"/>
      <c r="E27" s="362"/>
      <c r="F27" s="363"/>
    </row>
    <row r="28" customFormat="false" ht="12.75" hidden="false" customHeight="false" outlineLevel="0" collapsed="false">
      <c r="A28" s="364" t="n">
        <v>46434</v>
      </c>
      <c r="B28" s="347" t="n">
        <v>46434</v>
      </c>
      <c r="E28" s="349" t="n">
        <v>200</v>
      </c>
      <c r="F28" s="365"/>
    </row>
    <row r="29" customFormat="false" ht="12.75" hidden="false" customHeight="false" outlineLevel="0" collapsed="false">
      <c r="A29" s="364" t="n">
        <v>46435</v>
      </c>
      <c r="B29" s="347" t="n">
        <v>46435</v>
      </c>
      <c r="E29" s="349" t="n">
        <v>200</v>
      </c>
      <c r="F29" s="365"/>
    </row>
    <row r="30" customFormat="false" ht="12.75" hidden="false" customHeight="false" outlineLevel="0" collapsed="false">
      <c r="A30" s="364" t="n">
        <v>46436</v>
      </c>
      <c r="B30" s="347" t="n">
        <v>46436</v>
      </c>
      <c r="E30" s="349" t="n">
        <v>200</v>
      </c>
      <c r="F30" s="365"/>
    </row>
    <row r="31" customFormat="false" ht="12.75" hidden="false" customHeight="false" outlineLevel="0" collapsed="false">
      <c r="A31" s="364" t="n">
        <v>46437</v>
      </c>
      <c r="B31" s="347" t="n">
        <v>46437</v>
      </c>
      <c r="E31" s="349" t="n">
        <v>200</v>
      </c>
      <c r="F31" s="365"/>
    </row>
    <row r="32" customFormat="false" ht="12.75" hidden="false" customHeight="false" outlineLevel="0" collapsed="false">
      <c r="A32" s="364" t="n">
        <v>46438</v>
      </c>
      <c r="B32" s="347" t="n">
        <v>46438</v>
      </c>
      <c r="E32" s="349" t="n">
        <v>200</v>
      </c>
      <c r="F32" s="365"/>
    </row>
    <row r="33" customFormat="false" ht="12.75" hidden="false" customHeight="false" outlineLevel="0" collapsed="false">
      <c r="A33" s="364" t="n">
        <v>46439</v>
      </c>
      <c r="B33" s="347" t="n">
        <v>46439</v>
      </c>
      <c r="F33" s="365"/>
    </row>
    <row r="34" customFormat="false" ht="12.75" hidden="false" customHeight="false" outlineLevel="0" collapsed="false">
      <c r="A34" s="364" t="n">
        <v>46439</v>
      </c>
      <c r="B34" s="347" t="s">
        <v>244</v>
      </c>
      <c r="F34" s="365"/>
    </row>
    <row r="35" customFormat="false" ht="12.75" hidden="false" customHeight="false" outlineLevel="0" collapsed="false">
      <c r="A35" s="364" t="n">
        <v>46439</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46440</v>
      </c>
      <c r="B38" s="359" t="n">
        <v>46440</v>
      </c>
      <c r="C38" s="360"/>
      <c r="D38" s="361"/>
      <c r="E38" s="362"/>
      <c r="F38" s="363"/>
    </row>
    <row r="39" customFormat="false" ht="12.75" hidden="false" customHeight="false" outlineLevel="0" collapsed="false">
      <c r="A39" s="364" t="n">
        <v>46441</v>
      </c>
      <c r="B39" s="347" t="n">
        <v>46441</v>
      </c>
      <c r="F39" s="365"/>
    </row>
    <row r="40" customFormat="false" ht="12.75" hidden="false" customHeight="false" outlineLevel="0" collapsed="false">
      <c r="A40" s="364" t="n">
        <v>46442</v>
      </c>
      <c r="B40" s="347" t="n">
        <v>46442</v>
      </c>
      <c r="F40" s="365"/>
    </row>
    <row r="41" customFormat="false" ht="12.75" hidden="false" customHeight="false" outlineLevel="0" collapsed="false">
      <c r="A41" s="364" t="n">
        <v>46443</v>
      </c>
      <c r="B41" s="347" t="n">
        <v>46443</v>
      </c>
      <c r="F41" s="365"/>
    </row>
    <row r="42" customFormat="false" ht="12.75" hidden="false" customHeight="false" outlineLevel="0" collapsed="false">
      <c r="A42" s="364" t="n">
        <v>46444</v>
      </c>
      <c r="B42" s="347" t="n">
        <v>46444</v>
      </c>
      <c r="F42" s="365"/>
    </row>
    <row r="43" customFormat="false" ht="12.75" hidden="false" customHeight="false" outlineLevel="0" collapsed="false">
      <c r="A43" s="364" t="n">
        <v>46445</v>
      </c>
      <c r="B43" s="347" t="n">
        <v>46445</v>
      </c>
      <c r="F43" s="365"/>
    </row>
    <row r="44" customFormat="false" ht="12.75" hidden="false" customHeight="false" outlineLevel="0" collapsed="false">
      <c r="A44" s="364" t="n">
        <v>46446</v>
      </c>
      <c r="B44" s="347" t="n">
        <v>46446</v>
      </c>
      <c r="F44" s="365"/>
    </row>
    <row r="45" customFormat="false" ht="12.75" hidden="false" customHeight="false" outlineLevel="0" collapsed="false">
      <c r="A45" s="364" t="n">
        <v>46446</v>
      </c>
      <c r="B45" s="347" t="s">
        <v>244</v>
      </c>
      <c r="F45" s="365"/>
    </row>
    <row r="46" customFormat="false" ht="12.75" hidden="false" customHeight="false" outlineLevel="0" collapsed="false">
      <c r="A46" s="364" t="n">
        <v>46446</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E1+SalesFeb!$D$1+PurchasesJan!A1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S1+PurchasesJan!T1</f>
        <v>8000</v>
      </c>
      <c r="U1" s="394" t="n">
        <f aca="false">SUM(U4:U199)</f>
        <v>0</v>
      </c>
    </row>
    <row r="2" s="181" customFormat="true" ht="13.5" hidden="false" customHeight="true" outlineLevel="0" collapsed="false">
      <c r="A2" s="396" t="n">
        <f aca="false">U1+PurchasesJan!A2</f>
        <v>0</v>
      </c>
      <c r="B2" s="240" t="s">
        <v>247</v>
      </c>
      <c r="C2" s="380" t="s">
        <v>248</v>
      </c>
      <c r="D2" s="380" t="s">
        <v>249</v>
      </c>
      <c r="E2" s="380" t="s">
        <v>250</v>
      </c>
      <c r="F2" s="207" t="s">
        <v>251</v>
      </c>
      <c r="G2" s="381" t="s">
        <v>252</v>
      </c>
      <c r="H2" s="381"/>
      <c r="I2" s="382" t="n">
        <f aca="false">G1+H1+I1+J1+PurchasesJan!I2</f>
        <v>4680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IF((A1&lt;Admin!$F$22),((A1-PurchasesJan!A1)*Admin!$G$21),(A1*Admin!$G$21-(A1-Admin!$F$21)*(Admin!$G$21-Admin!$G$22)-PurchasesJan!A2))</f>
        <v>0</v>
      </c>
    </row>
    <row r="5" s="373" customFormat="true" ht="12.75" hidden="false" customHeight="false" outlineLevel="0" collapsed="false">
      <c r="A5" s="372" t="n">
        <v>46068</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237</v>
      </c>
      <c r="B1" s="351" t="s">
        <v>238</v>
      </c>
      <c r="C1" s="352" t="s">
        <v>239</v>
      </c>
      <c r="D1" s="353" t="n">
        <f aca="false">SUM(D4:D63)</f>
        <v>0</v>
      </c>
      <c r="E1" s="352" t="n">
        <f aca="false">SUM(E4:E63)/2</f>
        <v>3000</v>
      </c>
      <c r="F1" s="352" t="n">
        <f aca="false">SUM(F4:F63)/2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46447</v>
      </c>
      <c r="B5" s="359" t="n">
        <v>46447</v>
      </c>
      <c r="C5" s="360"/>
      <c r="D5" s="361"/>
      <c r="E5" s="362"/>
      <c r="F5" s="363"/>
    </row>
    <row r="6" customFormat="false" ht="12.75" hidden="false" customHeight="false" outlineLevel="0" collapsed="false">
      <c r="A6" s="364" t="n">
        <v>46448</v>
      </c>
      <c r="B6" s="347" t="n">
        <v>46448</v>
      </c>
      <c r="E6" s="181" t="n">
        <v>200</v>
      </c>
      <c r="F6" s="365"/>
    </row>
    <row r="7" customFormat="false" ht="12.75" hidden="false" customHeight="false" outlineLevel="0" collapsed="false">
      <c r="A7" s="364" t="n">
        <v>46449</v>
      </c>
      <c r="B7" s="347" t="n">
        <v>46449</v>
      </c>
      <c r="E7" s="181" t="n">
        <v>200</v>
      </c>
      <c r="F7" s="365"/>
    </row>
    <row r="8" customFormat="false" ht="12.75" hidden="false" customHeight="false" outlineLevel="0" collapsed="false">
      <c r="A8" s="364" t="n">
        <v>46450</v>
      </c>
      <c r="B8" s="347" t="n">
        <v>46450</v>
      </c>
      <c r="E8" s="181" t="n">
        <v>200</v>
      </c>
      <c r="F8" s="365"/>
    </row>
    <row r="9" customFormat="false" ht="12.75" hidden="false" customHeight="false" outlineLevel="0" collapsed="false">
      <c r="A9" s="364" t="n">
        <v>46451</v>
      </c>
      <c r="B9" s="347" t="n">
        <v>46451</v>
      </c>
      <c r="E9" s="181" t="n">
        <v>200</v>
      </c>
      <c r="F9" s="365"/>
    </row>
    <row r="10" customFormat="false" ht="12.75" hidden="false" customHeight="false" outlineLevel="0" collapsed="false">
      <c r="A10" s="364" t="n">
        <v>46452</v>
      </c>
      <c r="B10" s="347" t="n">
        <v>46452</v>
      </c>
      <c r="E10" s="181" t="n">
        <v>200</v>
      </c>
      <c r="F10" s="365"/>
    </row>
    <row r="11" customFormat="false" ht="12.75" hidden="false" customHeight="false" outlineLevel="0" collapsed="false">
      <c r="A11" s="364" t="n">
        <v>46453</v>
      </c>
      <c r="B11" s="347" t="n">
        <v>46453</v>
      </c>
      <c r="F11" s="365"/>
    </row>
    <row r="12" customFormat="false" ht="12.75" hidden="false" customHeight="false" outlineLevel="0" collapsed="false">
      <c r="A12" s="364" t="n">
        <v>46453</v>
      </c>
      <c r="B12" s="347" t="s">
        <v>244</v>
      </c>
      <c r="F12" s="365"/>
    </row>
    <row r="13" customFormat="false" ht="12.75" hidden="false" customHeight="false" outlineLevel="0" collapsed="false">
      <c r="A13" s="364" t="n">
        <v>46453</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46454</v>
      </c>
      <c r="B16" s="359" t="n">
        <v>46454</v>
      </c>
      <c r="C16" s="360"/>
      <c r="D16" s="361"/>
      <c r="E16" s="362"/>
      <c r="F16" s="363"/>
    </row>
    <row r="17" customFormat="false" ht="12.75" hidden="false" customHeight="false" outlineLevel="0" collapsed="false">
      <c r="A17" s="364" t="n">
        <v>46455</v>
      </c>
      <c r="B17" s="347" t="n">
        <v>46455</v>
      </c>
      <c r="E17" s="181" t="n">
        <v>200</v>
      </c>
      <c r="F17" s="365"/>
    </row>
    <row r="18" customFormat="false" ht="12.75" hidden="false" customHeight="false" outlineLevel="0" collapsed="false">
      <c r="A18" s="364" t="n">
        <v>46456</v>
      </c>
      <c r="B18" s="347" t="n">
        <v>46456</v>
      </c>
      <c r="E18" s="181" t="n">
        <v>200</v>
      </c>
      <c r="F18" s="365"/>
    </row>
    <row r="19" customFormat="false" ht="12.75" hidden="false" customHeight="false" outlineLevel="0" collapsed="false">
      <c r="A19" s="364" t="n">
        <v>46457</v>
      </c>
      <c r="B19" s="347" t="n">
        <v>46457</v>
      </c>
      <c r="E19" s="181" t="n">
        <v>200</v>
      </c>
      <c r="F19" s="365"/>
    </row>
    <row r="20" customFormat="false" ht="12.75" hidden="false" customHeight="false" outlineLevel="0" collapsed="false">
      <c r="A20" s="364" t="n">
        <v>46458</v>
      </c>
      <c r="B20" s="347" t="n">
        <v>46458</v>
      </c>
      <c r="E20" s="181" t="n">
        <v>200</v>
      </c>
      <c r="F20" s="365"/>
    </row>
    <row r="21" customFormat="false" ht="12.75" hidden="false" customHeight="false" outlineLevel="0" collapsed="false">
      <c r="A21" s="364" t="n">
        <v>46459</v>
      </c>
      <c r="B21" s="347" t="n">
        <v>46459</v>
      </c>
      <c r="E21" s="181" t="n">
        <v>200</v>
      </c>
      <c r="F21" s="365"/>
    </row>
    <row r="22" customFormat="false" ht="12.75" hidden="false" customHeight="false" outlineLevel="0" collapsed="false">
      <c r="A22" s="364" t="n">
        <v>46460</v>
      </c>
      <c r="B22" s="347" t="n">
        <v>46460</v>
      </c>
      <c r="F22" s="365"/>
    </row>
    <row r="23" customFormat="false" ht="12.75" hidden="false" customHeight="false" outlineLevel="0" collapsed="false">
      <c r="A23" s="364" t="n">
        <v>46460</v>
      </c>
      <c r="B23" s="347" t="s">
        <v>244</v>
      </c>
      <c r="F23" s="365"/>
    </row>
    <row r="24" customFormat="false" ht="12.75" hidden="false" customHeight="false" outlineLevel="0" collapsed="false">
      <c r="A24" s="364" t="n">
        <v>46460</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46461</v>
      </c>
      <c r="B27" s="359" t="n">
        <v>46461</v>
      </c>
      <c r="C27" s="360"/>
      <c r="D27" s="361"/>
      <c r="E27" s="362"/>
      <c r="F27" s="363"/>
    </row>
    <row r="28" customFormat="false" ht="12.75" hidden="false" customHeight="false" outlineLevel="0" collapsed="false">
      <c r="A28" s="364" t="n">
        <v>46462</v>
      </c>
      <c r="B28" s="347" t="n">
        <v>46462</v>
      </c>
      <c r="E28" s="181" t="n">
        <v>200</v>
      </c>
      <c r="F28" s="365"/>
    </row>
    <row r="29" customFormat="false" ht="12.75" hidden="false" customHeight="false" outlineLevel="0" collapsed="false">
      <c r="A29" s="364" t="n">
        <v>46463</v>
      </c>
      <c r="B29" s="347" t="n">
        <v>46463</v>
      </c>
      <c r="E29" s="181" t="n">
        <v>200</v>
      </c>
      <c r="F29" s="365"/>
    </row>
    <row r="30" customFormat="false" ht="12.75" hidden="false" customHeight="false" outlineLevel="0" collapsed="false">
      <c r="A30" s="364" t="n">
        <v>46464</v>
      </c>
      <c r="B30" s="347" t="n">
        <v>46464</v>
      </c>
      <c r="E30" s="181" t="n">
        <v>200</v>
      </c>
      <c r="F30" s="365"/>
    </row>
    <row r="31" customFormat="false" ht="12.75" hidden="false" customHeight="false" outlineLevel="0" collapsed="false">
      <c r="A31" s="364" t="n">
        <v>46465</v>
      </c>
      <c r="B31" s="347" t="n">
        <v>46465</v>
      </c>
      <c r="E31" s="181" t="n">
        <v>200</v>
      </c>
      <c r="F31" s="365"/>
    </row>
    <row r="32" customFormat="false" ht="12.75" hidden="false" customHeight="false" outlineLevel="0" collapsed="false">
      <c r="A32" s="364" t="n">
        <v>46466</v>
      </c>
      <c r="B32" s="347" t="n">
        <v>46466</v>
      </c>
      <c r="E32" s="181" t="n">
        <v>200</v>
      </c>
      <c r="F32" s="365"/>
    </row>
    <row r="33" customFormat="false" ht="12.75" hidden="false" customHeight="false" outlineLevel="0" collapsed="false">
      <c r="A33" s="364" t="n">
        <v>46467</v>
      </c>
      <c r="B33" s="347" t="n">
        <v>46467</v>
      </c>
      <c r="F33" s="365"/>
    </row>
    <row r="34" customFormat="false" ht="12.75" hidden="false" customHeight="false" outlineLevel="0" collapsed="false">
      <c r="A34" s="364" t="n">
        <v>46467</v>
      </c>
      <c r="B34" s="347" t="s">
        <v>244</v>
      </c>
      <c r="F34" s="365"/>
    </row>
    <row r="35" customFormat="false" ht="12.75" hidden="false" customHeight="false" outlineLevel="0" collapsed="false">
      <c r="A35" s="364" t="n">
        <v>46467</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46468</v>
      </c>
      <c r="B38" s="359" t="n">
        <v>46468</v>
      </c>
      <c r="C38" s="360"/>
      <c r="D38" s="361"/>
      <c r="E38" s="362"/>
      <c r="F38" s="363"/>
    </row>
    <row r="39" customFormat="false" ht="12.75" hidden="false" customHeight="false" outlineLevel="0" collapsed="false">
      <c r="A39" s="364" t="n">
        <v>46469</v>
      </c>
      <c r="B39" s="347" t="n">
        <v>46469</v>
      </c>
      <c r="F39" s="365"/>
    </row>
    <row r="40" customFormat="false" ht="12.75" hidden="false" customHeight="false" outlineLevel="0" collapsed="false">
      <c r="A40" s="364" t="n">
        <v>46470</v>
      </c>
      <c r="B40" s="347" t="n">
        <v>46470</v>
      </c>
      <c r="F40" s="365"/>
    </row>
    <row r="41" customFormat="false" ht="12.75" hidden="false" customHeight="false" outlineLevel="0" collapsed="false">
      <c r="A41" s="364" t="n">
        <v>46471</v>
      </c>
      <c r="B41" s="347" t="n">
        <v>46471</v>
      </c>
      <c r="F41" s="365"/>
    </row>
    <row r="42" customFormat="false" ht="12.75" hidden="false" customHeight="false" outlineLevel="0" collapsed="false">
      <c r="A42" s="364" t="n">
        <v>46472</v>
      </c>
      <c r="B42" s="347" t="n">
        <v>46472</v>
      </c>
      <c r="F42" s="365"/>
    </row>
    <row r="43" customFormat="false" ht="12.75" hidden="false" customHeight="false" outlineLevel="0" collapsed="false">
      <c r="A43" s="364" t="n">
        <v>46473</v>
      </c>
      <c r="B43" s="347" t="n">
        <v>46473</v>
      </c>
      <c r="F43" s="365"/>
    </row>
    <row r="44" customFormat="false" ht="12.75" hidden="false" customHeight="false" outlineLevel="0" collapsed="false">
      <c r="A44" s="364" t="n">
        <v>46474</v>
      </c>
      <c r="B44" s="347" t="n">
        <v>46474</v>
      </c>
      <c r="F44" s="365"/>
    </row>
    <row r="45" customFormat="false" ht="12.75" hidden="false" customHeight="false" outlineLevel="0" collapsed="false">
      <c r="A45" s="364" t="n">
        <v>46474</v>
      </c>
      <c r="B45" s="347" t="s">
        <v>244</v>
      </c>
      <c r="F45" s="365"/>
    </row>
    <row r="46" customFormat="false" ht="12.75" hidden="false" customHeight="false" outlineLevel="0" collapsed="false">
      <c r="A46" s="364" t="n">
        <v>46474</v>
      </c>
      <c r="B46" s="347" t="s">
        <v>245</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46475</v>
      </c>
      <c r="B49" s="359" t="n">
        <v>46475</v>
      </c>
      <c r="C49" s="360"/>
      <c r="D49" s="361"/>
      <c r="E49" s="362"/>
      <c r="F49" s="363"/>
    </row>
    <row r="50" customFormat="false" ht="12.75" hidden="false" customHeight="false" outlineLevel="0" collapsed="false">
      <c r="A50" s="364" t="n">
        <v>46476</v>
      </c>
      <c r="B50" s="347" t="n">
        <v>46476</v>
      </c>
      <c r="F50" s="365"/>
    </row>
    <row r="51" customFormat="false" ht="12.75" hidden="false" customHeight="false" outlineLevel="0" collapsed="false">
      <c r="A51" s="364" t="n">
        <v>46477</v>
      </c>
      <c r="B51" s="347" t="n">
        <v>46477</v>
      </c>
      <c r="F51" s="365"/>
    </row>
    <row r="52" customFormat="false" ht="12.75" hidden="false" customHeight="false" outlineLevel="0" collapsed="false">
      <c r="A52" s="364" t="n">
        <v>46478</v>
      </c>
      <c r="B52" s="347" t="n">
        <v>46478</v>
      </c>
      <c r="F52" s="365"/>
    </row>
    <row r="53" customFormat="false" ht="12.75" hidden="false" customHeight="false" outlineLevel="0" collapsed="false">
      <c r="A53" s="364" t="n">
        <v>46479</v>
      </c>
      <c r="B53" s="347" t="n">
        <v>46479</v>
      </c>
      <c r="F53" s="365"/>
    </row>
    <row r="54" customFormat="false" ht="12.75" hidden="false" customHeight="false" outlineLevel="0" collapsed="false">
      <c r="A54" s="364" t="n">
        <v>46480</v>
      </c>
      <c r="B54" s="347" t="n">
        <v>46480</v>
      </c>
      <c r="F54" s="365"/>
    </row>
    <row r="55" customFormat="false" ht="12.75" hidden="false" customHeight="false" outlineLevel="0" collapsed="false">
      <c r="A55" s="364" t="n">
        <v>46481</v>
      </c>
      <c r="B55" s="347" t="n">
        <v>46481</v>
      </c>
      <c r="F55" s="365"/>
    </row>
    <row r="56" customFormat="false" ht="12.75" hidden="false" customHeight="false" outlineLevel="0" collapsed="false">
      <c r="A56" s="364" t="n">
        <v>46481</v>
      </c>
      <c r="B56" s="347" t="s">
        <v>244</v>
      </c>
      <c r="F56" s="365"/>
    </row>
    <row r="57" customFormat="false" ht="12.75" hidden="false" customHeight="false" outlineLevel="0" collapsed="false">
      <c r="A57" s="364" t="n">
        <v>46481</v>
      </c>
      <c r="B57" s="347" t="s">
        <v>245</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46482</v>
      </c>
      <c r="B60" s="359" t="n">
        <v>46482</v>
      </c>
      <c r="C60" s="360"/>
      <c r="D60" s="361"/>
      <c r="E60" s="362"/>
      <c r="F60" s="363"/>
    </row>
    <row r="61" customFormat="false" ht="12.75" hidden="false" customHeight="false" outlineLevel="0" collapsed="false">
      <c r="A61" s="364" t="n">
        <v>46482</v>
      </c>
      <c r="B61" s="347" t="s">
        <v>244</v>
      </c>
      <c r="F61" s="365"/>
    </row>
    <row r="62" customFormat="false" ht="12.75" hidden="false" customHeight="false" outlineLevel="0" collapsed="false">
      <c r="A62" s="364" t="n">
        <v>46482</v>
      </c>
      <c r="B62" s="347" t="s">
        <v>245</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E1+SalesMar!$D$1+PurchasesFeb!A1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S1+PurchasesFeb!T1</f>
        <v>8000</v>
      </c>
      <c r="U1" s="394" t="n">
        <f aca="false">SUM(U4:U199)</f>
        <v>0</v>
      </c>
    </row>
    <row r="2" s="181" customFormat="true" ht="13.5" hidden="false" customHeight="true" outlineLevel="0" collapsed="false">
      <c r="A2" s="396" t="n">
        <f aca="false">U1+PurchasesFeb!A2</f>
        <v>0</v>
      </c>
      <c r="B2" s="240" t="s">
        <v>247</v>
      </c>
      <c r="C2" s="380" t="s">
        <v>248</v>
      </c>
      <c r="D2" s="380" t="s">
        <v>249</v>
      </c>
      <c r="E2" s="380" t="s">
        <v>250</v>
      </c>
      <c r="F2" s="207" t="s">
        <v>251</v>
      </c>
      <c r="G2" s="381" t="s">
        <v>252</v>
      </c>
      <c r="H2" s="381"/>
      <c r="I2" s="382" t="n">
        <f aca="false">G1+H1+I1+J1+PurchasesFeb!I2</f>
        <v>4980</v>
      </c>
      <c r="J2" s="382"/>
      <c r="K2" s="207" t="s">
        <v>253</v>
      </c>
      <c r="L2" s="207" t="s">
        <v>254</v>
      </c>
      <c r="M2" s="207" t="s">
        <v>255</v>
      </c>
      <c r="N2" s="207" t="s">
        <v>287</v>
      </c>
      <c r="O2" s="207" t="s">
        <v>257</v>
      </c>
      <c r="P2" s="207" t="s">
        <v>258</v>
      </c>
      <c r="Q2" s="207" t="s">
        <v>259</v>
      </c>
      <c r="R2" s="207" t="s">
        <v>260</v>
      </c>
      <c r="S2" s="383" t="s">
        <v>261</v>
      </c>
      <c r="T2" s="384" t="str">
        <f aca="false">IF(T1&gt;'Fixed Assets'!$D$62,"ENTER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IF((A1&lt;Admin!$F$22),((A1-PurchasesFeb!A1)*Admin!$G$21),(A1*Admin!$G$21-(A1-Admin!$F$21)*(Admin!$G$21-Admin!$G$22)-PurchasesFeb!A2))</f>
        <v>0</v>
      </c>
    </row>
    <row r="5" s="373" customFormat="true" ht="12.75" hidden="false" customHeight="false" outlineLevel="0" collapsed="false">
      <c r="A5" s="372" t="n">
        <v>46096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290</v>
      </c>
      <c r="C1" s="68"/>
      <c r="D1" s="400"/>
      <c r="E1" s="400"/>
      <c r="F1" s="400"/>
      <c r="G1" s="401"/>
      <c r="H1" s="68"/>
      <c r="I1" s="68"/>
      <c r="J1" s="68"/>
      <c r="K1" s="68"/>
      <c r="L1" s="68"/>
      <c r="M1" s="68"/>
      <c r="N1" s="68"/>
      <c r="O1" s="68"/>
    </row>
    <row r="2" customFormat="false" ht="12" hidden="false" customHeight="true" outlineLevel="0" collapsed="false">
      <c r="A2" s="68"/>
      <c r="B2" s="402" t="n">
        <v>46081</v>
      </c>
      <c r="C2" s="68"/>
      <c r="D2" s="403" t="s">
        <v>291</v>
      </c>
      <c r="E2" s="403"/>
      <c r="F2" s="403"/>
      <c r="G2" s="404" t="str">
        <f aca="false">B23</f>
        <v>2026-27</v>
      </c>
      <c r="H2" s="68"/>
      <c r="I2" s="405" t="s">
        <v>292</v>
      </c>
      <c r="J2" s="405"/>
      <c r="K2" s="406" t="str">
        <f aca="false">G2</f>
        <v>2026-27</v>
      </c>
      <c r="L2" s="68"/>
      <c r="M2" s="68"/>
      <c r="N2" s="68"/>
      <c r="O2" s="68"/>
    </row>
    <row r="3" customFormat="false" ht="12" hidden="false" customHeight="true" outlineLevel="0" collapsed="false">
      <c r="A3" s="68"/>
      <c r="B3" s="402" t="n">
        <v>46112</v>
      </c>
      <c r="C3" s="68"/>
      <c r="D3" s="68"/>
      <c r="E3" s="68"/>
      <c r="F3" s="68"/>
      <c r="G3" s="407"/>
      <c r="H3" s="68"/>
      <c r="I3" s="68"/>
      <c r="J3" s="408"/>
      <c r="K3" s="408"/>
      <c r="L3" s="401"/>
      <c r="M3" s="68"/>
      <c r="N3" s="68"/>
      <c r="O3" s="68"/>
    </row>
    <row r="4" customFormat="false" ht="12" hidden="false" customHeight="true" outlineLevel="0" collapsed="false">
      <c r="A4" s="68"/>
      <c r="B4" s="409" t="n">
        <v>46118</v>
      </c>
      <c r="C4" s="68"/>
      <c r="D4" s="410" t="s">
        <v>69</v>
      </c>
      <c r="E4" s="410"/>
      <c r="F4" s="410"/>
      <c r="G4" s="411" t="n">
        <v>1</v>
      </c>
      <c r="H4" s="68"/>
      <c r="I4" s="410" t="s">
        <v>293</v>
      </c>
      <c r="J4" s="410"/>
      <c r="K4" s="410"/>
      <c r="L4" s="410"/>
      <c r="M4" s="410"/>
      <c r="N4" s="412" t="n">
        <v>12570</v>
      </c>
      <c r="O4" s="407" t="s">
        <v>29</v>
      </c>
    </row>
    <row r="5" customFormat="false" ht="12" hidden="false" customHeight="true" outlineLevel="0" collapsed="false">
      <c r="A5" s="68"/>
      <c r="B5" s="402" t="n">
        <v>46142</v>
      </c>
      <c r="C5" s="68"/>
      <c r="D5" s="410" t="s">
        <v>294</v>
      </c>
      <c r="E5" s="410"/>
      <c r="F5" s="410"/>
      <c r="G5" s="411" t="n">
        <v>0.14</v>
      </c>
      <c r="H5" s="68"/>
      <c r="I5" s="68"/>
      <c r="J5" s="68"/>
      <c r="K5" s="68"/>
      <c r="L5" s="68"/>
      <c r="M5" s="68"/>
      <c r="N5" s="407"/>
      <c r="O5" s="407"/>
    </row>
    <row r="6" customFormat="false" ht="12" hidden="false" customHeight="true" outlineLevel="0" collapsed="false">
      <c r="A6" s="68"/>
      <c r="B6" s="402" t="n">
        <v>46173</v>
      </c>
      <c r="C6" s="68"/>
      <c r="D6" s="68"/>
      <c r="E6" s="68"/>
      <c r="F6" s="68"/>
      <c r="G6" s="407"/>
      <c r="H6" s="68"/>
      <c r="I6" s="410" t="s">
        <v>295</v>
      </c>
      <c r="J6" s="410"/>
      <c r="K6" s="410"/>
      <c r="L6" s="410"/>
      <c r="M6" s="410"/>
      <c r="N6" s="411" t="n">
        <v>0.2</v>
      </c>
      <c r="O6" s="407" t="s">
        <v>296</v>
      </c>
    </row>
    <row r="7" customFormat="false" ht="12" hidden="false" customHeight="true" outlineLevel="0" collapsed="false">
      <c r="A7" s="68"/>
      <c r="B7" s="402" t="n">
        <v>46203</v>
      </c>
      <c r="C7" s="68"/>
      <c r="D7" s="410" t="s">
        <v>297</v>
      </c>
      <c r="E7" s="410"/>
      <c r="F7" s="410"/>
      <c r="G7" s="407"/>
      <c r="H7" s="68"/>
      <c r="I7" s="410" t="s">
        <v>298</v>
      </c>
      <c r="J7" s="410"/>
      <c r="K7" s="410"/>
      <c r="L7" s="410"/>
      <c r="M7" s="410"/>
      <c r="N7" s="411" t="n">
        <v>0.4</v>
      </c>
      <c r="O7" s="407" t="s">
        <v>296</v>
      </c>
    </row>
    <row r="8" customFormat="false" ht="12" hidden="false" customHeight="true" outlineLevel="0" collapsed="false">
      <c r="A8" s="68"/>
      <c r="B8" s="402" t="n">
        <v>46234</v>
      </c>
      <c r="C8" s="68"/>
      <c r="D8" s="68" t="s">
        <v>299</v>
      </c>
      <c r="E8" s="413" t="n">
        <v>12000</v>
      </c>
      <c r="F8" s="68" t="s">
        <v>300</v>
      </c>
      <c r="G8" s="413" t="n">
        <v>3000</v>
      </c>
      <c r="H8" s="68"/>
      <c r="I8" s="68"/>
      <c r="J8" s="68"/>
      <c r="K8" s="68"/>
      <c r="L8" s="68"/>
      <c r="M8" s="68"/>
      <c r="N8" s="407"/>
      <c r="O8" s="407"/>
    </row>
    <row r="9" customFormat="false" ht="12" hidden="false" customHeight="true" outlineLevel="0" collapsed="false">
      <c r="A9" s="68"/>
      <c r="B9" s="402" t="n">
        <v>46265</v>
      </c>
      <c r="C9" s="68"/>
      <c r="D9" s="68"/>
      <c r="E9" s="407"/>
      <c r="F9" s="68"/>
      <c r="G9" s="407"/>
      <c r="H9" s="68"/>
      <c r="I9" s="410" t="s">
        <v>301</v>
      </c>
      <c r="J9" s="410"/>
      <c r="K9" s="410"/>
      <c r="L9" s="414" t="s">
        <v>302</v>
      </c>
      <c r="M9" s="414" t="s">
        <v>303</v>
      </c>
      <c r="N9" s="415" t="s">
        <v>304</v>
      </c>
      <c r="O9" s="407"/>
    </row>
    <row r="10" customFormat="false" ht="12" hidden="false" customHeight="true" outlineLevel="0" collapsed="false">
      <c r="A10" s="68"/>
      <c r="B10" s="402" t="n">
        <v>46295</v>
      </c>
      <c r="C10" s="68"/>
      <c r="D10" s="68"/>
      <c r="E10" s="407"/>
      <c r="F10" s="68"/>
      <c r="G10" s="407"/>
      <c r="H10" s="68"/>
      <c r="I10" s="68"/>
      <c r="J10" s="68"/>
      <c r="K10" s="68"/>
      <c r="L10" s="68"/>
      <c r="M10" s="68"/>
      <c r="N10" s="407"/>
      <c r="O10" s="407"/>
    </row>
    <row r="11" customFormat="false" ht="12" hidden="false" customHeight="true" outlineLevel="0" collapsed="false">
      <c r="A11" s="68"/>
      <c r="B11" s="402" t="n">
        <v>46326</v>
      </c>
      <c r="C11" s="68"/>
      <c r="D11" s="403" t="s">
        <v>305</v>
      </c>
      <c r="E11" s="403"/>
      <c r="F11" s="403"/>
      <c r="G11" s="407" t="s">
        <v>296</v>
      </c>
      <c r="H11" s="68"/>
      <c r="I11" s="68" t="s">
        <v>306</v>
      </c>
      <c r="J11" s="68"/>
      <c r="K11" s="416" t="n">
        <v>0.2</v>
      </c>
      <c r="L11" s="407" t="n">
        <f aca="false">N11</f>
        <v>0</v>
      </c>
      <c r="M11" s="407" t="n">
        <v>37700</v>
      </c>
      <c r="N11" s="413" t="n">
        <v>0</v>
      </c>
      <c r="O11" s="407"/>
    </row>
    <row r="12" customFormat="false" ht="12" hidden="false" customHeight="true" outlineLevel="0" collapsed="false">
      <c r="A12" s="68"/>
      <c r="B12" s="402" t="n">
        <v>46356</v>
      </c>
      <c r="C12" s="68"/>
      <c r="D12" s="68"/>
      <c r="E12" s="68"/>
      <c r="F12" s="68"/>
      <c r="G12" s="407"/>
      <c r="H12" s="68"/>
      <c r="I12" s="68" t="s">
        <v>307</v>
      </c>
      <c r="J12" s="68"/>
      <c r="K12" s="416" t="n">
        <v>0.4</v>
      </c>
      <c r="L12" s="407" t="n">
        <v>37701</v>
      </c>
      <c r="M12" s="68"/>
      <c r="N12" s="413" t="n">
        <v>37701</v>
      </c>
      <c r="O12" s="407"/>
    </row>
    <row r="13" customFormat="false" ht="12" hidden="false" customHeight="true" outlineLevel="0" collapsed="false">
      <c r="A13" s="68"/>
      <c r="B13" s="402" t="n">
        <v>46387</v>
      </c>
      <c r="C13" s="68"/>
      <c r="D13" s="410" t="s">
        <v>308</v>
      </c>
      <c r="E13" s="410"/>
      <c r="F13" s="410"/>
      <c r="G13" s="411" t="n">
        <v>0</v>
      </c>
      <c r="H13" s="68"/>
      <c r="I13" s="68"/>
      <c r="J13" s="68"/>
      <c r="K13" s="68"/>
      <c r="L13" s="68"/>
      <c r="M13" s="68"/>
      <c r="N13" s="68"/>
      <c r="O13" s="68"/>
    </row>
    <row r="14" customFormat="false" ht="12" hidden="false" customHeight="true" outlineLevel="0" collapsed="false">
      <c r="A14" s="68"/>
      <c r="B14" s="402" t="n">
        <v>46418</v>
      </c>
      <c r="C14" s="68"/>
      <c r="D14" s="410" t="s">
        <v>309</v>
      </c>
      <c r="E14" s="410"/>
      <c r="F14" s="410"/>
      <c r="G14" s="411" t="n">
        <v>0.1</v>
      </c>
      <c r="H14" s="68"/>
      <c r="I14" s="403" t="s">
        <v>310</v>
      </c>
      <c r="J14" s="403"/>
      <c r="K14" s="403"/>
      <c r="L14" s="406" t="str">
        <f aca="false">G2</f>
        <v>2026-27</v>
      </c>
      <c r="M14" s="68"/>
      <c r="N14" s="68"/>
      <c r="O14" s="68"/>
    </row>
    <row r="15" customFormat="false" ht="12" hidden="false" customHeight="true" outlineLevel="0" collapsed="false">
      <c r="A15" s="68"/>
      <c r="B15" s="402" t="n">
        <v>46446</v>
      </c>
      <c r="C15" s="68"/>
      <c r="D15" s="410" t="s">
        <v>311</v>
      </c>
      <c r="E15" s="410"/>
      <c r="F15" s="410"/>
      <c r="G15" s="411" t="n">
        <v>0.2</v>
      </c>
      <c r="H15" s="68"/>
      <c r="I15" s="68"/>
      <c r="J15" s="68"/>
      <c r="K15" s="68"/>
      <c r="L15" s="68"/>
      <c r="M15" s="68"/>
      <c r="N15" s="68"/>
      <c r="O15" s="68"/>
    </row>
    <row r="16" customFormat="false" ht="12" hidden="false" customHeight="true" outlineLevel="0" collapsed="false">
      <c r="A16" s="68"/>
      <c r="B16" s="402" t="n">
        <v>46477</v>
      </c>
      <c r="C16" s="68"/>
      <c r="D16" s="410" t="s">
        <v>312</v>
      </c>
      <c r="E16" s="410"/>
      <c r="F16" s="410"/>
      <c r="G16" s="411" t="n">
        <v>0.33</v>
      </c>
      <c r="H16" s="68"/>
      <c r="I16" s="410" t="s">
        <v>313</v>
      </c>
      <c r="J16" s="410"/>
      <c r="K16" s="410"/>
      <c r="L16" s="417" t="n">
        <v>0</v>
      </c>
      <c r="M16" s="68" t="s">
        <v>314</v>
      </c>
      <c r="N16" s="68"/>
      <c r="O16" s="68"/>
    </row>
    <row r="17" customFormat="false" ht="12" hidden="false" customHeight="true" outlineLevel="0" collapsed="false">
      <c r="A17" s="68"/>
      <c r="B17" s="409" t="n">
        <v>46482</v>
      </c>
      <c r="C17" s="68"/>
      <c r="D17" s="410" t="s">
        <v>315</v>
      </c>
      <c r="E17" s="410"/>
      <c r="F17" s="410"/>
      <c r="G17" s="411" t="n">
        <v>0.25</v>
      </c>
      <c r="H17" s="68"/>
      <c r="I17" s="68"/>
      <c r="J17" s="68"/>
      <c r="K17" s="68"/>
      <c r="L17" s="418"/>
      <c r="M17" s="68"/>
      <c r="N17" s="68"/>
      <c r="O17" s="68"/>
    </row>
    <row r="18" customFormat="false" ht="12" hidden="false" customHeight="true" outlineLevel="0" collapsed="false">
      <c r="A18" s="68"/>
      <c r="B18" s="402" t="n">
        <v>46507</v>
      </c>
      <c r="C18" s="68"/>
      <c r="D18" s="68"/>
      <c r="E18" s="68"/>
      <c r="F18" s="68"/>
      <c r="G18" s="407"/>
      <c r="H18" s="68"/>
      <c r="I18" s="68"/>
      <c r="J18" s="68"/>
      <c r="K18" s="68"/>
      <c r="L18" s="68"/>
      <c r="M18" s="68"/>
      <c r="N18" s="68"/>
      <c r="O18" s="68"/>
    </row>
    <row r="19" customFormat="false" ht="12" hidden="false" customHeight="true" outlineLevel="0" collapsed="false">
      <c r="A19" s="68"/>
      <c r="B19" s="402" t="n">
        <v>46538</v>
      </c>
      <c r="C19" s="68"/>
      <c r="D19" s="403" t="s">
        <v>316</v>
      </c>
      <c r="E19" s="403"/>
      <c r="F19" s="407" t="s">
        <v>317</v>
      </c>
      <c r="G19" s="407" t="s">
        <v>318</v>
      </c>
      <c r="H19" s="68"/>
      <c r="I19" s="419" t="s">
        <v>319</v>
      </c>
      <c r="J19" s="419"/>
      <c r="K19" s="419"/>
      <c r="L19" s="68"/>
      <c r="M19" s="420" t="s">
        <v>320</v>
      </c>
      <c r="N19" s="68"/>
      <c r="O19" s="68"/>
    </row>
    <row r="20" customFormat="false" ht="12" hidden="false" customHeight="true" outlineLevel="0" collapsed="false">
      <c r="A20" s="68"/>
      <c r="B20" s="402" t="n">
        <v>46568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46783</v>
      </c>
      <c r="C21" s="68"/>
      <c r="D21" s="410" t="s">
        <v>321</v>
      </c>
      <c r="E21" s="410"/>
      <c r="F21" s="413" t="n">
        <v>10000</v>
      </c>
      <c r="G21" s="417" t="n">
        <v>0.45</v>
      </c>
      <c r="H21" s="68"/>
      <c r="I21" s="422"/>
      <c r="J21" s="422"/>
      <c r="K21" s="422"/>
      <c r="L21" s="416"/>
      <c r="M21" s="68"/>
      <c r="N21" s="68"/>
      <c r="O21" s="68"/>
    </row>
    <row r="22" customFormat="false" ht="12" hidden="false" customHeight="true" outlineLevel="0" collapsed="false">
      <c r="A22" s="68"/>
      <c r="B22" s="402" t="n">
        <v>46965</v>
      </c>
      <c r="C22" s="68"/>
      <c r="D22" s="68" t="s">
        <v>322</v>
      </c>
      <c r="E22" s="68"/>
      <c r="F22" s="413" t="n">
        <v>10001</v>
      </c>
      <c r="G22" s="417" t="n">
        <v>0.25</v>
      </c>
      <c r="H22" s="68"/>
      <c r="I22" s="419" t="s">
        <v>323</v>
      </c>
      <c r="J22" s="419"/>
      <c r="K22" s="419"/>
      <c r="L22" s="68"/>
      <c r="M22" s="420" t="s">
        <v>324</v>
      </c>
      <c r="N22" s="68"/>
      <c r="O22" s="68"/>
    </row>
    <row r="23" customFormat="false" ht="12" hidden="false" customHeight="true" outlineLevel="0" collapsed="false">
      <c r="A23" s="68"/>
      <c r="B23" s="409" t="s">
        <v>325</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326</v>
      </c>
      <c r="C24" s="68"/>
      <c r="D24" s="403" t="s">
        <v>316</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327</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