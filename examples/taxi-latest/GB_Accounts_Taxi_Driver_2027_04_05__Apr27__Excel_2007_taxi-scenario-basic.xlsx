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<sst xmlns="http://schemas.openxmlformats.org/spreadsheetml/2006/main" count="1089" uniqueCount="326">
  <si>
    <t xml:space="preserve">Taxi Driver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</si>
  <si>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</si>
  <si>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</si>
  <si>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Taxi Receipts</t>
  </si>
  <si>
    <t xml:space="preserve">Expenses</t>
  </si>
  <si>
    <t xml:space="preserve">Results</t>
  </si>
  <si>
    <t xml:space="preserve"> </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</si>
  <si>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</si>
  <si>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</si>
  <si>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</si>
  <si>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</si>
  <si>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</si>
  <si>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t xml:space="preserve">Taxi Driver</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</si>
  <si>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</si>
  <si>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</si>
  <si>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</si>
  <si>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</si>
  <si>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</si>
  <si>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</si>
  <si>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</si>
  <si>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</si>
  <si>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</si>
  <si>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</si>
  <si>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</si>
  <si>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</si>
  <si>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</si>
  <si>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</si>
  <si>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</si>
  <si>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</si>
  <si>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</si>
  <si>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</si>
  <si>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</si>
  <si>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</si>
  <si>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</si>
  <si>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</si>
  <si>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</si>
  <si>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</si>
  <si>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</si>
  <si>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</si>
  <si>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</si>
  <si>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</si>
  <si>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</si>
  <si>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</si>
  <si>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</si>
  <si>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</si>
  <si>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</si>
  <si>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</si>
  <si>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</si>
  <si>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</si>
  <si>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</si>
  <si>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</si>
  <si>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</si>
  <si>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</si>
  <si>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</si>
  <si>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</si>
  <si>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</si>
  <si>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</si>
  <si>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</si>
  <si>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</si>
  <si>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</si>
  <si>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</si>
  <si>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</si>
  <si>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</si>
  <si>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</si>
  <si>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</si>
  <si>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</si>
  <si>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</si>
  <si>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</si>
  <si>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</si>
  <si>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</si>
  <si>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</si>
  <si>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</si>
  <si>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</si>
  <si>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</si>
  <si>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</si>
  <si>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</si>
  <si>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</si>
  <si>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</si>
  <si>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</si>
  <si>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</si>
  <si>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</si>
  <si>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</si>
  <si>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</si>
  <si>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</si>
  <si>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</si>
  <si>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</si>
  <si>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</si>
  <si>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</si>
  <si>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</si>
  <si>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</si>
  <si>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</si>
  <si>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</si>
  <si>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</si>
  <si>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</si>
  <si>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</si>
  <si>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</si>
  <si>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</si>
  <si>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t>
  </si>
  <si>
    <t xml:space="preserve">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</si>
  <si>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</si>
  <si>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</si>
  <si>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</si>
  <si>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</si>
  <si>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</si>
  <si>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</si>
  <si>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</si>
  <si>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</si>
  <si>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</si>
  <si>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</si>
  <si>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</si>
  <si>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</si>
  <si>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</si>
  <si>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</si>
  <si>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</si>
  <si>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</si>
  <si>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</si>
  <si>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</si>
  <si>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</si>
  <si>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</si>
  <si>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</si>
  <si>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</si>
  <si>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</si>
  <si>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</si>
  <si>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</si>
  <si>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</si>
  <si>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</si>
  <si>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</si>
  <si>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</si>
  <si>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</si>
  <si>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</si>
  <si>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</si>
  <si>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</si>
  <si>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</si>
  <si>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</si>
  <si>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</si>
  <si>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</si>
  <si>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</si>
  <si>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</si>
  <si>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</si>
  <si>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</si>
  <si>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</si>
  <si>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</si>
  <si>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</si>
  <si>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</si>
  <si>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</si>
  <si>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</si>
  <si>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</si>
  <si>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</si>
  <si>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</si>
  <si>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</si>
  <si>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</si>
  <si>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</si>
  <si>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</si>
  <si>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</si>
  <si>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</si>
  <si>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</si>
  <si>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</si>
  <si>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</si>
  <si>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</si>
  <si>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</si>
  <si>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</si>
  <si>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</si>
  <si>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</si>
  <si>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</si>
  <si>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</si>
  <si>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</si>
  <si>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</si>
  <si>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</si>
  <si>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</si>
  <si>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</si>
  <si>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</si>
  <si>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</si>
  <si>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</si>
  <si>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</si>
  <si>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</si>
  <si>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</si>
  <si>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</si>
  <si>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</si>
  <si>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</si>
  <si>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</si>
  <si>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</si>
  <si>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</si>
  <si>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</si>
  <si>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</si>
  <si>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</si>
  <si>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</si>
  <si>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</si>
  <si>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</si>
  <si>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</si>
  <si>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</si>
  <si>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</si>
  <si>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</si>
  <si>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</si>
  <si>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</si>
  <si>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</si>
  <si>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</si>
  <si>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</si>
  <si>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</si>
  <si>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</si>
  <si>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</si>
  <si>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</si>
  <si>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</si>
  <si>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</si>
  <si>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</si>
  <si>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</si>
  <si>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</si>
  <si>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</si>
  <si>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</si>
  <si>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</si>
  <si>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</si>
  <si>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</si>
  <si>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</si>
  <si>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</si>
  <si>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</si>
  <si>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</si>
  <si>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</si>
  <si>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</si>
  <si>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</si>
  <si>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</si>
  <si>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</si>
  <si>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</si>
  <si>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</si>
  <si>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</si>
  <si>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</si>
  <si>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</si>
  <si>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</si>
  <si>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</si>
  <si>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</si>
  <si>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</si>
  <si>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</si>
  <si>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</si>
  <si>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</si>
  <si>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</si>
  <si>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</si>
  <si>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</si>
  <si>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</si>
  <si>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</si>
  <si>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</si>
  <si>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</si>
  <si>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</si>
  <si>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</si>
  <si>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</si>
  <si>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</si>
  <si>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</si>
  <si>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</si>
  <si>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</si>
  <si>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</si>
  <si>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</si>
  <si>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</si>
  <si>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</si>
  <si>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</si>
  <si>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</si>
  <si>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</si>
  <si>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</si>
  <si>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</si>
  <si>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</si>
  <si>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</si>
  <si>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</si>
  <si>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</si>
  <si>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</si>
  <si>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</si>
  <si>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</si>
  <si>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</si>
  <si>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</si>
  <si>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</si>
  <si>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</si>
  <si>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</si>
  <si>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</si>
  <si>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</si>
  <si>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</si>
  <si>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</si>
  <si>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</si>
  <si>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</si>
  <si>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</si>
  <si>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</si>
  <si>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Shell</t>
  </si>
  <si>
    <t xml:space="preserve">d</t>
  </si>
  <si>
    <t xml:space="preserve">DVLA</t>
  </si>
  <si>
    <t xml:space="preserve">t</t>
  </si>
  <si>
    <t xml:space="preserve">Insurance Co</t>
  </si>
  <si>
    <t xml:space="preserve">Vodafone</t>
  </si>
  <si>
    <t xml:space="preserve">g</t>
  </si>
  <si>
    <t xml:space="preserve">Council</t>
  </si>
  <si>
    <t xml:space="preserve">l</t>
  </si>
  <si>
    <t xml:space="preserve">Advertising &amp; Promotion</t>
  </si>
  <si>
    <t xml:space="preserve">Car Dealer</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</si>
  <si>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</si>
  <si>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</si>
  <si>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</si>
  <si>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</si>
  <si>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</si>
  <si>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</si>
  <si>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</si>
  <si>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</si>
  <si>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</si>
  <si>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</si>
  <si>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</si>
  <si>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Costing over </t>
  </si>
  <si>
    <t xml:space="preserve">Restricted to</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</si>
  <si>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</si>
  <si>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</si>
  <si>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</si>
  <si>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</si>
  <si>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</si>
  <si>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</si>
  <si>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</si>
  <si>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</si>
  <si>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</si>
  <si>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</si>
  <si>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</si>
  <si>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</si>
  <si>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</si>
  <si>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</si>
  <si>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</si>
  <si>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</si>
  <si>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</si>
  <si>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</si>
  <si>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</si>
  <si>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</si>
  <si>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</si>
  <si>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</si>
  <si>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</si>
  <si>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</si>
  <si>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2026-27</t>
  </si>
  <si>
    <t xml:space="preserve">2027-28</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</si>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</sst>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1">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8" fillId="2" borderId="0" xfId="20" applyFont="true" applyBorder="true" applyAlignment="true" applyProtection="true">
      <alignment horizontal="general"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9" fillId="3" borderId="4" xfId="0" applyFont="true" applyBorder="true" applyAlignment="false" applyProtection="false">
      <alignment horizontal="general" vertical="bottom" textRotation="0" wrapText="false" indent="0" shrinkToFit="false"/>
      <protection locked="true" hidden="false"/>
    </xf>
    <xf numFmtId="164" fontId="9" fillId="3" borderId="5"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false" applyProtection="false">
      <alignment horizontal="general" vertical="bottom" textRotation="0" wrapText="fals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8" xfId="0" applyFont="true" applyBorder="true" applyAlignment="false" applyProtection="false">
      <alignment horizontal="general" vertical="bottom" textRotation="0" wrapText="false" indent="0" shrinkToFit="false"/>
      <protection locked="true" hidden="false"/>
    </xf>
    <xf numFmtId="164" fontId="9" fillId="3" borderId="9"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false" indent="0" shrinkToFit="false"/>
      <protection locked="true" hidden="false"/>
    </xf>
    <xf numFmtId="164" fontId="12" fillId="3" borderId="8" xfId="0" applyFont="true" applyBorder="true" applyAlignment="true" applyProtection="false">
      <alignment horizontal="general" vertical="center" textRotation="0" wrapText="false" indent="0" shrinkToFit="false"/>
      <protection locked="true" hidden="false"/>
    </xf>
    <xf numFmtId="168" fontId="13" fillId="0" borderId="7"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right" vertical="bottom" textRotation="0" wrapText="false" indent="0" shrinkToFit="false"/>
      <protection locked="true" hidden="false"/>
    </xf>
    <xf numFmtId="164" fontId="9" fillId="0" borderId="7"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0" borderId="7"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7" xfId="0" applyFont="true" applyBorder="true" applyAlignment="true" applyProtection="false">
      <alignment horizontal="center" vertical="center" textRotation="0" wrapText="false" indent="0" shrinkToFit="false"/>
      <protection locked="true" hidden="false"/>
    </xf>
    <xf numFmtId="169" fontId="13" fillId="0" borderId="7"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7" fillId="3" borderId="7"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3" fillId="3" borderId="0" xfId="0" applyFont="true" applyBorder="false" applyAlignment="true" applyProtection="false">
      <alignment horizontal="general" vertical="center" textRotation="0" wrapText="false" indent="0" shrinkToFit="false"/>
      <protection locked="true" hidden="false"/>
    </xf>
    <xf numFmtId="170" fontId="17" fillId="3" borderId="0" xfId="0" applyFont="true" applyBorder="fals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9" fontId="13" fillId="3" borderId="7" xfId="0" applyFont="true" applyBorder="true" applyAlignment="true" applyProtection="false">
      <alignment horizontal="general" vertical="center" textRotation="0" wrapText="false" indent="0" shrinkToFit="false"/>
      <protection locked="true" hidden="false"/>
    </xf>
    <xf numFmtId="164" fontId="9" fillId="3" borderId="10" xfId="0" applyFont="true" applyBorder="true" applyAlignment="false" applyProtection="false">
      <alignment horizontal="general" vertical="bottom" textRotation="0" wrapText="false" indent="0" shrinkToFit="false"/>
      <protection locked="true" hidden="false"/>
    </xf>
    <xf numFmtId="164" fontId="9" fillId="3" borderId="11" xfId="0" applyFont="true" applyBorder="true" applyAlignment="false" applyProtection="false">
      <alignment horizontal="general" vertical="bottom" textRotation="0" wrapText="false" indent="0" shrinkToFit="false"/>
      <protection locked="true" hidden="false"/>
    </xf>
    <xf numFmtId="164" fontId="9" fillId="3"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left" vertical="center" textRotation="0" wrapText="true" indent="1" shrinkToFit="false"/>
      <protection locked="true" hidden="true"/>
    </xf>
    <xf numFmtId="164" fontId="23" fillId="0" borderId="0" xfId="0" applyFont="true" applyBorder="true" applyAlignment="true" applyProtection="true">
      <alignment horizontal="right" vertical="center" textRotation="0" wrapText="false" indent="0" shrinkToFit="false"/>
      <protection locked="true" hidden="true"/>
    </xf>
    <xf numFmtId="167" fontId="23" fillId="0" borderId="0" xfId="0" applyFont="true" applyBorder="true" applyAlignment="true" applyProtection="true">
      <alignment horizontal="center" vertical="center" textRotation="0" wrapText="false" indent="0" shrinkToFit="false"/>
      <protection locked="true" hidden="true"/>
    </xf>
    <xf numFmtId="164" fontId="23" fillId="0" borderId="0" xfId="0" applyFont="true" applyBorder="false" applyAlignment="true" applyProtection="true">
      <alignment horizontal="center" vertical="center" textRotation="0" wrapText="false" indent="0" shrinkToFit="false"/>
      <protection locked="true" hidden="true"/>
    </xf>
    <xf numFmtId="164" fontId="9" fillId="4" borderId="0" xfId="0" applyFont="true" applyBorder="true" applyAlignment="false" applyProtection="true">
      <alignment horizontal="general" vertical="bottom" textRotation="0" wrapText="false" indent="0" shrinkToFit="false"/>
      <protection locked="true" hidden="true"/>
    </xf>
    <xf numFmtId="164" fontId="9" fillId="0" borderId="13" xfId="0" applyFont="true" applyBorder="true" applyAlignment="false" applyProtection="true">
      <alignment horizontal="general" vertical="bottom" textRotation="0" wrapText="false" indent="0" shrinkToFit="false"/>
      <protection locked="true" hidden="true"/>
    </xf>
    <xf numFmtId="164" fontId="9" fillId="3" borderId="2" xfId="0" applyFont="true" applyBorder="true" applyAlignment="false" applyProtection="true">
      <alignment horizontal="general" vertical="bottom" textRotation="0" wrapText="false" indent="0" shrinkToFit="false"/>
      <protection locked="true" hidden="true"/>
    </xf>
    <xf numFmtId="164" fontId="9" fillId="3" borderId="3" xfId="0" applyFont="true" applyBorder="true" applyAlignment="false" applyProtection="true">
      <alignment horizontal="general" vertical="bottom" textRotation="0" wrapText="false" indent="0" shrinkToFit="false"/>
      <protection locked="true" hidden="true"/>
    </xf>
    <xf numFmtId="164" fontId="9" fillId="3" borderId="4" xfId="0" applyFont="true" applyBorder="true" applyAlignment="false" applyProtection="true">
      <alignment horizontal="general" vertical="bottom" textRotation="0" wrapText="false" indent="0" shrinkToFit="false"/>
      <protection locked="true" hidden="true"/>
    </xf>
    <xf numFmtId="164" fontId="9" fillId="3" borderId="5" xfId="0" applyFont="true" applyBorder="true" applyAlignment="false" applyProtection="true">
      <alignment horizontal="general" vertical="bottom" textRotation="0" wrapText="false" indent="0" shrinkToFit="false"/>
      <protection locked="true" hidden="true"/>
    </xf>
    <xf numFmtId="164" fontId="9"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3" borderId="6" xfId="0" applyFont="true" applyBorder="tru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general" vertical="center"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center" vertical="center" textRotation="0" wrapText="false" indent="0" shrinkToFit="false"/>
      <protection locked="true" hidden="true"/>
    </xf>
    <xf numFmtId="164" fontId="9" fillId="3" borderId="6" xfId="0" applyFont="true" applyBorder="true" applyAlignment="false" applyProtection="true">
      <alignment horizontal="general" vertical="bottom" textRotation="0" wrapText="false" indent="0" shrinkToFit="false"/>
      <protection locked="true" hidden="true"/>
    </xf>
    <xf numFmtId="164" fontId="9" fillId="3" borderId="14" xfId="0" applyFont="true" applyBorder="true" applyAlignment="false" applyProtection="true">
      <alignment horizontal="general" vertical="bottom" textRotation="0" wrapText="false" indent="0" shrinkToFit="false"/>
      <protection locked="true" hidden="true"/>
    </xf>
    <xf numFmtId="164" fontId="9" fillId="3" borderId="13" xfId="0" applyFont="true" applyBorder="true" applyAlignment="false" applyProtection="true">
      <alignment horizontal="general" vertical="bottom" textRotation="0" wrapText="false" indent="0" shrinkToFit="false"/>
      <protection locked="true" hidden="true"/>
    </xf>
    <xf numFmtId="164" fontId="9" fillId="3" borderId="15" xfId="0" applyFont="true" applyBorder="true" applyAlignment="false" applyProtection="true">
      <alignment horizontal="general" vertical="bottom" textRotation="0" wrapText="false" indent="0" shrinkToFit="false"/>
      <protection locked="true" hidden="true"/>
    </xf>
    <xf numFmtId="164" fontId="24" fillId="0" borderId="16" xfId="0" applyFont="true" applyBorder="true" applyAlignment="true" applyProtection="true">
      <alignment horizontal="general" vertical="center" textRotation="0" wrapText="false" indent="0" shrinkToFit="false"/>
      <protection locked="true" hidden="true"/>
    </xf>
    <xf numFmtId="164" fontId="9" fillId="3" borderId="17" xfId="0" applyFont="true" applyBorder="true" applyAlignment="false" applyProtection="true">
      <alignment horizontal="general" vertical="bottom" textRotation="0" wrapText="false" indent="0" shrinkToFit="false"/>
      <protection locked="true" hidden="true"/>
    </xf>
    <xf numFmtId="164" fontId="9" fillId="3" borderId="18" xfId="0" applyFont="true" applyBorder="true" applyAlignment="false" applyProtection="true">
      <alignment horizontal="general" vertical="bottom" textRotation="0" wrapText="false" indent="0" shrinkToFit="false"/>
      <protection locked="true" hidden="true"/>
    </xf>
    <xf numFmtId="164" fontId="9" fillId="3" borderId="19"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false" applyProtection="true">
      <alignment horizontal="general" vertical="bottom" textRotation="0" wrapText="false" indent="0" shrinkToFit="false"/>
      <protection locked="true" hidden="true"/>
    </xf>
    <xf numFmtId="167" fontId="12"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2" fillId="3" borderId="8" xfId="0" applyFont="true" applyBorder="true" applyAlignment="false" applyProtection="true">
      <alignment horizontal="general" vertical="bottom" textRotation="0" wrapText="false" indent="0" shrinkToFit="false"/>
      <protection locked="true" hidden="true"/>
    </xf>
    <xf numFmtId="164" fontId="9" fillId="3" borderId="9" xfId="0" applyFont="true" applyBorder="tru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9" fillId="3" borderId="0" xfId="0" applyFont="true" applyBorder="false" applyAlignment="true" applyProtection="true">
      <alignment horizontal="general" vertical="center" textRotation="0" wrapText="false" indent="0" shrinkToFit="false"/>
      <protection locked="true" hidden="true"/>
    </xf>
    <xf numFmtId="164" fontId="9" fillId="3" borderId="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true" applyProtection="true">
      <alignment horizontal="center" vertical="bottom" textRotation="0" wrapText="false" indent="0" shrinkToFit="false"/>
      <protection locked="true" hidden="true"/>
    </xf>
    <xf numFmtId="167" fontId="12" fillId="3" borderId="0" xfId="0" applyFont="true" applyBorder="true" applyAlignment="true" applyProtection="true">
      <alignment horizontal="left" vertical="bottom" textRotation="0" wrapText="false" indent="0" shrinkToFit="false"/>
      <protection locked="true" hidden="true"/>
    </xf>
    <xf numFmtId="164" fontId="12" fillId="3" borderId="0" xfId="0" applyFont="true" applyBorder="true" applyAlignment="true" applyProtection="true">
      <alignment horizontal="general" vertical="center" textRotation="0" wrapText="false" indent="0" shrinkToFit="false"/>
      <protection locked="true" hidden="true"/>
    </xf>
    <xf numFmtId="164" fontId="12" fillId="3" borderId="8" xfId="0" applyFont="true" applyBorder="true" applyAlignment="true" applyProtection="true">
      <alignment horizontal="general" vertical="center" textRotation="0" wrapText="false" indent="0" shrinkToFit="false"/>
      <protection locked="true" hidden="true"/>
    </xf>
    <xf numFmtId="168" fontId="13" fillId="0" borderId="7" xfId="0" applyFont="true" applyBorder="true" applyAlignment="true" applyProtection="true">
      <alignment horizontal="center" vertical="center" textRotation="0" wrapText="false" indent="0" shrinkToFit="false"/>
      <protection locked="true" hidden="true"/>
    </xf>
    <xf numFmtId="165" fontId="13" fillId="0" borderId="7" xfId="0" applyFont="true" applyBorder="true" applyAlignment="true" applyProtection="true">
      <alignment horizontal="right" vertical="bottom" textRotation="0" wrapText="false" indent="0" shrinkToFit="false"/>
      <protection locked="true" hidden="true"/>
    </xf>
    <xf numFmtId="165" fontId="13" fillId="0" borderId="7" xfId="0" applyFont="true" applyBorder="true" applyAlignment="true" applyProtection="true">
      <alignment horizontal="left" vertical="bottom"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9" fillId="3" borderId="10" xfId="0" applyFont="true" applyBorder="true" applyAlignment="false" applyProtection="true">
      <alignment horizontal="general" vertical="bottom" textRotation="0" wrapText="false" indent="0" shrinkToFit="false"/>
      <protection locked="true" hidden="true"/>
    </xf>
    <xf numFmtId="164" fontId="9" fillId="3" borderId="11" xfId="0" applyFont="true" applyBorder="true" applyAlignment="false" applyProtection="true">
      <alignment horizontal="general" vertical="bottom" textRotation="0" wrapText="false" indent="0" shrinkToFit="false"/>
      <protection locked="true" hidden="true"/>
    </xf>
    <xf numFmtId="164" fontId="9" fillId="3" borderId="12" xfId="0" applyFont="true" applyBorder="true" applyAlignment="false" applyProtection="true">
      <alignment horizontal="general" vertical="bottom" textRotation="0" wrapText="false" indent="0" shrinkToFit="false"/>
      <protection locked="true" hidden="true"/>
    </xf>
    <xf numFmtId="165" fontId="24" fillId="0" borderId="20" xfId="0" applyFont="true" applyBorder="true" applyAlignment="true" applyProtection="true">
      <alignment horizontal="general" vertical="center" textRotation="0" wrapText="false" indent="0" shrinkToFit="false"/>
      <protection locked="true" hidden="true"/>
    </xf>
    <xf numFmtId="164" fontId="17" fillId="3" borderId="7" xfId="0" applyFont="true" applyBorder="true" applyAlignment="true" applyProtection="true">
      <alignment horizontal="center" vertical="center" textRotation="0" wrapText="false" indent="0" shrinkToFit="false"/>
      <protection locked="true" hidden="true"/>
    </xf>
    <xf numFmtId="169" fontId="13" fillId="0" borderId="7" xfId="0" applyFont="true" applyBorder="true" applyAlignment="true" applyProtection="true">
      <alignment horizontal="general" vertical="center" textRotation="0" wrapText="false" indent="0" shrinkToFit="false"/>
      <protection locked="true" hidden="true"/>
    </xf>
    <xf numFmtId="164" fontId="18" fillId="3" borderId="0" xfId="0" applyFont="true" applyBorder="false" applyAlignment="true" applyProtection="true">
      <alignment horizontal="center" vertical="center" textRotation="0" wrapText="false" indent="0" shrinkToFit="false"/>
      <protection locked="true" hidden="true"/>
    </xf>
    <xf numFmtId="170" fontId="17" fillId="3" borderId="7" xfId="0" applyFont="true" applyBorder="true" applyAlignment="true" applyProtection="true">
      <alignment horizontal="center" vertical="center" textRotation="0" wrapText="false" indent="0" shrinkToFit="false"/>
      <protection locked="true" hidden="true"/>
    </xf>
    <xf numFmtId="170" fontId="25" fillId="3" borderId="9" xfId="0" applyFont="true" applyBorder="true" applyAlignment="true" applyProtection="true">
      <alignment horizontal="center" vertical="center" textRotation="0" wrapText="false" indent="0" shrinkToFit="false"/>
      <protection locked="true" hidden="true"/>
    </xf>
    <xf numFmtId="170" fontId="25" fillId="3" borderId="0" xfId="0" applyFont="true" applyBorder="false" applyAlignment="true" applyProtection="true">
      <alignment horizontal="center" vertical="center" textRotation="0" wrapText="false" indent="0" shrinkToFit="false"/>
      <protection locked="true" hidden="true"/>
    </xf>
    <xf numFmtId="164" fontId="24" fillId="0" borderId="18" xfId="0" applyFont="true" applyBorder="true" applyAlignment="true" applyProtection="true">
      <alignment horizontal="general" vertical="center" textRotation="0" wrapText="false" indent="0" shrinkToFit="false"/>
      <protection locked="true" hidden="true"/>
    </xf>
    <xf numFmtId="164" fontId="12"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2" fillId="0" borderId="11" xfId="0" applyFont="true" applyBorder="true" applyAlignment="true" applyProtection="true">
      <alignment horizontal="general" vertical="center" textRotation="0" wrapText="false" indent="0" shrinkToFit="false"/>
      <protection locked="true" hidden="true"/>
    </xf>
    <xf numFmtId="164" fontId="12" fillId="3" borderId="9" xfId="0" applyFont="true" applyBorder="true" applyAlignment="false" applyProtection="true">
      <alignment horizontal="general" vertical="bottom" textRotation="0" wrapText="false" indent="0" shrinkToFit="false"/>
      <protection locked="true" hidden="true"/>
    </xf>
    <xf numFmtId="164" fontId="24" fillId="0" borderId="11" xfId="0" applyFont="true" applyBorder="true" applyAlignment="true" applyProtection="true">
      <alignment horizontal="general" vertical="center" textRotation="0" wrapText="false" indent="0" shrinkToFit="false"/>
      <protection locked="true" hidden="true"/>
    </xf>
    <xf numFmtId="164" fontId="9" fillId="3" borderId="8" xfId="0" applyFont="true" applyBorder="true" applyAlignment="true" applyProtection="true">
      <alignment horizontal="center" vertical="bottom" textRotation="0" wrapText="false" indent="0" shrinkToFit="false"/>
      <protection locked="true" hidden="true"/>
    </xf>
    <xf numFmtId="169" fontId="9" fillId="0" borderId="0" xfId="0" applyFont="true" applyBorder="false" applyAlignment="fals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general" vertical="center"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2" fillId="3" borderId="11" xfId="0" applyFont="true" applyBorder="true" applyAlignment="false" applyProtection="true">
      <alignment horizontal="general" vertical="bottom" textRotation="0" wrapText="false" indent="0" shrinkToFit="false"/>
      <protection locked="true" hidden="true"/>
    </xf>
    <xf numFmtId="171" fontId="12" fillId="3" borderId="0" xfId="0" applyFont="true" applyBorder="true" applyAlignment="false" applyProtection="true">
      <alignment horizontal="general" vertical="bottom" textRotation="0" wrapText="false" indent="0" shrinkToFit="false"/>
      <protection locked="true" hidden="true"/>
    </xf>
    <xf numFmtId="164" fontId="25" fillId="3" borderId="11" xfId="0" applyFont="true" applyBorder="true" applyAlignment="true" applyProtection="true">
      <alignment horizontal="center" vertical="center" textRotation="0" wrapText="false" indent="0" shrinkToFit="false"/>
      <protection locked="true" hidden="true"/>
    </xf>
    <xf numFmtId="164" fontId="13" fillId="3" borderId="11" xfId="0" applyFont="true" applyBorder="true" applyAlignment="true" applyProtection="true">
      <alignment horizontal="general" vertical="center" textRotation="0" wrapText="false" indent="0" shrinkToFit="false"/>
      <protection locked="true" hidden="true"/>
    </xf>
    <xf numFmtId="164" fontId="18" fillId="3" borderId="11" xfId="0" applyFont="true" applyBorder="true" applyAlignment="true" applyProtection="true">
      <alignment horizontal="center" vertical="center" textRotation="0" wrapText="false" indent="0" shrinkToFit="false"/>
      <protection locked="true" hidden="true"/>
    </xf>
    <xf numFmtId="170" fontId="25" fillId="3" borderId="11" xfId="0" applyFont="true" applyBorder="true" applyAlignment="true" applyProtection="true">
      <alignment horizontal="center"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72" fontId="26" fillId="0" borderId="0" xfId="0" applyFont="true" applyBorder="false" applyAlignment="true" applyProtection="true">
      <alignment horizontal="center" vertical="bottom" textRotation="0" wrapText="false" indent="0" shrinkToFit="false"/>
      <protection locked="true" hidden="true"/>
    </xf>
    <xf numFmtId="164" fontId="26" fillId="0" borderId="0" xfId="22" applyFont="true" applyBorder="false" applyAlignment="false" applyProtection="true">
      <alignment horizontal="general" vertical="bottom" textRotation="0" wrapText="false" indent="0" shrinkToFit="false"/>
      <protection locked="true" hidden="true"/>
    </xf>
    <xf numFmtId="164" fontId="27" fillId="5" borderId="21" xfId="0" applyFont="true" applyBorder="true" applyAlignment="true" applyProtection="true">
      <alignment horizontal="left" vertical="center" textRotation="0" wrapText="true" indent="1" shrinkToFit="false"/>
      <protection locked="true" hidden="true"/>
    </xf>
    <xf numFmtId="172" fontId="28" fillId="3" borderId="22" xfId="0" applyFont="true" applyBorder="true" applyAlignment="true" applyProtection="true">
      <alignment horizontal="center" vertical="center" textRotation="0" wrapText="false" indent="0" shrinkToFit="false"/>
      <protection locked="true" hidden="true"/>
    </xf>
    <xf numFmtId="173" fontId="29" fillId="3" borderId="23" xfId="0" applyFont="true" applyBorder="true" applyAlignment="true" applyProtection="false">
      <alignment horizontal="center" vertical="center" textRotation="0" wrapText="true" indent="0" shrinkToFit="false"/>
      <protection locked="true" hidden="false"/>
    </xf>
    <xf numFmtId="173" fontId="30" fillId="3" borderId="23" xfId="0" applyFont="true" applyBorder="true" applyAlignment="true" applyProtection="false">
      <alignment horizontal="center" vertical="center" textRotation="0" wrapText="true" indent="0" shrinkToFit="false"/>
      <protection locked="true" hidden="false"/>
    </xf>
    <xf numFmtId="173" fontId="31" fillId="3" borderId="23" xfId="0" applyFont="true" applyBorder="true" applyAlignment="true" applyProtection="false">
      <alignment horizontal="center" vertical="center" textRotation="0" wrapText="true" indent="0" shrinkToFit="false"/>
      <protection locked="true" hidden="false"/>
    </xf>
    <xf numFmtId="165" fontId="28" fillId="3" borderId="0" xfId="0" applyFont="true" applyBorder="false" applyAlignment="true" applyProtection="false">
      <alignment horizontal="center" vertical="center" textRotation="0" wrapText="false" indent="0" shrinkToFit="false"/>
      <protection locked="true" hidden="false"/>
    </xf>
    <xf numFmtId="164" fontId="26" fillId="3" borderId="0" xfId="0" applyFont="true" applyBorder="false" applyAlignment="false" applyProtection="true">
      <alignment horizontal="general" vertical="bottom" textRotation="0" wrapText="false" indent="0" shrinkToFit="false"/>
      <protection locked="true" hidden="true"/>
    </xf>
    <xf numFmtId="166" fontId="26" fillId="0" borderId="0" xfId="22" applyFont="true" applyBorder="false" applyAlignment="true" applyProtection="true">
      <alignment horizontal="center" vertical="bottom" textRotation="0" wrapText="false" indent="0" shrinkToFit="false"/>
      <protection locked="true" hidden="true"/>
    </xf>
    <xf numFmtId="164" fontId="9" fillId="3" borderId="21" xfId="0" applyFont="true" applyBorder="true" applyAlignment="true" applyProtection="true">
      <alignment horizontal="center" vertical="center" textRotation="0" wrapText="true" indent="0" shrinkToFit="false"/>
      <protection locked="true" hidden="true"/>
    </xf>
    <xf numFmtId="166" fontId="9" fillId="3" borderId="24" xfId="0" applyFont="true" applyBorder="true" applyAlignment="true" applyProtection="true">
      <alignment horizontal="center" vertical="center" textRotation="0" wrapText="true" indent="0" shrinkToFit="false"/>
      <protection locked="true" hidden="true"/>
    </xf>
    <xf numFmtId="166" fontId="9" fillId="3" borderId="21" xfId="0" applyFont="true" applyBorder="true" applyAlignment="true" applyProtection="true">
      <alignment horizontal="center" vertical="center" textRotation="0" wrapText="true" indent="0" shrinkToFit="false"/>
      <protection locked="true" hidden="true"/>
    </xf>
    <xf numFmtId="166" fontId="9" fillId="3" borderId="0" xfId="0" applyFont="true" applyBorder="false" applyAlignment="true" applyProtection="true">
      <alignment horizontal="center" vertical="bottom" textRotation="0" wrapText="false" indent="0" shrinkToFit="false"/>
      <protection locked="true" hidden="true"/>
    </xf>
    <xf numFmtId="166" fontId="9" fillId="0" borderId="0" xfId="0" applyFont="true" applyBorder="false" applyAlignment="true" applyProtection="true">
      <alignment horizontal="center" vertical="bottom" textRotation="0" wrapText="false" indent="0" shrinkToFit="false"/>
      <protection locked="true" hidden="true"/>
    </xf>
    <xf numFmtId="165" fontId="9" fillId="3" borderId="25" xfId="0" applyFont="true" applyBorder="true" applyAlignment="true" applyProtection="true">
      <alignment horizontal="center" vertical="center" textRotation="0" wrapText="true" indent="0" shrinkToFit="false"/>
      <protection locked="true" hidden="true"/>
    </xf>
    <xf numFmtId="164" fontId="28" fillId="0" borderId="0" xfId="22" applyFont="true" applyBorder="false" applyAlignment="true" applyProtection="true">
      <alignment horizontal="center" vertical="bottom" textRotation="0" wrapText="false" indent="0" shrinkToFit="false"/>
      <protection locked="true" hidden="true"/>
    </xf>
    <xf numFmtId="165" fontId="26" fillId="3" borderId="0" xfId="0" applyFont="true" applyBorder="false" applyAlignment="true" applyProtection="true">
      <alignment horizontal="left" vertical="bottom" textRotation="0" wrapText="false" indent="1" shrinkToFit="false"/>
      <protection locked="true" hidden="true"/>
    </xf>
    <xf numFmtId="172" fontId="28" fillId="3"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64" fontId="28" fillId="0" borderId="0" xfId="0" applyFont="true" applyBorder="fals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true" indent="1" shrinkToFit="false"/>
      <protection locked="true" hidden="true"/>
    </xf>
    <xf numFmtId="172" fontId="26" fillId="3" borderId="26" xfId="0" applyFont="true" applyBorder="true" applyAlignment="true" applyProtection="true">
      <alignment horizontal="center" vertical="bottom" textRotation="0" wrapText="false" indent="0" shrinkToFit="false"/>
      <protection locked="true" hidden="true"/>
    </xf>
    <xf numFmtId="172" fontId="26" fillId="3" borderId="21" xfId="0" applyFont="true" applyBorder="true" applyAlignment="true" applyProtection="true">
      <alignment horizontal="center" vertical="bottom" textRotation="0" wrapText="false" indent="0" shrinkToFit="false"/>
      <protection locked="true" hidden="true"/>
    </xf>
    <xf numFmtId="172" fontId="26" fillId="3" borderId="27" xfId="0" applyFont="true" applyBorder="true" applyAlignment="true" applyProtection="true">
      <alignment horizontal="center" vertical="bottom" textRotation="0" wrapText="false" indent="0" shrinkToFit="false"/>
      <protection locked="true" hidden="true"/>
    </xf>
    <xf numFmtId="172" fontId="26" fillId="0" borderId="28" xfId="0" applyFont="true" applyBorder="true" applyAlignment="true" applyProtection="true">
      <alignment horizontal="center" vertical="bottom" textRotation="0" wrapText="false" indent="0" shrinkToFit="false"/>
      <protection locked="true" hidden="true"/>
    </xf>
    <xf numFmtId="172" fontId="26" fillId="0" borderId="29" xfId="0" applyFont="true" applyBorder="true" applyAlignment="true" applyProtection="true">
      <alignment horizontal="center" vertical="bottom" textRotation="0" wrapText="false" indent="0" shrinkToFit="false"/>
      <protection locked="true" hidden="true"/>
    </xf>
    <xf numFmtId="174" fontId="26" fillId="0" borderId="0" xfId="22" applyFont="true" applyBorder="false" applyAlignment="false" applyProtection="true">
      <alignment horizontal="general" vertical="bottom" textRotation="0" wrapText="false" indent="0" shrinkToFit="false"/>
      <protection locked="true" hidden="true"/>
    </xf>
    <xf numFmtId="164" fontId="26" fillId="3" borderId="0" xfId="0" applyFont="true" applyBorder="false" applyAlignment="true" applyProtection="false">
      <alignment horizontal="left" vertical="bottom" textRotation="0" wrapText="false" indent="1" shrinkToFit="false"/>
      <protection locked="true" hidden="false"/>
    </xf>
    <xf numFmtId="172" fontId="26" fillId="0" borderId="30" xfId="0" applyFont="true" applyBorder="true" applyAlignment="true" applyProtection="true">
      <alignment horizontal="center" vertical="bottom" textRotation="0" wrapText="false" indent="0" shrinkToFit="false"/>
      <protection locked="true" hidden="true"/>
    </xf>
    <xf numFmtId="172" fontId="26" fillId="0" borderId="31" xfId="0" applyFont="true" applyBorder="true" applyAlignment="true" applyProtection="true">
      <alignment horizontal="center" vertical="bottom" textRotation="0" wrapText="false" indent="0" shrinkToFit="false"/>
      <protection locked="true" hidden="true"/>
    </xf>
    <xf numFmtId="172" fontId="26" fillId="0" borderId="32" xfId="0" applyFont="true" applyBorder="tru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26" fillId="0" borderId="25" xfId="0" applyFont="true" applyBorder="true" applyAlignment="true" applyProtection="true">
      <alignment horizontal="center" vertical="bottom" textRotation="0" wrapText="false" indent="0" shrinkToFit="false"/>
      <protection locked="true" hidden="true"/>
    </xf>
    <xf numFmtId="169" fontId="33" fillId="3" borderId="33" xfId="0" applyFont="true" applyBorder="true" applyAlignment="false" applyProtection="false">
      <alignment horizontal="general" vertical="bottom" textRotation="0" wrapText="false" indent="0" shrinkToFit="false"/>
      <protection locked="true" hidden="false"/>
    </xf>
    <xf numFmtId="172"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5"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3" borderId="36" xfId="0" applyFont="true" applyBorder="true" applyAlignment="true" applyProtection="false">
      <alignment horizontal="left" vertical="bottom" textRotation="0" wrapText="false" indent="1" shrinkToFit="false"/>
      <protection locked="true" hidden="false"/>
    </xf>
    <xf numFmtId="169"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8" xfId="0" applyFont="true" applyBorder="true" applyAlignment="false" applyProtection="false">
      <alignment horizontal="general" vertical="bottom" textRotation="0" wrapText="false" indent="0" shrinkToFit="false"/>
      <protection locked="true" hidden="false"/>
    </xf>
    <xf numFmtId="164" fontId="34" fillId="3" borderId="23" xfId="0" applyFont="true" applyBorder="true" applyAlignment="true" applyProtection="false">
      <alignment horizontal="left" vertical="bottom" textRotation="0" wrapText="false" indent="1" shrinkToFit="false"/>
      <protection locked="true" hidden="false"/>
    </xf>
    <xf numFmtId="172" fontId="34" fillId="3" borderId="23" xfId="0" applyFont="true" applyBorder="true" applyAlignment="false" applyProtection="false">
      <alignment horizontal="general" vertical="bottom" textRotation="0" wrapText="false" indent="0"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4" fontId="33" fillId="3" borderId="39" xfId="0" applyFont="true" applyBorder="true" applyAlignment="false" applyProtection="false">
      <alignment horizontal="general" vertical="bottom" textRotation="0" wrapText="false" indent="0" shrinkToFit="false"/>
      <protection locked="true" hidden="false"/>
    </xf>
    <xf numFmtId="164" fontId="33" fillId="3" borderId="40" xfId="0" applyFont="true" applyBorder="true" applyAlignment="true" applyProtection="false">
      <alignment horizontal="left" vertical="bottom" textRotation="0" wrapText="false" indent="1" shrinkToFit="false"/>
      <protection locked="true" hidden="false"/>
    </xf>
    <xf numFmtId="172" fontId="33" fillId="3" borderId="0" xfId="0" applyFont="true" applyBorder="false" applyAlignment="true" applyProtection="false">
      <alignment horizontal="center" vertical="bottom" textRotation="0" wrapText="false" indent="0" shrinkToFit="false"/>
      <protection locked="true" hidden="false"/>
    </xf>
    <xf numFmtId="172" fontId="33" fillId="0" borderId="21" xfId="0" applyFont="true" applyBorder="true" applyAlignment="false" applyProtection="false">
      <alignment horizontal="general" vertical="bottom" textRotation="0" wrapText="false" indent="0" shrinkToFit="false"/>
      <protection locked="true" hidden="false"/>
    </xf>
    <xf numFmtId="172" fontId="33" fillId="3" borderId="27" xfId="0" applyFont="true" applyBorder="true" applyAlignment="false" applyProtection="false">
      <alignment horizontal="general" vertical="bottom" textRotation="0" wrapText="false" indent="0" shrinkToFit="false"/>
      <protection locked="true" hidden="false"/>
    </xf>
    <xf numFmtId="169"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4" fontId="26" fillId="3" borderId="0" xfId="22" applyFont="true" applyBorder="false" applyAlignment="false" applyProtection="true">
      <alignment horizontal="general" vertical="bottom" textRotation="0" wrapText="false" indent="0" shrinkToFit="false"/>
      <protection locked="true" hidden="true"/>
    </xf>
    <xf numFmtId="164" fontId="32" fillId="3" borderId="21" xfId="22" applyFont="true" applyBorder="true" applyAlignment="true" applyProtection="true">
      <alignment horizontal="center" vertical="center" textRotation="0" wrapText="false" indent="0" shrinkToFit="false"/>
      <protection locked="true" hidden="true"/>
    </xf>
    <xf numFmtId="172" fontId="26" fillId="0" borderId="0" xfId="22" applyFont="true" applyBorder="false" applyAlignment="false" applyProtection="true">
      <alignment horizontal="general" vertical="bottom" textRotation="0" wrapText="false" indent="0" shrinkToFit="false"/>
      <protection locked="true" hidden="true"/>
    </xf>
    <xf numFmtId="175" fontId="26" fillId="0" borderId="0" xfId="22" applyFont="true" applyBorder="false" applyAlignment="false" applyProtection="true">
      <alignment horizontal="general" vertical="bottom" textRotation="0" wrapText="false" indent="0" shrinkToFit="false"/>
      <protection locked="true" hidden="true"/>
    </xf>
    <xf numFmtId="164" fontId="32" fillId="3" borderId="0" xfId="22" applyFont="true" applyBorder="false" applyAlignment="false" applyProtection="true">
      <alignment horizontal="general" vertical="bottom" textRotation="0" wrapText="false" indent="0" shrinkToFit="false"/>
      <protection locked="true" hidden="true"/>
    </xf>
    <xf numFmtId="172" fontId="32" fillId="0" borderId="22" xfId="22" applyFont="true" applyBorder="true" applyAlignment="false" applyProtection="true">
      <alignment horizontal="general" vertical="bottom" textRotation="0" wrapText="false" indent="0" shrinkToFit="false"/>
      <protection locked="true" hidden="true"/>
    </xf>
    <xf numFmtId="164" fontId="26" fillId="3" borderId="22" xfId="22" applyFont="true" applyBorder="true" applyAlignment="false" applyProtection="true">
      <alignment horizontal="general" vertical="bottom" textRotation="0" wrapText="false" indent="0" shrinkToFit="false"/>
      <protection locked="true" hidden="true"/>
    </xf>
    <xf numFmtId="172" fontId="26" fillId="0" borderId="0" xfId="22" applyFont="true" applyBorder="false" applyAlignment="true" applyProtection="true">
      <alignment horizontal="center" vertical="bottom" textRotation="0" wrapText="false" indent="0" shrinkToFit="false"/>
      <protection locked="true" hidden="true"/>
    </xf>
    <xf numFmtId="171"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true" applyProtection="false">
      <alignment horizontal="center" vertical="bottom" textRotation="0" wrapText="false" indent="0" shrinkToFit="false"/>
      <protection locked="true" hidden="false"/>
    </xf>
    <xf numFmtId="175"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center" vertical="bottom" textRotation="0" wrapText="false" indent="0" shrinkToFit="false"/>
      <protection locked="true" hidden="false"/>
    </xf>
    <xf numFmtId="171" fontId="33" fillId="3" borderId="26" xfId="0" applyFont="true" applyBorder="true" applyAlignment="true" applyProtection="false">
      <alignment horizontal="center" vertical="center" textRotation="0" wrapText="true" indent="0" shrinkToFit="false"/>
      <protection locked="true" hidden="false"/>
    </xf>
    <xf numFmtId="164" fontId="10" fillId="3" borderId="41" xfId="0" applyFont="true" applyBorder="true" applyAlignment="true" applyProtection="false">
      <alignment horizontal="right" vertical="center" textRotation="0" wrapText="false" indent="0" shrinkToFit="false"/>
      <protection locked="true" hidden="false"/>
    </xf>
    <xf numFmtId="167" fontId="10" fillId="3" borderId="42" xfId="0" applyFont="true" applyBorder="true" applyAlignment="true" applyProtection="false">
      <alignment horizontal="center" vertical="center" textRotation="0" wrapText="false" indent="0" shrinkToFit="false"/>
      <protection locked="true" hidden="false"/>
    </xf>
    <xf numFmtId="173" fontId="34" fillId="3" borderId="27" xfId="0" applyFont="true" applyBorder="true" applyAlignment="true" applyProtection="false">
      <alignment horizontal="center" vertical="bottom" textRotation="0" wrapText="false" indent="0" shrinkToFit="false"/>
      <protection locked="true" hidden="false"/>
    </xf>
    <xf numFmtId="173" fontId="34" fillId="3" borderId="0" xfId="0" applyFont="true" applyBorder="true" applyAlignment="true" applyProtection="false">
      <alignment horizontal="center" vertical="bottom" textRotation="0" wrapText="false" indent="0" shrinkToFit="false"/>
      <protection locked="true" hidden="false"/>
    </xf>
    <xf numFmtId="176" fontId="33" fillId="3" borderId="21" xfId="0" applyFont="true" applyBorder="true" applyAlignment="true" applyProtection="false">
      <alignment horizontal="center" vertical="center" textRotation="0" wrapText="true" indent="0" shrinkToFit="false"/>
      <protection locked="true" hidden="false"/>
    </xf>
    <xf numFmtId="175" fontId="34" fillId="3" borderId="43" xfId="0" applyFont="true" applyBorder="true" applyAlignment="true" applyProtection="false">
      <alignment horizontal="center" vertical="bottom" textRotation="0" wrapText="false" indent="0" shrinkToFit="false"/>
      <protection locked="true" hidden="false"/>
    </xf>
    <xf numFmtId="173" fontId="34" fillId="3" borderId="21" xfId="0" applyFont="true" applyBorder="true" applyAlignment="true" applyProtection="false">
      <alignment horizontal="center" vertical="bottom" textRotation="0" wrapText="false" indent="0" shrinkToFit="false"/>
      <protection locked="true" hidden="false"/>
    </xf>
    <xf numFmtId="171" fontId="33" fillId="3"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3" fillId="3" borderId="25" xfId="0" applyFont="true" applyBorder="true" applyAlignment="true" applyProtection="false">
      <alignment horizontal="center" vertical="center" textRotation="0" wrapText="true" indent="0" shrinkToFit="false"/>
      <protection locked="true" hidden="false"/>
    </xf>
    <xf numFmtId="164" fontId="33" fillId="3" borderId="25" xfId="0" applyFont="true" applyBorder="true" applyAlignment="true" applyProtection="false">
      <alignment horizontal="center" vertical="center" textRotation="0" wrapText="true" indent="0" shrinkToFit="false"/>
      <protection locked="true" hidden="false"/>
    </xf>
    <xf numFmtId="173" fontId="33" fillId="3" borderId="21" xfId="0" applyFont="true" applyBorder="true" applyAlignment="true" applyProtection="false">
      <alignment horizontal="center" vertical="center" textRotation="0" wrapText="true" indent="0" shrinkToFit="false"/>
      <protection locked="true" hidden="false"/>
    </xf>
    <xf numFmtId="171" fontId="12" fillId="3" borderId="21" xfId="0" applyFont="true" applyBorder="true" applyAlignment="true" applyProtection="false">
      <alignment horizontal="center" vertical="center" textRotation="0" wrapText="true" indent="0" shrinkToFit="false"/>
      <protection locked="true" hidden="false"/>
    </xf>
    <xf numFmtId="176" fontId="34" fillId="3" borderId="21" xfId="0" applyFont="true" applyBorder="true" applyAlignment="true" applyProtection="false">
      <alignment horizontal="center" vertical="bottom" textRotation="0" wrapText="false" indent="0" shrinkToFit="false"/>
      <protection locked="true" hidden="false"/>
    </xf>
    <xf numFmtId="177" fontId="33" fillId="0" borderId="0" xfId="0" applyFont="true" applyBorder="false" applyAlignment="fals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false" applyProtection="false">
      <alignment horizontal="general" vertical="bottom" textRotation="0" wrapText="false" indent="0" shrinkToFit="false"/>
      <protection locked="true" hidden="false"/>
    </xf>
    <xf numFmtId="176" fontId="33"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3" fillId="3"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71" fontId="9"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71" fontId="33" fillId="0" borderId="25" xfId="0" applyFont="true" applyBorder="true" applyAlignment="false" applyProtection="false">
      <alignment horizontal="general"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3" fillId="0" borderId="25" xfId="0" applyFont="true" applyBorder="true" applyAlignment="false" applyProtection="false">
      <alignment horizontal="general" vertical="bottom" textRotation="0" wrapText="false" indent="0" shrinkToFit="false"/>
      <protection locked="true" hidden="false"/>
    </xf>
    <xf numFmtId="172" fontId="33" fillId="0" borderId="21"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false" applyAlignment="true" applyProtection="false">
      <alignment horizontal="center" vertical="center" textRotation="0" wrapText="false" indent="0" shrinkToFit="false"/>
      <protection locked="true" hidden="false"/>
    </xf>
    <xf numFmtId="171" fontId="33" fillId="0" borderId="21" xfId="0" applyFont="true" applyBorder="true" applyAlignment="false" applyProtection="false">
      <alignment horizontal="general" vertical="bottom" textRotation="0" wrapText="false" indent="0" shrinkToFit="false"/>
      <protection locked="true" hidden="false"/>
    </xf>
    <xf numFmtId="173"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71" fontId="33" fillId="0" borderId="24"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73" fontId="33" fillId="0" borderId="24" xfId="0" applyFont="true" applyBorder="true" applyAlignment="false" applyProtection="false">
      <alignment horizontal="general"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false" indent="0" shrinkToFit="false"/>
      <protection locked="true" hidden="false"/>
    </xf>
    <xf numFmtId="171" fontId="33" fillId="5" borderId="45" xfId="0" applyFont="true" applyBorder="true" applyAlignment="true" applyProtection="false">
      <alignment horizontal="left" vertical="bottom" textRotation="0" wrapText="false" indent="0" shrinkToFit="false"/>
      <protection locked="true" hidden="false"/>
    </xf>
    <xf numFmtId="173" fontId="33" fillId="3" borderId="21" xfId="0" applyFont="true" applyBorder="true" applyAlignment="false" applyProtection="false">
      <alignment horizontal="general" vertical="bottom" textRotation="0" wrapText="false" indent="0" shrinkToFit="false"/>
      <protection locked="true" hidden="false"/>
    </xf>
    <xf numFmtId="172" fontId="33" fillId="3" borderId="21" xfId="0" applyFont="true" applyBorder="true" applyAlignment="true" applyProtection="false">
      <alignment horizontal="center" vertical="bottom" textRotation="0" wrapText="false" indent="0" shrinkToFit="false"/>
      <protection locked="true" hidden="false"/>
    </xf>
    <xf numFmtId="173" fontId="33" fillId="3" borderId="21" xfId="0" applyFont="true" applyBorder="true" applyAlignment="true" applyProtection="false">
      <alignment horizontal="center"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9" fillId="5" borderId="42" xfId="0" applyFont="true" applyBorder="true" applyAlignment="true" applyProtection="false">
      <alignment horizontal="left" vertical="bottom" textRotation="0" wrapText="false" indent="0" shrinkToFit="false"/>
      <protection locked="true" hidden="false"/>
    </xf>
    <xf numFmtId="176" fontId="33" fillId="0" borderId="21" xfId="0" applyFont="true" applyBorder="true" applyAlignment="true" applyProtection="false">
      <alignment horizontal="center"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true" indent="0" shrinkToFit="false"/>
      <protection locked="true" hidden="false"/>
    </xf>
    <xf numFmtId="171" fontId="33" fillId="5" borderId="42" xfId="0" applyFont="true" applyBorder="true" applyAlignment="true" applyProtection="false">
      <alignment horizontal="left" vertical="bottom" textRotation="0" wrapText="false" indent="0" shrinkToFit="false"/>
      <protection locked="true" hidden="false"/>
    </xf>
    <xf numFmtId="173" fontId="33" fillId="3" borderId="27" xfId="0" applyFont="true" applyBorder="true" applyAlignment="false" applyProtection="false">
      <alignment horizontal="general" vertical="bottom" textRotation="0" wrapText="false" indent="0" shrinkToFit="false"/>
      <protection locked="true" hidden="false"/>
    </xf>
    <xf numFmtId="164" fontId="10" fillId="5" borderId="41" xfId="0" applyFont="true" applyBorder="true" applyAlignment="true" applyProtection="false">
      <alignment horizontal="right" vertical="center" textRotation="0" wrapText="false" indent="0" shrinkToFit="false"/>
      <protection locked="true" hidden="false"/>
    </xf>
    <xf numFmtId="167" fontId="10" fillId="5" borderId="42" xfId="0" applyFont="true" applyBorder="true" applyAlignment="true" applyProtection="false">
      <alignment horizontal="center" vertical="center" textRotation="0" wrapText="false" indent="0" shrinkToFit="false"/>
      <protection locked="true" hidden="false"/>
    </xf>
    <xf numFmtId="173" fontId="33" fillId="3" borderId="23" xfId="0" applyFont="true" applyBorder="true" applyAlignment="false" applyProtection="false">
      <alignment horizontal="general" vertical="bottom" textRotation="0" wrapText="false" indent="0" shrinkToFit="false"/>
      <protection locked="true" hidden="false"/>
    </xf>
    <xf numFmtId="172" fontId="33" fillId="3" borderId="23" xfId="0" applyFont="true" applyBorder="true" applyAlignment="true" applyProtection="false">
      <alignment horizontal="center" vertical="bottom" textRotation="0" wrapText="false" indent="0" shrinkToFit="false"/>
      <protection locked="true" hidden="false"/>
    </xf>
    <xf numFmtId="173" fontId="33" fillId="3" borderId="23" xfId="0" applyFont="true" applyBorder="true" applyAlignment="true" applyProtection="false">
      <alignment horizontal="center" vertical="bottom" textRotation="0" wrapText="false" indent="0" shrinkToFit="false"/>
      <protection locked="true" hidden="false"/>
    </xf>
    <xf numFmtId="171" fontId="10" fillId="3" borderId="0" xfId="0" applyFont="true" applyBorder="false" applyAlignment="true" applyProtection="false">
      <alignment horizontal="center" vertical="bottom" textRotation="0" wrapText="true" indent="0" shrinkToFit="false"/>
      <protection locked="true" hidden="false"/>
    </xf>
    <xf numFmtId="164" fontId="35"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71" fontId="9" fillId="6" borderId="42" xfId="0" applyFont="true" applyBorder="true" applyAlignment="true" applyProtection="false">
      <alignment horizontal="left" vertical="bottom" textRotation="0" wrapText="false" indent="0" shrinkToFit="false"/>
      <protection locked="true" hidden="false"/>
    </xf>
    <xf numFmtId="164" fontId="34" fillId="0" borderId="25" xfId="0" applyFont="tru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center" textRotation="0" wrapText="false" indent="0" shrinkToFit="false"/>
      <protection locked="true" hidden="false"/>
    </xf>
    <xf numFmtId="164" fontId="34" fillId="0" borderId="21" xfId="0" applyFont="true" applyBorder="true" applyAlignment="false" applyProtection="false">
      <alignment horizontal="general" vertical="bottom" textRotation="0" wrapText="false" indent="0" shrinkToFit="false"/>
      <protection locked="true" hidden="false"/>
    </xf>
    <xf numFmtId="164" fontId="34" fillId="0" borderId="24" xfId="0" applyFont="true" applyBorder="true" applyAlignment="false" applyProtection="false">
      <alignment horizontal="general"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false" indent="0" shrinkToFit="false"/>
      <protection locked="true" hidden="false"/>
    </xf>
    <xf numFmtId="171" fontId="33" fillId="6" borderId="4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9" fillId="6" borderId="42" xfId="0" applyFont="true" applyBorder="true" applyAlignment="true" applyProtection="false">
      <alignment horizontal="left"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true" indent="0" shrinkToFit="false"/>
      <protection locked="true" hidden="false"/>
    </xf>
    <xf numFmtId="171" fontId="33" fillId="6" borderId="42" xfId="0" applyFont="true" applyBorder="true" applyAlignment="true" applyProtection="false">
      <alignment horizontal="left" vertical="bottom" textRotation="0" wrapText="false" indent="0" shrinkToFit="false"/>
      <protection locked="true" hidden="false"/>
    </xf>
    <xf numFmtId="173" fontId="33" fillId="3" borderId="26" xfId="0" applyFont="true" applyBorder="true" applyAlignment="false" applyProtection="false">
      <alignment horizontal="general" vertical="bottom" textRotation="0" wrapText="false" indent="0" shrinkToFit="false"/>
      <protection locked="true" hidden="false"/>
    </xf>
    <xf numFmtId="164" fontId="10" fillId="6" borderId="41" xfId="0" applyFont="true" applyBorder="true" applyAlignment="true" applyProtection="false">
      <alignment horizontal="right" vertical="center" textRotation="0" wrapText="false" indent="0" shrinkToFit="false"/>
      <protection locked="true" hidden="false"/>
    </xf>
    <xf numFmtId="165" fontId="5" fillId="6" borderId="42" xfId="0" applyFont="true" applyBorder="true" applyAlignment="true" applyProtection="false">
      <alignment horizontal="center" vertical="center"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true"/>
    </xf>
    <xf numFmtId="173" fontId="26" fillId="0" borderId="0" xfId="0" applyFont="true" applyBorder="false" applyAlignment="true" applyProtection="true">
      <alignment horizontal="center" vertical="bottom" textRotation="0" wrapText="false" indent="0" shrinkToFit="false"/>
      <protection locked="true" hidden="true"/>
    </xf>
    <xf numFmtId="170" fontId="26" fillId="0" borderId="0" xfId="0" applyFont="true" applyBorder="false" applyAlignment="false" applyProtection="true">
      <alignment horizontal="general" vertical="bottom" textRotation="0" wrapText="false" indent="0" shrinkToFit="false"/>
      <protection locked="true" hidden="true"/>
    </xf>
    <xf numFmtId="174" fontId="26" fillId="3" borderId="0" xfId="0" applyFont="true" applyBorder="false" applyAlignment="true" applyProtection="true">
      <alignment horizontal="center" vertical="bottom" textRotation="0" wrapText="false" indent="0" shrinkToFit="false"/>
      <protection locked="true" hidden="true"/>
    </xf>
    <xf numFmtId="173" fontId="26" fillId="3" borderId="0" xfId="0" applyFont="true" applyBorder="false" applyAlignment="true" applyProtection="true">
      <alignment horizontal="center" vertical="bottom" textRotation="0" wrapText="false" indent="0" shrinkToFit="false"/>
      <protection locked="true" hidden="true"/>
    </xf>
    <xf numFmtId="170" fontId="26"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5" fontId="5" fillId="3" borderId="42" xfId="0" applyFont="true" applyBorder="true" applyAlignment="true" applyProtection="false">
      <alignment horizontal="left" vertical="center" textRotation="0" wrapText="true" indent="1" shrinkToFit="false"/>
      <protection locked="true" hidden="false"/>
    </xf>
    <xf numFmtId="174" fontId="26" fillId="3" borderId="27" xfId="0" applyFont="true" applyBorder="true" applyAlignment="true" applyProtection="true">
      <alignment horizontal="center" vertical="center" textRotation="0" wrapText="true" indent="0" shrinkToFit="false"/>
      <protection locked="true" hidden="true"/>
    </xf>
    <xf numFmtId="172" fontId="26"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6" fillId="3" borderId="0" xfId="0" applyFont="true" applyBorder="false" applyAlignment="true" applyProtection="true">
      <alignment horizontal="center" vertical="bottom" textRotation="0" wrapText="false" indent="0" shrinkToFit="false"/>
      <protection locked="true" hidden="true"/>
    </xf>
    <xf numFmtId="164" fontId="26" fillId="3" borderId="21" xfId="0" applyFont="true" applyBorder="true" applyAlignment="true" applyProtection="true">
      <alignment horizontal="left" vertical="center" textRotation="0" wrapText="false" indent="1" shrinkToFit="false"/>
      <protection locked="true" hidden="true"/>
    </xf>
    <xf numFmtId="173" fontId="26" fillId="0" borderId="21" xfId="0" applyFont="true" applyBorder="true" applyAlignment="true" applyProtection="true">
      <alignment horizontal="center" vertical="bottom" textRotation="0" wrapText="false" indent="0" shrinkToFit="false"/>
      <protection locked="true" hidden="true"/>
    </xf>
    <xf numFmtId="173" fontId="26" fillId="0" borderId="0" xfId="0" applyFont="true" applyBorder="false" applyAlignment="false" applyProtection="true">
      <alignment horizontal="general" vertical="bottom" textRotation="0" wrapText="false" indent="0" shrinkToFit="false"/>
      <protection locked="true" hidden="true"/>
    </xf>
    <xf numFmtId="179" fontId="26" fillId="3" borderId="0" xfId="0" applyFont="true" applyBorder="false" applyAlignment="true" applyProtection="true">
      <alignment horizontal="center" vertical="bottom" textRotation="0" wrapText="false" indent="0" shrinkToFit="false"/>
      <protection locked="true" hidden="true"/>
    </xf>
    <xf numFmtId="176" fontId="26" fillId="3" borderId="0" xfId="0" applyFont="true" applyBorder="false" applyAlignment="true" applyProtection="true">
      <alignment horizontal="center" vertical="bottom" textRotation="0" wrapText="false" indent="0" shrinkToFit="false"/>
      <protection locked="true" hidden="true"/>
    </xf>
    <xf numFmtId="164" fontId="36" fillId="0" borderId="0" xfId="0" applyFont="true" applyBorder="false" applyAlignment="false" applyProtection="true">
      <alignment horizontal="general" vertical="bottom" textRotation="0" wrapText="false" indent="0" shrinkToFit="false"/>
      <protection locked="true" hidden="true"/>
    </xf>
    <xf numFmtId="164" fontId="26" fillId="3" borderId="23" xfId="0" applyFont="true" applyBorder="true" applyAlignment="true" applyProtection="true">
      <alignment horizontal="left" vertical="center" textRotation="0" wrapText="false" indent="1" shrinkToFit="false"/>
      <protection locked="true" hidden="true"/>
    </xf>
    <xf numFmtId="164" fontId="26"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2" fillId="0" borderId="23" xfId="0" applyFont="true" applyBorder="true" applyAlignment="true" applyProtection="true">
      <alignment horizontal="center" vertical="bottom" textRotation="0" wrapText="false" indent="0" shrinkToFit="false"/>
      <protection locked="true" hidden="true"/>
    </xf>
    <xf numFmtId="178" fontId="26" fillId="3" borderId="0" xfId="0" applyFont="true" applyBorder="false" applyAlignment="false" applyProtection="true">
      <alignment horizontal="general" vertical="bottom" textRotation="0" wrapText="false" indent="0" shrinkToFit="false"/>
      <protection locked="true" hidden="true"/>
    </xf>
    <xf numFmtId="170" fontId="37" fillId="3" borderId="0" xfId="0" applyFont="true" applyBorder="false" applyAlignment="true" applyProtection="true">
      <alignment horizontal="center" vertical="bottom" textRotation="0" wrapText="false" indent="0" shrinkToFit="false"/>
      <protection locked="true" hidden="true"/>
    </xf>
    <xf numFmtId="172" fontId="32" fillId="3" borderId="0" xfId="0" applyFont="true" applyBorder="false" applyAlignment="true" applyProtection="true">
      <alignment horizontal="center" vertical="bottom" textRotation="0" wrapText="false" indent="0" shrinkToFit="false"/>
      <protection locked="true" hidden="true"/>
    </xf>
    <xf numFmtId="164" fontId="38" fillId="3" borderId="0" xfId="0" applyFont="true" applyBorder="false" applyAlignment="true" applyProtection="true">
      <alignment horizontal="right" vertical="bottom" textRotation="0" wrapText="false" indent="0" shrinkToFit="false"/>
      <protection locked="true" hidden="true"/>
    </xf>
    <xf numFmtId="167" fontId="38" fillId="3" borderId="0" xfId="0" applyFont="true" applyBorder="true" applyAlignment="true" applyProtection="true">
      <alignment horizontal="left" vertical="bottom" textRotation="0" wrapText="false" indent="0" shrinkToFit="false"/>
      <protection locked="true" hidden="true"/>
    </xf>
    <xf numFmtId="171" fontId="26" fillId="3" borderId="0" xfId="0" applyFont="true" applyBorder="false" applyAlignment="true" applyProtection="true">
      <alignment horizontal="center" vertical="bottom" textRotation="0" wrapText="false" indent="0" shrinkToFit="false"/>
      <protection locked="true" hidden="true"/>
    </xf>
    <xf numFmtId="173" fontId="32" fillId="3" borderId="0" xfId="0" applyFont="true" applyBorder="false" applyAlignment="true" applyProtection="true">
      <alignment horizontal="center" vertical="bottom" textRotation="0" wrapText="false" indent="0" shrinkToFit="false"/>
      <protection locked="true" hidden="true"/>
    </xf>
    <xf numFmtId="164" fontId="26" fillId="3" borderId="23" xfId="0" applyFont="true" applyBorder="true" applyAlignment="true" applyProtection="true">
      <alignment horizontal="left" vertical="bottom" textRotation="0" wrapText="false" indent="1" shrinkToFit="false"/>
      <protection locked="true" hidden="true"/>
    </xf>
    <xf numFmtId="173" fontId="26" fillId="3" borderId="21" xfId="0" applyFont="true" applyBorder="true" applyAlignment="true" applyProtection="true">
      <alignment horizontal="center" vertical="bottom" textRotation="0" wrapText="false" indent="0" shrinkToFit="false"/>
      <protection locked="true" hidden="true"/>
    </xf>
    <xf numFmtId="164" fontId="32" fillId="3" borderId="23" xfId="0" applyFont="true" applyBorder="true" applyAlignment="true" applyProtection="true">
      <alignment horizontal="left" vertical="bottom" textRotation="0" wrapText="false" indent="1" shrinkToFit="false"/>
      <protection locked="true" hidden="true"/>
    </xf>
    <xf numFmtId="164" fontId="32" fillId="3" borderId="0" xfId="0" applyFont="true" applyBorder="false" applyAlignment="true" applyProtection="true">
      <alignment horizontal="center" vertical="bottom" textRotation="0" wrapText="false" indent="0" shrinkToFit="false"/>
      <protection locked="true" hidden="true"/>
    </xf>
    <xf numFmtId="164" fontId="26" fillId="3" borderId="41" xfId="0" applyFont="true" applyBorder="true" applyAlignment="true" applyProtection="true">
      <alignment horizontal="left" vertical="center" textRotation="0" wrapText="false" indent="1" shrinkToFit="false"/>
      <protection locked="true" hidden="true"/>
    </xf>
    <xf numFmtId="172" fontId="26" fillId="3" borderId="23" xfId="0" applyFont="true" applyBorder="true" applyAlignment="true" applyProtection="true">
      <alignment horizontal="center" vertical="center" textRotation="0" wrapText="true" indent="0" shrinkToFit="false"/>
      <protection locked="true" hidden="true"/>
    </xf>
    <xf numFmtId="164" fontId="26" fillId="3" borderId="0" xfId="0" applyFont="true" applyBorder="false" applyAlignment="true" applyProtection="true">
      <alignment horizontal="center" vertical="bottom" textRotation="0" wrapText="false" indent="0" shrinkToFit="false"/>
      <protection locked="true" hidden="true"/>
    </xf>
    <xf numFmtId="174" fontId="26" fillId="3" borderId="21" xfId="0" applyFont="true" applyBorder="true" applyAlignment="true" applyProtection="true">
      <alignment horizontal="center" vertical="bottom" textRotation="0" wrapText="true" indent="0" shrinkToFit="false"/>
      <protection locked="true" hidden="true"/>
    </xf>
    <xf numFmtId="173" fontId="26" fillId="3" borderId="21" xfId="0" applyFont="true" applyBorder="true" applyAlignment="true" applyProtection="true">
      <alignment horizontal="center" vertical="bottom" textRotation="0" wrapText="true" indent="0" shrinkToFit="false"/>
      <protection locked="true" hidden="true"/>
    </xf>
    <xf numFmtId="170" fontId="26" fillId="3" borderId="0" xfId="0" applyFont="true" applyBorder="false" applyAlignment="true" applyProtection="true">
      <alignment horizontal="center" vertical="bottom" textRotation="0" wrapText="false" indent="0" shrinkToFit="false"/>
      <protection locked="true" hidden="true"/>
    </xf>
    <xf numFmtId="164" fontId="26" fillId="0" borderId="0" xfId="0" applyFont="true" applyBorder="false" applyAlignment="true" applyProtection="true">
      <alignment horizontal="center" vertical="bottom" textRotation="0" wrapText="false" indent="0" shrinkToFit="false"/>
      <protection locked="true" hidden="true"/>
    </xf>
    <xf numFmtId="171" fontId="26" fillId="3" borderId="0" xfId="0" applyFont="true" applyBorder="false" applyAlignment="true" applyProtection="true">
      <alignment horizontal="left" vertical="bottom" textRotation="0" wrapText="false" indent="1" shrinkToFit="false"/>
      <protection locked="true" hidden="true"/>
    </xf>
    <xf numFmtId="174" fontId="26" fillId="3" borderId="21" xfId="0" applyFont="true" applyBorder="true" applyAlignment="true" applyProtection="true">
      <alignment horizontal="center" vertical="bottom" textRotation="0" wrapText="false" indent="0" shrinkToFit="false"/>
      <protection locked="true" hidden="true"/>
    </xf>
    <xf numFmtId="171" fontId="26" fillId="3" borderId="21" xfId="0" applyFont="true" applyBorder="true" applyAlignment="true" applyProtection="true">
      <alignment horizontal="center" vertical="bottom" textRotation="0" wrapText="false" indent="0" shrinkToFit="false"/>
      <protection locked="true" hidden="true"/>
    </xf>
    <xf numFmtId="164" fontId="33" fillId="3" borderId="21" xfId="0" applyFont="true" applyBorder="tru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3" fontId="32" fillId="3" borderId="0" xfId="0" applyFont="true" applyBorder="false" applyAlignment="false" applyProtection="true">
      <alignment horizontal="general" vertical="bottom" textRotation="0" wrapText="false" indent="0" shrinkToFit="false"/>
      <protection locked="true" hidden="true"/>
    </xf>
    <xf numFmtId="172" fontId="26"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1" fontId="26"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3" fontId="26" fillId="3" borderId="0" xfId="0" applyFont="true" applyBorder="false" applyAlignment="false" applyProtection="true">
      <alignment horizontal="general" vertical="bottom" textRotation="0" wrapText="false" indent="0" shrinkToFit="false"/>
      <protection locked="true" hidden="tru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4" fillId="3" borderId="41" xfId="0" applyFont="true" applyBorder="true" applyAlignment="true" applyProtection="false">
      <alignment horizontal="center" vertical="center" textRotation="0" wrapText="true" indent="0" shrinkToFit="false"/>
      <protection locked="true" hidden="false"/>
    </xf>
    <xf numFmtId="164" fontId="33" fillId="3" borderId="46" xfId="0" applyFont="true" applyBorder="true" applyAlignment="true" applyProtection="false">
      <alignment horizontal="center" vertical="center" textRotation="0" wrapText="true" indent="0" shrinkToFit="false"/>
      <protection locked="true" hidden="false"/>
    </xf>
    <xf numFmtId="166" fontId="26" fillId="3" borderId="27" xfId="0" applyFont="true" applyBorder="true" applyAlignment="true" applyProtection="true">
      <alignment horizontal="center" vertical="center" textRotation="0" wrapText="true" indent="0" shrinkToFit="false"/>
      <protection locked="true" hidden="true"/>
    </xf>
    <xf numFmtId="166" fontId="26" fillId="3" borderId="21" xfId="0" applyFont="true" applyBorder="true" applyAlignment="true" applyProtection="true">
      <alignment horizontal="center" vertical="center" textRotation="0" wrapText="true" indent="0" shrinkToFit="false"/>
      <protection locked="true" hidden="true"/>
    </xf>
    <xf numFmtId="171" fontId="33" fillId="3" borderId="47" xfId="0" applyFont="true" applyBorder="true" applyAlignment="true" applyProtection="false">
      <alignment horizontal="center" vertical="center" textRotation="0" wrapText="true" indent="0" shrinkToFit="false"/>
      <protection locked="true" hidden="false"/>
    </xf>
    <xf numFmtId="169" fontId="33" fillId="3" borderId="32" xfId="0" applyFont="true" applyBorder="true" applyAlignment="true" applyProtection="false">
      <alignment horizontal="center" vertical="bottom" textRotation="0" wrapText="false" indent="0" shrinkToFit="false"/>
      <protection locked="true" hidden="false"/>
    </xf>
    <xf numFmtId="169" fontId="33" fillId="3" borderId="21" xfId="0" applyFont="true" applyBorder="true" applyAlignment="true" applyProtection="false">
      <alignment horizontal="center" vertical="bottom" textRotation="0" wrapText="false" indent="0" shrinkToFit="false"/>
      <protection locked="true" hidden="false"/>
    </xf>
    <xf numFmtId="169" fontId="33" fillId="3" borderId="26" xfId="0" applyFont="true" applyBorder="true" applyAlignment="true" applyProtection="false">
      <alignment horizontal="center" vertical="bottom" textRotation="0" wrapText="false" indent="0" shrinkToFit="false"/>
      <protection locked="true" hidden="false"/>
    </xf>
    <xf numFmtId="169" fontId="34" fillId="3" borderId="0" xfId="0" applyFont="true" applyBorder="false" applyAlignment="true" applyProtection="false">
      <alignment horizontal="right" vertical="bottom" textRotation="0" wrapText="false" indent="1"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0"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true" applyProtection="false">
      <alignment horizontal="left" vertical="bottom" textRotation="0" wrapText="false" indent="1"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false" applyProtection="false">
      <alignment horizontal="general" vertical="bottom" textRotation="0" wrapText="false" indent="0" shrinkToFit="false"/>
      <protection locked="true" hidden="false"/>
    </xf>
    <xf numFmtId="169" fontId="34" fillId="3" borderId="23" xfId="0" applyFont="true" applyBorder="true" applyAlignment="true" applyProtection="false">
      <alignment horizontal="center" vertical="center" textRotation="0" wrapText="true" indent="0" shrinkToFit="false"/>
      <protection locked="true" hidden="false"/>
    </xf>
    <xf numFmtId="166" fontId="33" fillId="3" borderId="21" xfId="0" applyFont="true" applyBorder="true" applyAlignment="true" applyProtection="false">
      <alignment horizontal="center" vertical="center" textRotation="0" wrapText="true" indent="0" shrinkToFit="false"/>
      <protection locked="true" hidden="false"/>
    </xf>
    <xf numFmtId="169" fontId="33" fillId="3" borderId="27" xfId="0" applyFont="true" applyBorder="true" applyAlignment="true" applyProtection="false">
      <alignment horizontal="center"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true" indent="1" shrinkToFit="false"/>
      <protection locked="true" hidden="false"/>
    </xf>
    <xf numFmtId="169" fontId="33" fillId="3" borderId="40" xfId="0" applyFont="true" applyBorder="true" applyAlignment="true" applyProtection="false">
      <alignment horizontal="left" vertical="bottom" textRotation="0" wrapText="false" indent="1" shrinkToFit="false"/>
      <protection locked="true" hidden="false"/>
    </xf>
    <xf numFmtId="172" fontId="33" fillId="3" borderId="39" xfId="0" applyFont="true" applyBorder="tru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2" fontId="34" fillId="3" borderId="48" xfId="0" applyFont="true" applyBorder="true" applyAlignment="false" applyProtection="false">
      <alignment horizontal="general" vertical="bottom" textRotation="0" wrapText="false" indent="0" shrinkToFit="false"/>
      <protection locked="true" hidden="false"/>
    </xf>
    <xf numFmtId="164" fontId="33" fillId="3" borderId="33"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center" vertical="bottom" textRotation="0" wrapText="false" indent="0" shrinkToFit="false"/>
      <protection locked="true" hidden="false"/>
    </xf>
    <xf numFmtId="171" fontId="26" fillId="3" borderId="21" xfId="0" applyFont="true" applyBorder="true" applyAlignment="true" applyProtection="false">
      <alignment horizontal="center" vertical="center" textRotation="0" wrapText="true" indent="0" shrinkToFit="false"/>
      <protection locked="true" hidden="false"/>
    </xf>
    <xf numFmtId="180" fontId="26" fillId="3" borderId="21" xfId="0" applyFont="true" applyBorder="true" applyAlignment="true" applyProtection="false">
      <alignment horizontal="center" vertical="center" textRotation="0" wrapText="true" indent="0" shrinkToFit="false"/>
      <protection locked="true" hidden="false"/>
    </xf>
    <xf numFmtId="173" fontId="32" fillId="3" borderId="21" xfId="0" applyFont="true" applyBorder="true" applyAlignment="true" applyProtection="false">
      <alignment horizontal="center"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true" indent="0" shrinkToFit="false"/>
      <protection locked="true" hidden="false"/>
    </xf>
    <xf numFmtId="172" fontId="26" fillId="3" borderId="21" xfId="0" applyFont="true" applyBorder="true" applyAlignment="true" applyProtection="false">
      <alignment horizontal="center" vertical="center" textRotation="0" wrapText="true" indent="0" shrinkToFit="false"/>
      <protection locked="true" hidden="false"/>
    </xf>
    <xf numFmtId="173" fontId="26" fillId="0" borderId="0" xfId="0" applyFont="true" applyBorder="false" applyAlignment="true" applyProtection="false">
      <alignment horizontal="center" vertical="center" textRotation="0" wrapText="true" indent="0" shrinkToFit="false"/>
      <protection locked="true" hidden="false"/>
    </xf>
    <xf numFmtId="171" fontId="26" fillId="0" borderId="36" xfId="0" applyFont="true" applyBorder="true" applyAlignment="false" applyProtection="false">
      <alignment horizontal="general" vertical="bottom" textRotation="0" wrapText="false" indent="0" shrinkToFit="false"/>
      <protection locked="true" hidden="false"/>
    </xf>
    <xf numFmtId="180" fontId="26" fillId="0" borderId="37" xfId="0" applyFont="true" applyBorder="true" applyAlignment="false" applyProtection="false">
      <alignment horizontal="general" vertical="bottom" textRotation="0" wrapText="false" indent="0" shrinkToFit="false"/>
      <protection locked="true" hidden="false"/>
    </xf>
    <xf numFmtId="173" fontId="26" fillId="0" borderId="37" xfId="0" applyFont="true" applyBorder="true" applyAlignment="false" applyProtection="false">
      <alignment horizontal="general" vertical="bottom" textRotation="0" wrapText="false" indent="0" shrinkToFit="false"/>
      <protection locked="true" hidden="false"/>
    </xf>
    <xf numFmtId="172" fontId="26" fillId="0" borderId="37" xfId="0" applyFont="true" applyBorder="true" applyAlignment="true" applyProtection="false">
      <alignment horizontal="center" vertical="bottom" textRotation="0" wrapText="false" indent="0" shrinkToFit="false"/>
      <protection locked="true" hidden="false"/>
    </xf>
    <xf numFmtId="173" fontId="26" fillId="0" borderId="37" xfId="0" applyFont="true" applyBorder="true" applyAlignment="true" applyProtection="false">
      <alignment horizontal="center" vertical="bottom" textRotation="0" wrapText="false" indent="0" shrinkToFit="false"/>
      <protection locked="true" hidden="false"/>
    </xf>
    <xf numFmtId="173" fontId="26" fillId="0" borderId="38" xfId="0" applyFont="true" applyBorder="true" applyAlignment="false" applyProtection="false">
      <alignment horizontal="general" vertical="bottom" textRotation="0" wrapText="false" indent="0" shrinkToFit="false"/>
      <protection locked="true" hidden="false"/>
    </xf>
    <xf numFmtId="171" fontId="26" fillId="0" borderId="40" xfId="0" applyFont="true" applyBorder="true" applyAlignment="false" applyProtection="false">
      <alignment horizontal="general" vertical="bottom" textRotation="0" wrapText="false" indent="0" shrinkToFit="false"/>
      <protection locked="true" hidden="false"/>
    </xf>
    <xf numFmtId="173" fontId="26" fillId="0" borderId="39" xfId="0" applyFont="true" applyBorder="true" applyAlignment="false" applyProtection="false">
      <alignment horizontal="general" vertical="bottom" textRotation="0" wrapText="false" indent="0" shrinkToFit="false"/>
      <protection locked="true" hidden="false"/>
    </xf>
    <xf numFmtId="171" fontId="26" fillId="0" borderId="33" xfId="0" applyFont="true" applyBorder="true" applyAlignment="false" applyProtection="false">
      <alignment horizontal="general" vertical="bottom" textRotation="0" wrapText="false" indent="0" shrinkToFit="false"/>
      <protection locked="true" hidden="false"/>
    </xf>
    <xf numFmtId="180" fontId="26" fillId="0" borderId="34" xfId="0" applyFont="true" applyBorder="true" applyAlignment="false" applyProtection="false">
      <alignment horizontal="general" vertical="bottom" textRotation="0" wrapText="false" indent="0" shrinkToFit="false"/>
      <protection locked="true" hidden="false"/>
    </xf>
    <xf numFmtId="173" fontId="26" fillId="0" borderId="34" xfId="0" applyFont="true" applyBorder="true" applyAlignment="false" applyProtection="false">
      <alignment horizontal="general" vertical="bottom" textRotation="0" wrapText="false" indent="0" shrinkToFit="false"/>
      <protection locked="true" hidden="false"/>
    </xf>
    <xf numFmtId="172" fontId="26" fillId="0" borderId="34" xfId="0" applyFont="true" applyBorder="true" applyAlignment="true" applyProtection="false">
      <alignment horizontal="center" vertical="bottom" textRotation="0" wrapText="false" indent="0" shrinkToFit="false"/>
      <protection locked="true" hidden="false"/>
    </xf>
    <xf numFmtId="173" fontId="26" fillId="0" borderId="49" xfId="0" applyFont="true" applyBorder="true" applyAlignment="false" applyProtection="false">
      <alignment horizontal="general" vertical="bottom" textRotation="0" wrapText="false" indent="0" shrinkToFit="false"/>
      <protection locked="true" hidden="false"/>
    </xf>
    <xf numFmtId="173" fontId="26" fillId="0" borderId="50"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73" fontId="33" fillId="3" borderId="21" xfId="0" applyFont="true" applyBorder="true" applyAlignment="true" applyProtection="false">
      <alignment horizontal="center" vertical="center" textRotation="0" wrapText="false" indent="0" shrinkToFit="false"/>
      <protection locked="true" hidden="false"/>
    </xf>
    <xf numFmtId="173" fontId="34" fillId="3" borderId="21" xfId="0" applyFont="true" applyBorder="true" applyAlignment="true" applyProtection="false">
      <alignment horizontal="center" vertical="center" textRotation="0" wrapText="true" indent="0" shrinkToFit="false"/>
      <protection locked="true" hidden="false"/>
    </xf>
    <xf numFmtId="165" fontId="40" fillId="3" borderId="21" xfId="0" applyFont="true" applyBorder="true" applyAlignment="true" applyProtection="false">
      <alignment horizontal="center" vertical="center" textRotation="0" wrapText="true" indent="0" shrinkToFit="false"/>
      <protection locked="true" hidden="false"/>
    </xf>
    <xf numFmtId="173" fontId="34" fillId="5" borderId="21" xfId="0" applyFont="true" applyBorder="true" applyAlignment="true" applyProtection="false">
      <alignment horizontal="center" vertical="bottom" textRotation="0" wrapText="false" indent="0" shrinkToFit="false"/>
      <protection locked="true" hidden="false"/>
    </xf>
    <xf numFmtId="173" fontId="33" fillId="5" borderId="21" xfId="0" applyFont="true" applyBorder="true" applyAlignment="false" applyProtection="false">
      <alignment horizontal="general" vertical="bottom" textRotation="0" wrapText="false" indent="0" shrinkToFit="false"/>
      <protection locked="true" hidden="false"/>
    </xf>
    <xf numFmtId="164" fontId="33" fillId="3" borderId="21" xfId="0" applyFont="true" applyBorder="true" applyAlignment="true" applyProtection="false">
      <alignment horizontal="center" vertical="center" textRotation="0" wrapText="true" indent="0" shrinkToFit="false"/>
      <protection locked="true" hidden="false"/>
    </xf>
    <xf numFmtId="173" fontId="34" fillId="3" borderId="26" xfId="0" applyFont="true" applyBorder="true" applyAlignment="true" applyProtection="false">
      <alignment horizontal="center" vertical="center" textRotation="0" wrapText="true" indent="0" shrinkToFit="false"/>
      <protection locked="true" hidden="false"/>
    </xf>
    <xf numFmtId="173" fontId="34" fillId="3" borderId="27" xfId="0" applyFont="true" applyBorder="true" applyAlignment="true" applyProtection="false">
      <alignment horizontal="center" vertical="center" textRotation="0" wrapText="true" indent="0" shrinkToFit="false"/>
      <protection locked="true" hidden="false"/>
    </xf>
    <xf numFmtId="173" fontId="33" fillId="5" borderId="21" xfId="0" applyFont="true" applyBorder="true" applyAlignment="true" applyProtection="false">
      <alignment horizontal="center" vertical="center" textRotation="0" wrapText="true" indent="0" shrinkToFit="false"/>
      <protection locked="true" hidden="false"/>
    </xf>
    <xf numFmtId="165" fontId="33" fillId="5" borderId="21" xfId="0" applyFont="true" applyBorder="true" applyAlignment="true" applyProtection="false">
      <alignment horizontal="center" vertical="center" textRotation="0" wrapText="true" indent="0" shrinkToFit="false"/>
      <protection locked="true" hidden="false"/>
    </xf>
    <xf numFmtId="171" fontId="33" fillId="3" borderId="24"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1" fontId="33" fillId="3" borderId="21" xfId="0" applyFont="true" applyBorder="true" applyAlignment="true" applyProtection="false">
      <alignment horizontal="center" vertical="bottom" textRotation="0" wrapText="false" indent="0" shrinkToFit="false"/>
      <protection locked="true" hidden="false"/>
    </xf>
    <xf numFmtId="173" fontId="34" fillId="5"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2" fontId="26" fillId="3" borderId="21" xfId="0" applyFont="true" applyBorder="true" applyAlignment="true" applyProtection="false">
      <alignment horizontal="center"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false" indent="0" shrinkToFit="false"/>
      <protection locked="true" hidden="false"/>
    </xf>
    <xf numFmtId="173" fontId="32" fillId="3" borderId="21" xfId="0" applyFont="true" applyBorder="true" applyAlignment="true" applyProtection="false">
      <alignment horizontal="center" vertical="center" textRotation="0" wrapText="true" indent="0" shrinkToFit="false"/>
      <protection locked="true" hidden="false"/>
    </xf>
    <xf numFmtId="173" fontId="32" fillId="5" borderId="21" xfId="0" applyFont="true" applyBorder="true" applyAlignment="true" applyProtection="false">
      <alignment horizontal="center" vertical="bottom" textRotation="0" wrapText="false" indent="0" shrinkToFit="false"/>
      <protection locked="true" hidden="false"/>
    </xf>
    <xf numFmtId="173" fontId="26" fillId="5" borderId="21" xfId="0" applyFont="true" applyBorder="tru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71" fontId="12" fillId="0" borderId="0" xfId="0" applyFont="true" applyBorder="false" applyAlignment="true" applyProtection="true">
      <alignment horizontal="center" vertical="bottom" textRotation="0" wrapText="false" indent="0" shrinkToFit="false"/>
      <protection locked="true" hidden="true"/>
    </xf>
    <xf numFmtId="164" fontId="9" fillId="0" borderId="0" xfId="0" applyFont="true" applyBorder="false" applyAlignment="true" applyProtection="true">
      <alignment horizontal="center" vertical="bottom" textRotation="0" wrapText="false" indent="0" shrinkToFit="false"/>
      <protection locked="true" hidden="true"/>
    </xf>
    <xf numFmtId="171" fontId="12" fillId="3" borderId="34"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71" fontId="12" fillId="0" borderId="46"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bottom" textRotation="0" wrapText="false" indent="1" shrinkToFit="false"/>
      <protection locked="true" hidden="true"/>
    </xf>
    <xf numFmtId="171" fontId="10" fillId="0" borderId="21"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center" textRotation="0" wrapText="false" indent="1" shrinkToFit="false"/>
      <protection locked="true" hidden="true"/>
    </xf>
    <xf numFmtId="165" fontId="10"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false" indent="0" shrinkToFit="false"/>
      <protection locked="true" hidden="true"/>
    </xf>
    <xf numFmtId="171" fontId="12" fillId="0" borderId="23"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false" applyProtection="true">
      <alignment horizontal="general" vertical="bottom" textRotation="0" wrapText="false" indent="0" shrinkToFit="false"/>
      <protection locked="true" hidden="true"/>
    </xf>
    <xf numFmtId="176" fontId="9" fillId="0" borderId="21" xfId="0" applyFont="true" applyBorder="true" applyAlignment="true" applyProtection="true">
      <alignment horizontal="center" vertical="bottom" textRotation="0" wrapText="false" indent="0" shrinkToFit="false"/>
      <protection locked="true" hidden="true"/>
    </xf>
    <xf numFmtId="170"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true" indent="0" shrinkToFit="false"/>
      <protection locked="true" hidden="true"/>
    </xf>
    <xf numFmtId="164" fontId="9" fillId="3" borderId="0" xfId="0" applyFont="true" applyBorder="false" applyAlignment="true" applyProtection="true">
      <alignment horizontal="center" vertical="bottom" textRotation="0" wrapText="true" indent="0" shrinkToFit="false"/>
      <protection locked="true" hidden="true"/>
    </xf>
    <xf numFmtId="176" fontId="9" fillId="3" borderId="0" xfId="0" applyFont="true" applyBorder="false" applyAlignment="true" applyProtection="true">
      <alignment horizontal="center" vertical="bottom" textRotation="0" wrapText="false" indent="0" shrinkToFit="false"/>
      <protection locked="true" hidden="true"/>
    </xf>
    <xf numFmtId="174" fontId="9" fillId="0" borderId="21" xfId="0" applyFont="true" applyBorder="true" applyAlignment="true" applyProtection="true">
      <alignment horizontal="center" vertical="bottom" textRotation="0" wrapText="false" indent="0" shrinkToFit="false"/>
      <protection locked="true" hidden="true"/>
    </xf>
    <xf numFmtId="174" fontId="9"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general" vertical="bottom" textRotation="0" wrapText="true" indent="0" shrinkToFit="false"/>
      <protection locked="true" hidden="true"/>
    </xf>
    <xf numFmtId="164" fontId="9" fillId="3" borderId="0" xfId="0" applyFont="true" applyBorder="true" applyAlignment="true" applyProtection="true">
      <alignment horizontal="left" vertical="center" textRotation="0" wrapText="true" indent="1" shrinkToFit="false"/>
      <protection locked="true" hidden="true"/>
    </xf>
    <xf numFmtId="181"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general" vertical="bottom" textRotation="0" wrapText="true" indent="0" shrinkToFit="false"/>
      <protection locked="true" hidden="true"/>
    </xf>
    <xf numFmtId="171" fontId="12"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s="4" customFormat="true" ht="54.75" hidden="false" customHeight="true" outlineLevel="0" collapsed="false">
      <c r="B4" s="5" t="s">
        <v>1</v>
      </c>
      <c r="C4" s="5"/>
      <c r="D4" s="5"/>
      <c r="E4" s="5"/>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7</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8</v>
      </c>
      <c r="D3" s="17"/>
      <c r="E3" s="17"/>
      <c r="F3" s="16"/>
      <c r="G3" s="16"/>
      <c r="H3" s="16"/>
      <c r="I3" s="16"/>
      <c r="J3" s="16"/>
      <c r="K3" s="16"/>
      <c r="L3" s="16"/>
      <c r="M3" s="16"/>
      <c r="N3" s="17" t="s">
        <v>9</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10</v>
      </c>
      <c r="D7" s="17"/>
      <c r="E7" s="17"/>
      <c r="F7" s="16"/>
      <c r="G7" s="16"/>
      <c r="H7" s="16"/>
      <c r="I7" s="16"/>
      <c r="J7" s="16"/>
      <c r="K7" s="16"/>
      <c r="L7" s="22" t="n">
        <v>4</v>
      </c>
      <c r="M7" s="16"/>
      <c r="N7" s="17" t="s">
        <v>11</v>
      </c>
      <c r="O7" s="17"/>
      <c r="P7" s="17"/>
      <c r="Q7" s="17"/>
      <c r="R7" s="23"/>
      <c r="S7" s="24"/>
      <c r="T7" s="24"/>
      <c r="U7" s="24"/>
      <c r="V7" s="17"/>
      <c r="W7" s="25"/>
    </row>
    <row r="8" customFormat="false" ht="15" hidden="false" customHeight="true" outlineLevel="0" collapsed="false">
      <c r="A8" s="26"/>
      <c r="B8" s="16"/>
      <c r="C8" s="19" t="s">
        <v>12</v>
      </c>
      <c r="D8" s="19"/>
      <c r="E8" s="19"/>
      <c r="F8" s="19"/>
      <c r="G8" s="19"/>
      <c r="H8" s="19"/>
      <c r="I8" s="19"/>
      <c r="J8" s="19"/>
      <c r="K8" s="16"/>
      <c r="L8" s="16"/>
      <c r="M8" s="16"/>
      <c r="N8" s="27" t="s">
        <v>13</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14</v>
      </c>
      <c r="O12" s="17"/>
      <c r="P12" s="17"/>
      <c r="Q12" s="17"/>
      <c r="R12" s="23"/>
      <c r="S12" s="31" t="n">
        <f aca="false">Admin!B4</f>
        <v>46118</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15</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16</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17</v>
      </c>
      <c r="O18" s="37"/>
      <c r="P18" s="17"/>
      <c r="Q18" s="17"/>
      <c r="R18" s="17"/>
      <c r="S18" s="31" t="n">
        <f aca="false">Admin!B17</f>
        <v>46482</v>
      </c>
      <c r="T18" s="31"/>
      <c r="U18" s="31"/>
      <c r="V18" s="31"/>
      <c r="W18" s="25"/>
    </row>
    <row r="19" customFormat="false" ht="12" hidden="false" customHeight="false" outlineLevel="0" collapsed="false">
      <c r="A19" s="22" t="n">
        <v>3</v>
      </c>
      <c r="B19" s="16"/>
      <c r="C19" s="17" t="s">
        <v>18</v>
      </c>
      <c r="D19" s="16"/>
      <c r="E19" s="16"/>
      <c r="F19" s="16"/>
      <c r="G19" s="16"/>
      <c r="H19" s="16"/>
      <c r="I19" s="16"/>
      <c r="J19" s="16"/>
      <c r="K19" s="16"/>
      <c r="L19" s="16"/>
      <c r="M19" s="17"/>
      <c r="N19" s="27" t="s">
        <v>19</v>
      </c>
      <c r="O19" s="28"/>
      <c r="P19" s="28"/>
      <c r="Q19" s="28"/>
      <c r="R19" s="16"/>
      <c r="S19" s="16"/>
      <c r="T19" s="16"/>
      <c r="U19" s="16"/>
      <c r="V19" s="16"/>
      <c r="W19" s="29"/>
    </row>
    <row r="20" customFormat="false" ht="12" hidden="false" customHeight="false" outlineLevel="0" collapsed="false">
      <c r="A20" s="26"/>
      <c r="B20" s="16"/>
      <c r="C20" s="17" t="s">
        <v>20</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21</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22</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23</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24</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46482</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25</v>
      </c>
      <c r="D27" s="16"/>
      <c r="E27" s="16"/>
      <c r="F27" s="16"/>
      <c r="G27" s="16"/>
      <c r="H27" s="16"/>
      <c r="I27" s="16"/>
      <c r="J27" s="16"/>
      <c r="K27" s="16"/>
      <c r="L27" s="22" t="n">
        <v>24</v>
      </c>
      <c r="M27" s="16"/>
      <c r="N27" s="40" t="s">
        <v>26</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27</v>
      </c>
      <c r="O28" s="17"/>
      <c r="P28" s="17"/>
      <c r="Q28" s="17"/>
      <c r="R28" s="17"/>
      <c r="S28" s="17"/>
      <c r="T28" s="17"/>
      <c r="U28" s="17"/>
      <c r="V28" s="17"/>
      <c r="W28" s="29"/>
    </row>
    <row r="29" customFormat="false" ht="15" hidden="false" customHeight="true" outlineLevel="0" collapsed="false">
      <c r="A29" s="16"/>
      <c r="B29" s="16"/>
      <c r="C29" s="41" t="s">
        <v>28</v>
      </c>
      <c r="D29" s="42"/>
      <c r="E29" s="42"/>
      <c r="F29" s="42"/>
      <c r="G29" s="43" t="s">
        <v>29</v>
      </c>
      <c r="H29" s="44" t="n">
        <v>0</v>
      </c>
      <c r="I29" s="44" t="n">
        <v>0</v>
      </c>
      <c r="J29" s="16"/>
      <c r="K29" s="16"/>
      <c r="L29" s="17"/>
      <c r="M29" s="16"/>
      <c r="N29" s="41" t="s">
        <v>28</v>
      </c>
      <c r="O29" s="42"/>
      <c r="P29" s="42"/>
      <c r="Q29" s="42"/>
      <c r="R29" s="43" t="s">
        <v>29</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30</v>
      </c>
      <c r="D31" s="46"/>
      <c r="E31" s="46"/>
      <c r="F31" s="46"/>
      <c r="G31" s="43"/>
      <c r="H31" s="47"/>
      <c r="I31" s="47"/>
      <c r="J31" s="28"/>
      <c r="K31" s="28"/>
      <c r="L31" s="28"/>
      <c r="M31" s="28"/>
      <c r="N31" s="27" t="s">
        <v>31</v>
      </c>
      <c r="O31" s="28"/>
      <c r="P31" s="28"/>
      <c r="Q31" s="28"/>
      <c r="R31" s="28"/>
      <c r="S31" s="28"/>
      <c r="T31" s="28"/>
      <c r="U31" s="28"/>
      <c r="V31" s="28"/>
      <c r="W31" s="48"/>
    </row>
    <row r="32" s="49" customFormat="true" ht="12" hidden="false" customHeight="true" outlineLevel="0" collapsed="false">
      <c r="A32" s="28"/>
      <c r="B32" s="28"/>
      <c r="C32" s="50" t="s">
        <v>32</v>
      </c>
      <c r="D32" s="46"/>
      <c r="E32" s="46"/>
      <c r="F32" s="46"/>
      <c r="G32" s="43"/>
      <c r="H32" s="47"/>
      <c r="I32" s="47"/>
      <c r="J32" s="28"/>
      <c r="K32" s="28"/>
      <c r="L32" s="28"/>
      <c r="M32" s="28"/>
      <c r="N32" s="50" t="s">
        <v>32</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28</v>
      </c>
      <c r="D34" s="51" t="n">
        <f aca="false">'SE Short'!O94</f>
        <v>0</v>
      </c>
      <c r="E34" s="51"/>
      <c r="F34" s="51"/>
      <c r="G34" s="43" t="s">
        <v>29</v>
      </c>
      <c r="H34" s="44" t="n">
        <v>0</v>
      </c>
      <c r="I34" s="44" t="n">
        <v>0</v>
      </c>
      <c r="J34" s="16"/>
      <c r="K34" s="16"/>
      <c r="L34" s="16"/>
      <c r="M34" s="16"/>
      <c r="N34" s="41" t="s">
        <v>28</v>
      </c>
      <c r="O34" s="51" t="n">
        <f aca="false">D29-D34+'SE Short'!O106</f>
        <v>0</v>
      </c>
      <c r="P34" s="51"/>
      <c r="Q34" s="51"/>
      <c r="R34" s="43" t="s">
        <v>29</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33</v>
      </c>
      <c r="B1" s="56"/>
      <c r="C1" s="56"/>
      <c r="D1" s="56"/>
      <c r="E1" s="56"/>
      <c r="F1" s="56"/>
      <c r="G1" s="57" t="s">
        <v>34</v>
      </c>
      <c r="H1" s="57"/>
      <c r="I1" s="57"/>
      <c r="J1" s="57"/>
      <c r="K1" s="57"/>
      <c r="L1" s="57"/>
      <c r="M1" s="57"/>
      <c r="N1" s="57"/>
      <c r="O1" s="58" t="s">
        <v>35</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36</v>
      </c>
      <c r="P2" s="59"/>
      <c r="Q2" s="60" t="n">
        <f aca="false">Admin!B4</f>
        <v>46118</v>
      </c>
      <c r="R2" s="60"/>
      <c r="S2" s="60"/>
      <c r="T2" s="60"/>
      <c r="U2" s="61" t="s">
        <v>37</v>
      </c>
      <c r="V2" s="60" t="n">
        <f aca="false">Admin!B17</f>
        <v>46482</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8</v>
      </c>
      <c r="D6" s="69"/>
      <c r="E6" s="69"/>
      <c r="F6" s="68"/>
      <c r="G6" s="68"/>
      <c r="H6" s="68"/>
      <c r="I6" s="68"/>
      <c r="J6" s="68"/>
      <c r="K6" s="68"/>
      <c r="L6" s="68"/>
      <c r="M6" s="68"/>
      <c r="N6" s="69" t="s">
        <v>9</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72"/>
      <c r="L8" s="72"/>
      <c r="M8" s="72"/>
      <c r="N8" s="72"/>
      <c r="O8" s="73" t="str">
        <f aca="false">IF('Business Details'!O5&gt;0,'Business Details'!O5," ")</f>
        <v> </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38</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10</v>
      </c>
      <c r="D12" s="69"/>
      <c r="E12" s="69"/>
      <c r="F12" s="68"/>
      <c r="G12" s="68"/>
      <c r="H12" s="68"/>
      <c r="I12" s="68"/>
      <c r="J12" s="68"/>
      <c r="K12" s="68"/>
      <c r="L12" s="82" t="n">
        <v>4</v>
      </c>
      <c r="M12" s="68"/>
      <c r="N12" s="69" t="s">
        <v>11</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Taxi Driver</v>
      </c>
      <c r="D13" s="71"/>
      <c r="E13" s="71"/>
      <c r="F13" s="71"/>
      <c r="G13" s="71"/>
      <c r="H13" s="71"/>
      <c r="I13" s="71"/>
      <c r="J13" s="71"/>
      <c r="K13" s="68"/>
      <c r="L13" s="68"/>
      <c r="M13" s="68"/>
      <c r="N13" s="87" t="s">
        <v>13</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14</v>
      </c>
      <c r="O17" s="69"/>
      <c r="P17" s="69"/>
      <c r="Q17" s="69"/>
      <c r="R17" s="83"/>
      <c r="S17" s="91" t="n">
        <f aca="false">Admin!B4</f>
        <v>46118</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39</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16</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 </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17</v>
      </c>
      <c r="O23" s="97"/>
      <c r="P23" s="69"/>
      <c r="Q23" s="69"/>
      <c r="R23" s="69"/>
      <c r="S23" s="91" t="n">
        <f aca="false">Admin!B17</f>
        <v>46482</v>
      </c>
      <c r="T23" s="91"/>
      <c r="U23" s="91"/>
      <c r="V23" s="91"/>
      <c r="W23" s="85"/>
    </row>
    <row r="24" customFormat="false" ht="12" hidden="false" customHeight="false" outlineLevel="0" collapsed="false">
      <c r="A24" s="82" t="n">
        <v>3</v>
      </c>
      <c r="B24" s="68"/>
      <c r="C24" s="69" t="s">
        <v>18</v>
      </c>
      <c r="D24" s="68"/>
      <c r="E24" s="68"/>
      <c r="F24" s="68"/>
      <c r="G24" s="68"/>
      <c r="H24" s="68"/>
      <c r="I24" s="68"/>
      <c r="J24" s="68"/>
      <c r="K24" s="68"/>
      <c r="L24" s="68"/>
      <c r="M24" s="69"/>
      <c r="N24" s="87" t="s">
        <v>19</v>
      </c>
      <c r="O24" s="88"/>
      <c r="P24" s="88"/>
      <c r="Q24" s="88"/>
      <c r="R24" s="68"/>
      <c r="S24" s="68"/>
      <c r="T24" s="68"/>
      <c r="U24" s="68"/>
      <c r="V24" s="68"/>
      <c r="W24" s="89"/>
    </row>
    <row r="25" customFormat="false" ht="12" hidden="false" customHeight="false" outlineLevel="0" collapsed="false">
      <c r="A25" s="86"/>
      <c r="B25" s="68"/>
      <c r="C25" s="69" t="s">
        <v>20</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21</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22</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23</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24</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46482</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£90000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8</v>
      </c>
      <c r="B35" s="68"/>
      <c r="C35" s="69" t="s">
        <v>40</v>
      </c>
      <c r="D35" s="69"/>
      <c r="E35" s="69"/>
      <c r="F35" s="69"/>
      <c r="G35" s="69"/>
      <c r="H35" s="69"/>
      <c r="I35" s="69"/>
      <c r="J35" s="69"/>
      <c r="K35" s="69"/>
      <c r="L35" s="82" t="n">
        <v>9</v>
      </c>
      <c r="M35" s="68"/>
      <c r="N35" s="69" t="s">
        <v>41</v>
      </c>
      <c r="O35" s="69"/>
      <c r="P35" s="69"/>
      <c r="Q35" s="69"/>
      <c r="R35" s="69"/>
      <c r="S35" s="69"/>
      <c r="T35" s="69"/>
      <c r="U35" s="69"/>
      <c r="V35" s="69"/>
      <c r="W35" s="85"/>
    </row>
    <row r="36" customFormat="false" ht="12" hidden="false" customHeight="false" outlineLevel="0" collapsed="false">
      <c r="A36" s="86"/>
      <c r="B36" s="68"/>
      <c r="C36" s="97" t="s">
        <v>42</v>
      </c>
      <c r="D36" s="68"/>
      <c r="E36" s="68"/>
      <c r="F36" s="68"/>
      <c r="G36" s="68"/>
      <c r="H36" s="68"/>
      <c r="I36" s="68"/>
      <c r="J36" s="68"/>
      <c r="K36" s="68"/>
      <c r="L36" s="68"/>
      <c r="M36" s="68"/>
      <c r="N36" s="97" t="s">
        <v>43</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28</v>
      </c>
      <c r="D38" s="104" t="n">
        <f aca="false">'Profit &amp; Loss Acc'!B5</f>
        <v>36000</v>
      </c>
      <c r="E38" s="104"/>
      <c r="F38" s="104"/>
      <c r="G38" s="105" t="s">
        <v>29</v>
      </c>
      <c r="H38" s="106" t="n">
        <v>0</v>
      </c>
      <c r="I38" s="106" t="n">
        <v>0</v>
      </c>
      <c r="J38" s="68"/>
      <c r="K38" s="68"/>
      <c r="L38" s="68"/>
      <c r="M38" s="68"/>
      <c r="N38" s="103" t="s">
        <v>28</v>
      </c>
      <c r="O38" s="104"/>
      <c r="P38" s="104"/>
      <c r="Q38" s="104"/>
      <c r="R38" s="105" t="s">
        <v>29</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44</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45</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46</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10</v>
      </c>
      <c r="B44" s="68"/>
      <c r="C44" s="69" t="s">
        <v>47</v>
      </c>
      <c r="D44" s="69"/>
      <c r="E44" s="69"/>
      <c r="F44" s="69"/>
      <c r="G44" s="69"/>
      <c r="H44" s="69"/>
      <c r="I44" s="69"/>
      <c r="J44" s="69"/>
      <c r="K44" s="69"/>
      <c r="L44" s="82" t="n">
        <v>15</v>
      </c>
      <c r="M44" s="68"/>
      <c r="N44" s="69" t="s">
        <v>48</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28</v>
      </c>
      <c r="D46" s="104" t="n">
        <f aca="false">IF(('Profit &amp; Loss Acc'!B5&lt;30000)," ",'Profit &amp; Loss Acc'!B12-'Profit &amp; Loss Acc'!B10)</f>
        <v>4980</v>
      </c>
      <c r="E46" s="104"/>
      <c r="F46" s="104"/>
      <c r="G46" s="105" t="s">
        <v>29</v>
      </c>
      <c r="H46" s="106" t="n">
        <v>0</v>
      </c>
      <c r="I46" s="106" t="n">
        <v>0</v>
      </c>
      <c r="J46" s="68"/>
      <c r="K46" s="68"/>
      <c r="L46" s="68"/>
      <c r="M46" s="68"/>
      <c r="N46" s="103" t="s">
        <v>28</v>
      </c>
      <c r="O46" s="104" t="n">
        <f aca="false">IF(('Profit &amp; Loss Acc'!B5&lt;30000)," ",'Profit &amp; Loss Acc'!B18)</f>
        <v>900</v>
      </c>
      <c r="P46" s="104"/>
      <c r="Q46" s="104"/>
      <c r="R46" s="105" t="s">
        <v>29</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11</v>
      </c>
      <c r="B48" s="68"/>
      <c r="C48" s="69" t="s">
        <v>49</v>
      </c>
      <c r="D48" s="69"/>
      <c r="E48" s="69"/>
      <c r="F48" s="69"/>
      <c r="G48" s="69"/>
      <c r="H48" s="69"/>
      <c r="I48" s="69"/>
      <c r="J48" s="69"/>
      <c r="K48" s="69"/>
      <c r="L48" s="82" t="n">
        <v>16</v>
      </c>
      <c r="M48" s="68"/>
      <c r="N48" s="69" t="s">
        <v>50</v>
      </c>
      <c r="O48" s="68"/>
      <c r="P48" s="68"/>
      <c r="Q48" s="68"/>
      <c r="R48" s="68"/>
      <c r="S48" s="68"/>
      <c r="T48" s="68"/>
      <c r="U48" s="68"/>
      <c r="V48" s="68"/>
      <c r="W48" s="89"/>
    </row>
    <row r="49" customFormat="false" ht="12.75" hidden="false" customHeight="true" outlineLevel="0" collapsed="false">
      <c r="A49" s="86"/>
      <c r="B49" s="68"/>
      <c r="C49" s="97" t="s">
        <v>51</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28</v>
      </c>
      <c r="D51" s="104"/>
      <c r="E51" s="104"/>
      <c r="F51" s="104"/>
      <c r="G51" s="105" t="s">
        <v>29</v>
      </c>
      <c r="H51" s="106" t="n">
        <v>0</v>
      </c>
      <c r="I51" s="106" t="n">
        <v>0</v>
      </c>
      <c r="J51" s="68"/>
      <c r="K51" s="68"/>
      <c r="L51" s="68"/>
      <c r="M51" s="68"/>
      <c r="N51" s="103" t="s">
        <v>28</v>
      </c>
      <c r="O51" s="104" t="n">
        <f aca="false">IF(('Profit &amp; Loss Acc'!B5&lt;30000)," ",'Profit &amp; Loss Acc'!B19+'Profit &amp; Loss Acc'!B20)</f>
        <v>0</v>
      </c>
      <c r="P51" s="104"/>
      <c r="Q51" s="104"/>
      <c r="R51" s="105" t="s">
        <v>29</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12</v>
      </c>
      <c r="B53" s="68"/>
      <c r="C53" s="69" t="s">
        <v>52</v>
      </c>
      <c r="D53" s="69"/>
      <c r="E53" s="69"/>
      <c r="F53" s="69"/>
      <c r="G53" s="69"/>
      <c r="H53" s="69"/>
      <c r="I53" s="69"/>
      <c r="J53" s="69"/>
      <c r="K53" s="69"/>
      <c r="L53" s="82" t="n">
        <v>17</v>
      </c>
      <c r="M53" s="68"/>
      <c r="N53" s="69" t="s">
        <v>53</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28</v>
      </c>
      <c r="D55" s="104" t="n">
        <f aca="false">IF(('Profit &amp; Loss Acc'!B5&lt;30000)," ",'Profit &amp; Loss Acc'!B14)</f>
        <v>0</v>
      </c>
      <c r="E55" s="104"/>
      <c r="F55" s="104"/>
      <c r="G55" s="105" t="s">
        <v>29</v>
      </c>
      <c r="H55" s="106" t="n">
        <v>0</v>
      </c>
      <c r="I55" s="106" t="n">
        <v>0</v>
      </c>
      <c r="J55" s="68"/>
      <c r="K55" s="68"/>
      <c r="L55" s="68"/>
      <c r="M55" s="68"/>
      <c r="N55" s="103" t="s">
        <v>28</v>
      </c>
      <c r="O55" s="104" t="n">
        <f aca="false">IF(('Profit &amp; Loss Acc'!B5&lt;30000)," ",'Profit &amp; Loss Acc'!B16)</f>
        <v>480</v>
      </c>
      <c r="P55" s="104"/>
      <c r="Q55" s="104"/>
      <c r="R55" s="105" t="s">
        <v>29</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13</v>
      </c>
      <c r="B57" s="68"/>
      <c r="C57" s="69" t="s">
        <v>54</v>
      </c>
      <c r="D57" s="69"/>
      <c r="E57" s="69"/>
      <c r="F57" s="69"/>
      <c r="G57" s="69"/>
      <c r="H57" s="69"/>
      <c r="I57" s="69"/>
      <c r="J57" s="69"/>
      <c r="K57" s="69"/>
      <c r="L57" s="82" t="n">
        <v>18</v>
      </c>
      <c r="M57" s="68"/>
      <c r="N57" s="69" t="s">
        <v>55</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56</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28</v>
      </c>
      <c r="D60" s="104" t="n">
        <f aca="false">IF(('Profit &amp; Loss Acc'!B5&lt;30000)," ",'Profit &amp; Loss Acc'!B15)</f>
        <v>0</v>
      </c>
      <c r="E60" s="104"/>
      <c r="F60" s="104"/>
      <c r="G60" s="105" t="s">
        <v>29</v>
      </c>
      <c r="H60" s="106" t="n">
        <v>0</v>
      </c>
      <c r="I60" s="106" t="n">
        <v>0</v>
      </c>
      <c r="J60" s="68"/>
      <c r="K60" s="68"/>
      <c r="L60" s="68"/>
      <c r="M60" s="68"/>
      <c r="N60" s="103" t="s">
        <v>28</v>
      </c>
      <c r="O60" s="104" t="n">
        <f aca="false">IF(('Profit &amp; Loss Acc'!B5&lt;30000)," ",'Profit &amp; Loss Acc'!B17+'Profit &amp; Loss Acc'!B21)</f>
        <v>0</v>
      </c>
      <c r="P60" s="104"/>
      <c r="Q60" s="104"/>
      <c r="R60" s="105" t="s">
        <v>29</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14</v>
      </c>
      <c r="B62" s="68"/>
      <c r="C62" s="69" t="s">
        <v>57</v>
      </c>
      <c r="D62" s="69"/>
      <c r="E62" s="69"/>
      <c r="F62" s="69"/>
      <c r="G62" s="69"/>
      <c r="H62" s="69"/>
      <c r="I62" s="69"/>
      <c r="J62" s="69"/>
      <c r="K62" s="69"/>
      <c r="L62" s="82" t="n">
        <v>19</v>
      </c>
      <c r="M62" s="68"/>
      <c r="N62" s="69" t="s">
        <v>58</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28</v>
      </c>
      <c r="D64" s="104"/>
      <c r="E64" s="104"/>
      <c r="F64" s="104"/>
      <c r="G64" s="105" t="s">
        <v>29</v>
      </c>
      <c r="H64" s="106" t="n">
        <v>0</v>
      </c>
      <c r="I64" s="106" t="n">
        <v>0</v>
      </c>
      <c r="J64" s="68"/>
      <c r="K64" s="68"/>
      <c r="L64" s="68"/>
      <c r="M64" s="68"/>
      <c r="N64" s="103" t="s">
        <v>28</v>
      </c>
      <c r="O64" s="104" t="n">
        <f aca="false">'Profit &amp; Loss Acc'!B12+'Profit &amp; Loss Acc'!B22-'Profit &amp; Loss Acc'!B10</f>
        <v>6360</v>
      </c>
      <c r="P64" s="104"/>
      <c r="Q64" s="104"/>
      <c r="R64" s="105" t="s">
        <v>29</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59</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20</v>
      </c>
      <c r="B68" s="68"/>
      <c r="C68" s="69" t="s">
        <v>60</v>
      </c>
      <c r="D68" s="69"/>
      <c r="E68" s="69"/>
      <c r="F68" s="69"/>
      <c r="G68" s="69"/>
      <c r="H68" s="69"/>
      <c r="I68" s="69"/>
      <c r="J68" s="69"/>
      <c r="K68" s="69"/>
      <c r="L68" s="82" t="n">
        <v>21</v>
      </c>
      <c r="M68" s="68"/>
      <c r="N68" s="69" t="s">
        <v>61</v>
      </c>
      <c r="O68" s="68"/>
      <c r="P68" s="68"/>
      <c r="Q68" s="68"/>
      <c r="R68" s="68"/>
      <c r="S68" s="68"/>
      <c r="T68" s="68"/>
      <c r="U68" s="68"/>
      <c r="V68" s="68"/>
      <c r="W68" s="89"/>
    </row>
    <row r="69" customFormat="false" ht="12" hidden="false" customHeight="false" outlineLevel="0" collapsed="false">
      <c r="A69" s="86"/>
      <c r="B69" s="68"/>
      <c r="C69" s="97" t="s">
        <v>62</v>
      </c>
      <c r="D69" s="69"/>
      <c r="E69" s="69"/>
      <c r="F69" s="69"/>
      <c r="G69" s="69"/>
      <c r="H69" s="69"/>
      <c r="I69" s="69"/>
      <c r="J69" s="69"/>
      <c r="K69" s="69"/>
      <c r="L69" s="68"/>
      <c r="M69" s="68"/>
      <c r="N69" s="97" t="s">
        <v>63</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28</v>
      </c>
      <c r="D71" s="104" t="n">
        <f aca="false">IF((D38+O38-O64)&gt;=0,D38+O38-O64,0)</f>
        <v>29640</v>
      </c>
      <c r="E71" s="104"/>
      <c r="F71" s="104"/>
      <c r="G71" s="105" t="s">
        <v>29</v>
      </c>
      <c r="H71" s="106" t="n">
        <v>0</v>
      </c>
      <c r="I71" s="106" t="n">
        <v>0</v>
      </c>
      <c r="J71" s="68"/>
      <c r="K71" s="68"/>
      <c r="L71" s="68"/>
      <c r="M71" s="68"/>
      <c r="N71" s="103" t="s">
        <v>28</v>
      </c>
      <c r="O71" s="104" t="n">
        <f aca="false">IF((D38+O38-O64)&lt;0,-D38-O38+O64,0)</f>
        <v>0</v>
      </c>
      <c r="P71" s="104"/>
      <c r="Q71" s="104"/>
      <c r="R71" s="105" t="s">
        <v>29</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64</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65</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66</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67</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22</v>
      </c>
      <c r="B78" s="68"/>
      <c r="C78" s="69" t="s">
        <v>68</v>
      </c>
      <c r="D78" s="69"/>
      <c r="E78" s="69"/>
      <c r="F78" s="69"/>
      <c r="G78" s="69"/>
      <c r="H78" s="69"/>
      <c r="I78" s="69"/>
      <c r="J78" s="69"/>
      <c r="K78" s="69"/>
      <c r="L78" s="82" t="n">
        <v>24</v>
      </c>
      <c r="M78" s="68"/>
      <c r="N78" s="69" t="s">
        <v>69</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28</v>
      </c>
      <c r="D80" s="104" t="n">
        <f aca="false">IF(('Fixed Assets'!I1)&gt;0,'Fixed Assets'!I1,0)</f>
        <v>0</v>
      </c>
      <c r="E80" s="104"/>
      <c r="F80" s="104"/>
      <c r="G80" s="105" t="s">
        <v>29</v>
      </c>
      <c r="H80" s="106" t="n">
        <v>0</v>
      </c>
      <c r="I80" s="106" t="n">
        <v>0</v>
      </c>
      <c r="J80" s="69"/>
      <c r="K80" s="69"/>
      <c r="L80" s="69"/>
      <c r="M80" s="68"/>
      <c r="N80" s="103" t="s">
        <v>28</v>
      </c>
      <c r="O80" s="104" t="n">
        <f aca="false">IF(('Fixed Assets'!J1+'Fixed Assets'!P1)&gt;0,'Fixed Assets'!J1+'Fixed Assets'!P1,0)</f>
        <v>0</v>
      </c>
      <c r="P80" s="104"/>
      <c r="Q80" s="104"/>
      <c r="R80" s="105" t="s">
        <v>29</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23</v>
      </c>
      <c r="B82" s="68"/>
      <c r="C82" s="69" t="s">
        <v>70</v>
      </c>
      <c r="D82" s="68"/>
      <c r="E82" s="68"/>
      <c r="F82" s="68"/>
      <c r="G82" s="68"/>
      <c r="H82" s="68"/>
      <c r="I82" s="68"/>
      <c r="J82" s="68"/>
      <c r="K82" s="68"/>
      <c r="L82" s="82" t="n">
        <v>25</v>
      </c>
      <c r="M82" s="68"/>
      <c r="N82" s="69" t="s">
        <v>71</v>
      </c>
      <c r="O82" s="68"/>
      <c r="P82" s="68"/>
      <c r="Q82" s="68"/>
      <c r="R82" s="68"/>
      <c r="S82" s="68"/>
      <c r="T82" s="68"/>
      <c r="U82" s="68"/>
      <c r="V82" s="68"/>
      <c r="W82" s="89"/>
    </row>
    <row r="83" customFormat="false" ht="11.25" hidden="false" customHeight="true" outlineLevel="0" collapsed="false">
      <c r="A83" s="86"/>
      <c r="B83" s="68"/>
      <c r="C83" s="69" t="s">
        <v>72</v>
      </c>
      <c r="D83" s="68"/>
      <c r="E83" s="68"/>
      <c r="F83" s="68"/>
      <c r="G83" s="68"/>
      <c r="H83" s="68"/>
      <c r="I83" s="68"/>
      <c r="J83" s="68"/>
      <c r="K83" s="68"/>
      <c r="L83" s="69"/>
      <c r="M83" s="68"/>
      <c r="N83" s="69" t="s">
        <v>73</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28</v>
      </c>
      <c r="D85" s="104" t="n">
        <f aca="false">IF(('Fixed Assets'!K1+'Fixed Assets'!J1)&lt;1000,'Fixed Assets'!K1,0)</f>
        <v>0</v>
      </c>
      <c r="E85" s="104"/>
      <c r="F85" s="104"/>
      <c r="G85" s="105" t="s">
        <v>29</v>
      </c>
      <c r="H85" s="106" t="n">
        <v>0</v>
      </c>
      <c r="I85" s="106" t="n">
        <v>0</v>
      </c>
      <c r="J85" s="69"/>
      <c r="K85" s="69"/>
      <c r="L85" s="68"/>
      <c r="M85" s="68"/>
      <c r="N85" s="103" t="s">
        <v>28</v>
      </c>
      <c r="O85" s="104" t="n">
        <f aca="false">IF('Fixed Assets'!Q1&gt;0,'Fixed Assets'!Q1,0)</f>
        <v>0</v>
      </c>
      <c r="P85" s="104"/>
      <c r="Q85" s="104"/>
      <c r="R85" s="105" t="s">
        <v>29</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74</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75</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76</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26</v>
      </c>
      <c r="B91" s="68"/>
      <c r="C91" s="69" t="s">
        <v>77</v>
      </c>
      <c r="D91" s="69"/>
      <c r="E91" s="69"/>
      <c r="F91" s="69"/>
      <c r="G91" s="69"/>
      <c r="H91" s="69"/>
      <c r="I91" s="69"/>
      <c r="J91" s="69"/>
      <c r="K91" s="69"/>
      <c r="L91" s="82" t="n">
        <v>28</v>
      </c>
      <c r="M91" s="68"/>
      <c r="N91" s="69" t="s">
        <v>78</v>
      </c>
      <c r="O91" s="68"/>
      <c r="P91" s="68"/>
      <c r="Q91" s="68"/>
      <c r="R91" s="68"/>
      <c r="S91" s="68"/>
      <c r="T91" s="68"/>
      <c r="U91" s="68"/>
      <c r="V91" s="68"/>
      <c r="W91" s="89"/>
    </row>
    <row r="92" customFormat="false" ht="12" hidden="false" customHeight="false" outlineLevel="0" collapsed="false">
      <c r="A92" s="69"/>
      <c r="B92" s="68"/>
      <c r="C92" s="97" t="s">
        <v>79</v>
      </c>
      <c r="D92" s="69"/>
      <c r="E92" s="69"/>
      <c r="F92" s="69"/>
      <c r="G92" s="69"/>
      <c r="H92" s="69"/>
      <c r="I92" s="69"/>
      <c r="J92" s="69"/>
      <c r="K92" s="69"/>
      <c r="L92" s="69"/>
      <c r="M92" s="68"/>
      <c r="N92" s="69" t="s">
        <v>80</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28</v>
      </c>
      <c r="D94" s="104" t="n">
        <f aca="false">'Business Details'!O29</f>
        <v>0</v>
      </c>
      <c r="E94" s="104"/>
      <c r="F94" s="104"/>
      <c r="G94" s="105" t="s">
        <v>29</v>
      </c>
      <c r="H94" s="106" t="n">
        <v>0</v>
      </c>
      <c r="I94" s="106" t="n">
        <v>0</v>
      </c>
      <c r="J94" s="68"/>
      <c r="K94" s="68"/>
      <c r="L94" s="68"/>
      <c r="M94" s="68"/>
      <c r="N94" s="103" t="s">
        <v>28</v>
      </c>
      <c r="O94" s="104" t="n">
        <f aca="false">IF(O106&gt;0,0,IF('Business Details'!D29=0,0,IF(D99&gt;'Business Details'!D29,'Business Details'!D29,D99)))</f>
        <v>0</v>
      </c>
      <c r="P94" s="104"/>
      <c r="Q94" s="104"/>
      <c r="R94" s="105" t="s">
        <v>29</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27</v>
      </c>
      <c r="B96" s="68"/>
      <c r="C96" s="69" t="s">
        <v>81</v>
      </c>
      <c r="D96" s="69"/>
      <c r="E96" s="69"/>
      <c r="F96" s="69"/>
      <c r="G96" s="69"/>
      <c r="H96" s="69"/>
      <c r="I96" s="69"/>
      <c r="J96" s="69"/>
      <c r="K96" s="69"/>
      <c r="L96" s="82" t="n">
        <v>29</v>
      </c>
      <c r="M96" s="68"/>
      <c r="N96" s="69" t="s">
        <v>82</v>
      </c>
      <c r="O96" s="68"/>
      <c r="P96" s="68"/>
      <c r="Q96" s="68"/>
      <c r="R96" s="68"/>
      <c r="S96" s="68"/>
      <c r="T96" s="68"/>
      <c r="U96" s="68"/>
      <c r="V96" s="68"/>
      <c r="W96" s="89"/>
    </row>
    <row r="97" customFormat="false" ht="12" hidden="false" customHeight="true" outlineLevel="0" collapsed="false">
      <c r="A97" s="113"/>
      <c r="B97" s="68"/>
      <c r="C97" s="69" t="s">
        <v>83</v>
      </c>
      <c r="D97" s="69"/>
      <c r="E97" s="69"/>
      <c r="F97" s="69"/>
      <c r="G97" s="69"/>
      <c r="H97" s="69"/>
      <c r="I97" s="69"/>
      <c r="J97" s="69"/>
      <c r="K97" s="69"/>
      <c r="L97" s="69"/>
      <c r="M97" s="68"/>
      <c r="N97" s="97" t="s">
        <v>84</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28</v>
      </c>
      <c r="D99" s="104" t="n">
        <f aca="false">IF((D71+O85+D94-O71-D80-D85-O80)&gt;0,D71+O85+D94-O71-D80-D85-O80,0)</f>
        <v>29640</v>
      </c>
      <c r="E99" s="104"/>
      <c r="F99" s="104"/>
      <c r="G99" s="105" t="s">
        <v>29</v>
      </c>
      <c r="H99" s="106" t="n">
        <v>0</v>
      </c>
      <c r="I99" s="106" t="n">
        <v>0</v>
      </c>
      <c r="J99" s="68"/>
      <c r="K99" s="68"/>
      <c r="L99" s="69"/>
      <c r="M99" s="68"/>
      <c r="N99" s="103" t="s">
        <v>28</v>
      </c>
      <c r="O99" s="104" t="n">
        <f aca="false">'Profit &amp; Loss Acc'!B24</f>
        <v>0</v>
      </c>
      <c r="P99" s="104"/>
      <c r="Q99" s="104"/>
      <c r="R99" s="105" t="s">
        <v>29</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85</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30</v>
      </c>
      <c r="B103" s="68"/>
      <c r="C103" s="69" t="s">
        <v>86</v>
      </c>
      <c r="D103" s="69"/>
      <c r="E103" s="69"/>
      <c r="F103" s="69"/>
      <c r="G103" s="69"/>
      <c r="H103" s="69"/>
      <c r="I103" s="69"/>
      <c r="J103" s="69"/>
      <c r="K103" s="69"/>
      <c r="L103" s="82" t="n">
        <v>31</v>
      </c>
      <c r="M103" s="68"/>
      <c r="N103" s="69" t="s">
        <v>87</v>
      </c>
      <c r="O103" s="68"/>
      <c r="P103" s="68"/>
      <c r="Q103" s="68"/>
      <c r="R103" s="68"/>
      <c r="S103" s="68"/>
      <c r="T103" s="68"/>
      <c r="U103" s="68"/>
      <c r="V103" s="68"/>
      <c r="W103" s="89"/>
    </row>
    <row r="104" customFormat="false" ht="12" hidden="false" customHeight="true" outlineLevel="0" collapsed="false">
      <c r="A104" s="86"/>
      <c r="B104" s="68"/>
      <c r="C104" s="87" t="s">
        <v>88</v>
      </c>
      <c r="D104" s="119"/>
      <c r="E104" s="119"/>
      <c r="F104" s="119"/>
      <c r="G104" s="105"/>
      <c r="H104" s="108"/>
      <c r="I104" s="108"/>
      <c r="J104" s="68"/>
      <c r="K104" s="68"/>
      <c r="L104" s="69"/>
      <c r="M104" s="68"/>
      <c r="N104" s="69" t="s">
        <v>89</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28</v>
      </c>
      <c r="D106" s="104" t="n">
        <f aca="false">IF((D99+O99-O94)&gt;0,D99+O99-O94,0)</f>
        <v>29640</v>
      </c>
      <c r="E106" s="104"/>
      <c r="F106" s="104"/>
      <c r="G106" s="105" t="s">
        <v>29</v>
      </c>
      <c r="H106" s="106" t="n">
        <v>0</v>
      </c>
      <c r="I106" s="106" t="n">
        <v>0</v>
      </c>
      <c r="J106" s="69"/>
      <c r="K106" s="69"/>
      <c r="L106" s="69"/>
      <c r="M106" s="68"/>
      <c r="N106" s="103" t="s">
        <v>28</v>
      </c>
      <c r="O106" s="104" t="n">
        <f aca="false">IF((O71+D80+D85+O80-D71-O85-D94)&gt;=0,O71+D80+D85+O80-D71-O85-D94,0)</f>
        <v>0</v>
      </c>
      <c r="P106" s="104"/>
      <c r="Q106" s="104"/>
      <c r="R106" s="105" t="s">
        <v>29</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90</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91</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32</v>
      </c>
      <c r="B111" s="68"/>
      <c r="C111" s="69" t="s">
        <v>92</v>
      </c>
      <c r="D111" s="69"/>
      <c r="E111" s="69"/>
      <c r="F111" s="69"/>
      <c r="G111" s="69"/>
      <c r="H111" s="69"/>
      <c r="I111" s="69"/>
      <c r="J111" s="69"/>
      <c r="K111" s="69"/>
      <c r="L111" s="82" t="n">
        <v>35</v>
      </c>
      <c r="M111" s="68"/>
      <c r="N111" s="69" t="s">
        <v>93</v>
      </c>
      <c r="O111" s="68"/>
      <c r="P111" s="68"/>
      <c r="Q111" s="68"/>
      <c r="R111" s="68"/>
      <c r="S111" s="68"/>
      <c r="T111" s="68"/>
      <c r="U111" s="68"/>
      <c r="V111" s="68"/>
      <c r="W111" s="89"/>
    </row>
    <row r="112" customFormat="false" ht="12" hidden="false" customHeight="false" outlineLevel="0" collapsed="false">
      <c r="A112" s="113"/>
      <c r="B112" s="68"/>
      <c r="C112" s="69" t="s">
        <v>94</v>
      </c>
      <c r="D112" s="121" t="str">
        <f aca="false">Admin!G$2</f>
        <v>2026-27</v>
      </c>
      <c r="E112" s="121"/>
      <c r="F112" s="121"/>
      <c r="G112" s="69"/>
      <c r="H112" s="69"/>
      <c r="I112" s="69"/>
      <c r="J112" s="69"/>
      <c r="K112" s="69"/>
      <c r="L112" s="69"/>
      <c r="M112" s="68"/>
      <c r="N112" s="69" t="s">
        <v>95</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28</v>
      </c>
      <c r="D114" s="104"/>
      <c r="E114" s="104"/>
      <c r="F114" s="104"/>
      <c r="G114" s="105" t="s">
        <v>29</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33</v>
      </c>
      <c r="B116" s="68"/>
      <c r="C116" s="69" t="s">
        <v>96</v>
      </c>
      <c r="D116" s="69"/>
      <c r="E116" s="69"/>
      <c r="F116" s="69"/>
      <c r="G116" s="69"/>
      <c r="H116" s="69"/>
      <c r="I116" s="69"/>
      <c r="J116" s="69"/>
      <c r="K116" s="69"/>
      <c r="L116" s="82" t="n">
        <v>36</v>
      </c>
      <c r="M116" s="68"/>
      <c r="N116" s="69" t="s">
        <v>97</v>
      </c>
      <c r="O116" s="68"/>
      <c r="P116" s="68"/>
      <c r="Q116" s="68"/>
      <c r="R116" s="121" t="str">
        <f aca="false">Admin!G$2</f>
        <v>2026-27</v>
      </c>
      <c r="S116" s="121"/>
      <c r="T116" s="121"/>
      <c r="U116" s="69" t="s">
        <v>98</v>
      </c>
      <c r="V116" s="68"/>
      <c r="W116" s="89"/>
    </row>
    <row r="117" customFormat="false" ht="12" hidden="false" customHeight="true" outlineLevel="0" collapsed="false">
      <c r="A117" s="113"/>
      <c r="B117" s="68"/>
      <c r="C117" s="69" t="s">
        <v>99</v>
      </c>
      <c r="D117" s="69"/>
      <c r="E117" s="69"/>
      <c r="F117" s="69"/>
      <c r="G117" s="69"/>
      <c r="H117" s="69"/>
      <c r="I117" s="69"/>
      <c r="J117" s="69"/>
      <c r="K117" s="69"/>
      <c r="L117" s="69"/>
      <c r="M117" s="68"/>
      <c r="N117" s="69" t="s">
        <v>100</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t="s">
        <v>101</v>
      </c>
      <c r="O118" s="68"/>
      <c r="P118" s="68"/>
      <c r="Q118" s="68"/>
      <c r="R118" s="68"/>
      <c r="S118" s="68"/>
      <c r="T118" s="68"/>
      <c r="U118" s="68"/>
      <c r="V118" s="68"/>
      <c r="W118" s="89"/>
    </row>
    <row r="119" customFormat="false" ht="15" hidden="false" customHeight="false" outlineLevel="0" collapsed="false">
      <c r="A119" s="86"/>
      <c r="B119" s="68"/>
      <c r="C119" s="103" t="s">
        <v>28</v>
      </c>
      <c r="D119" s="104"/>
      <c r="E119" s="104"/>
      <c r="F119" s="104"/>
      <c r="G119" s="105" t="s">
        <v>29</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34</v>
      </c>
      <c r="B120" s="68"/>
      <c r="C120" s="69" t="s">
        <v>102</v>
      </c>
      <c r="D120" s="69"/>
      <c r="E120" s="69"/>
      <c r="F120" s="69"/>
      <c r="G120" s="69"/>
      <c r="H120" s="69"/>
      <c r="I120" s="69"/>
      <c r="J120" s="69"/>
      <c r="K120" s="69"/>
      <c r="L120" s="82" t="n">
        <v>37</v>
      </c>
      <c r="M120" s="68"/>
      <c r="N120" s="69" t="s">
        <v>103</v>
      </c>
      <c r="O120" s="68"/>
      <c r="P120" s="68"/>
      <c r="Q120" s="68"/>
      <c r="R120" s="68"/>
      <c r="S120" s="68"/>
      <c r="T120" s="68"/>
      <c r="U120" s="68"/>
      <c r="V120" s="68"/>
      <c r="W120" s="89"/>
    </row>
    <row r="121" customFormat="false" ht="12" hidden="false" customHeight="true" outlineLevel="0" collapsed="false">
      <c r="A121" s="113"/>
      <c r="B121" s="68"/>
      <c r="C121" s="97" t="s">
        <v>104</v>
      </c>
      <c r="D121" s="69"/>
      <c r="E121" s="69"/>
      <c r="F121" s="69"/>
      <c r="G121" s="69"/>
      <c r="H121" s="69"/>
      <c r="I121" s="69"/>
      <c r="J121" s="69"/>
      <c r="K121" s="69"/>
      <c r="L121" s="69"/>
      <c r="M121" s="68"/>
      <c r="N121" s="69" t="s">
        <v>105</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28</v>
      </c>
      <c r="D123" s="104" t="n">
        <f aca="false">'Business Details'!O34</f>
        <v>0</v>
      </c>
      <c r="E123" s="104"/>
      <c r="F123" s="104"/>
      <c r="G123" s="105" t="s">
        <v>29</v>
      </c>
      <c r="H123" s="106" t="n">
        <v>0</v>
      </c>
      <c r="I123" s="106" t="n">
        <v>0</v>
      </c>
      <c r="J123" s="68"/>
      <c r="K123" s="68"/>
      <c r="L123" s="69"/>
      <c r="M123" s="68"/>
      <c r="N123" s="103" t="s">
        <v>28</v>
      </c>
      <c r="O123" s="104" t="n">
        <v>0</v>
      </c>
      <c r="P123" s="104"/>
      <c r="Q123" s="104"/>
      <c r="R123" s="105" t="s">
        <v>29</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106</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4980</v>
      </c>
      <c r="K1" s="129" t="s">
        <v>107</v>
      </c>
      <c r="L1" s="129"/>
      <c r="M1" s="129"/>
      <c r="N1" s="129"/>
      <c r="O1" s="135"/>
      <c r="Q1" s="136"/>
      <c r="AA1" s="136"/>
    </row>
    <row r="2" s="141" customFormat="true" ht="12.75" hidden="false" customHeight="true" outlineLevel="0" collapsed="false">
      <c r="A2" s="137" t="s">
        <v>108</v>
      </c>
      <c r="B2" s="138" t="s">
        <v>109</v>
      </c>
      <c r="C2" s="139" t="n">
        <f aca="false">Admin!B$5</f>
        <v>46142</v>
      </c>
      <c r="D2" s="139" t="n">
        <f aca="false">Admin!B$6</f>
        <v>46173</v>
      </c>
      <c r="E2" s="139" t="n">
        <f aca="false">Admin!B$7</f>
        <v>46203</v>
      </c>
      <c r="F2" s="139" t="n">
        <f aca="false">Admin!B$8</f>
        <v>46234</v>
      </c>
      <c r="G2" s="139" t="n">
        <f aca="false">Admin!B$9</f>
        <v>46265</v>
      </c>
      <c r="H2" s="139" t="n">
        <f aca="false">Admin!B$10</f>
        <v>46295</v>
      </c>
      <c r="I2" s="139" t="n">
        <f aca="false">Admin!B$11</f>
        <v>46326</v>
      </c>
      <c r="J2" s="139" t="n">
        <f aca="false">Admin!B$12</f>
        <v>46356</v>
      </c>
      <c r="K2" s="139" t="n">
        <f aca="false">Admin!B$13</f>
        <v>46387</v>
      </c>
      <c r="L2" s="139" t="n">
        <f aca="false">Admin!B$14</f>
        <v>46418</v>
      </c>
      <c r="M2" s="139" t="n">
        <f aca="false">Admin!B$15</f>
        <v>46446</v>
      </c>
      <c r="N2" s="139" t="n">
        <f aca="false">Admin!B$16</f>
        <v>46477</v>
      </c>
      <c r="O2" s="140"/>
      <c r="Q2" s="128"/>
      <c r="AA2" s="128"/>
    </row>
    <row r="3" s="55" customFormat="true" ht="12.75" hidden="false" customHeight="false" outlineLevel="0" collapsed="false">
      <c r="A3" s="137"/>
      <c r="B3" s="142" t="str">
        <f aca="false">Admin!G$2</f>
        <v>2026-27</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110</v>
      </c>
      <c r="B5" s="149" t="n">
        <f aca="false">ROUNDDOWN(SUM(C5:N5),0)</f>
        <v>36000</v>
      </c>
      <c r="C5" s="150" t="n">
        <f aca="false">SalesApr!$E$1</f>
        <v>3000</v>
      </c>
      <c r="D5" s="150" t="n">
        <f aca="false">SalesMay!$E$1</f>
        <v>3000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111</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112</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113</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114</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115</v>
      </c>
      <c r="B10" s="127" t="n">
        <f aca="false">IF((C1="mileage allowance"),0,('Fixed Assets'!I1+'Fixed Assets'!J1+'Fixed Assets'!P1-'Fixed Assets'!Q1))</f>
        <v>0</v>
      </c>
      <c r="C10" s="152" t="n">
        <f aca="false">B10/12</f>
        <v>0</v>
      </c>
      <c r="D10" s="127" t="n">
        <f aca="false">B10/12</f>
        <v>0</v>
      </c>
      <c r="E10" s="153" t="n">
        <f aca="false">B10/12</f>
        <v>0</v>
      </c>
      <c r="F10" s="127" t="n">
        <f aca="false">B10/12</f>
        <v>0</v>
      </c>
      <c r="G10" s="127" t="n">
        <f aca="false">B10/12</f>
        <v>0</v>
      </c>
      <c r="H10" s="153" t="n">
        <f aca="false">B10/12</f>
        <v>0</v>
      </c>
      <c r="I10" s="127" t="n">
        <f aca="false">B10/12</f>
        <v>0</v>
      </c>
      <c r="J10" s="127" t="n">
        <f aca="false">B10/12</f>
        <v>0</v>
      </c>
      <c r="K10" s="153" t="n">
        <f aca="false">B10/12</f>
        <v>0</v>
      </c>
      <c r="L10" s="127" t="n">
        <f aca="false">B10/12</f>
        <v>0</v>
      </c>
      <c r="M10" s="127" t="n">
        <f aca="false">B10/12</f>
        <v>0</v>
      </c>
      <c r="N10" s="153" t="n">
        <f aca="false">B10/12</f>
        <v>0</v>
      </c>
      <c r="O10" s="135"/>
    </row>
    <row r="11" customFormat="false" ht="12.75" hidden="false" customHeight="false" outlineLevel="0" collapsed="false">
      <c r="A11" s="144" t="s">
        <v>116</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117</v>
      </c>
      <c r="B12" s="149" t="n">
        <f aca="false">ROUNDUP(SUM(B6:B11),0)</f>
        <v>4980</v>
      </c>
      <c r="C12" s="150" t="n">
        <f aca="false">SUM(C6:C11)</f>
        <v>1680</v>
      </c>
      <c r="D12" s="150" t="n">
        <f aca="false">SUM(D6:D11)</f>
        <v>300</v>
      </c>
      <c r="E12" s="150" t="n">
        <f aca="false">SUM(E6:E11)</f>
        <v>300</v>
      </c>
      <c r="F12" s="151" t="n">
        <f aca="false">SUM(F6:F11)</f>
        <v>300</v>
      </c>
      <c r="G12" s="150" t="n">
        <f aca="false">SUM(G6:G11)</f>
        <v>300</v>
      </c>
      <c r="H12" s="150" t="n">
        <f aca="false">SUM(H6:H11)</f>
        <v>300</v>
      </c>
      <c r="I12" s="151" t="n">
        <f aca="false">SUM(I6:I11)</f>
        <v>300</v>
      </c>
      <c r="J12" s="150" t="n">
        <f aca="false">SUM(J6:J11)</f>
        <v>300</v>
      </c>
      <c r="K12" s="150" t="n">
        <f aca="false">SUM(K6:K11)</f>
        <v>300</v>
      </c>
      <c r="L12" s="151" t="n">
        <f aca="false">SUM(L6:L11)</f>
        <v>300</v>
      </c>
      <c r="M12" s="150" t="n">
        <f aca="false">SUM(M6:M11)</f>
        <v>300</v>
      </c>
      <c r="N12" s="150" t="n">
        <f aca="false">SUM(N6:N11)</f>
        <v>300</v>
      </c>
      <c r="O12" s="135"/>
    </row>
    <row r="13" customFormat="false" ht="12.75" hidden="false" customHeight="false" outlineLevel="0" collapsed="false">
      <c r="A13" s="159" t="s">
        <v>118</v>
      </c>
      <c r="B13" s="149" t="n">
        <f aca="false">ROUNDUP(B5-B12,0)</f>
        <v>31020</v>
      </c>
      <c r="C13" s="150" t="n">
        <f aca="false">C5-C12</f>
        <v>1320</v>
      </c>
      <c r="D13" s="150" t="n">
        <f aca="false">D5-D12</f>
        <v>2700</v>
      </c>
      <c r="E13" s="150" t="n">
        <f aca="false">E5-E12</f>
        <v>2700</v>
      </c>
      <c r="F13" s="151" t="n">
        <f aca="false">F5-F12</f>
        <v>2700</v>
      </c>
      <c r="G13" s="150" t="n">
        <f aca="false">G5-G12</f>
        <v>2700</v>
      </c>
      <c r="H13" s="150" t="n">
        <f aca="false">H5-H12</f>
        <v>2700</v>
      </c>
      <c r="I13" s="151" t="n">
        <f aca="false">I5-I12</f>
        <v>2700</v>
      </c>
      <c r="J13" s="150" t="n">
        <f aca="false">J5-J12</f>
        <v>2700</v>
      </c>
      <c r="K13" s="150" t="n">
        <f aca="false">K5-K12</f>
        <v>2700</v>
      </c>
      <c r="L13" s="151" t="n">
        <f aca="false">L5-L12</f>
        <v>2700</v>
      </c>
      <c r="M13" s="150" t="n">
        <f aca="false">M5-M12</f>
        <v>2700</v>
      </c>
      <c r="N13" s="150" t="n">
        <f aca="false">N5-N12</f>
        <v>2700</v>
      </c>
      <c r="O13" s="135"/>
    </row>
    <row r="14" customFormat="false" ht="12.75" hidden="false" customHeight="false" outlineLevel="0" collapsed="false">
      <c r="A14" s="144" t="s">
        <v>119</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120</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121</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122</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123</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124</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125</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126</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127</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128</v>
      </c>
      <c r="B23" s="149" t="n">
        <f aca="false">ROUNDDOWN((B13-B22),0)</f>
        <v>29640</v>
      </c>
      <c r="C23" s="150" t="n">
        <f aca="false">C13-C22</f>
        <v>800</v>
      </c>
      <c r="D23" s="150" t="n">
        <f aca="false">D13-D22</f>
        <v>2700</v>
      </c>
      <c r="E23" s="150" t="n">
        <f aca="false">E13-E22</f>
        <v>2700</v>
      </c>
      <c r="F23" s="151" t="n">
        <f aca="false">F13-F22</f>
        <v>2580</v>
      </c>
      <c r="G23" s="150" t="n">
        <f aca="false">G13-G22</f>
        <v>2700</v>
      </c>
      <c r="H23" s="150" t="n">
        <f aca="false">H13-H22</f>
        <v>2700</v>
      </c>
      <c r="I23" s="151" t="n">
        <f aca="false">I13-I22</f>
        <v>2580</v>
      </c>
      <c r="J23" s="150" t="n">
        <f aca="false">J13-J22</f>
        <v>2700</v>
      </c>
      <c r="K23" s="150" t="n">
        <f aca="false">K13-K22</f>
        <v>2700</v>
      </c>
      <c r="L23" s="151" t="n">
        <f aca="false">L13-L22</f>
        <v>2080</v>
      </c>
      <c r="M23" s="150" t="n">
        <f aca="false">M13-M22</f>
        <v>2700</v>
      </c>
      <c r="N23" s="150" t="n">
        <f aca="false">N13-N22</f>
        <v>2700</v>
      </c>
      <c r="O23" s="135"/>
    </row>
    <row r="24" customFormat="false" ht="12.75" hidden="false" customHeight="false" outlineLevel="0" collapsed="false">
      <c r="A24" s="160" t="s">
        <v>129</v>
      </c>
      <c r="B24" s="157" t="n">
        <f aca="false">ROUNDDOWN(SUM(C24:N24),0)</f>
        <v>0</v>
      </c>
      <c r="C24" s="161" t="n">
        <f aca="false">SalesApr!$F$1</f>
        <v>0</v>
      </c>
      <c r="D24" s="161" t="n">
        <f aca="false">SalesMay!$F$1</f>
        <v>0</v>
      </c>
      <c r="E24" s="161" t="n">
        <f aca="false">SalesJun!$F$1</f>
        <v>0</v>
      </c>
      <c r="F24" s="158" t="n">
        <f aca="false">SalesJul!$F$1</f>
        <v>0</v>
      </c>
      <c r="G24" s="161" t="n">
        <f aca="false">SalesAug!$F$1</f>
        <v>0</v>
      </c>
      <c r="H24" s="161" t="n">
        <f aca="false">SalesSep!$F$1</f>
        <v>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130</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131</v>
      </c>
      <c r="B27" s="171" t="n">
        <f aca="false">SUM(C27:N27)</f>
        <v>29640</v>
      </c>
      <c r="C27" s="172" t="n">
        <f aca="false">'Wages Forecast'!D30</f>
        <v>800</v>
      </c>
      <c r="D27" s="172" t="n">
        <f aca="false">'Wages Forecast'!E30</f>
        <v>2700</v>
      </c>
      <c r="E27" s="172" t="n">
        <f aca="false">'Wages Forecast'!F30</f>
        <v>2700</v>
      </c>
      <c r="F27" s="172" t="n">
        <f aca="false">'Wages Forecast'!G30</f>
        <v>2580</v>
      </c>
      <c r="G27" s="172" t="n">
        <f aca="false">'Wages Forecast'!H30</f>
        <v>2700</v>
      </c>
      <c r="H27" s="172" t="n">
        <f aca="false">'Wages Forecast'!I30</f>
        <v>2700</v>
      </c>
      <c r="I27" s="172" t="n">
        <f aca="false">'Wages Forecast'!J30</f>
        <v>2580</v>
      </c>
      <c r="J27" s="172" t="n">
        <f aca="false">'Wages Forecast'!K30</f>
        <v>2700</v>
      </c>
      <c r="K27" s="172" t="n">
        <f aca="false">'Wages Forecast'!L30</f>
        <v>2700</v>
      </c>
      <c r="L27" s="172" t="n">
        <f aca="false">'Wages Forecast'!M30</f>
        <v>2080</v>
      </c>
      <c r="M27" s="172" t="n">
        <f aca="false">'Wages Forecast'!N30</f>
        <v>2700</v>
      </c>
      <c r="N27" s="172" t="n">
        <f aca="false">'Wages Forecast'!O30</f>
        <v>2700</v>
      </c>
      <c r="O27" s="173"/>
      <c r="Q27" s="128"/>
      <c r="AA27" s="128"/>
    </row>
    <row r="28" s="165" customFormat="true" ht="12.75" hidden="false" customHeight="false" outlineLevel="0" collapsed="false">
      <c r="A28" s="174" t="s">
        <v>132</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133</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134</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135</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136</v>
      </c>
      <c r="B32" s="175" t="n">
        <f aca="false">SUM(C32:N32)</f>
        <v>4438.2</v>
      </c>
      <c r="C32" s="172" t="n">
        <f aca="false">'Wages Forecast'!C$41/12</f>
        <v>369.85</v>
      </c>
      <c r="D32" s="172" t="n">
        <f aca="false">'Wages Forecast'!C$41/12</f>
        <v>369.85</v>
      </c>
      <c r="E32" s="172" t="n">
        <f aca="false">'Wages Forecast'!C$41/12</f>
        <v>369.85</v>
      </c>
      <c r="F32" s="172" t="n">
        <f aca="false">'Wages Forecast'!C$41/12</f>
        <v>369.85</v>
      </c>
      <c r="G32" s="172" t="n">
        <f aca="false">'Wages Forecast'!C$41/12</f>
        <v>369.85</v>
      </c>
      <c r="H32" s="172" t="n">
        <f aca="false">'Wages Forecast'!C$41/12</f>
        <v>369.85</v>
      </c>
      <c r="I32" s="172" t="n">
        <f aca="false">'Wages Forecast'!C$41/12</f>
        <v>369.85</v>
      </c>
      <c r="J32" s="172" t="n">
        <f aca="false">'Wages Forecast'!C$41/12</f>
        <v>369.85</v>
      </c>
      <c r="K32" s="172" t="n">
        <f aca="false">'Wages Forecast'!C$41/12</f>
        <v>369.85</v>
      </c>
      <c r="L32" s="172" t="n">
        <f aca="false">'Wages Forecast'!C$41/12</f>
        <v>369.85</v>
      </c>
      <c r="M32" s="172" t="n">
        <f aca="false">'Wages Forecast'!C$41/12</f>
        <v>369.85</v>
      </c>
      <c r="N32" s="172" t="n">
        <f aca="false">'Wages Forecast'!C$41/12</f>
        <v>369.85</v>
      </c>
      <c r="O32" s="173"/>
      <c r="Q32" s="128"/>
      <c r="AA32" s="128"/>
    </row>
    <row r="33" s="165" customFormat="true" ht="12.75" hidden="false" customHeight="false" outlineLevel="0" collapsed="false">
      <c r="A33" s="170" t="s">
        <v>137</v>
      </c>
      <c r="B33" s="171" t="n">
        <f aca="false">SUM(C33:N33)</f>
        <v>25201.8</v>
      </c>
      <c r="C33" s="177" t="n">
        <f aca="false">C27-SUM(C28:C31)-C32</f>
        <v>430.15</v>
      </c>
      <c r="D33" s="177" t="n">
        <f aca="false">D27-SUM(D28:D31)-D32</f>
        <v>2330.15</v>
      </c>
      <c r="E33" s="177" t="n">
        <f aca="false">E27-SUM(E28:E31)-E32</f>
        <v>2330.15</v>
      </c>
      <c r="F33" s="177" t="n">
        <f aca="false">F27-SUM(F28:F31)-F32</f>
        <v>2210.15</v>
      </c>
      <c r="G33" s="177" t="n">
        <f aca="false">G27-SUM(G28:G31)-G32</f>
        <v>2330.15</v>
      </c>
      <c r="H33" s="177" t="n">
        <f aca="false">H27-SUM(H28:H31)-H32</f>
        <v>2330.15</v>
      </c>
      <c r="I33" s="177" t="n">
        <f aca="false">I27-SUM(I28:I31)-I32</f>
        <v>2210.15</v>
      </c>
      <c r="J33" s="177" t="n">
        <f aca="false">J27-SUM(J28:J31)-J32</f>
        <v>2330.15</v>
      </c>
      <c r="K33" s="177" t="n">
        <f aca="false">K27-SUM(K28:K31)-K32</f>
        <v>2330.15</v>
      </c>
      <c r="L33" s="177" t="n">
        <f aca="false">L27-SUM(L28:L31)-L32</f>
        <v>1710.15</v>
      </c>
      <c r="M33" s="177" t="n">
        <f aca="false">M27-SUM(M28:M31)-M32</f>
        <v>2330.15</v>
      </c>
      <c r="N33" s="177" t="n">
        <f aca="false">N27-SUM(N28:N31)-N32</f>
        <v>2330.15</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138</v>
      </c>
      <c r="C2" s="183" t="s">
        <v>139</v>
      </c>
      <c r="D2" s="183" t="s">
        <v>140</v>
      </c>
      <c r="E2" s="183" t="s">
        <v>141</v>
      </c>
      <c r="F2" s="183" t="s">
        <v>142</v>
      </c>
      <c r="G2" s="183" t="s">
        <v>143</v>
      </c>
      <c r="H2" s="183" t="s">
        <v>144</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145</v>
      </c>
      <c r="C5" s="184" t="n">
        <f aca="false">SUM('Profit &amp; Loss Acc'!C5:E5)</f>
        <v>9000</v>
      </c>
      <c r="D5" s="184" t="n">
        <f aca="false">SUM('Profit &amp; Loss Acc'!F5:H5)</f>
        <v>9000</v>
      </c>
      <c r="E5" s="184" t="n">
        <f aca="false">SUM('Profit &amp; Loss Acc'!I5:K5)</f>
        <v>9000</v>
      </c>
      <c r="F5" s="184" t="n">
        <f aca="false">SUM('Profit &amp; Loss Acc'!L5:N5)</f>
        <v>9000</v>
      </c>
      <c r="G5" s="185" t="n">
        <f aca="false">SUM(C5:F5)</f>
        <v>36000</v>
      </c>
      <c r="H5" s="182"/>
      <c r="I5" s="182"/>
    </row>
    <row r="6" customFormat="false" ht="12.75" hidden="false" customHeight="false" outlineLevel="0" collapsed="false">
      <c r="A6" s="182"/>
      <c r="B6" s="182" t="s">
        <v>146</v>
      </c>
      <c r="C6" s="184" t="n">
        <f aca="false">SUM('Profit &amp; Loss Acc'!C24:E24)</f>
        <v>0</v>
      </c>
      <c r="D6" s="184" t="n">
        <f aca="false">SUM('Profit &amp; Loss Acc'!F24:H24)</f>
        <v>0</v>
      </c>
      <c r="E6" s="184" t="n">
        <f aca="false">SUM('Profit &amp; Loss Acc'!I24:K24)</f>
        <v>0</v>
      </c>
      <c r="F6" s="184" t="n">
        <f aca="false">SUM('Profit &amp; Loss Acc'!L24:N24)</f>
        <v>0</v>
      </c>
      <c r="G6" s="185" t="n">
        <f aca="false">SUM(C6:F6)</f>
        <v>0</v>
      </c>
      <c r="H6" s="182"/>
      <c r="I6" s="182"/>
    </row>
    <row r="7" customFormat="false" ht="12.75" hidden="false" customHeight="false" outlineLevel="0" collapsed="false">
      <c r="A7" s="182"/>
      <c r="B7" s="182" t="s">
        <v>147</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148</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149</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150</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151</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152</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153</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154</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155</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156</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157</v>
      </c>
      <c r="C20" s="185" t="n">
        <v>0</v>
      </c>
      <c r="D20" s="185" t="n">
        <v>0</v>
      </c>
      <c r="E20" s="185" t="n">
        <v>0</v>
      </c>
      <c r="F20" s="185" t="n">
        <v>0</v>
      </c>
      <c r="G20" s="185" t="n">
        <f aca="false">SUM(C20:F20)</f>
        <v>0</v>
      </c>
      <c r="H20" s="182" t="s">
        <v>158</v>
      </c>
      <c r="I20" s="182"/>
    </row>
    <row r="21" customFormat="false" ht="12.75" hidden="false" customHeight="false" outlineLevel="0" collapsed="false">
      <c r="A21" s="182"/>
      <c r="B21" s="182" t="s">
        <v>124</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159</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160</v>
      </c>
      <c r="C24" s="185" t="n">
        <v>0</v>
      </c>
      <c r="D24" s="185" t="n">
        <v>0</v>
      </c>
      <c r="E24" s="185" t="n">
        <v>0</v>
      </c>
      <c r="F24" s="185" t="n">
        <v>0</v>
      </c>
      <c r="G24" s="185" t="n">
        <f aca="false">SUM(C24:F24)</f>
        <v>0</v>
      </c>
      <c r="H24" s="182" t="s">
        <v>158</v>
      </c>
      <c r="I24" s="182"/>
    </row>
    <row r="25" customFormat="false" ht="12.75" hidden="false" customHeight="false" outlineLevel="0" collapsed="false">
      <c r="A25" s="182"/>
      <c r="B25" s="182" t="s">
        <v>161</v>
      </c>
      <c r="C25" s="185" t="n">
        <v>0</v>
      </c>
      <c r="D25" s="185" t="n">
        <v>0</v>
      </c>
      <c r="E25" s="185" t="n">
        <v>0</v>
      </c>
      <c r="F25" s="185" t="n">
        <v>0</v>
      </c>
      <c r="G25" s="185" t="n">
        <f aca="false">SUM(C25:F25)</f>
        <v>0</v>
      </c>
      <c r="H25" s="182" t="s">
        <v>158</v>
      </c>
      <c r="I25" s="182"/>
    </row>
    <row r="26" customFormat="false" ht="12.75" hidden="false" customHeight="false" outlineLevel="0" collapsed="false">
      <c r="A26" s="182"/>
      <c r="B26" s="182" t="s">
        <v>162</v>
      </c>
      <c r="C26" s="185" t="n">
        <f aca="false">SUM('Profit &amp; Loss Acc'!C10:E10)</f>
        <v>0</v>
      </c>
      <c r="D26" s="185" t="n">
        <f aca="false">SUM('Profit &amp; Loss Acc'!F10:H10)</f>
        <v>0</v>
      </c>
      <c r="E26" s="185" t="n">
        <f aca="false">SUM('Profit &amp; Loss Acc'!I10:K10)</f>
        <v>0</v>
      </c>
      <c r="F26" s="185" t="n">
        <f aca="false">SUM('Profit &amp; Loss Acc'!L10:N10)</f>
        <v>0</v>
      </c>
      <c r="G26" s="185" t="n">
        <f aca="false">SUM(C26:F26)</f>
        <v>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163</v>
      </c>
      <c r="C29" s="187" t="n">
        <f aca="false">SUM(C7,C12,C13,C14,C15,C16,C17,C18,C19,C20,C21,C22,C24,C25,C26)</f>
        <v>2800</v>
      </c>
      <c r="D29" s="187" t="n">
        <f aca="false">SUM(D7,D12,D13,D14,D15,D16,D17,D18,D19,D20,D21,D22,D24,D25,D26)</f>
        <v>1020</v>
      </c>
      <c r="E29" s="187" t="n">
        <f aca="false">SUM(E7,E12,E13,E14,E15,E16,E17,E18,E19,E20,E21,E22,E24,E25,E26)</f>
        <v>1020</v>
      </c>
      <c r="F29" s="187" t="n">
        <f aca="false">SUM(F7,F12,F13,F14,F15,F16,F17,F18,F19,F20,F21,F22,F24,F25,F26)</f>
        <v>1520</v>
      </c>
      <c r="G29" s="187" t="n">
        <f aca="false">SUM(G7,G12,G13,G14,G15,G16,G17,G18,G19,G20,G21,G22,G24,G25,G26)</f>
        <v>6360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164</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147</v>
      </c>
      <c r="C36" s="185" t="n">
        <v>0</v>
      </c>
      <c r="D36" s="185" t="n">
        <v>0</v>
      </c>
      <c r="E36" s="185" t="n">
        <v>0</v>
      </c>
      <c r="F36" s="185" t="n">
        <v>0</v>
      </c>
      <c r="G36" s="185" t="n">
        <f aca="false">SUM(C36:F36)</f>
        <v>0</v>
      </c>
      <c r="H36" s="182" t="s">
        <v>158</v>
      </c>
      <c r="I36" s="182"/>
    </row>
    <row r="37" customFormat="false" ht="12.75" hidden="false" customHeight="false" outlineLevel="0" collapsed="false">
      <c r="A37" s="182"/>
      <c r="B37" s="182" t="s">
        <v>160</v>
      </c>
      <c r="C37" s="185" t="n">
        <v>0</v>
      </c>
      <c r="D37" s="185" t="n">
        <v>0</v>
      </c>
      <c r="E37" s="185" t="n">
        <v>0</v>
      </c>
      <c r="F37" s="185" t="n">
        <v>0</v>
      </c>
      <c r="G37" s="185" t="n">
        <f aca="false">SUM(C37:F37)</f>
        <v>0</v>
      </c>
      <c r="H37" s="182" t="s">
        <v>158</v>
      </c>
      <c r="I37" s="182"/>
    </row>
    <row r="38" customFormat="false" ht="12.75" hidden="false" customHeight="false" outlineLevel="0" collapsed="false">
      <c r="A38" s="182"/>
      <c r="B38" s="182" t="s">
        <v>149</v>
      </c>
      <c r="C38" s="185" t="n">
        <v>0</v>
      </c>
      <c r="D38" s="185" t="n">
        <v>0</v>
      </c>
      <c r="E38" s="185" t="n">
        <v>0</v>
      </c>
      <c r="F38" s="185" t="n">
        <v>0</v>
      </c>
      <c r="G38" s="185" t="n">
        <f aca="false">SUM(C38:F38)</f>
        <v>0</v>
      </c>
      <c r="H38" s="182" t="s">
        <v>158</v>
      </c>
      <c r="I38" s="182"/>
    </row>
    <row r="39" customFormat="false" ht="12.75" hidden="false" customHeight="false" outlineLevel="0" collapsed="false">
      <c r="A39" s="182"/>
      <c r="B39" s="182" t="s">
        <v>165</v>
      </c>
      <c r="C39" s="185" t="n">
        <v>0</v>
      </c>
      <c r="D39" s="185" t="n">
        <v>0</v>
      </c>
      <c r="E39" s="185" t="n">
        <v>0</v>
      </c>
      <c r="F39" s="185" t="n">
        <v>0</v>
      </c>
      <c r="G39" s="185" t="n">
        <f aca="false">SUM(C39:F39)</f>
        <v>0</v>
      </c>
      <c r="H39" s="182" t="s">
        <v>158</v>
      </c>
      <c r="I39" s="182"/>
    </row>
    <row r="40" customFormat="false" ht="12.75" hidden="false" customHeight="false" outlineLevel="0" collapsed="false">
      <c r="A40" s="182"/>
      <c r="B40" s="182" t="s">
        <v>150</v>
      </c>
      <c r="C40" s="185" t="n">
        <v>0</v>
      </c>
      <c r="D40" s="185" t="n">
        <v>0</v>
      </c>
      <c r="E40" s="185" t="n">
        <v>0</v>
      </c>
      <c r="F40" s="185" t="n">
        <v>0</v>
      </c>
      <c r="G40" s="185" t="n">
        <f aca="false">SUM(C40:F40)</f>
        <v>0</v>
      </c>
      <c r="H40" s="182" t="s">
        <v>158</v>
      </c>
      <c r="I40" s="182"/>
    </row>
    <row r="41" customFormat="false" ht="12.75" hidden="false" customHeight="false" outlineLevel="0" collapsed="false">
      <c r="A41" s="182"/>
      <c r="B41" s="182" t="s">
        <v>151</v>
      </c>
      <c r="C41" s="185" t="n">
        <v>0</v>
      </c>
      <c r="D41" s="185" t="n">
        <v>0</v>
      </c>
      <c r="E41" s="185" t="n">
        <v>0</v>
      </c>
      <c r="F41" s="185" t="n">
        <v>0</v>
      </c>
      <c r="G41" s="185" t="n">
        <f aca="false">SUM(C41:F41)</f>
        <v>0</v>
      </c>
      <c r="H41" s="182" t="s">
        <v>158</v>
      </c>
      <c r="I41" s="182"/>
    </row>
    <row r="42" customFormat="false" ht="12.75" hidden="false" customHeight="false" outlineLevel="0" collapsed="false">
      <c r="A42" s="182"/>
      <c r="B42" s="182" t="s">
        <v>152</v>
      </c>
      <c r="C42" s="185" t="n">
        <v>0</v>
      </c>
      <c r="D42" s="185" t="n">
        <v>0</v>
      </c>
      <c r="E42" s="185" t="n">
        <v>0</v>
      </c>
      <c r="F42" s="185" t="n">
        <v>0</v>
      </c>
      <c r="G42" s="185" t="n">
        <f aca="false">SUM(C42:F42)</f>
        <v>0</v>
      </c>
      <c r="H42" s="182" t="s">
        <v>158</v>
      </c>
      <c r="I42" s="182"/>
    </row>
    <row r="43" customFormat="false" ht="12.75" hidden="false" customHeight="false" outlineLevel="0" collapsed="false">
      <c r="A43" s="182"/>
      <c r="B43" s="182" t="s">
        <v>155</v>
      </c>
      <c r="C43" s="185" t="n">
        <v>0</v>
      </c>
      <c r="D43" s="185" t="n">
        <v>0</v>
      </c>
      <c r="E43" s="185" t="n">
        <v>0</v>
      </c>
      <c r="F43" s="185" t="n">
        <v>0</v>
      </c>
      <c r="G43" s="185" t="n">
        <f aca="false">SUM(C43:F43)</f>
        <v>0</v>
      </c>
      <c r="H43" s="182" t="s">
        <v>158</v>
      </c>
      <c r="I43" s="182"/>
    </row>
    <row r="44" customFormat="false" ht="12.75" hidden="false" customHeight="false" outlineLevel="0" collapsed="false">
      <c r="A44" s="182"/>
      <c r="B44" s="182" t="s">
        <v>161</v>
      </c>
      <c r="C44" s="185" t="n">
        <v>0</v>
      </c>
      <c r="D44" s="185" t="n">
        <v>0</v>
      </c>
      <c r="E44" s="185" t="n">
        <v>0</v>
      </c>
      <c r="F44" s="185" t="n">
        <v>0</v>
      </c>
      <c r="G44" s="185" t="n">
        <f aca="false">SUM(C44:F44)</f>
        <v>0</v>
      </c>
      <c r="H44" s="182" t="s">
        <v>158</v>
      </c>
      <c r="I44" s="182"/>
    </row>
    <row r="45" customFormat="false" ht="12.75" hidden="false" customHeight="false" outlineLevel="0" collapsed="false">
      <c r="A45" s="182"/>
      <c r="B45" s="182" t="s">
        <v>124</v>
      </c>
      <c r="C45" s="185" t="n">
        <v>0</v>
      </c>
      <c r="D45" s="185" t="n">
        <v>0</v>
      </c>
      <c r="E45" s="185" t="n">
        <v>0</v>
      </c>
      <c r="F45" s="185" t="n">
        <v>0</v>
      </c>
      <c r="G45" s="185" t="n">
        <f aca="false">SUM(C45:F45)</f>
        <v>0</v>
      </c>
      <c r="H45" s="182" t="s">
        <v>158</v>
      </c>
      <c r="I45" s="182"/>
    </row>
    <row r="46" customFormat="false" ht="12.75" hidden="false" customHeight="false" outlineLevel="0" collapsed="false">
      <c r="A46" s="182"/>
      <c r="B46" s="182" t="s">
        <v>166</v>
      </c>
      <c r="C46" s="185" t="n">
        <v>0</v>
      </c>
      <c r="D46" s="185" t="n">
        <v>0</v>
      </c>
      <c r="E46" s="185" t="n">
        <v>0</v>
      </c>
      <c r="F46" s="185" t="n">
        <v>0</v>
      </c>
      <c r="G46" s="185" t="n">
        <f aca="false">SUM(C46:F46)</f>
        <v>0</v>
      </c>
      <c r="H46" s="182" t="s">
        <v>158</v>
      </c>
      <c r="I46" s="182"/>
    </row>
    <row r="47" customFormat="false" ht="12.75" hidden="false" customHeight="false" outlineLevel="0" collapsed="false">
      <c r="A47" s="182"/>
      <c r="B47" s="182" t="s">
        <v>167</v>
      </c>
      <c r="C47" s="185" t="n">
        <v>0</v>
      </c>
      <c r="D47" s="185" t="n">
        <v>0</v>
      </c>
      <c r="E47" s="185" t="n">
        <v>0</v>
      </c>
      <c r="F47" s="185" t="n">
        <v>0</v>
      </c>
      <c r="G47" s="185" t="n">
        <f aca="false">SUM(C47:F47)</f>
        <v>0</v>
      </c>
      <c r="H47" s="182" t="s">
        <v>158</v>
      </c>
      <c r="I47" s="182"/>
    </row>
    <row r="48" customFormat="false" ht="12.75" hidden="false" customHeight="false" outlineLevel="0" collapsed="false">
      <c r="A48" s="182"/>
      <c r="B48" s="182" t="s">
        <v>156</v>
      </c>
      <c r="C48" s="185" t="n">
        <v>0</v>
      </c>
      <c r="D48" s="185" t="n">
        <v>0</v>
      </c>
      <c r="E48" s="185" t="n">
        <v>0</v>
      </c>
      <c r="F48" s="185" t="n">
        <v>0</v>
      </c>
      <c r="G48" s="185" t="n">
        <f aca="false">SUM(C48:F48)</f>
        <v>0</v>
      </c>
      <c r="H48" s="182" t="s">
        <v>158</v>
      </c>
      <c r="I48" s="182"/>
    </row>
    <row r="49" customFormat="false" ht="12.75" hidden="false" customHeight="false" outlineLevel="0" collapsed="false">
      <c r="A49" s="182"/>
      <c r="B49" s="182" t="s">
        <v>162</v>
      </c>
      <c r="C49" s="185" t="n">
        <v>0</v>
      </c>
      <c r="D49" s="185" t="n">
        <v>0</v>
      </c>
      <c r="E49" s="185" t="n">
        <v>0</v>
      </c>
      <c r="F49" s="185" t="n">
        <v>0</v>
      </c>
      <c r="G49" s="185" t="n">
        <f aca="false">SUM(C49:F49)</f>
        <v>0</v>
      </c>
      <c r="H49" s="182" t="s">
        <v>158</v>
      </c>
      <c r="I49" s="182"/>
    </row>
    <row r="50" customFormat="false" ht="12.75" hidden="false" customHeight="false" outlineLevel="0" collapsed="false">
      <c r="A50" s="182"/>
      <c r="B50" s="182" t="s">
        <v>159</v>
      </c>
      <c r="C50" s="185" t="n">
        <v>0</v>
      </c>
      <c r="D50" s="185" t="n">
        <v>0</v>
      </c>
      <c r="E50" s="185" t="n">
        <v>0</v>
      </c>
      <c r="F50" s="185" t="n">
        <v>0</v>
      </c>
      <c r="G50" s="185" t="n">
        <f aca="false">SUM(C50:F50)</f>
        <v>0</v>
      </c>
      <c r="H50" s="182" t="s">
        <v>158</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168</v>
      </c>
      <c r="B1" s="196" t="s">
        <v>169</v>
      </c>
      <c r="C1" s="197" t="n">
        <f aca="false">Admin!B17</f>
        <v>46482</v>
      </c>
      <c r="D1" s="198" t="n">
        <f aca="false">D33+D62</f>
        <v>0</v>
      </c>
      <c r="E1" s="199"/>
      <c r="F1" s="200" t="s">
        <v>170</v>
      </c>
      <c r="G1" s="201"/>
      <c r="H1" s="202" t="n">
        <f aca="false">H33+H62</f>
        <v>0</v>
      </c>
      <c r="I1" s="202" t="n">
        <f aca="false">I33+I62</f>
        <v>0</v>
      </c>
      <c r="J1" s="202" t="n">
        <f aca="false">J33+J62</f>
        <v>0</v>
      </c>
      <c r="K1" s="202" t="n">
        <f aca="false">K33+K62</f>
        <v>0</v>
      </c>
      <c r="L1" s="201"/>
      <c r="M1" s="203" t="s">
        <v>171</v>
      </c>
      <c r="N1" s="202" t="n">
        <f aca="false">N33+N62</f>
        <v>0</v>
      </c>
      <c r="O1" s="201"/>
      <c r="P1" s="202" t="n">
        <f aca="false">P33+P62</f>
        <v>0</v>
      </c>
      <c r="Q1" s="202" t="n">
        <f aca="false">Q33+Q62</f>
        <v>0</v>
      </c>
    </row>
    <row r="2" customFormat="false" ht="12" hidden="false" customHeight="true" outlineLevel="0" collapsed="false">
      <c r="A2" s="195"/>
      <c r="B2" s="205" t="s">
        <v>172</v>
      </c>
      <c r="C2" s="206" t="s">
        <v>173</v>
      </c>
      <c r="D2" s="207" t="s">
        <v>174</v>
      </c>
      <c r="E2" s="199"/>
      <c r="F2" s="200"/>
      <c r="G2" s="201"/>
      <c r="H2" s="207" t="s">
        <v>175</v>
      </c>
      <c r="I2" s="207" t="s">
        <v>68</v>
      </c>
      <c r="J2" s="207" t="s">
        <v>176</v>
      </c>
      <c r="K2" s="207" t="s">
        <v>175</v>
      </c>
      <c r="L2" s="201"/>
      <c r="M2" s="203"/>
      <c r="N2" s="207" t="s">
        <v>177</v>
      </c>
      <c r="O2" s="201"/>
      <c r="P2" s="207" t="s">
        <v>178</v>
      </c>
      <c r="Q2" s="207" t="s">
        <v>179</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46118</v>
      </c>
      <c r="I4" s="209" t="n">
        <f aca="false">Admin!G$4</f>
        <v>1</v>
      </c>
      <c r="J4" s="209" t="n">
        <f aca="false">Admin!G$5</f>
        <v>0.14</v>
      </c>
      <c r="K4" s="208" t="n">
        <f aca="false">Admin!B$17</f>
        <v>46482</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180</v>
      </c>
      <c r="B6" s="220"/>
      <c r="C6" s="220"/>
      <c r="D6" s="221" t="n">
        <f aca="false">Admin!B$4</f>
        <v>46118</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181</v>
      </c>
      <c r="B15" s="236"/>
      <c r="C15" s="237" t="n">
        <f aca="false">Admin!B$4</f>
        <v>46118</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182</v>
      </c>
      <c r="B17" s="236"/>
      <c r="C17" s="237" t="n">
        <f aca="false">Admin!B$4</f>
        <v>46118</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IF(H18&gt;0,MIN(H18*J$4*(1-F18),Admin!G$8*(1-F18)),"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IF(H19&gt;0,MIN(H19*J$4*(1-F19),Admin!G$8*(1-F19)),"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IF(H20&gt;0,MIN(H20*J$4*(1-F20),Admin!G$8*(1-F20)),"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IF(H21&gt;0,MIN(H21*J$4*(1-F21),Admin!G$8*(1-F21)),"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IF(H22&gt;0,MIN(H22*J$4*(1-F22),Admin!G$8*(1-F22)),"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183</v>
      </c>
      <c r="B23" s="244"/>
      <c r="C23" s="245" t="n">
        <f aca="false">Admin!B$4</f>
        <v>46118</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184</v>
      </c>
      <c r="B25" s="236"/>
      <c r="C25" s="237" t="n">
        <f aca="false">Admin!B$4</f>
        <v>46118</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IF(H26&gt;0,MIN(H26*J$4*(1-F26),Admin!G$8*(1-F26)),"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IF(H27&gt;0,MIN(H27*J$4*(1-F27),Admin!G$8*(1-F27)),"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IF(H28&gt;0,MIN(H28*J$4*(1-F28),Admin!G$8*(1-F28)),"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IF(H29&gt;0,MIN(H29*J$4*(1-F29),Admin!G$8*(1-F29)),"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IF(H30&gt;0,MIN(H30*J$4*(1-F30),Admin!G$8*(1-F30)),"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185</v>
      </c>
      <c r="B31" s="244"/>
      <c r="C31" s="245" t="n">
        <f aca="false">Admin!B$4</f>
        <v>46118</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186</v>
      </c>
      <c r="B33" s="247"/>
      <c r="C33" s="248" t="n">
        <f aca="false">Admin!B4</f>
        <v>46118</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187</v>
      </c>
      <c r="B35" s="255"/>
      <c r="C35" s="255"/>
      <c r="D35" s="256" t="n">
        <f aca="false">Admin!B$4</f>
        <v>46118</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188</v>
      </c>
      <c r="B44" s="261"/>
      <c r="C44" s="262" t="n">
        <f aca="false">Admin!B$4</f>
        <v>46118</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189</v>
      </c>
      <c r="B46" s="261"/>
      <c r="C46" s="262" t="n">
        <f aca="false">Admin!B$4</f>
        <v>46118</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c r="B47" s="226"/>
      <c r="C47" s="257"/>
      <c r="D47" s="227"/>
      <c r="E47" s="218"/>
      <c r="F47" s="243"/>
      <c r="G47" s="217"/>
      <c r="H47" s="175" t="n">
        <v>0</v>
      </c>
      <c r="I47" s="175" t="n">
        <v>0</v>
      </c>
      <c r="J47" s="215" t="str">
        <f aca="false">IF(D47&gt;0,MIN(D47*J$4*(1-F47),Admin!G$8*(1-F47))," ")</f>
        <v> </v>
      </c>
      <c r="K47" s="215" t="str">
        <f aca="false">IF(D47&gt;0,D47-J47," ")</f>
        <v> </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IF(D48&gt;0,MIN(D48*J$4*(1-F48),Admin!G$8*(1-F48)),"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IF(D49&gt;0,MIN(D49*J$4*(1-F49),Admin!G$8*(1-F49)),"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IF(D50&gt;0,MIN(D50*J$4*(1-F50),Admin!G$8*(1-F50)),"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IF(D51&gt;0,MIN(D51*J$4*(1-F51),Admin!G$8*(1-F51)),"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190</v>
      </c>
      <c r="B52" s="265"/>
      <c r="C52" s="266" t="n">
        <f aca="false">Admin!B$4</f>
        <v>46118</v>
      </c>
      <c r="D52" s="238" t="n">
        <f aca="false">SUM(D47:D51)</f>
        <v>0</v>
      </c>
      <c r="E52" s="218"/>
      <c r="F52" s="216"/>
      <c r="G52" s="217"/>
      <c r="H52" s="239" t="n">
        <f aca="false">SUM(H47:H51)</f>
        <v>0</v>
      </c>
      <c r="I52" s="240" t="n">
        <f aca="false">SUM(I47:I51)</f>
        <v>0</v>
      </c>
      <c r="J52" s="239" t="n">
        <f aca="false">SUM(J47:J51)</f>
        <v>0</v>
      </c>
      <c r="K52" s="238" t="n">
        <f aca="false">SUM(K47:K51)</f>
        <v>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191</v>
      </c>
      <c r="B54" s="261"/>
      <c r="C54" s="262" t="n">
        <f aca="false">Admin!B$4</f>
        <v>46118</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IF(D55&gt;0,MIN(D55*J$4*(1-F55),Admin!G$8*(1-F55)),"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IF(D56&gt;0,MIN(D56*J$4*(1-F56),Admin!G$8*(1-F56)),"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IF(D57&gt;0,MIN(D57*J$4*(1-F57),Admin!G$8*(1-F57)),"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IF(D58&gt;0,MIN(D58*J$4*(1-F58),Admin!G$8*(1-F58)),"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IF(D59&gt;0,MIN(D59*J$4*(1-F59),Admin!G$8*(1-F59)),"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192</v>
      </c>
      <c r="B60" s="265"/>
      <c r="C60" s="266" t="n">
        <f aca="false">Admin!B$4</f>
        <v>46118</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193</v>
      </c>
      <c r="B62" s="268"/>
      <c r="C62" s="269" t="str">
        <f aca="false">Admin!G$2</f>
        <v>2026-27</v>
      </c>
      <c r="D62" s="249" t="n">
        <f aca="false">D44+D52+D60</f>
        <v>0</v>
      </c>
      <c r="E62" s="218"/>
      <c r="F62" s="216"/>
      <c r="G62" s="217"/>
      <c r="H62" s="250" t="n">
        <f aca="false">H44+H52+H60</f>
        <v>0</v>
      </c>
      <c r="I62" s="251" t="n">
        <f aca="false">I44+I52+I60</f>
        <v>0</v>
      </c>
      <c r="J62" s="250" t="n">
        <f aca="false">J44+J52+J60</f>
        <v>0</v>
      </c>
      <c r="K62" s="249" t="n">
        <f aca="false">K44+K52+K60</f>
        <v>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194</v>
      </c>
      <c r="C2" s="278" t="str">
        <f aca="false">Admin!K$2</f>
        <v>2026-27</v>
      </c>
      <c r="D2" s="279" t="s">
        <v>195</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196</v>
      </c>
      <c r="C5" s="283"/>
      <c r="D5" s="283"/>
      <c r="E5" s="284" t="n">
        <f aca="false">'SE Short'!D106</f>
        <v>29640</v>
      </c>
      <c r="F5" s="276"/>
      <c r="G5" s="280"/>
      <c r="K5" s="285"/>
    </row>
    <row r="6" customFormat="false" ht="12.75" hidden="false" customHeight="false" outlineLevel="0" collapsed="false">
      <c r="A6" s="135"/>
      <c r="B6" s="144" t="s">
        <v>197</v>
      </c>
      <c r="C6" s="144" t="str">
        <f aca="false">C2</f>
        <v>2026-27</v>
      </c>
      <c r="D6" s="286"/>
      <c r="E6" s="280" t="n">
        <f aca="false">IF((E5&gt;0),Admin!N$4,0)</f>
        <v>12570</v>
      </c>
      <c r="F6" s="276"/>
      <c r="G6" s="280"/>
      <c r="K6" s="285"/>
    </row>
    <row r="7" customFormat="false" ht="12.75" hidden="false" customHeight="false" outlineLevel="0" collapsed="false">
      <c r="A7" s="135"/>
      <c r="B7" s="283" t="s">
        <v>198</v>
      </c>
      <c r="C7" s="283"/>
      <c r="D7" s="283"/>
      <c r="E7" s="284" t="n">
        <f aca="false">IF((E5&gt;E6),(E5-E6),0)</f>
        <v>17070</v>
      </c>
      <c r="F7" s="276"/>
      <c r="G7" s="280"/>
      <c r="K7" s="285"/>
    </row>
    <row r="8" customFormat="false" ht="12.75" hidden="false" customHeight="false" outlineLevel="0" collapsed="false">
      <c r="A8" s="135"/>
      <c r="B8" s="144" t="s">
        <v>199</v>
      </c>
      <c r="C8" s="144" t="n">
        <f aca="false">Admin!N$11</f>
        <v>0</v>
      </c>
      <c r="D8" s="287" t="n">
        <f aca="false">Admin!N$6</f>
        <v>0</v>
      </c>
      <c r="E8" s="275" t="n">
        <f aca="false">IF((E7&gt;0),(IF((E7&lt;C9),E7*D8,C9*D8)),0)</f>
        <v>0</v>
      </c>
      <c r="F8" s="276"/>
      <c r="G8" s="280"/>
      <c r="H8" s="288"/>
      <c r="K8" s="285"/>
    </row>
    <row r="9" customFormat="false" ht="12.75" hidden="false" customHeight="false" outlineLevel="0" collapsed="false">
      <c r="A9" s="135"/>
      <c r="B9" s="144" t="s">
        <v>200</v>
      </c>
      <c r="C9" s="144" t="n">
        <f aca="false">Admin!N$12</f>
        <v>0</v>
      </c>
      <c r="D9" s="287" t="n">
        <f aca="false">Admin!N$7</f>
        <v>0.2</v>
      </c>
      <c r="E9" s="275" t="n">
        <f aca="false">IF((E7&gt;C9),((E7-C9)*D9),0)</f>
        <v>3414</v>
      </c>
      <c r="F9" s="276"/>
      <c r="G9" s="280"/>
      <c r="K9" s="285"/>
    </row>
    <row r="10" customFormat="false" ht="12.75" hidden="false" customHeight="false" outlineLevel="0" collapsed="false">
      <c r="A10" s="135"/>
      <c r="B10" s="289" t="s">
        <v>201</v>
      </c>
      <c r="C10" s="290"/>
      <c r="D10" s="291"/>
      <c r="E10" s="292" t="n">
        <f aca="false">SUM(E8:E9)</f>
        <v>3414</v>
      </c>
      <c r="F10" s="276"/>
      <c r="G10" s="280"/>
      <c r="K10" s="285"/>
    </row>
    <row r="11" customFormat="false" ht="12.75" hidden="false" customHeight="false" outlineLevel="0" collapsed="false">
      <c r="A11" s="135"/>
      <c r="B11" s="144"/>
      <c r="C11" s="144"/>
      <c r="D11" s="293"/>
      <c r="E11" s="275"/>
      <c r="F11" s="294"/>
      <c r="G11" s="295"/>
      <c r="K11" s="285"/>
    </row>
    <row r="12" customFormat="false" ht="12.75" hidden="false" customHeight="false" outlineLevel="0" collapsed="false">
      <c r="A12" s="135"/>
      <c r="B12" s="296" t="s">
        <v>202</v>
      </c>
      <c r="C12" s="297" t="n">
        <f aca="false">Admin!B$21</f>
        <v>46783</v>
      </c>
      <c r="D12" s="297"/>
      <c r="E12" s="275"/>
      <c r="F12" s="294"/>
      <c r="G12" s="295"/>
      <c r="K12" s="285"/>
    </row>
    <row r="13" customFormat="false" ht="9.75" hidden="false" customHeight="true" outlineLevel="0" collapsed="false">
      <c r="A13" s="135"/>
      <c r="B13" s="144"/>
      <c r="C13" s="144"/>
      <c r="D13" s="298"/>
      <c r="E13" s="299"/>
      <c r="F13" s="276"/>
      <c r="G13" s="295"/>
      <c r="K13" s="285"/>
    </row>
    <row r="14" customFormat="false" ht="12.75" hidden="false" customHeight="false" outlineLevel="0" collapsed="false">
      <c r="A14" s="135"/>
      <c r="B14" s="300" t="s">
        <v>203</v>
      </c>
      <c r="C14" s="300"/>
      <c r="D14" s="287" t="n">
        <f aca="false">Admin!L$20</f>
        <v>0.06</v>
      </c>
      <c r="E14" s="301" t="n">
        <f aca="false">IF(E5&gt;Admin!N20,IF(E5&lt;Admin!N$23,(E5-Admin!N20)*D14,(Admin!N$23-Admin!N20)*D14),0)</f>
        <v>1024.2</v>
      </c>
      <c r="F14" s="276"/>
      <c r="G14" s="295"/>
      <c r="K14" s="285"/>
    </row>
    <row r="15" customFormat="false" ht="12.75" hidden="false" customHeight="false" outlineLevel="0" collapsed="false">
      <c r="A15" s="135"/>
      <c r="B15" s="300" t="s">
        <v>204</v>
      </c>
      <c r="C15" s="300"/>
      <c r="D15" s="287" t="n">
        <f aca="false">Admin!L$23</f>
        <v>0.02</v>
      </c>
      <c r="E15" s="301" t="n">
        <f aca="false">IF((E5&gt;Admin!N$23),((E5-Admin!N$23)*D15),0)</f>
        <v>0</v>
      </c>
      <c r="F15" s="276"/>
      <c r="G15" s="295"/>
      <c r="K15" s="285"/>
    </row>
    <row r="16" customFormat="false" ht="12.75" hidden="false" customHeight="false" outlineLevel="0" collapsed="false">
      <c r="A16" s="135"/>
      <c r="B16" s="144"/>
      <c r="C16" s="144"/>
      <c r="D16" s="298"/>
      <c r="E16" s="299"/>
      <c r="F16" s="276"/>
      <c r="G16" s="295"/>
      <c r="K16" s="285"/>
    </row>
    <row r="17" customFormat="false" ht="12.75" hidden="false" customHeight="false" outlineLevel="0" collapsed="false">
      <c r="A17" s="135"/>
      <c r="B17" s="302" t="s">
        <v>205</v>
      </c>
      <c r="C17" s="302"/>
      <c r="D17" s="298"/>
      <c r="E17" s="292" t="n">
        <f aca="false">SUM(E10:E16)</f>
        <v>4438.2</v>
      </c>
      <c r="F17" s="276"/>
      <c r="G17" s="280"/>
      <c r="K17" s="285"/>
    </row>
    <row r="18" customFormat="false" ht="12.75" hidden="false" customHeight="false" outlineLevel="0" collapsed="false">
      <c r="A18" s="135"/>
      <c r="B18" s="303"/>
      <c r="C18" s="303"/>
      <c r="D18" s="298"/>
      <c r="E18" s="299"/>
      <c r="F18" s="276"/>
      <c r="G18" s="280"/>
    </row>
    <row r="19" customFormat="false" ht="12.75" hidden="false" customHeight="false" outlineLevel="0" collapsed="false">
      <c r="A19" s="135"/>
      <c r="B19" s="303"/>
      <c r="C19" s="303"/>
      <c r="D19" s="298"/>
      <c r="E19" s="299"/>
      <c r="F19" s="276"/>
      <c r="G19" s="280"/>
    </row>
    <row r="20" customFormat="false" ht="18" hidden="false" customHeight="true" outlineLevel="0" collapsed="false">
      <c r="A20" s="135"/>
      <c r="B20" s="289" t="s">
        <v>206</v>
      </c>
      <c r="C20" s="304"/>
      <c r="D20" s="305" t="s">
        <v>207</v>
      </c>
      <c r="E20" s="305"/>
      <c r="F20" s="305"/>
      <c r="G20" s="135"/>
    </row>
    <row r="21" customFormat="false" ht="12.75" hidden="false" customHeight="true" outlineLevel="0" collapsed="false">
      <c r="A21" s="135"/>
      <c r="B21" s="144"/>
      <c r="C21" s="144"/>
      <c r="D21" s="298"/>
      <c r="E21" s="299"/>
      <c r="F21" s="276"/>
      <c r="G21" s="295"/>
    </row>
    <row r="22" s="310" customFormat="true" ht="12.75" hidden="false" customHeight="true" outlineLevel="0" collapsed="false">
      <c r="A22" s="306"/>
      <c r="B22" s="144"/>
      <c r="C22" s="144"/>
      <c r="D22" s="307" t="s">
        <v>208</v>
      </c>
      <c r="E22" s="308" t="s">
        <v>209</v>
      </c>
      <c r="F22" s="309"/>
      <c r="G22" s="280"/>
    </row>
    <row r="23" s="310" customFormat="true" ht="12.75" hidden="false" customHeight="false" outlineLevel="0" collapsed="false">
      <c r="A23" s="306"/>
      <c r="B23" s="144"/>
      <c r="C23" s="144"/>
      <c r="D23" s="307"/>
      <c r="E23" s="307"/>
      <c r="F23" s="309"/>
      <c r="G23" s="280"/>
    </row>
    <row r="24" customFormat="false" ht="12.75" hidden="false" customHeight="false" outlineLevel="0" collapsed="false">
      <c r="A24" s="135"/>
      <c r="B24" s="144" t="s">
        <v>210</v>
      </c>
      <c r="C24" s="311" t="str">
        <f aca="false">Admin!B$24</f>
        <v>2027-28</v>
      </c>
      <c r="D24" s="312" t="s">
        <v>211</v>
      </c>
      <c r="E24" s="301" t="n">
        <f aca="false">E17</f>
        <v>4438.2</v>
      </c>
      <c r="F24" s="276"/>
      <c r="G24" s="280"/>
    </row>
    <row r="25" customFormat="false" ht="12.75" hidden="false" customHeight="false" outlineLevel="0" collapsed="false">
      <c r="A25" s="135"/>
      <c r="B25" s="144" t="s">
        <v>212</v>
      </c>
      <c r="C25" s="144"/>
      <c r="D25" s="313" t="n">
        <f aca="false">Admin!B$21</f>
        <v>46783</v>
      </c>
      <c r="E25" s="284" t="n">
        <f aca="false">E24/2</f>
        <v>2219.1</v>
      </c>
      <c r="F25" s="276"/>
      <c r="G25" s="280"/>
    </row>
    <row r="26" customFormat="false" ht="12.75" hidden="false" customHeight="false" outlineLevel="0" collapsed="false">
      <c r="A26" s="135"/>
      <c r="B26" s="144" t="s">
        <v>212</v>
      </c>
      <c r="C26" s="144"/>
      <c r="D26" s="313" t="n">
        <f aca="false">Admin!B$22</f>
        <v>46965</v>
      </c>
      <c r="E26" s="284" t="n">
        <f aca="false">E24/2</f>
        <v>2219.1</v>
      </c>
      <c r="F26" s="276"/>
      <c r="G26" s="280"/>
    </row>
    <row r="27" customFormat="false" ht="12.75" hidden="false" customHeight="false" outlineLevel="0" collapsed="false">
      <c r="A27" s="135"/>
      <c r="B27" s="135"/>
      <c r="C27" s="135"/>
      <c r="D27" s="298"/>
      <c r="E27" s="275"/>
      <c r="F27" s="276"/>
      <c r="G27" s="280"/>
    </row>
    <row r="28" customFormat="false" ht="12.75" hidden="false" customHeight="false" outlineLevel="0" collapsed="false">
      <c r="A28" s="135"/>
      <c r="B28" s="314" t="s">
        <v>213</v>
      </c>
      <c r="C28" s="160"/>
      <c r="D28" s="298"/>
      <c r="E28" s="275"/>
      <c r="F28" s="276"/>
      <c r="G28" s="280"/>
    </row>
    <row r="29" customFormat="false" ht="12.75" hidden="false" customHeight="false" outlineLevel="0" collapsed="false">
      <c r="A29" s="135"/>
      <c r="B29" s="315" t="s">
        <v>214</v>
      </c>
      <c r="C29" s="315"/>
      <c r="D29" s="135"/>
      <c r="E29" s="316"/>
      <c r="F29" s="276"/>
      <c r="G29" s="317"/>
    </row>
    <row r="30" customFormat="false" ht="12.75" hidden="false" customHeight="false" outlineLevel="0" collapsed="false">
      <c r="A30" s="135"/>
      <c r="B30" s="318" t="s">
        <v>215</v>
      </c>
      <c r="C30" s="318"/>
      <c r="D30" s="319"/>
      <c r="E30" s="316"/>
      <c r="F30" s="276"/>
      <c r="G30" s="317"/>
    </row>
    <row r="31" customFormat="false" ht="12.75" hidden="false" customHeight="false" outlineLevel="0" collapsed="false">
      <c r="A31" s="135"/>
      <c r="B31" s="320" t="s">
        <v>216</v>
      </c>
      <c r="C31" s="318"/>
      <c r="D31" s="319"/>
      <c r="E31" s="316"/>
      <c r="F31" s="276"/>
      <c r="G31" s="317"/>
    </row>
    <row r="32" customFormat="false" ht="12.75" hidden="false" customHeight="false" outlineLevel="0" collapsed="false">
      <c r="A32" s="135"/>
      <c r="B32" s="160" t="s">
        <v>217</v>
      </c>
      <c r="C32" s="160"/>
      <c r="D32" s="319"/>
      <c r="E32" s="321"/>
      <c r="F32" s="276"/>
      <c r="G32" s="317"/>
    </row>
    <row r="33" customFormat="false" ht="12.75" hidden="false" customHeight="false" outlineLevel="0" collapsed="false">
      <c r="A33" s="135"/>
      <c r="B33" s="160" t="s">
        <v>218</v>
      </c>
      <c r="C33" s="160"/>
      <c r="D33" s="319"/>
      <c r="E33" s="321"/>
      <c r="F33" s="276"/>
      <c r="G33" s="317"/>
    </row>
    <row r="34" customFormat="false" ht="12.75" hidden="false" customHeight="false" outlineLevel="0" collapsed="false">
      <c r="A34" s="135"/>
      <c r="B34" s="160" t="s">
        <v>219</v>
      </c>
      <c r="C34" s="160"/>
      <c r="D34" s="319"/>
      <c r="E34" s="321"/>
      <c r="F34" s="276"/>
      <c r="G34" s="317"/>
    </row>
    <row r="35" customFormat="false" ht="12.75" hidden="false" customHeight="false" outlineLevel="0" collapsed="false">
      <c r="A35" s="135"/>
      <c r="B35" s="135"/>
      <c r="C35" s="135"/>
      <c r="D35" s="319"/>
      <c r="E35" s="321"/>
      <c r="F35" s="276"/>
      <c r="G35" s="317"/>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2"/>
      <c r="C1" s="178"/>
      <c r="D1" s="241"/>
      <c r="E1" s="241"/>
      <c r="F1" s="241"/>
      <c r="G1" s="241"/>
      <c r="H1" s="241"/>
      <c r="I1" s="241"/>
      <c r="J1" s="241"/>
      <c r="K1" s="241"/>
      <c r="L1" s="241"/>
      <c r="M1" s="241"/>
      <c r="N1" s="241"/>
      <c r="O1" s="241"/>
      <c r="P1" s="241"/>
    </row>
    <row r="2" customFormat="false" ht="12" hidden="false" customHeight="true" outlineLevel="0" collapsed="false">
      <c r="A2" s="241"/>
      <c r="B2" s="323" t="s">
        <v>220</v>
      </c>
      <c r="C2" s="324" t="s">
        <v>221</v>
      </c>
      <c r="D2" s="325" t="n">
        <f aca="false">Admin!B$5</f>
        <v>46142</v>
      </c>
      <c r="E2" s="326" t="n">
        <f aca="false">Admin!B$6</f>
        <v>46173</v>
      </c>
      <c r="F2" s="326" t="n">
        <f aca="false">Admin!B$7</f>
        <v>46203</v>
      </c>
      <c r="G2" s="326" t="n">
        <f aca="false">Admin!B$8</f>
        <v>46234</v>
      </c>
      <c r="H2" s="326" t="n">
        <f aca="false">Admin!B$9</f>
        <v>46265</v>
      </c>
      <c r="I2" s="326" t="n">
        <f aca="false">Admin!B$10</f>
        <v>46295</v>
      </c>
      <c r="J2" s="326" t="n">
        <f aca="false">Admin!B$11</f>
        <v>46326</v>
      </c>
      <c r="K2" s="326" t="n">
        <f aca="false">Admin!B$12</f>
        <v>46356</v>
      </c>
      <c r="L2" s="326" t="n">
        <f aca="false">Admin!B$13</f>
        <v>46387</v>
      </c>
      <c r="M2" s="326" t="n">
        <f aca="false">Admin!B$14</f>
        <v>46418</v>
      </c>
      <c r="N2" s="326" t="n">
        <f aca="false">Admin!B$15</f>
        <v>46446</v>
      </c>
      <c r="O2" s="326" t="n">
        <f aca="false">Admin!B$16</f>
        <v>46477</v>
      </c>
      <c r="P2" s="241"/>
    </row>
    <row r="3" customFormat="false" ht="12" hidden="false" customHeight="true" outlineLevel="0" collapsed="false">
      <c r="A3" s="241"/>
      <c r="B3" s="323"/>
      <c r="C3" s="327" t="n">
        <f aca="false">Admin!B$17</f>
        <v>46482</v>
      </c>
      <c r="D3" s="325"/>
      <c r="E3" s="326"/>
      <c r="F3" s="326"/>
      <c r="G3" s="326"/>
      <c r="H3" s="326"/>
      <c r="I3" s="326"/>
      <c r="J3" s="326"/>
      <c r="K3" s="326"/>
      <c r="L3" s="326"/>
      <c r="M3" s="326"/>
      <c r="N3" s="326"/>
      <c r="O3" s="326"/>
      <c r="P3" s="241"/>
    </row>
    <row r="4" customFormat="false" ht="12" hidden="false" customHeight="false" outlineLevel="0" collapsed="false">
      <c r="A4" s="241"/>
      <c r="B4" s="323"/>
      <c r="C4" s="328" t="s">
        <v>28</v>
      </c>
      <c r="D4" s="329" t="s">
        <v>28</v>
      </c>
      <c r="E4" s="329" t="s">
        <v>28</v>
      </c>
      <c r="F4" s="329" t="s">
        <v>28</v>
      </c>
      <c r="G4" s="329" t="s">
        <v>28</v>
      </c>
      <c r="H4" s="329" t="s">
        <v>28</v>
      </c>
      <c r="I4" s="329" t="s">
        <v>28</v>
      </c>
      <c r="J4" s="329" t="s">
        <v>28</v>
      </c>
      <c r="K4" s="329" t="s">
        <v>28</v>
      </c>
      <c r="L4" s="329" t="s">
        <v>28</v>
      </c>
      <c r="M4" s="329" t="s">
        <v>28</v>
      </c>
      <c r="N4" s="330" t="s">
        <v>28</v>
      </c>
      <c r="O4" s="329" t="s">
        <v>28</v>
      </c>
      <c r="P4" s="241"/>
    </row>
    <row r="5" s="204" customFormat="true" ht="12" hidden="false" customHeight="false" outlineLevel="0" collapsed="false">
      <c r="A5" s="263"/>
      <c r="B5" s="331" t="s">
        <v>110</v>
      </c>
      <c r="C5" s="176" t="n">
        <f aca="false">SUM(D5:O5)</f>
        <v>36000</v>
      </c>
      <c r="D5" s="176" t="n">
        <f aca="false">'Profit &amp; Loss Acc'!C5</f>
        <v>3000</v>
      </c>
      <c r="E5" s="176" t="n">
        <f aca="false">'Profit &amp; Loss Acc'!D5</f>
        <v>3000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1"/>
      <c r="C6" s="172"/>
      <c r="D6" s="172"/>
      <c r="E6" s="172"/>
      <c r="F6" s="172"/>
      <c r="G6" s="172"/>
      <c r="H6" s="172"/>
      <c r="I6" s="172"/>
      <c r="J6" s="172"/>
      <c r="K6" s="172"/>
      <c r="L6" s="172"/>
      <c r="M6" s="172"/>
      <c r="N6" s="172"/>
      <c r="O6" s="172"/>
      <c r="P6" s="263"/>
    </row>
    <row r="7" customFormat="false" ht="12" hidden="false" customHeight="false" outlineLevel="0" collapsed="false">
      <c r="A7" s="241"/>
      <c r="B7" s="332" t="s">
        <v>222</v>
      </c>
      <c r="C7" s="176" t="n">
        <f aca="false">SUM(D7:O7)</f>
        <v>0</v>
      </c>
      <c r="D7" s="333" t="n">
        <f aca="false">'Profit &amp; Loss Acc'!C24</f>
        <v>0</v>
      </c>
      <c r="E7" s="333" t="n">
        <f aca="false">'Profit &amp; Loss Acc'!D24</f>
        <v>0</v>
      </c>
      <c r="F7" s="333" t="n">
        <f aca="false">'Profit &amp; Loss Acc'!E24</f>
        <v>0</v>
      </c>
      <c r="G7" s="333" t="n">
        <f aca="false">'Profit &amp; Loss Acc'!F24</f>
        <v>0</v>
      </c>
      <c r="H7" s="333" t="n">
        <f aca="false">'Profit &amp; Loss Acc'!G24</f>
        <v>0</v>
      </c>
      <c r="I7" s="333" t="n">
        <f aca="false">'Profit &amp; Loss Acc'!H24</f>
        <v>0</v>
      </c>
      <c r="J7" s="333" t="n">
        <f aca="false">'Profit &amp; Loss Acc'!I24</f>
        <v>0</v>
      </c>
      <c r="K7" s="333" t="n">
        <f aca="false">'Profit &amp; Loss Acc'!J24</f>
        <v>0</v>
      </c>
      <c r="L7" s="333" t="n">
        <f aca="false">'Profit &amp; Loss Acc'!K24</f>
        <v>0</v>
      </c>
      <c r="M7" s="333" t="n">
        <f aca="false">'Profit &amp; Loss Acc'!L24</f>
        <v>0</v>
      </c>
      <c r="N7" s="333" t="n">
        <f aca="false">'Profit &amp; Loss Acc'!M24</f>
        <v>0</v>
      </c>
      <c r="O7" s="333" t="n">
        <f aca="false">'Profit &amp; Loss Acc'!N24</f>
        <v>0</v>
      </c>
      <c r="P7" s="241"/>
    </row>
    <row r="8" customFormat="false" ht="6" hidden="false" customHeight="true" outlineLevel="0" collapsed="false">
      <c r="A8" s="241"/>
      <c r="B8" s="332"/>
      <c r="C8" s="172"/>
      <c r="D8" s="172"/>
      <c r="E8" s="172"/>
      <c r="F8" s="172"/>
      <c r="G8" s="172"/>
      <c r="H8" s="172"/>
      <c r="I8" s="172"/>
      <c r="J8" s="172"/>
      <c r="K8" s="172"/>
      <c r="L8" s="172"/>
      <c r="M8" s="172"/>
      <c r="N8" s="172"/>
      <c r="O8" s="172"/>
      <c r="P8" s="241"/>
    </row>
    <row r="9" s="204" customFormat="true" ht="12" hidden="false" customHeight="false" outlineLevel="0" collapsed="false">
      <c r="A9" s="263"/>
      <c r="B9" s="331" t="s">
        <v>117</v>
      </c>
      <c r="C9" s="176" t="n">
        <f aca="false">SUM(D9:O9)</f>
        <v>4980</v>
      </c>
      <c r="D9" s="176" t="n">
        <f aca="false">'Profit &amp; Loss Acc'!C12</f>
        <v>1680</v>
      </c>
      <c r="E9" s="176" t="n">
        <f aca="false">'Profit &amp; Loss Acc'!D12</f>
        <v>300</v>
      </c>
      <c r="F9" s="176" t="n">
        <f aca="false">'Profit &amp; Loss Acc'!E12</f>
        <v>300</v>
      </c>
      <c r="G9" s="176" t="n">
        <f aca="false">'Profit &amp; Loss Acc'!F12</f>
        <v>300</v>
      </c>
      <c r="H9" s="176" t="n">
        <f aca="false">'Profit &amp; Loss Acc'!G12</f>
        <v>300</v>
      </c>
      <c r="I9" s="176" t="n">
        <f aca="false">'Profit &amp; Loss Acc'!H12</f>
        <v>300</v>
      </c>
      <c r="J9" s="176" t="n">
        <f aca="false">'Profit &amp; Loss Acc'!I12</f>
        <v>300</v>
      </c>
      <c r="K9" s="176" t="n">
        <f aca="false">'Profit &amp; Loss Acc'!J12</f>
        <v>300</v>
      </c>
      <c r="L9" s="176" t="n">
        <f aca="false">'Profit &amp; Loss Acc'!K12</f>
        <v>300</v>
      </c>
      <c r="M9" s="176" t="n">
        <f aca="false">'Profit &amp; Loss Acc'!L12</f>
        <v>300</v>
      </c>
      <c r="N9" s="176" t="n">
        <f aca="false">'Profit &amp; Loss Acc'!M12</f>
        <v>300</v>
      </c>
      <c r="O9" s="176" t="n">
        <f aca="false">'Profit &amp; Loss Acc'!N12</f>
        <v>300</v>
      </c>
      <c r="P9" s="263"/>
    </row>
    <row r="10" s="204" customFormat="true" ht="6" hidden="false" customHeight="true" outlineLevel="0" collapsed="false">
      <c r="A10" s="263"/>
      <c r="B10" s="331"/>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1" t="s">
        <v>118</v>
      </c>
      <c r="C11" s="176" t="n">
        <f aca="false">SUM(D11:O11)</f>
        <v>31020</v>
      </c>
      <c r="D11" s="176" t="n">
        <f aca="false">D5+D7-D9</f>
        <v>1320</v>
      </c>
      <c r="E11" s="176" t="n">
        <f aca="false">E5+E7-E9</f>
        <v>2700</v>
      </c>
      <c r="F11" s="176" t="n">
        <f aca="false">F5+F7-F9</f>
        <v>2700</v>
      </c>
      <c r="G11" s="176" t="n">
        <f aca="false">G5+G7-G9</f>
        <v>2700</v>
      </c>
      <c r="H11" s="176" t="n">
        <f aca="false">H5+H7-H9</f>
        <v>2700</v>
      </c>
      <c r="I11" s="176" t="n">
        <f aca="false">I5+I7-I9</f>
        <v>2700</v>
      </c>
      <c r="J11" s="176" t="n">
        <f aca="false">J5+J7-J9</f>
        <v>2700</v>
      </c>
      <c r="K11" s="176" t="n">
        <f aca="false">K5+K7-K9</f>
        <v>2700</v>
      </c>
      <c r="L11" s="176" t="n">
        <f aca="false">L5+L7-L9</f>
        <v>2700</v>
      </c>
      <c r="M11" s="176" t="n">
        <f aca="false">M5+M7-M9</f>
        <v>2700</v>
      </c>
      <c r="N11" s="176" t="n">
        <f aca="false">N5+N7-N9</f>
        <v>2700</v>
      </c>
      <c r="O11" s="176" t="n">
        <f aca="false">O5+O7-O9</f>
        <v>2700</v>
      </c>
      <c r="P11" s="263"/>
    </row>
    <row r="12" s="204" customFormat="true" ht="6" hidden="false" customHeight="true" outlineLevel="0" collapsed="false">
      <c r="A12" s="263"/>
      <c r="B12" s="334"/>
      <c r="C12" s="172"/>
      <c r="D12" s="335"/>
      <c r="E12" s="335"/>
      <c r="F12" s="335"/>
      <c r="G12" s="335"/>
      <c r="H12" s="335"/>
      <c r="I12" s="335"/>
      <c r="J12" s="335"/>
      <c r="K12" s="335"/>
      <c r="L12" s="335"/>
      <c r="M12" s="335"/>
      <c r="N12" s="335"/>
      <c r="O12" s="335"/>
      <c r="P12" s="263"/>
    </row>
    <row r="13" customFormat="false" ht="12" hidden="false" customHeight="false" outlineLevel="0" collapsed="false">
      <c r="A13" s="241"/>
      <c r="B13" s="331" t="s">
        <v>223</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1"/>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6" t="s">
        <v>224</v>
      </c>
      <c r="C15" s="176" t="n">
        <f aca="false">SUM(D15:O15)</f>
        <v>29640</v>
      </c>
      <c r="D15" s="176" t="n">
        <f aca="false">D11-D13</f>
        <v>800</v>
      </c>
      <c r="E15" s="176" t="n">
        <f aca="false">E11-E13</f>
        <v>2700</v>
      </c>
      <c r="F15" s="176" t="n">
        <f aca="false">F11-F13</f>
        <v>2700</v>
      </c>
      <c r="G15" s="176" t="n">
        <f aca="false">G11-G13</f>
        <v>2580</v>
      </c>
      <c r="H15" s="176" t="n">
        <f aca="false">H11-H13</f>
        <v>2700</v>
      </c>
      <c r="I15" s="176" t="n">
        <f aca="false">I11-I13</f>
        <v>2700</v>
      </c>
      <c r="J15" s="176" t="n">
        <f aca="false">J11-J13</f>
        <v>2580</v>
      </c>
      <c r="K15" s="176" t="n">
        <f aca="false">K11-K13</f>
        <v>2700</v>
      </c>
      <c r="L15" s="176" t="n">
        <f aca="false">L11-L13</f>
        <v>2700</v>
      </c>
      <c r="M15" s="176" t="n">
        <f aca="false">M11-M13</f>
        <v>2080</v>
      </c>
      <c r="N15" s="176" t="n">
        <f aca="false">N11-N13</f>
        <v>2700</v>
      </c>
      <c r="O15" s="176" t="n">
        <f aca="false">O11-O13</f>
        <v>2700</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7" t="s">
        <v>225</v>
      </c>
      <c r="C17" s="324" t="s">
        <v>221</v>
      </c>
      <c r="D17" s="338" t="n">
        <f aca="false">D2</f>
        <v>46142</v>
      </c>
      <c r="E17" s="338" t="n">
        <f aca="false">E2</f>
        <v>46173</v>
      </c>
      <c r="F17" s="338" t="n">
        <f aca="false">F2</f>
        <v>46203</v>
      </c>
      <c r="G17" s="338" t="n">
        <f aca="false">G2</f>
        <v>46234</v>
      </c>
      <c r="H17" s="338" t="n">
        <f aca="false">H2</f>
        <v>46265</v>
      </c>
      <c r="I17" s="338" t="n">
        <f aca="false">I2</f>
        <v>46295</v>
      </c>
      <c r="J17" s="338" t="n">
        <f aca="false">J2</f>
        <v>46326</v>
      </c>
      <c r="K17" s="338" t="n">
        <f aca="false">K2</f>
        <v>46356</v>
      </c>
      <c r="L17" s="338" t="n">
        <f aca="false">L2</f>
        <v>46387</v>
      </c>
      <c r="M17" s="338" t="n">
        <f aca="false">M2</f>
        <v>46418</v>
      </c>
      <c r="N17" s="338" t="n">
        <f aca="false">N2</f>
        <v>46446</v>
      </c>
      <c r="O17" s="338" t="n">
        <f aca="false">O2</f>
        <v>46477</v>
      </c>
      <c r="P17" s="241"/>
    </row>
    <row r="18" customFormat="false" ht="12" hidden="false" customHeight="true" outlineLevel="0" collapsed="false">
      <c r="A18" s="241"/>
      <c r="B18" s="337"/>
      <c r="C18" s="327" t="n">
        <f aca="false">C3</f>
        <v>46482</v>
      </c>
      <c r="D18" s="338"/>
      <c r="E18" s="338"/>
      <c r="F18" s="338"/>
      <c r="G18" s="338"/>
      <c r="H18" s="338"/>
      <c r="I18" s="338"/>
      <c r="J18" s="338"/>
      <c r="K18" s="338"/>
      <c r="L18" s="338"/>
      <c r="M18" s="338"/>
      <c r="N18" s="338"/>
      <c r="O18" s="338"/>
      <c r="P18" s="241"/>
    </row>
    <row r="19" customFormat="false" ht="12" hidden="false" customHeight="false" outlineLevel="0" collapsed="false">
      <c r="A19" s="241"/>
      <c r="B19" s="337"/>
      <c r="C19" s="339" t="n">
        <f aca="false">SUM(D19:O19)</f>
        <v>12</v>
      </c>
      <c r="D19" s="329" t="n">
        <f aca="false">IF(D5&gt;0,1," ")</f>
        <v>1</v>
      </c>
      <c r="E19" s="329" t="n">
        <f aca="false">IF(E5&gt;0,1," ")</f>
        <v>1</v>
      </c>
      <c r="F19" s="329" t="n">
        <f aca="false">IF(F5&gt;0,1," ")</f>
        <v>1</v>
      </c>
      <c r="G19" s="329" t="n">
        <f aca="false">IF(G5&gt;0,1," ")</f>
        <v>1</v>
      </c>
      <c r="H19" s="329" t="n">
        <f aca="false">IF(H5&gt;0,1," ")</f>
        <v>1</v>
      </c>
      <c r="I19" s="329" t="n">
        <f aca="false">IF(I5&gt;0,1," ")</f>
        <v>1</v>
      </c>
      <c r="J19" s="329" t="n">
        <f aca="false">IF(J5&gt;0,1," ")</f>
        <v>1</v>
      </c>
      <c r="K19" s="329" t="n">
        <f aca="false">IF(K5&gt;0,1," ")</f>
        <v>1</v>
      </c>
      <c r="L19" s="329" t="n">
        <f aca="false">IF(L5&gt;0,1," ")</f>
        <v>1</v>
      </c>
      <c r="M19" s="329" t="n">
        <f aca="false">IF(M5&gt;0,1," ")</f>
        <v>1</v>
      </c>
      <c r="N19" s="329" t="n">
        <f aca="false">IF(N5&gt;0,1," ")</f>
        <v>1</v>
      </c>
      <c r="O19" s="329" t="n">
        <f aca="false">IF(O5&gt;0,1," ")</f>
        <v>1</v>
      </c>
      <c r="P19" s="241"/>
    </row>
    <row r="20" s="204" customFormat="true" ht="12" hidden="false" customHeight="false" outlineLevel="0" collapsed="false">
      <c r="A20" s="263"/>
      <c r="B20" s="331" t="s">
        <v>110</v>
      </c>
      <c r="C20" s="176" t="n">
        <f aca="false">SUM(D20:O20)</f>
        <v>36000</v>
      </c>
      <c r="D20" s="176" t="n">
        <f aca="false">IF(C5&gt;0,IF(D5&gt;0,D5,C5/C19),0)</f>
        <v>3000</v>
      </c>
      <c r="E20" s="176" t="n">
        <f aca="false">IF(C5&gt;0,IF(E5&gt;0,E5,C5/C19),0)</f>
        <v>3000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1"/>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2" t="s">
        <v>222</v>
      </c>
      <c r="C22" s="176" t="n">
        <f aca="false">SUM(D22:O22)</f>
        <v>0</v>
      </c>
      <c r="D22" s="333" t="n">
        <f aca="false">D7</f>
        <v>0</v>
      </c>
      <c r="E22" s="333" t="n">
        <f aca="false">E7</f>
        <v>0</v>
      </c>
      <c r="F22" s="333" t="n">
        <f aca="false">F7</f>
        <v>0</v>
      </c>
      <c r="G22" s="333" t="n">
        <f aca="false">G7</f>
        <v>0</v>
      </c>
      <c r="H22" s="333" t="n">
        <f aca="false">H7</f>
        <v>0</v>
      </c>
      <c r="I22" s="333" t="n">
        <f aca="false">I7</f>
        <v>0</v>
      </c>
      <c r="J22" s="333" t="n">
        <f aca="false">J7</f>
        <v>0</v>
      </c>
      <c r="K22" s="333" t="n">
        <f aca="false">K7</f>
        <v>0</v>
      </c>
      <c r="L22" s="333" t="n">
        <f aca="false">L7</f>
        <v>0</v>
      </c>
      <c r="M22" s="333" t="n">
        <f aca="false">M7</f>
        <v>0</v>
      </c>
      <c r="N22" s="333" t="n">
        <f aca="false">N7</f>
        <v>0</v>
      </c>
      <c r="O22" s="333" t="n">
        <f aca="false">O7</f>
        <v>0</v>
      </c>
      <c r="P22" s="241"/>
    </row>
    <row r="23" customFormat="false" ht="6" hidden="false" customHeight="true" outlineLevel="0" collapsed="false">
      <c r="A23" s="241"/>
      <c r="B23" s="332"/>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1" t="s">
        <v>117</v>
      </c>
      <c r="C24" s="176" t="n">
        <f aca="false">SUM(D24:O24)</f>
        <v>4980</v>
      </c>
      <c r="D24" s="176" t="n">
        <f aca="false">IF($C5&gt;0,IF(D5&gt;0,D9,($C9-'Profit &amp; Loss Acc'!$B10)/$C19+'Profit &amp; Loss Acc'!$B10/12),0)</f>
        <v>1680</v>
      </c>
      <c r="E24" s="176" t="n">
        <f aca="false">IF($C5&gt;0,IF(E5&gt;0,E9,($C9-'Profit &amp; Loss Acc'!$B10)/$C19+'Profit &amp; Loss Acc'!$B10/12),0)</f>
        <v>300</v>
      </c>
      <c r="F24" s="176" t="n">
        <f aca="false">IF($C5&gt;0,IF(F5&gt;0,F9,($C9-'Profit &amp; Loss Acc'!$B10)/$C19+'Profit &amp; Loss Acc'!$B10/12),0)</f>
        <v>300</v>
      </c>
      <c r="G24" s="176" t="n">
        <f aca="false">IF($C5&gt;0,IF(G5&gt;0,G9,($C9-'Profit &amp; Loss Acc'!$B10)/$C19+'Profit &amp; Loss Acc'!$B10/12),0)</f>
        <v>300</v>
      </c>
      <c r="H24" s="176" t="n">
        <f aca="false">IF($C5&gt;0,IF(H5&gt;0,H9,($C9-'Profit &amp; Loss Acc'!$B10)/$C19+'Profit &amp; Loss Acc'!$B10/12),0)</f>
        <v>300</v>
      </c>
      <c r="I24" s="176" t="n">
        <f aca="false">IF($C5&gt;0,IF(I5&gt;0,I9,($C9-'Profit &amp; Loss Acc'!$B10)/$C19+'Profit &amp; Loss Acc'!$B10/12),0)</f>
        <v>300</v>
      </c>
      <c r="J24" s="176" t="n">
        <f aca="false">IF($C5&gt;0,IF(J5&gt;0,J9,($C9-'Profit &amp; Loss Acc'!$B10)/$C19+'Profit &amp; Loss Acc'!$B10/12),0)</f>
        <v>300</v>
      </c>
      <c r="K24" s="176" t="n">
        <f aca="false">IF($C5&gt;0,IF(K5&gt;0,K9,($C9-'Profit &amp; Loss Acc'!$B10)/$C19+'Profit &amp; Loss Acc'!$B10/12),0)</f>
        <v>300</v>
      </c>
      <c r="L24" s="176" t="n">
        <f aca="false">IF($C5&gt;0,IF(L5&gt;0,L9,($C9-'Profit &amp; Loss Acc'!$B10)/$C19+'Profit &amp; Loss Acc'!$B10/12),0)</f>
        <v>300</v>
      </c>
      <c r="M24" s="176" t="n">
        <f aca="false">IF($C5&gt;0,IF(M5&gt;0,M9,($C9-'Profit &amp; Loss Acc'!$B10)/$C19+'Profit &amp; Loss Acc'!$B10/12),0)</f>
        <v>300</v>
      </c>
      <c r="N24" s="176" t="n">
        <f aca="false">IF($C5&gt;0,IF(N5&gt;0,N9,($C9-'Profit &amp; Loss Acc'!$B10)/$C19+'Profit &amp; Loss Acc'!$B10/12),0)</f>
        <v>300</v>
      </c>
      <c r="O24" s="176" t="n">
        <f aca="false">IF($C5&gt;0,IF(O5&gt;0,O9,($C9-'Profit &amp; Loss Acc'!$B10)/$C19+'Profit &amp; Loss Acc'!$B10/12),0)</f>
        <v>300</v>
      </c>
      <c r="P24" s="263"/>
    </row>
    <row r="25" s="204" customFormat="true" ht="7.5" hidden="false" customHeight="true" outlineLevel="0" collapsed="false">
      <c r="A25" s="263"/>
      <c r="B25" s="331"/>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1" t="s">
        <v>118</v>
      </c>
      <c r="C26" s="176" t="n">
        <f aca="false">SUM(D26:O26)</f>
        <v>31020</v>
      </c>
      <c r="D26" s="176" t="n">
        <f aca="false">D20+D22-D24</f>
        <v>1320</v>
      </c>
      <c r="E26" s="176" t="n">
        <f aca="false">E20+E22-E24</f>
        <v>2700</v>
      </c>
      <c r="F26" s="176" t="n">
        <f aca="false">F20+F22-F24</f>
        <v>2700</v>
      </c>
      <c r="G26" s="176" t="n">
        <f aca="false">G20+G22-G24</f>
        <v>2700</v>
      </c>
      <c r="H26" s="176" t="n">
        <f aca="false">H20+H22-H24</f>
        <v>2700</v>
      </c>
      <c r="I26" s="176" t="n">
        <f aca="false">I20+I22-I24</f>
        <v>2700</v>
      </c>
      <c r="J26" s="176" t="n">
        <f aca="false">J20+J22-J24</f>
        <v>2700</v>
      </c>
      <c r="K26" s="176" t="n">
        <f aca="false">K20+K22-K24</f>
        <v>2700</v>
      </c>
      <c r="L26" s="176" t="n">
        <f aca="false">L20+L22-L24</f>
        <v>2700</v>
      </c>
      <c r="M26" s="176" t="n">
        <f aca="false">M20+M22-M24</f>
        <v>2700</v>
      </c>
      <c r="N26" s="176" t="n">
        <f aca="false">N20+N22-N24</f>
        <v>2700</v>
      </c>
      <c r="O26" s="176" t="n">
        <f aca="false">O20+O22-O24</f>
        <v>2700</v>
      </c>
      <c r="P26" s="263"/>
    </row>
    <row r="27" s="204" customFormat="true" ht="6" hidden="false" customHeight="true" outlineLevel="0" collapsed="false">
      <c r="A27" s="263"/>
      <c r="B27" s="334"/>
      <c r="C27" s="172"/>
      <c r="D27" s="335"/>
      <c r="E27" s="335"/>
      <c r="F27" s="335"/>
      <c r="G27" s="335"/>
      <c r="H27" s="335"/>
      <c r="I27" s="335"/>
      <c r="J27" s="335"/>
      <c r="K27" s="335"/>
      <c r="L27" s="335"/>
      <c r="M27" s="335"/>
      <c r="N27" s="335"/>
      <c r="O27" s="335"/>
      <c r="P27" s="263"/>
    </row>
    <row r="28" customFormat="false" ht="12" hidden="false" customHeight="false" outlineLevel="0" collapsed="false">
      <c r="A28" s="241"/>
      <c r="B28" s="331" t="s">
        <v>223</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1"/>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6" t="s">
        <v>224</v>
      </c>
      <c r="C30" s="176" t="n">
        <f aca="false">SUM(D30:O30)</f>
        <v>29640</v>
      </c>
      <c r="D30" s="176" t="n">
        <f aca="false">D26-D28</f>
        <v>800</v>
      </c>
      <c r="E30" s="176" t="n">
        <f aca="false">E26-E28</f>
        <v>2700</v>
      </c>
      <c r="F30" s="176" t="n">
        <f aca="false">F26-F28</f>
        <v>2700</v>
      </c>
      <c r="G30" s="176" t="n">
        <f aca="false">G26-G28</f>
        <v>2580</v>
      </c>
      <c r="H30" s="176" t="n">
        <f aca="false">H26-H28</f>
        <v>2700</v>
      </c>
      <c r="I30" s="176" t="n">
        <f aca="false">I26-I28</f>
        <v>2700</v>
      </c>
      <c r="J30" s="176" t="n">
        <f aca="false">J26-J28</f>
        <v>2580</v>
      </c>
      <c r="K30" s="176" t="n">
        <f aca="false">K26-K28</f>
        <v>2700</v>
      </c>
      <c r="L30" s="176" t="n">
        <f aca="false">L26-L28</f>
        <v>2700</v>
      </c>
      <c r="M30" s="176" t="n">
        <f aca="false">M26-M28</f>
        <v>2080</v>
      </c>
      <c r="N30" s="176" t="n">
        <f aca="false">N26-N28</f>
        <v>2700</v>
      </c>
      <c r="O30" s="176" t="n">
        <f aca="false">O26-O28</f>
        <v>2700</v>
      </c>
      <c r="P30" s="241"/>
    </row>
    <row r="31" customFormat="false" ht="6" hidden="false" customHeight="true" outlineLevel="0" collapsed="false">
      <c r="A31" s="241"/>
      <c r="B31" s="331"/>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40" t="s">
        <v>226</v>
      </c>
      <c r="C32" s="340"/>
      <c r="D32" s="241"/>
      <c r="E32" s="241"/>
      <c r="F32" s="241"/>
      <c r="G32" s="241"/>
      <c r="H32" s="241"/>
      <c r="I32" s="241"/>
      <c r="J32" s="241"/>
      <c r="K32" s="241"/>
      <c r="L32" s="241"/>
      <c r="M32" s="241"/>
      <c r="N32" s="241"/>
      <c r="O32" s="241"/>
      <c r="P32" s="241"/>
    </row>
    <row r="33" customFormat="false" ht="12" hidden="false" customHeight="false" outlineLevel="0" collapsed="false">
      <c r="A33" s="241"/>
      <c r="B33" s="341"/>
      <c r="C33" s="342"/>
      <c r="D33" s="241"/>
      <c r="E33" s="241"/>
      <c r="F33" s="241"/>
      <c r="G33" s="241"/>
      <c r="H33" s="241"/>
      <c r="I33" s="241"/>
      <c r="J33" s="241"/>
      <c r="K33" s="241"/>
      <c r="L33" s="241"/>
      <c r="M33" s="241"/>
      <c r="N33" s="241"/>
      <c r="O33" s="241"/>
      <c r="P33" s="241"/>
    </row>
    <row r="34" customFormat="false" ht="12" hidden="false" customHeight="false" outlineLevel="0" collapsed="false">
      <c r="A34" s="241"/>
      <c r="B34" s="341" t="s">
        <v>227</v>
      </c>
      <c r="C34" s="342" t="n">
        <f aca="false">C30-C33</f>
        <v>29640</v>
      </c>
      <c r="D34" s="343"/>
      <c r="E34" s="241"/>
      <c r="F34" s="241"/>
      <c r="G34" s="241"/>
      <c r="H34" s="241"/>
      <c r="I34" s="241"/>
      <c r="J34" s="241"/>
      <c r="K34" s="241"/>
      <c r="L34" s="241"/>
      <c r="M34" s="241"/>
      <c r="N34" s="241"/>
      <c r="O34" s="241"/>
      <c r="P34" s="241"/>
    </row>
    <row r="35" customFormat="false" ht="12" hidden="false" customHeight="false" outlineLevel="0" collapsed="false">
      <c r="A35" s="241"/>
      <c r="B35" s="174" t="s">
        <v>228</v>
      </c>
      <c r="C35" s="342" t="n">
        <f aca="false">IF(C34&gt;0,Admin!N$4,0)</f>
        <v>12570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229</v>
      </c>
      <c r="C36" s="342" t="n">
        <f aca="false">IF((C34&gt;C35),(C34-C35),0)</f>
        <v>17070</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230</v>
      </c>
      <c r="C37" s="342" t="n">
        <f aca="false">IF((C36&gt;0),(IF((C36&lt;Admin!N$12),C36*Admin!N$6,Admin!N$12*Admin!N$6)),0)</f>
        <v>0</v>
      </c>
      <c r="D37" s="343"/>
      <c r="E37" s="241"/>
      <c r="F37" s="241"/>
      <c r="G37" s="241"/>
      <c r="H37" s="241"/>
      <c r="I37" s="241"/>
      <c r="J37" s="241"/>
      <c r="K37" s="241"/>
      <c r="L37" s="241"/>
      <c r="M37" s="241"/>
      <c r="N37" s="241"/>
      <c r="O37" s="241"/>
      <c r="P37" s="241"/>
    </row>
    <row r="38" customFormat="false" ht="12" hidden="false" customHeight="false" outlineLevel="0" collapsed="false">
      <c r="A38" s="241"/>
      <c r="B38" s="174" t="s">
        <v>231</v>
      </c>
      <c r="C38" s="342" t="n">
        <f aca="false">IF((C36&gt;Admin!N$12),((C36-Admin!N$12)*Admin!N$7),0)</f>
        <v>3414</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232</v>
      </c>
      <c r="C39" s="342" t="n">
        <f aca="false">IF((C36&gt;0),C36*Admin!L$20,0)</f>
        <v>1024.2</v>
      </c>
      <c r="D39" s="241"/>
      <c r="E39" s="241"/>
      <c r="F39" s="241"/>
      <c r="G39" s="241"/>
      <c r="H39" s="241"/>
      <c r="I39" s="241"/>
      <c r="J39" s="241"/>
      <c r="K39" s="241"/>
      <c r="L39" s="241"/>
      <c r="M39" s="241"/>
      <c r="N39" s="241"/>
      <c r="O39" s="241"/>
      <c r="P39" s="241"/>
    </row>
    <row r="40" customFormat="false" ht="6" hidden="false" customHeight="true" outlineLevel="0" collapsed="false">
      <c r="A40" s="241"/>
      <c r="B40" s="174"/>
      <c r="C40" s="342"/>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233</v>
      </c>
      <c r="C41" s="344" t="n">
        <f aca="false">C37+C38+C39</f>
        <v>4438.2</v>
      </c>
      <c r="D41" s="241"/>
      <c r="E41" s="241"/>
      <c r="F41" s="241"/>
      <c r="G41" s="241"/>
      <c r="H41" s="241"/>
      <c r="I41" s="241"/>
      <c r="J41" s="241"/>
      <c r="K41" s="241"/>
      <c r="L41" s="241"/>
      <c r="M41" s="241"/>
      <c r="N41" s="241"/>
      <c r="O41" s="241"/>
      <c r="P41" s="241"/>
    </row>
    <row r="42" customFormat="false" ht="12" hidden="false" customHeight="false" outlineLevel="0" collapsed="false">
      <c r="A42" s="241"/>
      <c r="B42" s="345"/>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SUM(D4:D36)</f>
        <v>0</v>
      </c>
      <c r="E1" s="352" t="n">
        <f aca="false">SUM(E4:E36)/2</f>
        <v>3000</v>
      </c>
      <c r="F1" s="352" t="n">
        <f aca="false">SUM(F4:F36)/2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46118</v>
      </c>
      <c r="B5" s="359" t="n">
        <v>46118</v>
      </c>
      <c r="C5" s="360"/>
      <c r="D5" s="361"/>
      <c r="E5" s="362"/>
      <c r="F5" s="363"/>
    </row>
    <row r="6" customFormat="false" ht="12.75" hidden="false" customHeight="false" outlineLevel="0" collapsed="false">
      <c r="A6" s="364" t="n">
        <v>46119</v>
      </c>
      <c r="B6" s="347" t="n">
        <v>46119</v>
      </c>
      <c r="E6" s="349" t="n">
        <v>200</v>
      </c>
      <c r="F6" s="365"/>
    </row>
    <row r="7" customFormat="false" ht="12.75" hidden="false" customHeight="false" outlineLevel="0" collapsed="false">
      <c r="A7" s="364" t="n">
        <v>46120</v>
      </c>
      <c r="B7" s="347" t="n">
        <v>46120</v>
      </c>
      <c r="E7" s="349" t="n">
        <v>220</v>
      </c>
      <c r="F7" s="365"/>
    </row>
    <row r="8" customFormat="false" ht="12.75" hidden="false" customHeight="false" outlineLevel="0" collapsed="false">
      <c r="A8" s="364" t="n">
        <v>46121</v>
      </c>
      <c r="B8" s="347" t="n">
        <v>46121</v>
      </c>
      <c r="E8" s="349" t="n">
        <v>180</v>
      </c>
      <c r="F8" s="365"/>
    </row>
    <row r="9" customFormat="false" ht="12.75" hidden="false" customHeight="false" outlineLevel="0" collapsed="false">
      <c r="A9" s="364" t="n">
        <v>46122</v>
      </c>
      <c r="B9" s="347" t="n">
        <v>46122</v>
      </c>
      <c r="E9" s="349" t="n">
        <v>210</v>
      </c>
      <c r="F9" s="365"/>
    </row>
    <row r="10" customFormat="false" ht="12.75" hidden="false" customHeight="false" outlineLevel="0" collapsed="false">
      <c r="A10" s="364" t="n">
        <v>46123</v>
      </c>
      <c r="B10" s="347" t="n">
        <v>46123</v>
      </c>
      <c r="E10" s="349" t="n">
        <v>190</v>
      </c>
      <c r="F10" s="365"/>
    </row>
    <row r="11" customFormat="false" ht="12.75" hidden="false" customHeight="false" outlineLevel="0" collapsed="false">
      <c r="A11" s="364" t="n">
        <v>46124</v>
      </c>
      <c r="B11" s="347" t="n">
        <v>46124</v>
      </c>
      <c r="F11" s="365"/>
    </row>
    <row r="12" customFormat="false" ht="12.75" hidden="false" customHeight="false" outlineLevel="0" collapsed="false">
      <c r="A12" s="364" t="n">
        <v>46124</v>
      </c>
      <c r="B12" s="347" t="s">
        <v>241</v>
      </c>
      <c r="F12" s="365"/>
    </row>
    <row r="13" customFormat="false" ht="12.75" hidden="false" customHeight="false" outlineLevel="0" collapsed="false">
      <c r="A13" s="364" t="n">
        <v>46124</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46125</v>
      </c>
      <c r="B16" s="359" t="n">
        <v>46125</v>
      </c>
      <c r="C16" s="360"/>
      <c r="D16" s="361"/>
      <c r="E16" s="362"/>
      <c r="F16" s="363"/>
    </row>
    <row r="17" customFormat="false" ht="12.75" hidden="false" customHeight="false" outlineLevel="0" collapsed="false">
      <c r="A17" s="364" t="n">
        <v>46126</v>
      </c>
      <c r="B17" s="347" t="n">
        <v>46126</v>
      </c>
      <c r="E17" s="349" t="n">
        <v>200</v>
      </c>
      <c r="F17" s="365"/>
    </row>
    <row r="18" customFormat="false" ht="12.75" hidden="false" customHeight="false" outlineLevel="0" collapsed="false">
      <c r="A18" s="364" t="n">
        <v>46127</v>
      </c>
      <c r="B18" s="347" t="n">
        <v>46127</v>
      </c>
      <c r="E18" s="349" t="n">
        <v>220</v>
      </c>
      <c r="F18" s="365"/>
    </row>
    <row r="19" customFormat="false" ht="12.75" hidden="false" customHeight="false" outlineLevel="0" collapsed="false">
      <c r="A19" s="364" t="n">
        <v>46128</v>
      </c>
      <c r="B19" s="347" t="n">
        <v>46128</v>
      </c>
      <c r="E19" s="349" t="n">
        <v>180</v>
      </c>
      <c r="F19" s="365"/>
    </row>
    <row r="20" customFormat="false" ht="12.75" hidden="false" customHeight="false" outlineLevel="0" collapsed="false">
      <c r="A20" s="364" t="n">
        <v>46129</v>
      </c>
      <c r="B20" s="347" t="n">
        <v>46129</v>
      </c>
      <c r="E20" s="349" t="n">
        <v>200</v>
      </c>
      <c r="F20" s="365"/>
    </row>
    <row r="21" customFormat="false" ht="12.75" hidden="false" customHeight="false" outlineLevel="0" collapsed="false">
      <c r="A21" s="364" t="n">
        <v>46130</v>
      </c>
      <c r="B21" s="347" t="n">
        <v>46130</v>
      </c>
      <c r="E21" s="349" t="n">
        <v>200</v>
      </c>
      <c r="F21" s="365"/>
    </row>
    <row r="22" customFormat="false" ht="12.75" hidden="false" customHeight="false" outlineLevel="0" collapsed="false">
      <c r="A22" s="364" t="n">
        <v>46131</v>
      </c>
      <c r="B22" s="347" t="n">
        <v>46131</v>
      </c>
      <c r="F22" s="365"/>
    </row>
    <row r="23" customFormat="false" ht="12.75" hidden="false" customHeight="false" outlineLevel="0" collapsed="false">
      <c r="A23" s="364" t="n">
        <v>46131</v>
      </c>
      <c r="B23" s="347" t="s">
        <v>241</v>
      </c>
      <c r="F23" s="365"/>
    </row>
    <row r="24" customFormat="false" ht="12.75" hidden="false" customHeight="false" outlineLevel="0" collapsed="false">
      <c r="A24" s="364" t="n">
        <v>46131</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46132</v>
      </c>
      <c r="B27" s="359" t="n">
        <v>46132</v>
      </c>
      <c r="C27" s="360"/>
      <c r="D27" s="361"/>
      <c r="E27" s="362"/>
      <c r="F27" s="363"/>
    </row>
    <row r="28" customFormat="false" ht="12.75" hidden="false" customHeight="false" outlineLevel="0" collapsed="false">
      <c r="A28" s="364" t="n">
        <v>46133</v>
      </c>
      <c r="B28" s="347" t="n">
        <v>46133</v>
      </c>
      <c r="E28" s="349" t="n">
        <v>200</v>
      </c>
      <c r="F28" s="365"/>
    </row>
    <row r="29" customFormat="false" ht="12.75" hidden="false" customHeight="false" outlineLevel="0" collapsed="false">
      <c r="A29" s="364" t="n">
        <v>46134</v>
      </c>
      <c r="B29" s="347" t="n">
        <v>46134</v>
      </c>
      <c r="E29" s="349" t="n">
        <v>200</v>
      </c>
      <c r="F29" s="365"/>
    </row>
    <row r="30" customFormat="false" ht="12.75" hidden="false" customHeight="false" outlineLevel="0" collapsed="false">
      <c r="A30" s="364" t="n">
        <v>46135</v>
      </c>
      <c r="B30" s="347" t="n">
        <v>46135</v>
      </c>
      <c r="E30" s="349" t="n">
        <v>200</v>
      </c>
      <c r="F30" s="365"/>
    </row>
    <row r="31" customFormat="false" ht="12.75" hidden="false" customHeight="false" outlineLevel="0" collapsed="false">
      <c r="A31" s="364" t="n">
        <v>46136</v>
      </c>
      <c r="B31" s="347" t="n">
        <v>46136</v>
      </c>
      <c r="E31" s="349" t="n">
        <v>200</v>
      </c>
      <c r="F31" s="365"/>
    </row>
    <row r="32" customFormat="false" ht="12.75" hidden="false" customHeight="false" outlineLevel="0" collapsed="false">
      <c r="A32" s="364" t="n">
        <v>46137</v>
      </c>
      <c r="B32" s="347" t="n">
        <v>46137</v>
      </c>
      <c r="E32" s="349" t="n">
        <v>200</v>
      </c>
      <c r="F32" s="365"/>
    </row>
    <row r="33" customFormat="false" ht="12.75" hidden="false" customHeight="false" outlineLevel="0" collapsed="false">
      <c r="A33" s="364" t="n">
        <v>46138</v>
      </c>
      <c r="B33" s="347" t="n">
        <v>46138</v>
      </c>
      <c r="F33" s="365"/>
    </row>
    <row r="34" customFormat="false" ht="12.75" hidden="false" customHeight="false" outlineLevel="0" collapsed="false">
      <c r="A34" s="364" t="n">
        <v>46138</v>
      </c>
      <c r="B34" s="347" t="s">
        <v>241</v>
      </c>
      <c r="F34" s="365"/>
    </row>
    <row r="35" customFormat="false" ht="12.75" hidden="false" customHeight="false" outlineLevel="0" collapsed="false">
      <c r="A35" s="364" t="n">
        <v>46138</v>
      </c>
      <c r="B35" s="347" t="s">
        <v>242</v>
      </c>
      <c r="F35" s="365"/>
    </row>
    <row r="36" customFormat="false" ht="12.75" hidden="false" customHeight="false" outlineLevel="0" collapsed="false">
      <c r="A36" s="366"/>
      <c r="B36" s="367"/>
      <c r="C36" s="368"/>
      <c r="D36" s="369"/>
      <c r="E36" s="370" t="n">
        <f aca="false">SUM(E27:E35)</f>
        <v>1000</v>
      </c>
      <c r="F36" s="371" t="n">
        <f aca="false">SUM(F27:F35)</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33"/>
    <col collapsed="false" customWidth="true" hidden="false" outlineLevel="0" max="2" min="2" style="180" width="21.99"/>
    <col collapsed="false" customWidth="true" hidden="false" outlineLevel="0" max="3" min="3" style="180" width="15.5"/>
    <col collapsed="false" customWidth="false" hidden="false" outlineLevel="0" max="4" min="4" style="373" width="9.15"/>
    <col collapsed="false" customWidth="true" hidden="false" outlineLevel="0" max="5" min="5" style="373" width="8.49"/>
    <col collapsed="false" customWidth="true" hidden="false" outlineLevel="0" max="6" min="6" style="374"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5" t="s">
        <v>243</v>
      </c>
      <c r="C1" s="376" t="s">
        <v>236</v>
      </c>
      <c r="D1" s="377" t="str">
        <f aca="false">IF((F1-SUM(G1:S1)&lt;&gt;0),(F1-SUM(G1:S1))," ")</f>
        <v> </v>
      </c>
      <c r="E1" s="353" t="n">
        <f aca="false">SUM(E5:E199)</f>
        <v>0</v>
      </c>
      <c r="F1" s="352" t="n">
        <f aca="false">SUM(F5:F199)</f>
        <v>2200</v>
      </c>
      <c r="G1" s="352" t="n">
        <f aca="false">SUM(G5:G199)</f>
        <v>300</v>
      </c>
      <c r="H1" s="352" t="n">
        <f aca="false">SUM(H5:H199)</f>
        <v>0</v>
      </c>
      <c r="I1" s="352" t="n">
        <f aca="false">SUM(I5:I199)</f>
        <v>0</v>
      </c>
      <c r="J1" s="352" t="n">
        <f aca="false">SUM(J5:J199)</f>
        <v>1380</v>
      </c>
      <c r="K1" s="352" t="n">
        <f aca="false">SUM(K5:K199)</f>
        <v>0</v>
      </c>
      <c r="L1" s="352" t="n">
        <f aca="false">SUM(L5:L199)</f>
        <v>0</v>
      </c>
      <c r="M1" s="352" t="n">
        <f aca="false">SUM(M5:M199)</f>
        <v>120</v>
      </c>
      <c r="N1" s="352" t="n">
        <f aca="false">SUM(N5:N199)</f>
        <v>0</v>
      </c>
      <c r="O1" s="352" t="n">
        <f aca="false">SUM(O5:O199)</f>
        <v>400</v>
      </c>
      <c r="P1" s="352" t="n">
        <f aca="false">SUM(P5:P199)</f>
        <v>0</v>
      </c>
      <c r="Q1" s="352" t="n">
        <f aca="false">SUM(Q5:Q199)</f>
        <v>0</v>
      </c>
      <c r="R1" s="352" t="n">
        <f aca="false">SUM(R5:R199)</f>
        <v>0</v>
      </c>
      <c r="S1" s="378" t="n">
        <f aca="false">SUM(S5:S199)</f>
        <v>0</v>
      </c>
      <c r="T1" s="379" t="n">
        <f aca="false">S1</f>
        <v>0</v>
      </c>
      <c r="U1" s="378" t="n">
        <f aca="false">SUM(U4:U199)</f>
        <v>0</v>
      </c>
    </row>
    <row r="2" s="191" customFormat="true" ht="13.5" hidden="false" customHeight="true" outlineLevel="0" collapsed="false">
      <c r="A2" s="240" t="n">
        <f aca="false">U1</f>
        <v>0</v>
      </c>
      <c r="B2" s="240" t="s">
        <v>244</v>
      </c>
      <c r="C2" s="380" t="s">
        <v>245</v>
      </c>
      <c r="D2" s="380" t="s">
        <v>246</v>
      </c>
      <c r="E2" s="380" t="s">
        <v>247</v>
      </c>
      <c r="F2" s="207" t="s">
        <v>248</v>
      </c>
      <c r="G2" s="381" t="s">
        <v>249</v>
      </c>
      <c r="H2" s="381"/>
      <c r="I2" s="382" t="n">
        <f aca="false">G1+H1+I1+J1</f>
        <v>1680</v>
      </c>
      <c r="J2" s="382"/>
      <c r="K2" s="207" t="s">
        <v>250</v>
      </c>
      <c r="L2" s="207" t="s">
        <v>251</v>
      </c>
      <c r="M2" s="207" t="s">
        <v>252</v>
      </c>
      <c r="N2" s="207" t="s">
        <v>253</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79" t="n">
        <f aca="false">IF((A1&lt;Admin!$F$22),((A1)*Admin!$G$21),(A1*Admin!$G$21-(A1-Admin!$F$21)*(Admin!$G$21-Admin!$G$22)))</f>
        <v>0</v>
      </c>
    </row>
    <row r="5" s="373" customFormat="true" ht="12.75" hidden="false" customHeight="false" outlineLevel="0" collapsed="false">
      <c r="A5" s="372" t="n">
        <v>45762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45753</v>
      </c>
      <c r="B6" s="180" t="s">
        <v>277</v>
      </c>
      <c r="D6" s="373" t="s">
        <v>278</v>
      </c>
      <c r="F6" s="374" t="n">
        <v>180</v>
      </c>
      <c r="G6" s="181" t="str">
        <f aca="false">IF((D6="d"),F6," ")</f>
        <v> </v>
      </c>
      <c r="H6" s="181" t="str">
        <f aca="false">IF((D6="h"),F6," ")</f>
        <v> </v>
      </c>
      <c r="I6" s="181" t="str">
        <f aca="false">IF((D6="r"),F6," ")</f>
        <v> </v>
      </c>
      <c r="J6" s="181" t="n">
        <f aca="false">IF((D6="t"),F6," ")</f>
        <v>180</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45757</v>
      </c>
      <c r="B7" s="180" t="s">
        <v>279</v>
      </c>
      <c r="D7" s="373" t="s">
        <v>278</v>
      </c>
      <c r="F7" s="374"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A8" s="372" t="n">
        <v>45767</v>
      </c>
      <c r="B8" s="180" t="s">
        <v>280</v>
      </c>
      <c r="D8" s="373" t="s">
        <v>281</v>
      </c>
      <c r="F8" s="374" t="n">
        <v>120</v>
      </c>
      <c r="G8" s="181" t="str">
        <f aca="false">IF((D8="d"),F8," ")</f>
        <v> </v>
      </c>
      <c r="H8" s="181" t="str">
        <f aca="false">IF((D8="h"),F8," ")</f>
        <v> </v>
      </c>
      <c r="I8" s="181" t="str">
        <f aca="false">IF((D8="r"),F8," ")</f>
        <v> </v>
      </c>
      <c r="J8" s="181" t="str">
        <f aca="false">IF((D8="t"),F8," ")</f>
        <v> </v>
      </c>
      <c r="K8" s="181" t="str">
        <f aca="false">IF((D8="e"),F8," ")</f>
        <v> </v>
      </c>
      <c r="L8" s="181" t="str">
        <f aca="false">IF((D8="p"),F8," ")</f>
        <v> </v>
      </c>
      <c r="M8" s="181" t="n">
        <f aca="false">IF((D8="g"),F8," ")</f>
        <v>120</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A9" s="372" t="n">
        <v>45755</v>
      </c>
      <c r="B9" s="180" t="s">
        <v>282</v>
      </c>
      <c r="D9" s="373" t="s">
        <v>283</v>
      </c>
      <c r="F9" s="374" t="n">
        <v>400</v>
      </c>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n">
        <f aca="false">IF((D9="l"),F9," ")</f>
        <v>400</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46139</v>
      </c>
      <c r="B5" s="359" t="n">
        <v>46139</v>
      </c>
      <c r="C5" s="360"/>
      <c r="D5" s="361"/>
      <c r="E5" s="362"/>
      <c r="F5" s="363"/>
    </row>
    <row r="6" customFormat="false" ht="12.75" hidden="false" customHeight="false" outlineLevel="0" collapsed="false">
      <c r="A6" s="364" t="n">
        <v>46140</v>
      </c>
      <c r="B6" s="347" t="n">
        <v>46140</v>
      </c>
      <c r="F6" s="365"/>
    </row>
    <row r="7" customFormat="false" ht="12.75" hidden="false" customHeight="false" outlineLevel="0" collapsed="false">
      <c r="A7" s="364" t="n">
        <v>46141</v>
      </c>
      <c r="B7" s="347" t="n">
        <v>46141</v>
      </c>
      <c r="F7" s="365"/>
    </row>
    <row r="8" customFormat="false" ht="12.75" hidden="false" customHeight="false" outlineLevel="0" collapsed="false">
      <c r="A8" s="364" t="n">
        <v>46142</v>
      </c>
      <c r="B8" s="347" t="n">
        <v>46142</v>
      </c>
      <c r="F8" s="365"/>
    </row>
    <row r="9" customFormat="false" ht="12.75" hidden="false" customHeight="false" outlineLevel="0" collapsed="false">
      <c r="A9" s="364" t="n">
        <v>46143</v>
      </c>
      <c r="B9" s="347" t="n">
        <v>46143</v>
      </c>
      <c r="F9" s="365"/>
    </row>
    <row r="10" customFormat="false" ht="12.75" hidden="false" customHeight="false" outlineLevel="0" collapsed="false">
      <c r="A10" s="364" t="n">
        <v>46144</v>
      </c>
      <c r="B10" s="347" t="n">
        <v>46144</v>
      </c>
      <c r="F10" s="365"/>
    </row>
    <row r="11" customFormat="false" ht="12.75" hidden="false" customHeight="false" outlineLevel="0" collapsed="false">
      <c r="A11" s="364" t="n">
        <v>46145</v>
      </c>
      <c r="B11" s="347" t="n">
        <v>46145</v>
      </c>
      <c r="F11" s="365"/>
    </row>
    <row r="12" customFormat="false" ht="12.75" hidden="false" customHeight="false" outlineLevel="0" collapsed="false">
      <c r="A12" s="364" t="n">
        <v>46145</v>
      </c>
      <c r="B12" s="347" t="s">
        <v>241</v>
      </c>
      <c r="F12" s="365"/>
    </row>
    <row r="13" customFormat="false" ht="12.75" hidden="false" customHeight="false" outlineLevel="0" collapsed="false">
      <c r="A13" s="364" t="n">
        <v>46145</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46146</v>
      </c>
      <c r="B16" s="359" t="n">
        <v>46146</v>
      </c>
      <c r="C16" s="360"/>
      <c r="D16" s="361"/>
      <c r="E16" s="362"/>
      <c r="F16" s="363"/>
    </row>
    <row r="17" customFormat="false" ht="12.75" hidden="false" customHeight="false" outlineLevel="0" collapsed="false">
      <c r="A17" s="364" t="n">
        <v>46147</v>
      </c>
      <c r="B17" s="347" t="n">
        <v>46147</v>
      </c>
      <c r="E17" s="349" t="n">
        <v>200</v>
      </c>
      <c r="F17" s="365"/>
    </row>
    <row r="18" customFormat="false" ht="12.75" hidden="false" customHeight="false" outlineLevel="0" collapsed="false">
      <c r="A18" s="364" t="n">
        <v>46148</v>
      </c>
      <c r="B18" s="347" t="n">
        <v>46148</v>
      </c>
      <c r="E18" s="349" t="n">
        <v>200</v>
      </c>
      <c r="F18" s="365"/>
    </row>
    <row r="19" customFormat="false" ht="12.75" hidden="false" customHeight="false" outlineLevel="0" collapsed="false">
      <c r="A19" s="364" t="n">
        <v>46149</v>
      </c>
      <c r="B19" s="347" t="n">
        <v>46149</v>
      </c>
      <c r="E19" s="349" t="n">
        <v>200</v>
      </c>
      <c r="F19" s="365"/>
    </row>
    <row r="20" customFormat="false" ht="12.75" hidden="false" customHeight="false" outlineLevel="0" collapsed="false">
      <c r="A20" s="364" t="n">
        <v>46150</v>
      </c>
      <c r="B20" s="347" t="n">
        <v>46150</v>
      </c>
      <c r="E20" s="349" t="n">
        <v>200</v>
      </c>
      <c r="F20" s="365"/>
    </row>
    <row r="21" customFormat="false" ht="12.75" hidden="false" customHeight="false" outlineLevel="0" collapsed="false">
      <c r="A21" s="364" t="n">
        <v>46151</v>
      </c>
      <c r="B21" s="347" t="n">
        <v>46151</v>
      </c>
      <c r="E21" s="349" t="n">
        <v>200</v>
      </c>
      <c r="F21" s="365"/>
    </row>
    <row r="22" customFormat="false" ht="12.75" hidden="false" customHeight="false" outlineLevel="0" collapsed="false">
      <c r="A22" s="364" t="n">
        <v>46152</v>
      </c>
      <c r="B22" s="347" t="n">
        <v>46152</v>
      </c>
      <c r="F22" s="365"/>
    </row>
    <row r="23" customFormat="false" ht="12.75" hidden="false" customHeight="false" outlineLevel="0" collapsed="false">
      <c r="A23" s="364" t="n">
        <v>46152</v>
      </c>
      <c r="B23" s="347" t="s">
        <v>241</v>
      </c>
      <c r="F23" s="365"/>
    </row>
    <row r="24" customFormat="false" ht="12.75" hidden="false" customHeight="false" outlineLevel="0" collapsed="false">
      <c r="A24" s="364" t="n">
        <v>46152</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46153</v>
      </c>
      <c r="B27" s="359" t="n">
        <v>46153</v>
      </c>
      <c r="C27" s="360"/>
      <c r="D27" s="361"/>
      <c r="E27" s="362"/>
      <c r="F27" s="363"/>
    </row>
    <row r="28" customFormat="false" ht="12.75" hidden="false" customHeight="false" outlineLevel="0" collapsed="false">
      <c r="A28" s="364" t="n">
        <v>46154</v>
      </c>
      <c r="B28" s="347" t="n">
        <v>46154</v>
      </c>
      <c r="E28" s="349" t="n">
        <v>200</v>
      </c>
      <c r="F28" s="365"/>
    </row>
    <row r="29" customFormat="false" ht="12.75" hidden="false" customHeight="false" outlineLevel="0" collapsed="false">
      <c r="A29" s="364" t="n">
        <v>46155</v>
      </c>
      <c r="B29" s="347" t="n">
        <v>46155</v>
      </c>
      <c r="E29" s="349" t="n">
        <v>200</v>
      </c>
      <c r="F29" s="365"/>
    </row>
    <row r="30" customFormat="false" ht="12.75" hidden="false" customHeight="false" outlineLevel="0" collapsed="false">
      <c r="A30" s="364" t="n">
        <v>46156</v>
      </c>
      <c r="B30" s="347" t="n">
        <v>46156</v>
      </c>
      <c r="E30" s="349" t="n">
        <v>200</v>
      </c>
      <c r="F30" s="365"/>
    </row>
    <row r="31" customFormat="false" ht="12.75" hidden="false" customHeight="false" outlineLevel="0" collapsed="false">
      <c r="A31" s="364" t="n">
        <v>46157</v>
      </c>
      <c r="B31" s="347" t="n">
        <v>46157</v>
      </c>
      <c r="E31" s="349" t="n">
        <v>200</v>
      </c>
      <c r="F31" s="365"/>
    </row>
    <row r="32" customFormat="false" ht="12.75" hidden="false" customHeight="false" outlineLevel="0" collapsed="false">
      <c r="A32" s="364" t="n">
        <v>46158</v>
      </c>
      <c r="B32" s="347" t="n">
        <v>46158</v>
      </c>
      <c r="E32" s="349" t="n">
        <v>200</v>
      </c>
      <c r="F32" s="365"/>
    </row>
    <row r="33" customFormat="false" ht="12.75" hidden="false" customHeight="false" outlineLevel="0" collapsed="false">
      <c r="A33" s="364" t="n">
        <v>46159</v>
      </c>
      <c r="B33" s="347" t="n">
        <v>46159</v>
      </c>
      <c r="F33" s="365"/>
    </row>
    <row r="34" customFormat="false" ht="12.75" hidden="false" customHeight="false" outlineLevel="0" collapsed="false">
      <c r="A34" s="364" t="n">
        <v>46159</v>
      </c>
      <c r="B34" s="347" t="s">
        <v>241</v>
      </c>
      <c r="F34" s="365"/>
    </row>
    <row r="35" customFormat="false" ht="12.75" hidden="false" customHeight="false" outlineLevel="0" collapsed="false">
      <c r="A35" s="364" t="n">
        <v>46159</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46160</v>
      </c>
      <c r="B38" s="359" t="n">
        <v>46160</v>
      </c>
      <c r="C38" s="360"/>
      <c r="D38" s="361"/>
      <c r="E38" s="362"/>
      <c r="F38" s="363"/>
    </row>
    <row r="39" customFormat="false" ht="12.75" hidden="false" customHeight="false" outlineLevel="0" collapsed="false">
      <c r="A39" s="364" t="n">
        <v>46161</v>
      </c>
      <c r="B39" s="347" t="n">
        <v>46161</v>
      </c>
      <c r="E39" s="349" t="n">
        <v>200</v>
      </c>
      <c r="F39" s="365"/>
    </row>
    <row r="40" customFormat="false" ht="12.75" hidden="false" customHeight="false" outlineLevel="0" collapsed="false">
      <c r="A40" s="364" t="n">
        <v>46162</v>
      </c>
      <c r="B40" s="347" t="n">
        <v>46162</v>
      </c>
      <c r="E40" s="349" t="n">
        <v>200</v>
      </c>
      <c r="F40" s="365"/>
    </row>
    <row r="41" customFormat="false" ht="12.75" hidden="false" customHeight="false" outlineLevel="0" collapsed="false">
      <c r="A41" s="364" t="n">
        <v>46163</v>
      </c>
      <c r="B41" s="347" t="n">
        <v>46163</v>
      </c>
      <c r="E41" s="349" t="n">
        <v>200</v>
      </c>
      <c r="F41" s="365"/>
    </row>
    <row r="42" customFormat="false" ht="12.75" hidden="false" customHeight="false" outlineLevel="0" collapsed="false">
      <c r="A42" s="364" t="n">
        <v>46164</v>
      </c>
      <c r="B42" s="347" t="n">
        <v>46164</v>
      </c>
      <c r="E42" s="349" t="n">
        <v>200</v>
      </c>
      <c r="F42" s="365"/>
    </row>
    <row r="43" customFormat="false" ht="12.75" hidden="false" customHeight="false" outlineLevel="0" collapsed="false">
      <c r="A43" s="364" t="n">
        <v>46165</v>
      </c>
      <c r="B43" s="347" t="n">
        <v>46165</v>
      </c>
      <c r="E43" s="349" t="n">
        <v>200</v>
      </c>
      <c r="F43" s="365"/>
    </row>
    <row r="44" customFormat="false" ht="12.75" hidden="false" customHeight="false" outlineLevel="0" collapsed="false">
      <c r="A44" s="364" t="n">
        <v>46166</v>
      </c>
      <c r="B44" s="347" t="n">
        <v>46166</v>
      </c>
      <c r="F44" s="365"/>
    </row>
    <row r="45" customFormat="false" ht="12.75" hidden="false" customHeight="false" outlineLevel="0" collapsed="false">
      <c r="A45" s="364" t="n">
        <v>46166</v>
      </c>
      <c r="B45" s="347" t="s">
        <v>241</v>
      </c>
      <c r="F45" s="365"/>
    </row>
    <row r="46" customFormat="false" ht="12.75" hidden="false" customHeight="false" outlineLevel="0" collapsed="false">
      <c r="A46" s="364" t="n">
        <v>46166</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46167</v>
      </c>
      <c r="B49" s="359" t="n">
        <v>46167</v>
      </c>
      <c r="C49" s="360"/>
      <c r="D49" s="361"/>
      <c r="E49" s="362"/>
      <c r="F49" s="363"/>
    </row>
    <row r="50" customFormat="false" ht="12.75" hidden="false" customHeight="false" outlineLevel="0" collapsed="false">
      <c r="A50" s="364" t="n">
        <v>46168</v>
      </c>
      <c r="B50" s="347" t="n">
        <v>46168</v>
      </c>
      <c r="F50" s="365"/>
    </row>
    <row r="51" customFormat="false" ht="12.75" hidden="false" customHeight="false" outlineLevel="0" collapsed="false">
      <c r="A51" s="364" t="n">
        <v>46169</v>
      </c>
      <c r="B51" s="347" t="n">
        <v>46169</v>
      </c>
      <c r="F51" s="365"/>
    </row>
    <row r="52" customFormat="false" ht="12.75" hidden="false" customHeight="false" outlineLevel="0" collapsed="false">
      <c r="A52" s="364" t="n">
        <v>46170</v>
      </c>
      <c r="B52" s="347" t="n">
        <v>46170</v>
      </c>
      <c r="F52" s="365"/>
    </row>
    <row r="53" customFormat="false" ht="12.75" hidden="false" customHeight="false" outlineLevel="0" collapsed="false">
      <c r="A53" s="364" t="n">
        <v>46171</v>
      </c>
      <c r="B53" s="347" t="n">
        <v>46171</v>
      </c>
      <c r="F53" s="365"/>
    </row>
    <row r="54" customFormat="false" ht="12.75" hidden="false" customHeight="false" outlineLevel="0" collapsed="false">
      <c r="A54" s="364" t="n">
        <v>46172</v>
      </c>
      <c r="B54" s="347" t="n">
        <v>46172</v>
      </c>
      <c r="F54" s="365"/>
    </row>
    <row r="55" customFormat="false" ht="12.75" hidden="false" customHeight="false" outlineLevel="0" collapsed="false">
      <c r="A55" s="364" t="n">
        <v>46173</v>
      </c>
      <c r="B55" s="347" t="n">
        <v>46173</v>
      </c>
      <c r="F55" s="365"/>
    </row>
    <row r="56" customFormat="false" ht="12.75" hidden="false" customHeight="false" outlineLevel="0" collapsed="false">
      <c r="A56" s="364" t="n">
        <v>46173</v>
      </c>
      <c r="B56" s="347" t="s">
        <v>241</v>
      </c>
      <c r="F56" s="365"/>
    </row>
    <row r="57" customFormat="false" ht="12.75" hidden="false" customHeight="false" outlineLevel="0" collapsed="false">
      <c r="A57" s="364" t="n">
        <v>46173</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2" width="9.15"/>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244</v>
      </c>
      <c r="C2" s="380" t="s">
        <v>245</v>
      </c>
      <c r="D2" s="380" t="s">
        <v>246</v>
      </c>
      <c r="E2" s="380" t="s">
        <v>247</v>
      </c>
      <c r="F2" s="207" t="s">
        <v>248</v>
      </c>
      <c r="G2" s="381" t="s">
        <v>249</v>
      </c>
      <c r="H2" s="381"/>
      <c r="I2" s="382" t="n">
        <f aca="false">G1+H1+I1+J1+PurchasesApr!I2</f>
        <v>1980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IF((A1&lt;Admin!$F$22),((A1-PurchasesApr!A1)*Admin!$G$21),(A1*Admin!$G$21-(A1-Admin!$F$21)*(Admin!$G$21-Admin!$G$22)-PurchasesApr!A2))</f>
        <v>0</v>
      </c>
    </row>
    <row r="5" s="373" customFormat="true" ht="12.75" hidden="false" customHeight="false" outlineLevel="0" collapsed="false">
      <c r="A5" s="372" t="n">
        <v>45792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46174</v>
      </c>
      <c r="B5" s="359" t="n">
        <v>46174</v>
      </c>
      <c r="C5" s="360"/>
      <c r="D5" s="361"/>
      <c r="E5" s="362"/>
      <c r="F5" s="363"/>
    </row>
    <row r="6" customFormat="false" ht="12.75" hidden="false" customHeight="false" outlineLevel="0" collapsed="false">
      <c r="A6" s="364" t="n">
        <v>46175</v>
      </c>
      <c r="B6" s="347" t="n">
        <v>46175</v>
      </c>
      <c r="E6" s="349" t="n">
        <v>200</v>
      </c>
      <c r="F6" s="365"/>
    </row>
    <row r="7" customFormat="false" ht="12.75" hidden="false" customHeight="false" outlineLevel="0" collapsed="false">
      <c r="A7" s="364" t="n">
        <v>46176</v>
      </c>
      <c r="B7" s="347" t="n">
        <v>46176</v>
      </c>
      <c r="E7" s="349" t="n">
        <v>200</v>
      </c>
      <c r="F7" s="365"/>
    </row>
    <row r="8" customFormat="false" ht="12.75" hidden="false" customHeight="false" outlineLevel="0" collapsed="false">
      <c r="A8" s="364" t="n">
        <v>46177</v>
      </c>
      <c r="B8" s="347" t="n">
        <v>46177</v>
      </c>
      <c r="E8" s="349" t="n">
        <v>200</v>
      </c>
      <c r="F8" s="365"/>
    </row>
    <row r="9" customFormat="false" ht="12.75" hidden="false" customHeight="false" outlineLevel="0" collapsed="false">
      <c r="A9" s="364" t="n">
        <v>46178</v>
      </c>
      <c r="B9" s="347" t="n">
        <v>46178</v>
      </c>
      <c r="E9" s="349" t="n">
        <v>200</v>
      </c>
      <c r="F9" s="365"/>
    </row>
    <row r="10" customFormat="false" ht="12.75" hidden="false" customHeight="false" outlineLevel="0" collapsed="false">
      <c r="A10" s="364" t="n">
        <v>46179</v>
      </c>
      <c r="B10" s="347" t="n">
        <v>46179</v>
      </c>
      <c r="E10" s="349" t="n">
        <v>200</v>
      </c>
      <c r="F10" s="365"/>
    </row>
    <row r="11" customFormat="false" ht="12.75" hidden="false" customHeight="false" outlineLevel="0" collapsed="false">
      <c r="A11" s="364" t="n">
        <v>46180</v>
      </c>
      <c r="B11" s="347" t="n">
        <v>46180</v>
      </c>
      <c r="F11" s="365"/>
    </row>
    <row r="12" customFormat="false" ht="12.75" hidden="false" customHeight="false" outlineLevel="0" collapsed="false">
      <c r="A12" s="364" t="n">
        <v>46180</v>
      </c>
      <c r="B12" s="347" t="s">
        <v>241</v>
      </c>
      <c r="F12" s="365"/>
    </row>
    <row r="13" customFormat="false" ht="12.75" hidden="false" customHeight="false" outlineLevel="0" collapsed="false">
      <c r="A13" s="364" t="n">
        <v>46180</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46181</v>
      </c>
      <c r="B16" s="359" t="n">
        <v>46181</v>
      </c>
      <c r="C16" s="360"/>
      <c r="D16" s="361"/>
      <c r="E16" s="362"/>
      <c r="F16" s="363"/>
    </row>
    <row r="17" customFormat="false" ht="12.75" hidden="false" customHeight="false" outlineLevel="0" collapsed="false">
      <c r="A17" s="364" t="n">
        <v>46182</v>
      </c>
      <c r="B17" s="347" t="n">
        <v>46182</v>
      </c>
      <c r="E17" s="349" t="n">
        <v>200</v>
      </c>
      <c r="F17" s="365"/>
    </row>
    <row r="18" customFormat="false" ht="12.75" hidden="false" customHeight="false" outlineLevel="0" collapsed="false">
      <c r="A18" s="364" t="n">
        <v>46183</v>
      </c>
      <c r="B18" s="347" t="n">
        <v>46183</v>
      </c>
      <c r="E18" s="349" t="n">
        <v>200</v>
      </c>
      <c r="F18" s="365"/>
    </row>
    <row r="19" customFormat="false" ht="12.75" hidden="false" customHeight="false" outlineLevel="0" collapsed="false">
      <c r="A19" s="364" t="n">
        <v>46184</v>
      </c>
      <c r="B19" s="347" t="n">
        <v>46184</v>
      </c>
      <c r="E19" s="349" t="n">
        <v>200</v>
      </c>
      <c r="F19" s="365"/>
    </row>
    <row r="20" customFormat="false" ht="12.75" hidden="false" customHeight="false" outlineLevel="0" collapsed="false">
      <c r="A20" s="364" t="n">
        <v>46185</v>
      </c>
      <c r="B20" s="347" t="n">
        <v>46185</v>
      </c>
      <c r="E20" s="349" t="n">
        <v>200</v>
      </c>
      <c r="F20" s="365"/>
    </row>
    <row r="21" customFormat="false" ht="12.75" hidden="false" customHeight="false" outlineLevel="0" collapsed="false">
      <c r="A21" s="364" t="n">
        <v>46186</v>
      </c>
      <c r="B21" s="347" t="n">
        <v>46186</v>
      </c>
      <c r="E21" s="349" t="n">
        <v>200</v>
      </c>
      <c r="F21" s="365"/>
    </row>
    <row r="22" customFormat="false" ht="12.75" hidden="false" customHeight="false" outlineLevel="0" collapsed="false">
      <c r="A22" s="364" t="n">
        <v>46187</v>
      </c>
      <c r="B22" s="347" t="n">
        <v>46187</v>
      </c>
      <c r="F22" s="365"/>
    </row>
    <row r="23" customFormat="false" ht="12.75" hidden="false" customHeight="false" outlineLevel="0" collapsed="false">
      <c r="A23" s="364" t="n">
        <v>46187</v>
      </c>
      <c r="B23" s="347" t="s">
        <v>241</v>
      </c>
      <c r="F23" s="365"/>
    </row>
    <row r="24" customFormat="false" ht="12.75" hidden="false" customHeight="false" outlineLevel="0" collapsed="false">
      <c r="A24" s="364" t="n">
        <v>46187</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46188</v>
      </c>
      <c r="B27" s="359" t="n">
        <v>46188</v>
      </c>
      <c r="C27" s="360"/>
      <c r="D27" s="361"/>
      <c r="E27" s="362"/>
      <c r="F27" s="363"/>
    </row>
    <row r="28" customFormat="false" ht="12.75" hidden="false" customHeight="false" outlineLevel="0" collapsed="false">
      <c r="A28" s="364" t="n">
        <v>46189</v>
      </c>
      <c r="B28" s="347" t="n">
        <v>46189</v>
      </c>
      <c r="E28" s="349" t="n">
        <v>200</v>
      </c>
      <c r="F28" s="365"/>
    </row>
    <row r="29" customFormat="false" ht="12.75" hidden="false" customHeight="false" outlineLevel="0" collapsed="false">
      <c r="A29" s="364" t="n">
        <v>46190</v>
      </c>
      <c r="B29" s="347" t="n">
        <v>46190</v>
      </c>
      <c r="E29" s="349" t="n">
        <v>200</v>
      </c>
      <c r="F29" s="365"/>
    </row>
    <row r="30" customFormat="false" ht="12.75" hidden="false" customHeight="false" outlineLevel="0" collapsed="false">
      <c r="A30" s="364" t="n">
        <v>46191</v>
      </c>
      <c r="B30" s="347" t="n">
        <v>46191</v>
      </c>
      <c r="E30" s="349" t="n">
        <v>200</v>
      </c>
      <c r="F30" s="365"/>
    </row>
    <row r="31" customFormat="false" ht="12.75" hidden="false" customHeight="false" outlineLevel="0" collapsed="false">
      <c r="A31" s="364" t="n">
        <v>46192</v>
      </c>
      <c r="B31" s="347" t="n">
        <v>46192</v>
      </c>
      <c r="E31" s="349" t="n">
        <v>200</v>
      </c>
      <c r="F31" s="365"/>
    </row>
    <row r="32" customFormat="false" ht="12.75" hidden="false" customHeight="false" outlineLevel="0" collapsed="false">
      <c r="A32" s="364" t="n">
        <v>46193</v>
      </c>
      <c r="B32" s="347" t="n">
        <v>46193</v>
      </c>
      <c r="E32" s="349" t="n">
        <v>200</v>
      </c>
      <c r="F32" s="365"/>
    </row>
    <row r="33" customFormat="false" ht="12.75" hidden="false" customHeight="false" outlineLevel="0" collapsed="false">
      <c r="A33" s="364" t="n">
        <v>46194</v>
      </c>
      <c r="B33" s="347" t="n">
        <v>46194</v>
      </c>
      <c r="F33" s="365"/>
    </row>
    <row r="34" customFormat="false" ht="12.75" hidden="false" customHeight="false" outlineLevel="0" collapsed="false">
      <c r="A34" s="364" t="n">
        <v>46194</v>
      </c>
      <c r="B34" s="347" t="s">
        <v>241</v>
      </c>
      <c r="F34" s="365"/>
    </row>
    <row r="35" customFormat="false" ht="12.75" hidden="false" customHeight="false" outlineLevel="0" collapsed="false">
      <c r="A35" s="364" t="n">
        <v>46194</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46195</v>
      </c>
      <c r="B38" s="359" t="n">
        <v>46195</v>
      </c>
      <c r="C38" s="360"/>
      <c r="D38" s="361"/>
      <c r="E38" s="362"/>
      <c r="F38" s="363"/>
    </row>
    <row r="39" customFormat="false" ht="12.75" hidden="false" customHeight="false" outlineLevel="0" collapsed="false">
      <c r="A39" s="364" t="n">
        <v>46196</v>
      </c>
      <c r="B39" s="347" t="n">
        <v>46196</v>
      </c>
      <c r="F39" s="365"/>
    </row>
    <row r="40" customFormat="false" ht="12.75" hidden="false" customHeight="false" outlineLevel="0" collapsed="false">
      <c r="A40" s="364" t="n">
        <v>46197</v>
      </c>
      <c r="B40" s="347" t="n">
        <v>46197</v>
      </c>
      <c r="F40" s="365"/>
    </row>
    <row r="41" customFormat="false" ht="12.75" hidden="false" customHeight="false" outlineLevel="0" collapsed="false">
      <c r="A41" s="364" t="n">
        <v>46198</v>
      </c>
      <c r="B41" s="347" t="n">
        <v>46198</v>
      </c>
      <c r="F41" s="365"/>
    </row>
    <row r="42" customFormat="false" ht="12.75" hidden="false" customHeight="false" outlineLevel="0" collapsed="false">
      <c r="A42" s="364" t="n">
        <v>46199</v>
      </c>
      <c r="B42" s="347" t="n">
        <v>46199</v>
      </c>
      <c r="F42" s="365"/>
    </row>
    <row r="43" customFormat="false" ht="12.75" hidden="false" customHeight="false" outlineLevel="0" collapsed="false">
      <c r="A43" s="364" t="n">
        <v>46200</v>
      </c>
      <c r="B43" s="347" t="n">
        <v>46200</v>
      </c>
      <c r="F43" s="365"/>
    </row>
    <row r="44" customFormat="false" ht="12.75" hidden="false" customHeight="false" outlineLevel="0" collapsed="false">
      <c r="A44" s="364" t="n">
        <v>46201</v>
      </c>
      <c r="B44" s="347" t="n">
        <v>46201</v>
      </c>
      <c r="F44" s="365"/>
    </row>
    <row r="45" customFormat="false" ht="12.75" hidden="false" customHeight="false" outlineLevel="0" collapsed="false">
      <c r="A45" s="364" t="n">
        <v>46201</v>
      </c>
      <c r="B45" s="347" t="s">
        <v>241</v>
      </c>
      <c r="F45" s="365"/>
    </row>
    <row r="46" customFormat="false" ht="12.75" hidden="false" customHeight="false" outlineLevel="0" collapsed="false">
      <c r="A46" s="364" t="n">
        <v>46201</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49"/>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243</v>
      </c>
      <c r="C1" s="392" t="s">
        <v>236</v>
      </c>
      <c r="D1" s="377" t="str">
        <f aca="false">IF((F1-SUM(G1:S1)&lt;&gt;0),(F1-SUM(G1:S1))," ")</f>
        <v> </v>
      </c>
      <c r="E1" s="353" t="n">
        <f aca="false">SUM(E5:E199)</f>
        <v>0</v>
      </c>
      <c r="F1" s="352" t="n">
        <f aca="false">SUM(F5:F199)</f>
        <v>8300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244</v>
      </c>
      <c r="C2" s="380" t="s">
        <v>245</v>
      </c>
      <c r="D2" s="380" t="s">
        <v>246</v>
      </c>
      <c r="E2" s="380" t="s">
        <v>247</v>
      </c>
      <c r="F2" s="207" t="s">
        <v>248</v>
      </c>
      <c r="G2" s="381" t="s">
        <v>249</v>
      </c>
      <c r="H2" s="381"/>
      <c r="I2" s="382" t="n">
        <f aca="false">G1+H1+I1+J1+PurchasesMay!I2</f>
        <v>2280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IF((E1&lt;&gt;0),Admin!$B$7,"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IF((A1&lt;Admin!$F$22),((A1-PurchasesMay!A1)*Admin!$G$21),(A1*Admin!$G$21-(A1-Admin!$F$21)*(Admin!$G$21-Admin!$G$22)-PurchasesMay!A2))</f>
        <v>0</v>
      </c>
    </row>
    <row r="5" s="373" customFormat="true" ht="12.75" hidden="false" customHeight="false" outlineLevel="0" collapsed="false">
      <c r="A5" s="372" t="n">
        <v>45823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45809</v>
      </c>
      <c r="B6" s="180" t="s">
        <v>285</v>
      </c>
      <c r="D6" s="373" t="s">
        <v>286</v>
      </c>
      <c r="F6" s="374" t="n">
        <v>8000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n">
        <f aca="false">IF((D6="f"),F6," ")</f>
        <v>8000</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46202</v>
      </c>
      <c r="B5" s="359" t="n">
        <v>46202</v>
      </c>
      <c r="C5" s="360"/>
      <c r="D5" s="361"/>
      <c r="E5" s="362"/>
      <c r="F5" s="363"/>
    </row>
    <row r="6" customFormat="false" ht="12.75" hidden="false" customHeight="false" outlineLevel="0" collapsed="false">
      <c r="A6" s="364" t="n">
        <v>46203</v>
      </c>
      <c r="B6" s="347" t="n">
        <v>46203</v>
      </c>
      <c r="F6" s="365"/>
    </row>
    <row r="7" customFormat="false" ht="12.75" hidden="false" customHeight="false" outlineLevel="0" collapsed="false">
      <c r="A7" s="364" t="n">
        <v>46204</v>
      </c>
      <c r="B7" s="347" t="n">
        <v>46204</v>
      </c>
      <c r="F7" s="365"/>
    </row>
    <row r="8" customFormat="false" ht="12.75" hidden="false" customHeight="false" outlineLevel="0" collapsed="false">
      <c r="A8" s="364" t="n">
        <v>46205</v>
      </c>
      <c r="B8" s="347" t="n">
        <v>46205</v>
      </c>
      <c r="F8" s="365"/>
    </row>
    <row r="9" customFormat="false" ht="12.75" hidden="false" customHeight="false" outlineLevel="0" collapsed="false">
      <c r="A9" s="364" t="n">
        <v>46206</v>
      </c>
      <c r="B9" s="347" t="n">
        <v>46206</v>
      </c>
      <c r="F9" s="365"/>
    </row>
    <row r="10" customFormat="false" ht="12.75" hidden="false" customHeight="false" outlineLevel="0" collapsed="false">
      <c r="A10" s="364" t="n">
        <v>46207</v>
      </c>
      <c r="B10" s="347" t="n">
        <v>46207</v>
      </c>
      <c r="F10" s="365"/>
    </row>
    <row r="11" customFormat="false" ht="12.75" hidden="false" customHeight="false" outlineLevel="0" collapsed="false">
      <c r="A11" s="364" t="n">
        <v>46208</v>
      </c>
      <c r="B11" s="347" t="n">
        <v>46208</v>
      </c>
      <c r="F11" s="365"/>
    </row>
    <row r="12" customFormat="false" ht="12.75" hidden="false" customHeight="false" outlineLevel="0" collapsed="false">
      <c r="A12" s="364" t="n">
        <v>46208</v>
      </c>
      <c r="B12" s="347" t="s">
        <v>241</v>
      </c>
      <c r="F12" s="365"/>
    </row>
    <row r="13" customFormat="false" ht="12.75" hidden="false" customHeight="false" outlineLevel="0" collapsed="false">
      <c r="A13" s="364" t="n">
        <v>46208</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46209</v>
      </c>
      <c r="B16" s="359" t="n">
        <v>46209</v>
      </c>
      <c r="C16" s="360"/>
      <c r="D16" s="361"/>
      <c r="E16" s="362"/>
      <c r="F16" s="363"/>
    </row>
    <row r="17" customFormat="false" ht="12.75" hidden="false" customHeight="false" outlineLevel="0" collapsed="false">
      <c r="A17" s="364" t="n">
        <v>46210</v>
      </c>
      <c r="B17" s="347" t="n">
        <v>46210</v>
      </c>
      <c r="E17" s="349" t="n">
        <v>200</v>
      </c>
      <c r="F17" s="365"/>
    </row>
    <row r="18" customFormat="false" ht="12.75" hidden="false" customHeight="false" outlineLevel="0" collapsed="false">
      <c r="A18" s="364" t="n">
        <v>46211</v>
      </c>
      <c r="B18" s="347" t="n">
        <v>46211</v>
      </c>
      <c r="E18" s="349" t="n">
        <v>200</v>
      </c>
      <c r="F18" s="365"/>
    </row>
    <row r="19" customFormat="false" ht="12.75" hidden="false" customHeight="false" outlineLevel="0" collapsed="false">
      <c r="A19" s="364" t="n">
        <v>46212</v>
      </c>
      <c r="B19" s="347" t="n">
        <v>46212</v>
      </c>
      <c r="E19" s="349" t="n">
        <v>200</v>
      </c>
      <c r="F19" s="365"/>
    </row>
    <row r="20" customFormat="false" ht="12.75" hidden="false" customHeight="false" outlineLevel="0" collapsed="false">
      <c r="A20" s="364" t="n">
        <v>46213</v>
      </c>
      <c r="B20" s="347" t="n">
        <v>46213</v>
      </c>
      <c r="E20" s="349" t="n">
        <v>200</v>
      </c>
      <c r="F20" s="365"/>
    </row>
    <row r="21" customFormat="false" ht="12.75" hidden="false" customHeight="false" outlineLevel="0" collapsed="false">
      <c r="A21" s="364" t="n">
        <v>46214</v>
      </c>
      <c r="B21" s="347" t="n">
        <v>46214</v>
      </c>
      <c r="E21" s="349" t="n">
        <v>200</v>
      </c>
      <c r="F21" s="365"/>
    </row>
    <row r="22" customFormat="false" ht="12.75" hidden="false" customHeight="false" outlineLevel="0" collapsed="false">
      <c r="A22" s="364" t="n">
        <v>46215</v>
      </c>
      <c r="B22" s="347" t="n">
        <v>46215</v>
      </c>
      <c r="F22" s="365"/>
    </row>
    <row r="23" customFormat="false" ht="12.75" hidden="false" customHeight="false" outlineLevel="0" collapsed="false">
      <c r="A23" s="364" t="n">
        <v>46215</v>
      </c>
      <c r="B23" s="347" t="s">
        <v>241</v>
      </c>
      <c r="F23" s="365"/>
    </row>
    <row r="24" customFormat="false" ht="12.75" hidden="false" customHeight="false" outlineLevel="0" collapsed="false">
      <c r="A24" s="364" t="n">
        <v>46215</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46216</v>
      </c>
      <c r="B27" s="359" t="n">
        <v>46216</v>
      </c>
      <c r="C27" s="360"/>
      <c r="D27" s="361"/>
      <c r="E27" s="362"/>
      <c r="F27" s="363"/>
    </row>
    <row r="28" customFormat="false" ht="12.75" hidden="false" customHeight="false" outlineLevel="0" collapsed="false">
      <c r="A28" s="364" t="n">
        <v>46217</v>
      </c>
      <c r="B28" s="347" t="n">
        <v>46217</v>
      </c>
      <c r="E28" s="349" t="n">
        <v>200</v>
      </c>
      <c r="F28" s="365"/>
    </row>
    <row r="29" customFormat="false" ht="12.75" hidden="false" customHeight="false" outlineLevel="0" collapsed="false">
      <c r="A29" s="364" t="n">
        <v>46218</v>
      </c>
      <c r="B29" s="347" t="n">
        <v>46218</v>
      </c>
      <c r="E29" s="349" t="n">
        <v>200</v>
      </c>
      <c r="F29" s="365"/>
    </row>
    <row r="30" customFormat="false" ht="12.75" hidden="false" customHeight="false" outlineLevel="0" collapsed="false">
      <c r="A30" s="364" t="n">
        <v>46219</v>
      </c>
      <c r="B30" s="347" t="n">
        <v>46219</v>
      </c>
      <c r="E30" s="349" t="n">
        <v>200</v>
      </c>
      <c r="F30" s="365"/>
    </row>
    <row r="31" customFormat="false" ht="12.75" hidden="false" customHeight="false" outlineLevel="0" collapsed="false">
      <c r="A31" s="364" t="n">
        <v>46220</v>
      </c>
      <c r="B31" s="347" t="n">
        <v>46220</v>
      </c>
      <c r="E31" s="349" t="n">
        <v>200</v>
      </c>
      <c r="F31" s="365"/>
    </row>
    <row r="32" customFormat="false" ht="12.75" hidden="false" customHeight="false" outlineLevel="0" collapsed="false">
      <c r="A32" s="364" t="n">
        <v>46221</v>
      </c>
      <c r="B32" s="347" t="n">
        <v>46221</v>
      </c>
      <c r="E32" s="349" t="n">
        <v>200</v>
      </c>
      <c r="F32" s="365"/>
    </row>
    <row r="33" customFormat="false" ht="12.75" hidden="false" customHeight="false" outlineLevel="0" collapsed="false">
      <c r="A33" s="364" t="n">
        <v>46222</v>
      </c>
      <c r="B33" s="347" t="n">
        <v>46222</v>
      </c>
      <c r="F33" s="365"/>
    </row>
    <row r="34" customFormat="false" ht="12.75" hidden="false" customHeight="false" outlineLevel="0" collapsed="false">
      <c r="A34" s="364" t="n">
        <v>46222</v>
      </c>
      <c r="B34" s="347" t="s">
        <v>241</v>
      </c>
      <c r="F34" s="365"/>
    </row>
    <row r="35" customFormat="false" ht="12.75" hidden="false" customHeight="false" outlineLevel="0" collapsed="false">
      <c r="A35" s="364" t="n">
        <v>46222</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46223</v>
      </c>
      <c r="B38" s="359" t="n">
        <v>46223</v>
      </c>
      <c r="C38" s="360"/>
      <c r="D38" s="361"/>
      <c r="E38" s="362"/>
      <c r="F38" s="363"/>
    </row>
    <row r="39" customFormat="false" ht="12.75" hidden="false" customHeight="false" outlineLevel="0" collapsed="false">
      <c r="A39" s="364" t="n">
        <v>46224</v>
      </c>
      <c r="B39" s="347" t="n">
        <v>46224</v>
      </c>
      <c r="E39" s="349" t="n">
        <v>200</v>
      </c>
      <c r="F39" s="365"/>
    </row>
    <row r="40" customFormat="false" ht="12.75" hidden="false" customHeight="false" outlineLevel="0" collapsed="false">
      <c r="A40" s="364" t="n">
        <v>46225</v>
      </c>
      <c r="B40" s="347" t="n">
        <v>46225</v>
      </c>
      <c r="E40" s="349" t="n">
        <v>200</v>
      </c>
      <c r="F40" s="365"/>
    </row>
    <row r="41" customFormat="false" ht="12.75" hidden="false" customHeight="false" outlineLevel="0" collapsed="false">
      <c r="A41" s="364" t="n">
        <v>46226</v>
      </c>
      <c r="B41" s="347" t="n">
        <v>46226</v>
      </c>
      <c r="E41" s="349" t="n">
        <v>200</v>
      </c>
      <c r="F41" s="365"/>
    </row>
    <row r="42" customFormat="false" ht="12.75" hidden="false" customHeight="false" outlineLevel="0" collapsed="false">
      <c r="A42" s="364" t="n">
        <v>46227</v>
      </c>
      <c r="B42" s="347" t="n">
        <v>46227</v>
      </c>
      <c r="E42" s="349" t="n">
        <v>200</v>
      </c>
      <c r="F42" s="365"/>
    </row>
    <row r="43" customFormat="false" ht="12.75" hidden="false" customHeight="false" outlineLevel="0" collapsed="false">
      <c r="A43" s="364" t="n">
        <v>46228</v>
      </c>
      <c r="B43" s="347" t="n">
        <v>46228</v>
      </c>
      <c r="E43" s="349" t="n">
        <v>200</v>
      </c>
      <c r="F43" s="365"/>
    </row>
    <row r="44" customFormat="false" ht="12.75" hidden="false" customHeight="false" outlineLevel="0" collapsed="false">
      <c r="A44" s="364" t="n">
        <v>46229</v>
      </c>
      <c r="B44" s="347" t="n">
        <v>46229</v>
      </c>
      <c r="F44" s="365"/>
    </row>
    <row r="45" customFormat="false" ht="12.75" hidden="false" customHeight="false" outlineLevel="0" collapsed="false">
      <c r="A45" s="364" t="n">
        <v>46229</v>
      </c>
      <c r="B45" s="347" t="s">
        <v>241</v>
      </c>
      <c r="F45" s="365"/>
    </row>
    <row r="46" customFormat="false" ht="12.75" hidden="false" customHeight="false" outlineLevel="0" collapsed="false">
      <c r="A46" s="364" t="n">
        <v>46229</v>
      </c>
      <c r="B46" s="347" t="s">
        <v>242</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244</v>
      </c>
      <c r="C2" s="380" t="s">
        <v>245</v>
      </c>
      <c r="D2" s="380" t="s">
        <v>246</v>
      </c>
      <c r="E2" s="380" t="s">
        <v>247</v>
      </c>
      <c r="F2" s="207" t="s">
        <v>248</v>
      </c>
      <c r="G2" s="381" t="s">
        <v>249</v>
      </c>
      <c r="H2" s="381"/>
      <c r="I2" s="382" t="n">
        <f aca="false">G1+H1+I1+J1+PurchasesJun!I2</f>
        <v>2580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IF((E1&lt;&gt;0),Admin!$B$8,"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IF((A1&lt;Admin!$F$22),((A1-PurchasesJun!A1)*Admin!$G$21),(A1*Admin!$G$21-(A1-Admin!$F$21)*(Admin!$G$21-Admin!$G$22)-PurchasesJun!A2))</f>
        <v>0</v>
      </c>
    </row>
    <row r="5" s="373" customFormat="true" ht="12.75" hidden="false" customHeight="false" outlineLevel="0" collapsed="false">
      <c r="A5" s="372" t="n">
        <v>45853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45848</v>
      </c>
      <c r="B6" s="396"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46230</v>
      </c>
      <c r="B5" s="359" t="n">
        <v>46230</v>
      </c>
      <c r="C5" s="360"/>
      <c r="D5" s="361"/>
      <c r="E5" s="362"/>
      <c r="F5" s="363"/>
    </row>
    <row r="6" customFormat="false" ht="12.75" hidden="false" customHeight="false" outlineLevel="0" collapsed="false">
      <c r="A6" s="364" t="n">
        <v>46231</v>
      </c>
      <c r="B6" s="347" t="n">
        <v>46231</v>
      </c>
      <c r="F6" s="365"/>
    </row>
    <row r="7" customFormat="false" ht="12.75" hidden="false" customHeight="false" outlineLevel="0" collapsed="false">
      <c r="A7" s="364" t="n">
        <v>46232</v>
      </c>
      <c r="B7" s="347" t="n">
        <v>46232</v>
      </c>
      <c r="F7" s="365"/>
    </row>
    <row r="8" customFormat="false" ht="12.75" hidden="false" customHeight="false" outlineLevel="0" collapsed="false">
      <c r="A8" s="364" t="n">
        <v>46233</v>
      </c>
      <c r="B8" s="347" t="n">
        <v>46233</v>
      </c>
      <c r="F8" s="365"/>
    </row>
    <row r="9" customFormat="false" ht="12.75" hidden="false" customHeight="false" outlineLevel="0" collapsed="false">
      <c r="A9" s="364" t="n">
        <v>46234</v>
      </c>
      <c r="B9" s="347" t="n">
        <v>46234</v>
      </c>
      <c r="F9" s="365"/>
    </row>
    <row r="10" customFormat="false" ht="12.75" hidden="false" customHeight="false" outlineLevel="0" collapsed="false">
      <c r="A10" s="364" t="n">
        <v>46235</v>
      </c>
      <c r="B10" s="347" t="n">
        <v>46235</v>
      </c>
      <c r="F10" s="365"/>
    </row>
    <row r="11" customFormat="false" ht="12.75" hidden="false" customHeight="false" outlineLevel="0" collapsed="false">
      <c r="A11" s="364" t="n">
        <v>46236</v>
      </c>
      <c r="B11" s="347" t="n">
        <v>46236</v>
      </c>
      <c r="F11" s="365"/>
    </row>
    <row r="12" customFormat="false" ht="12.75" hidden="false" customHeight="false" outlineLevel="0" collapsed="false">
      <c r="A12" s="364" t="n">
        <v>46236</v>
      </c>
      <c r="B12" s="347" t="s">
        <v>241</v>
      </c>
      <c r="F12" s="365"/>
    </row>
    <row r="13" customFormat="false" ht="12.75" hidden="false" customHeight="false" outlineLevel="0" collapsed="false">
      <c r="A13" s="364" t="n">
        <v>46236</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46237</v>
      </c>
      <c r="B16" s="359" t="n">
        <v>46237</v>
      </c>
      <c r="C16" s="360"/>
      <c r="D16" s="361"/>
      <c r="E16" s="362"/>
      <c r="F16" s="363"/>
    </row>
    <row r="17" customFormat="false" ht="12.75" hidden="false" customHeight="false" outlineLevel="0" collapsed="false">
      <c r="A17" s="364" t="n">
        <v>46238</v>
      </c>
      <c r="B17" s="347" t="n">
        <v>46238</v>
      </c>
      <c r="E17" s="349" t="n">
        <v>200</v>
      </c>
      <c r="F17" s="365"/>
    </row>
    <row r="18" customFormat="false" ht="12.75" hidden="false" customHeight="false" outlineLevel="0" collapsed="false">
      <c r="A18" s="364" t="n">
        <v>46239</v>
      </c>
      <c r="B18" s="347" t="n">
        <v>46239</v>
      </c>
      <c r="E18" s="349" t="n">
        <v>200</v>
      </c>
      <c r="F18" s="365"/>
    </row>
    <row r="19" customFormat="false" ht="12.75" hidden="false" customHeight="false" outlineLevel="0" collapsed="false">
      <c r="A19" s="364" t="n">
        <v>46240</v>
      </c>
      <c r="B19" s="347" t="n">
        <v>46240</v>
      </c>
      <c r="E19" s="349" t="n">
        <v>200</v>
      </c>
      <c r="F19" s="365"/>
    </row>
    <row r="20" customFormat="false" ht="12.75" hidden="false" customHeight="false" outlineLevel="0" collapsed="false">
      <c r="A20" s="364" t="n">
        <v>46241</v>
      </c>
      <c r="B20" s="347" t="n">
        <v>46241</v>
      </c>
      <c r="E20" s="349" t="n">
        <v>200</v>
      </c>
      <c r="F20" s="365"/>
    </row>
    <row r="21" customFormat="false" ht="12.75" hidden="false" customHeight="false" outlineLevel="0" collapsed="false">
      <c r="A21" s="364" t="n">
        <v>46242</v>
      </c>
      <c r="B21" s="347" t="n">
        <v>46242</v>
      </c>
      <c r="E21" s="349" t="n">
        <v>200</v>
      </c>
      <c r="F21" s="365"/>
    </row>
    <row r="22" customFormat="false" ht="12.75" hidden="false" customHeight="false" outlineLevel="0" collapsed="false">
      <c r="A22" s="364" t="n">
        <v>46243</v>
      </c>
      <c r="B22" s="347" t="n">
        <v>46243</v>
      </c>
      <c r="F22" s="365"/>
    </row>
    <row r="23" customFormat="false" ht="12.75" hidden="false" customHeight="false" outlineLevel="0" collapsed="false">
      <c r="A23" s="364" t="n">
        <v>46243</v>
      </c>
      <c r="B23" s="347" t="s">
        <v>241</v>
      </c>
      <c r="F23" s="365"/>
    </row>
    <row r="24" customFormat="false" ht="12.75" hidden="false" customHeight="false" outlineLevel="0" collapsed="false">
      <c r="A24" s="364" t="n">
        <v>46243</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46244</v>
      </c>
      <c r="B27" s="359" t="n">
        <v>46244</v>
      </c>
      <c r="C27" s="360"/>
      <c r="D27" s="361"/>
      <c r="E27" s="362"/>
      <c r="F27" s="363"/>
    </row>
    <row r="28" customFormat="false" ht="12.75" hidden="false" customHeight="false" outlineLevel="0" collapsed="false">
      <c r="A28" s="364" t="n">
        <v>46245</v>
      </c>
      <c r="B28" s="347" t="n">
        <v>46245</v>
      </c>
      <c r="E28" s="349" t="n">
        <v>200</v>
      </c>
      <c r="F28" s="365"/>
    </row>
    <row r="29" customFormat="false" ht="12.75" hidden="false" customHeight="false" outlineLevel="0" collapsed="false">
      <c r="A29" s="364" t="n">
        <v>46246</v>
      </c>
      <c r="B29" s="347" t="n">
        <v>46246</v>
      </c>
      <c r="E29" s="349" t="n">
        <v>200</v>
      </c>
      <c r="F29" s="365"/>
    </row>
    <row r="30" customFormat="false" ht="12.75" hidden="false" customHeight="false" outlineLevel="0" collapsed="false">
      <c r="A30" s="364" t="n">
        <v>46247</v>
      </c>
      <c r="B30" s="347" t="n">
        <v>46247</v>
      </c>
      <c r="E30" s="349" t="n">
        <v>200</v>
      </c>
      <c r="F30" s="365"/>
    </row>
    <row r="31" customFormat="false" ht="12.75" hidden="false" customHeight="false" outlineLevel="0" collapsed="false">
      <c r="A31" s="364" t="n">
        <v>46248</v>
      </c>
      <c r="B31" s="347" t="n">
        <v>46248</v>
      </c>
      <c r="E31" s="349" t="n">
        <v>200</v>
      </c>
      <c r="F31" s="365"/>
    </row>
    <row r="32" customFormat="false" ht="12.75" hidden="false" customHeight="false" outlineLevel="0" collapsed="false">
      <c r="A32" s="364" t="n">
        <v>46249</v>
      </c>
      <c r="B32" s="347" t="n">
        <v>46249</v>
      </c>
      <c r="E32" s="349" t="n">
        <v>200</v>
      </c>
      <c r="F32" s="365"/>
    </row>
    <row r="33" customFormat="false" ht="12.75" hidden="false" customHeight="false" outlineLevel="0" collapsed="false">
      <c r="A33" s="364" t="n">
        <v>46250</v>
      </c>
      <c r="B33" s="347" t="n">
        <v>46250</v>
      </c>
      <c r="F33" s="365"/>
    </row>
    <row r="34" customFormat="false" ht="12.75" hidden="false" customHeight="false" outlineLevel="0" collapsed="false">
      <c r="A34" s="364" t="n">
        <v>46250</v>
      </c>
      <c r="B34" s="347" t="s">
        <v>241</v>
      </c>
      <c r="F34" s="365"/>
    </row>
    <row r="35" customFormat="false" ht="12.75" hidden="false" customHeight="false" outlineLevel="0" collapsed="false">
      <c r="A35" s="364" t="n">
        <v>46250</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46251</v>
      </c>
      <c r="B38" s="359" t="n">
        <v>46251</v>
      </c>
      <c r="C38" s="360"/>
      <c r="D38" s="361"/>
      <c r="E38" s="362"/>
      <c r="F38" s="363"/>
    </row>
    <row r="39" customFormat="false" ht="12.75" hidden="false" customHeight="false" outlineLevel="0" collapsed="false">
      <c r="A39" s="364" t="n">
        <v>46252</v>
      </c>
      <c r="B39" s="347" t="n">
        <v>46252</v>
      </c>
      <c r="E39" s="349" t="n">
        <v>200</v>
      </c>
      <c r="F39" s="365"/>
    </row>
    <row r="40" customFormat="false" ht="12.75" hidden="false" customHeight="false" outlineLevel="0" collapsed="false">
      <c r="A40" s="364" t="n">
        <v>46253</v>
      </c>
      <c r="B40" s="347" t="n">
        <v>46253</v>
      </c>
      <c r="E40" s="349" t="n">
        <v>200</v>
      </c>
      <c r="F40" s="365"/>
    </row>
    <row r="41" customFormat="false" ht="12.75" hidden="false" customHeight="false" outlineLevel="0" collapsed="false">
      <c r="A41" s="364" t="n">
        <v>46254</v>
      </c>
      <c r="B41" s="347" t="n">
        <v>46254</v>
      </c>
      <c r="E41" s="349" t="n">
        <v>200</v>
      </c>
      <c r="F41" s="365"/>
    </row>
    <row r="42" customFormat="false" ht="12.75" hidden="false" customHeight="false" outlineLevel="0" collapsed="false">
      <c r="A42" s="364" t="n">
        <v>46255</v>
      </c>
      <c r="B42" s="347" t="n">
        <v>46255</v>
      </c>
      <c r="E42" s="349" t="n">
        <v>200</v>
      </c>
      <c r="F42" s="365"/>
    </row>
    <row r="43" customFormat="false" ht="12.75" hidden="false" customHeight="false" outlineLevel="0" collapsed="false">
      <c r="A43" s="364" t="n">
        <v>46256</v>
      </c>
      <c r="B43" s="347" t="n">
        <v>46256</v>
      </c>
      <c r="E43" s="349" t="n">
        <v>200</v>
      </c>
      <c r="F43" s="365"/>
    </row>
    <row r="44" customFormat="false" ht="12.75" hidden="false" customHeight="false" outlineLevel="0" collapsed="false">
      <c r="A44" s="364" t="n">
        <v>46257</v>
      </c>
      <c r="B44" s="347" t="n">
        <v>46257</v>
      </c>
      <c r="F44" s="365"/>
    </row>
    <row r="45" customFormat="false" ht="12.75" hidden="false" customHeight="false" outlineLevel="0" collapsed="false">
      <c r="A45" s="364" t="n">
        <v>46257</v>
      </c>
      <c r="B45" s="347" t="s">
        <v>241</v>
      </c>
      <c r="F45" s="365"/>
    </row>
    <row r="46" customFormat="false" ht="12.75" hidden="false" customHeight="false" outlineLevel="0" collapsed="false">
      <c r="A46" s="364" t="n">
        <v>46257</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46258</v>
      </c>
      <c r="B49" s="359" t="n">
        <v>46258</v>
      </c>
      <c r="C49" s="360"/>
      <c r="D49" s="361"/>
      <c r="E49" s="362"/>
      <c r="F49" s="363"/>
    </row>
    <row r="50" customFormat="false" ht="12.75" hidden="false" customHeight="false" outlineLevel="0" collapsed="false">
      <c r="A50" s="364" t="n">
        <v>46259</v>
      </c>
      <c r="B50" s="347" t="n">
        <v>46259</v>
      </c>
      <c r="F50" s="365"/>
    </row>
    <row r="51" customFormat="false" ht="12.75" hidden="false" customHeight="false" outlineLevel="0" collapsed="false">
      <c r="A51" s="364" t="n">
        <v>46260</v>
      </c>
      <c r="B51" s="347" t="n">
        <v>46260</v>
      </c>
      <c r="F51" s="365"/>
    </row>
    <row r="52" customFormat="false" ht="12.75" hidden="false" customHeight="false" outlineLevel="0" collapsed="false">
      <c r="A52" s="364" t="n">
        <v>46261</v>
      </c>
      <c r="B52" s="347" t="n">
        <v>46261</v>
      </c>
      <c r="F52" s="365"/>
    </row>
    <row r="53" customFormat="false" ht="12.75" hidden="false" customHeight="false" outlineLevel="0" collapsed="false">
      <c r="A53" s="364" t="n">
        <v>46262</v>
      </c>
      <c r="B53" s="347" t="n">
        <v>46262</v>
      </c>
      <c r="F53" s="365"/>
    </row>
    <row r="54" customFormat="false" ht="12.75" hidden="false" customHeight="false" outlineLevel="0" collapsed="false">
      <c r="A54" s="364" t="n">
        <v>46263</v>
      </c>
      <c r="B54" s="347" t="n">
        <v>46263</v>
      </c>
      <c r="F54" s="365"/>
    </row>
    <row r="55" customFormat="false" ht="12.75" hidden="false" customHeight="false" outlineLevel="0" collapsed="false">
      <c r="A55" s="364" t="n">
        <v>46264</v>
      </c>
      <c r="B55" s="347" t="n">
        <v>46264</v>
      </c>
      <c r="F55" s="365"/>
    </row>
    <row r="56" customFormat="false" ht="12.75" hidden="false" customHeight="false" outlineLevel="0" collapsed="false">
      <c r="A56" s="364" t="n">
        <v>46264</v>
      </c>
      <c r="B56" s="347" t="s">
        <v>241</v>
      </c>
      <c r="F56" s="365"/>
    </row>
    <row r="57" customFormat="false" ht="12.75" hidden="false" customHeight="false" outlineLevel="0" collapsed="false">
      <c r="A57" s="364" t="n">
        <v>46264</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244</v>
      </c>
      <c r="C2" s="380" t="s">
        <v>245</v>
      </c>
      <c r="D2" s="380" t="s">
        <v>246</v>
      </c>
      <c r="E2" s="380" t="s">
        <v>247</v>
      </c>
      <c r="F2" s="207" t="s">
        <v>248</v>
      </c>
      <c r="G2" s="381" t="s">
        <v>249</v>
      </c>
      <c r="H2" s="381"/>
      <c r="I2" s="382" t="n">
        <f aca="false">G1+H1+I1+J1+PurchasesJul!I2</f>
        <v>2880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IF((E1&lt;&gt;0),Admin!$B$9,"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IF((A1&lt;Admin!$F$22),((A1-PurchasesJul!A1)*Admin!$G$21),(A1*Admin!$G$21-(A1-Admin!$F$21)*(Admin!$G$21-Admin!$G$22)-PurchasesJul!A2))</f>
        <v>0</v>
      </c>
    </row>
    <row r="5" s="373" customFormat="true" ht="12.75" hidden="false" customHeight="false" outlineLevel="0" collapsed="false">
      <c r="A5" s="372" t="n">
        <v>45884</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46265</v>
      </c>
      <c r="B5" s="359" t="n">
        <v>46265</v>
      </c>
      <c r="C5" s="360"/>
      <c r="D5" s="361"/>
      <c r="E5" s="362"/>
      <c r="F5" s="363"/>
    </row>
    <row r="6" customFormat="false" ht="12.75" hidden="false" customHeight="false" outlineLevel="0" collapsed="false">
      <c r="A6" s="364" t="n">
        <v>46266</v>
      </c>
      <c r="B6" s="347" t="n">
        <v>46266</v>
      </c>
      <c r="E6" s="349" t="n">
        <v>200</v>
      </c>
      <c r="F6" s="365"/>
    </row>
    <row r="7" customFormat="false" ht="12.75" hidden="false" customHeight="false" outlineLevel="0" collapsed="false">
      <c r="A7" s="364" t="n">
        <v>46267</v>
      </c>
      <c r="B7" s="347" t="n">
        <v>46267</v>
      </c>
      <c r="E7" s="349" t="n">
        <v>200</v>
      </c>
      <c r="F7" s="365"/>
    </row>
    <row r="8" customFormat="false" ht="12.75" hidden="false" customHeight="false" outlineLevel="0" collapsed="false">
      <c r="A8" s="364" t="n">
        <v>46268</v>
      </c>
      <c r="B8" s="347" t="n">
        <v>46268</v>
      </c>
      <c r="E8" s="349" t="n">
        <v>200</v>
      </c>
      <c r="F8" s="365"/>
    </row>
    <row r="9" customFormat="false" ht="12.75" hidden="false" customHeight="false" outlineLevel="0" collapsed="false">
      <c r="A9" s="364" t="n">
        <v>46269</v>
      </c>
      <c r="B9" s="347" t="n">
        <v>46269</v>
      </c>
      <c r="E9" s="349" t="n">
        <v>200</v>
      </c>
      <c r="F9" s="365"/>
    </row>
    <row r="10" customFormat="false" ht="12.75" hidden="false" customHeight="false" outlineLevel="0" collapsed="false">
      <c r="A10" s="364" t="n">
        <v>46270</v>
      </c>
      <c r="B10" s="347" t="n">
        <v>46270</v>
      </c>
      <c r="E10" s="349" t="n">
        <v>200</v>
      </c>
      <c r="F10" s="365"/>
    </row>
    <row r="11" customFormat="false" ht="12.75" hidden="false" customHeight="false" outlineLevel="0" collapsed="false">
      <c r="A11" s="364" t="n">
        <v>46271</v>
      </c>
      <c r="B11" s="347" t="n">
        <v>46271</v>
      </c>
      <c r="F11" s="365"/>
    </row>
    <row r="12" customFormat="false" ht="12.75" hidden="false" customHeight="false" outlineLevel="0" collapsed="false">
      <c r="A12" s="364" t="n">
        <v>46271</v>
      </c>
      <c r="B12" s="347" t="s">
        <v>241</v>
      </c>
      <c r="F12" s="365"/>
    </row>
    <row r="13" customFormat="false" ht="12.75" hidden="false" customHeight="false" outlineLevel="0" collapsed="false">
      <c r="A13" s="364" t="n">
        <v>46271</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46272</v>
      </c>
      <c r="B16" s="359" t="n">
        <v>46272</v>
      </c>
      <c r="C16" s="360"/>
      <c r="D16" s="361"/>
      <c r="E16" s="362"/>
      <c r="F16" s="363"/>
    </row>
    <row r="17" customFormat="false" ht="12.75" hidden="false" customHeight="false" outlineLevel="0" collapsed="false">
      <c r="A17" s="364" t="n">
        <v>46273</v>
      </c>
      <c r="B17" s="347" t="n">
        <v>46273</v>
      </c>
      <c r="E17" s="349" t="n">
        <v>200</v>
      </c>
      <c r="F17" s="365"/>
    </row>
    <row r="18" customFormat="false" ht="12.75" hidden="false" customHeight="false" outlineLevel="0" collapsed="false">
      <c r="A18" s="364" t="n">
        <v>46274</v>
      </c>
      <c r="B18" s="347" t="n">
        <v>46274</v>
      </c>
      <c r="E18" s="349" t="n">
        <v>200</v>
      </c>
      <c r="F18" s="365"/>
    </row>
    <row r="19" customFormat="false" ht="12.75" hidden="false" customHeight="false" outlineLevel="0" collapsed="false">
      <c r="A19" s="364" t="n">
        <v>46275</v>
      </c>
      <c r="B19" s="347" t="n">
        <v>46275</v>
      </c>
      <c r="E19" s="349" t="n">
        <v>200</v>
      </c>
      <c r="F19" s="365"/>
    </row>
    <row r="20" customFormat="false" ht="12.75" hidden="false" customHeight="false" outlineLevel="0" collapsed="false">
      <c r="A20" s="364" t="n">
        <v>46276</v>
      </c>
      <c r="B20" s="347" t="n">
        <v>46276</v>
      </c>
      <c r="E20" s="349" t="n">
        <v>200</v>
      </c>
      <c r="F20" s="365"/>
    </row>
    <row r="21" customFormat="false" ht="12.75" hidden="false" customHeight="false" outlineLevel="0" collapsed="false">
      <c r="A21" s="364" t="n">
        <v>46277</v>
      </c>
      <c r="B21" s="347" t="n">
        <v>46277</v>
      </c>
      <c r="E21" s="349" t="n">
        <v>200</v>
      </c>
      <c r="F21" s="365"/>
    </row>
    <row r="22" customFormat="false" ht="12.75" hidden="false" customHeight="false" outlineLevel="0" collapsed="false">
      <c r="A22" s="364" t="n">
        <v>46278</v>
      </c>
      <c r="B22" s="347" t="n">
        <v>46278</v>
      </c>
      <c r="F22" s="365"/>
    </row>
    <row r="23" customFormat="false" ht="12.75" hidden="false" customHeight="false" outlineLevel="0" collapsed="false">
      <c r="A23" s="364" t="n">
        <v>46278</v>
      </c>
      <c r="B23" s="347" t="s">
        <v>241</v>
      </c>
      <c r="F23" s="365"/>
    </row>
    <row r="24" customFormat="false" ht="12.75" hidden="false" customHeight="false" outlineLevel="0" collapsed="false">
      <c r="A24" s="364" t="n">
        <v>46278</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46279</v>
      </c>
      <c r="B27" s="359" t="n">
        <v>46279</v>
      </c>
      <c r="C27" s="360"/>
      <c r="D27" s="361"/>
      <c r="E27" s="362"/>
      <c r="F27" s="363"/>
    </row>
    <row r="28" customFormat="false" ht="12.75" hidden="false" customHeight="false" outlineLevel="0" collapsed="false">
      <c r="A28" s="364" t="n">
        <v>46280</v>
      </c>
      <c r="B28" s="347" t="n">
        <v>46280</v>
      </c>
      <c r="E28" s="349" t="n">
        <v>200</v>
      </c>
      <c r="F28" s="365"/>
    </row>
    <row r="29" customFormat="false" ht="12.75" hidden="false" customHeight="false" outlineLevel="0" collapsed="false">
      <c r="A29" s="364" t="n">
        <v>46281</v>
      </c>
      <c r="B29" s="347" t="n">
        <v>46281</v>
      </c>
      <c r="E29" s="349" t="n">
        <v>200</v>
      </c>
      <c r="F29" s="365"/>
    </row>
    <row r="30" customFormat="false" ht="12.75" hidden="false" customHeight="false" outlineLevel="0" collapsed="false">
      <c r="A30" s="364" t="n">
        <v>46282</v>
      </c>
      <c r="B30" s="347" t="n">
        <v>46282</v>
      </c>
      <c r="E30" s="349" t="n">
        <v>200</v>
      </c>
      <c r="F30" s="365"/>
    </row>
    <row r="31" customFormat="false" ht="12.75" hidden="false" customHeight="false" outlineLevel="0" collapsed="false">
      <c r="A31" s="364" t="n">
        <v>46283</v>
      </c>
      <c r="B31" s="347" t="n">
        <v>46283</v>
      </c>
      <c r="E31" s="349" t="n">
        <v>200</v>
      </c>
      <c r="F31" s="365"/>
    </row>
    <row r="32" customFormat="false" ht="12.75" hidden="false" customHeight="false" outlineLevel="0" collapsed="false">
      <c r="A32" s="364" t="n">
        <v>46284</v>
      </c>
      <c r="B32" s="347" t="n">
        <v>46284</v>
      </c>
      <c r="E32" s="349" t="n">
        <v>200</v>
      </c>
      <c r="F32" s="365"/>
    </row>
    <row r="33" customFormat="false" ht="12.75" hidden="false" customHeight="false" outlineLevel="0" collapsed="false">
      <c r="A33" s="364" t="n">
        <v>46285</v>
      </c>
      <c r="B33" s="347" t="n">
        <v>46285</v>
      </c>
      <c r="F33" s="365"/>
    </row>
    <row r="34" customFormat="false" ht="12.75" hidden="false" customHeight="false" outlineLevel="0" collapsed="false">
      <c r="A34" s="364" t="n">
        <v>46285</v>
      </c>
      <c r="B34" s="347" t="s">
        <v>241</v>
      </c>
      <c r="F34" s="365"/>
    </row>
    <row r="35" customFormat="false" ht="12.75" hidden="false" customHeight="false" outlineLevel="0" collapsed="false">
      <c r="A35" s="364" t="n">
        <v>46285</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46286</v>
      </c>
      <c r="B38" s="359" t="n">
        <v>46286</v>
      </c>
      <c r="C38" s="360"/>
      <c r="D38" s="361"/>
      <c r="E38" s="362"/>
      <c r="F38" s="363"/>
    </row>
    <row r="39" customFormat="false" ht="12.75" hidden="false" customHeight="false" outlineLevel="0" collapsed="false">
      <c r="A39" s="364" t="n">
        <v>46287</v>
      </c>
      <c r="B39" s="347" t="n">
        <v>46287</v>
      </c>
      <c r="F39" s="365"/>
    </row>
    <row r="40" customFormat="false" ht="12.75" hidden="false" customHeight="false" outlineLevel="0" collapsed="false">
      <c r="A40" s="364" t="n">
        <v>46288</v>
      </c>
      <c r="B40" s="347" t="n">
        <v>46288</v>
      </c>
      <c r="F40" s="365"/>
    </row>
    <row r="41" customFormat="false" ht="12.75" hidden="false" customHeight="false" outlineLevel="0" collapsed="false">
      <c r="A41" s="364" t="n">
        <v>46289</v>
      </c>
      <c r="B41" s="347" t="n">
        <v>46289</v>
      </c>
      <c r="F41" s="365"/>
    </row>
    <row r="42" customFormat="false" ht="12.75" hidden="false" customHeight="false" outlineLevel="0" collapsed="false">
      <c r="A42" s="364" t="n">
        <v>46290</v>
      </c>
      <c r="B42" s="347" t="n">
        <v>46290</v>
      </c>
      <c r="F42" s="365"/>
    </row>
    <row r="43" customFormat="false" ht="12.75" hidden="false" customHeight="false" outlineLevel="0" collapsed="false">
      <c r="A43" s="364" t="n">
        <v>46291</v>
      </c>
      <c r="B43" s="347" t="n">
        <v>46291</v>
      </c>
      <c r="F43" s="365"/>
    </row>
    <row r="44" customFormat="false" ht="12.75" hidden="false" customHeight="false" outlineLevel="0" collapsed="false">
      <c r="A44" s="364" t="n">
        <v>46292</v>
      </c>
      <c r="B44" s="347" t="n">
        <v>46292</v>
      </c>
      <c r="F44" s="365"/>
    </row>
    <row r="45" customFormat="false" ht="12.75" hidden="false" customHeight="false" outlineLevel="0" collapsed="false">
      <c r="A45" s="364" t="n">
        <v>46292</v>
      </c>
      <c r="B45" s="347" t="s">
        <v>241</v>
      </c>
      <c r="F45" s="365"/>
    </row>
    <row r="46" customFormat="false" ht="12.75" hidden="false" customHeight="false" outlineLevel="0" collapsed="false">
      <c r="A46" s="364" t="n">
        <v>46292</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244</v>
      </c>
      <c r="C2" s="380" t="s">
        <v>245</v>
      </c>
      <c r="D2" s="380" t="s">
        <v>246</v>
      </c>
      <c r="E2" s="380" t="s">
        <v>247</v>
      </c>
      <c r="F2" s="207" t="s">
        <v>248</v>
      </c>
      <c r="G2" s="381" t="s">
        <v>249</v>
      </c>
      <c r="H2" s="381"/>
      <c r="I2" s="382" t="n">
        <f aca="false">G1+H1+I1+J1+PurchasesAug!I2</f>
        <v>3180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IF((E1&lt;&gt;0),Admin!$B$10,"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IF((A1&lt;Admin!$F$22),((A1-PurchasesAug!A1)*Admin!$G$21),(A1*Admin!$G$21-(A1-Admin!$F$21)*(Admin!$G$21-Admin!$G$22)-PurchasesAug!A2))</f>
        <v>0</v>
      </c>
    </row>
    <row r="5" s="373" customFormat="true" ht="12.75" hidden="false" customHeight="false" outlineLevel="0" collapsed="false">
      <c r="A5" s="372" t="n">
        <v>45915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46293</v>
      </c>
      <c r="B5" s="359" t="n">
        <v>46293</v>
      </c>
      <c r="C5" s="360"/>
      <c r="D5" s="361"/>
      <c r="E5" s="362"/>
      <c r="F5" s="363"/>
    </row>
    <row r="6" customFormat="false" ht="12.75" hidden="false" customHeight="false" outlineLevel="0" collapsed="false">
      <c r="A6" s="364" t="n">
        <v>46294</v>
      </c>
      <c r="B6" s="347" t="n">
        <v>46294</v>
      </c>
      <c r="F6" s="365"/>
    </row>
    <row r="7" customFormat="false" ht="12.75" hidden="false" customHeight="false" outlineLevel="0" collapsed="false">
      <c r="A7" s="364" t="n">
        <v>46295</v>
      </c>
      <c r="B7" s="347" t="n">
        <v>46295</v>
      </c>
      <c r="F7" s="365"/>
    </row>
    <row r="8" customFormat="false" ht="12.75" hidden="false" customHeight="false" outlineLevel="0" collapsed="false">
      <c r="A8" s="364" t="n">
        <v>46296</v>
      </c>
      <c r="B8" s="347" t="n">
        <v>46296</v>
      </c>
      <c r="F8" s="365"/>
    </row>
    <row r="9" customFormat="false" ht="12.75" hidden="false" customHeight="false" outlineLevel="0" collapsed="false">
      <c r="A9" s="364" t="n">
        <v>46297</v>
      </c>
      <c r="B9" s="347" t="n">
        <v>46297</v>
      </c>
      <c r="F9" s="365"/>
    </row>
    <row r="10" customFormat="false" ht="12.75" hidden="false" customHeight="false" outlineLevel="0" collapsed="false">
      <c r="A10" s="364" t="n">
        <v>46298</v>
      </c>
      <c r="B10" s="347" t="n">
        <v>46298</v>
      </c>
      <c r="F10" s="365"/>
    </row>
    <row r="11" customFormat="false" ht="12.75" hidden="false" customHeight="false" outlineLevel="0" collapsed="false">
      <c r="A11" s="364" t="n">
        <v>46299</v>
      </c>
      <c r="B11" s="347" t="n">
        <v>46299</v>
      </c>
      <c r="F11" s="365"/>
    </row>
    <row r="12" customFormat="false" ht="12.75" hidden="false" customHeight="false" outlineLevel="0" collapsed="false">
      <c r="A12" s="364" t="n">
        <v>46299</v>
      </c>
      <c r="B12" s="347" t="s">
        <v>241</v>
      </c>
      <c r="F12" s="365"/>
    </row>
    <row r="13" customFormat="false" ht="12.75" hidden="false" customHeight="false" outlineLevel="0" collapsed="false">
      <c r="A13" s="364" t="n">
        <v>46299</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46300</v>
      </c>
      <c r="B16" s="359" t="n">
        <v>46300</v>
      </c>
      <c r="C16" s="360"/>
      <c r="D16" s="361"/>
      <c r="E16" s="362"/>
      <c r="F16" s="363"/>
    </row>
    <row r="17" customFormat="false" ht="12.75" hidden="false" customHeight="false" outlineLevel="0" collapsed="false">
      <c r="A17" s="364" t="n">
        <v>46301</v>
      </c>
      <c r="B17" s="347" t="n">
        <v>46301</v>
      </c>
      <c r="E17" s="349" t="n">
        <v>200</v>
      </c>
      <c r="F17" s="365"/>
    </row>
    <row r="18" customFormat="false" ht="12.75" hidden="false" customHeight="false" outlineLevel="0" collapsed="false">
      <c r="A18" s="364" t="n">
        <v>46302</v>
      </c>
      <c r="B18" s="347" t="n">
        <v>46302</v>
      </c>
      <c r="E18" s="349" t="n">
        <v>200</v>
      </c>
      <c r="F18" s="365"/>
    </row>
    <row r="19" customFormat="false" ht="12.75" hidden="false" customHeight="false" outlineLevel="0" collapsed="false">
      <c r="A19" s="364" t="n">
        <v>46303</v>
      </c>
      <c r="B19" s="347" t="n">
        <v>46303</v>
      </c>
      <c r="E19" s="349" t="n">
        <v>200</v>
      </c>
      <c r="F19" s="365"/>
    </row>
    <row r="20" customFormat="false" ht="12.75" hidden="false" customHeight="false" outlineLevel="0" collapsed="false">
      <c r="A20" s="364" t="n">
        <v>46304</v>
      </c>
      <c r="B20" s="347" t="n">
        <v>46304</v>
      </c>
      <c r="E20" s="349" t="n">
        <v>200</v>
      </c>
      <c r="F20" s="365"/>
    </row>
    <row r="21" customFormat="false" ht="12.75" hidden="false" customHeight="false" outlineLevel="0" collapsed="false">
      <c r="A21" s="364" t="n">
        <v>46305</v>
      </c>
      <c r="B21" s="347" t="n">
        <v>46305</v>
      </c>
      <c r="E21" s="349" t="n">
        <v>200</v>
      </c>
      <c r="F21" s="365"/>
    </row>
    <row r="22" customFormat="false" ht="12.75" hidden="false" customHeight="false" outlineLevel="0" collapsed="false">
      <c r="A22" s="364" t="n">
        <v>46306</v>
      </c>
      <c r="B22" s="347" t="n">
        <v>46306</v>
      </c>
      <c r="F22" s="365"/>
    </row>
    <row r="23" customFormat="false" ht="12.75" hidden="false" customHeight="false" outlineLevel="0" collapsed="false">
      <c r="A23" s="364" t="n">
        <v>46306</v>
      </c>
      <c r="B23" s="347" t="s">
        <v>241</v>
      </c>
      <c r="F23" s="365"/>
    </row>
    <row r="24" customFormat="false" ht="12.75" hidden="false" customHeight="false" outlineLevel="0" collapsed="false">
      <c r="A24" s="364" t="n">
        <v>46306</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46307</v>
      </c>
      <c r="B27" s="359" t="n">
        <v>46307</v>
      </c>
      <c r="C27" s="360"/>
      <c r="D27" s="361"/>
      <c r="E27" s="362"/>
      <c r="F27" s="363"/>
    </row>
    <row r="28" customFormat="false" ht="12.75" hidden="false" customHeight="false" outlineLevel="0" collapsed="false">
      <c r="A28" s="364" t="n">
        <v>46308</v>
      </c>
      <c r="B28" s="347" t="n">
        <v>46308</v>
      </c>
      <c r="E28" s="349" t="n">
        <v>200</v>
      </c>
      <c r="F28" s="365"/>
    </row>
    <row r="29" customFormat="false" ht="12.75" hidden="false" customHeight="false" outlineLevel="0" collapsed="false">
      <c r="A29" s="364" t="n">
        <v>46309</v>
      </c>
      <c r="B29" s="347" t="n">
        <v>46309</v>
      </c>
      <c r="E29" s="349" t="n">
        <v>200</v>
      </c>
      <c r="F29" s="365"/>
    </row>
    <row r="30" customFormat="false" ht="12.75" hidden="false" customHeight="false" outlineLevel="0" collapsed="false">
      <c r="A30" s="364" t="n">
        <v>46310</v>
      </c>
      <c r="B30" s="347" t="n">
        <v>46310</v>
      </c>
      <c r="E30" s="349" t="n">
        <v>200</v>
      </c>
      <c r="F30" s="365"/>
    </row>
    <row r="31" customFormat="false" ht="12.75" hidden="false" customHeight="false" outlineLevel="0" collapsed="false">
      <c r="A31" s="364" t="n">
        <v>46311</v>
      </c>
      <c r="B31" s="347" t="n">
        <v>46311</v>
      </c>
      <c r="E31" s="349" t="n">
        <v>200</v>
      </c>
      <c r="F31" s="365"/>
    </row>
    <row r="32" customFormat="false" ht="12.75" hidden="false" customHeight="false" outlineLevel="0" collapsed="false">
      <c r="A32" s="364" t="n">
        <v>46312</v>
      </c>
      <c r="B32" s="347" t="n">
        <v>46312</v>
      </c>
      <c r="E32" s="349" t="n">
        <v>200</v>
      </c>
      <c r="F32" s="365"/>
    </row>
    <row r="33" customFormat="false" ht="12.75" hidden="false" customHeight="false" outlineLevel="0" collapsed="false">
      <c r="A33" s="364" t="n">
        <v>46313</v>
      </c>
      <c r="B33" s="347" t="n">
        <v>46313</v>
      </c>
      <c r="F33" s="365"/>
    </row>
    <row r="34" customFormat="false" ht="12.75" hidden="false" customHeight="false" outlineLevel="0" collapsed="false">
      <c r="A34" s="364" t="n">
        <v>46313</v>
      </c>
      <c r="B34" s="347" t="s">
        <v>241</v>
      </c>
      <c r="F34" s="365"/>
    </row>
    <row r="35" customFormat="false" ht="12.75" hidden="false" customHeight="false" outlineLevel="0" collapsed="false">
      <c r="A35" s="364" t="n">
        <v>46313</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46314</v>
      </c>
      <c r="B38" s="359" t="n">
        <v>46314</v>
      </c>
      <c r="C38" s="360"/>
      <c r="D38" s="361"/>
      <c r="E38" s="362"/>
      <c r="F38" s="363"/>
    </row>
    <row r="39" customFormat="false" ht="12.75" hidden="false" customHeight="false" outlineLevel="0" collapsed="false">
      <c r="A39" s="364" t="n">
        <v>46315</v>
      </c>
      <c r="B39" s="347" t="n">
        <v>46315</v>
      </c>
      <c r="E39" s="349" t="n">
        <v>200</v>
      </c>
      <c r="F39" s="365"/>
    </row>
    <row r="40" customFormat="false" ht="12.75" hidden="false" customHeight="false" outlineLevel="0" collapsed="false">
      <c r="A40" s="364" t="n">
        <v>46316</v>
      </c>
      <c r="B40" s="347" t="n">
        <v>46316</v>
      </c>
      <c r="E40" s="349" t="n">
        <v>200</v>
      </c>
      <c r="F40" s="365"/>
    </row>
    <row r="41" customFormat="false" ht="12.75" hidden="false" customHeight="false" outlineLevel="0" collapsed="false">
      <c r="A41" s="364" t="n">
        <v>46317</v>
      </c>
      <c r="B41" s="347" t="n">
        <v>46317</v>
      </c>
      <c r="E41" s="349" t="n">
        <v>200</v>
      </c>
      <c r="F41" s="365"/>
    </row>
    <row r="42" customFormat="false" ht="12.75" hidden="false" customHeight="false" outlineLevel="0" collapsed="false">
      <c r="A42" s="364" t="n">
        <v>46318</v>
      </c>
      <c r="B42" s="347" t="n">
        <v>46318</v>
      </c>
      <c r="E42" s="349" t="n">
        <v>200</v>
      </c>
      <c r="F42" s="365"/>
    </row>
    <row r="43" customFormat="false" ht="12.75" hidden="false" customHeight="false" outlineLevel="0" collapsed="false">
      <c r="A43" s="364" t="n">
        <v>46319</v>
      </c>
      <c r="B43" s="347" t="n">
        <v>46319</v>
      </c>
      <c r="E43" s="349" t="n">
        <v>200</v>
      </c>
      <c r="F43" s="365"/>
    </row>
    <row r="44" customFormat="false" ht="12.75" hidden="false" customHeight="false" outlineLevel="0" collapsed="false">
      <c r="A44" s="364" t="n">
        <v>46320</v>
      </c>
      <c r="B44" s="347" t="n">
        <v>46320</v>
      </c>
      <c r="F44" s="365"/>
    </row>
    <row r="45" customFormat="false" ht="12.75" hidden="false" customHeight="false" outlineLevel="0" collapsed="false">
      <c r="A45" s="364" t="n">
        <v>46320</v>
      </c>
      <c r="B45" s="347" t="s">
        <v>241</v>
      </c>
      <c r="F45" s="365"/>
    </row>
    <row r="46" customFormat="false" ht="12.75" hidden="false" customHeight="false" outlineLevel="0" collapsed="false">
      <c r="A46" s="364" t="n">
        <v>46320</v>
      </c>
      <c r="B46" s="347" t="s">
        <v>242</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244</v>
      </c>
      <c r="C2" s="380" t="s">
        <v>245</v>
      </c>
      <c r="D2" s="380" t="s">
        <v>246</v>
      </c>
      <c r="E2" s="380" t="s">
        <v>247</v>
      </c>
      <c r="F2" s="207" t="s">
        <v>248</v>
      </c>
      <c r="G2" s="381" t="s">
        <v>249</v>
      </c>
      <c r="H2" s="381"/>
      <c r="I2" s="382" t="n">
        <f aca="false">G1+H1+I1+J1+PurchasesSep!I2</f>
        <v>3480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IF((E1&lt;&gt;0),Admin!$B$11,"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IF((A1&lt;Admin!$F$22),((A1-PurchasesSep!A1)*Admin!$G$21),(A1*Admin!$G$21-(A1-Admin!$F$21)*(Admin!$G$21-Admin!$G$22)-PurchasesSep!A2))</f>
        <v>0</v>
      </c>
    </row>
    <row r="5" s="373" customFormat="true" ht="12.75" hidden="false" customHeight="false" outlineLevel="0" collapsed="false">
      <c r="A5" s="372" t="n">
        <v>45945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45940</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46321</v>
      </c>
      <c r="B5" s="359" t="n">
        <v>46321</v>
      </c>
      <c r="C5" s="360"/>
      <c r="D5" s="361"/>
      <c r="E5" s="362"/>
      <c r="F5" s="363"/>
    </row>
    <row r="6" customFormat="false" ht="12.75" hidden="false" customHeight="false" outlineLevel="0" collapsed="false">
      <c r="A6" s="364" t="n">
        <v>46322</v>
      </c>
      <c r="B6" s="347" t="n">
        <v>46322</v>
      </c>
      <c r="F6" s="365"/>
    </row>
    <row r="7" customFormat="false" ht="12.75" hidden="false" customHeight="false" outlineLevel="0" collapsed="false">
      <c r="A7" s="364" t="n">
        <v>46323</v>
      </c>
      <c r="B7" s="347" t="n">
        <v>46323</v>
      </c>
      <c r="F7" s="365"/>
    </row>
    <row r="8" customFormat="false" ht="12.75" hidden="false" customHeight="false" outlineLevel="0" collapsed="false">
      <c r="A8" s="364" t="n">
        <v>46324</v>
      </c>
      <c r="B8" s="347" t="n">
        <v>46324</v>
      </c>
      <c r="F8" s="365"/>
    </row>
    <row r="9" customFormat="false" ht="12.75" hidden="false" customHeight="false" outlineLevel="0" collapsed="false">
      <c r="A9" s="364" t="n">
        <v>46325</v>
      </c>
      <c r="B9" s="347" t="n">
        <v>46325</v>
      </c>
      <c r="F9" s="365"/>
    </row>
    <row r="10" customFormat="false" ht="12.75" hidden="false" customHeight="false" outlineLevel="0" collapsed="false">
      <c r="A10" s="364" t="n">
        <v>46326</v>
      </c>
      <c r="B10" s="347" t="n">
        <v>46326</v>
      </c>
      <c r="F10" s="365"/>
    </row>
    <row r="11" customFormat="false" ht="12.75" hidden="false" customHeight="false" outlineLevel="0" collapsed="false">
      <c r="A11" s="364" t="n">
        <v>46327</v>
      </c>
      <c r="B11" s="347" t="n">
        <v>46327</v>
      </c>
      <c r="F11" s="365"/>
    </row>
    <row r="12" customFormat="false" ht="12.75" hidden="false" customHeight="false" outlineLevel="0" collapsed="false">
      <c r="A12" s="364" t="n">
        <v>46327</v>
      </c>
      <c r="B12" s="347" t="s">
        <v>241</v>
      </c>
      <c r="F12" s="365"/>
    </row>
    <row r="13" customFormat="false" ht="12.75" hidden="false" customHeight="false" outlineLevel="0" collapsed="false">
      <c r="A13" s="364" t="n">
        <v>46327</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46328</v>
      </c>
      <c r="B16" s="359" t="n">
        <v>46328</v>
      </c>
      <c r="C16" s="360"/>
      <c r="D16" s="361"/>
      <c r="E16" s="362"/>
      <c r="F16" s="363"/>
    </row>
    <row r="17" customFormat="false" ht="12.75" hidden="false" customHeight="false" outlineLevel="0" collapsed="false">
      <c r="A17" s="364" t="n">
        <v>46329</v>
      </c>
      <c r="B17" s="347" t="n">
        <v>46329</v>
      </c>
      <c r="E17" s="349" t="n">
        <v>200</v>
      </c>
      <c r="F17" s="365"/>
    </row>
    <row r="18" customFormat="false" ht="12.75" hidden="false" customHeight="false" outlineLevel="0" collapsed="false">
      <c r="A18" s="364" t="n">
        <v>46330</v>
      </c>
      <c r="B18" s="347" t="n">
        <v>46330</v>
      </c>
      <c r="E18" s="349" t="n">
        <v>200</v>
      </c>
      <c r="F18" s="365"/>
    </row>
    <row r="19" customFormat="false" ht="12.75" hidden="false" customHeight="false" outlineLevel="0" collapsed="false">
      <c r="A19" s="364" t="n">
        <v>46331</v>
      </c>
      <c r="B19" s="347" t="n">
        <v>46331</v>
      </c>
      <c r="E19" s="349" t="n">
        <v>200</v>
      </c>
      <c r="F19" s="365"/>
    </row>
    <row r="20" customFormat="false" ht="12.75" hidden="false" customHeight="false" outlineLevel="0" collapsed="false">
      <c r="A20" s="364" t="n">
        <v>46332</v>
      </c>
      <c r="B20" s="347" t="n">
        <v>46332</v>
      </c>
      <c r="E20" s="349" t="n">
        <v>200</v>
      </c>
      <c r="F20" s="365"/>
    </row>
    <row r="21" customFormat="false" ht="12.75" hidden="false" customHeight="false" outlineLevel="0" collapsed="false">
      <c r="A21" s="364" t="n">
        <v>46333</v>
      </c>
      <c r="B21" s="347" t="n">
        <v>46333</v>
      </c>
      <c r="E21" s="349" t="n">
        <v>200</v>
      </c>
      <c r="F21" s="365"/>
    </row>
    <row r="22" customFormat="false" ht="12.75" hidden="false" customHeight="false" outlineLevel="0" collapsed="false">
      <c r="A22" s="364" t="n">
        <v>46334</v>
      </c>
      <c r="B22" s="347" t="n">
        <v>46334</v>
      </c>
      <c r="F22" s="365"/>
    </row>
    <row r="23" customFormat="false" ht="12.75" hidden="false" customHeight="false" outlineLevel="0" collapsed="false">
      <c r="A23" s="364" t="n">
        <v>46334</v>
      </c>
      <c r="B23" s="347" t="s">
        <v>241</v>
      </c>
      <c r="F23" s="365"/>
    </row>
    <row r="24" customFormat="false" ht="12.75" hidden="false" customHeight="false" outlineLevel="0" collapsed="false">
      <c r="A24" s="364" t="n">
        <v>46334</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46335</v>
      </c>
      <c r="B27" s="359" t="n">
        <v>46335</v>
      </c>
      <c r="C27" s="360"/>
      <c r="D27" s="361"/>
      <c r="E27" s="362"/>
      <c r="F27" s="363"/>
    </row>
    <row r="28" customFormat="false" ht="12.75" hidden="false" customHeight="false" outlineLevel="0" collapsed="false">
      <c r="A28" s="364" t="n">
        <v>46336</v>
      </c>
      <c r="B28" s="347" t="n">
        <v>46336</v>
      </c>
      <c r="E28" s="349" t="n">
        <v>200</v>
      </c>
      <c r="F28" s="365"/>
    </row>
    <row r="29" customFormat="false" ht="12.75" hidden="false" customHeight="false" outlineLevel="0" collapsed="false">
      <c r="A29" s="364" t="n">
        <v>46337</v>
      </c>
      <c r="B29" s="347" t="n">
        <v>46337</v>
      </c>
      <c r="E29" s="349" t="n">
        <v>200</v>
      </c>
      <c r="F29" s="365"/>
    </row>
    <row r="30" customFormat="false" ht="12.75" hidden="false" customHeight="false" outlineLevel="0" collapsed="false">
      <c r="A30" s="364" t="n">
        <v>46338</v>
      </c>
      <c r="B30" s="347" t="n">
        <v>46338</v>
      </c>
      <c r="E30" s="349" t="n">
        <v>200</v>
      </c>
      <c r="F30" s="365"/>
    </row>
    <row r="31" customFormat="false" ht="12.75" hidden="false" customHeight="false" outlineLevel="0" collapsed="false">
      <c r="A31" s="364" t="n">
        <v>46339</v>
      </c>
      <c r="B31" s="347" t="n">
        <v>46339</v>
      </c>
      <c r="E31" s="349" t="n">
        <v>200</v>
      </c>
      <c r="F31" s="365"/>
    </row>
    <row r="32" customFormat="false" ht="12.75" hidden="false" customHeight="false" outlineLevel="0" collapsed="false">
      <c r="A32" s="364" t="n">
        <v>46340</v>
      </c>
      <c r="B32" s="347" t="n">
        <v>46340</v>
      </c>
      <c r="E32" s="349" t="n">
        <v>200</v>
      </c>
      <c r="F32" s="365"/>
    </row>
    <row r="33" customFormat="false" ht="12.75" hidden="false" customHeight="false" outlineLevel="0" collapsed="false">
      <c r="A33" s="364" t="n">
        <v>46341</v>
      </c>
      <c r="B33" s="347" t="n">
        <v>46341</v>
      </c>
      <c r="F33" s="365"/>
    </row>
    <row r="34" customFormat="false" ht="12.75" hidden="false" customHeight="false" outlineLevel="0" collapsed="false">
      <c r="A34" s="364" t="n">
        <v>46341</v>
      </c>
      <c r="B34" s="347" t="s">
        <v>241</v>
      </c>
      <c r="F34" s="365"/>
    </row>
    <row r="35" customFormat="false" ht="12.75" hidden="false" customHeight="false" outlineLevel="0" collapsed="false">
      <c r="A35" s="364" t="n">
        <v>46341</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46342</v>
      </c>
      <c r="B38" s="359" t="n">
        <v>46342</v>
      </c>
      <c r="C38" s="360"/>
      <c r="D38" s="361"/>
      <c r="E38" s="362"/>
      <c r="F38" s="363"/>
    </row>
    <row r="39" customFormat="false" ht="12.75" hidden="false" customHeight="false" outlineLevel="0" collapsed="false">
      <c r="A39" s="364" t="n">
        <v>46343</v>
      </c>
      <c r="B39" s="347" t="n">
        <v>46343</v>
      </c>
      <c r="E39" s="349" t="n">
        <v>200</v>
      </c>
      <c r="F39" s="365"/>
    </row>
    <row r="40" customFormat="false" ht="12.75" hidden="false" customHeight="false" outlineLevel="0" collapsed="false">
      <c r="A40" s="364" t="n">
        <v>46344</v>
      </c>
      <c r="B40" s="347" t="n">
        <v>46344</v>
      </c>
      <c r="E40" s="349" t="n">
        <v>200</v>
      </c>
      <c r="F40" s="365"/>
    </row>
    <row r="41" customFormat="false" ht="12.75" hidden="false" customHeight="false" outlineLevel="0" collapsed="false">
      <c r="A41" s="364" t="n">
        <v>46345</v>
      </c>
      <c r="B41" s="347" t="n">
        <v>46345</v>
      </c>
      <c r="E41" s="349" t="n">
        <v>200</v>
      </c>
      <c r="F41" s="365"/>
    </row>
    <row r="42" customFormat="false" ht="12.75" hidden="false" customHeight="false" outlineLevel="0" collapsed="false">
      <c r="A42" s="364" t="n">
        <v>46346</v>
      </c>
      <c r="B42" s="347" t="n">
        <v>46346</v>
      </c>
      <c r="E42" s="349" t="n">
        <v>200</v>
      </c>
      <c r="F42" s="365"/>
    </row>
    <row r="43" customFormat="false" ht="12.75" hidden="false" customHeight="false" outlineLevel="0" collapsed="false">
      <c r="A43" s="364" t="n">
        <v>46347</v>
      </c>
      <c r="B43" s="347" t="n">
        <v>46347</v>
      </c>
      <c r="E43" s="349" t="n">
        <v>200</v>
      </c>
      <c r="F43" s="365"/>
    </row>
    <row r="44" customFormat="false" ht="12.75" hidden="false" customHeight="false" outlineLevel="0" collapsed="false">
      <c r="A44" s="364" t="n">
        <v>46348</v>
      </c>
      <c r="B44" s="347" t="n">
        <v>46348</v>
      </c>
      <c r="F44" s="365"/>
    </row>
    <row r="45" customFormat="false" ht="12.75" hidden="false" customHeight="false" outlineLevel="0" collapsed="false">
      <c r="A45" s="364" t="n">
        <v>46348</v>
      </c>
      <c r="B45" s="347" t="s">
        <v>241</v>
      </c>
      <c r="F45" s="365"/>
    </row>
    <row r="46" customFormat="false" ht="12.75" hidden="false" customHeight="false" outlineLevel="0" collapsed="false">
      <c r="A46" s="364" t="n">
        <v>46348</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46349</v>
      </c>
      <c r="B49" s="359" t="n">
        <v>46349</v>
      </c>
      <c r="C49" s="360"/>
      <c r="D49" s="361"/>
      <c r="E49" s="362"/>
      <c r="F49" s="363"/>
    </row>
    <row r="50" customFormat="false" ht="12.75" hidden="false" customHeight="false" outlineLevel="0" collapsed="false">
      <c r="A50" s="364" t="n">
        <v>46350</v>
      </c>
      <c r="B50" s="347" t="n">
        <v>46350</v>
      </c>
      <c r="F50" s="365"/>
    </row>
    <row r="51" customFormat="false" ht="12.75" hidden="false" customHeight="false" outlineLevel="0" collapsed="false">
      <c r="A51" s="364" t="n">
        <v>46351</v>
      </c>
      <c r="B51" s="347" t="n">
        <v>46351</v>
      </c>
      <c r="F51" s="365"/>
    </row>
    <row r="52" customFormat="false" ht="12.75" hidden="false" customHeight="false" outlineLevel="0" collapsed="false">
      <c r="A52" s="364" t="n">
        <v>46352</v>
      </c>
      <c r="B52" s="347" t="n">
        <v>46352</v>
      </c>
      <c r="F52" s="365"/>
    </row>
    <row r="53" customFormat="false" ht="12.75" hidden="false" customHeight="false" outlineLevel="0" collapsed="false">
      <c r="A53" s="364" t="n">
        <v>46353</v>
      </c>
      <c r="B53" s="347" t="n">
        <v>46353</v>
      </c>
      <c r="F53" s="365"/>
    </row>
    <row r="54" customFormat="false" ht="12.75" hidden="false" customHeight="false" outlineLevel="0" collapsed="false">
      <c r="A54" s="364" t="n">
        <v>46354</v>
      </c>
      <c r="B54" s="347" t="n">
        <v>46354</v>
      </c>
      <c r="F54" s="365"/>
    </row>
    <row r="55" customFormat="false" ht="12.75" hidden="false" customHeight="false" outlineLevel="0" collapsed="false">
      <c r="A55" s="364" t="n">
        <v>46355</v>
      </c>
      <c r="B55" s="347" t="n">
        <v>46355</v>
      </c>
      <c r="F55" s="365"/>
    </row>
    <row r="56" customFormat="false" ht="12.75" hidden="false" customHeight="false" outlineLevel="0" collapsed="false">
      <c r="A56" s="364" t="n">
        <v>46355</v>
      </c>
      <c r="B56" s="347" t="s">
        <v>241</v>
      </c>
      <c r="F56" s="365"/>
    </row>
    <row r="57" customFormat="false" ht="12.75" hidden="false" customHeight="false" outlineLevel="0" collapsed="false">
      <c r="A57" s="364" t="n">
        <v>46355</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244</v>
      </c>
      <c r="C2" s="380" t="s">
        <v>245</v>
      </c>
      <c r="D2" s="380" t="s">
        <v>246</v>
      </c>
      <c r="E2" s="380" t="s">
        <v>247</v>
      </c>
      <c r="F2" s="207" t="s">
        <v>248</v>
      </c>
      <c r="G2" s="381" t="s">
        <v>249</v>
      </c>
      <c r="H2" s="381"/>
      <c r="I2" s="382" t="n">
        <f aca="false">G1+H1+I1+J1+PurchasesOct!I2</f>
        <v>3780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IF((E1&lt;&gt;0),Admin!$B$12,"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IF((A1&lt;Admin!$F$22),((A1-PurchasesOct!A1)*Admin!$G$21),(A1*Admin!$G$21-(A1-Admin!$F$21)*(Admin!$G$21-Admin!$G$22)-PurchasesOct!A2))</f>
        <v>0</v>
      </c>
    </row>
    <row r="5" s="373" customFormat="true" ht="12.75" hidden="false" customHeight="false" outlineLevel="0" collapsed="false">
      <c r="A5" s="372" t="n">
        <v>45976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82"/>
    <col collapsed="false" customWidth="true" hidden="false" outlineLevel="0" max="2" min="2" style="347" width="14.66"/>
    <col collapsed="false" customWidth="true" hidden="false" outlineLevel="0" max="3" min="3" style="181" width="13.66"/>
    <col collapsed="false" customWidth="true" hidden="false" outlineLevel="0" max="4" min="4" style="348" width="13.66"/>
    <col collapsed="false" customWidth="true" hidden="false" outlineLevel="0" max="5" min="5" style="349" width="13.66"/>
    <col collapsed="false" customWidth="true" hidden="false" outlineLevel="0" max="6" min="6" style="181" width="13.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46356</v>
      </c>
      <c r="B5" s="359" t="n">
        <v>46356</v>
      </c>
      <c r="C5" s="360"/>
      <c r="D5" s="361"/>
      <c r="E5" s="362"/>
      <c r="F5" s="363"/>
    </row>
    <row r="6" customFormat="false" ht="12.75" hidden="false" customHeight="false" outlineLevel="0" collapsed="false">
      <c r="A6" s="364" t="n">
        <v>46357</v>
      </c>
      <c r="B6" s="347" t="n">
        <v>46357</v>
      </c>
      <c r="E6" s="349" t="n">
        <v>200</v>
      </c>
      <c r="F6" s="365"/>
    </row>
    <row r="7" customFormat="false" ht="12.75" hidden="false" customHeight="false" outlineLevel="0" collapsed="false">
      <c r="A7" s="364" t="n">
        <v>46358</v>
      </c>
      <c r="B7" s="347" t="n">
        <v>46358</v>
      </c>
      <c r="E7" s="349" t="n">
        <v>200</v>
      </c>
      <c r="F7" s="365"/>
    </row>
    <row r="8" customFormat="false" ht="12.75" hidden="false" customHeight="false" outlineLevel="0" collapsed="false">
      <c r="A8" s="364" t="n">
        <v>46359</v>
      </c>
      <c r="B8" s="347" t="n">
        <v>46359</v>
      </c>
      <c r="E8" s="349" t="n">
        <v>200</v>
      </c>
      <c r="F8" s="365"/>
    </row>
    <row r="9" customFormat="false" ht="12.75" hidden="false" customHeight="false" outlineLevel="0" collapsed="false">
      <c r="A9" s="364" t="n">
        <v>46360</v>
      </c>
      <c r="B9" s="347" t="n">
        <v>46360</v>
      </c>
      <c r="E9" s="349" t="n">
        <v>200</v>
      </c>
      <c r="F9" s="365"/>
    </row>
    <row r="10" customFormat="false" ht="12.75" hidden="false" customHeight="false" outlineLevel="0" collapsed="false">
      <c r="A10" s="364" t="n">
        <v>46361</v>
      </c>
      <c r="B10" s="347" t="n">
        <v>46361</v>
      </c>
      <c r="E10" s="349" t="n">
        <v>200</v>
      </c>
      <c r="F10" s="365"/>
    </row>
    <row r="11" customFormat="false" ht="12.75" hidden="false" customHeight="false" outlineLevel="0" collapsed="false">
      <c r="A11" s="364" t="n">
        <v>46362</v>
      </c>
      <c r="B11" s="347" t="n">
        <v>46362</v>
      </c>
      <c r="F11" s="365"/>
    </row>
    <row r="12" customFormat="false" ht="12.75" hidden="false" customHeight="false" outlineLevel="0" collapsed="false">
      <c r="A12" s="364" t="n">
        <v>46362</v>
      </c>
      <c r="B12" s="347" t="s">
        <v>241</v>
      </c>
      <c r="F12" s="365"/>
    </row>
    <row r="13" customFormat="false" ht="12.75" hidden="false" customHeight="false" outlineLevel="0" collapsed="false">
      <c r="A13" s="364" t="n">
        <v>46362</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46363</v>
      </c>
      <c r="B16" s="359" t="n">
        <v>46363</v>
      </c>
      <c r="C16" s="360"/>
      <c r="D16" s="361"/>
      <c r="E16" s="362"/>
      <c r="F16" s="363"/>
    </row>
    <row r="17" customFormat="false" ht="12.75" hidden="false" customHeight="false" outlineLevel="0" collapsed="false">
      <c r="A17" s="364" t="n">
        <v>46364</v>
      </c>
      <c r="B17" s="347" t="n">
        <v>46364</v>
      </c>
      <c r="E17" s="349" t="n">
        <v>200</v>
      </c>
      <c r="F17" s="365"/>
    </row>
    <row r="18" customFormat="false" ht="12.75" hidden="false" customHeight="false" outlineLevel="0" collapsed="false">
      <c r="A18" s="364" t="n">
        <v>46365</v>
      </c>
      <c r="B18" s="347" t="n">
        <v>46365</v>
      </c>
      <c r="E18" s="349" t="n">
        <v>200</v>
      </c>
      <c r="F18" s="365"/>
    </row>
    <row r="19" customFormat="false" ht="12.75" hidden="false" customHeight="false" outlineLevel="0" collapsed="false">
      <c r="A19" s="364" t="n">
        <v>46366</v>
      </c>
      <c r="B19" s="347" t="n">
        <v>46366</v>
      </c>
      <c r="E19" s="349" t="n">
        <v>200</v>
      </c>
      <c r="F19" s="365"/>
    </row>
    <row r="20" customFormat="false" ht="12.75" hidden="false" customHeight="false" outlineLevel="0" collapsed="false">
      <c r="A20" s="364" t="n">
        <v>46367</v>
      </c>
      <c r="B20" s="347" t="n">
        <v>46367</v>
      </c>
      <c r="E20" s="349" t="n">
        <v>200</v>
      </c>
      <c r="F20" s="365"/>
    </row>
    <row r="21" customFormat="false" ht="12.75" hidden="false" customHeight="false" outlineLevel="0" collapsed="false">
      <c r="A21" s="364" t="n">
        <v>46368</v>
      </c>
      <c r="B21" s="347" t="n">
        <v>46368</v>
      </c>
      <c r="E21" s="349" t="n">
        <v>200</v>
      </c>
      <c r="F21" s="365"/>
    </row>
    <row r="22" customFormat="false" ht="12.75" hidden="false" customHeight="false" outlineLevel="0" collapsed="false">
      <c r="A22" s="364" t="n">
        <v>46369</v>
      </c>
      <c r="B22" s="347" t="n">
        <v>46369</v>
      </c>
      <c r="F22" s="365"/>
    </row>
    <row r="23" customFormat="false" ht="12.75" hidden="false" customHeight="false" outlineLevel="0" collapsed="false">
      <c r="A23" s="364" t="n">
        <v>46369</v>
      </c>
      <c r="B23" s="347" t="s">
        <v>241</v>
      </c>
      <c r="F23" s="365"/>
    </row>
    <row r="24" customFormat="false" ht="12.75" hidden="false" customHeight="false" outlineLevel="0" collapsed="false">
      <c r="A24" s="364" t="n">
        <v>46369</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46370</v>
      </c>
      <c r="B27" s="359" t="n">
        <v>46370</v>
      </c>
      <c r="C27" s="360"/>
      <c r="D27" s="361"/>
      <c r="E27" s="362"/>
      <c r="F27" s="363"/>
    </row>
    <row r="28" customFormat="false" ht="12.75" hidden="false" customHeight="false" outlineLevel="0" collapsed="false">
      <c r="A28" s="364" t="n">
        <v>46371</v>
      </c>
      <c r="B28" s="347" t="n">
        <v>46371</v>
      </c>
      <c r="E28" s="349" t="n">
        <v>200</v>
      </c>
      <c r="F28" s="365"/>
    </row>
    <row r="29" customFormat="false" ht="12.75" hidden="false" customHeight="false" outlineLevel="0" collapsed="false">
      <c r="A29" s="364" t="n">
        <v>46372</v>
      </c>
      <c r="B29" s="347" t="n">
        <v>46372</v>
      </c>
      <c r="E29" s="349" t="n">
        <v>200</v>
      </c>
      <c r="F29" s="365"/>
    </row>
    <row r="30" customFormat="false" ht="12.75" hidden="false" customHeight="false" outlineLevel="0" collapsed="false">
      <c r="A30" s="364" t="n">
        <v>46373</v>
      </c>
      <c r="B30" s="347" t="n">
        <v>46373</v>
      </c>
      <c r="E30" s="349" t="n">
        <v>200</v>
      </c>
      <c r="F30" s="365"/>
    </row>
    <row r="31" customFormat="false" ht="12.75" hidden="false" customHeight="false" outlineLevel="0" collapsed="false">
      <c r="A31" s="364" t="n">
        <v>46374</v>
      </c>
      <c r="B31" s="347" t="n">
        <v>46374</v>
      </c>
      <c r="E31" s="349" t="n">
        <v>200</v>
      </c>
      <c r="F31" s="365"/>
    </row>
    <row r="32" customFormat="false" ht="12.75" hidden="false" customHeight="false" outlineLevel="0" collapsed="false">
      <c r="A32" s="364" t="n">
        <v>46375</v>
      </c>
      <c r="B32" s="347" t="n">
        <v>46375</v>
      </c>
      <c r="E32" s="349" t="n">
        <v>200</v>
      </c>
      <c r="F32" s="365"/>
    </row>
    <row r="33" customFormat="false" ht="12.75" hidden="false" customHeight="false" outlineLevel="0" collapsed="false">
      <c r="A33" s="364" t="n">
        <v>46376</v>
      </c>
      <c r="B33" s="347" t="n">
        <v>46376</v>
      </c>
      <c r="F33" s="365"/>
    </row>
    <row r="34" customFormat="false" ht="12.75" hidden="false" customHeight="false" outlineLevel="0" collapsed="false">
      <c r="A34" s="364" t="n">
        <v>46376</v>
      </c>
      <c r="B34" s="347" t="s">
        <v>241</v>
      </c>
      <c r="F34" s="365"/>
    </row>
    <row r="35" customFormat="false" ht="12.75" hidden="false" customHeight="false" outlineLevel="0" collapsed="false">
      <c r="A35" s="364" t="n">
        <v>46376</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46377</v>
      </c>
      <c r="B38" s="359" t="n">
        <v>46377</v>
      </c>
      <c r="C38" s="360"/>
      <c r="D38" s="361"/>
      <c r="E38" s="362"/>
      <c r="F38" s="363"/>
    </row>
    <row r="39" customFormat="false" ht="12.75" hidden="false" customHeight="false" outlineLevel="0" collapsed="false">
      <c r="A39" s="364" t="n">
        <v>46378</v>
      </c>
      <c r="B39" s="347" t="n">
        <v>46378</v>
      </c>
      <c r="F39" s="365"/>
    </row>
    <row r="40" customFormat="false" ht="12.75" hidden="false" customHeight="false" outlineLevel="0" collapsed="false">
      <c r="A40" s="364" t="n">
        <v>46379</v>
      </c>
      <c r="B40" s="347" t="n">
        <v>46379</v>
      </c>
      <c r="F40" s="365"/>
    </row>
    <row r="41" customFormat="false" ht="12.75" hidden="false" customHeight="false" outlineLevel="0" collapsed="false">
      <c r="A41" s="364" t="n">
        <v>46380</v>
      </c>
      <c r="B41" s="347" t="n">
        <v>46380</v>
      </c>
      <c r="F41" s="365"/>
    </row>
    <row r="42" customFormat="false" ht="12.75" hidden="false" customHeight="false" outlineLevel="0" collapsed="false">
      <c r="A42" s="364" t="n">
        <v>46381</v>
      </c>
      <c r="B42" s="347" t="n">
        <v>46381</v>
      </c>
      <c r="F42" s="365"/>
    </row>
    <row r="43" customFormat="false" ht="12.75" hidden="false" customHeight="false" outlineLevel="0" collapsed="false">
      <c r="A43" s="364" t="n">
        <v>46382</v>
      </c>
      <c r="B43" s="347" t="n">
        <v>46382</v>
      </c>
      <c r="F43" s="365"/>
    </row>
    <row r="44" customFormat="false" ht="12.75" hidden="false" customHeight="false" outlineLevel="0" collapsed="false">
      <c r="A44" s="364" t="n">
        <v>46383</v>
      </c>
      <c r="B44" s="347" t="n">
        <v>46383</v>
      </c>
      <c r="F44" s="365"/>
    </row>
    <row r="45" customFormat="false" ht="12.75" hidden="false" customHeight="false" outlineLevel="0" collapsed="false">
      <c r="A45" s="364" t="n">
        <v>46383</v>
      </c>
      <c r="B45" s="347" t="s">
        <v>241</v>
      </c>
      <c r="F45" s="365"/>
    </row>
    <row r="46" customFormat="false" ht="12.75" hidden="false" customHeight="false" outlineLevel="0" collapsed="false">
      <c r="A46" s="364" t="n">
        <v>46383</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244</v>
      </c>
      <c r="C2" s="380" t="s">
        <v>245</v>
      </c>
      <c r="D2" s="380" t="s">
        <v>246</v>
      </c>
      <c r="E2" s="380" t="s">
        <v>247</v>
      </c>
      <c r="F2" s="207" t="s">
        <v>248</v>
      </c>
      <c r="G2" s="381" t="s">
        <v>249</v>
      </c>
      <c r="H2" s="381"/>
      <c r="I2" s="382" t="n">
        <f aca="false">G1+H1+I1+J1+PurchasesNov!I2</f>
        <v>4080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IF((E1&lt;&gt;0),Admin!$B$13,"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IF((A1&lt;Admin!$F$22),((A1-PurchasesNov!A1)*Admin!$G$21),(A1*Admin!$G$21-(A1-Admin!$F$21)*(Admin!$G$21-Admin!$G$22)-PurchasesNov!A2))</f>
        <v>0</v>
      </c>
    </row>
    <row r="5" s="373" customFormat="true" ht="12.75" hidden="false" customHeight="false" outlineLevel="0" collapsed="false">
      <c r="A5" s="372" t="n">
        <v>46006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46384</v>
      </c>
      <c r="B5" s="359" t="n">
        <v>46384</v>
      </c>
      <c r="C5" s="360"/>
      <c r="D5" s="361"/>
      <c r="E5" s="362"/>
      <c r="F5" s="363"/>
    </row>
    <row r="6" customFormat="false" ht="12.75" hidden="false" customHeight="false" outlineLevel="0" collapsed="false">
      <c r="A6" s="364" t="n">
        <v>46385</v>
      </c>
      <c r="B6" s="347" t="n">
        <v>46385</v>
      </c>
      <c r="F6" s="365"/>
    </row>
    <row r="7" customFormat="false" ht="12.75" hidden="false" customHeight="false" outlineLevel="0" collapsed="false">
      <c r="A7" s="364" t="n">
        <v>46386</v>
      </c>
      <c r="B7" s="347" t="n">
        <v>46386</v>
      </c>
      <c r="F7" s="365"/>
    </row>
    <row r="8" customFormat="false" ht="12.75" hidden="false" customHeight="false" outlineLevel="0" collapsed="false">
      <c r="A8" s="364" t="n">
        <v>46387</v>
      </c>
      <c r="B8" s="347" t="n">
        <v>46387</v>
      </c>
      <c r="F8" s="365"/>
    </row>
    <row r="9" customFormat="false" ht="12.75" hidden="false" customHeight="false" outlineLevel="0" collapsed="false">
      <c r="A9" s="364" t="n">
        <v>46388</v>
      </c>
      <c r="B9" s="347" t="n">
        <v>46388</v>
      </c>
      <c r="F9" s="365"/>
    </row>
    <row r="10" customFormat="false" ht="12.75" hidden="false" customHeight="false" outlineLevel="0" collapsed="false">
      <c r="A10" s="364" t="n">
        <v>46389</v>
      </c>
      <c r="B10" s="347" t="n">
        <v>46389</v>
      </c>
      <c r="F10" s="365"/>
    </row>
    <row r="11" customFormat="false" ht="12.75" hidden="false" customHeight="false" outlineLevel="0" collapsed="false">
      <c r="A11" s="364" t="n">
        <v>46390</v>
      </c>
      <c r="B11" s="347" t="n">
        <v>46390</v>
      </c>
      <c r="F11" s="365"/>
    </row>
    <row r="12" customFormat="false" ht="12.75" hidden="false" customHeight="false" outlineLevel="0" collapsed="false">
      <c r="A12" s="364" t="n">
        <v>46390</v>
      </c>
      <c r="B12" s="347" t="s">
        <v>241</v>
      </c>
      <c r="F12" s="365"/>
    </row>
    <row r="13" customFormat="false" ht="12.75" hidden="false" customHeight="false" outlineLevel="0" collapsed="false">
      <c r="A13" s="364" t="n">
        <v>46390</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46391</v>
      </c>
      <c r="B16" s="359" t="n">
        <v>46391</v>
      </c>
      <c r="C16" s="360"/>
      <c r="D16" s="361"/>
      <c r="E16" s="362"/>
      <c r="F16" s="363"/>
    </row>
    <row r="17" customFormat="false" ht="12.75" hidden="false" customHeight="false" outlineLevel="0" collapsed="false">
      <c r="A17" s="364" t="n">
        <v>46392</v>
      </c>
      <c r="B17" s="347" t="n">
        <v>46392</v>
      </c>
      <c r="E17" s="349" t="n">
        <v>200</v>
      </c>
      <c r="F17" s="365"/>
    </row>
    <row r="18" customFormat="false" ht="12.75" hidden="false" customHeight="false" outlineLevel="0" collapsed="false">
      <c r="A18" s="364" t="n">
        <v>46393</v>
      </c>
      <c r="B18" s="347" t="n">
        <v>46393</v>
      </c>
      <c r="E18" s="349" t="n">
        <v>200</v>
      </c>
      <c r="F18" s="365"/>
    </row>
    <row r="19" customFormat="false" ht="12.75" hidden="false" customHeight="false" outlineLevel="0" collapsed="false">
      <c r="A19" s="364" t="n">
        <v>46394</v>
      </c>
      <c r="B19" s="347" t="n">
        <v>46394</v>
      </c>
      <c r="E19" s="349" t="n">
        <v>200</v>
      </c>
      <c r="F19" s="365"/>
    </row>
    <row r="20" customFormat="false" ht="12.75" hidden="false" customHeight="false" outlineLevel="0" collapsed="false">
      <c r="A20" s="364" t="n">
        <v>46395</v>
      </c>
      <c r="B20" s="347" t="n">
        <v>46395</v>
      </c>
      <c r="E20" s="349" t="n">
        <v>200</v>
      </c>
      <c r="F20" s="365"/>
    </row>
    <row r="21" customFormat="false" ht="12.75" hidden="false" customHeight="false" outlineLevel="0" collapsed="false">
      <c r="A21" s="364" t="n">
        <v>46396</v>
      </c>
      <c r="B21" s="347" t="n">
        <v>46396</v>
      </c>
      <c r="E21" s="349" t="n">
        <v>200</v>
      </c>
      <c r="F21" s="365"/>
    </row>
    <row r="22" customFormat="false" ht="12.75" hidden="false" customHeight="false" outlineLevel="0" collapsed="false">
      <c r="A22" s="364" t="n">
        <v>46397</v>
      </c>
      <c r="B22" s="347" t="n">
        <v>46397</v>
      </c>
      <c r="F22" s="365"/>
    </row>
    <row r="23" customFormat="false" ht="12.75" hidden="false" customHeight="false" outlineLevel="0" collapsed="false">
      <c r="A23" s="364" t="n">
        <v>46397</v>
      </c>
      <c r="B23" s="347" t="s">
        <v>241</v>
      </c>
      <c r="F23" s="365"/>
    </row>
    <row r="24" customFormat="false" ht="12.75" hidden="false" customHeight="false" outlineLevel="0" collapsed="false">
      <c r="A24" s="364" t="n">
        <v>46397</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46398</v>
      </c>
      <c r="B27" s="359" t="n">
        <v>46398</v>
      </c>
      <c r="C27" s="360"/>
      <c r="D27" s="361"/>
      <c r="E27" s="362"/>
      <c r="F27" s="363"/>
    </row>
    <row r="28" customFormat="false" ht="12.75" hidden="false" customHeight="false" outlineLevel="0" collapsed="false">
      <c r="A28" s="364" t="n">
        <v>46399</v>
      </c>
      <c r="B28" s="347" t="n">
        <v>46399</v>
      </c>
      <c r="E28" s="349" t="n">
        <v>200</v>
      </c>
      <c r="F28" s="365"/>
    </row>
    <row r="29" customFormat="false" ht="12.75" hidden="false" customHeight="false" outlineLevel="0" collapsed="false">
      <c r="A29" s="364" t="n">
        <v>46400</v>
      </c>
      <c r="B29" s="347" t="n">
        <v>46400</v>
      </c>
      <c r="E29" s="349" t="n">
        <v>200</v>
      </c>
      <c r="F29" s="365"/>
    </row>
    <row r="30" customFormat="false" ht="12.75" hidden="false" customHeight="false" outlineLevel="0" collapsed="false">
      <c r="A30" s="364" t="n">
        <v>46401</v>
      </c>
      <c r="B30" s="347" t="n">
        <v>46401</v>
      </c>
      <c r="E30" s="349" t="n">
        <v>200</v>
      </c>
      <c r="F30" s="365"/>
    </row>
    <row r="31" customFormat="false" ht="12.75" hidden="false" customHeight="false" outlineLevel="0" collapsed="false">
      <c r="A31" s="364" t="n">
        <v>46402</v>
      </c>
      <c r="B31" s="347" t="n">
        <v>46402</v>
      </c>
      <c r="E31" s="349" t="n">
        <v>200</v>
      </c>
      <c r="F31" s="365"/>
    </row>
    <row r="32" customFormat="false" ht="12.75" hidden="false" customHeight="false" outlineLevel="0" collapsed="false">
      <c r="A32" s="364" t="n">
        <v>46403</v>
      </c>
      <c r="B32" s="347" t="n">
        <v>46403</v>
      </c>
      <c r="E32" s="349" t="n">
        <v>200</v>
      </c>
      <c r="F32" s="365"/>
    </row>
    <row r="33" customFormat="false" ht="12.75" hidden="false" customHeight="false" outlineLevel="0" collapsed="false">
      <c r="A33" s="364" t="n">
        <v>46404</v>
      </c>
      <c r="B33" s="347" t="n">
        <v>46404</v>
      </c>
      <c r="F33" s="365"/>
    </row>
    <row r="34" customFormat="false" ht="12.75" hidden="false" customHeight="false" outlineLevel="0" collapsed="false">
      <c r="A34" s="364" t="n">
        <v>46404</v>
      </c>
      <c r="B34" s="347" t="s">
        <v>241</v>
      </c>
      <c r="F34" s="365"/>
    </row>
    <row r="35" customFormat="false" ht="12.75" hidden="false" customHeight="false" outlineLevel="0" collapsed="false">
      <c r="A35" s="364" t="n">
        <v>46404</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46405</v>
      </c>
      <c r="B38" s="359" t="n">
        <v>46405</v>
      </c>
      <c r="C38" s="360"/>
      <c r="D38" s="361"/>
      <c r="E38" s="362"/>
      <c r="F38" s="363"/>
    </row>
    <row r="39" customFormat="false" ht="12.75" hidden="false" customHeight="false" outlineLevel="0" collapsed="false">
      <c r="A39" s="364" t="n">
        <v>46406</v>
      </c>
      <c r="B39" s="347" t="n">
        <v>46406</v>
      </c>
      <c r="E39" s="349" t="n">
        <v>200</v>
      </c>
      <c r="F39" s="365"/>
    </row>
    <row r="40" customFormat="false" ht="12.75" hidden="false" customHeight="false" outlineLevel="0" collapsed="false">
      <c r="A40" s="364" t="n">
        <v>46407</v>
      </c>
      <c r="B40" s="347" t="n">
        <v>46407</v>
      </c>
      <c r="E40" s="349" t="n">
        <v>200</v>
      </c>
      <c r="F40" s="365"/>
    </row>
    <row r="41" customFormat="false" ht="12.75" hidden="false" customHeight="false" outlineLevel="0" collapsed="false">
      <c r="A41" s="364" t="n">
        <v>46408</v>
      </c>
      <c r="B41" s="347" t="n">
        <v>46408</v>
      </c>
      <c r="E41" s="349" t="n">
        <v>200</v>
      </c>
      <c r="F41" s="365"/>
    </row>
    <row r="42" customFormat="false" ht="12.75" hidden="false" customHeight="false" outlineLevel="0" collapsed="false">
      <c r="A42" s="364" t="n">
        <v>46409</v>
      </c>
      <c r="B42" s="347" t="n">
        <v>46409</v>
      </c>
      <c r="E42" s="349" t="n">
        <v>200</v>
      </c>
      <c r="F42" s="365"/>
    </row>
    <row r="43" customFormat="false" ht="12.75" hidden="false" customHeight="false" outlineLevel="0" collapsed="false">
      <c r="A43" s="364" t="n">
        <v>46410</v>
      </c>
      <c r="B43" s="347" t="n">
        <v>46410</v>
      </c>
      <c r="E43" s="349" t="n">
        <v>200</v>
      </c>
      <c r="F43" s="365"/>
    </row>
    <row r="44" customFormat="false" ht="12.75" hidden="false" customHeight="false" outlineLevel="0" collapsed="false">
      <c r="A44" s="364" t="n">
        <v>46411</v>
      </c>
      <c r="B44" s="347" t="n">
        <v>46411</v>
      </c>
      <c r="F44" s="365"/>
    </row>
    <row r="45" customFormat="false" ht="12.75" hidden="false" customHeight="false" outlineLevel="0" collapsed="false">
      <c r="A45" s="364" t="n">
        <v>46411</v>
      </c>
      <c r="B45" s="347" t="s">
        <v>241</v>
      </c>
      <c r="F45" s="365"/>
    </row>
    <row r="46" customFormat="false" ht="12.75" hidden="false" customHeight="false" outlineLevel="0" collapsed="false">
      <c r="A46" s="364" t="n">
        <v>46411</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46412</v>
      </c>
      <c r="B49" s="359" t="n">
        <v>46412</v>
      </c>
      <c r="C49" s="360"/>
      <c r="D49" s="361"/>
      <c r="E49" s="362"/>
      <c r="F49" s="363"/>
    </row>
    <row r="50" customFormat="false" ht="12.75" hidden="false" customHeight="false" outlineLevel="0" collapsed="false">
      <c r="A50" s="364" t="n">
        <v>46413</v>
      </c>
      <c r="B50" s="347" t="n">
        <v>46413</v>
      </c>
      <c r="F50" s="365"/>
    </row>
    <row r="51" customFormat="false" ht="12.75" hidden="false" customHeight="false" outlineLevel="0" collapsed="false">
      <c r="A51" s="364" t="n">
        <v>46414</v>
      </c>
      <c r="B51" s="347" t="n">
        <v>46414</v>
      </c>
      <c r="F51" s="365"/>
    </row>
    <row r="52" customFormat="false" ht="12.75" hidden="false" customHeight="false" outlineLevel="0" collapsed="false">
      <c r="A52" s="364" t="n">
        <v>46415</v>
      </c>
      <c r="B52" s="347" t="n">
        <v>46415</v>
      </c>
      <c r="F52" s="365"/>
    </row>
    <row r="53" customFormat="false" ht="12.75" hidden="false" customHeight="false" outlineLevel="0" collapsed="false">
      <c r="A53" s="364" t="n">
        <v>46416</v>
      </c>
      <c r="B53" s="347" t="n">
        <v>46416</v>
      </c>
      <c r="F53" s="365"/>
    </row>
    <row r="54" customFormat="false" ht="12.75" hidden="false" customHeight="false" outlineLevel="0" collapsed="false">
      <c r="A54" s="364" t="n">
        <v>46417</v>
      </c>
      <c r="B54" s="347" t="n">
        <v>46417</v>
      </c>
      <c r="F54" s="365"/>
    </row>
    <row r="55" customFormat="false" ht="12.75" hidden="false" customHeight="false" outlineLevel="0" collapsed="false">
      <c r="A55" s="364" t="n">
        <v>46418</v>
      </c>
      <c r="B55" s="347" t="n">
        <v>46418</v>
      </c>
      <c r="F55" s="365"/>
    </row>
    <row r="56" customFormat="false" ht="12.75" hidden="false" customHeight="false" outlineLevel="0" collapsed="false">
      <c r="A56" s="364" t="n">
        <v>46418</v>
      </c>
      <c r="B56" s="347" t="s">
        <v>241</v>
      </c>
      <c r="F56" s="365"/>
    </row>
    <row r="57" customFormat="false" ht="12.75" hidden="false" customHeight="false" outlineLevel="0" collapsed="false">
      <c r="A57" s="364" t="n">
        <v>46418</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243</v>
      </c>
      <c r="C1" s="392" t="s">
        <v>236</v>
      </c>
      <c r="D1" s="377" t="str">
        <f aca="false">IF((F1-SUM(G1:S1)&lt;&gt;0),(F1-SUM(G1:S1))," ")</f>
        <v> </v>
      </c>
      <c r="E1" s="353" t="n">
        <f aca="false">SUM(E5:E199)</f>
        <v>0</v>
      </c>
      <c r="F1" s="352" t="n">
        <f aca="false">SUM(F5:F199)</f>
        <v>920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500</v>
      </c>
      <c r="P1" s="352" t="n">
        <f aca="false">SUM(P5:P199)</f>
        <v>0</v>
      </c>
      <c r="Q1" s="352" t="n">
        <f aca="false">SUM(Q5:Q199)</f>
        <v>0</v>
      </c>
      <c r="R1" s="352"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244</v>
      </c>
      <c r="C2" s="380" t="s">
        <v>245</v>
      </c>
      <c r="D2" s="380" t="s">
        <v>246</v>
      </c>
      <c r="E2" s="380" t="s">
        <v>247</v>
      </c>
      <c r="F2" s="207" t="s">
        <v>248</v>
      </c>
      <c r="G2" s="381" t="s">
        <v>249</v>
      </c>
      <c r="H2" s="381"/>
      <c r="I2" s="382" t="n">
        <f aca="false">G1+H1+I1+J1+PurchasesDec!I2</f>
        <v>4380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IF((E1&lt;&gt;0),Admin!$B$14,"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IF((A1&lt;Admin!$F$22),((A1-PurchasesDec!A1)*Admin!$G$21),(A1*Admin!$G$21-(A1-Admin!$F$21)*(Admin!$G$21-Admin!$G$22)-PurchasesDec!A2))</f>
        <v>0</v>
      </c>
    </row>
    <row r="5" s="373" customFormat="true" ht="12.75" hidden="false" customHeight="false" outlineLevel="0" collapsed="false">
      <c r="A5" s="372" t="n">
        <v>46037</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46032</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46042</v>
      </c>
      <c r="B7" s="180" t="s">
        <v>287</v>
      </c>
      <c r="D7" s="373" t="s">
        <v>283</v>
      </c>
      <c r="F7" s="374"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46419</v>
      </c>
      <c r="B5" s="359" t="n">
        <v>46419</v>
      </c>
      <c r="C5" s="360"/>
      <c r="D5" s="361"/>
      <c r="E5" s="362"/>
      <c r="F5" s="363"/>
    </row>
    <row r="6" customFormat="false" ht="12.75" hidden="false" customHeight="false" outlineLevel="0" collapsed="false">
      <c r="A6" s="364" t="n">
        <v>46420</v>
      </c>
      <c r="B6" s="347" t="n">
        <v>46420</v>
      </c>
      <c r="E6" s="349" t="n">
        <v>200</v>
      </c>
      <c r="F6" s="365"/>
    </row>
    <row r="7" customFormat="false" ht="12.75" hidden="false" customHeight="false" outlineLevel="0" collapsed="false">
      <c r="A7" s="364" t="n">
        <v>46421</v>
      </c>
      <c r="B7" s="347" t="n">
        <v>46421</v>
      </c>
      <c r="E7" s="349" t="n">
        <v>200</v>
      </c>
      <c r="F7" s="365"/>
    </row>
    <row r="8" customFormat="false" ht="12.75" hidden="false" customHeight="false" outlineLevel="0" collapsed="false">
      <c r="A8" s="364" t="n">
        <v>46422</v>
      </c>
      <c r="B8" s="347" t="n">
        <v>46422</v>
      </c>
      <c r="E8" s="349" t="n">
        <v>200</v>
      </c>
      <c r="F8" s="365"/>
    </row>
    <row r="9" customFormat="false" ht="12.75" hidden="false" customHeight="false" outlineLevel="0" collapsed="false">
      <c r="A9" s="364" t="n">
        <v>46423</v>
      </c>
      <c r="B9" s="347" t="n">
        <v>46423</v>
      </c>
      <c r="E9" s="349" t="n">
        <v>200</v>
      </c>
      <c r="F9" s="365"/>
    </row>
    <row r="10" customFormat="false" ht="12.75" hidden="false" customHeight="false" outlineLevel="0" collapsed="false">
      <c r="A10" s="364" t="n">
        <v>46424</v>
      </c>
      <c r="B10" s="347" t="n">
        <v>46424</v>
      </c>
      <c r="E10" s="349" t="n">
        <v>200</v>
      </c>
      <c r="F10" s="365"/>
    </row>
    <row r="11" customFormat="false" ht="12.75" hidden="false" customHeight="false" outlineLevel="0" collapsed="false">
      <c r="A11" s="364" t="n">
        <v>46425</v>
      </c>
      <c r="B11" s="347" t="n">
        <v>46425</v>
      </c>
      <c r="F11" s="365"/>
    </row>
    <row r="12" customFormat="false" ht="12.75" hidden="false" customHeight="false" outlineLevel="0" collapsed="false">
      <c r="A12" s="364" t="n">
        <v>46425</v>
      </c>
      <c r="B12" s="347" t="s">
        <v>241</v>
      </c>
      <c r="F12" s="365"/>
    </row>
    <row r="13" customFormat="false" ht="12.75" hidden="false" customHeight="false" outlineLevel="0" collapsed="false">
      <c r="A13" s="364" t="n">
        <v>46425</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46426</v>
      </c>
      <c r="B16" s="359" t="n">
        <v>46426</v>
      </c>
      <c r="C16" s="360"/>
      <c r="D16" s="361"/>
      <c r="E16" s="362"/>
      <c r="F16" s="363"/>
    </row>
    <row r="17" customFormat="false" ht="12.75" hidden="false" customHeight="false" outlineLevel="0" collapsed="false">
      <c r="A17" s="364" t="n">
        <v>46427</v>
      </c>
      <c r="B17" s="347" t="n">
        <v>46427</v>
      </c>
      <c r="E17" s="349" t="n">
        <v>200</v>
      </c>
      <c r="F17" s="365"/>
    </row>
    <row r="18" customFormat="false" ht="12.75" hidden="false" customHeight="false" outlineLevel="0" collapsed="false">
      <c r="A18" s="364" t="n">
        <v>46428</v>
      </c>
      <c r="B18" s="347" t="n">
        <v>46428</v>
      </c>
      <c r="E18" s="349" t="n">
        <v>200</v>
      </c>
      <c r="F18" s="365"/>
    </row>
    <row r="19" customFormat="false" ht="12.75" hidden="false" customHeight="false" outlineLevel="0" collapsed="false">
      <c r="A19" s="364" t="n">
        <v>46429</v>
      </c>
      <c r="B19" s="347" t="n">
        <v>46429</v>
      </c>
      <c r="E19" s="349" t="n">
        <v>200</v>
      </c>
      <c r="F19" s="365"/>
    </row>
    <row r="20" customFormat="false" ht="12.75" hidden="false" customHeight="false" outlineLevel="0" collapsed="false">
      <c r="A20" s="364" t="n">
        <v>46430</v>
      </c>
      <c r="B20" s="347" t="n">
        <v>46430</v>
      </c>
      <c r="E20" s="349" t="n">
        <v>200</v>
      </c>
      <c r="F20" s="365"/>
    </row>
    <row r="21" customFormat="false" ht="12.75" hidden="false" customHeight="false" outlineLevel="0" collapsed="false">
      <c r="A21" s="364" t="n">
        <v>46431</v>
      </c>
      <c r="B21" s="347" t="n">
        <v>46431</v>
      </c>
      <c r="E21" s="349" t="n">
        <v>200</v>
      </c>
      <c r="F21" s="365"/>
    </row>
    <row r="22" customFormat="false" ht="12.75" hidden="false" customHeight="false" outlineLevel="0" collapsed="false">
      <c r="A22" s="364" t="n">
        <v>46432</v>
      </c>
      <c r="B22" s="347" t="n">
        <v>46432</v>
      </c>
      <c r="F22" s="365"/>
    </row>
    <row r="23" customFormat="false" ht="12.75" hidden="false" customHeight="false" outlineLevel="0" collapsed="false">
      <c r="A23" s="364" t="n">
        <v>46432</v>
      </c>
      <c r="B23" s="347" t="s">
        <v>241</v>
      </c>
      <c r="F23" s="365"/>
    </row>
    <row r="24" customFormat="false" ht="12.75" hidden="false" customHeight="false" outlineLevel="0" collapsed="false">
      <c r="A24" s="364" t="n">
        <v>46432</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46433</v>
      </c>
      <c r="B27" s="359" t="n">
        <v>46433</v>
      </c>
      <c r="C27" s="360"/>
      <c r="D27" s="361"/>
      <c r="E27" s="362"/>
      <c r="F27" s="363"/>
    </row>
    <row r="28" customFormat="false" ht="12.75" hidden="false" customHeight="false" outlineLevel="0" collapsed="false">
      <c r="A28" s="364" t="n">
        <v>46434</v>
      </c>
      <c r="B28" s="347" t="n">
        <v>46434</v>
      </c>
      <c r="E28" s="349" t="n">
        <v>200</v>
      </c>
      <c r="F28" s="365"/>
    </row>
    <row r="29" customFormat="false" ht="12.75" hidden="false" customHeight="false" outlineLevel="0" collapsed="false">
      <c r="A29" s="364" t="n">
        <v>46435</v>
      </c>
      <c r="B29" s="347" t="n">
        <v>46435</v>
      </c>
      <c r="E29" s="349" t="n">
        <v>200</v>
      </c>
      <c r="F29" s="365"/>
    </row>
    <row r="30" customFormat="false" ht="12.75" hidden="false" customHeight="false" outlineLevel="0" collapsed="false">
      <c r="A30" s="364" t="n">
        <v>46436</v>
      </c>
      <c r="B30" s="347" t="n">
        <v>46436</v>
      </c>
      <c r="E30" s="349" t="n">
        <v>200</v>
      </c>
      <c r="F30" s="365"/>
    </row>
    <row r="31" customFormat="false" ht="12.75" hidden="false" customHeight="false" outlineLevel="0" collapsed="false">
      <c r="A31" s="364" t="n">
        <v>46437</v>
      </c>
      <c r="B31" s="347" t="n">
        <v>46437</v>
      </c>
      <c r="E31" s="349" t="n">
        <v>200</v>
      </c>
      <c r="F31" s="365"/>
    </row>
    <row r="32" customFormat="false" ht="12.75" hidden="false" customHeight="false" outlineLevel="0" collapsed="false">
      <c r="A32" s="364" t="n">
        <v>46438</v>
      </c>
      <c r="B32" s="347" t="n">
        <v>46438</v>
      </c>
      <c r="E32" s="349" t="n">
        <v>200</v>
      </c>
      <c r="F32" s="365"/>
    </row>
    <row r="33" customFormat="false" ht="12.75" hidden="false" customHeight="false" outlineLevel="0" collapsed="false">
      <c r="A33" s="364" t="n">
        <v>46439</v>
      </c>
      <c r="B33" s="347" t="n">
        <v>46439</v>
      </c>
      <c r="F33" s="365"/>
    </row>
    <row r="34" customFormat="false" ht="12.75" hidden="false" customHeight="false" outlineLevel="0" collapsed="false">
      <c r="A34" s="364" t="n">
        <v>46439</v>
      </c>
      <c r="B34" s="347" t="s">
        <v>241</v>
      </c>
      <c r="F34" s="365"/>
    </row>
    <row r="35" customFormat="false" ht="12.75" hidden="false" customHeight="false" outlineLevel="0" collapsed="false">
      <c r="A35" s="364" t="n">
        <v>46439</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46440</v>
      </c>
      <c r="B38" s="359" t="n">
        <v>46440</v>
      </c>
      <c r="C38" s="360"/>
      <c r="D38" s="361"/>
      <c r="E38" s="362"/>
      <c r="F38" s="363"/>
    </row>
    <row r="39" customFormat="false" ht="12.75" hidden="false" customHeight="false" outlineLevel="0" collapsed="false">
      <c r="A39" s="364" t="n">
        <v>46441</v>
      </c>
      <c r="B39" s="347" t="n">
        <v>46441</v>
      </c>
      <c r="F39" s="365"/>
    </row>
    <row r="40" customFormat="false" ht="12.75" hidden="false" customHeight="false" outlineLevel="0" collapsed="false">
      <c r="A40" s="364" t="n">
        <v>46442</v>
      </c>
      <c r="B40" s="347" t="n">
        <v>46442</v>
      </c>
      <c r="F40" s="365"/>
    </row>
    <row r="41" customFormat="false" ht="12.75" hidden="false" customHeight="false" outlineLevel="0" collapsed="false">
      <c r="A41" s="364" t="n">
        <v>46443</v>
      </c>
      <c r="B41" s="347" t="n">
        <v>46443</v>
      </c>
      <c r="F41" s="365"/>
    </row>
    <row r="42" customFormat="false" ht="12.75" hidden="false" customHeight="false" outlineLevel="0" collapsed="false">
      <c r="A42" s="364" t="n">
        <v>46444</v>
      </c>
      <c r="B42" s="347" t="n">
        <v>46444</v>
      </c>
      <c r="F42" s="365"/>
    </row>
    <row r="43" customFormat="false" ht="12.75" hidden="false" customHeight="false" outlineLevel="0" collapsed="false">
      <c r="A43" s="364" t="n">
        <v>46445</v>
      </c>
      <c r="B43" s="347" t="n">
        <v>46445</v>
      </c>
      <c r="F43" s="365"/>
    </row>
    <row r="44" customFormat="false" ht="12.75" hidden="false" customHeight="false" outlineLevel="0" collapsed="false">
      <c r="A44" s="364" t="n">
        <v>46446</v>
      </c>
      <c r="B44" s="347" t="n">
        <v>46446</v>
      </c>
      <c r="F44" s="365"/>
    </row>
    <row r="45" customFormat="false" ht="12.75" hidden="false" customHeight="false" outlineLevel="0" collapsed="false">
      <c r="A45" s="364" t="n">
        <v>46446</v>
      </c>
      <c r="B45" s="347" t="s">
        <v>241</v>
      </c>
      <c r="F45" s="365"/>
    </row>
    <row r="46" customFormat="false" ht="12.75" hidden="false" customHeight="false" outlineLevel="0" collapsed="false">
      <c r="A46" s="364" t="n">
        <v>46446</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244</v>
      </c>
      <c r="C2" s="380" t="s">
        <v>245</v>
      </c>
      <c r="D2" s="380" t="s">
        <v>246</v>
      </c>
      <c r="E2" s="380" t="s">
        <v>247</v>
      </c>
      <c r="F2" s="207" t="s">
        <v>248</v>
      </c>
      <c r="G2" s="381" t="s">
        <v>249</v>
      </c>
      <c r="H2" s="381"/>
      <c r="I2" s="382" t="n">
        <f aca="false">G1+H1+I1+J1+PurchasesJan!I2</f>
        <v>4680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IF((A1&lt;Admin!$F$22),((A1-PurchasesJan!A1)*Admin!$G$21),(A1*Admin!$G$21-(A1-Admin!$F$21)*(Admin!$G$21-Admin!$G$22)-PurchasesJan!A2))</f>
        <v>0</v>
      </c>
    </row>
    <row r="5" s="373" customFormat="true" ht="12.75" hidden="false" customHeight="false" outlineLevel="0" collapsed="false">
      <c r="A5" s="372" t="n">
        <v>46068</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4" customFormat="true" ht="12.75" hidden="false" customHeight="true" outlineLevel="0" collapsed="false">
      <c r="A1" s="350" t="s">
        <v>234</v>
      </c>
      <c r="B1" s="351" t="s">
        <v>235</v>
      </c>
      <c r="C1" s="352" t="s">
        <v>236</v>
      </c>
      <c r="D1" s="353" t="n">
        <f aca="false">SUM(D4:D63)</f>
        <v>0</v>
      </c>
      <c r="E1" s="352" t="n">
        <f aca="false">SUM(E4:E63)/2</f>
        <v>3000</v>
      </c>
      <c r="F1" s="352" t="n">
        <f aca="false">SUM(F4:F63)/2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46447</v>
      </c>
      <c r="B5" s="359" t="n">
        <v>46447</v>
      </c>
      <c r="C5" s="360"/>
      <c r="D5" s="361"/>
      <c r="E5" s="362"/>
      <c r="F5" s="363"/>
    </row>
    <row r="6" customFormat="false" ht="12.75" hidden="false" customHeight="false" outlineLevel="0" collapsed="false">
      <c r="A6" s="364" t="n">
        <v>46448</v>
      </c>
      <c r="B6" s="347" t="n">
        <v>46448</v>
      </c>
      <c r="E6" s="181" t="n">
        <v>200</v>
      </c>
      <c r="F6" s="365"/>
    </row>
    <row r="7" customFormat="false" ht="12.75" hidden="false" customHeight="false" outlineLevel="0" collapsed="false">
      <c r="A7" s="364" t="n">
        <v>46449</v>
      </c>
      <c r="B7" s="347" t="n">
        <v>46449</v>
      </c>
      <c r="E7" s="181" t="n">
        <v>200</v>
      </c>
      <c r="F7" s="365"/>
    </row>
    <row r="8" customFormat="false" ht="12.75" hidden="false" customHeight="false" outlineLevel="0" collapsed="false">
      <c r="A8" s="364" t="n">
        <v>46450</v>
      </c>
      <c r="B8" s="347" t="n">
        <v>46450</v>
      </c>
      <c r="E8" s="181" t="n">
        <v>200</v>
      </c>
      <c r="F8" s="365"/>
    </row>
    <row r="9" customFormat="false" ht="12.75" hidden="false" customHeight="false" outlineLevel="0" collapsed="false">
      <c r="A9" s="364" t="n">
        <v>46451</v>
      </c>
      <c r="B9" s="347" t="n">
        <v>46451</v>
      </c>
      <c r="E9" s="181" t="n">
        <v>200</v>
      </c>
      <c r="F9" s="365"/>
    </row>
    <row r="10" customFormat="false" ht="12.75" hidden="false" customHeight="false" outlineLevel="0" collapsed="false">
      <c r="A10" s="364" t="n">
        <v>46452</v>
      </c>
      <c r="B10" s="347" t="n">
        <v>46452</v>
      </c>
      <c r="E10" s="181" t="n">
        <v>200</v>
      </c>
      <c r="F10" s="365"/>
    </row>
    <row r="11" customFormat="false" ht="12.75" hidden="false" customHeight="false" outlineLevel="0" collapsed="false">
      <c r="A11" s="364" t="n">
        <v>46453</v>
      </c>
      <c r="B11" s="347" t="n">
        <v>46453</v>
      </c>
      <c r="F11" s="365"/>
    </row>
    <row r="12" customFormat="false" ht="12.75" hidden="false" customHeight="false" outlineLevel="0" collapsed="false">
      <c r="A12" s="364" t="n">
        <v>46453</v>
      </c>
      <c r="B12" s="347" t="s">
        <v>241</v>
      </c>
      <c r="F12" s="365"/>
    </row>
    <row r="13" customFormat="false" ht="12.75" hidden="false" customHeight="false" outlineLevel="0" collapsed="false">
      <c r="A13" s="364" t="n">
        <v>46453</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46454</v>
      </c>
      <c r="B16" s="359" t="n">
        <v>46454</v>
      </c>
      <c r="C16" s="360"/>
      <c r="D16" s="361"/>
      <c r="E16" s="362"/>
      <c r="F16" s="363"/>
    </row>
    <row r="17" customFormat="false" ht="12.75" hidden="false" customHeight="false" outlineLevel="0" collapsed="false">
      <c r="A17" s="364" t="n">
        <v>46455</v>
      </c>
      <c r="B17" s="347" t="n">
        <v>46455</v>
      </c>
      <c r="E17" s="181" t="n">
        <v>200</v>
      </c>
      <c r="F17" s="365"/>
    </row>
    <row r="18" customFormat="false" ht="12.75" hidden="false" customHeight="false" outlineLevel="0" collapsed="false">
      <c r="A18" s="364" t="n">
        <v>46456</v>
      </c>
      <c r="B18" s="347" t="n">
        <v>46456</v>
      </c>
      <c r="E18" s="181" t="n">
        <v>200</v>
      </c>
      <c r="F18" s="365"/>
    </row>
    <row r="19" customFormat="false" ht="12.75" hidden="false" customHeight="false" outlineLevel="0" collapsed="false">
      <c r="A19" s="364" t="n">
        <v>46457</v>
      </c>
      <c r="B19" s="347" t="n">
        <v>46457</v>
      </c>
      <c r="E19" s="181" t="n">
        <v>200</v>
      </c>
      <c r="F19" s="365"/>
    </row>
    <row r="20" customFormat="false" ht="12.75" hidden="false" customHeight="false" outlineLevel="0" collapsed="false">
      <c r="A20" s="364" t="n">
        <v>46458</v>
      </c>
      <c r="B20" s="347" t="n">
        <v>46458</v>
      </c>
      <c r="E20" s="181" t="n">
        <v>200</v>
      </c>
      <c r="F20" s="365"/>
    </row>
    <row r="21" customFormat="false" ht="12.75" hidden="false" customHeight="false" outlineLevel="0" collapsed="false">
      <c r="A21" s="364" t="n">
        <v>46459</v>
      </c>
      <c r="B21" s="347" t="n">
        <v>46459</v>
      </c>
      <c r="E21" s="181" t="n">
        <v>200</v>
      </c>
      <c r="F21" s="365"/>
    </row>
    <row r="22" customFormat="false" ht="12.75" hidden="false" customHeight="false" outlineLevel="0" collapsed="false">
      <c r="A22" s="364" t="n">
        <v>46460</v>
      </c>
      <c r="B22" s="347" t="n">
        <v>46460</v>
      </c>
      <c r="F22" s="365"/>
    </row>
    <row r="23" customFormat="false" ht="12.75" hidden="false" customHeight="false" outlineLevel="0" collapsed="false">
      <c r="A23" s="364" t="n">
        <v>46460</v>
      </c>
      <c r="B23" s="347" t="s">
        <v>241</v>
      </c>
      <c r="F23" s="365"/>
    </row>
    <row r="24" customFormat="false" ht="12.75" hidden="false" customHeight="false" outlineLevel="0" collapsed="false">
      <c r="A24" s="364" t="n">
        <v>46460</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46461</v>
      </c>
      <c r="B27" s="359" t="n">
        <v>46461</v>
      </c>
      <c r="C27" s="360"/>
      <c r="D27" s="361"/>
      <c r="E27" s="362"/>
      <c r="F27" s="363"/>
    </row>
    <row r="28" customFormat="false" ht="12.75" hidden="false" customHeight="false" outlineLevel="0" collapsed="false">
      <c r="A28" s="364" t="n">
        <v>46462</v>
      </c>
      <c r="B28" s="347" t="n">
        <v>46462</v>
      </c>
      <c r="E28" s="181" t="n">
        <v>200</v>
      </c>
      <c r="F28" s="365"/>
    </row>
    <row r="29" customFormat="false" ht="12.75" hidden="false" customHeight="false" outlineLevel="0" collapsed="false">
      <c r="A29" s="364" t="n">
        <v>46463</v>
      </c>
      <c r="B29" s="347" t="n">
        <v>46463</v>
      </c>
      <c r="E29" s="181" t="n">
        <v>200</v>
      </c>
      <c r="F29" s="365"/>
    </row>
    <row r="30" customFormat="false" ht="12.75" hidden="false" customHeight="false" outlineLevel="0" collapsed="false">
      <c r="A30" s="364" t="n">
        <v>46464</v>
      </c>
      <c r="B30" s="347" t="n">
        <v>46464</v>
      </c>
      <c r="E30" s="181" t="n">
        <v>200</v>
      </c>
      <c r="F30" s="365"/>
    </row>
    <row r="31" customFormat="false" ht="12.75" hidden="false" customHeight="false" outlineLevel="0" collapsed="false">
      <c r="A31" s="364" t="n">
        <v>46465</v>
      </c>
      <c r="B31" s="347" t="n">
        <v>46465</v>
      </c>
      <c r="E31" s="181" t="n">
        <v>200</v>
      </c>
      <c r="F31" s="365"/>
    </row>
    <row r="32" customFormat="false" ht="12.75" hidden="false" customHeight="false" outlineLevel="0" collapsed="false">
      <c r="A32" s="364" t="n">
        <v>46466</v>
      </c>
      <c r="B32" s="347" t="n">
        <v>46466</v>
      </c>
      <c r="E32" s="181" t="n">
        <v>200</v>
      </c>
      <c r="F32" s="365"/>
    </row>
    <row r="33" customFormat="false" ht="12.75" hidden="false" customHeight="false" outlineLevel="0" collapsed="false">
      <c r="A33" s="364" t="n">
        <v>46467</v>
      </c>
      <c r="B33" s="347" t="n">
        <v>46467</v>
      </c>
      <c r="F33" s="365"/>
    </row>
    <row r="34" customFormat="false" ht="12.75" hidden="false" customHeight="false" outlineLevel="0" collapsed="false">
      <c r="A34" s="364" t="n">
        <v>46467</v>
      </c>
      <c r="B34" s="347" t="s">
        <v>241</v>
      </c>
      <c r="F34" s="365"/>
    </row>
    <row r="35" customFormat="false" ht="12.75" hidden="false" customHeight="false" outlineLevel="0" collapsed="false">
      <c r="A35" s="364" t="n">
        <v>46467</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46468</v>
      </c>
      <c r="B38" s="359" t="n">
        <v>46468</v>
      </c>
      <c r="C38" s="360"/>
      <c r="D38" s="361"/>
      <c r="E38" s="362"/>
      <c r="F38" s="363"/>
    </row>
    <row r="39" customFormat="false" ht="12.75" hidden="false" customHeight="false" outlineLevel="0" collapsed="false">
      <c r="A39" s="364" t="n">
        <v>46469</v>
      </c>
      <c r="B39" s="347" t="n">
        <v>46469</v>
      </c>
      <c r="F39" s="365"/>
    </row>
    <row r="40" customFormat="false" ht="12.75" hidden="false" customHeight="false" outlineLevel="0" collapsed="false">
      <c r="A40" s="364" t="n">
        <v>46470</v>
      </c>
      <c r="B40" s="347" t="n">
        <v>46470</v>
      </c>
      <c r="F40" s="365"/>
    </row>
    <row r="41" customFormat="false" ht="12.75" hidden="false" customHeight="false" outlineLevel="0" collapsed="false">
      <c r="A41" s="364" t="n">
        <v>46471</v>
      </c>
      <c r="B41" s="347" t="n">
        <v>46471</v>
      </c>
      <c r="F41" s="365"/>
    </row>
    <row r="42" customFormat="false" ht="12.75" hidden="false" customHeight="false" outlineLevel="0" collapsed="false">
      <c r="A42" s="364" t="n">
        <v>46472</v>
      </c>
      <c r="B42" s="347" t="n">
        <v>46472</v>
      </c>
      <c r="F42" s="365"/>
    </row>
    <row r="43" customFormat="false" ht="12.75" hidden="false" customHeight="false" outlineLevel="0" collapsed="false">
      <c r="A43" s="364" t="n">
        <v>46473</v>
      </c>
      <c r="B43" s="347" t="n">
        <v>46473</v>
      </c>
      <c r="F43" s="365"/>
    </row>
    <row r="44" customFormat="false" ht="12.75" hidden="false" customHeight="false" outlineLevel="0" collapsed="false">
      <c r="A44" s="364" t="n">
        <v>46474</v>
      </c>
      <c r="B44" s="347" t="n">
        <v>46474</v>
      </c>
      <c r="F44" s="365"/>
    </row>
    <row r="45" customFormat="false" ht="12.75" hidden="false" customHeight="false" outlineLevel="0" collapsed="false">
      <c r="A45" s="364" t="n">
        <v>46474</v>
      </c>
      <c r="B45" s="347" t="s">
        <v>241</v>
      </c>
      <c r="F45" s="365"/>
    </row>
    <row r="46" customFormat="false" ht="12.75" hidden="false" customHeight="false" outlineLevel="0" collapsed="false">
      <c r="A46" s="364" t="n">
        <v>46474</v>
      </c>
      <c r="B46" s="347" t="s">
        <v>242</v>
      </c>
      <c r="F46" s="365"/>
    </row>
    <row r="47" customFormat="false" ht="12.75" hidden="false" customHeight="false" outlineLevel="0" collapsed="false">
      <c r="A47" s="366"/>
      <c r="B47" s="367"/>
      <c r="C47" s="368"/>
      <c r="D47" s="369"/>
      <c r="E47" s="370" t="n">
        <f aca="false">SUM(E38:E46)</f>
        <v>0</v>
      </c>
      <c r="F47" s="371" t="n">
        <f aca="false">SUM(F38:F46)</f>
        <v>0</v>
      </c>
    </row>
    <row r="49" customFormat="false" ht="12.75" hidden="false" customHeight="false" outlineLevel="0" collapsed="false">
      <c r="A49" s="358" t="n">
        <v>46475</v>
      </c>
      <c r="B49" s="359" t="n">
        <v>46475</v>
      </c>
      <c r="C49" s="360"/>
      <c r="D49" s="361"/>
      <c r="E49" s="362"/>
      <c r="F49" s="363"/>
    </row>
    <row r="50" customFormat="false" ht="12.75" hidden="false" customHeight="false" outlineLevel="0" collapsed="false">
      <c r="A50" s="364" t="n">
        <v>46476</v>
      </c>
      <c r="B50" s="347" t="n">
        <v>46476</v>
      </c>
      <c r="F50" s="365"/>
    </row>
    <row r="51" customFormat="false" ht="12.75" hidden="false" customHeight="false" outlineLevel="0" collapsed="false">
      <c r="A51" s="364" t="n">
        <v>46477</v>
      </c>
      <c r="B51" s="347" t="n">
        <v>46477</v>
      </c>
      <c r="F51" s="365"/>
    </row>
    <row r="52" customFormat="false" ht="12.75" hidden="false" customHeight="false" outlineLevel="0" collapsed="false">
      <c r="A52" s="364" t="n">
        <v>46478</v>
      </c>
      <c r="B52" s="347" t="n">
        <v>46478</v>
      </c>
      <c r="F52" s="365"/>
    </row>
    <row r="53" customFormat="false" ht="12.75" hidden="false" customHeight="false" outlineLevel="0" collapsed="false">
      <c r="A53" s="364" t="n">
        <v>46479</v>
      </c>
      <c r="B53" s="347" t="n">
        <v>46479</v>
      </c>
      <c r="F53" s="365"/>
    </row>
    <row r="54" customFormat="false" ht="12.75" hidden="false" customHeight="false" outlineLevel="0" collapsed="false">
      <c r="A54" s="364" t="n">
        <v>46480</v>
      </c>
      <c r="B54" s="347" t="n">
        <v>46480</v>
      </c>
      <c r="F54" s="365"/>
    </row>
    <row r="55" customFormat="false" ht="12.75" hidden="false" customHeight="false" outlineLevel="0" collapsed="false">
      <c r="A55" s="364" t="n">
        <v>46481</v>
      </c>
      <c r="B55" s="347" t="n">
        <v>46481</v>
      </c>
      <c r="F55" s="365"/>
    </row>
    <row r="56" customFormat="false" ht="12.75" hidden="false" customHeight="false" outlineLevel="0" collapsed="false">
      <c r="A56" s="364" t="n">
        <v>46481</v>
      </c>
      <c r="B56" s="347" t="s">
        <v>241</v>
      </c>
      <c r="F56" s="365"/>
    </row>
    <row r="57" customFormat="false" ht="12.75" hidden="false" customHeight="false" outlineLevel="0" collapsed="false">
      <c r="A57" s="364" t="n">
        <v>46481</v>
      </c>
      <c r="B57" s="347" t="s">
        <v>242</v>
      </c>
      <c r="F57" s="365"/>
    </row>
    <row r="58" customFormat="false" ht="12.75" hidden="false" customHeight="false" outlineLevel="0" collapsed="false">
      <c r="A58" s="366"/>
      <c r="B58" s="367"/>
      <c r="C58" s="368"/>
      <c r="D58" s="369"/>
      <c r="E58" s="370" t="n">
        <f aca="false">SUM(E49:E57)</f>
        <v>0</v>
      </c>
      <c r="F58" s="371" t="n">
        <f aca="false">SUM(F49:F57)</f>
        <v>0</v>
      </c>
    </row>
    <row r="60" customFormat="false" ht="12.75" hidden="false" customHeight="false" outlineLevel="0" collapsed="false">
      <c r="A60" s="358" t="n">
        <v>46482</v>
      </c>
      <c r="B60" s="359" t="n">
        <v>46482</v>
      </c>
      <c r="C60" s="360"/>
      <c r="D60" s="361"/>
      <c r="E60" s="362"/>
      <c r="F60" s="363"/>
    </row>
    <row r="61" customFormat="false" ht="12.75" hidden="false" customHeight="false" outlineLevel="0" collapsed="false">
      <c r="A61" s="364" t="n">
        <v>46482</v>
      </c>
      <c r="B61" s="347" t="s">
        <v>241</v>
      </c>
      <c r="F61" s="365"/>
    </row>
    <row r="62" customFormat="false" ht="12.75" hidden="false" customHeight="false" outlineLevel="0" collapsed="false">
      <c r="A62" s="364" t="n">
        <v>46482</v>
      </c>
      <c r="B62" s="347" t="s">
        <v>242</v>
      </c>
      <c r="F62" s="365"/>
    </row>
    <row r="63" customFormat="false" ht="12.75" hidden="false" customHeight="false" outlineLevel="0" collapsed="false">
      <c r="A63" s="366"/>
      <c r="B63" s="367"/>
      <c r="C63" s="368"/>
      <c r="D63" s="369"/>
      <c r="E63" s="370" t="n">
        <f aca="false">SUM(E60:E62)</f>
        <v>0</v>
      </c>
      <c r="F63" s="371" t="n">
        <f aca="false">SUM(F60:F62)</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244</v>
      </c>
      <c r="C2" s="380" t="s">
        <v>245</v>
      </c>
      <c r="D2" s="380" t="s">
        <v>246</v>
      </c>
      <c r="E2" s="380" t="s">
        <v>247</v>
      </c>
      <c r="F2" s="207" t="s">
        <v>248</v>
      </c>
      <c r="G2" s="381" t="s">
        <v>249</v>
      </c>
      <c r="H2" s="381"/>
      <c r="I2" s="382" t="n">
        <f aca="false">G1+H1+I1+J1+PurchasesFeb!I2</f>
        <v>4980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IF((A1&lt;Admin!$F$22),((A1-PurchasesFeb!A1)*Admin!$G$21),(A1*Admin!$G$21-(A1-Admin!$F$21)*(Admin!$G$21-Admin!$G$22)-PurchasesFeb!A2))</f>
        <v>0</v>
      </c>
    </row>
    <row r="5" s="373" customFormat="true" ht="12.75" hidden="false" customHeight="false" outlineLevel="0" collapsed="false">
      <c r="A5" s="372" t="n">
        <v>46096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7"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8"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9" t="s">
        <v>288</v>
      </c>
      <c r="C1" s="68"/>
      <c r="D1" s="400"/>
      <c r="E1" s="400"/>
      <c r="F1" s="400"/>
      <c r="G1" s="401"/>
      <c r="H1" s="68"/>
      <c r="I1" s="68"/>
      <c r="J1" s="68"/>
      <c r="K1" s="68"/>
      <c r="L1" s="68"/>
      <c r="M1" s="68"/>
      <c r="N1" s="68"/>
      <c r="O1" s="68"/>
    </row>
    <row r="2" customFormat="false" ht="12" hidden="false" customHeight="true" outlineLevel="0" collapsed="false">
      <c r="A2" s="68"/>
      <c r="B2" s="402" t="n">
        <v>46081</v>
      </c>
      <c r="C2" s="68"/>
      <c r="D2" s="403" t="s">
        <v>289</v>
      </c>
      <c r="E2" s="403"/>
      <c r="F2" s="403"/>
      <c r="G2" s="404" t="str">
        <f aca="false">B23</f>
        <v>2026-27</v>
      </c>
      <c r="H2" s="68"/>
      <c r="I2" s="405" t="s">
        <v>290</v>
      </c>
      <c r="J2" s="405"/>
      <c r="K2" s="406" t="str">
        <f aca="false">G2</f>
        <v>2026-27</v>
      </c>
      <c r="L2" s="68"/>
      <c r="M2" s="68"/>
      <c r="N2" s="68"/>
      <c r="O2" s="68"/>
    </row>
    <row r="3" customFormat="false" ht="12" hidden="false" customHeight="true" outlineLevel="0" collapsed="false">
      <c r="A3" s="68"/>
      <c r="B3" s="402" t="n">
        <v>46112</v>
      </c>
      <c r="C3" s="68"/>
      <c r="D3" s="68"/>
      <c r="E3" s="68"/>
      <c r="F3" s="68"/>
      <c r="G3" s="407"/>
      <c r="H3" s="68"/>
      <c r="I3" s="68"/>
      <c r="J3" s="408"/>
      <c r="K3" s="408"/>
      <c r="L3" s="401"/>
      <c r="M3" s="68"/>
      <c r="N3" s="68"/>
      <c r="O3" s="68"/>
    </row>
    <row r="4" customFormat="false" ht="12" hidden="false" customHeight="true" outlineLevel="0" collapsed="false">
      <c r="A4" s="68"/>
      <c r="B4" s="409" t="n">
        <v>46118</v>
      </c>
      <c r="C4" s="68"/>
      <c r="D4" s="410" t="s">
        <v>68</v>
      </c>
      <c r="E4" s="410"/>
      <c r="F4" s="410"/>
      <c r="G4" s="411" t="n">
        <v>1</v>
      </c>
      <c r="H4" s="68"/>
      <c r="I4" s="410" t="s">
        <v>291</v>
      </c>
      <c r="J4" s="410"/>
      <c r="K4" s="410"/>
      <c r="L4" s="410"/>
      <c r="M4" s="410"/>
      <c r="N4" s="412" t="n">
        <v>12570</v>
      </c>
      <c r="O4" s="407" t="s">
        <v>28</v>
      </c>
    </row>
    <row r="5" customFormat="false" ht="12" hidden="false" customHeight="true" outlineLevel="0" collapsed="false">
      <c r="A5" s="68"/>
      <c r="B5" s="402" t="n">
        <v>46142</v>
      </c>
      <c r="C5" s="68"/>
      <c r="D5" s="410" t="s">
        <v>292</v>
      </c>
      <c r="E5" s="410"/>
      <c r="F5" s="410"/>
      <c r="G5" s="411" t="n">
        <v>0.14</v>
      </c>
      <c r="H5" s="68"/>
      <c r="I5" s="68"/>
      <c r="J5" s="68"/>
      <c r="K5" s="68"/>
      <c r="L5" s="68"/>
      <c r="M5" s="68"/>
      <c r="N5" s="407"/>
      <c r="O5" s="407"/>
    </row>
    <row r="6" customFormat="false" ht="12" hidden="false" customHeight="true" outlineLevel="0" collapsed="false">
      <c r="A6" s="68"/>
      <c r="B6" s="402" t="n">
        <v>46173</v>
      </c>
      <c r="C6" s="68"/>
      <c r="D6" s="68"/>
      <c r="E6" s="68"/>
      <c r="F6" s="68"/>
      <c r="G6" s="407"/>
      <c r="H6" s="68"/>
      <c r="I6" s="410" t="s">
        <v>293</v>
      </c>
      <c r="J6" s="410"/>
      <c r="K6" s="410"/>
      <c r="L6" s="410"/>
      <c r="M6" s="410"/>
      <c r="N6" s="411" t="n">
        <v>0</v>
      </c>
      <c r="O6" s="407" t="s">
        <v>294</v>
      </c>
    </row>
    <row r="7" customFormat="false" ht="12" hidden="false" customHeight="true" outlineLevel="0" collapsed="false">
      <c r="A7" s="68"/>
      <c r="B7" s="402" t="n">
        <v>46203</v>
      </c>
      <c r="C7" s="68"/>
      <c r="D7" s="410" t="s">
        <v>295</v>
      </c>
      <c r="E7" s="410"/>
      <c r="F7" s="410"/>
      <c r="G7" s="407"/>
      <c r="H7" s="68"/>
      <c r="I7" s="410" t="s">
        <v>296</v>
      </c>
      <c r="J7" s="410"/>
      <c r="K7" s="410"/>
      <c r="L7" s="410"/>
      <c r="M7" s="410"/>
      <c r="N7" s="411" t="n">
        <v>0.2</v>
      </c>
      <c r="O7" s="407" t="s">
        <v>294</v>
      </c>
    </row>
    <row r="8" customFormat="false" ht="12" hidden="false" customHeight="true" outlineLevel="0" collapsed="false">
      <c r="A8" s="68"/>
      <c r="B8" s="402" t="n">
        <v>46234</v>
      </c>
      <c r="C8" s="68"/>
      <c r="D8" s="68" t="s">
        <v>297</v>
      </c>
      <c r="E8" s="413" t="n">
        <v>12000</v>
      </c>
      <c r="F8" s="68" t="s">
        <v>298</v>
      </c>
      <c r="G8" s="413" t="n">
        <v>3000</v>
      </c>
      <c r="H8" s="68"/>
      <c r="I8" s="68"/>
      <c r="J8" s="68"/>
      <c r="K8" s="68"/>
      <c r="L8" s="68"/>
      <c r="M8" s="68"/>
      <c r="N8" s="407" t="n">
        <v>0.4</v>
      </c>
      <c r="O8" s="407"/>
    </row>
    <row r="9" customFormat="false" ht="12" hidden="false" customHeight="true" outlineLevel="0" collapsed="false">
      <c r="A9" s="68"/>
      <c r="B9" s="402" t="n">
        <v>46265</v>
      </c>
      <c r="C9" s="68"/>
      <c r="D9" s="68"/>
      <c r="E9" s="407"/>
      <c r="F9" s="68"/>
      <c r="G9" s="407"/>
      <c r="H9" s="68"/>
      <c r="I9" s="410" t="s">
        <v>299</v>
      </c>
      <c r="J9" s="410"/>
      <c r="K9" s="410"/>
      <c r="L9" s="414" t="s">
        <v>300</v>
      </c>
      <c r="M9" s="414" t="s">
        <v>301</v>
      </c>
      <c r="N9" s="415" t="s">
        <v>302</v>
      </c>
      <c r="O9" s="407"/>
    </row>
    <row r="10" customFormat="false" ht="12" hidden="false" customHeight="true" outlineLevel="0" collapsed="false">
      <c r="A10" s="68"/>
      <c r="B10" s="402" t="n">
        <v>46295</v>
      </c>
      <c r="C10" s="68"/>
      <c r="D10" s="68"/>
      <c r="E10" s="407"/>
      <c r="F10" s="68"/>
      <c r="G10" s="407"/>
      <c r="H10" s="68"/>
      <c r="I10" s="68"/>
      <c r="J10" s="68"/>
      <c r="K10" s="68"/>
      <c r="L10" s="68"/>
      <c r="M10" s="68"/>
      <c r="N10" s="407"/>
      <c r="O10" s="407"/>
    </row>
    <row r="11" customFormat="false" ht="12" hidden="false" customHeight="true" outlineLevel="0" collapsed="false">
      <c r="A11" s="68"/>
      <c r="B11" s="402" t="n">
        <v>46326</v>
      </c>
      <c r="C11" s="68"/>
      <c r="D11" s="403" t="s">
        <v>303</v>
      </c>
      <c r="E11" s="403"/>
      <c r="F11" s="403"/>
      <c r="G11" s="407" t="s">
        <v>294</v>
      </c>
      <c r="H11" s="68"/>
      <c r="I11" s="68" t="s">
        <v>304</v>
      </c>
      <c r="J11" s="68"/>
      <c r="K11" s="416" t="n">
        <v>0.2</v>
      </c>
      <c r="L11" s="407" t="n">
        <f aca="false">N11</f>
        <v>0</v>
      </c>
      <c r="M11" s="407" t="n">
        <v>37700</v>
      </c>
      <c r="N11" s="413" t="n">
        <v>0</v>
      </c>
      <c r="O11" s="407"/>
    </row>
    <row r="12" customFormat="false" ht="12" hidden="false" customHeight="true" outlineLevel="0" collapsed="false">
      <c r="A12" s="68"/>
      <c r="B12" s="402" t="n">
        <v>46356</v>
      </c>
      <c r="C12" s="68"/>
      <c r="D12" s="68"/>
      <c r="E12" s="68"/>
      <c r="F12" s="68"/>
      <c r="G12" s="407"/>
      <c r="H12" s="68"/>
      <c r="I12" s="68" t="s">
        <v>305</v>
      </c>
      <c r="J12" s="68"/>
      <c r="K12" s="416" t="n">
        <v>0.4</v>
      </c>
      <c r="L12" s="407" t="n">
        <v>37701</v>
      </c>
      <c r="M12" s="68" t="n">
        <v>37700</v>
      </c>
      <c r="N12" s="413" t="n">
        <v>0</v>
      </c>
      <c r="O12" s="407"/>
    </row>
    <row r="13" customFormat="false" ht="12" hidden="false" customHeight="true" outlineLevel="0" collapsed="false">
      <c r="A13" s="68"/>
      <c r="B13" s="402" t="n">
        <v>46387</v>
      </c>
      <c r="C13" s="68"/>
      <c r="D13" s="410" t="s">
        <v>306</v>
      </c>
      <c r="E13" s="410"/>
      <c r="F13" s="410"/>
      <c r="G13" s="411" t="n">
        <v>0</v>
      </c>
      <c r="H13" s="68"/>
      <c r="I13" s="68"/>
      <c r="J13" s="68"/>
      <c r="K13" s="68"/>
      <c r="L13" s="68" t="n">
        <v>37701</v>
      </c>
      <c r="M13" s="68"/>
      <c r="N13" s="68" t="n">
        <v>37701</v>
      </c>
      <c r="O13" s="68"/>
    </row>
    <row r="14" customFormat="false" ht="12" hidden="false" customHeight="true" outlineLevel="0" collapsed="false">
      <c r="A14" s="68"/>
      <c r="B14" s="402" t="n">
        <v>46418</v>
      </c>
      <c r="C14" s="68"/>
      <c r="D14" s="410" t="s">
        <v>307</v>
      </c>
      <c r="E14" s="410"/>
      <c r="F14" s="410"/>
      <c r="G14" s="411" t="n">
        <v>0.1</v>
      </c>
      <c r="H14" s="68"/>
      <c r="I14" s="403" t="s">
        <v>308</v>
      </c>
      <c r="J14" s="403"/>
      <c r="K14" s="403"/>
      <c r="L14" s="406" t="str">
        <f aca="false">G2</f>
        <v>2026-27</v>
      </c>
      <c r="M14" s="68"/>
      <c r="N14" s="68"/>
      <c r="O14" s="68"/>
    </row>
    <row r="15" customFormat="false" ht="12" hidden="false" customHeight="true" outlineLevel="0" collapsed="false">
      <c r="A15" s="68"/>
      <c r="B15" s="402" t="n">
        <v>46446</v>
      </c>
      <c r="C15" s="68"/>
      <c r="D15" s="410" t="s">
        <v>309</v>
      </c>
      <c r="E15" s="410"/>
      <c r="F15" s="410"/>
      <c r="G15" s="411" t="n">
        <v>0.2</v>
      </c>
      <c r="H15" s="68"/>
      <c r="I15" s="68"/>
      <c r="J15" s="68"/>
      <c r="K15" s="68"/>
      <c r="L15" s="68"/>
      <c r="M15" s="68"/>
      <c r="N15" s="68"/>
      <c r="O15" s="68"/>
    </row>
    <row r="16" customFormat="false" ht="12" hidden="false" customHeight="true" outlineLevel="0" collapsed="false">
      <c r="A16" s="68"/>
      <c r="B16" s="402" t="n">
        <v>46477</v>
      </c>
      <c r="C16" s="68"/>
      <c r="D16" s="410" t="s">
        <v>310</v>
      </c>
      <c r="E16" s="410"/>
      <c r="F16" s="410"/>
      <c r="G16" s="411" t="n">
        <v>0.33</v>
      </c>
      <c r="H16" s="68"/>
      <c r="I16" s="410" t="s">
        <v>311</v>
      </c>
      <c r="J16" s="410"/>
      <c r="K16" s="410"/>
      <c r="L16" s="417" t="n">
        <v>0</v>
      </c>
      <c r="M16" s="68" t="s">
        <v>312</v>
      </c>
      <c r="N16" s="68"/>
      <c r="O16" s="68"/>
    </row>
    <row r="17" customFormat="false" ht="12" hidden="false" customHeight="true" outlineLevel="0" collapsed="false">
      <c r="A17" s="68"/>
      <c r="B17" s="409" t="n">
        <v>46482</v>
      </c>
      <c r="C17" s="68"/>
      <c r="D17" s="410" t="s">
        <v>313</v>
      </c>
      <c r="E17" s="410"/>
      <c r="F17" s="410"/>
      <c r="G17" s="411" t="n">
        <v>0.25</v>
      </c>
      <c r="H17" s="68"/>
      <c r="I17" s="68"/>
      <c r="J17" s="68"/>
      <c r="K17" s="68"/>
      <c r="L17" s="418" t="n">
        <v>0</v>
      </c>
      <c r="M17" s="68"/>
      <c r="N17" s="68"/>
      <c r="O17" s="68"/>
    </row>
    <row r="18" customFormat="false" ht="12" hidden="false" customHeight="true" outlineLevel="0" collapsed="false">
      <c r="A18" s="68"/>
      <c r="B18" s="402" t="n">
        <v>46507</v>
      </c>
      <c r="C18" s="68"/>
      <c r="D18" s="68"/>
      <c r="E18" s="68"/>
      <c r="F18" s="68"/>
      <c r="G18" s="407"/>
      <c r="H18" s="68"/>
      <c r="I18" s="68"/>
      <c r="J18" s="68"/>
      <c r="K18" s="68"/>
      <c r="L18" s="68"/>
      <c r="M18" s="68"/>
      <c r="N18" s="68"/>
      <c r="O18" s="68"/>
    </row>
    <row r="19" customFormat="false" ht="12" hidden="false" customHeight="true" outlineLevel="0" collapsed="false">
      <c r="A19" s="68"/>
      <c r="B19" s="402" t="n">
        <v>46538</v>
      </c>
      <c r="C19" s="68"/>
      <c r="D19" s="403" t="s">
        <v>314</v>
      </c>
      <c r="E19" s="403"/>
      <c r="F19" s="407" t="s">
        <v>315</v>
      </c>
      <c r="G19" s="407" t="s">
        <v>316</v>
      </c>
      <c r="H19" s="68"/>
      <c r="I19" s="419" t="s">
        <v>317</v>
      </c>
      <c r="J19" s="419"/>
      <c r="K19" s="419"/>
      <c r="L19" s="68"/>
      <c r="M19" s="420" t="s">
        <v>318</v>
      </c>
      <c r="N19" s="68"/>
      <c r="O19" s="68"/>
    </row>
    <row r="20" customFormat="false" ht="12" hidden="false" customHeight="true" outlineLevel="0" collapsed="false">
      <c r="A20" s="68"/>
      <c r="B20" s="402" t="n">
        <v>46568</v>
      </c>
      <c r="C20" s="68"/>
      <c r="D20" s="401"/>
      <c r="E20" s="401"/>
      <c r="F20" s="407"/>
      <c r="G20" s="407"/>
      <c r="H20" s="68"/>
      <c r="I20" s="419"/>
      <c r="J20" s="419"/>
      <c r="K20" s="419"/>
      <c r="L20" s="421" t="n">
        <v>0.06</v>
      </c>
      <c r="M20" s="420"/>
      <c r="N20" s="413" t="n">
        <v>12570</v>
      </c>
      <c r="O20" s="407" t="s">
        <v>28</v>
      </c>
    </row>
    <row r="21" customFormat="false" ht="12" hidden="false" customHeight="true" outlineLevel="0" collapsed="false">
      <c r="A21" s="68"/>
      <c r="B21" s="402" t="n">
        <v>46783</v>
      </c>
      <c r="C21" s="68"/>
      <c r="D21" s="410" t="s">
        <v>319</v>
      </c>
      <c r="E21" s="410"/>
      <c r="F21" s="413" t="n">
        <v>10000</v>
      </c>
      <c r="G21" s="417" t="n">
        <v>0.45</v>
      </c>
      <c r="H21" s="68"/>
      <c r="I21" s="422"/>
      <c r="J21" s="422"/>
      <c r="K21" s="422"/>
      <c r="L21" s="416"/>
      <c r="M21" s="68"/>
      <c r="N21" s="68"/>
      <c r="O21" s="68"/>
    </row>
    <row r="22" customFormat="false" ht="12" hidden="false" customHeight="true" outlineLevel="0" collapsed="false">
      <c r="A22" s="68"/>
      <c r="B22" s="402" t="n">
        <v>46965</v>
      </c>
      <c r="C22" s="68"/>
      <c r="D22" s="68" t="s">
        <v>320</v>
      </c>
      <c r="E22" s="68"/>
      <c r="F22" s="413" t="n">
        <v>10001</v>
      </c>
      <c r="G22" s="417" t="n">
        <v>0.25</v>
      </c>
      <c r="H22" s="68"/>
      <c r="I22" s="419" t="s">
        <v>321</v>
      </c>
      <c r="J22" s="419"/>
      <c r="K22" s="419"/>
      <c r="L22" s="68"/>
      <c r="M22" s="420" t="s">
        <v>322</v>
      </c>
      <c r="N22" s="68"/>
      <c r="O22" s="68"/>
    </row>
    <row r="23" customFormat="false" ht="12" hidden="false" customHeight="true" outlineLevel="0" collapsed="false">
      <c r="A23" s="68"/>
      <c r="B23" s="409" t="s">
        <v>323</v>
      </c>
      <c r="C23" s="68"/>
      <c r="D23" s="68"/>
      <c r="E23" s="68"/>
      <c r="F23" s="407"/>
      <c r="G23" s="418"/>
      <c r="H23" s="68"/>
      <c r="I23" s="419"/>
      <c r="J23" s="419"/>
      <c r="K23" s="419"/>
      <c r="L23" s="421" t="n">
        <v>0.02</v>
      </c>
      <c r="M23" s="420"/>
      <c r="N23" s="413" t="n">
        <v>50270</v>
      </c>
      <c r="O23" s="407" t="s">
        <v>28</v>
      </c>
    </row>
    <row r="24" customFormat="false" ht="12" hidden="false" customHeight="true" outlineLevel="0" collapsed="false">
      <c r="A24" s="68"/>
      <c r="B24" s="409" t="s">
        <v>324</v>
      </c>
      <c r="C24" s="68"/>
      <c r="D24" s="403" t="s">
        <v>314</v>
      </c>
      <c r="E24" s="403"/>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3"/>
      <c r="C26" s="68"/>
      <c r="D26" s="410" t="s">
        <v>325</v>
      </c>
      <c r="E26" s="410"/>
      <c r="F26" s="413" t="n">
        <v>90000</v>
      </c>
      <c r="G26" s="68"/>
      <c r="H26" s="68"/>
      <c r="I26" s="68"/>
      <c r="J26" s="68"/>
      <c r="K26" s="68"/>
      <c r="L26" s="68"/>
      <c r="M26" s="68"/>
      <c r="N26" s="68"/>
      <c r="O26" s="68"/>
    </row>
    <row r="27" customFormat="false" ht="12" hidden="false" customHeight="false" outlineLevel="0" collapsed="false">
      <c r="A27" s="68"/>
      <c r="B27" s="423"/>
      <c r="C27" s="68"/>
      <c r="D27" s="68"/>
      <c r="E27" s="68"/>
      <c r="F27" s="68"/>
      <c r="G27" s="407"/>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