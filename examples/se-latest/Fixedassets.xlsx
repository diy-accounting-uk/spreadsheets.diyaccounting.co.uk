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<sst xmlns="http://schemas.openxmlformats.org/spreadsheetml/2006/main" count="115" uniqueCount="86">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</sst>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101500</v>
      </c>
      <c r="F1" s="13" t="n">
        <f aca="false">F57+F110</f>
        <v>14098</v>
      </c>
      <c r="G1" s="13" t="n">
        <f aca="false">G57+G110</f>
        <v>34902</v>
      </c>
      <c r="H1" s="14" t="s">
        <v>2</v>
      </c>
      <c r="I1" s="13" t="n">
        <f aca="false">I57+I110</f>
        <v>17740</v>
      </c>
      <c r="J1" s="13" t="n">
        <f aca="false">J57+J110</f>
        <v>31838</v>
      </c>
      <c r="K1" s="13" t="n">
        <f aca="false">K57+K110</f>
        <v>56990</v>
      </c>
      <c r="L1" s="13"/>
      <c r="M1" s="14" t="s">
        <v>3</v>
      </c>
      <c r="N1" s="13"/>
      <c r="O1" s="13" t="n">
        <f aca="false">O57+O110</f>
        <v>33000</v>
      </c>
      <c r="P1" s="15" t="s">
        <v>4</v>
      </c>
      <c r="Q1" s="13" t="n">
        <f aca="false">Q57+Q110</f>
        <v>52500</v>
      </c>
      <c r="R1" s="13" t="n">
        <f aca="false">R57+R110</f>
        <v>3360</v>
      </c>
      <c r="S1" s="13" t="n">
        <f aca="false">S57+S110</f>
        <v>29100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1" customFormat="tru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</row>
    <row r="5" s="31" customFormat="tru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</row>
    <row r="6" customFormat="false" ht="13.5" hidden="false" customHeight="true" outlineLevel="0" collapsed="false">
      <c r="A6" s="43"/>
      <c r="B6" s="44" t="s">
        <v>24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25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26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27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</row>
    <row r="19" customFormat="false" ht="12" hidden="false" customHeight="true" outlineLevel="0" collapsed="false">
      <c r="A19" s="43"/>
      <c r="B19" s="60" t="s">
        <v>28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29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</row>
    <row r="27" customFormat="false" ht="12" hidden="false" customHeight="true" outlineLevel="0" collapsed="false">
      <c r="A27" s="43"/>
      <c r="B27" s="60" t="s">
        <v>30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31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32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</row>
    <row r="35" customFormat="false" ht="12" hidden="false" customHeight="true" outlineLevel="0" collapsed="false">
      <c r="A35" s="43"/>
      <c r="B35" s="60" t="s">
        <v>33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34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35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</row>
    <row r="39" customFormat="false" ht="12" hidden="false" customHeight="false" outlineLevel="0" collapsed="false">
      <c r="A39" s="43"/>
      <c r="B39" s="55"/>
      <c r="C39" s="56" t="s">
        <v>36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37</v>
      </c>
      <c r="AC39" s="48" t="n">
        <f aca="false">IF(AND(O39&gt;0,AB39="S"),O39*AC$4*(1-M39)," ")</f>
        <v>540</v>
      </c>
    </row>
    <row r="40" customFormat="false" ht="12" hidden="false" customHeight="false" outlineLevel="0" collapsed="false">
      <c r="A40" s="43"/>
      <c r="B40" s="55"/>
      <c r="C40" s="56"/>
      <c r="D40" s="57"/>
      <c r="E40" s="58"/>
      <c r="F40" s="58"/>
      <c r="G40" s="51" t="str">
        <f aca="false">IF(E40&gt;0,E40-F40," ")</f>
        <v> </v>
      </c>
      <c r="H40" s="59" t="n">
        <f aca="false">H$37</f>
        <v>0.25</v>
      </c>
      <c r="I40" s="51" t="str">
        <f aca="false">IF(E40&gt;0,MIN(E40*H40,G40)," ")</f>
        <v> </v>
      </c>
      <c r="J40" s="51" t="str">
        <f aca="false">IF(E40&gt;0,F40+I40," ")</f>
        <v> </v>
      </c>
      <c r="K40" s="51" t="str">
        <f aca="false">IF(E40&gt;0,IF(V40&gt;0,0,E40-J40)," ")</f>
        <v> </v>
      </c>
      <c r="L40" s="51"/>
      <c r="M40" s="67" t="n">
        <v>0</v>
      </c>
      <c r="N40" s="51"/>
      <c r="O40" s="68"/>
      <c r="P40" s="49"/>
      <c r="Q40" s="48"/>
      <c r="R40" s="48" t="str">
        <f aca="false">IF(AND(O40&gt;0,AB40&lt;&gt;"S"),O40*R$4*(1-M40)," ")</f>
        <v> </v>
      </c>
      <c r="S40" s="48" t="str">
        <f aca="false">IF(O40&gt;0,O40-N(R40)-N(AC40)," ")</f>
        <v> 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</row>
    <row r="43" customFormat="false" ht="12" hidden="false" customHeight="true" outlineLevel="0" collapsed="false">
      <c r="A43" s="43"/>
      <c r="B43" s="70" t="s">
        <v>38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</row>
    <row r="49" customFormat="false" ht="12" hidden="false" customHeight="true" outlineLevel="0" collapsed="false">
      <c r="A49" s="43"/>
      <c r="B49" s="52" t="s">
        <v>39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</row>
    <row r="55" customFormat="false" ht="12" hidden="false" customHeight="true" outlineLevel="0" collapsed="false">
      <c r="A55" s="43"/>
      <c r="B55" s="60" t="s">
        <v>40</v>
      </c>
      <c r="C55" s="60"/>
      <c r="D55" s="60"/>
      <c r="E55" s="62" t="n">
        <f aca="false">SUM(E38:E54)</f>
        <v>46000</v>
      </c>
      <c r="F55" s="62" t="n">
        <f aca="false">SUM(F38:F54)</f>
        <v>13828</v>
      </c>
      <c r="G55" s="62" t="n">
        <f aca="false">SUM(G38:G54)</f>
        <v>32172</v>
      </c>
      <c r="H55" s="59"/>
      <c r="I55" s="62" t="n">
        <f aca="false">SUM(I38:I54)</f>
        <v>11500</v>
      </c>
      <c r="J55" s="62" t="n">
        <f aca="false">SUM(J38:J54)</f>
        <v>25328</v>
      </c>
      <c r="K55" s="62" t="n">
        <f aca="false">SUM(K38:K54)</f>
        <v>8000</v>
      </c>
      <c r="L55" s="51"/>
      <c r="M55" s="72"/>
      <c r="N55" s="51"/>
      <c r="O55" s="62" t="n">
        <f aca="false">SUM(O38:O54)</f>
        <v>33000</v>
      </c>
      <c r="P55" s="63"/>
      <c r="Q55" s="62" t="n">
        <f aca="false">SUM(Q38:Q54)</f>
        <v>0</v>
      </c>
      <c r="R55" s="62" t="n">
        <f aca="false">SUM(R38:R54)</f>
        <v>3360</v>
      </c>
      <c r="S55" s="62" t="n">
        <f aca="false">SUM(S38:S54)</f>
        <v>29100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49000</v>
      </c>
      <c r="F57" s="75" t="n">
        <f aca="false">F11+F19+F27+F35+F55</f>
        <v>14098</v>
      </c>
      <c r="G57" s="75" t="n">
        <f aca="false">G11+G19+G27+G35+G55</f>
        <v>34902</v>
      </c>
      <c r="H57" s="59"/>
      <c r="I57" s="75" t="n">
        <f aca="false">I11+I19+I27+I35+I55</f>
        <v>12490</v>
      </c>
      <c r="J57" s="75" t="n">
        <f aca="false">J11+J19+J27+J35+J55</f>
        <v>26588</v>
      </c>
      <c r="K57" s="75" t="n">
        <f aca="false">K11+K19+K27+K35+K55</f>
        <v>9740</v>
      </c>
      <c r="L57" s="51"/>
      <c r="M57" s="59"/>
      <c r="N57" s="51"/>
      <c r="O57" s="75" t="n">
        <f aca="false">O11+O19+O27+O35+O55</f>
        <v>33000</v>
      </c>
      <c r="P57" s="63"/>
      <c r="Q57" s="75" t="n">
        <f aca="false">Q11+Q19+Q27+Q35+Q55</f>
        <v>0</v>
      </c>
      <c r="R57" s="75" t="n">
        <f aca="false">R11+R19+R27+R35+R55</f>
        <v>3360</v>
      </c>
      <c r="S57" s="75" t="n">
        <f aca="false">S11+S19+S27+S35+S55</f>
        <v>29100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41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25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42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27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43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44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45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44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46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47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29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48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31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49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</row>
    <row r="102" customFormat="false" ht="12" hidden="false" customHeight="true" outlineLevel="0" collapsed="false">
      <c r="A102" s="43"/>
      <c r="B102" s="52" t="s">
        <v>39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50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s="1" customFormat="tru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8"/>
      <c r="B2" s="99"/>
      <c r="C2" s="100"/>
      <c r="D2" s="101"/>
      <c r="E2" s="102" t="s">
        <v>51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8"/>
      <c r="B4" s="108" t="s">
        <v>52</v>
      </c>
      <c r="C4" s="100"/>
      <c r="D4" s="101"/>
      <c r="E4" s="109" t="s">
        <v>8</v>
      </c>
      <c r="F4" s="103"/>
      <c r="G4" s="110" t="s">
        <v>53</v>
      </c>
      <c r="H4" s="110"/>
      <c r="I4" s="110"/>
      <c r="J4" s="103"/>
      <c r="K4" s="109" t="s">
        <v>54</v>
      </c>
      <c r="L4" s="103"/>
      <c r="M4" s="111" t="s">
        <v>55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8"/>
      <c r="B5" s="99" t="s">
        <v>56</v>
      </c>
      <c r="C5" s="100"/>
      <c r="D5" s="101"/>
      <c r="E5" s="103"/>
      <c r="F5" s="103"/>
      <c r="G5" s="99" t="s">
        <v>57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8"/>
      <c r="B6" s="112" t="s">
        <v>42</v>
      </c>
      <c r="C6" s="112"/>
      <c r="D6" s="112"/>
      <c r="E6" s="113" t="n">
        <f aca="false">Schedule!E64</f>
        <v>0</v>
      </c>
      <c r="F6" s="103"/>
      <c r="G6" s="112" t="s">
        <v>58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8"/>
      <c r="B7" s="112" t="s">
        <v>47</v>
      </c>
      <c r="C7" s="112"/>
      <c r="D7" s="112"/>
      <c r="E7" s="113" t="n">
        <f aca="false">Schedule!E72</f>
        <v>52500</v>
      </c>
      <c r="F7" s="103"/>
      <c r="G7" s="112" t="s">
        <v>59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8"/>
      <c r="B8" s="112" t="s">
        <v>48</v>
      </c>
      <c r="C8" s="112"/>
      <c r="D8" s="112"/>
      <c r="E8" s="113" t="n">
        <f aca="false">Schedule!E80</f>
        <v>0</v>
      </c>
      <c r="F8" s="103"/>
      <c r="G8" s="112" t="s">
        <v>60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8"/>
      <c r="B9" s="112" t="s">
        <v>49</v>
      </c>
      <c r="C9" s="112"/>
      <c r="D9" s="112"/>
      <c r="E9" s="113" t="n">
        <f aca="false">Schedule!E88</f>
        <v>0</v>
      </c>
      <c r="F9" s="103"/>
      <c r="G9" s="112" t="s">
        <v>61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8"/>
      <c r="B10" s="112" t="s">
        <v>50</v>
      </c>
      <c r="C10" s="112"/>
      <c r="D10" s="112"/>
      <c r="E10" s="113" t="n">
        <f aca="false">Schedule!E108</f>
        <v>0</v>
      </c>
      <c r="F10" s="103"/>
      <c r="G10" s="112" t="s">
        <v>62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8"/>
      <c r="B11" s="114" t="s">
        <v>63</v>
      </c>
      <c r="C11" s="114"/>
      <c r="D11" s="114"/>
      <c r="E11" s="115" t="n">
        <f aca="false">SUM(E6:E10)</f>
        <v>52500</v>
      </c>
      <c r="F11" s="103"/>
      <c r="G11" s="116" t="s">
        <v>63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8"/>
      <c r="B13" s="114" t="s">
        <v>64</v>
      </c>
      <c r="C13" s="114"/>
      <c r="D13" s="114"/>
      <c r="E13" s="117" t="n">
        <f aca="false">[2]Mar!$AB$2</f>
        <v>52500</v>
      </c>
      <c r="F13" s="103"/>
      <c r="G13" s="116" t="s">
        <v>65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66</v>
      </c>
      <c r="D2" s="133"/>
      <c r="E2" s="134" t="n">
        <f aca="false">SUM(E8:E14)</f>
        <v>20000</v>
      </c>
      <c r="F2" s="135"/>
      <c r="G2" s="136" t="s">
        <v>67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68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s="142" customFormat="true" ht="15" hidden="false" customHeight="true" outlineLevel="0" collapsed="false">
      <c r="A5" s="140"/>
      <c r="B5" s="10" t="s">
        <v>69</v>
      </c>
      <c r="C5" s="21" t="s">
        <v>70</v>
      </c>
      <c r="D5" s="21" t="s">
        <v>71</v>
      </c>
      <c r="E5" s="141" t="s">
        <v>72</v>
      </c>
      <c r="F5" s="141" t="s">
        <v>73</v>
      </c>
      <c r="G5" s="141" t="s">
        <v>74</v>
      </c>
      <c r="H5" s="21" t="s">
        <v>75</v>
      </c>
      <c r="I5" s="141" t="s">
        <v>76</v>
      </c>
      <c r="J5" s="141"/>
      <c r="K5" s="141"/>
      <c r="L5" s="21" t="s">
        <v>77</v>
      </c>
      <c r="M5" s="140"/>
    </row>
    <row r="6" s="142" customFormat="tru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78</v>
      </c>
      <c r="J6" s="141" t="s">
        <v>79</v>
      </c>
      <c r="K6" s="141" t="s">
        <v>80</v>
      </c>
      <c r="L6" s="21"/>
      <c r="M6" s="140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81</v>
      </c>
      <c r="D8" s="57" t="s">
        <v>82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44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81</v>
      </c>
      <c r="D10" s="57" t="s">
        <v>83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44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84</v>
      </c>
      <c r="C17" s="63"/>
      <c r="D17" s="138"/>
      <c r="E17" s="132"/>
      <c r="F17" s="132"/>
      <c r="G17" s="132"/>
      <c r="H17" s="63" t="s">
        <v>85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s="142" customFormat="true" ht="15" hidden="false" customHeight="true" outlineLevel="0" collapsed="false">
      <c r="A19" s="140"/>
      <c r="B19" s="10" t="s">
        <v>69</v>
      </c>
      <c r="C19" s="21" t="s">
        <v>70</v>
      </c>
      <c r="D19" s="21" t="s">
        <v>71</v>
      </c>
      <c r="E19" s="141" t="s">
        <v>72</v>
      </c>
      <c r="F19" s="141" t="s">
        <v>73</v>
      </c>
      <c r="G19" s="141" t="s">
        <v>74</v>
      </c>
      <c r="H19" s="21" t="s">
        <v>75</v>
      </c>
      <c r="I19" s="141" t="s">
        <v>76</v>
      </c>
      <c r="J19" s="141"/>
      <c r="K19" s="141"/>
      <c r="L19" s="21" t="s">
        <v>77</v>
      </c>
      <c r="M19" s="140"/>
    </row>
    <row r="20" s="142" customFormat="tru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78</v>
      </c>
      <c r="J20" s="141" t="s">
        <v>79</v>
      </c>
      <c r="K20" s="141" t="s">
        <v>80</v>
      </c>
      <c r="L20" s="21"/>
      <c r="M20" s="140"/>
    </row>
    <row r="21" s="142" customFormat="tru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