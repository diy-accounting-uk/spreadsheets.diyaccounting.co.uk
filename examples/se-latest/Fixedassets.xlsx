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<sst xmlns="http://schemas.openxmlformats.org/spreadsheetml/2006/main" count="141" uniqueCount="112">
  <si>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</si>
  <si>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</si>
  <si>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</si>
  <si>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</si>
  <si>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</si>
  <si>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</si>
  <si>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</si>
  <si>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</si>
  <si>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</si>
  <si>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</si>
  <si>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</si>
  <si>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</si>
  <si>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</si>
  <si>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</si>
  <si>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</si>
  <si>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</si>
  <si>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</si>
  <si>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</si>
  <si>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</si>
  <si>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</si>
  <si>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</si>
  <si>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</si>
  <si>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Pool (S = special rate)</t>
  </si>
  <si>
    <t xml:space="preserve">Special Rate W Down Allowance</t>
  </si>
  <si>
    <t xml:space="preserve">Single asset pool (P = private use or short-life asset)</t>
  </si>
  <si>
    <t xml:space="preserve">Single Asset Pool W Down Allowance main rate</t>
  </si>
  <si>
    <t xml:space="preserve">Single Asset Pool W Down Allowance special rate</t>
  </si>
  <si>
    <t xml:space="preserve">Single Asset Pool Written Down Tax Value</t>
  </si>
  <si>
    <t xml:space="preserve">Written Down Tax Value main pool</t>
  </si>
  <si>
    <t xml:space="preserve">Written Down Tax Value special rate pool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</si>
  <si>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</si>
  <si>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</si>
  <si>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</si>
  <si>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</si>
  <si>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</si>
  <si>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</si>
  <si>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</si>
  <si>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</si>
  <si>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</si>
  <si>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</si>
  <si>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</si>
  <si>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</si>
  <si>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Estate car (CO2 over 50g/km, 1.5 years old)</t>
  </si>
  <si>
    <t xml:space="preserve">S</t>
  </si>
  <si>
    <t xml:space="preserve">Hatchback (30% private use, 2 years old)</t>
  </si>
  <si>
    <t xml:space="preserve">P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</si>
  <si>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</si>
  <si>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</si>
  <si>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</si>
  <si>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</si>
  <si>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</si>
  <si>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</si>
  <si>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</si>
  <si>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</si>
  <si>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</si>
  <si>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</si>
  <si>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</si>
  <si>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</si>
  <si>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</si>
  <si>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STRUCTURES AND BUILDINGS ALLOWANCE (SA103F boxes 53 and 53.1)</t>
  </si>
  <si>
    <t xml:space="preserve">Date first in qualifying use</t>
  </si>
  <si>
    <t xml:space="preserve">Building name</t>
  </si>
  <si>
    <t xml:space="preserve">Number</t>
  </si>
  <si>
    <t xml:space="preserve">Qualifying expenditure</t>
  </si>
  <si>
    <t xml:space="preserve">Postcode</t>
  </si>
  <si>
    <t xml:space="preserve">Tax site (F = Freeport or Investment Zone)</t>
  </si>
  <si>
    <t xml:space="preserve">Rate</t>
  </si>
  <si>
    <t xml:space="preserve">Date qualifying use ceased</t>
  </si>
  <si>
    <t xml:space="preserve">Days claimed this year</t>
  </si>
  <si>
    <t xml:space="preserve">Allowance this year</t>
  </si>
  <si>
    <t xml:space="preserve">Unit 4 Trafford Park</t>
  </si>
  <si>
    <t xml:space="preserve">M17 1AA</t>
  </si>
  <si>
    <t xml:space="preserve">7</t>
  </si>
  <si>
    <t xml:space="preserve">L24 9AA</t>
  </si>
  <si>
    <t xml:space="preserve">F</t>
  </si>
  <si>
    <t xml:space="preserve">Structures and Buildings Allowance (box 53)</t>
  </si>
  <si>
    <t xml:space="preserve">Freeport and Investment Zone SBA (box 53.1)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</si>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</sst>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.00_ ;[RED]\-#,##0.00\ "/>
    <numFmt numFmtId="168" formatCode="0%"/>
    <numFmt numFmtId="169" formatCode="dd/mm/yyyy"/>
    <numFmt numFmtId="170" formatCode="[$-F800]dddd&quot;, &quot;mmmm\ dd&quot;, &quot;yyyy"/>
    <numFmt numFmtId="171" formatCode="#,##0"/>
    <numFmt numFmtId="172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6">
          <cell r="G6">
            <v>0.06</v>
          </cell>
        </row>
        <row r="9">
          <cell r="G9">
            <v>0.03</v>
          </cell>
        </row>
        <row r="10">
          <cell r="G10">
            <v>0.1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true" hidden="false" outlineLevel="0" max="28" min="28" style="8" width="5.66"/>
    <col collapsed="false" customWidth="true" hidden="false" outlineLevel="0" max="29" min="29" style="7" width="10.66"/>
    <col collapsed="false" customWidth="true" hidden="false" outlineLevel="0" max="30" min="30" style="8" width="5.66"/>
    <col collapsed="false" customWidth="true" hidden="false" outlineLevel="0" max="35" min="31" style="7" width="10.66"/>
    <col collapsed="false" customWidth="false" hidden="false" outlineLevel="0" max="257" min="36" style="1" width="9.15"/>
  </cols>
  <sheetData>
    <row r="1" customFormat="fals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114000</v>
      </c>
      <c r="F1" s="13" t="n">
        <f aca="false">F57+F110</f>
        <v>19098</v>
      </c>
      <c r="G1" s="13" t="n">
        <f aca="false">G57+G110</f>
        <v>42402</v>
      </c>
      <c r="H1" s="14" t="s">
        <v>2</v>
      </c>
      <c r="I1" s="13" t="n">
        <f aca="false">I57+I110</f>
        <v>20865</v>
      </c>
      <c r="J1" s="13" t="n">
        <f aca="false">J57+J110</f>
        <v>39963</v>
      </c>
      <c r="K1" s="13" t="n">
        <f aca="false">K57+K110</f>
        <v>61365</v>
      </c>
      <c r="L1" s="13"/>
      <c r="M1" s="14" t="s">
        <v>3</v>
      </c>
      <c r="N1" s="13"/>
      <c r="O1" s="13" t="n">
        <f aca="false">O57+O110</f>
        <v>41000</v>
      </c>
      <c r="P1" s="15" t="s">
        <v>4</v>
      </c>
      <c r="Q1" s="13" t="n">
        <f aca="false">Q57+Q110</f>
        <v>52500</v>
      </c>
      <c r="R1" s="13" t="n">
        <f aca="false">R57+R110</f>
        <v>4144</v>
      </c>
      <c r="S1" s="13" t="n">
        <f aca="false">S57+S110</f>
        <v>36316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  <c r="AB1" s="18"/>
      <c r="AC1" s="13" t="n">
        <f aca="false">AC57+AC110</f>
        <v>540</v>
      </c>
      <c r="AD1" s="19"/>
      <c r="AE1" s="13" t="n">
        <f aca="false">AE57+AE110</f>
        <v>784</v>
      </c>
      <c r="AF1" s="13" t="n">
        <f aca="false">AF57+AF110</f>
        <v>0</v>
      </c>
      <c r="AG1" s="13" t="n">
        <f aca="false">AG57+AG110</f>
        <v>7216</v>
      </c>
      <c r="AH1" s="13" t="n">
        <f aca="false">AH57+AH110</f>
        <v>20640</v>
      </c>
      <c r="AI1" s="13" t="n">
        <f aca="false">AI57+AI110</f>
        <v>8460</v>
      </c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  <c r="AB2" s="26" t="s">
        <v>22</v>
      </c>
      <c r="AC2" s="22" t="s">
        <v>23</v>
      </c>
      <c r="AD2" s="26" t="s">
        <v>24</v>
      </c>
      <c r="AE2" s="22" t="s">
        <v>25</v>
      </c>
      <c r="AF2" s="22" t="s">
        <v>26</v>
      </c>
      <c r="AG2" s="22" t="s">
        <v>27</v>
      </c>
      <c r="AH2" s="22" t="s">
        <v>28</v>
      </c>
      <c r="AI2" s="22" t="s">
        <v>29</v>
      </c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customFormat="false" ht="12.75" hidden="false" customHeight="true" outlineLevel="0" collapsed="false">
      <c r="A4" s="9"/>
      <c r="B4" s="10"/>
      <c r="C4" s="20"/>
      <c r="D4" s="21"/>
      <c r="E4" s="22"/>
      <c r="F4" s="27" t="n">
        <f aca="false">[1]Admin!$B$4</f>
        <v>46118</v>
      </c>
      <c r="G4" s="27" t="n">
        <f aca="false">[1]Admin!$B$4</f>
        <v>46118</v>
      </c>
      <c r="H4" s="14"/>
      <c r="I4" s="23"/>
      <c r="J4" s="27" t="n">
        <f aca="false">[1]Admin!$B$17</f>
        <v>46482</v>
      </c>
      <c r="K4" s="27" t="n">
        <f aca="false">[1]Admin!$B$17</f>
        <v>46482</v>
      </c>
      <c r="L4" s="13"/>
      <c r="M4" s="14"/>
      <c r="N4" s="13"/>
      <c r="O4" s="27" t="n">
        <f aca="false">[1]Admin!$B$4</f>
        <v>46118</v>
      </c>
      <c r="P4" s="28" t="n">
        <f aca="false">[1]Admin!$G$4</f>
        <v>1</v>
      </c>
      <c r="Q4" s="22"/>
      <c r="R4" s="29" t="n">
        <f aca="false">[1]Admin!$G$5</f>
        <v>0.14</v>
      </c>
      <c r="S4" s="27" t="n">
        <f aca="false">[1]Admin!$B$17</f>
        <v>46482</v>
      </c>
      <c r="T4" s="16"/>
      <c r="U4" s="17"/>
      <c r="V4" s="24"/>
      <c r="W4" s="24"/>
      <c r="X4" s="24"/>
      <c r="Y4" s="24"/>
      <c r="Z4" s="24"/>
      <c r="AA4" s="30"/>
      <c r="AB4" s="30"/>
      <c r="AC4" s="29" t="n">
        <f aca="false">[1]Admin!$G$6</f>
        <v>0.06</v>
      </c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</row>
    <row r="5" customFormat="false" ht="6" hidden="false" customHeight="true" outlineLevel="0" collapsed="false">
      <c r="A5" s="32"/>
      <c r="B5" s="33"/>
      <c r="C5" s="34"/>
      <c r="D5" s="35"/>
      <c r="E5" s="36"/>
      <c r="F5" s="37"/>
      <c r="G5" s="36"/>
      <c r="H5" s="38"/>
      <c r="I5" s="37"/>
      <c r="J5" s="37"/>
      <c r="K5" s="36"/>
      <c r="L5" s="39"/>
      <c r="M5" s="40"/>
      <c r="N5" s="39"/>
      <c r="O5" s="36"/>
      <c r="P5" s="35"/>
      <c r="Q5" s="41"/>
      <c r="R5" s="42"/>
      <c r="S5" s="36"/>
      <c r="T5" s="39"/>
      <c r="U5" s="33"/>
      <c r="V5" s="36"/>
      <c r="W5" s="36"/>
      <c r="X5" s="36"/>
      <c r="Y5" s="36"/>
      <c r="Z5" s="36"/>
      <c r="AA5" s="30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  <c r="IM5" s="31"/>
      <c r="IN5" s="31"/>
      <c r="IO5" s="31"/>
      <c r="IP5" s="31"/>
      <c r="IQ5" s="31"/>
      <c r="IR5" s="31"/>
      <c r="IS5" s="31"/>
      <c r="IT5" s="31"/>
      <c r="IU5" s="31"/>
      <c r="IV5" s="31"/>
      <c r="IW5" s="31"/>
    </row>
    <row r="6" customFormat="false" ht="13.5" hidden="false" customHeight="true" outlineLevel="0" collapsed="false">
      <c r="A6" s="43"/>
      <c r="B6" s="44" t="s">
        <v>30</v>
      </c>
      <c r="C6" s="44"/>
      <c r="D6" s="45" t="n">
        <f aca="false">[1]Admin!$B$4</f>
        <v>46118</v>
      </c>
      <c r="E6" s="46"/>
      <c r="F6" s="46"/>
      <c r="G6" s="46"/>
      <c r="H6" s="47"/>
      <c r="I6" s="46"/>
      <c r="J6" s="46"/>
      <c r="K6" s="46"/>
      <c r="L6" s="46"/>
      <c r="M6" s="47"/>
      <c r="N6" s="46"/>
      <c r="O6" s="48"/>
      <c r="P6" s="49"/>
      <c r="Q6" s="48"/>
      <c r="R6" s="48"/>
      <c r="S6" s="48"/>
      <c r="T6" s="48"/>
      <c r="U6" s="50"/>
      <c r="V6" s="51"/>
      <c r="W6" s="51"/>
      <c r="X6" s="51"/>
      <c r="Y6" s="48"/>
      <c r="Z6" s="48"/>
      <c r="AA6" s="25"/>
    </row>
    <row r="7" customFormat="false" ht="13.5" hidden="false" customHeight="true" outlineLevel="0" collapsed="false">
      <c r="A7" s="43"/>
      <c r="B7" s="52" t="s">
        <v>31</v>
      </c>
      <c r="C7" s="52"/>
      <c r="D7" s="53"/>
      <c r="E7" s="46"/>
      <c r="F7" s="46"/>
      <c r="G7" s="46"/>
      <c r="H7" s="54" t="n">
        <f aca="false">[1]Admin!$G$13</f>
        <v>0</v>
      </c>
      <c r="I7" s="46"/>
      <c r="J7" s="46"/>
      <c r="K7" s="46"/>
      <c r="L7" s="46"/>
      <c r="M7" s="47"/>
      <c r="N7" s="46"/>
      <c r="O7" s="48"/>
      <c r="P7" s="49"/>
      <c r="Q7" s="48"/>
      <c r="R7" s="48"/>
      <c r="S7" s="48"/>
      <c r="T7" s="48"/>
      <c r="U7" s="50"/>
      <c r="V7" s="51"/>
      <c r="W7" s="51"/>
      <c r="X7" s="51"/>
      <c r="Y7" s="48"/>
      <c r="Z7" s="48"/>
      <c r="AA7" s="25"/>
    </row>
    <row r="8" customFormat="false" ht="12" hidden="false" customHeight="false" outlineLevel="0" collapsed="false">
      <c r="A8" s="43"/>
      <c r="B8" s="55"/>
      <c r="C8" s="56"/>
      <c r="D8" s="57"/>
      <c r="E8" s="58"/>
      <c r="F8" s="58"/>
      <c r="G8" s="51" t="str">
        <f aca="false">IF(E8&gt;0,E8-F8," ")</f>
        <v> </v>
      </c>
      <c r="H8" s="59" t="n">
        <f aca="false">H$7</f>
        <v>0</v>
      </c>
      <c r="I8" s="51" t="str">
        <f aca="false">IF(E8&gt;0,MIN(E8*H8,G8)," ")</f>
        <v> </v>
      </c>
      <c r="J8" s="51" t="str">
        <f aca="false">IF(E8&gt;0,F8+I8," ")</f>
        <v> </v>
      </c>
      <c r="K8" s="51" t="str">
        <f aca="false">IF(E8&gt;0,IF(V8&gt;0,0,E8-J8)," ")</f>
        <v> </v>
      </c>
      <c r="L8" s="51"/>
      <c r="M8" s="59"/>
      <c r="N8" s="51"/>
      <c r="O8" s="48"/>
      <c r="P8" s="49"/>
      <c r="Q8" s="48"/>
      <c r="R8" s="48"/>
      <c r="S8" s="48"/>
      <c r="T8" s="48"/>
      <c r="U8" s="55"/>
      <c r="V8" s="58"/>
      <c r="W8" s="51" t="str">
        <f aca="false">IF(V8&gt;0,E8," ")</f>
        <v> </v>
      </c>
      <c r="X8" s="51" t="str">
        <f aca="false">IF(V8&gt;0,J8," ")</f>
        <v> </v>
      </c>
      <c r="Y8" s="48"/>
      <c r="Z8" s="48"/>
      <c r="AA8" s="25"/>
    </row>
    <row r="9" customFormat="false" ht="12" hidden="false" customHeight="false" outlineLevel="0" collapsed="false">
      <c r="A9" s="43"/>
      <c r="B9" s="55"/>
      <c r="C9" s="56"/>
      <c r="D9" s="57"/>
      <c r="E9" s="58"/>
      <c r="F9" s="58"/>
      <c r="G9" s="51" t="str">
        <f aca="false">IF(E9&gt;0,E9-F9," ")</f>
        <v> </v>
      </c>
      <c r="H9" s="59" t="n">
        <f aca="false">H$7</f>
        <v>0</v>
      </c>
      <c r="I9" s="51" t="str">
        <f aca="false">IF(E9&gt;0,MIN(E9*H9,G9)," ")</f>
        <v> </v>
      </c>
      <c r="J9" s="51" t="str">
        <f aca="false">IF(E9&gt;0,F9+I9," ")</f>
        <v> </v>
      </c>
      <c r="K9" s="51" t="str">
        <f aca="false">IF(E9&gt;0,IF(V9&gt;0,0,E9-J9)," ")</f>
        <v> </v>
      </c>
      <c r="L9" s="51"/>
      <c r="M9" s="59"/>
      <c r="N9" s="51"/>
      <c r="O9" s="48"/>
      <c r="P9" s="49"/>
      <c r="Q9" s="48"/>
      <c r="R9" s="48"/>
      <c r="S9" s="48"/>
      <c r="T9" s="48"/>
      <c r="U9" s="55"/>
      <c r="V9" s="58"/>
      <c r="W9" s="51" t="str">
        <f aca="false">IF(V9&gt;0,E9," ")</f>
        <v> </v>
      </c>
      <c r="X9" s="51" t="str">
        <f aca="false">IF(V9&gt;0,J9," ")</f>
        <v> </v>
      </c>
      <c r="Y9" s="48"/>
      <c r="Z9" s="48"/>
      <c r="AA9" s="25"/>
    </row>
    <row r="10" customFormat="false" ht="12" hidden="false" customHeight="false" outlineLevel="0" collapsed="false">
      <c r="A10" s="43"/>
      <c r="B10" s="55"/>
      <c r="C10" s="56"/>
      <c r="D10" s="57"/>
      <c r="E10" s="58"/>
      <c r="F10" s="58"/>
      <c r="G10" s="51" t="str">
        <f aca="false">IF(E10&gt;0,E10-F10," ")</f>
        <v> </v>
      </c>
      <c r="H10" s="59" t="n">
        <f aca="false">H$7</f>
        <v>0</v>
      </c>
      <c r="I10" s="51" t="str">
        <f aca="false">IF(E10&gt;0,MIN(E10*H10,G10)," ")</f>
        <v> </v>
      </c>
      <c r="J10" s="51" t="str">
        <f aca="false">IF(E10&gt;0,F10+I10," ")</f>
        <v> </v>
      </c>
      <c r="K10" s="51" t="str">
        <f aca="false">IF(E10&gt;0,IF(V10&gt;0,0,E10-J10)," ")</f>
        <v> </v>
      </c>
      <c r="L10" s="51"/>
      <c r="M10" s="59"/>
      <c r="N10" s="51"/>
      <c r="O10" s="48"/>
      <c r="P10" s="49"/>
      <c r="Q10" s="48"/>
      <c r="R10" s="48"/>
      <c r="S10" s="48"/>
      <c r="T10" s="48"/>
      <c r="U10" s="55"/>
      <c r="V10" s="58"/>
      <c r="W10" s="51" t="str">
        <f aca="false">IF(V10&gt;0,E10," ")</f>
        <v> </v>
      </c>
      <c r="X10" s="51" t="str">
        <f aca="false">IF(V10&gt;0,J10," ")</f>
        <v> </v>
      </c>
      <c r="Y10" s="48"/>
      <c r="Z10" s="48"/>
      <c r="AA10" s="25"/>
    </row>
    <row r="11" customFormat="false" ht="12" hidden="false" customHeight="true" outlineLevel="0" collapsed="false">
      <c r="A11" s="43"/>
      <c r="B11" s="60" t="s">
        <v>32</v>
      </c>
      <c r="C11" s="60"/>
      <c r="D11" s="60"/>
      <c r="E11" s="61" t="n">
        <f aca="false">SUM(E8:E10)</f>
        <v>0</v>
      </c>
      <c r="F11" s="61" t="n">
        <f aca="false">SUM(F8:F10)</f>
        <v>0</v>
      </c>
      <c r="G11" s="62" t="n">
        <f aca="false">SUM(G8:G10)</f>
        <v>0</v>
      </c>
      <c r="H11" s="59"/>
      <c r="I11" s="62" t="n">
        <f aca="false">SUM(I8:I10)</f>
        <v>0</v>
      </c>
      <c r="J11" s="62" t="n">
        <f aca="false">SUM(J8:J10)</f>
        <v>0</v>
      </c>
      <c r="K11" s="62" t="n">
        <f aca="false">SUM(K8:K10)</f>
        <v>0</v>
      </c>
      <c r="L11" s="51"/>
      <c r="M11" s="59"/>
      <c r="N11" s="51"/>
      <c r="O11" s="62" t="n">
        <f aca="false">SUM(O8:O10)</f>
        <v>0</v>
      </c>
      <c r="P11" s="63"/>
      <c r="Q11" s="62" t="n">
        <f aca="false">SUM(Q8:Q10)</f>
        <v>0</v>
      </c>
      <c r="R11" s="62" t="n">
        <f aca="false">SUM(R8:R10)</f>
        <v>0</v>
      </c>
      <c r="S11" s="62" t="n">
        <f aca="false">SUM(S8:S10)</f>
        <v>0</v>
      </c>
      <c r="T11" s="48"/>
      <c r="U11" s="50"/>
      <c r="V11" s="61" t="n">
        <f aca="false">SUM(V8:V10)</f>
        <v>0</v>
      </c>
      <c r="W11" s="62" t="n">
        <f aca="false">SUM(W8:W10)</f>
        <v>0</v>
      </c>
      <c r="X11" s="62" t="n">
        <f aca="false">SUM(X8:X10)</f>
        <v>0</v>
      </c>
      <c r="Y11" s="62" t="n">
        <f aca="false">SUM(Y8:Y10)</f>
        <v>0</v>
      </c>
      <c r="Z11" s="62" t="n">
        <f aca="false">SUM(Z8:Z10)</f>
        <v>0</v>
      </c>
      <c r="AA11" s="25"/>
      <c r="AB11" s="25"/>
      <c r="AC11" s="62" t="n">
        <f aca="false">SUM(AC8:AC10)</f>
        <v>0</v>
      </c>
      <c r="AE11" s="62" t="n">
        <f aca="false">SUM(AE8:AE10)</f>
        <v>0</v>
      </c>
      <c r="AF11" s="62" t="n">
        <f aca="false">SUM(AF8:AF10)</f>
        <v>0</v>
      </c>
      <c r="AG11" s="62" t="n">
        <f aca="false">SUM(AG8:AG10)</f>
        <v>0</v>
      </c>
      <c r="AH11" s="62" t="n">
        <f aca="false">SUM(AH8:AH10)</f>
        <v>0</v>
      </c>
      <c r="AI11" s="62" t="n">
        <f aca="false">SUM(AI8:AI10)</f>
        <v>0</v>
      </c>
    </row>
    <row r="12" customFormat="false" ht="6" hidden="false" customHeight="true" outlineLevel="0" collapsed="false">
      <c r="A12" s="43"/>
      <c r="B12" s="64"/>
      <c r="C12" s="65"/>
      <c r="D12" s="66"/>
      <c r="E12" s="51"/>
      <c r="F12" s="51"/>
      <c r="G12" s="51"/>
      <c r="H12" s="59"/>
      <c r="I12" s="51"/>
      <c r="J12" s="51"/>
      <c r="K12" s="51"/>
      <c r="L12" s="51"/>
      <c r="M12" s="59"/>
      <c r="N12" s="51"/>
      <c r="O12" s="51"/>
      <c r="P12" s="63"/>
      <c r="Q12" s="51"/>
      <c r="R12" s="51"/>
      <c r="S12" s="51"/>
      <c r="T12" s="48"/>
      <c r="U12" s="50"/>
      <c r="V12" s="51"/>
      <c r="W12" s="51"/>
      <c r="X12" s="51"/>
      <c r="Y12" s="51"/>
      <c r="Z12" s="51"/>
      <c r="AA12" s="25"/>
    </row>
    <row r="13" customFormat="false" ht="12" hidden="false" customHeight="true" outlineLevel="0" collapsed="false">
      <c r="A13" s="43"/>
      <c r="B13" s="52" t="s">
        <v>33</v>
      </c>
      <c r="C13" s="52"/>
      <c r="D13" s="63"/>
      <c r="E13" s="51"/>
      <c r="F13" s="51"/>
      <c r="G13" s="51"/>
      <c r="H13" s="67" t="n">
        <f aca="false">[1]Admin!$G$14</f>
        <v>0.1</v>
      </c>
      <c r="I13" s="51"/>
      <c r="J13" s="51"/>
      <c r="K13" s="51"/>
      <c r="L13" s="51"/>
      <c r="M13" s="59"/>
      <c r="N13" s="51"/>
      <c r="O13" s="48"/>
      <c r="P13" s="49"/>
      <c r="Q13" s="48"/>
      <c r="R13" s="48"/>
      <c r="S13" s="48"/>
      <c r="T13" s="48"/>
      <c r="U13" s="50"/>
      <c r="V13" s="51"/>
      <c r="W13" s="51"/>
      <c r="X13" s="51"/>
      <c r="Y13" s="48"/>
      <c r="Z13" s="48"/>
      <c r="AA13" s="25"/>
    </row>
    <row r="14" customFormat="false" ht="12" hidden="false" customHeight="false" outlineLevel="0" collapsed="false">
      <c r="A14" s="43"/>
      <c r="B14" s="55"/>
      <c r="C14" s="56"/>
      <c r="D14" s="57"/>
      <c r="E14" s="58"/>
      <c r="F14" s="58"/>
      <c r="G14" s="51" t="str">
        <f aca="false">IF(E14&gt;0,E14-F14," ")</f>
        <v> </v>
      </c>
      <c r="H14" s="59" t="n">
        <f aca="false">H$13</f>
        <v>0.1</v>
      </c>
      <c r="I14" s="51" t="str">
        <f aca="false">IF(E14&gt;0,MIN(E14*H14,G14)," ")</f>
        <v> </v>
      </c>
      <c r="J14" s="51" t="str">
        <f aca="false">IF(E14&gt;0,F14+I14," ")</f>
        <v> </v>
      </c>
      <c r="K14" s="51" t="str">
        <f aca="false">IF(E14&gt;0,IF(V14&gt;0,0,E14-J14)," ")</f>
        <v> </v>
      </c>
      <c r="L14" s="51"/>
      <c r="M14" s="59"/>
      <c r="N14" s="51"/>
      <c r="O14" s="68"/>
      <c r="P14" s="49"/>
      <c r="Q14" s="48"/>
      <c r="R14" s="48" t="str">
        <f aca="false">IF(AND(O14&gt;0,AB14&lt;&gt;"S"),O14*R$4," ")</f>
        <v> </v>
      </c>
      <c r="S14" s="48" t="str">
        <f aca="false">IF(O14&gt;0,O14-N(R14)-N(AC14)," ")</f>
        <v> </v>
      </c>
      <c r="T14" s="48"/>
      <c r="U14" s="55"/>
      <c r="V14" s="58"/>
      <c r="W14" s="51" t="str">
        <f aca="false">IF(V14&gt;0,E14," ")</f>
        <v> </v>
      </c>
      <c r="X14" s="51" t="str">
        <f aca="false">IF(V14&gt;0,J14," ")</f>
        <v> </v>
      </c>
      <c r="Y14" s="48" t="str">
        <f aca="false">IF((U14+V14)&gt;0,IF(V14&lt;S14,S14-V14," ")," ")</f>
        <v> </v>
      </c>
      <c r="Z14" s="48" t="str">
        <f aca="false">IF((U14+V14)&gt;0,IF(V14&gt;S14,V14-S14," ")," ")</f>
        <v> </v>
      </c>
      <c r="AA14" s="25"/>
      <c r="AB14" s="55"/>
      <c r="AC14" s="48" t="str">
        <f aca="false">IF(AND(O14&gt;0,AB14="S"),O14*AC$4," ")</f>
        <v> </v>
      </c>
      <c r="AE14" s="48" t="str">
        <f aca="false">IF(AND(AD14="P",AB14&lt;&gt;"S"),N(R14)," ")</f>
        <v> </v>
      </c>
      <c r="AF14" s="48" t="str">
        <f aca="false">IF(AND(AD14="P",AB14="S"),N(AC14)," ")</f>
        <v> </v>
      </c>
      <c r="AG14" s="48" t="str">
        <f aca="false">IF(AD14="P",N(S14)," ")</f>
        <v> </v>
      </c>
      <c r="AH14" s="48" t="n">
        <f aca="false">IF(AND(AD14&lt;&gt;"P",AB14&lt;&gt;"S"),N(S14)," ")</f>
        <v>0</v>
      </c>
      <c r="AI14" s="48" t="str">
        <f aca="false">IF(AND(AD14&lt;&gt;"P",AB14="S"),N(S14)," ")</f>
        <v> </v>
      </c>
    </row>
    <row r="15" customFormat="false" ht="12" hidden="false" customHeight="false" outlineLevel="0" collapsed="false">
      <c r="A15" s="43"/>
      <c r="B15" s="55"/>
      <c r="C15" s="56"/>
      <c r="D15" s="57"/>
      <c r="E15" s="58"/>
      <c r="F15" s="58"/>
      <c r="G15" s="51" t="str">
        <f aca="false">IF(E15&gt;0,E15-F15," ")</f>
        <v> </v>
      </c>
      <c r="H15" s="59" t="n">
        <f aca="false">H$13</f>
        <v>0.1</v>
      </c>
      <c r="I15" s="51" t="str">
        <f aca="false">IF(E15&gt;0,MIN(E15*H15,G15)," ")</f>
        <v> </v>
      </c>
      <c r="J15" s="51" t="str">
        <f aca="false">IF(E15&gt;0,F15+I15," ")</f>
        <v> </v>
      </c>
      <c r="K15" s="51" t="str">
        <f aca="false">IF(E15&gt;0,IF(V15&gt;0,0,E15-J15)," ")</f>
        <v> </v>
      </c>
      <c r="L15" s="51"/>
      <c r="M15" s="59"/>
      <c r="N15" s="51"/>
      <c r="O15" s="68"/>
      <c r="P15" s="49"/>
      <c r="Q15" s="48"/>
      <c r="R15" s="48" t="str">
        <f aca="false">IF(AND(O15&gt;0,AB15&lt;&gt;"S"),O15*R$4," ")</f>
        <v> </v>
      </c>
      <c r="S15" s="48" t="str">
        <f aca="false">IF(O15&gt;0,O15-N(R15)-N(AC15)," ")</f>
        <v> </v>
      </c>
      <c r="T15" s="48"/>
      <c r="U15" s="55"/>
      <c r="V15" s="58"/>
      <c r="W15" s="51" t="str">
        <f aca="false">IF(V15&gt;0,E15," ")</f>
        <v> </v>
      </c>
      <c r="X15" s="51" t="str">
        <f aca="false">IF(V15&gt;0,J15," ")</f>
        <v> </v>
      </c>
      <c r="Y15" s="48" t="str">
        <f aca="false">IF((U15+V15)&gt;0,IF(V15&lt;S15,S15-V15," ")," ")</f>
        <v> </v>
      </c>
      <c r="Z15" s="48" t="str">
        <f aca="false">IF((U15+V15)&gt;0,IF(V15&gt;S15,V15-S15," ")," ")</f>
        <v> </v>
      </c>
      <c r="AA15" s="25"/>
      <c r="AB15" s="55"/>
      <c r="AC15" s="48" t="str">
        <f aca="false">IF(AND(O15&gt;0,AB15="S"),O15*AC$4," ")</f>
        <v> </v>
      </c>
      <c r="AE15" s="48" t="str">
        <f aca="false">IF(AND(AD15="P",AB15&lt;&gt;"S"),N(R15)," ")</f>
        <v> </v>
      </c>
      <c r="AF15" s="48" t="str">
        <f aca="false">IF(AND(AD15="P",AB15="S"),N(AC15)," ")</f>
        <v> </v>
      </c>
      <c r="AG15" s="48" t="str">
        <f aca="false">IF(AD15="P",N(S15)," ")</f>
        <v> </v>
      </c>
      <c r="AH15" s="48" t="n">
        <f aca="false">IF(AND(AD15&lt;&gt;"P",AB15&lt;&gt;"S"),N(S15)," ")</f>
        <v>0</v>
      </c>
      <c r="AI15" s="48" t="str">
        <f aca="false">IF(AND(AD15&lt;&gt;"P",AB15="S"),N(S15)," ")</f>
        <v> </v>
      </c>
    </row>
    <row r="16" customFormat="false" ht="12" hidden="false" customHeight="false" outlineLevel="0" collapsed="false">
      <c r="A16" s="43"/>
      <c r="B16" s="55"/>
      <c r="C16" s="56"/>
      <c r="D16" s="57"/>
      <c r="E16" s="58"/>
      <c r="F16" s="58"/>
      <c r="G16" s="51" t="str">
        <f aca="false">IF(E16&gt;0,E16-F16," ")</f>
        <v> </v>
      </c>
      <c r="H16" s="59" t="n">
        <f aca="false">H$13</f>
        <v>0.1</v>
      </c>
      <c r="I16" s="51" t="str">
        <f aca="false">IF(E16&gt;0,MIN(E16*H16,G16)," ")</f>
        <v> </v>
      </c>
      <c r="J16" s="51" t="str">
        <f aca="false">IF(E16&gt;0,F16+I16," ")</f>
        <v> </v>
      </c>
      <c r="K16" s="51" t="str">
        <f aca="false">IF(E16&gt;0,IF(V16&gt;0,0,E16-J16)," ")</f>
        <v> </v>
      </c>
      <c r="L16" s="51"/>
      <c r="M16" s="59"/>
      <c r="N16" s="51"/>
      <c r="O16" s="68"/>
      <c r="P16" s="49"/>
      <c r="Q16" s="48"/>
      <c r="R16" s="48" t="str">
        <f aca="false">IF(AND(O16&gt;0,AB16&lt;&gt;"S"),O16*R$4," ")</f>
        <v> </v>
      </c>
      <c r="S16" s="48" t="str">
        <f aca="false">IF(O16&gt;0,O16-N(R16)-N(AC16)," ")</f>
        <v> </v>
      </c>
      <c r="T16" s="48"/>
      <c r="U16" s="55"/>
      <c r="V16" s="58"/>
      <c r="W16" s="51" t="str">
        <f aca="false">IF(V16&gt;0,E16," ")</f>
        <v> </v>
      </c>
      <c r="X16" s="51" t="str">
        <f aca="false">IF(V16&gt;0,J16," ")</f>
        <v> </v>
      </c>
      <c r="Y16" s="48" t="str">
        <f aca="false">IF((U16+V16)&gt;0,IF(V16&lt;S16,S16-V16," ")," ")</f>
        <v> </v>
      </c>
      <c r="Z16" s="48" t="str">
        <f aca="false">IF((U16+V16)&gt;0,IF(V16&gt;S16,V16-S16," ")," ")</f>
        <v> </v>
      </c>
      <c r="AA16" s="25"/>
      <c r="AB16" s="55"/>
      <c r="AC16" s="48" t="str">
        <f aca="false">IF(AND(O16&gt;0,AB16="S"),O16*AC$4," ")</f>
        <v> </v>
      </c>
      <c r="AE16" s="48" t="str">
        <f aca="false">IF(AND(AD16="P",AB16&lt;&gt;"S"),N(R16)," ")</f>
        <v> </v>
      </c>
      <c r="AF16" s="48" t="str">
        <f aca="false">IF(AND(AD16="P",AB16="S"),N(AC16)," ")</f>
        <v> </v>
      </c>
      <c r="AG16" s="48" t="str">
        <f aca="false">IF(AD16="P",N(S16)," ")</f>
        <v> </v>
      </c>
      <c r="AH16" s="48" t="n">
        <f aca="false">IF(AND(AD16&lt;&gt;"P",AB16&lt;&gt;"S"),N(S16)," ")</f>
        <v>0</v>
      </c>
      <c r="AI16" s="48" t="str">
        <f aca="false">IF(AND(AD16&lt;&gt;"P",AB16="S"),N(S16)," ")</f>
        <v> </v>
      </c>
    </row>
    <row r="17" customFormat="false" ht="12" hidden="false" customHeight="false" outlineLevel="0" collapsed="false">
      <c r="A17" s="43"/>
      <c r="B17" s="55"/>
      <c r="C17" s="56"/>
      <c r="D17" s="57"/>
      <c r="E17" s="58"/>
      <c r="F17" s="58"/>
      <c r="G17" s="51" t="str">
        <f aca="false">IF(E17&gt;0,E17-F17," ")</f>
        <v> </v>
      </c>
      <c r="H17" s="59" t="n">
        <f aca="false">H$13</f>
        <v>0.1</v>
      </c>
      <c r="I17" s="51" t="str">
        <f aca="false">IF(E17&gt;0,MIN(E17*H17,G17)," ")</f>
        <v> </v>
      </c>
      <c r="J17" s="51" t="str">
        <f aca="false">IF(E17&gt;0,F17+I17," ")</f>
        <v> </v>
      </c>
      <c r="K17" s="51" t="str">
        <f aca="false">IF(E17&gt;0,IF(V17&gt;0,0,E17-J17)," ")</f>
        <v> </v>
      </c>
      <c r="L17" s="51"/>
      <c r="M17" s="59"/>
      <c r="N17" s="51"/>
      <c r="O17" s="68"/>
      <c r="P17" s="49"/>
      <c r="Q17" s="48"/>
      <c r="R17" s="48" t="str">
        <f aca="false">IF(AND(O17&gt;0,AB17&lt;&gt;"S"),O17*R$4," ")</f>
        <v> </v>
      </c>
      <c r="S17" s="48" t="str">
        <f aca="false">IF(O17&gt;0,O17-N(R17)-N(AC17)," ")</f>
        <v> </v>
      </c>
      <c r="T17" s="48"/>
      <c r="U17" s="55"/>
      <c r="V17" s="58"/>
      <c r="W17" s="51" t="str">
        <f aca="false">IF(V17&gt;0,E17," ")</f>
        <v> </v>
      </c>
      <c r="X17" s="51" t="str">
        <f aca="false">IF(V17&gt;0,J17," ")</f>
        <v> </v>
      </c>
      <c r="Y17" s="48" t="str">
        <f aca="false">IF((U17+V17)&gt;0,IF(V17&lt;S17,S17-V17," ")," ")</f>
        <v> </v>
      </c>
      <c r="Z17" s="48" t="str">
        <f aca="false">IF((U17+V17)&gt;0,IF(V17&gt;S17,V17-S17," ")," ")</f>
        <v> </v>
      </c>
      <c r="AA17" s="25"/>
      <c r="AB17" s="55"/>
      <c r="AC17" s="48" t="str">
        <f aca="false">IF(AND(O17&gt;0,AB17="S"),O17*AC$4," ")</f>
        <v> </v>
      </c>
      <c r="AE17" s="48" t="str">
        <f aca="false">IF(AND(AD17="P",AB17&lt;&gt;"S"),N(R17)," ")</f>
        <v> </v>
      </c>
      <c r="AF17" s="48" t="str">
        <f aca="false">IF(AND(AD17="P",AB17="S"),N(AC17)," ")</f>
        <v> </v>
      </c>
      <c r="AG17" s="48" t="str">
        <f aca="false">IF(AD17="P",N(S17)," ")</f>
        <v> </v>
      </c>
      <c r="AH17" s="48" t="n">
        <f aca="false">IF(AND(AD17&lt;&gt;"P",AB17&lt;&gt;"S"),N(S17)," ")</f>
        <v>0</v>
      </c>
      <c r="AI17" s="48" t="str">
        <f aca="false">IF(AND(AD17&lt;&gt;"P",AB17="S"),N(S17)," ")</f>
        <v> </v>
      </c>
    </row>
    <row r="18" customFormat="false" ht="12" hidden="false" customHeight="false" outlineLevel="0" collapsed="false">
      <c r="A18" s="43"/>
      <c r="B18" s="55"/>
      <c r="C18" s="56"/>
      <c r="D18" s="57"/>
      <c r="E18" s="58"/>
      <c r="F18" s="58"/>
      <c r="G18" s="51" t="str">
        <f aca="false">IF(E18&gt;0,E18-F18," ")</f>
        <v> </v>
      </c>
      <c r="H18" s="59" t="n">
        <f aca="false">H$13</f>
        <v>0.1</v>
      </c>
      <c r="I18" s="51" t="str">
        <f aca="false">IF(E18&gt;0,MIN(E18*H18,G18)," ")</f>
        <v> </v>
      </c>
      <c r="J18" s="51" t="str">
        <f aca="false">IF(E18&gt;0,F18+I18," ")</f>
        <v> </v>
      </c>
      <c r="K18" s="51" t="str">
        <f aca="false">IF(E18&gt;0,IF(V18&gt;0,0,E18-J18)," ")</f>
        <v> </v>
      </c>
      <c r="L18" s="51"/>
      <c r="M18" s="59"/>
      <c r="N18" s="51"/>
      <c r="O18" s="68"/>
      <c r="P18" s="49"/>
      <c r="Q18" s="48"/>
      <c r="R18" s="48" t="str">
        <f aca="false">IF(AND(O18&gt;0,AB18&lt;&gt;"S"),O18*R$4," ")</f>
        <v> </v>
      </c>
      <c r="S18" s="48" t="str">
        <f aca="false">IF(O18&gt;0,O18-N(R18)-N(AC18)," ")</f>
        <v> </v>
      </c>
      <c r="T18" s="48"/>
      <c r="U18" s="55"/>
      <c r="V18" s="58"/>
      <c r="W18" s="51" t="str">
        <f aca="false">IF(V18&gt;0,E18," ")</f>
        <v> </v>
      </c>
      <c r="X18" s="51" t="str">
        <f aca="false">IF(V18&gt;0,J18," ")</f>
        <v> </v>
      </c>
      <c r="Y18" s="48" t="str">
        <f aca="false">IF((U18+V18)&gt;0,IF(V18&lt;S18,S18-V18," ")," ")</f>
        <v> </v>
      </c>
      <c r="Z18" s="48" t="str">
        <f aca="false">IF((U18+V18)&gt;0,IF(V18&gt;S18,V18-S18," ")," ")</f>
        <v> </v>
      </c>
      <c r="AA18" s="25"/>
      <c r="AB18" s="55"/>
      <c r="AC18" s="48" t="str">
        <f aca="false">IF(AND(O18&gt;0,AB18="S"),O18*AC$4," ")</f>
        <v> </v>
      </c>
      <c r="AE18" s="48" t="str">
        <f aca="false">IF(AND(AD18="P",AB18&lt;&gt;"S"),N(R18)," ")</f>
        <v> </v>
      </c>
      <c r="AF18" s="48" t="str">
        <f aca="false">IF(AND(AD18="P",AB18="S"),N(AC18)," ")</f>
        <v> </v>
      </c>
      <c r="AG18" s="48" t="str">
        <f aca="false">IF(AD18="P",N(S18)," ")</f>
        <v> </v>
      </c>
      <c r="AH18" s="48" t="n">
        <f aca="false">IF(AND(AD18&lt;&gt;"P",AB18&lt;&gt;"S"),N(S18)," ")</f>
        <v>0</v>
      </c>
      <c r="AI18" s="48" t="str">
        <f aca="false">IF(AND(AD18&lt;&gt;"P",AB18="S"),N(S18)," ")</f>
        <v> </v>
      </c>
    </row>
    <row r="19" customFormat="false" ht="12" hidden="false" customHeight="true" outlineLevel="0" collapsed="false">
      <c r="A19" s="43"/>
      <c r="B19" s="60" t="s">
        <v>34</v>
      </c>
      <c r="C19" s="60"/>
      <c r="D19" s="60"/>
      <c r="E19" s="61" t="n">
        <f aca="false">SUM(E14:E18)</f>
        <v>0</v>
      </c>
      <c r="F19" s="61" t="n">
        <f aca="false">SUM(F14:F18)</f>
        <v>0</v>
      </c>
      <c r="G19" s="62" t="n">
        <f aca="false">SUM(G14:G18)</f>
        <v>0</v>
      </c>
      <c r="H19" s="59"/>
      <c r="I19" s="62" t="n">
        <f aca="false">SUM(I14:I18)</f>
        <v>0</v>
      </c>
      <c r="J19" s="62" t="n">
        <f aca="false">SUM(J14:J18)</f>
        <v>0</v>
      </c>
      <c r="K19" s="62" t="n">
        <f aca="false">SUM(K14:K18)</f>
        <v>0</v>
      </c>
      <c r="L19" s="51"/>
      <c r="M19" s="59"/>
      <c r="N19" s="51"/>
      <c r="O19" s="62" t="n">
        <f aca="false">SUM(O14:O18)</f>
        <v>0</v>
      </c>
      <c r="P19" s="63"/>
      <c r="Q19" s="62" t="n">
        <f aca="false">SUM(Q14:Q18)</f>
        <v>0</v>
      </c>
      <c r="R19" s="62" t="n">
        <f aca="false">SUM(R14:R18)</f>
        <v>0</v>
      </c>
      <c r="S19" s="62" t="n">
        <f aca="false">SUM(S14:S18)</f>
        <v>0</v>
      </c>
      <c r="T19" s="48"/>
      <c r="U19" s="50"/>
      <c r="V19" s="61" t="n">
        <f aca="false">SUM(V14:V18)</f>
        <v>0</v>
      </c>
      <c r="W19" s="62" t="n">
        <f aca="false">SUM(W14:W18)</f>
        <v>0</v>
      </c>
      <c r="X19" s="62" t="n">
        <f aca="false">SUM(X14:X18)</f>
        <v>0</v>
      </c>
      <c r="Y19" s="62" t="n">
        <f aca="false">SUM(Y14:Y18)</f>
        <v>0</v>
      </c>
      <c r="Z19" s="62" t="n">
        <f aca="false">SUM(Z14:Z18)</f>
        <v>0</v>
      </c>
      <c r="AA19" s="25"/>
      <c r="AB19" s="25"/>
      <c r="AC19" s="62" t="n">
        <f aca="false">SUM(AC14:AC18)</f>
        <v>0</v>
      </c>
      <c r="AE19" s="62" t="n">
        <f aca="false">SUM(AE14:AE18)</f>
        <v>0</v>
      </c>
      <c r="AF19" s="62" t="n">
        <f aca="false">SUM(AF14:AF18)</f>
        <v>0</v>
      </c>
      <c r="AG19" s="62" t="n">
        <f aca="false">SUM(AG14:AG18)</f>
        <v>0</v>
      </c>
      <c r="AH19" s="62" t="n">
        <f aca="false">SUM(AH14:AH18)</f>
        <v>0</v>
      </c>
      <c r="AI19" s="62" t="n">
        <f aca="false">SUM(AI14:AI18)</f>
        <v>0</v>
      </c>
    </row>
    <row r="20" customFormat="false" ht="6" hidden="false" customHeight="true" outlineLevel="0" collapsed="false">
      <c r="A20" s="43"/>
      <c r="B20" s="64"/>
      <c r="C20" s="65"/>
      <c r="D20" s="66"/>
      <c r="E20" s="51"/>
      <c r="F20" s="51"/>
      <c r="G20" s="51"/>
      <c r="H20" s="59"/>
      <c r="I20" s="51"/>
      <c r="J20" s="51"/>
      <c r="K20" s="51"/>
      <c r="L20" s="51"/>
      <c r="M20" s="59"/>
      <c r="N20" s="51"/>
      <c r="O20" s="51"/>
      <c r="P20" s="63"/>
      <c r="Q20" s="51"/>
      <c r="R20" s="51"/>
      <c r="S20" s="51"/>
      <c r="T20" s="48"/>
      <c r="U20" s="50"/>
      <c r="V20" s="51"/>
      <c r="W20" s="51"/>
      <c r="X20" s="51"/>
      <c r="Y20" s="51"/>
      <c r="Z20" s="51"/>
      <c r="AA20" s="25"/>
    </row>
    <row r="21" customFormat="false" ht="12" hidden="false" customHeight="true" outlineLevel="0" collapsed="false">
      <c r="A21" s="43"/>
      <c r="B21" s="52" t="s">
        <v>35</v>
      </c>
      <c r="C21" s="52"/>
      <c r="D21" s="63"/>
      <c r="E21" s="51"/>
      <c r="F21" s="51"/>
      <c r="G21" s="51"/>
      <c r="H21" s="67" t="n">
        <f aca="false">[1]Admin!$G$15</f>
        <v>0.2</v>
      </c>
      <c r="I21" s="51"/>
      <c r="J21" s="51"/>
      <c r="K21" s="51"/>
      <c r="L21" s="51"/>
      <c r="M21" s="59"/>
      <c r="N21" s="51"/>
      <c r="O21" s="48"/>
      <c r="P21" s="49"/>
      <c r="Q21" s="48"/>
      <c r="R21" s="48"/>
      <c r="S21" s="48"/>
      <c r="T21" s="48"/>
      <c r="U21" s="50"/>
      <c r="V21" s="51"/>
      <c r="W21" s="51"/>
      <c r="X21" s="51"/>
      <c r="Y21" s="48"/>
      <c r="Z21" s="48"/>
      <c r="AA21" s="25"/>
    </row>
    <row r="22" customFormat="false" ht="12" hidden="false" customHeight="false" outlineLevel="0" collapsed="false">
      <c r="A22" s="43"/>
      <c r="B22" s="55"/>
      <c r="C22" s="56"/>
      <c r="D22" s="57"/>
      <c r="E22" s="58"/>
      <c r="F22" s="58"/>
      <c r="G22" s="51" t="str">
        <f aca="false">IF(E22&gt;0,E22-F22," ")</f>
        <v> </v>
      </c>
      <c r="H22" s="59" t="n">
        <f aca="false">H$21</f>
        <v>0.2</v>
      </c>
      <c r="I22" s="51" t="str">
        <f aca="false">IF(E22&gt;0,MIN(E22*H22,G22)," ")</f>
        <v> </v>
      </c>
      <c r="J22" s="51" t="str">
        <f aca="false">IF(E22&gt;0,F22+I22," ")</f>
        <v> </v>
      </c>
      <c r="K22" s="51" t="str">
        <f aca="false">IF(E22&gt;0,IF(V22&gt;0,0,E22-J22)," ")</f>
        <v> </v>
      </c>
      <c r="L22" s="51"/>
      <c r="M22" s="59"/>
      <c r="N22" s="51"/>
      <c r="O22" s="68"/>
      <c r="P22" s="49"/>
      <c r="Q22" s="48"/>
      <c r="R22" s="48" t="str">
        <f aca="false">IF(AND(O22&gt;0,AB22&lt;&gt;"S"),O22*R$4," ")</f>
        <v> </v>
      </c>
      <c r="S22" s="48" t="str">
        <f aca="false">IF(O22&gt;0,O22-N(R22)-N(AC22)," ")</f>
        <v> </v>
      </c>
      <c r="T22" s="48"/>
      <c r="U22" s="55"/>
      <c r="V22" s="58"/>
      <c r="W22" s="51" t="str">
        <f aca="false">IF(V22&gt;0,E22," ")</f>
        <v> </v>
      </c>
      <c r="X22" s="51" t="str">
        <f aca="false">IF(V22&gt;0,J22," ")</f>
        <v> </v>
      </c>
      <c r="Y22" s="48" t="str">
        <f aca="false">IF((U22+V22)&gt;0,IF(V22&lt;S22,S22-V22," ")," ")</f>
        <v> </v>
      </c>
      <c r="Z22" s="48" t="str">
        <f aca="false">IF((U22+V22)&gt;0,IF(V22&gt;S22,V22-S22," ")," ")</f>
        <v> </v>
      </c>
      <c r="AA22" s="25"/>
      <c r="AB22" s="55"/>
      <c r="AC22" s="48" t="str">
        <f aca="false">IF(AND(O22&gt;0,AB22="S"),O22*AC$4," ")</f>
        <v> </v>
      </c>
      <c r="AE22" s="48" t="str">
        <f aca="false">IF(AND(AD22="P",AB22&lt;&gt;"S"),N(R22)," ")</f>
        <v> </v>
      </c>
      <c r="AF22" s="48" t="str">
        <f aca="false">IF(AND(AD22="P",AB22="S"),N(AC22)," ")</f>
        <v> </v>
      </c>
      <c r="AG22" s="48" t="str">
        <f aca="false">IF(AD22="P",N(S22)," ")</f>
        <v> </v>
      </c>
      <c r="AH22" s="48" t="n">
        <f aca="false">IF(AND(AD22&lt;&gt;"P",AB22&lt;&gt;"S"),N(S22)," ")</f>
        <v>0</v>
      </c>
      <c r="AI22" s="48" t="str">
        <f aca="false">IF(AND(AD22&lt;&gt;"P",AB22="S"),N(S22)," ")</f>
        <v> </v>
      </c>
    </row>
    <row r="23" customFormat="false" ht="12" hidden="false" customHeight="false" outlineLevel="0" collapsed="false">
      <c r="A23" s="43"/>
      <c r="B23" s="55"/>
      <c r="C23" s="56"/>
      <c r="D23" s="57"/>
      <c r="E23" s="58"/>
      <c r="F23" s="58"/>
      <c r="G23" s="51" t="str">
        <f aca="false">IF(E23&gt;0,E23-F23," ")</f>
        <v> </v>
      </c>
      <c r="H23" s="59" t="n">
        <f aca="false">H$21</f>
        <v>0.2</v>
      </c>
      <c r="I23" s="51" t="str">
        <f aca="false">IF(E23&gt;0,MIN(E23*H23,G23)," ")</f>
        <v> </v>
      </c>
      <c r="J23" s="51" t="str">
        <f aca="false">IF(E23&gt;0,F23+I23," ")</f>
        <v> </v>
      </c>
      <c r="K23" s="51" t="str">
        <f aca="false">IF(E23&gt;0,IF(V23&gt;0,0,E23-J23)," ")</f>
        <v> </v>
      </c>
      <c r="L23" s="51"/>
      <c r="M23" s="59"/>
      <c r="N23" s="51"/>
      <c r="O23" s="68"/>
      <c r="P23" s="49"/>
      <c r="Q23" s="48"/>
      <c r="R23" s="48" t="str">
        <f aca="false">IF(AND(O23&gt;0,AB23&lt;&gt;"S"),O23*R$4," ")</f>
        <v> </v>
      </c>
      <c r="S23" s="48" t="str">
        <f aca="false">IF(O23&gt;0,O23-N(R23)-N(AC23)," ")</f>
        <v> </v>
      </c>
      <c r="T23" s="48"/>
      <c r="U23" s="55"/>
      <c r="V23" s="58"/>
      <c r="W23" s="51" t="str">
        <f aca="false">IF(V23&gt;0,E23," ")</f>
        <v> </v>
      </c>
      <c r="X23" s="51" t="str">
        <f aca="false">IF(V23&gt;0,J23," ")</f>
        <v> </v>
      </c>
      <c r="Y23" s="48" t="str">
        <f aca="false">IF((U23+V23)&gt;0,IF(V23&lt;S23,S23-V23," ")," ")</f>
        <v> </v>
      </c>
      <c r="Z23" s="48" t="str">
        <f aca="false">IF((U23+V23)&gt;0,IF(V23&gt;S23,V23-S23," ")," ")</f>
        <v> </v>
      </c>
      <c r="AA23" s="25"/>
      <c r="AB23" s="55"/>
      <c r="AC23" s="48" t="str">
        <f aca="false">IF(AND(O23&gt;0,AB23="S"),O23*AC$4," ")</f>
        <v> </v>
      </c>
      <c r="AE23" s="48" t="str">
        <f aca="false">IF(AND(AD23="P",AB23&lt;&gt;"S"),N(R23)," ")</f>
        <v> </v>
      </c>
      <c r="AF23" s="48" t="str">
        <f aca="false">IF(AND(AD23="P",AB23="S"),N(AC23)," ")</f>
        <v> </v>
      </c>
      <c r="AG23" s="48" t="str">
        <f aca="false">IF(AD23="P",N(S23)," ")</f>
        <v> </v>
      </c>
      <c r="AH23" s="48" t="n">
        <f aca="false">IF(AND(AD23&lt;&gt;"P",AB23&lt;&gt;"S"),N(S23)," ")</f>
        <v>0</v>
      </c>
      <c r="AI23" s="48" t="str">
        <f aca="false">IF(AND(AD23&lt;&gt;"P",AB23="S"),N(S23)," ")</f>
        <v> </v>
      </c>
    </row>
    <row r="24" customFormat="false" ht="12" hidden="false" customHeight="false" outlineLevel="0" collapsed="false">
      <c r="A24" s="43"/>
      <c r="B24" s="55"/>
      <c r="C24" s="56"/>
      <c r="D24" s="57"/>
      <c r="E24" s="58"/>
      <c r="F24" s="58"/>
      <c r="G24" s="51" t="str">
        <f aca="false">IF(E24&gt;0,E24-F24," ")</f>
        <v> </v>
      </c>
      <c r="H24" s="59" t="n">
        <f aca="false">H$21</f>
        <v>0.2</v>
      </c>
      <c r="I24" s="51" t="str">
        <f aca="false">IF(E24&gt;0,MIN(E24*H24,G24)," ")</f>
        <v> </v>
      </c>
      <c r="J24" s="51" t="str">
        <f aca="false">IF(E24&gt;0,F24+I24," ")</f>
        <v> </v>
      </c>
      <c r="K24" s="51" t="str">
        <f aca="false">IF(E24&gt;0,IF(V24&gt;0,0,E24-J24)," ")</f>
        <v> </v>
      </c>
      <c r="L24" s="51"/>
      <c r="M24" s="59"/>
      <c r="N24" s="51"/>
      <c r="O24" s="68"/>
      <c r="P24" s="49"/>
      <c r="Q24" s="48"/>
      <c r="R24" s="48" t="str">
        <f aca="false">IF(AND(O24&gt;0,AB24&lt;&gt;"S"),O24*R$4," ")</f>
        <v> </v>
      </c>
      <c r="S24" s="48" t="str">
        <f aca="false">IF(O24&gt;0,O24-N(R24)-N(AC24)," ")</f>
        <v> </v>
      </c>
      <c r="T24" s="48"/>
      <c r="U24" s="55"/>
      <c r="V24" s="58"/>
      <c r="W24" s="51" t="str">
        <f aca="false">IF(V24&gt;0,E24," ")</f>
        <v> </v>
      </c>
      <c r="X24" s="51" t="str">
        <f aca="false">IF(V24&gt;0,J24," ")</f>
        <v> </v>
      </c>
      <c r="Y24" s="48" t="str">
        <f aca="false">IF((U24+V24)&gt;0,IF(V24&lt;S24,S24-V24," ")," ")</f>
        <v> </v>
      </c>
      <c r="Z24" s="48" t="str">
        <f aca="false">IF((U24+V24)&gt;0,IF(V24&gt;S24,V24-S24," ")," ")</f>
        <v> </v>
      </c>
      <c r="AA24" s="25"/>
      <c r="AB24" s="55"/>
      <c r="AC24" s="48" t="str">
        <f aca="false">IF(AND(O24&gt;0,AB24="S"),O24*AC$4," ")</f>
        <v> </v>
      </c>
      <c r="AE24" s="48" t="str">
        <f aca="false">IF(AND(AD24="P",AB24&lt;&gt;"S"),N(R24)," ")</f>
        <v> </v>
      </c>
      <c r="AF24" s="48" t="str">
        <f aca="false">IF(AND(AD24="P",AB24="S"),N(AC24)," ")</f>
        <v> </v>
      </c>
      <c r="AG24" s="48" t="str">
        <f aca="false">IF(AD24="P",N(S24)," ")</f>
        <v> </v>
      </c>
      <c r="AH24" s="48" t="n">
        <f aca="false">IF(AND(AD24&lt;&gt;"P",AB24&lt;&gt;"S"),N(S24)," ")</f>
        <v>0</v>
      </c>
      <c r="AI24" s="48" t="str">
        <f aca="false">IF(AND(AD24&lt;&gt;"P",AB24="S"),N(S24)," ")</f>
        <v> </v>
      </c>
    </row>
    <row r="25" customFormat="false" ht="12" hidden="false" customHeight="false" outlineLevel="0" collapsed="false">
      <c r="A25" s="43"/>
      <c r="B25" s="55"/>
      <c r="C25" s="56"/>
      <c r="D25" s="57"/>
      <c r="E25" s="58"/>
      <c r="F25" s="58"/>
      <c r="G25" s="51" t="str">
        <f aca="false">IF(E25&gt;0,E25-F25," ")</f>
        <v> </v>
      </c>
      <c r="H25" s="59" t="n">
        <f aca="false">H$21</f>
        <v>0.2</v>
      </c>
      <c r="I25" s="51" t="str">
        <f aca="false">IF(E25&gt;0,MIN(E25*H25,G25)," ")</f>
        <v> </v>
      </c>
      <c r="J25" s="51" t="str">
        <f aca="false">IF(E25&gt;0,F25+I25," ")</f>
        <v> </v>
      </c>
      <c r="K25" s="51" t="str">
        <f aca="false">IF(E25&gt;0,IF(V25&gt;0,0,E25-J25)," ")</f>
        <v> </v>
      </c>
      <c r="L25" s="51"/>
      <c r="M25" s="59"/>
      <c r="N25" s="51"/>
      <c r="O25" s="68"/>
      <c r="P25" s="49"/>
      <c r="Q25" s="48"/>
      <c r="R25" s="48" t="str">
        <f aca="false">IF(AND(O25&gt;0,AB25&lt;&gt;"S"),O25*R$4," ")</f>
        <v> </v>
      </c>
      <c r="S25" s="48" t="str">
        <f aca="false">IF(O25&gt;0,O25-N(R25)-N(AC25)," ")</f>
        <v> </v>
      </c>
      <c r="T25" s="48"/>
      <c r="U25" s="55"/>
      <c r="V25" s="58"/>
      <c r="W25" s="51" t="str">
        <f aca="false">IF(V25&gt;0,E25," ")</f>
        <v> </v>
      </c>
      <c r="X25" s="51" t="str">
        <f aca="false">IF(V25&gt;0,J25," ")</f>
        <v> </v>
      </c>
      <c r="Y25" s="48" t="str">
        <f aca="false">IF((U25+V25)&gt;0,IF(V25&lt;S25,S25-V25," ")," ")</f>
        <v> </v>
      </c>
      <c r="Z25" s="48" t="str">
        <f aca="false">IF((U25+V25)&gt;0,IF(V25&gt;S25,V25-S25," ")," ")</f>
        <v> </v>
      </c>
      <c r="AA25" s="25"/>
      <c r="AB25" s="55"/>
      <c r="AC25" s="48" t="str">
        <f aca="false">IF(AND(O25&gt;0,AB25="S"),O25*AC$4," ")</f>
        <v> </v>
      </c>
      <c r="AE25" s="48" t="str">
        <f aca="false">IF(AND(AD25="P",AB25&lt;&gt;"S"),N(R25)," ")</f>
        <v> </v>
      </c>
      <c r="AF25" s="48" t="str">
        <f aca="false">IF(AND(AD25="P",AB25="S"),N(AC25)," ")</f>
        <v> </v>
      </c>
      <c r="AG25" s="48" t="str">
        <f aca="false">IF(AD25="P",N(S25)," ")</f>
        <v> </v>
      </c>
      <c r="AH25" s="48" t="n">
        <f aca="false">IF(AND(AD25&lt;&gt;"P",AB25&lt;&gt;"S"),N(S25)," ")</f>
        <v>0</v>
      </c>
      <c r="AI25" s="48" t="str">
        <f aca="false">IF(AND(AD25&lt;&gt;"P",AB25="S"),N(S25)," ")</f>
        <v> </v>
      </c>
    </row>
    <row r="26" customFormat="false" ht="12" hidden="false" customHeight="false" outlineLevel="0" collapsed="false">
      <c r="A26" s="43"/>
      <c r="B26" s="55"/>
      <c r="C26" s="56"/>
      <c r="D26" s="57"/>
      <c r="E26" s="58"/>
      <c r="F26" s="58"/>
      <c r="G26" s="51" t="str">
        <f aca="false">IF(E26&gt;0,E26-F26," ")</f>
        <v> </v>
      </c>
      <c r="H26" s="59" t="n">
        <f aca="false">H$21</f>
        <v>0.2</v>
      </c>
      <c r="I26" s="51" t="str">
        <f aca="false">IF(E26&gt;0,MIN(E26*H26,G26)," ")</f>
        <v> </v>
      </c>
      <c r="J26" s="51" t="str">
        <f aca="false">IF(E26&gt;0,F26+I26," ")</f>
        <v> </v>
      </c>
      <c r="K26" s="51" t="str">
        <f aca="false">IF(E26&gt;0,IF(V26&gt;0,0,E26-J26)," ")</f>
        <v> </v>
      </c>
      <c r="L26" s="51"/>
      <c r="M26" s="59"/>
      <c r="N26" s="51"/>
      <c r="O26" s="68"/>
      <c r="P26" s="49"/>
      <c r="Q26" s="48"/>
      <c r="R26" s="48" t="str">
        <f aca="false">IF(AND(O26&gt;0,AB26&lt;&gt;"S"),O26*R$4," ")</f>
        <v> </v>
      </c>
      <c r="S26" s="48" t="str">
        <f aca="false">IF(O26&gt;0,O26-N(R26)-N(AC26)," ")</f>
        <v> </v>
      </c>
      <c r="T26" s="48"/>
      <c r="U26" s="55"/>
      <c r="V26" s="58"/>
      <c r="W26" s="51" t="str">
        <f aca="false">IF(V26&gt;0,E26," ")</f>
        <v> </v>
      </c>
      <c r="X26" s="51" t="str">
        <f aca="false">IF(V26&gt;0,J26," ")</f>
        <v> </v>
      </c>
      <c r="Y26" s="48" t="str">
        <f aca="false">IF((U26+V26)&gt;0,IF(V26&lt;S26,S26-V26," ")," ")</f>
        <v> </v>
      </c>
      <c r="Z26" s="48" t="str">
        <f aca="false">IF((U26+V26)&gt;0,IF(V26&gt;S26,V26-S26," ")," ")</f>
        <v> </v>
      </c>
      <c r="AA26" s="25"/>
      <c r="AB26" s="55"/>
      <c r="AC26" s="48" t="str">
        <f aca="false">IF(AND(O26&gt;0,AB26="S"),O26*AC$4," ")</f>
        <v> </v>
      </c>
      <c r="AE26" s="48" t="str">
        <f aca="false">IF(AND(AD26="P",AB26&lt;&gt;"S"),N(R26)," ")</f>
        <v> </v>
      </c>
      <c r="AF26" s="48" t="str">
        <f aca="false">IF(AND(AD26="P",AB26="S"),N(AC26)," ")</f>
        <v> </v>
      </c>
      <c r="AG26" s="48" t="str">
        <f aca="false">IF(AD26="P",N(S26)," ")</f>
        <v> </v>
      </c>
      <c r="AH26" s="48" t="n">
        <f aca="false">IF(AND(AD26&lt;&gt;"P",AB26&lt;&gt;"S"),N(S26)," ")</f>
        <v>0</v>
      </c>
      <c r="AI26" s="48" t="str">
        <f aca="false">IF(AND(AD26&lt;&gt;"P",AB26="S"),N(S26)," ")</f>
        <v> </v>
      </c>
    </row>
    <row r="27" customFormat="false" ht="12" hidden="false" customHeight="true" outlineLevel="0" collapsed="false">
      <c r="A27" s="43"/>
      <c r="B27" s="60" t="s">
        <v>36</v>
      </c>
      <c r="C27" s="60"/>
      <c r="D27" s="60"/>
      <c r="E27" s="61" t="n">
        <f aca="false">SUM(E22:E26)</f>
        <v>0</v>
      </c>
      <c r="F27" s="61" t="n">
        <f aca="false">SUM(F22:F26)</f>
        <v>0</v>
      </c>
      <c r="G27" s="62" t="n">
        <f aca="false">SUM(G22:G26)</f>
        <v>0</v>
      </c>
      <c r="H27" s="59"/>
      <c r="I27" s="62" t="n">
        <f aca="false">SUM(I22:I26)</f>
        <v>0</v>
      </c>
      <c r="J27" s="62" t="n">
        <f aca="false">SUM(J22:J26)</f>
        <v>0</v>
      </c>
      <c r="K27" s="62" t="n">
        <f aca="false">SUM(K22:K26)</f>
        <v>0</v>
      </c>
      <c r="L27" s="51"/>
      <c r="M27" s="59"/>
      <c r="N27" s="51"/>
      <c r="O27" s="62" t="n">
        <f aca="false">SUM(O22:O26)</f>
        <v>0</v>
      </c>
      <c r="P27" s="63"/>
      <c r="Q27" s="62" t="n">
        <f aca="false">SUM(Q22:Q26)</f>
        <v>0</v>
      </c>
      <c r="R27" s="62" t="n">
        <f aca="false">SUM(R22:R26)</f>
        <v>0</v>
      </c>
      <c r="S27" s="62" t="n">
        <f aca="false">SUM(S22:S26)</f>
        <v>0</v>
      </c>
      <c r="T27" s="48"/>
      <c r="U27" s="50"/>
      <c r="V27" s="61" t="n">
        <f aca="false">SUM(V22:V26)</f>
        <v>0</v>
      </c>
      <c r="W27" s="62" t="n">
        <f aca="false">SUM(W22:W26)</f>
        <v>0</v>
      </c>
      <c r="X27" s="62" t="n">
        <f aca="false">SUM(X22:X26)</f>
        <v>0</v>
      </c>
      <c r="Y27" s="62" t="n">
        <f aca="false">SUM(Y22:Y26)</f>
        <v>0</v>
      </c>
      <c r="Z27" s="62" t="n">
        <f aca="false">SUM(Z22:Z26)</f>
        <v>0</v>
      </c>
      <c r="AA27" s="25"/>
      <c r="AB27" s="25"/>
      <c r="AC27" s="62" t="n">
        <f aca="false">SUM(AC22:AC26)</f>
        <v>0</v>
      </c>
      <c r="AE27" s="62" t="n">
        <f aca="false">SUM(AE22:AE26)</f>
        <v>0</v>
      </c>
      <c r="AF27" s="62" t="n">
        <f aca="false">SUM(AF22:AF26)</f>
        <v>0</v>
      </c>
      <c r="AG27" s="62" t="n">
        <f aca="false">SUM(AG22:AG26)</f>
        <v>0</v>
      </c>
      <c r="AH27" s="62" t="n">
        <f aca="false">SUM(AH22:AH26)</f>
        <v>0</v>
      </c>
      <c r="AI27" s="62" t="n">
        <f aca="false">SUM(AI22:AI26)</f>
        <v>0</v>
      </c>
    </row>
    <row r="28" customFormat="false" ht="6" hidden="false" customHeight="true" outlineLevel="0" collapsed="false">
      <c r="A28" s="43"/>
      <c r="B28" s="64"/>
      <c r="C28" s="65"/>
      <c r="D28" s="66"/>
      <c r="E28" s="51"/>
      <c r="F28" s="51"/>
      <c r="G28" s="51"/>
      <c r="H28" s="59"/>
      <c r="I28" s="51"/>
      <c r="J28" s="51"/>
      <c r="K28" s="51"/>
      <c r="L28" s="51"/>
      <c r="M28" s="59"/>
      <c r="N28" s="51"/>
      <c r="O28" s="51"/>
      <c r="P28" s="63"/>
      <c r="Q28" s="51"/>
      <c r="R28" s="51"/>
      <c r="S28" s="51"/>
      <c r="T28" s="48"/>
      <c r="U28" s="50"/>
      <c r="V28" s="51"/>
      <c r="W28" s="51"/>
      <c r="X28" s="51"/>
      <c r="Y28" s="51"/>
      <c r="Z28" s="51"/>
      <c r="AA28" s="25"/>
    </row>
    <row r="29" customFormat="false" ht="12" hidden="false" customHeight="true" outlineLevel="0" collapsed="false">
      <c r="A29" s="43"/>
      <c r="B29" s="52" t="s">
        <v>37</v>
      </c>
      <c r="C29" s="52"/>
      <c r="D29" s="69"/>
      <c r="E29" s="51"/>
      <c r="F29" s="51"/>
      <c r="G29" s="51"/>
      <c r="H29" s="67" t="n">
        <f aca="false">[1]Admin!$G$16</f>
        <v>0.33</v>
      </c>
      <c r="I29" s="51"/>
      <c r="J29" s="51"/>
      <c r="K29" s="51"/>
      <c r="L29" s="51"/>
      <c r="M29" s="59"/>
      <c r="N29" s="51"/>
      <c r="O29" s="48"/>
      <c r="P29" s="49"/>
      <c r="Q29" s="48"/>
      <c r="R29" s="48"/>
      <c r="S29" s="48"/>
      <c r="T29" s="48"/>
      <c r="U29" s="50"/>
      <c r="V29" s="51"/>
      <c r="W29" s="51"/>
      <c r="X29" s="51"/>
      <c r="Y29" s="48"/>
      <c r="Z29" s="48"/>
      <c r="AA29" s="25"/>
    </row>
    <row r="30" customFormat="false" ht="12" hidden="false" customHeight="false" outlineLevel="0" collapsed="false">
      <c r="A30" s="43"/>
      <c r="B30" s="55"/>
      <c r="C30" s="56" t="s">
        <v>38</v>
      </c>
      <c r="D30" s="57"/>
      <c r="E30" s="58" t="n">
        <v>3000</v>
      </c>
      <c r="F30" s="58" t="n">
        <v>270</v>
      </c>
      <c r="G30" s="51" t="n">
        <f aca="false">IF(E30&gt;0,E30-F30," ")</f>
        <v>2730</v>
      </c>
      <c r="H30" s="59" t="n">
        <f aca="false">H$29</f>
        <v>0.33</v>
      </c>
      <c r="I30" s="51" t="n">
        <f aca="false">IF(E30&gt;0,MIN(E30*H30,G30)," ")</f>
        <v>990</v>
      </c>
      <c r="J30" s="51" t="n">
        <f aca="false">IF(E30&gt;0,F30+I30," ")</f>
        <v>1260</v>
      </c>
      <c r="K30" s="51" t="n">
        <f aca="false">IF(E30&gt;0,IF(V30&gt;0,0,E30-J30)," ")</f>
        <v>1740</v>
      </c>
      <c r="L30" s="51"/>
      <c r="M30" s="59"/>
      <c r="N30" s="51"/>
      <c r="O30" s="68"/>
      <c r="P30" s="49"/>
      <c r="Q30" s="48"/>
      <c r="R30" s="48" t="str">
        <f aca="false">IF(AND(O30&gt;0,AB30&lt;&gt;"S"),O30*R$4," ")</f>
        <v> </v>
      </c>
      <c r="S30" s="48" t="str">
        <f aca="false">IF(O30&gt;0,O30-N(R30)-N(AC30)," ")</f>
        <v> </v>
      </c>
      <c r="T30" s="48"/>
      <c r="U30" s="55"/>
      <c r="V30" s="58"/>
      <c r="W30" s="51" t="str">
        <f aca="false">IF(V30&gt;0,E30," ")</f>
        <v> </v>
      </c>
      <c r="X30" s="51" t="str">
        <f aca="false">IF(V30&gt;0,J30," ")</f>
        <v> </v>
      </c>
      <c r="Y30" s="48" t="str">
        <f aca="false">IF((U30+V30)&gt;0,IF(V30&lt;S30,S30-V30," ")," ")</f>
        <v> </v>
      </c>
      <c r="Z30" s="48" t="str">
        <f aca="false">IF((U30+V30)&gt;0,IF(V30&gt;S30,V30-S30," ")," ")</f>
        <v> </v>
      </c>
      <c r="AA30" s="25"/>
      <c r="AB30" s="55"/>
      <c r="AC30" s="48" t="str">
        <f aca="false">IF(AND(O30&gt;0,AB30="S"),O30*AC$4," ")</f>
        <v> </v>
      </c>
      <c r="AE30" s="48" t="str">
        <f aca="false">IF(AND(AD30="P",AB30&lt;&gt;"S"),N(R30)," ")</f>
        <v> </v>
      </c>
      <c r="AF30" s="48" t="str">
        <f aca="false">IF(AND(AD30="P",AB30="S"),N(AC30)," ")</f>
        <v> </v>
      </c>
      <c r="AG30" s="48" t="str">
        <f aca="false">IF(AD30="P",N(S30)," ")</f>
        <v> </v>
      </c>
      <c r="AH30" s="48" t="n">
        <f aca="false">IF(AND(AD30&lt;&gt;"P",AB30&lt;&gt;"S"),N(S30)," ")</f>
        <v>0</v>
      </c>
      <c r="AI30" s="48" t="str">
        <f aca="false">IF(AND(AD30&lt;&gt;"P",AB30="S"),N(S30)," ")</f>
        <v> </v>
      </c>
    </row>
    <row r="31" customFormat="false" ht="12" hidden="false" customHeight="false" outlineLevel="0" collapsed="false">
      <c r="A31" s="43"/>
      <c r="B31" s="55"/>
      <c r="C31" s="56"/>
      <c r="D31" s="57"/>
      <c r="E31" s="58"/>
      <c r="F31" s="58"/>
      <c r="G31" s="51" t="str">
        <f aca="false">IF(E31&gt;0,E31-F31," ")</f>
        <v> </v>
      </c>
      <c r="H31" s="59" t="n">
        <f aca="false">H$29</f>
        <v>0.33</v>
      </c>
      <c r="I31" s="51" t="str">
        <f aca="false">IF(E31&gt;0,MIN(E31*H31,G31)," ")</f>
        <v> </v>
      </c>
      <c r="J31" s="51" t="str">
        <f aca="false">IF(E31&gt;0,F31+I31," ")</f>
        <v> </v>
      </c>
      <c r="K31" s="51" t="str">
        <f aca="false">IF(E31&gt;0,IF(V31&gt;0,0,E31-J31)," ")</f>
        <v> </v>
      </c>
      <c r="L31" s="51"/>
      <c r="M31" s="59"/>
      <c r="N31" s="51"/>
      <c r="O31" s="68"/>
      <c r="P31" s="49"/>
      <c r="Q31" s="48"/>
      <c r="R31" s="48" t="str">
        <f aca="false">IF(AND(O31&gt;0,AB31&lt;&gt;"S"),O31*R$4," ")</f>
        <v> </v>
      </c>
      <c r="S31" s="48" t="str">
        <f aca="false">IF(O31&gt;0,O31-N(R31)-N(AC31)," ")</f>
        <v> </v>
      </c>
      <c r="T31" s="48"/>
      <c r="U31" s="55"/>
      <c r="V31" s="58"/>
      <c r="W31" s="51" t="str">
        <f aca="false">IF(V31&gt;0,E31," ")</f>
        <v> </v>
      </c>
      <c r="X31" s="51" t="str">
        <f aca="false">IF(V31&gt;0,J31," ")</f>
        <v> </v>
      </c>
      <c r="Y31" s="48" t="str">
        <f aca="false">IF((U31+V31)&gt;0,IF(V31&lt;S31,S31-V31," ")," ")</f>
        <v> </v>
      </c>
      <c r="Z31" s="48" t="str">
        <f aca="false">IF((U31+V31)&gt;0,IF(V31&gt;S31,V31-S31," ")," ")</f>
        <v> </v>
      </c>
      <c r="AA31" s="25"/>
      <c r="AB31" s="55"/>
      <c r="AC31" s="48" t="str">
        <f aca="false">IF(AND(O31&gt;0,AB31="S"),O31*AC$4," ")</f>
        <v> </v>
      </c>
      <c r="AE31" s="48" t="str">
        <f aca="false">IF(AND(AD31="P",AB31&lt;&gt;"S"),N(R31)," ")</f>
        <v> </v>
      </c>
      <c r="AF31" s="48" t="str">
        <f aca="false">IF(AND(AD31="P",AB31="S"),N(AC31)," ")</f>
        <v> </v>
      </c>
      <c r="AG31" s="48" t="str">
        <f aca="false">IF(AD31="P",N(S31)," ")</f>
        <v> </v>
      </c>
      <c r="AH31" s="48" t="n">
        <f aca="false">IF(AND(AD31&lt;&gt;"P",AB31&lt;&gt;"S"),N(S31)," ")</f>
        <v>0</v>
      </c>
      <c r="AI31" s="48" t="str">
        <f aca="false">IF(AND(AD31&lt;&gt;"P",AB31="S"),N(S31)," ")</f>
        <v> </v>
      </c>
    </row>
    <row r="32" customFormat="false" ht="12" hidden="false" customHeight="false" outlineLevel="0" collapsed="false">
      <c r="A32" s="43"/>
      <c r="B32" s="55"/>
      <c r="C32" s="56"/>
      <c r="D32" s="57"/>
      <c r="E32" s="58"/>
      <c r="F32" s="58"/>
      <c r="G32" s="51" t="str">
        <f aca="false">IF(E32&gt;0,E32-F32," ")</f>
        <v> </v>
      </c>
      <c r="H32" s="59" t="n">
        <f aca="false">H$29</f>
        <v>0.33</v>
      </c>
      <c r="I32" s="51" t="str">
        <f aca="false">IF(E32&gt;0,MIN(E32*H32,G32)," ")</f>
        <v> </v>
      </c>
      <c r="J32" s="51" t="str">
        <f aca="false">IF(E32&gt;0,F32+I32," ")</f>
        <v> </v>
      </c>
      <c r="K32" s="51" t="str">
        <f aca="false">IF(E32&gt;0,IF(V32&gt;0,0,E32-J32)," ")</f>
        <v> </v>
      </c>
      <c r="L32" s="51"/>
      <c r="M32" s="59"/>
      <c r="N32" s="51"/>
      <c r="O32" s="68"/>
      <c r="P32" s="49"/>
      <c r="Q32" s="48"/>
      <c r="R32" s="48" t="str">
        <f aca="false">IF(AND(O32&gt;0,AB32&lt;&gt;"S"),O32*R$4," ")</f>
        <v> </v>
      </c>
      <c r="S32" s="48" t="str">
        <f aca="false">IF(O32&gt;0,O32-N(R32)-N(AC32)," ")</f>
        <v> </v>
      </c>
      <c r="T32" s="48"/>
      <c r="U32" s="55"/>
      <c r="V32" s="58"/>
      <c r="W32" s="51" t="str">
        <f aca="false">IF(V32&gt;0,E32," ")</f>
        <v> </v>
      </c>
      <c r="X32" s="51" t="str">
        <f aca="false">IF(V32&gt;0,J32," ")</f>
        <v> </v>
      </c>
      <c r="Y32" s="48" t="str">
        <f aca="false">IF((U32+V32)&gt;0,IF(V32&lt;S32,S32-V32," ")," ")</f>
        <v> </v>
      </c>
      <c r="Z32" s="48" t="str">
        <f aca="false">IF((U32+V32)&gt;0,IF(V32&gt;S32,V32-S32," ")," ")</f>
        <v> </v>
      </c>
      <c r="AA32" s="25"/>
      <c r="AB32" s="55"/>
      <c r="AC32" s="48" t="str">
        <f aca="false">IF(AND(O32&gt;0,AB32="S"),O32*AC$4," ")</f>
        <v> </v>
      </c>
      <c r="AE32" s="48" t="str">
        <f aca="false">IF(AND(AD32="P",AB32&lt;&gt;"S"),N(R32)," ")</f>
        <v> </v>
      </c>
      <c r="AF32" s="48" t="str">
        <f aca="false">IF(AND(AD32="P",AB32="S"),N(AC32)," ")</f>
        <v> </v>
      </c>
      <c r="AG32" s="48" t="str">
        <f aca="false">IF(AD32="P",N(S32)," ")</f>
        <v> </v>
      </c>
      <c r="AH32" s="48" t="n">
        <f aca="false">IF(AND(AD32&lt;&gt;"P",AB32&lt;&gt;"S"),N(S32)," ")</f>
        <v>0</v>
      </c>
      <c r="AI32" s="48" t="str">
        <f aca="false">IF(AND(AD32&lt;&gt;"P",AB32="S"),N(S32)," ")</f>
        <v> </v>
      </c>
    </row>
    <row r="33" customFormat="false" ht="12" hidden="false" customHeight="false" outlineLevel="0" collapsed="false">
      <c r="A33" s="43"/>
      <c r="B33" s="55"/>
      <c r="C33" s="56"/>
      <c r="D33" s="57"/>
      <c r="E33" s="58"/>
      <c r="F33" s="58"/>
      <c r="G33" s="51" t="str">
        <f aca="false">IF(E33&gt;0,E33-F33," ")</f>
        <v> </v>
      </c>
      <c r="H33" s="59" t="n">
        <f aca="false">H$29</f>
        <v>0.33</v>
      </c>
      <c r="I33" s="51" t="str">
        <f aca="false">IF(E33&gt;0,MIN(E33*H33,G33)," ")</f>
        <v> </v>
      </c>
      <c r="J33" s="51" t="str">
        <f aca="false">IF(E33&gt;0,F33+I33," ")</f>
        <v> </v>
      </c>
      <c r="K33" s="51" t="str">
        <f aca="false">IF(E33&gt;0,IF(V33&gt;0,0,E33-J33)," ")</f>
        <v> </v>
      </c>
      <c r="L33" s="51"/>
      <c r="M33" s="59"/>
      <c r="N33" s="51"/>
      <c r="O33" s="68"/>
      <c r="P33" s="49"/>
      <c r="Q33" s="48"/>
      <c r="R33" s="48" t="str">
        <f aca="false">IF(AND(O33&gt;0,AB33&lt;&gt;"S"),O33*R$4," ")</f>
        <v> </v>
      </c>
      <c r="S33" s="48" t="str">
        <f aca="false">IF(O33&gt;0,O33-N(R33)-N(AC33)," ")</f>
        <v> </v>
      </c>
      <c r="T33" s="48"/>
      <c r="U33" s="55"/>
      <c r="V33" s="58"/>
      <c r="W33" s="51" t="str">
        <f aca="false">IF(V33&gt;0,E33," ")</f>
        <v> </v>
      </c>
      <c r="X33" s="51" t="str">
        <f aca="false">IF(V33&gt;0,J33," ")</f>
        <v> </v>
      </c>
      <c r="Y33" s="48" t="str">
        <f aca="false">IF((U33+V33)&gt;0,IF(V33&lt;S33,S33-V33," ")," ")</f>
        <v> </v>
      </c>
      <c r="Z33" s="48" t="str">
        <f aca="false">IF((U33+V33)&gt;0,IF(V33&gt;S33,V33-S33," ")," ")</f>
        <v> </v>
      </c>
      <c r="AA33" s="25"/>
      <c r="AB33" s="55"/>
      <c r="AC33" s="48" t="str">
        <f aca="false">IF(AND(O33&gt;0,AB33="S"),O33*AC$4," ")</f>
        <v> </v>
      </c>
      <c r="AE33" s="48" t="str">
        <f aca="false">IF(AND(AD33="P",AB33&lt;&gt;"S"),N(R33)," ")</f>
        <v> </v>
      </c>
      <c r="AF33" s="48" t="str">
        <f aca="false">IF(AND(AD33="P",AB33="S"),N(AC33)," ")</f>
        <v> </v>
      </c>
      <c r="AG33" s="48" t="str">
        <f aca="false">IF(AD33="P",N(S33)," ")</f>
        <v> </v>
      </c>
      <c r="AH33" s="48" t="n">
        <f aca="false">IF(AND(AD33&lt;&gt;"P",AB33&lt;&gt;"S"),N(S33)," ")</f>
        <v>0</v>
      </c>
      <c r="AI33" s="48" t="str">
        <f aca="false">IF(AND(AD33&lt;&gt;"P",AB33="S"),N(S33)," ")</f>
        <v> </v>
      </c>
    </row>
    <row r="34" customFormat="false" ht="12" hidden="false" customHeight="false" outlineLevel="0" collapsed="false">
      <c r="A34" s="43"/>
      <c r="B34" s="55"/>
      <c r="C34" s="56"/>
      <c r="D34" s="57"/>
      <c r="E34" s="58"/>
      <c r="F34" s="58"/>
      <c r="G34" s="51" t="str">
        <f aca="false">IF(E34&gt;0,E34-F34," ")</f>
        <v> </v>
      </c>
      <c r="H34" s="59" t="n">
        <f aca="false">H$29</f>
        <v>0.33</v>
      </c>
      <c r="I34" s="51" t="str">
        <f aca="false">IF(E34&gt;0,MIN(E34*H34,G34)," ")</f>
        <v> </v>
      </c>
      <c r="J34" s="51" t="str">
        <f aca="false">IF(E34&gt;0,F34+I34," ")</f>
        <v> </v>
      </c>
      <c r="K34" s="51" t="str">
        <f aca="false">IF(E34&gt;0,IF(V34&gt;0,0,E34-J34)," ")</f>
        <v> </v>
      </c>
      <c r="L34" s="51"/>
      <c r="M34" s="59"/>
      <c r="N34" s="51"/>
      <c r="O34" s="68"/>
      <c r="P34" s="49"/>
      <c r="Q34" s="48"/>
      <c r="R34" s="48" t="str">
        <f aca="false">IF(AND(O34&gt;0,AB34&lt;&gt;"S"),O34*R$4," ")</f>
        <v> </v>
      </c>
      <c r="S34" s="48" t="str">
        <f aca="false">IF(O34&gt;0,O34-N(R34)-N(AC34)," ")</f>
        <v> </v>
      </c>
      <c r="T34" s="48"/>
      <c r="U34" s="55"/>
      <c r="V34" s="58"/>
      <c r="W34" s="51" t="str">
        <f aca="false">IF(V34&gt;0,E34," ")</f>
        <v> </v>
      </c>
      <c r="X34" s="51" t="str">
        <f aca="false">IF(V34&gt;0,J34," ")</f>
        <v> </v>
      </c>
      <c r="Y34" s="48" t="str">
        <f aca="false">IF((U34+V34)&gt;0,IF(V34&lt;S34,S34-V34," ")," ")</f>
        <v> </v>
      </c>
      <c r="Z34" s="48" t="str">
        <f aca="false">IF((U34+V34)&gt;0,IF(V34&gt;S34,V34-S34," ")," ")</f>
        <v> </v>
      </c>
      <c r="AA34" s="25"/>
      <c r="AB34" s="55"/>
      <c r="AC34" s="48" t="str">
        <f aca="false">IF(AND(O34&gt;0,AB34="S"),O34*AC$4," ")</f>
        <v> </v>
      </c>
      <c r="AE34" s="48" t="str">
        <f aca="false">IF(AND(AD34="P",AB34&lt;&gt;"S"),N(R34)," ")</f>
        <v> </v>
      </c>
      <c r="AF34" s="48" t="str">
        <f aca="false">IF(AND(AD34="P",AB34="S"),N(AC34)," ")</f>
        <v> </v>
      </c>
      <c r="AG34" s="48" t="str">
        <f aca="false">IF(AD34="P",N(S34)," ")</f>
        <v> </v>
      </c>
      <c r="AH34" s="48" t="n">
        <f aca="false">IF(AND(AD34&lt;&gt;"P",AB34&lt;&gt;"S"),N(S34)," ")</f>
        <v>0</v>
      </c>
      <c r="AI34" s="48" t="str">
        <f aca="false">IF(AND(AD34&lt;&gt;"P",AB34="S"),N(S34)," ")</f>
        <v> </v>
      </c>
    </row>
    <row r="35" customFormat="false" ht="12" hidden="false" customHeight="true" outlineLevel="0" collapsed="false">
      <c r="A35" s="43"/>
      <c r="B35" s="60" t="s">
        <v>39</v>
      </c>
      <c r="C35" s="60"/>
      <c r="D35" s="60"/>
      <c r="E35" s="61" t="n">
        <f aca="false">SUM(E30:E34)</f>
        <v>3000</v>
      </c>
      <c r="F35" s="61" t="n">
        <f aca="false">SUM(F30:F34)</f>
        <v>270</v>
      </c>
      <c r="G35" s="62" t="n">
        <f aca="false">SUM(G30:G34)</f>
        <v>2730</v>
      </c>
      <c r="H35" s="59"/>
      <c r="I35" s="62" t="n">
        <f aca="false">SUM(I30:I34)</f>
        <v>990</v>
      </c>
      <c r="J35" s="62" t="n">
        <f aca="false">SUM(J30:J34)</f>
        <v>1260</v>
      </c>
      <c r="K35" s="62" t="n">
        <f aca="false">SUM(K30:K34)</f>
        <v>1740</v>
      </c>
      <c r="L35" s="51"/>
      <c r="M35" s="59"/>
      <c r="N35" s="51"/>
      <c r="O35" s="62" t="n">
        <f aca="false">SUM(O30:O34)</f>
        <v>0</v>
      </c>
      <c r="P35" s="63"/>
      <c r="Q35" s="62" t="n">
        <f aca="false">SUM(Q30:Q34)</f>
        <v>0</v>
      </c>
      <c r="R35" s="62" t="n">
        <f aca="false">SUM(R30:R34)</f>
        <v>0</v>
      </c>
      <c r="S35" s="62" t="n">
        <f aca="false">SUM(S30:S34)</f>
        <v>0</v>
      </c>
      <c r="T35" s="48"/>
      <c r="U35" s="50"/>
      <c r="V35" s="61" t="n">
        <f aca="false">SUM(V30:V34)</f>
        <v>0</v>
      </c>
      <c r="W35" s="62" t="n">
        <f aca="false">SUM(W30:W34)</f>
        <v>0</v>
      </c>
      <c r="X35" s="62" t="n">
        <f aca="false">SUM(X30:X34)</f>
        <v>0</v>
      </c>
      <c r="Y35" s="62" t="n">
        <f aca="false">SUM(Y30:Y34)</f>
        <v>0</v>
      </c>
      <c r="Z35" s="62" t="n">
        <f aca="false">SUM(Z30:Z34)</f>
        <v>0</v>
      </c>
      <c r="AA35" s="25"/>
      <c r="AB35" s="25"/>
      <c r="AC35" s="62" t="n">
        <f aca="false">SUM(AC30:AC34)</f>
        <v>0</v>
      </c>
      <c r="AE35" s="62" t="n">
        <f aca="false">SUM(AE30:AE34)</f>
        <v>0</v>
      </c>
      <c r="AF35" s="62" t="n">
        <f aca="false">SUM(AF30:AF34)</f>
        <v>0</v>
      </c>
      <c r="AG35" s="62" t="n">
        <f aca="false">SUM(AG30:AG34)</f>
        <v>0</v>
      </c>
      <c r="AH35" s="62" t="n">
        <f aca="false">SUM(AH30:AH34)</f>
        <v>0</v>
      </c>
      <c r="AI35" s="62" t="n">
        <f aca="false">SUM(AI30:AI34)</f>
        <v>0</v>
      </c>
    </row>
    <row r="36" customFormat="false" ht="6" hidden="false" customHeight="true" outlineLevel="0" collapsed="false">
      <c r="A36" s="43"/>
      <c r="B36" s="64"/>
      <c r="C36" s="65"/>
      <c r="D36" s="66"/>
      <c r="E36" s="51"/>
      <c r="F36" s="51"/>
      <c r="G36" s="51"/>
      <c r="H36" s="59"/>
      <c r="I36" s="51"/>
      <c r="J36" s="51"/>
      <c r="K36" s="51"/>
      <c r="L36" s="51"/>
      <c r="M36" s="59"/>
      <c r="N36" s="51"/>
      <c r="O36" s="51"/>
      <c r="P36" s="63"/>
      <c r="Q36" s="51"/>
      <c r="R36" s="51"/>
      <c r="S36" s="51"/>
      <c r="T36" s="48"/>
      <c r="U36" s="50"/>
      <c r="V36" s="51"/>
      <c r="W36" s="51"/>
      <c r="X36" s="51"/>
      <c r="Y36" s="51"/>
      <c r="Z36" s="51"/>
      <c r="AA36" s="25"/>
    </row>
    <row r="37" customFormat="false" ht="12" hidden="false" customHeight="true" outlineLevel="0" collapsed="false">
      <c r="A37" s="43"/>
      <c r="B37" s="70" t="s">
        <v>40</v>
      </c>
      <c r="C37" s="70"/>
      <c r="D37" s="71" t="n">
        <f aca="false">[1]Admin!$E$8</f>
        <v>0</v>
      </c>
      <c r="E37" s="51"/>
      <c r="F37" s="51"/>
      <c r="G37" s="51"/>
      <c r="H37" s="67" t="n">
        <f aca="false">[1]Admin!$G$17</f>
        <v>0.25</v>
      </c>
      <c r="I37" s="51"/>
      <c r="J37" s="51"/>
      <c r="K37" s="51"/>
      <c r="L37" s="51"/>
      <c r="M37" s="72"/>
      <c r="N37" s="51"/>
      <c r="O37" s="51"/>
      <c r="P37" s="63"/>
      <c r="Q37" s="51"/>
      <c r="R37" s="51"/>
      <c r="S37" s="51"/>
      <c r="T37" s="73"/>
      <c r="U37" s="50"/>
      <c r="V37" s="51"/>
      <c r="W37" s="51"/>
      <c r="X37" s="51"/>
      <c r="Y37" s="51"/>
      <c r="Z37" s="51"/>
      <c r="AA37" s="25"/>
    </row>
    <row r="38" customFormat="false" ht="12" hidden="false" customHeight="false" outlineLevel="0" collapsed="false">
      <c r="A38" s="43"/>
      <c r="B38" s="55"/>
      <c r="C38" s="56" t="s">
        <v>41</v>
      </c>
      <c r="D38" s="57"/>
      <c r="E38" s="58" t="n">
        <v>30000</v>
      </c>
      <c r="F38" s="58" t="n">
        <v>9828</v>
      </c>
      <c r="G38" s="51" t="n">
        <f aca="false">IF(E38&gt;0,E38-F38," ")</f>
        <v>20172</v>
      </c>
      <c r="H38" s="59" t="n">
        <f aca="false">H$37</f>
        <v>0.25</v>
      </c>
      <c r="I38" s="51" t="n">
        <f aca="false">IF(E38&gt;0,MIN(E38*H38,G38)," ")</f>
        <v>7500</v>
      </c>
      <c r="J38" s="51" t="n">
        <f aca="false">IF(E38&gt;0,F38+I38," ")</f>
        <v>17328</v>
      </c>
      <c r="K38" s="51" t="n">
        <f aca="false">IF(E38&gt;0,IF(V38&gt;0,0,E38-J38)," ")</f>
        <v>0</v>
      </c>
      <c r="L38" s="51"/>
      <c r="M38" s="67" t="n">
        <v>0</v>
      </c>
      <c r="N38" s="51"/>
      <c r="O38" s="68" t="n">
        <v>24000</v>
      </c>
      <c r="P38" s="49"/>
      <c r="Q38" s="48"/>
      <c r="R38" s="48" t="n">
        <f aca="false">IF(AND(O38&gt;0,AB38&lt;&gt;"S"),O38*R$4*(1-M38)," ")</f>
        <v>3360</v>
      </c>
      <c r="S38" s="48" t="n">
        <f aca="false">IF(O38&gt;0,O38-N(R38)-N(AC38)," ")</f>
        <v>20640</v>
      </c>
      <c r="T38" s="48"/>
      <c r="U38" s="55" t="n">
        <v>46305</v>
      </c>
      <c r="V38" s="58" t="n">
        <v>12500</v>
      </c>
      <c r="W38" s="51" t="n">
        <f aca="false">IF(V38&gt;0,E38," ")</f>
        <v>30000</v>
      </c>
      <c r="X38" s="51" t="n">
        <f aca="false">IF(V38&gt;0,J38," ")</f>
        <v>17328</v>
      </c>
      <c r="Y38" s="48" t="n">
        <f aca="false">IF((U38+V38)&gt;0,IF(V38&lt;S38,(S38-V38)*(1-M38)," ")," ")</f>
        <v>8140</v>
      </c>
      <c r="Z38" s="48" t="str">
        <f aca="false">IF((U38+V38)&gt;0,IF(V38&gt;S38,(V38-S38)*(1-M38)," ")," ")</f>
        <v> </v>
      </c>
      <c r="AA38" s="25"/>
      <c r="AB38" s="55"/>
      <c r="AC38" s="48" t="str">
        <f aca="false">IF(AND(O38&gt;0,AB38="S"),O38*AC$4*(1-M38)," ")</f>
        <v> </v>
      </c>
      <c r="AE38" s="48" t="str">
        <f aca="false">IF(AND(AD38="P",AB38&lt;&gt;"S"),N(R38)," ")</f>
        <v> </v>
      </c>
      <c r="AF38" s="48" t="str">
        <f aca="false">IF(AND(AD38="P",AB38="S"),N(AC38)," ")</f>
        <v> </v>
      </c>
      <c r="AG38" s="48" t="str">
        <f aca="false">IF(AD38="P",N(S38)," ")</f>
        <v> </v>
      </c>
      <c r="AH38" s="48" t="n">
        <f aca="false">IF(AND(AD38&lt;&gt;"P",AB38&lt;&gt;"S"),N(S38)," ")</f>
        <v>20640</v>
      </c>
      <c r="AI38" s="48" t="str">
        <f aca="false">IF(AND(AD38&lt;&gt;"P",AB38="S"),N(S38)," ")</f>
        <v> </v>
      </c>
    </row>
    <row r="39" customFormat="false" ht="12" hidden="false" customHeight="false" outlineLevel="0" collapsed="false">
      <c r="A39" s="43"/>
      <c r="B39" s="55"/>
      <c r="C39" s="56" t="s">
        <v>42</v>
      </c>
      <c r="D39" s="57"/>
      <c r="E39" s="58" t="n">
        <v>16000</v>
      </c>
      <c r="F39" s="58" t="n">
        <v>4000</v>
      </c>
      <c r="G39" s="51" t="n">
        <f aca="false">IF(E39&gt;0,E39-F39," ")</f>
        <v>12000</v>
      </c>
      <c r="H39" s="59" t="n">
        <f aca="false">H$37</f>
        <v>0.25</v>
      </c>
      <c r="I39" s="51" t="n">
        <f aca="false">IF(E39&gt;0,MIN(E39*H39,G39)," ")</f>
        <v>4000</v>
      </c>
      <c r="J39" s="51" t="n">
        <f aca="false">IF(E39&gt;0,F39+I39," ")</f>
        <v>8000</v>
      </c>
      <c r="K39" s="51" t="n">
        <f aca="false">IF(E39&gt;0,IF(V39&gt;0,0,E39-J39)," ")</f>
        <v>8000</v>
      </c>
      <c r="L39" s="51"/>
      <c r="M39" s="67" t="n">
        <v>0</v>
      </c>
      <c r="N39" s="51"/>
      <c r="O39" s="68" t="n">
        <v>9000</v>
      </c>
      <c r="P39" s="49"/>
      <c r="Q39" s="48"/>
      <c r="R39" s="48" t="str">
        <f aca="false">IF(AND(O39&gt;0,AB39&lt;&gt;"S"),O39*R$4*(1-M39)," ")</f>
        <v> </v>
      </c>
      <c r="S39" s="48" t="n">
        <f aca="false">IF(O39&gt;0,O39-N(R39)-N(AC39)," ")</f>
        <v>8460</v>
      </c>
      <c r="T39" s="48"/>
      <c r="U39" s="55"/>
      <c r="V39" s="58"/>
      <c r="W39" s="51" t="str">
        <f aca="false">IF(V39&gt;0,E39," ")</f>
        <v> </v>
      </c>
      <c r="X39" s="51" t="str">
        <f aca="false">IF(V39&gt;0,J39," ")</f>
        <v> </v>
      </c>
      <c r="Y39" s="48" t="str">
        <f aca="false">IF((U39+V39)&gt;0,IF(V39&lt;S39,(S39-V39)*(1-M39)," ")," ")</f>
        <v> </v>
      </c>
      <c r="Z39" s="48" t="str">
        <f aca="false">IF((U39+V39)&gt;0,IF(V39&gt;S39,(V39-S39)*(1-M39)," ")," ")</f>
        <v> </v>
      </c>
      <c r="AA39" s="25"/>
      <c r="AB39" s="55" t="s">
        <v>43</v>
      </c>
      <c r="AC39" s="48" t="n">
        <f aca="false">IF(AND(O39&gt;0,AB39="S"),O39*AC$4*(1-M39)," ")</f>
        <v>540</v>
      </c>
      <c r="AE39" s="48" t="str">
        <f aca="false">IF(AND(AD39="P",AB39&lt;&gt;"S"),N(R39)," ")</f>
        <v> </v>
      </c>
      <c r="AF39" s="48" t="str">
        <f aca="false">IF(AND(AD39="P",AB39="S"),N(AC39)," ")</f>
        <v> </v>
      </c>
      <c r="AG39" s="48" t="str">
        <f aca="false">IF(AD39="P",N(S39)," ")</f>
        <v> </v>
      </c>
      <c r="AH39" s="48" t="str">
        <f aca="false">IF(AND(AD39&lt;&gt;"P",AB39&lt;&gt;"S"),N(S39)," ")</f>
        <v> </v>
      </c>
      <c r="AI39" s="48" t="n">
        <f aca="false">IF(AND(AD39&lt;&gt;"P",AB39="S"),N(S39)," ")</f>
        <v>8460</v>
      </c>
    </row>
    <row r="40" customFormat="false" ht="12" hidden="false" customHeight="false" outlineLevel="0" collapsed="false">
      <c r="A40" s="43"/>
      <c r="B40" s="55"/>
      <c r="C40" s="56" t="s">
        <v>44</v>
      </c>
      <c r="D40" s="57"/>
      <c r="E40" s="58" t="n">
        <v>12500</v>
      </c>
      <c r="F40" s="58" t="n">
        <v>5000</v>
      </c>
      <c r="G40" s="51" t="n">
        <f aca="false">IF(E40&gt;0,E40-F40," ")</f>
        <v>7500</v>
      </c>
      <c r="H40" s="59" t="n">
        <f aca="false">H$37</f>
        <v>0.25</v>
      </c>
      <c r="I40" s="51" t="n">
        <f aca="false">IF(E40&gt;0,MIN(E40*H40,G40)," ")</f>
        <v>3125</v>
      </c>
      <c r="J40" s="51" t="n">
        <f aca="false">IF(E40&gt;0,F40+I40," ")</f>
        <v>8125</v>
      </c>
      <c r="K40" s="51" t="n">
        <f aca="false">IF(E40&gt;0,IF(V40&gt;0,0,E40-J40)," ")</f>
        <v>4375</v>
      </c>
      <c r="L40" s="51"/>
      <c r="M40" s="67" t="n">
        <v>0.3</v>
      </c>
      <c r="N40" s="51"/>
      <c r="O40" s="68" t="n">
        <v>8000</v>
      </c>
      <c r="P40" s="49"/>
      <c r="Q40" s="48"/>
      <c r="R40" s="48" t="n">
        <f aca="false">IF(AND(O40&gt;0,AB40&lt;&gt;"S"),O40*R$4*(1-M40)," ")</f>
        <v>784</v>
      </c>
      <c r="S40" s="48" t="n">
        <f aca="false">IF(O40&gt;0,O40-N(R40)-N(AC40)," ")</f>
        <v>7216</v>
      </c>
      <c r="T40" s="48"/>
      <c r="U40" s="55"/>
      <c r="V40" s="58"/>
      <c r="W40" s="51" t="str">
        <f aca="false">IF(V40&gt;0,E40," ")</f>
        <v> </v>
      </c>
      <c r="X40" s="51" t="str">
        <f aca="false">IF(V40&gt;0,J40," ")</f>
        <v> </v>
      </c>
      <c r="Y40" s="48" t="str">
        <f aca="false">IF((U40+V40)&gt;0,IF(V40&lt;S40,(S40-V40)*(1-M40)," ")," ")</f>
        <v> </v>
      </c>
      <c r="Z40" s="48" t="str">
        <f aca="false">IF((U40+V40)&gt;0,IF(V40&gt;S40,(V40-S40)*(1-M40)," ")," ")</f>
        <v> </v>
      </c>
      <c r="AA40" s="25"/>
      <c r="AB40" s="55"/>
      <c r="AC40" s="48" t="str">
        <f aca="false">IF(AND(O40&gt;0,AB40="S"),O40*AC$4*(1-M40)," ")</f>
        <v> </v>
      </c>
      <c r="AD40" s="8" t="s">
        <v>45</v>
      </c>
      <c r="AE40" s="48" t="n">
        <f aca="false">IF(AND(AD40="P",AB40&lt;&gt;"S"),N(R40)," ")</f>
        <v>784</v>
      </c>
      <c r="AF40" s="48" t="str">
        <f aca="false">IF(AND(AD40="P",AB40="S"),N(AC40)," ")</f>
        <v> </v>
      </c>
      <c r="AG40" s="48" t="n">
        <f aca="false">IF(AD40="P",N(S40)," ")</f>
        <v>7216</v>
      </c>
      <c r="AH40" s="48" t="str">
        <f aca="false">IF(AND(AD40&lt;&gt;"P",AB40&lt;&gt;"S"),N(S40)," ")</f>
        <v> </v>
      </c>
      <c r="AI40" s="48" t="str">
        <f aca="false">IF(AND(AD40&lt;&gt;"P",AB40="S"),N(S40)," ")</f>
        <v> </v>
      </c>
    </row>
    <row r="41" customFormat="false" ht="12" hidden="false" customHeight="false" outlineLevel="0" collapsed="false">
      <c r="A41" s="43"/>
      <c r="B41" s="55"/>
      <c r="C41" s="56"/>
      <c r="D41" s="57"/>
      <c r="E41" s="58"/>
      <c r="F41" s="58"/>
      <c r="G41" s="51" t="str">
        <f aca="false">IF(E41&gt;0,E41-F41," ")</f>
        <v> </v>
      </c>
      <c r="H41" s="59" t="n">
        <f aca="false">H$37</f>
        <v>0.25</v>
      </c>
      <c r="I41" s="51" t="str">
        <f aca="false">IF(E41&gt;0,MIN(E41*H41,G41)," ")</f>
        <v> </v>
      </c>
      <c r="J41" s="51" t="str">
        <f aca="false">IF(E41&gt;0,F41+I41," ")</f>
        <v> </v>
      </c>
      <c r="K41" s="51" t="str">
        <f aca="false">IF(E41&gt;0,IF(V41&gt;0,0,E41-J41)," ")</f>
        <v> </v>
      </c>
      <c r="L41" s="51"/>
      <c r="M41" s="67" t="n">
        <v>0</v>
      </c>
      <c r="N41" s="51"/>
      <c r="O41" s="68"/>
      <c r="P41" s="49"/>
      <c r="Q41" s="48"/>
      <c r="R41" s="48" t="str">
        <f aca="false">IF(AND(O41&gt;0,AB41&lt;&gt;"S"),O41*R$4*(1-M41)," ")</f>
        <v> </v>
      </c>
      <c r="S41" s="48" t="str">
        <f aca="false">IF(O41&gt;0,O41-N(R41)-N(AC41)," ")</f>
        <v> </v>
      </c>
      <c r="T41" s="48"/>
      <c r="U41" s="55"/>
      <c r="V41" s="58"/>
      <c r="W41" s="51" t="str">
        <f aca="false">IF(V41&gt;0,E41," ")</f>
        <v> </v>
      </c>
      <c r="X41" s="51" t="str">
        <f aca="false">IF(V41&gt;0,J41," ")</f>
        <v> </v>
      </c>
      <c r="Y41" s="48" t="str">
        <f aca="false">IF((U41+V41)&gt;0,IF(V41&lt;S41,(S41-V41)*(1-M41)," ")," ")</f>
        <v> </v>
      </c>
      <c r="Z41" s="48" t="str">
        <f aca="false">IF((U41+V41)&gt;0,IF(V41&gt;S41,(V41-S41)*(1-M41)," ")," ")</f>
        <v> </v>
      </c>
      <c r="AA41" s="25"/>
      <c r="AB41" s="55"/>
      <c r="AC41" s="48" t="str">
        <f aca="false">IF(AND(O41&gt;0,AB41="S"),O41*AC$4*(1-M41)," ")</f>
        <v> </v>
      </c>
      <c r="AE41" s="48" t="str">
        <f aca="false">IF(AND(AD41="P",AB41&lt;&gt;"S"),N(R41)," ")</f>
        <v> </v>
      </c>
      <c r="AF41" s="48" t="str">
        <f aca="false">IF(AND(AD41="P",AB41="S"),N(AC41)," ")</f>
        <v> </v>
      </c>
      <c r="AG41" s="48" t="str">
        <f aca="false">IF(AD41="P",N(S41)," ")</f>
        <v> </v>
      </c>
      <c r="AH41" s="48" t="n">
        <f aca="false">IF(AND(AD41&lt;&gt;"P",AB41&lt;&gt;"S"),N(S41)," ")</f>
        <v>0</v>
      </c>
      <c r="AI41" s="48" t="str">
        <f aca="false">IF(AND(AD41&lt;&gt;"P",AB41="S"),N(S41)," ")</f>
        <v> </v>
      </c>
    </row>
    <row r="42" customFormat="false" ht="12" hidden="false" customHeight="false" outlineLevel="0" collapsed="false">
      <c r="A42" s="43"/>
      <c r="B42" s="55"/>
      <c r="C42" s="56"/>
      <c r="D42" s="57"/>
      <c r="E42" s="58"/>
      <c r="F42" s="58"/>
      <c r="G42" s="51" t="str">
        <f aca="false">IF(E42&gt;0,E42-F42," ")</f>
        <v> </v>
      </c>
      <c r="H42" s="59" t="n">
        <f aca="false">H$37</f>
        <v>0.25</v>
      </c>
      <c r="I42" s="51" t="str">
        <f aca="false">IF(E42&gt;0,MIN(E42*H42,G42)," ")</f>
        <v> </v>
      </c>
      <c r="J42" s="51" t="str">
        <f aca="false">IF(E42&gt;0,F42+I42," ")</f>
        <v> </v>
      </c>
      <c r="K42" s="51" t="str">
        <f aca="false">IF(E42&gt;0,IF(V42&gt;0,0,E42-J42)," ")</f>
        <v> </v>
      </c>
      <c r="L42" s="51"/>
      <c r="M42" s="67" t="n">
        <v>0</v>
      </c>
      <c r="N42" s="51"/>
      <c r="O42" s="68"/>
      <c r="P42" s="49"/>
      <c r="Q42" s="48"/>
      <c r="R42" s="48" t="str">
        <f aca="false">IF(AND(O42&gt;0,AB42&lt;&gt;"S"),O42*R$4*(1-M42)," ")</f>
        <v> </v>
      </c>
      <c r="S42" s="48" t="str">
        <f aca="false">IF(O42&gt;0,O42-N(R42)-N(AC42)," ")</f>
        <v> </v>
      </c>
      <c r="T42" s="48"/>
      <c r="U42" s="55"/>
      <c r="V42" s="58"/>
      <c r="W42" s="51" t="str">
        <f aca="false">IF(V42&gt;0,E42," ")</f>
        <v> </v>
      </c>
      <c r="X42" s="51" t="str">
        <f aca="false">IF(V42&gt;0,J42," ")</f>
        <v> </v>
      </c>
      <c r="Y42" s="48" t="str">
        <f aca="false">IF((U42+V42)&gt;0,IF(V42&lt;S42,(S42-V42)*(1-M42)," ")," ")</f>
        <v> </v>
      </c>
      <c r="Z42" s="48" t="str">
        <f aca="false">IF((U42+V42)&gt;0,IF(V42&gt;S42,(V42-S42)*(1-M42)," ")," ")</f>
        <v> </v>
      </c>
      <c r="AA42" s="25"/>
      <c r="AB42" s="55"/>
      <c r="AC42" s="48" t="str">
        <f aca="false">IF(AND(O42&gt;0,AB42="S"),O42*AC$4*(1-M42)," ")</f>
        <v> </v>
      </c>
      <c r="AE42" s="48" t="str">
        <f aca="false">IF(AND(AD42="P",AB42&lt;&gt;"S"),N(R42)," ")</f>
        <v> </v>
      </c>
      <c r="AF42" s="48" t="str">
        <f aca="false">IF(AND(AD42="P",AB42="S"),N(AC42)," ")</f>
        <v> </v>
      </c>
      <c r="AG42" s="48" t="str">
        <f aca="false">IF(AD42="P",N(S42)," ")</f>
        <v> </v>
      </c>
      <c r="AH42" s="48" t="n">
        <f aca="false">IF(AND(AD42&lt;&gt;"P",AB42&lt;&gt;"S"),N(S42)," ")</f>
        <v>0</v>
      </c>
      <c r="AI42" s="48" t="str">
        <f aca="false">IF(AND(AD42&lt;&gt;"P",AB42="S"),N(S42)," ")</f>
        <v> </v>
      </c>
    </row>
    <row r="43" customFormat="false" ht="12" hidden="false" customHeight="true" outlineLevel="0" collapsed="false">
      <c r="A43" s="43"/>
      <c r="B43" s="70" t="s">
        <v>46</v>
      </c>
      <c r="C43" s="70"/>
      <c r="D43" s="71" t="n">
        <f aca="false">[1]Admin!$E$8</f>
        <v>0</v>
      </c>
      <c r="E43" s="51"/>
      <c r="F43" s="51"/>
      <c r="G43" s="51"/>
      <c r="H43" s="59"/>
      <c r="I43" s="51"/>
      <c r="J43" s="51"/>
      <c r="K43" s="51"/>
      <c r="L43" s="51"/>
      <c r="M43" s="59"/>
      <c r="N43" s="51"/>
      <c r="O43" s="48"/>
      <c r="P43" s="49"/>
      <c r="Q43" s="48"/>
      <c r="R43" s="48"/>
      <c r="S43" s="48"/>
      <c r="T43" s="48"/>
      <c r="U43" s="50"/>
      <c r="V43" s="51"/>
      <c r="W43" s="51"/>
      <c r="X43" s="51"/>
      <c r="Y43" s="48"/>
      <c r="Z43" s="48"/>
      <c r="AA43" s="25"/>
    </row>
    <row r="44" customFormat="false" ht="12" hidden="false" customHeight="false" outlineLevel="0" collapsed="false">
      <c r="A44" s="43"/>
      <c r="B44" s="55"/>
      <c r="C44" s="56"/>
      <c r="D44" s="57"/>
      <c r="E44" s="58"/>
      <c r="F44" s="58"/>
      <c r="G44" s="51" t="str">
        <f aca="false">IF(E44&gt;0,E44-F44," ")</f>
        <v> </v>
      </c>
      <c r="H44" s="59" t="n">
        <f aca="false">H$37</f>
        <v>0.25</v>
      </c>
      <c r="I44" s="51" t="str">
        <f aca="false">IF(E44&gt;0,MIN(E44*H44,G44)," ")</f>
        <v> </v>
      </c>
      <c r="J44" s="51" t="str">
        <f aca="false">IF(E44&gt;0,F44+I44," ")</f>
        <v> </v>
      </c>
      <c r="K44" s="51" t="str">
        <f aca="false">IF(E44&gt;0,IF(V44&gt;0,0,E44-J44)," ")</f>
        <v> </v>
      </c>
      <c r="L44" s="51"/>
      <c r="M44" s="67" t="n">
        <v>0</v>
      </c>
      <c r="N44" s="51"/>
      <c r="O44" s="68"/>
      <c r="P44" s="49"/>
      <c r="Q44" s="48"/>
      <c r="R44" s="48" t="str">
        <f aca="false">IF(AND(O44&gt;0,AB44&lt;&gt;"S"),O44*R$4*(1-M44)," ")</f>
        <v> </v>
      </c>
      <c r="S44" s="48" t="str">
        <f aca="false">IF(O44&gt;0,O44-N(R44)-N(AC44)," ")</f>
        <v> </v>
      </c>
      <c r="T44" s="48"/>
      <c r="U44" s="55"/>
      <c r="V44" s="58"/>
      <c r="W44" s="51" t="str">
        <f aca="false">IF(V44&gt;0,E44," ")</f>
        <v> </v>
      </c>
      <c r="X44" s="51" t="str">
        <f aca="false">IF(V44&gt;0,J44," ")</f>
        <v> </v>
      </c>
      <c r="Y44" s="48" t="str">
        <f aca="false">IF((U44+V44)&gt;0,IF(V44&lt;S44,(S44-V44)*(1-M44)," ")," ")</f>
        <v> </v>
      </c>
      <c r="Z44" s="48" t="str">
        <f aca="false">IF((U44+V44)&gt;0,IF(V44&gt;S44,(V44-S44)*(1-M44)," ")," ")</f>
        <v> </v>
      </c>
      <c r="AA44" s="25"/>
      <c r="AB44" s="55"/>
      <c r="AC44" s="48" t="str">
        <f aca="false">IF(AND(O44&gt;0,AB44="S"),O44*AC$4*(1-M44)," ")</f>
        <v> </v>
      </c>
      <c r="AE44" s="48" t="str">
        <f aca="false">IF(AND(AD44="P",AB44&lt;&gt;"S"),N(R44)," ")</f>
        <v> </v>
      </c>
      <c r="AF44" s="48" t="str">
        <f aca="false">IF(AND(AD44="P",AB44="S"),N(AC44)," ")</f>
        <v> </v>
      </c>
      <c r="AG44" s="48" t="str">
        <f aca="false">IF(AD44="P",N(S44)," ")</f>
        <v> </v>
      </c>
      <c r="AH44" s="48" t="n">
        <f aca="false">IF(AND(AD44&lt;&gt;"P",AB44&lt;&gt;"S"),N(S44)," ")</f>
        <v>0</v>
      </c>
      <c r="AI44" s="48" t="str">
        <f aca="false">IF(AND(AD44&lt;&gt;"P",AB44="S"),N(S44)," ")</f>
        <v> </v>
      </c>
    </row>
    <row r="45" customFormat="false" ht="12" hidden="false" customHeight="false" outlineLevel="0" collapsed="false">
      <c r="A45" s="43"/>
      <c r="B45" s="55"/>
      <c r="C45" s="56"/>
      <c r="D45" s="57"/>
      <c r="E45" s="58"/>
      <c r="F45" s="58"/>
      <c r="G45" s="51" t="str">
        <f aca="false">IF(E45&gt;0,E45-F45," ")</f>
        <v> </v>
      </c>
      <c r="H45" s="59" t="n">
        <f aca="false">H$37</f>
        <v>0.25</v>
      </c>
      <c r="I45" s="51" t="str">
        <f aca="false">IF(E45&gt;0,MIN(E45*H45,G45)," ")</f>
        <v> </v>
      </c>
      <c r="J45" s="51" t="str">
        <f aca="false">IF(E45&gt;0,F45+I45," ")</f>
        <v> </v>
      </c>
      <c r="K45" s="51" t="str">
        <f aca="false">IF(E45&gt;0,IF(V45&gt;0,0,E45-J45)," ")</f>
        <v> </v>
      </c>
      <c r="L45" s="51"/>
      <c r="M45" s="67" t="n">
        <v>0</v>
      </c>
      <c r="N45" s="51"/>
      <c r="O45" s="68"/>
      <c r="P45" s="49"/>
      <c r="Q45" s="48"/>
      <c r="R45" s="48" t="str">
        <f aca="false">IF(AND(O45&gt;0,AB45&lt;&gt;"S"),O45*R$4*(1-M45)," ")</f>
        <v> </v>
      </c>
      <c r="S45" s="48" t="str">
        <f aca="false">IF(O45&gt;0,O45-N(R45)-N(AC45)," ")</f>
        <v> </v>
      </c>
      <c r="T45" s="48"/>
      <c r="U45" s="55"/>
      <c r="V45" s="58"/>
      <c r="W45" s="51" t="str">
        <f aca="false">IF(V45&gt;0,E45," ")</f>
        <v> </v>
      </c>
      <c r="X45" s="51" t="str">
        <f aca="false">IF(V45&gt;0,J45," ")</f>
        <v> </v>
      </c>
      <c r="Y45" s="48" t="str">
        <f aca="false">IF((U45+V45)&gt;0,IF(V45&lt;S45,(S45-V45)*(1-M45)," ")," ")</f>
        <v> </v>
      </c>
      <c r="Z45" s="48" t="str">
        <f aca="false">IF((U45+V45)&gt;0,IF(V45&gt;S45,(V45-S45)*(1-M45)," ")," ")</f>
        <v> </v>
      </c>
      <c r="AA45" s="25"/>
      <c r="AB45" s="55"/>
      <c r="AC45" s="48" t="str">
        <f aca="false">IF(AND(O45&gt;0,AB45="S"),O45*AC$4*(1-M45)," ")</f>
        <v> </v>
      </c>
      <c r="AE45" s="48" t="str">
        <f aca="false">IF(AND(AD45="P",AB45&lt;&gt;"S"),N(R45)," ")</f>
        <v> </v>
      </c>
      <c r="AF45" s="48" t="str">
        <f aca="false">IF(AND(AD45="P",AB45="S"),N(AC45)," ")</f>
        <v> </v>
      </c>
      <c r="AG45" s="48" t="str">
        <f aca="false">IF(AD45="P",N(S45)," ")</f>
        <v> </v>
      </c>
      <c r="AH45" s="48" t="n">
        <f aca="false">IF(AND(AD45&lt;&gt;"P",AB45&lt;&gt;"S"),N(S45)," ")</f>
        <v>0</v>
      </c>
      <c r="AI45" s="48" t="str">
        <f aca="false">IF(AND(AD45&lt;&gt;"P",AB45="S"),N(S45)," ")</f>
        <v> </v>
      </c>
    </row>
    <row r="46" customFormat="false" ht="12" hidden="false" customHeight="false" outlineLevel="0" collapsed="false">
      <c r="A46" s="43"/>
      <c r="B46" s="55"/>
      <c r="C46" s="56"/>
      <c r="D46" s="57"/>
      <c r="E46" s="58"/>
      <c r="F46" s="58"/>
      <c r="G46" s="51" t="str">
        <f aca="false">IF(E46&gt;0,E46-F46," ")</f>
        <v> </v>
      </c>
      <c r="H46" s="59" t="n">
        <f aca="false">H$37</f>
        <v>0.25</v>
      </c>
      <c r="I46" s="51" t="str">
        <f aca="false">IF(E46&gt;0,MIN(E46*H46,G46)," ")</f>
        <v> </v>
      </c>
      <c r="J46" s="51" t="str">
        <f aca="false">IF(E46&gt;0,F46+I46," ")</f>
        <v> </v>
      </c>
      <c r="K46" s="51" t="str">
        <f aca="false">IF(E46&gt;0,IF(V46&gt;0,0,E46-J46)," ")</f>
        <v> </v>
      </c>
      <c r="L46" s="51"/>
      <c r="M46" s="67" t="n">
        <v>0</v>
      </c>
      <c r="N46" s="51"/>
      <c r="O46" s="68"/>
      <c r="P46" s="49"/>
      <c r="Q46" s="48"/>
      <c r="R46" s="48" t="str">
        <f aca="false">IF(AND(O46&gt;0,AB46&lt;&gt;"S"),O46*R$4*(1-M46)," ")</f>
        <v> </v>
      </c>
      <c r="S46" s="48" t="str">
        <f aca="false">IF(O46&gt;0,O46-N(R46)-N(AC46)," ")</f>
        <v> </v>
      </c>
      <c r="T46" s="48"/>
      <c r="U46" s="55"/>
      <c r="V46" s="58"/>
      <c r="W46" s="51" t="str">
        <f aca="false">IF(V46&gt;0,E46," ")</f>
        <v> </v>
      </c>
      <c r="X46" s="51" t="str">
        <f aca="false">IF(V46&gt;0,J46," ")</f>
        <v> </v>
      </c>
      <c r="Y46" s="48" t="str">
        <f aca="false">IF((U46+V46)&gt;0,IF(V46&lt;S46,(S46-V46)*(1-M46)," ")," ")</f>
        <v> </v>
      </c>
      <c r="Z46" s="48" t="str">
        <f aca="false">IF((U46+V46)&gt;0,IF(V46&gt;S46,(V46-S46)*(1-M46)," ")," ")</f>
        <v> </v>
      </c>
      <c r="AA46" s="25"/>
      <c r="AB46" s="55"/>
      <c r="AC46" s="48" t="str">
        <f aca="false">IF(AND(O46&gt;0,AB46="S"),O46*AC$4*(1-M46)," ")</f>
        <v> </v>
      </c>
      <c r="AE46" s="48" t="str">
        <f aca="false">IF(AND(AD46="P",AB46&lt;&gt;"S"),N(R46)," ")</f>
        <v> </v>
      </c>
      <c r="AF46" s="48" t="str">
        <f aca="false">IF(AND(AD46="P",AB46="S"),N(AC46)," ")</f>
        <v> </v>
      </c>
      <c r="AG46" s="48" t="str">
        <f aca="false">IF(AD46="P",N(S46)," ")</f>
        <v> </v>
      </c>
      <c r="AH46" s="48" t="n">
        <f aca="false">IF(AND(AD46&lt;&gt;"P",AB46&lt;&gt;"S"),N(S46)," ")</f>
        <v>0</v>
      </c>
      <c r="AI46" s="48" t="str">
        <f aca="false">IF(AND(AD46&lt;&gt;"P",AB46="S"),N(S46)," ")</f>
        <v> </v>
      </c>
    </row>
    <row r="47" customFormat="false" ht="12" hidden="false" customHeight="false" outlineLevel="0" collapsed="false">
      <c r="A47" s="43"/>
      <c r="B47" s="55"/>
      <c r="C47" s="56"/>
      <c r="D47" s="57"/>
      <c r="E47" s="58"/>
      <c r="F47" s="58"/>
      <c r="G47" s="51" t="str">
        <f aca="false">IF(E47&gt;0,E47-F47," ")</f>
        <v> </v>
      </c>
      <c r="H47" s="59" t="n">
        <f aca="false">H$37</f>
        <v>0.25</v>
      </c>
      <c r="I47" s="51" t="str">
        <f aca="false">IF(E47&gt;0,MIN(E47*H47,G47)," ")</f>
        <v> </v>
      </c>
      <c r="J47" s="51" t="str">
        <f aca="false">IF(E47&gt;0,F47+I47," ")</f>
        <v> </v>
      </c>
      <c r="K47" s="51" t="str">
        <f aca="false">IF(E47&gt;0,IF(V47&gt;0,0,E47-J47)," ")</f>
        <v> </v>
      </c>
      <c r="L47" s="51"/>
      <c r="M47" s="67" t="n">
        <v>0</v>
      </c>
      <c r="N47" s="51"/>
      <c r="O47" s="68"/>
      <c r="P47" s="49"/>
      <c r="Q47" s="48"/>
      <c r="R47" s="48" t="str">
        <f aca="false">IF(AND(O47&gt;0,AB47&lt;&gt;"S"),O47*R$4*(1-M47)," ")</f>
        <v> </v>
      </c>
      <c r="S47" s="48" t="str">
        <f aca="false">IF(O47&gt;0,O47-N(R47)-N(AC47)," ")</f>
        <v> </v>
      </c>
      <c r="T47" s="48"/>
      <c r="U47" s="55"/>
      <c r="V47" s="58"/>
      <c r="W47" s="51" t="str">
        <f aca="false">IF(V47&gt;0,E47," ")</f>
        <v> </v>
      </c>
      <c r="X47" s="51" t="str">
        <f aca="false">IF(V47&gt;0,J47," ")</f>
        <v> </v>
      </c>
      <c r="Y47" s="48" t="str">
        <f aca="false">IF((U47+V47)&gt;0,IF(V47&lt;S47,(S47-V47)*(1-M47)," ")," ")</f>
        <v> </v>
      </c>
      <c r="Z47" s="48" t="str">
        <f aca="false">IF((U47+V47)&gt;0,IF(V47&gt;S47,(V47-S47)*(1-M47)," ")," ")</f>
        <v> </v>
      </c>
      <c r="AA47" s="25"/>
      <c r="AB47" s="55"/>
      <c r="AC47" s="48" t="str">
        <f aca="false">IF(AND(O47&gt;0,AB47="S"),O47*AC$4*(1-M47)," ")</f>
        <v> </v>
      </c>
      <c r="AE47" s="48" t="str">
        <f aca="false">IF(AND(AD47="P",AB47&lt;&gt;"S"),N(R47)," ")</f>
        <v> </v>
      </c>
      <c r="AF47" s="48" t="str">
        <f aca="false">IF(AND(AD47="P",AB47="S"),N(AC47)," ")</f>
        <v> </v>
      </c>
      <c r="AG47" s="48" t="str">
        <f aca="false">IF(AD47="P",N(S47)," ")</f>
        <v> </v>
      </c>
      <c r="AH47" s="48" t="n">
        <f aca="false">IF(AND(AD47&lt;&gt;"P",AB47&lt;&gt;"S"),N(S47)," ")</f>
        <v>0</v>
      </c>
      <c r="AI47" s="48" t="str">
        <f aca="false">IF(AND(AD47&lt;&gt;"P",AB47="S"),N(S47)," ")</f>
        <v> </v>
      </c>
    </row>
    <row r="48" customFormat="false" ht="12" hidden="false" customHeight="false" outlineLevel="0" collapsed="false">
      <c r="A48" s="43"/>
      <c r="B48" s="55"/>
      <c r="C48" s="56"/>
      <c r="D48" s="57"/>
      <c r="E48" s="58"/>
      <c r="F48" s="58"/>
      <c r="G48" s="51" t="str">
        <f aca="false">IF(E48&gt;0,E48-F48," ")</f>
        <v> </v>
      </c>
      <c r="H48" s="59" t="n">
        <f aca="false">H$37</f>
        <v>0.25</v>
      </c>
      <c r="I48" s="51" t="str">
        <f aca="false">IF(E48&gt;0,MIN(E48*H48,G48)," ")</f>
        <v> </v>
      </c>
      <c r="J48" s="51" t="str">
        <f aca="false">IF(E48&gt;0,F48+I48," ")</f>
        <v> </v>
      </c>
      <c r="K48" s="51" t="str">
        <f aca="false">IF(E48&gt;0,IF(V48&gt;0,0,E48-J48)," ")</f>
        <v> </v>
      </c>
      <c r="L48" s="51"/>
      <c r="M48" s="67" t="n">
        <v>0</v>
      </c>
      <c r="N48" s="51"/>
      <c r="O48" s="68"/>
      <c r="P48" s="49"/>
      <c r="Q48" s="48"/>
      <c r="R48" s="48" t="str">
        <f aca="false">IF(AND(O48&gt;0,AB48&lt;&gt;"S"),O48*R$4*(1-M48)," ")</f>
        <v> </v>
      </c>
      <c r="S48" s="48" t="str">
        <f aca="false">IF(O48&gt;0,O48-N(R48)-N(AC48)," ")</f>
        <v> </v>
      </c>
      <c r="T48" s="48"/>
      <c r="U48" s="55"/>
      <c r="V48" s="58"/>
      <c r="W48" s="51" t="str">
        <f aca="false">IF(V48&gt;0,E48," ")</f>
        <v> </v>
      </c>
      <c r="X48" s="51" t="str">
        <f aca="false">IF(V48&gt;0,J48," ")</f>
        <v> </v>
      </c>
      <c r="Y48" s="48" t="str">
        <f aca="false">IF((U48+V48)&gt;0,IF(V48&lt;S48,(S48-V48)*(1-M48)," ")," ")</f>
        <v> </v>
      </c>
      <c r="Z48" s="48" t="str">
        <f aca="false">IF((U48+V48)&gt;0,IF(V48&gt;S48,(V48-S48)*(1-M48)," ")," ")</f>
        <v> </v>
      </c>
      <c r="AA48" s="25"/>
      <c r="AB48" s="55"/>
      <c r="AC48" s="48" t="str">
        <f aca="false">IF(AND(O48&gt;0,AB48="S"),O48*AC$4*(1-M48)," ")</f>
        <v> </v>
      </c>
      <c r="AE48" s="48" t="str">
        <f aca="false">IF(AND(AD48="P",AB48&lt;&gt;"S"),N(R48)," ")</f>
        <v> </v>
      </c>
      <c r="AF48" s="48" t="str">
        <f aca="false">IF(AND(AD48="P",AB48="S"),N(AC48)," ")</f>
        <v> </v>
      </c>
      <c r="AG48" s="48" t="str">
        <f aca="false">IF(AD48="P",N(S48)," ")</f>
        <v> </v>
      </c>
      <c r="AH48" s="48" t="n">
        <f aca="false">IF(AND(AD48&lt;&gt;"P",AB48&lt;&gt;"S"),N(S48)," ")</f>
        <v>0</v>
      </c>
      <c r="AI48" s="48" t="str">
        <f aca="false">IF(AND(AD48&lt;&gt;"P",AB48="S"),N(S48)," ")</f>
        <v> </v>
      </c>
    </row>
    <row r="49" customFormat="false" ht="12" hidden="false" customHeight="true" outlineLevel="0" collapsed="false">
      <c r="A49" s="43"/>
      <c r="B49" s="52" t="s">
        <v>47</v>
      </c>
      <c r="C49" s="52"/>
      <c r="D49" s="63"/>
      <c r="E49" s="51"/>
      <c r="F49" s="51"/>
      <c r="G49" s="51"/>
      <c r="H49" s="59"/>
      <c r="I49" s="51"/>
      <c r="J49" s="51"/>
      <c r="K49" s="51"/>
      <c r="L49" s="51"/>
      <c r="M49" s="59"/>
      <c r="N49" s="51"/>
      <c r="O49" s="48"/>
      <c r="P49" s="49"/>
      <c r="Q49" s="48"/>
      <c r="R49" s="48"/>
      <c r="S49" s="48"/>
      <c r="T49" s="48"/>
      <c r="U49" s="50"/>
      <c r="V49" s="51"/>
      <c r="W49" s="51"/>
      <c r="X49" s="51"/>
      <c r="Y49" s="48"/>
      <c r="Z49" s="48"/>
      <c r="AA49" s="25"/>
    </row>
    <row r="50" customFormat="false" ht="12" hidden="false" customHeight="false" outlineLevel="0" collapsed="false">
      <c r="A50" s="43"/>
      <c r="B50" s="55"/>
      <c r="C50" s="56"/>
      <c r="D50" s="57"/>
      <c r="E50" s="58"/>
      <c r="F50" s="58"/>
      <c r="G50" s="51" t="str">
        <f aca="false">IF(E50&gt;0,E50-F50," ")</f>
        <v> </v>
      </c>
      <c r="H50" s="59" t="n">
        <f aca="false">H$37</f>
        <v>0.25</v>
      </c>
      <c r="I50" s="51" t="str">
        <f aca="false">IF(E50&gt;0,MIN(E50*H50,G50)," ")</f>
        <v> </v>
      </c>
      <c r="J50" s="51" t="str">
        <f aca="false">IF(E50&gt;0,F50+I50," ")</f>
        <v> </v>
      </c>
      <c r="K50" s="51" t="str">
        <f aca="false">IF(E50&gt;0,IF(V50&gt;0,0,E50-J50)," ")</f>
        <v> </v>
      </c>
      <c r="L50" s="51"/>
      <c r="M50" s="67" t="n">
        <v>0</v>
      </c>
      <c r="N50" s="51"/>
      <c r="O50" s="68"/>
      <c r="P50" s="49"/>
      <c r="Q50" s="48"/>
      <c r="R50" s="48" t="str">
        <f aca="false">IF(AND(O50&gt;0,AB50&lt;&gt;"S"),O50*R$4," ")</f>
        <v> </v>
      </c>
      <c r="S50" s="48" t="str">
        <f aca="false">IF(O50&gt;0,O50-N(R50)-N(AC50)," ")</f>
        <v> </v>
      </c>
      <c r="T50" s="48"/>
      <c r="U50" s="55"/>
      <c r="V50" s="58"/>
      <c r="W50" s="51" t="str">
        <f aca="false">IF(V50&gt;0,E50," ")</f>
        <v> </v>
      </c>
      <c r="X50" s="51" t="str">
        <f aca="false">IF(V50&gt;0,J50," ")</f>
        <v> </v>
      </c>
      <c r="Y50" s="48" t="str">
        <f aca="false">IF((U50+V50)&gt;0,IF(V50&lt;S50,(S50-V50)*(1-M50)," ")," ")</f>
        <v> </v>
      </c>
      <c r="Z50" s="48" t="str">
        <f aca="false">IF((U50+V50)&gt;0,IF(V50&gt;S50,(V50-S50)*(1-M50)," ")," ")</f>
        <v> </v>
      </c>
      <c r="AA50" s="25"/>
      <c r="AB50" s="55"/>
      <c r="AC50" s="48" t="str">
        <f aca="false">IF(AND(O50&gt;0,AB50="S"),O50*AC$4," ")</f>
        <v> </v>
      </c>
      <c r="AE50" s="48" t="str">
        <f aca="false">IF(AND(AD50="P",AB50&lt;&gt;"S"),N(R50)," ")</f>
        <v> </v>
      </c>
      <c r="AF50" s="48" t="str">
        <f aca="false">IF(AND(AD50="P",AB50="S"),N(AC50)," ")</f>
        <v> </v>
      </c>
      <c r="AG50" s="48" t="str">
        <f aca="false">IF(AD50="P",N(S50)," ")</f>
        <v> </v>
      </c>
      <c r="AH50" s="48" t="n">
        <f aca="false">IF(AND(AD50&lt;&gt;"P",AB50&lt;&gt;"S"),N(S50)," ")</f>
        <v>0</v>
      </c>
      <c r="AI50" s="48" t="str">
        <f aca="false">IF(AND(AD50&lt;&gt;"P",AB50="S"),N(S50)," ")</f>
        <v> </v>
      </c>
    </row>
    <row r="51" customFormat="false" ht="12" hidden="false" customHeight="false" outlineLevel="0" collapsed="false">
      <c r="A51" s="43"/>
      <c r="B51" s="55"/>
      <c r="C51" s="56"/>
      <c r="D51" s="57"/>
      <c r="E51" s="58"/>
      <c r="F51" s="58"/>
      <c r="G51" s="51" t="str">
        <f aca="false">IF(E51&gt;0,E51-F51," ")</f>
        <v> </v>
      </c>
      <c r="H51" s="59" t="n">
        <f aca="false">H$37</f>
        <v>0.25</v>
      </c>
      <c r="I51" s="51" t="str">
        <f aca="false">IF(E51&gt;0,MIN(E51*H51,G51)," ")</f>
        <v> </v>
      </c>
      <c r="J51" s="51" t="str">
        <f aca="false">IF(E51&gt;0,F51+I51," ")</f>
        <v> </v>
      </c>
      <c r="K51" s="51" t="str">
        <f aca="false">IF(E51&gt;0,IF(V51&gt;0,0,E51-J51)," ")</f>
        <v> </v>
      </c>
      <c r="L51" s="51"/>
      <c r="M51" s="67" t="n">
        <v>0</v>
      </c>
      <c r="N51" s="51"/>
      <c r="O51" s="68"/>
      <c r="P51" s="49"/>
      <c r="Q51" s="48"/>
      <c r="R51" s="48" t="str">
        <f aca="false">IF(AND(O51&gt;0,AB51&lt;&gt;"S"),O51*R$4," ")</f>
        <v> </v>
      </c>
      <c r="S51" s="48" t="str">
        <f aca="false">IF(O51&gt;0,O51-N(R51)-N(AC51)," ")</f>
        <v> </v>
      </c>
      <c r="T51" s="48"/>
      <c r="U51" s="55"/>
      <c r="V51" s="58"/>
      <c r="W51" s="51" t="str">
        <f aca="false">IF(V51&gt;0,E51," ")</f>
        <v> </v>
      </c>
      <c r="X51" s="51" t="str">
        <f aca="false">IF(V51&gt;0,J51," ")</f>
        <v> </v>
      </c>
      <c r="Y51" s="48" t="str">
        <f aca="false">IF((U51+V51)&gt;0,IF(V51&lt;S51,(S51-V51)*(1-M51)," ")," ")</f>
        <v> </v>
      </c>
      <c r="Z51" s="48" t="str">
        <f aca="false">IF((U51+V51)&gt;0,IF(V51&gt;S51,(V51-S51)*(1-M51)," ")," ")</f>
        <v> </v>
      </c>
      <c r="AA51" s="25"/>
      <c r="AB51" s="55"/>
      <c r="AC51" s="48" t="str">
        <f aca="false">IF(AND(O51&gt;0,AB51="S"),O51*AC$4," ")</f>
        <v> </v>
      </c>
      <c r="AE51" s="48" t="str">
        <f aca="false">IF(AND(AD51="P",AB51&lt;&gt;"S"),N(R51)," ")</f>
        <v> </v>
      </c>
      <c r="AF51" s="48" t="str">
        <f aca="false">IF(AND(AD51="P",AB51="S"),N(AC51)," ")</f>
        <v> </v>
      </c>
      <c r="AG51" s="48" t="str">
        <f aca="false">IF(AD51="P",N(S51)," ")</f>
        <v> </v>
      </c>
      <c r="AH51" s="48" t="n">
        <f aca="false">IF(AND(AD51&lt;&gt;"P",AB51&lt;&gt;"S"),N(S51)," ")</f>
        <v>0</v>
      </c>
      <c r="AI51" s="48" t="str">
        <f aca="false">IF(AND(AD51&lt;&gt;"P",AB51="S"),N(S51)," ")</f>
        <v> </v>
      </c>
    </row>
    <row r="52" customFormat="false" ht="12" hidden="false" customHeight="false" outlineLevel="0" collapsed="false">
      <c r="A52" s="43"/>
      <c r="B52" s="55"/>
      <c r="C52" s="56"/>
      <c r="D52" s="57"/>
      <c r="E52" s="58"/>
      <c r="F52" s="58"/>
      <c r="G52" s="51" t="str">
        <f aca="false">IF(E52&gt;0,E52-F52," ")</f>
        <v> </v>
      </c>
      <c r="H52" s="59" t="n">
        <f aca="false">H$37</f>
        <v>0.25</v>
      </c>
      <c r="I52" s="51" t="str">
        <f aca="false">IF(E52&gt;0,MIN(E52*H52,G52)," ")</f>
        <v> </v>
      </c>
      <c r="J52" s="51" t="str">
        <f aca="false">IF(E52&gt;0,F52+I52," ")</f>
        <v> </v>
      </c>
      <c r="K52" s="51" t="str">
        <f aca="false">IF(E52&gt;0,IF(V52&gt;0,0,E52-J52)," ")</f>
        <v> </v>
      </c>
      <c r="L52" s="51"/>
      <c r="M52" s="67" t="n">
        <v>0</v>
      </c>
      <c r="N52" s="51"/>
      <c r="O52" s="68"/>
      <c r="P52" s="49"/>
      <c r="Q52" s="48"/>
      <c r="R52" s="48" t="str">
        <f aca="false">IF(AND(O52&gt;0,AB52&lt;&gt;"S"),O52*R$4," ")</f>
        <v> </v>
      </c>
      <c r="S52" s="48" t="str">
        <f aca="false">IF(O52&gt;0,O52-N(R52)-N(AC52)," ")</f>
        <v> </v>
      </c>
      <c r="T52" s="48"/>
      <c r="U52" s="55"/>
      <c r="V52" s="58"/>
      <c r="W52" s="51" t="str">
        <f aca="false">IF(V52&gt;0,E52," ")</f>
        <v> </v>
      </c>
      <c r="X52" s="51" t="str">
        <f aca="false">IF(V52&gt;0,J52," ")</f>
        <v> </v>
      </c>
      <c r="Y52" s="48" t="str">
        <f aca="false">IF((U52+V52)&gt;0,IF(V52&lt;S52,(S52-V52)*(1-M52)," ")," ")</f>
        <v> </v>
      </c>
      <c r="Z52" s="48" t="str">
        <f aca="false">IF((U52+V52)&gt;0,IF(V52&gt;S52,(V52-S52)*(1-M52)," ")," ")</f>
        <v> </v>
      </c>
      <c r="AA52" s="25"/>
      <c r="AB52" s="55"/>
      <c r="AC52" s="48" t="str">
        <f aca="false">IF(AND(O52&gt;0,AB52="S"),O52*AC$4," ")</f>
        <v> </v>
      </c>
      <c r="AE52" s="48" t="str">
        <f aca="false">IF(AND(AD52="P",AB52&lt;&gt;"S"),N(R52)," ")</f>
        <v> </v>
      </c>
      <c r="AF52" s="48" t="str">
        <f aca="false">IF(AND(AD52="P",AB52="S"),N(AC52)," ")</f>
        <v> </v>
      </c>
      <c r="AG52" s="48" t="str">
        <f aca="false">IF(AD52="P",N(S52)," ")</f>
        <v> </v>
      </c>
      <c r="AH52" s="48" t="n">
        <f aca="false">IF(AND(AD52&lt;&gt;"P",AB52&lt;&gt;"S"),N(S52)," ")</f>
        <v>0</v>
      </c>
      <c r="AI52" s="48" t="str">
        <f aca="false">IF(AND(AD52&lt;&gt;"P",AB52="S"),N(S52)," ")</f>
        <v> </v>
      </c>
    </row>
    <row r="53" customFormat="false" ht="12" hidden="false" customHeight="false" outlineLevel="0" collapsed="false">
      <c r="A53" s="43"/>
      <c r="B53" s="55"/>
      <c r="C53" s="56"/>
      <c r="D53" s="57"/>
      <c r="E53" s="58"/>
      <c r="F53" s="58"/>
      <c r="G53" s="51" t="str">
        <f aca="false">IF(E53&gt;0,E53-F53," ")</f>
        <v> </v>
      </c>
      <c r="H53" s="59" t="n">
        <f aca="false">H$37</f>
        <v>0.25</v>
      </c>
      <c r="I53" s="51" t="str">
        <f aca="false">IF(E53&gt;0,MIN(E53*H53,G53)," ")</f>
        <v> </v>
      </c>
      <c r="J53" s="51" t="str">
        <f aca="false">IF(E53&gt;0,F53+I53," ")</f>
        <v> </v>
      </c>
      <c r="K53" s="51" t="str">
        <f aca="false">IF(E53&gt;0,IF(V53&gt;0,0,E53-J53)," ")</f>
        <v> </v>
      </c>
      <c r="L53" s="51"/>
      <c r="M53" s="67" t="n">
        <v>0</v>
      </c>
      <c r="N53" s="51"/>
      <c r="O53" s="68"/>
      <c r="P53" s="49"/>
      <c r="Q53" s="48"/>
      <c r="R53" s="48" t="str">
        <f aca="false">IF(AND(O53&gt;0,AB53&lt;&gt;"S"),O53*R$4," ")</f>
        <v> </v>
      </c>
      <c r="S53" s="48" t="str">
        <f aca="false">IF(O53&gt;0,O53-N(R53)-N(AC53)," ")</f>
        <v> </v>
      </c>
      <c r="T53" s="48"/>
      <c r="U53" s="55"/>
      <c r="V53" s="58"/>
      <c r="W53" s="51" t="str">
        <f aca="false">IF(V53&gt;0,E53," ")</f>
        <v> </v>
      </c>
      <c r="X53" s="51" t="str">
        <f aca="false">IF(V53&gt;0,J53," ")</f>
        <v> </v>
      </c>
      <c r="Y53" s="48" t="str">
        <f aca="false">IF((U53+V53)&gt;0,IF(V53&lt;S53,(S53-V53)*(1-M53)," ")," ")</f>
        <v> </v>
      </c>
      <c r="Z53" s="48" t="str">
        <f aca="false">IF((U53+V53)&gt;0,IF(V53&gt;S53,(V53-S53)*(1-M53)," ")," ")</f>
        <v> </v>
      </c>
      <c r="AA53" s="25"/>
      <c r="AB53" s="55"/>
      <c r="AC53" s="48" t="str">
        <f aca="false">IF(AND(O53&gt;0,AB53="S"),O53*AC$4," ")</f>
        <v> </v>
      </c>
      <c r="AE53" s="48" t="str">
        <f aca="false">IF(AND(AD53="P",AB53&lt;&gt;"S"),N(R53)," ")</f>
        <v> </v>
      </c>
      <c r="AF53" s="48" t="str">
        <f aca="false">IF(AND(AD53="P",AB53="S"),N(AC53)," ")</f>
        <v> </v>
      </c>
      <c r="AG53" s="48" t="str">
        <f aca="false">IF(AD53="P",N(S53)," ")</f>
        <v> </v>
      </c>
      <c r="AH53" s="48" t="n">
        <f aca="false">IF(AND(AD53&lt;&gt;"P",AB53&lt;&gt;"S"),N(S53)," ")</f>
        <v>0</v>
      </c>
      <c r="AI53" s="48" t="str">
        <f aca="false">IF(AND(AD53&lt;&gt;"P",AB53="S"),N(S53)," ")</f>
        <v> </v>
      </c>
    </row>
    <row r="54" customFormat="false" ht="12" hidden="false" customHeight="false" outlineLevel="0" collapsed="false">
      <c r="A54" s="43"/>
      <c r="B54" s="55"/>
      <c r="C54" s="56"/>
      <c r="D54" s="57"/>
      <c r="E54" s="58"/>
      <c r="F54" s="58"/>
      <c r="G54" s="51" t="str">
        <f aca="false">IF(E54&gt;0,E54-F54," ")</f>
        <v> </v>
      </c>
      <c r="H54" s="59" t="n">
        <f aca="false">H$37</f>
        <v>0.25</v>
      </c>
      <c r="I54" s="51" t="str">
        <f aca="false">IF(E54&gt;0,MIN(E54*H54,G54)," ")</f>
        <v> </v>
      </c>
      <c r="J54" s="51" t="str">
        <f aca="false">IF(E54&gt;0,F54+I54," ")</f>
        <v> </v>
      </c>
      <c r="K54" s="51" t="str">
        <f aca="false">IF(E54&gt;0,IF(V54&gt;0,0,E54-J54)," ")</f>
        <v> </v>
      </c>
      <c r="L54" s="51"/>
      <c r="M54" s="67" t="n">
        <v>0</v>
      </c>
      <c r="N54" s="51"/>
      <c r="O54" s="68"/>
      <c r="P54" s="49"/>
      <c r="Q54" s="48"/>
      <c r="R54" s="48" t="str">
        <f aca="false">IF(AND(O54&gt;0,AB54&lt;&gt;"S"),O54*R$4," ")</f>
        <v> </v>
      </c>
      <c r="S54" s="48" t="str">
        <f aca="false">IF(O54&gt;0,O54-N(R54)-N(AC54)," ")</f>
        <v> </v>
      </c>
      <c r="T54" s="48"/>
      <c r="U54" s="55"/>
      <c r="V54" s="58"/>
      <c r="W54" s="51" t="str">
        <f aca="false">IF(V54&gt;0,E54," ")</f>
        <v> </v>
      </c>
      <c r="X54" s="51" t="str">
        <f aca="false">IF(V54&gt;0,J54," ")</f>
        <v> </v>
      </c>
      <c r="Y54" s="48" t="str">
        <f aca="false">IF((U54+V54)&gt;0,IF(V54&lt;S54,(S54-V54)*(1-M54)," ")," ")</f>
        <v> </v>
      </c>
      <c r="Z54" s="48" t="str">
        <f aca="false">IF((U54+V54)&gt;0,IF(V54&gt;S54,(V54-S54)*(1-M54)," ")," ")</f>
        <v> </v>
      </c>
      <c r="AA54" s="25"/>
      <c r="AB54" s="55"/>
      <c r="AC54" s="48" t="str">
        <f aca="false">IF(AND(O54&gt;0,AB54="S"),O54*AC$4," ")</f>
        <v> </v>
      </c>
      <c r="AE54" s="48" t="str">
        <f aca="false">IF(AND(AD54="P",AB54&lt;&gt;"S"),N(R54)," ")</f>
        <v> </v>
      </c>
      <c r="AF54" s="48" t="str">
        <f aca="false">IF(AND(AD54="P",AB54="S"),N(AC54)," ")</f>
        <v> </v>
      </c>
      <c r="AG54" s="48" t="str">
        <f aca="false">IF(AD54="P",N(S54)," ")</f>
        <v> </v>
      </c>
      <c r="AH54" s="48" t="n">
        <f aca="false">IF(AND(AD54&lt;&gt;"P",AB54&lt;&gt;"S"),N(S54)," ")</f>
        <v>0</v>
      </c>
      <c r="AI54" s="48" t="str">
        <f aca="false">IF(AND(AD54&lt;&gt;"P",AB54="S"),N(S54)," ")</f>
        <v> </v>
      </c>
    </row>
    <row r="55" customFormat="false" ht="12" hidden="false" customHeight="true" outlineLevel="0" collapsed="false">
      <c r="A55" s="43"/>
      <c r="B55" s="60" t="s">
        <v>48</v>
      </c>
      <c r="C55" s="60"/>
      <c r="D55" s="60"/>
      <c r="E55" s="62" t="n">
        <f aca="false">SUM(E38:E54)</f>
        <v>58500</v>
      </c>
      <c r="F55" s="62" t="n">
        <f aca="false">SUM(F38:F54)</f>
        <v>18828</v>
      </c>
      <c r="G55" s="62" t="n">
        <f aca="false">SUM(G38:G54)</f>
        <v>39672</v>
      </c>
      <c r="H55" s="59"/>
      <c r="I55" s="62" t="n">
        <f aca="false">SUM(I38:I54)</f>
        <v>14625</v>
      </c>
      <c r="J55" s="62" t="n">
        <f aca="false">SUM(J38:J54)</f>
        <v>33453</v>
      </c>
      <c r="K55" s="62" t="n">
        <f aca="false">SUM(K38:K54)</f>
        <v>12375</v>
      </c>
      <c r="L55" s="51"/>
      <c r="M55" s="72"/>
      <c r="N55" s="51"/>
      <c r="O55" s="62" t="n">
        <f aca="false">SUM(O38:O54)</f>
        <v>41000</v>
      </c>
      <c r="P55" s="63"/>
      <c r="Q55" s="62" t="n">
        <f aca="false">SUM(Q38:Q54)</f>
        <v>0</v>
      </c>
      <c r="R55" s="62" t="n">
        <f aca="false">SUM(R38:R54)</f>
        <v>4144</v>
      </c>
      <c r="S55" s="62" t="n">
        <f aca="false">SUM(S38:S54)</f>
        <v>36316</v>
      </c>
      <c r="T55" s="51"/>
      <c r="U55" s="50"/>
      <c r="V55" s="62" t="n">
        <f aca="false">SUM(V38:V54)</f>
        <v>12500</v>
      </c>
      <c r="W55" s="62" t="n">
        <f aca="false">SUM(W38:W54)</f>
        <v>30000</v>
      </c>
      <c r="X55" s="62" t="n">
        <f aca="false">SUM(X38:X54)</f>
        <v>17328</v>
      </c>
      <c r="Y55" s="62" t="n">
        <f aca="false">SUM(Y38:Y54)</f>
        <v>8140</v>
      </c>
      <c r="Z55" s="62" t="n">
        <f aca="false">SUM(Z38:Z54)</f>
        <v>0</v>
      </c>
      <c r="AA55" s="25"/>
      <c r="AB55" s="25"/>
      <c r="AC55" s="62" t="n">
        <f aca="false">SUM(AC38:AC54)</f>
        <v>540</v>
      </c>
      <c r="AE55" s="62" t="n">
        <f aca="false">SUM(AE38:AE54)</f>
        <v>784</v>
      </c>
      <c r="AF55" s="62" t="n">
        <f aca="false">SUM(AF38:AF54)</f>
        <v>0</v>
      </c>
      <c r="AG55" s="62" t="n">
        <f aca="false">SUM(AG38:AG54)</f>
        <v>7216</v>
      </c>
      <c r="AH55" s="62" t="n">
        <f aca="false">SUM(AH38:AH54)</f>
        <v>20640</v>
      </c>
      <c r="AI55" s="62" t="n">
        <f aca="false">SUM(AI38:AI54)</f>
        <v>8460</v>
      </c>
    </row>
    <row r="56" customFormat="false" ht="6" hidden="false" customHeight="true" outlineLevel="0" collapsed="false">
      <c r="A56" s="43"/>
      <c r="B56" s="50"/>
      <c r="C56" s="74"/>
      <c r="D56" s="63"/>
      <c r="E56" s="51"/>
      <c r="F56" s="51"/>
      <c r="G56" s="51"/>
      <c r="H56" s="59"/>
      <c r="I56" s="51"/>
      <c r="J56" s="51"/>
      <c r="K56" s="51"/>
      <c r="L56" s="51"/>
      <c r="M56" s="59"/>
      <c r="N56" s="51"/>
      <c r="O56" s="48"/>
      <c r="P56" s="49"/>
      <c r="Q56" s="48"/>
      <c r="R56" s="48"/>
      <c r="S56" s="48"/>
      <c r="T56" s="48"/>
      <c r="U56" s="50"/>
      <c r="V56" s="51"/>
      <c r="W56" s="48"/>
      <c r="X56" s="48"/>
      <c r="Y56" s="48"/>
      <c r="Z56" s="48"/>
      <c r="AA56" s="25"/>
    </row>
    <row r="57" customFormat="false" ht="13.5" hidden="false" customHeight="true" outlineLevel="0" collapsed="false">
      <c r="A57" s="43"/>
      <c r="B57" s="44" t="str">
        <f aca="false">B6</f>
        <v>EXISTING FIXED ASSETS at </v>
      </c>
      <c r="C57" s="44"/>
      <c r="D57" s="45" t="n">
        <f aca="false">D6</f>
        <v>46118</v>
      </c>
      <c r="E57" s="75" t="n">
        <f aca="false">E11+E19+E27+E35+E55</f>
        <v>61500</v>
      </c>
      <c r="F57" s="75" t="n">
        <f aca="false">F11+F19+F27+F35+F55</f>
        <v>19098</v>
      </c>
      <c r="G57" s="75" t="n">
        <f aca="false">G11+G19+G27+G35+G55</f>
        <v>42402</v>
      </c>
      <c r="H57" s="59"/>
      <c r="I57" s="75" t="n">
        <f aca="false">I11+I19+I27+I35+I55</f>
        <v>15615</v>
      </c>
      <c r="J57" s="75" t="n">
        <f aca="false">J11+J19+J27+J35+J55</f>
        <v>34713</v>
      </c>
      <c r="K57" s="75" t="n">
        <f aca="false">K11+K19+K27+K35+K55</f>
        <v>14115</v>
      </c>
      <c r="L57" s="51"/>
      <c r="M57" s="59"/>
      <c r="N57" s="51"/>
      <c r="O57" s="75" t="n">
        <f aca="false">O11+O19+O27+O35+O55</f>
        <v>41000</v>
      </c>
      <c r="P57" s="63"/>
      <c r="Q57" s="75" t="n">
        <f aca="false">Q11+Q19+Q27+Q35+Q55</f>
        <v>0</v>
      </c>
      <c r="R57" s="75" t="n">
        <f aca="false">R11+R19+R27+R35+R55</f>
        <v>4144</v>
      </c>
      <c r="S57" s="75" t="n">
        <f aca="false">S11+S19+S27+S35+S55</f>
        <v>36316</v>
      </c>
      <c r="T57" s="48"/>
      <c r="U57" s="50"/>
      <c r="V57" s="75" t="n">
        <f aca="false">V11+V19+V27+V35+V55</f>
        <v>12500</v>
      </c>
      <c r="W57" s="75" t="n">
        <f aca="false">W11+W19+W27+W35+W55</f>
        <v>30000</v>
      </c>
      <c r="X57" s="75" t="n">
        <f aca="false">X11+X19+X27+X35+X55</f>
        <v>17328</v>
      </c>
      <c r="Y57" s="75" t="n">
        <f aca="false">Y11+Y19+Y27+Y35+Y55</f>
        <v>8140</v>
      </c>
      <c r="Z57" s="75" t="n">
        <f aca="false">Z11+Z19+Z27+Z35+Z55</f>
        <v>0</v>
      </c>
      <c r="AA57" s="25"/>
      <c r="AB57" s="25"/>
      <c r="AC57" s="75" t="n">
        <f aca="false">AC11+AC19+AC27+AC35+AC55</f>
        <v>540</v>
      </c>
      <c r="AE57" s="75" t="n">
        <f aca="false">AE11+AE19+AE27+AE35+AE55</f>
        <v>784</v>
      </c>
      <c r="AF57" s="75" t="n">
        <f aca="false">AF11+AF19+AF27+AF35+AF55</f>
        <v>0</v>
      </c>
      <c r="AG57" s="75" t="n">
        <f aca="false">AG11+AG19+AG27+AG35+AG55</f>
        <v>7216</v>
      </c>
      <c r="AH57" s="75" t="n">
        <f aca="false">AH11+AH19+AH27+AH35+AH55</f>
        <v>20640</v>
      </c>
      <c r="AI57" s="75" t="n">
        <f aca="false">AI11+AI19+AI27+AI35+AI55</f>
        <v>8460</v>
      </c>
    </row>
    <row r="58" customFormat="false" ht="9" hidden="false" customHeight="true" outlineLevel="0" collapsed="false">
      <c r="A58" s="43"/>
      <c r="B58" s="76"/>
      <c r="C58" s="77"/>
      <c r="D58" s="78"/>
      <c r="E58" s="51"/>
      <c r="F58" s="51"/>
      <c r="G58" s="51"/>
      <c r="H58" s="59"/>
      <c r="I58" s="51"/>
      <c r="J58" s="51"/>
      <c r="K58" s="51"/>
      <c r="L58" s="51"/>
      <c r="M58" s="59"/>
      <c r="N58" s="51"/>
      <c r="O58" s="48"/>
      <c r="P58" s="49"/>
      <c r="Q58" s="48"/>
      <c r="R58" s="48"/>
      <c r="S58" s="48"/>
      <c r="T58" s="48"/>
      <c r="U58" s="50"/>
      <c r="V58" s="51"/>
      <c r="W58" s="51"/>
      <c r="X58" s="51"/>
      <c r="Y58" s="48"/>
      <c r="Z58" s="48"/>
      <c r="AA58" s="25"/>
    </row>
    <row r="59" customFormat="false" ht="13.5" hidden="false" customHeight="true" outlineLevel="0" collapsed="false">
      <c r="A59" s="43"/>
      <c r="B59" s="44" t="s">
        <v>49</v>
      </c>
      <c r="C59" s="44"/>
      <c r="D59" s="45" t="n">
        <f aca="false">[1]Admin!$B$4</f>
        <v>46118</v>
      </c>
      <c r="E59" s="48"/>
      <c r="F59" s="79"/>
      <c r="G59" s="79"/>
      <c r="H59" s="59"/>
      <c r="I59" s="48"/>
      <c r="J59" s="48"/>
      <c r="K59" s="48"/>
      <c r="L59" s="48"/>
      <c r="M59" s="59"/>
      <c r="N59" s="48"/>
      <c r="O59" s="48"/>
      <c r="P59" s="49"/>
      <c r="Q59" s="48"/>
      <c r="R59" s="48"/>
      <c r="S59" s="48"/>
      <c r="T59" s="48"/>
      <c r="U59" s="50"/>
      <c r="V59" s="51"/>
      <c r="W59" s="51"/>
      <c r="X59" s="51"/>
      <c r="Y59" s="48"/>
      <c r="Z59" s="48"/>
      <c r="AA59" s="25"/>
    </row>
    <row r="60" customFormat="false" ht="12.75" hidden="false" customHeight="true" outlineLevel="0" collapsed="false">
      <c r="A60" s="43"/>
      <c r="B60" s="52" t="s">
        <v>31</v>
      </c>
      <c r="C60" s="52"/>
      <c r="D60" s="53"/>
      <c r="E60" s="46"/>
      <c r="F60" s="79"/>
      <c r="G60" s="79"/>
      <c r="H60" s="80" t="n">
        <f aca="false">H$7</f>
        <v>0</v>
      </c>
      <c r="I60" s="46"/>
      <c r="J60" s="46"/>
      <c r="K60" s="46"/>
      <c r="L60" s="46"/>
      <c r="M60" s="59"/>
      <c r="N60" s="46"/>
      <c r="O60" s="48"/>
      <c r="P60" s="49"/>
      <c r="Q60" s="48"/>
      <c r="R60" s="48"/>
      <c r="S60" s="48"/>
      <c r="T60" s="48"/>
      <c r="U60" s="50"/>
      <c r="V60" s="51"/>
      <c r="W60" s="51"/>
      <c r="X60" s="51"/>
      <c r="Y60" s="48"/>
      <c r="Z60" s="48"/>
      <c r="AA60" s="25"/>
    </row>
    <row r="61" customFormat="false" ht="12" hidden="false" customHeight="false" outlineLevel="0" collapsed="false">
      <c r="A61" s="43"/>
      <c r="B61" s="55"/>
      <c r="C61" s="56"/>
      <c r="D61" s="81"/>
      <c r="E61" s="58"/>
      <c r="F61" s="51"/>
      <c r="G61" s="51"/>
      <c r="H61" s="59" t="n">
        <f aca="false">H$60</f>
        <v>0</v>
      </c>
      <c r="I61" s="51" t="str">
        <f aca="false">IF(E61&gt;0,MIN(E61*H61,G61)," ")</f>
        <v> </v>
      </c>
      <c r="J61" s="51" t="str">
        <f aca="false">IF(E61&gt;0,F61+I61," ")</f>
        <v> </v>
      </c>
      <c r="K61" s="51" t="str">
        <f aca="false">IF(E61&gt;0,IF(V61&gt;0,0,E61-J61)," ")</f>
        <v> </v>
      </c>
      <c r="L61" s="51"/>
      <c r="M61" s="59"/>
      <c r="N61" s="51"/>
      <c r="O61" s="48"/>
      <c r="P61" s="49"/>
      <c r="Q61" s="48"/>
      <c r="R61" s="48"/>
      <c r="S61" s="48"/>
      <c r="T61" s="48"/>
      <c r="U61" s="55"/>
      <c r="V61" s="58"/>
      <c r="W61" s="51" t="str">
        <f aca="false">IF(V61&gt;0,E61," ")</f>
        <v> </v>
      </c>
      <c r="X61" s="51" t="str">
        <f aca="false">IF(V61&gt;0,J61," ")</f>
        <v> </v>
      </c>
      <c r="Y61" s="48"/>
      <c r="Z61" s="48"/>
      <c r="AA61" s="25"/>
    </row>
    <row r="62" customFormat="false" ht="12" hidden="false" customHeight="false" outlineLevel="0" collapsed="false">
      <c r="A62" s="43"/>
      <c r="B62" s="55"/>
      <c r="C62" s="56"/>
      <c r="D62" s="81"/>
      <c r="E62" s="58"/>
      <c r="F62" s="51"/>
      <c r="G62" s="51"/>
      <c r="H62" s="59" t="n">
        <f aca="false">H$60</f>
        <v>0</v>
      </c>
      <c r="I62" s="51" t="str">
        <f aca="false">IF(E62&gt;0,MIN(E62*H62,G62)," ")</f>
        <v> </v>
      </c>
      <c r="J62" s="51" t="str">
        <f aca="false">IF(E62&gt;0,F62+I62," ")</f>
        <v> </v>
      </c>
      <c r="K62" s="51" t="str">
        <f aca="false">IF(E62&gt;0,IF(V62&gt;0,0,E62-J62)," ")</f>
        <v> </v>
      </c>
      <c r="L62" s="51"/>
      <c r="M62" s="59"/>
      <c r="N62" s="51"/>
      <c r="O62" s="48"/>
      <c r="P62" s="49"/>
      <c r="Q62" s="48"/>
      <c r="R62" s="48"/>
      <c r="S62" s="48"/>
      <c r="T62" s="48"/>
      <c r="U62" s="55"/>
      <c r="V62" s="58"/>
      <c r="W62" s="51" t="str">
        <f aca="false">IF(V62&gt;0,E62," ")</f>
        <v> </v>
      </c>
      <c r="X62" s="51" t="str">
        <f aca="false">IF(V62&gt;0,J62," ")</f>
        <v> </v>
      </c>
      <c r="Y62" s="48"/>
      <c r="Z62" s="48"/>
      <c r="AA62" s="25"/>
    </row>
    <row r="63" customFormat="false" ht="12" hidden="false" customHeight="false" outlineLevel="0" collapsed="false">
      <c r="A63" s="43"/>
      <c r="B63" s="55"/>
      <c r="C63" s="56"/>
      <c r="D63" s="81"/>
      <c r="E63" s="58"/>
      <c r="F63" s="51"/>
      <c r="G63" s="51"/>
      <c r="H63" s="59" t="n">
        <f aca="false">H$60</f>
        <v>0</v>
      </c>
      <c r="I63" s="51" t="str">
        <f aca="false">IF(E63&gt;0,MIN(E63*H63,G63)," ")</f>
        <v> </v>
      </c>
      <c r="J63" s="51" t="str">
        <f aca="false">IF(E63&gt;0,F63+I63," ")</f>
        <v> </v>
      </c>
      <c r="K63" s="51" t="str">
        <f aca="false">IF(E63&gt;0,IF(V63&gt;0,0,E63-J63)," ")</f>
        <v> </v>
      </c>
      <c r="L63" s="51"/>
      <c r="M63" s="59"/>
      <c r="N63" s="51"/>
      <c r="O63" s="48"/>
      <c r="P63" s="49"/>
      <c r="Q63" s="48"/>
      <c r="R63" s="48"/>
      <c r="S63" s="48"/>
      <c r="T63" s="48"/>
      <c r="U63" s="55"/>
      <c r="V63" s="58"/>
      <c r="W63" s="51" t="str">
        <f aca="false">IF(V63&gt;0,E63," ")</f>
        <v> </v>
      </c>
      <c r="X63" s="51" t="str">
        <f aca="false">IF(V63&gt;0,J63," ")</f>
        <v> </v>
      </c>
      <c r="Y63" s="48"/>
      <c r="Z63" s="48"/>
      <c r="AA63" s="25"/>
    </row>
    <row r="64" customFormat="false" ht="12" hidden="false" customHeight="true" outlineLevel="0" collapsed="false">
      <c r="A64" s="43"/>
      <c r="B64" s="60" t="s">
        <v>50</v>
      </c>
      <c r="C64" s="60"/>
      <c r="D64" s="60"/>
      <c r="E64" s="61" t="n">
        <f aca="false">SUM(E61:E63)</f>
        <v>0</v>
      </c>
      <c r="F64" s="62" t="n">
        <f aca="false">SUM(F61:F63)</f>
        <v>0</v>
      </c>
      <c r="G64" s="62" t="n">
        <f aca="false">SUM(G61:G63)</f>
        <v>0</v>
      </c>
      <c r="H64" s="59"/>
      <c r="I64" s="62" t="n">
        <f aca="false">SUM(I61:I63)</f>
        <v>0</v>
      </c>
      <c r="J64" s="62" t="n">
        <f aca="false">SUM(J61:J63)</f>
        <v>0</v>
      </c>
      <c r="K64" s="62" t="n">
        <f aca="false">SUM(K61:K63)</f>
        <v>0</v>
      </c>
      <c r="L64" s="51"/>
      <c r="M64" s="59"/>
      <c r="N64" s="51"/>
      <c r="O64" s="62" t="n">
        <f aca="false">SUM(O61:O63)</f>
        <v>0</v>
      </c>
      <c r="P64" s="82"/>
      <c r="Q64" s="62" t="n">
        <f aca="false">SUM(Q61:Q63)</f>
        <v>0</v>
      </c>
      <c r="R64" s="62" t="n">
        <f aca="false">SUM(R61:R63)</f>
        <v>0</v>
      </c>
      <c r="S64" s="62" t="n">
        <f aca="false">SUM(S61:S63)</f>
        <v>0</v>
      </c>
      <c r="T64" s="48"/>
      <c r="U64" s="50"/>
      <c r="V64" s="61" t="n">
        <f aca="false">SUM(V61:V63)</f>
        <v>0</v>
      </c>
      <c r="W64" s="62" t="n">
        <f aca="false">SUM(W61:W63)</f>
        <v>0</v>
      </c>
      <c r="X64" s="62" t="n">
        <f aca="false">SUM(X61:X63)</f>
        <v>0</v>
      </c>
      <c r="Y64" s="62" t="n">
        <f aca="false">SUM(Y61:Y63)</f>
        <v>0</v>
      </c>
      <c r="Z64" s="62" t="n">
        <f aca="false">SUM(Z61:Z63)</f>
        <v>0</v>
      </c>
      <c r="AA64" s="25"/>
      <c r="AB64" s="25"/>
      <c r="AC64" s="62" t="n">
        <f aca="false">SUM(AC61:AC63)</f>
        <v>0</v>
      </c>
      <c r="AE64" s="62" t="n">
        <f aca="false">SUM(AE61:AE63)</f>
        <v>0</v>
      </c>
      <c r="AF64" s="62" t="n">
        <f aca="false">SUM(AF61:AF63)</f>
        <v>0</v>
      </c>
      <c r="AG64" s="62" t="n">
        <f aca="false">SUM(AG61:AG63)</f>
        <v>0</v>
      </c>
      <c r="AH64" s="62" t="n">
        <f aca="false">SUM(AH61:AH63)</f>
        <v>0</v>
      </c>
      <c r="AI64" s="62" t="n">
        <f aca="false">SUM(AI61:AI63)</f>
        <v>0</v>
      </c>
    </row>
    <row r="65" customFormat="false" ht="6" hidden="false" customHeight="true" outlineLevel="0" collapsed="false">
      <c r="A65" s="43"/>
      <c r="B65" s="64"/>
      <c r="C65" s="65"/>
      <c r="D65" s="66"/>
      <c r="E65" s="51"/>
      <c r="F65" s="51"/>
      <c r="G65" s="51"/>
      <c r="H65" s="59"/>
      <c r="I65" s="51"/>
      <c r="J65" s="51"/>
      <c r="K65" s="51"/>
      <c r="L65" s="51"/>
      <c r="M65" s="59"/>
      <c r="N65" s="51"/>
      <c r="O65" s="51"/>
      <c r="P65" s="63"/>
      <c r="Q65" s="51"/>
      <c r="R65" s="51"/>
      <c r="S65" s="51"/>
      <c r="T65" s="48"/>
      <c r="U65" s="50"/>
      <c r="V65" s="51"/>
      <c r="W65" s="51"/>
      <c r="X65" s="51"/>
      <c r="Y65" s="51"/>
      <c r="Z65" s="51"/>
      <c r="AA65" s="25"/>
    </row>
    <row r="66" customFormat="false" ht="12" hidden="false" customHeight="true" outlineLevel="0" collapsed="false">
      <c r="A66" s="43"/>
      <c r="B66" s="52" t="s">
        <v>33</v>
      </c>
      <c r="C66" s="52"/>
      <c r="D66" s="63"/>
      <c r="E66" s="51"/>
      <c r="F66" s="51"/>
      <c r="G66" s="51"/>
      <c r="H66" s="83" t="n">
        <f aca="false">H$13</f>
        <v>0.1</v>
      </c>
      <c r="I66" s="51"/>
      <c r="J66" s="51"/>
      <c r="K66" s="51"/>
      <c r="L66" s="51"/>
      <c r="M66" s="59"/>
      <c r="N66" s="51"/>
      <c r="O66" s="48"/>
      <c r="P66" s="49"/>
      <c r="Q66" s="48"/>
      <c r="R66" s="48"/>
      <c r="S66" s="48"/>
      <c r="T66" s="48"/>
      <c r="U66" s="50"/>
      <c r="V66" s="51"/>
      <c r="W66" s="51"/>
      <c r="X66" s="51"/>
      <c r="Y66" s="48"/>
      <c r="Z66" s="48"/>
      <c r="AA66" s="25"/>
    </row>
    <row r="67" customFormat="false" ht="12" hidden="false" customHeight="false" outlineLevel="0" collapsed="false">
      <c r="A67" s="43"/>
      <c r="B67" s="55" t="n">
        <v>46157</v>
      </c>
      <c r="C67" s="56" t="s">
        <v>51</v>
      </c>
      <c r="D67" s="57"/>
      <c r="E67" s="58" t="n">
        <v>1500</v>
      </c>
      <c r="F67" s="51"/>
      <c r="G67" s="51"/>
      <c r="H67" s="59" t="n">
        <f aca="false">H$66</f>
        <v>0.1</v>
      </c>
      <c r="I67" s="51" t="n">
        <f aca="false">IF(E67&gt;0,MIN(E67*H67,G67)," ")</f>
        <v>150</v>
      </c>
      <c r="J67" s="51" t="n">
        <f aca="false">IF(E67&gt;0,F67+I67," ")</f>
        <v>150</v>
      </c>
      <c r="K67" s="51" t="n">
        <f aca="false">IF(E67&gt;0,IF(V67&gt;0,0,E67-J67)," ")</f>
        <v>1350</v>
      </c>
      <c r="L67" s="51"/>
      <c r="M67" s="59"/>
      <c r="N67" s="51"/>
      <c r="O67" s="48"/>
      <c r="P67" s="59" t="n">
        <f aca="false">P$4</f>
        <v>1</v>
      </c>
      <c r="Q67" s="48" t="n">
        <f aca="false">IF(E67&gt;0,E67*P67," ")</f>
        <v>1500</v>
      </c>
      <c r="R67" s="48"/>
      <c r="S67" s="48" t="n">
        <f aca="false">IF(E67&gt;0,E67-Q67," ")</f>
        <v>0</v>
      </c>
      <c r="T67" s="48"/>
      <c r="U67" s="55"/>
      <c r="V67" s="58"/>
      <c r="W67" s="51" t="str">
        <f aca="false">IF(V67&gt;0,E67," ")</f>
        <v> </v>
      </c>
      <c r="X67" s="51" t="str">
        <f aca="false">IF(V67&gt;0,J67," ")</f>
        <v> </v>
      </c>
      <c r="Y67" s="48" t="str">
        <f aca="false">IF((U67+V67)&gt;0,IF(V67&lt;S67,S67-V67," ")," ")</f>
        <v> </v>
      </c>
      <c r="Z67" s="48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3"/>
      <c r="B68" s="55" t="n">
        <v>46174</v>
      </c>
      <c r="C68" s="56" t="s">
        <v>52</v>
      </c>
      <c r="D68" s="57"/>
      <c r="E68" s="58" t="n">
        <v>13000</v>
      </c>
      <c r="F68" s="51"/>
      <c r="G68" s="51"/>
      <c r="H68" s="59" t="n">
        <f aca="false">H$66</f>
        <v>0.1</v>
      </c>
      <c r="I68" s="51" t="n">
        <f aca="false">IF(E68&gt;0,MIN(E68*H68,G68)," ")</f>
        <v>1300</v>
      </c>
      <c r="J68" s="51" t="n">
        <f aca="false">IF(E68&gt;0,F68+I68," ")</f>
        <v>1300</v>
      </c>
      <c r="K68" s="51" t="n">
        <f aca="false">IF(E68&gt;0,IF(V68&gt;0,0,E68-J68)," ")</f>
        <v>11700</v>
      </c>
      <c r="L68" s="51"/>
      <c r="M68" s="59"/>
      <c r="N68" s="51"/>
      <c r="O68" s="48"/>
      <c r="P68" s="59" t="n">
        <f aca="false">P$4</f>
        <v>1</v>
      </c>
      <c r="Q68" s="48" t="n">
        <f aca="false">IF(E68&gt;0,E68*P68," ")</f>
        <v>13000</v>
      </c>
      <c r="R68" s="48"/>
      <c r="S68" s="48" t="n">
        <f aca="false">IF(E68&gt;0,E68-Q68," ")</f>
        <v>0</v>
      </c>
      <c r="T68" s="48"/>
      <c r="U68" s="55"/>
      <c r="V68" s="58"/>
      <c r="W68" s="51" t="str">
        <f aca="false">IF(V68&gt;0,E68," ")</f>
        <v> </v>
      </c>
      <c r="X68" s="51" t="str">
        <f aca="false">IF(V68&gt;0,J68," ")</f>
        <v> </v>
      </c>
      <c r="Y68" s="48" t="str">
        <f aca="false">IF((U68+V68)&gt;0,IF(V68&lt;S68,S68-V68," ")," ")</f>
        <v> </v>
      </c>
      <c r="Z68" s="48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3"/>
      <c r="B69" s="55" t="n">
        <v>46218</v>
      </c>
      <c r="C69" s="56" t="s">
        <v>53</v>
      </c>
      <c r="D69" s="57"/>
      <c r="E69" s="58" t="n">
        <v>1000</v>
      </c>
      <c r="F69" s="51"/>
      <c r="G69" s="51"/>
      <c r="H69" s="59" t="n">
        <f aca="false">H$66</f>
        <v>0.1</v>
      </c>
      <c r="I69" s="51" t="n">
        <f aca="false">IF(E69&gt;0,MIN(E69*H69,G69)," ")</f>
        <v>100</v>
      </c>
      <c r="J69" s="51" t="n">
        <f aca="false">IF(E69&gt;0,F69+I69," ")</f>
        <v>100</v>
      </c>
      <c r="K69" s="51" t="n">
        <f aca="false">IF(E69&gt;0,IF(V69&gt;0,0,E69-J69)," ")</f>
        <v>900</v>
      </c>
      <c r="L69" s="51"/>
      <c r="M69" s="59"/>
      <c r="N69" s="51"/>
      <c r="O69" s="48"/>
      <c r="P69" s="59" t="n">
        <f aca="false">P$4</f>
        <v>1</v>
      </c>
      <c r="Q69" s="48" t="n">
        <f aca="false">IF(E69&gt;0,E69*P69," ")</f>
        <v>1000</v>
      </c>
      <c r="R69" s="48"/>
      <c r="S69" s="48" t="n">
        <f aca="false">IF(E69&gt;0,E69-Q69," ")</f>
        <v>0</v>
      </c>
      <c r="T69" s="48"/>
      <c r="U69" s="55"/>
      <c r="V69" s="58"/>
      <c r="W69" s="51" t="str">
        <f aca="false">IF(V69&gt;0,E69," ")</f>
        <v> </v>
      </c>
      <c r="X69" s="51" t="str">
        <f aca="false">IF(V69&gt;0,J69," ")</f>
        <v> </v>
      </c>
      <c r="Y69" s="48" t="str">
        <f aca="false">IF((U69+V69)&gt;0,IF(V69&lt;S69,S69-V69," ")," ")</f>
        <v> </v>
      </c>
      <c r="Z69" s="48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3"/>
      <c r="B70" s="55" t="n">
        <v>46266</v>
      </c>
      <c r="C70" s="56" t="s">
        <v>52</v>
      </c>
      <c r="D70" s="57"/>
      <c r="E70" s="58" t="n">
        <v>7000</v>
      </c>
      <c r="F70" s="51"/>
      <c r="G70" s="51"/>
      <c r="H70" s="59" t="n">
        <f aca="false">H$66</f>
        <v>0.1</v>
      </c>
      <c r="I70" s="51" t="n">
        <f aca="false">IF(E70&gt;0,MIN(E70*H70,G70)," ")</f>
        <v>700</v>
      </c>
      <c r="J70" s="51" t="n">
        <f aca="false">IF(E70&gt;0,F70+I70," ")</f>
        <v>700</v>
      </c>
      <c r="K70" s="51" t="n">
        <f aca="false">IF(E70&gt;0,IF(V70&gt;0,0,E70-J70)," ")</f>
        <v>6300</v>
      </c>
      <c r="L70" s="51"/>
      <c r="M70" s="59"/>
      <c r="N70" s="51"/>
      <c r="O70" s="48"/>
      <c r="P70" s="59" t="n">
        <f aca="false">P$4</f>
        <v>1</v>
      </c>
      <c r="Q70" s="48" t="n">
        <f aca="false">IF(E70&gt;0,E70*P70," ")</f>
        <v>7000</v>
      </c>
      <c r="R70" s="48"/>
      <c r="S70" s="48" t="n">
        <f aca="false">IF(E70&gt;0,E70-Q70," ")</f>
        <v>0</v>
      </c>
      <c r="T70" s="48"/>
      <c r="U70" s="55"/>
      <c r="V70" s="58"/>
      <c r="W70" s="51" t="str">
        <f aca="false">IF(V70&gt;0,E70," ")</f>
        <v> </v>
      </c>
      <c r="X70" s="51" t="str">
        <f aca="false">IF(V70&gt;0,J70," ")</f>
        <v> </v>
      </c>
      <c r="Y70" s="48" t="str">
        <f aca="false">IF((U70+V70)&gt;0,IF(V70&lt;S70,S70-V70," ")," ")</f>
        <v> </v>
      </c>
      <c r="Z70" s="48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3"/>
      <c r="B71" s="55" t="n">
        <v>46320</v>
      </c>
      <c r="C71" s="56" t="s">
        <v>54</v>
      </c>
      <c r="D71" s="57"/>
      <c r="E71" s="58" t="n">
        <v>30000</v>
      </c>
      <c r="F71" s="51"/>
      <c r="G71" s="51"/>
      <c r="H71" s="59" t="n">
        <f aca="false">H$66</f>
        <v>0.1</v>
      </c>
      <c r="I71" s="51" t="n">
        <f aca="false">IF(E71&gt;0,MIN(E71*H71,G71)," ")</f>
        <v>3000</v>
      </c>
      <c r="J71" s="51" t="n">
        <f aca="false">IF(E71&gt;0,F71+I71," ")</f>
        <v>3000</v>
      </c>
      <c r="K71" s="51" t="n">
        <f aca="false">IF(E71&gt;0,IF(V71&gt;0,0,E71-J71)," ")</f>
        <v>27000</v>
      </c>
      <c r="L71" s="51"/>
      <c r="M71" s="59"/>
      <c r="N71" s="51"/>
      <c r="O71" s="48"/>
      <c r="P71" s="59" t="n">
        <f aca="false">P$4</f>
        <v>1</v>
      </c>
      <c r="Q71" s="48" t="n">
        <f aca="false">IF(E71&gt;0,E71*P71," ")</f>
        <v>30000</v>
      </c>
      <c r="R71" s="48"/>
      <c r="S71" s="48" t="n">
        <f aca="false">IF(E71&gt;0,E71-Q71," ")</f>
        <v>0</v>
      </c>
      <c r="T71" s="48"/>
      <c r="U71" s="55"/>
      <c r="V71" s="58"/>
      <c r="W71" s="51" t="str">
        <f aca="false">IF(V71&gt;0,E71," ")</f>
        <v> </v>
      </c>
      <c r="X71" s="51" t="str">
        <f aca="false">IF(V71&gt;0,J71," ")</f>
        <v> </v>
      </c>
      <c r="Y71" s="48" t="str">
        <f aca="false">IF((U71+V71)&gt;0,IF(V71&lt;S71,S71-V71," ")," ")</f>
        <v> </v>
      </c>
      <c r="Z71" s="48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3"/>
      <c r="B72" s="60" t="s">
        <v>55</v>
      </c>
      <c r="C72" s="60"/>
      <c r="D72" s="60"/>
      <c r="E72" s="61" t="n">
        <f aca="false">SUM(E67:E71)</f>
        <v>52500</v>
      </c>
      <c r="F72" s="62" t="n">
        <f aca="false">SUM(F67:F71)</f>
        <v>0</v>
      </c>
      <c r="G72" s="62" t="n">
        <f aca="false">SUM(G67:G71)</f>
        <v>0</v>
      </c>
      <c r="H72" s="59"/>
      <c r="I72" s="62" t="n">
        <f aca="false">SUM(I67:I71)</f>
        <v>5250</v>
      </c>
      <c r="J72" s="62" t="n">
        <f aca="false">SUM(J67:J71)</f>
        <v>5250</v>
      </c>
      <c r="K72" s="62" t="n">
        <f aca="false">SUM(K67:K71)</f>
        <v>47250</v>
      </c>
      <c r="L72" s="51"/>
      <c r="M72" s="59"/>
      <c r="N72" s="51"/>
      <c r="O72" s="62" t="n">
        <f aca="false">SUM(O67:O71)</f>
        <v>0</v>
      </c>
      <c r="P72" s="63"/>
      <c r="Q72" s="62" t="n">
        <f aca="false">SUM(Q67:Q71)</f>
        <v>52500</v>
      </c>
      <c r="R72" s="62" t="n">
        <f aca="false">SUM(R67:R71)</f>
        <v>0</v>
      </c>
      <c r="S72" s="62" t="n">
        <f aca="false">SUM(S67:S71)</f>
        <v>0</v>
      </c>
      <c r="T72" s="48"/>
      <c r="U72" s="50"/>
      <c r="V72" s="61" t="n">
        <f aca="false">SUM(V67:V71)</f>
        <v>0</v>
      </c>
      <c r="W72" s="62" t="n">
        <f aca="false">SUM(W67:W71)</f>
        <v>0</v>
      </c>
      <c r="X72" s="62" t="n">
        <f aca="false">SUM(X67:X71)</f>
        <v>0</v>
      </c>
      <c r="Y72" s="62" t="n">
        <f aca="false">SUM(Y67:Y71)</f>
        <v>0</v>
      </c>
      <c r="Z72" s="62" t="n">
        <f aca="false">SUM(Z67:Z71)</f>
        <v>0</v>
      </c>
      <c r="AA72" s="25"/>
      <c r="AB72" s="25"/>
      <c r="AC72" s="62" t="n">
        <f aca="false">SUM(AC67:AC71)</f>
        <v>0</v>
      </c>
      <c r="AE72" s="62" t="n">
        <f aca="false">SUM(AE67:AE71)</f>
        <v>0</v>
      </c>
      <c r="AF72" s="62" t="n">
        <f aca="false">SUM(AF67:AF71)</f>
        <v>0</v>
      </c>
      <c r="AG72" s="62" t="n">
        <f aca="false">SUM(AG67:AG71)</f>
        <v>0</v>
      </c>
      <c r="AH72" s="62" t="n">
        <f aca="false">SUM(AH67:AH71)</f>
        <v>0</v>
      </c>
      <c r="AI72" s="62" t="n">
        <f aca="false">SUM(AI67:AI71)</f>
        <v>0</v>
      </c>
    </row>
    <row r="73" customFormat="false" ht="6" hidden="false" customHeight="true" outlineLevel="0" collapsed="false">
      <c r="A73" s="43"/>
      <c r="B73" s="64"/>
      <c r="C73" s="65"/>
      <c r="D73" s="66"/>
      <c r="E73" s="51"/>
      <c r="F73" s="51"/>
      <c r="G73" s="51"/>
      <c r="H73" s="59"/>
      <c r="I73" s="51"/>
      <c r="J73" s="51"/>
      <c r="K73" s="51"/>
      <c r="L73" s="51"/>
      <c r="M73" s="59"/>
      <c r="N73" s="51"/>
      <c r="O73" s="51"/>
      <c r="P73" s="63"/>
      <c r="Q73" s="51"/>
      <c r="R73" s="51"/>
      <c r="S73" s="51"/>
      <c r="T73" s="48"/>
      <c r="U73" s="50"/>
      <c r="V73" s="51"/>
      <c r="W73" s="51"/>
      <c r="X73" s="51"/>
      <c r="Y73" s="51"/>
      <c r="Z73" s="51"/>
      <c r="AA73" s="25"/>
    </row>
    <row r="74" customFormat="false" ht="12" hidden="false" customHeight="true" outlineLevel="0" collapsed="false">
      <c r="A74" s="43"/>
      <c r="B74" s="52" t="s">
        <v>35</v>
      </c>
      <c r="C74" s="52"/>
      <c r="D74" s="63"/>
      <c r="E74" s="51"/>
      <c r="F74" s="51"/>
      <c r="G74" s="51"/>
      <c r="H74" s="83" t="n">
        <f aca="false">H$21</f>
        <v>0.2</v>
      </c>
      <c r="I74" s="51"/>
      <c r="J74" s="51"/>
      <c r="K74" s="51"/>
      <c r="L74" s="51"/>
      <c r="M74" s="59"/>
      <c r="N74" s="51"/>
      <c r="O74" s="48"/>
      <c r="P74" s="49"/>
      <c r="Q74" s="48"/>
      <c r="R74" s="48"/>
      <c r="S74" s="48"/>
      <c r="T74" s="48"/>
      <c r="U74" s="50"/>
      <c r="V74" s="51"/>
      <c r="W74" s="51"/>
      <c r="X74" s="51"/>
      <c r="Y74" s="48"/>
      <c r="Z74" s="48"/>
      <c r="AA74" s="25"/>
    </row>
    <row r="75" customFormat="false" ht="12" hidden="false" customHeight="true" outlineLevel="0" collapsed="false">
      <c r="A75" s="43"/>
      <c r="B75" s="55"/>
      <c r="C75" s="56"/>
      <c r="D75" s="81"/>
      <c r="E75" s="58"/>
      <c r="F75" s="51"/>
      <c r="G75" s="51"/>
      <c r="H75" s="59" t="n">
        <f aca="false">H$74</f>
        <v>0.2</v>
      </c>
      <c r="I75" s="51" t="str">
        <f aca="false">IF(E75&gt;0,MIN(E75*H75,G75)," ")</f>
        <v> </v>
      </c>
      <c r="J75" s="51" t="str">
        <f aca="false">IF(E75&gt;0,F75+I75," ")</f>
        <v> </v>
      </c>
      <c r="K75" s="51" t="str">
        <f aca="false">IF(E75&gt;0,IF(V75&gt;0,0,E75-J75)," ")</f>
        <v> </v>
      </c>
      <c r="L75" s="51"/>
      <c r="M75" s="59"/>
      <c r="N75" s="51"/>
      <c r="O75" s="48"/>
      <c r="P75" s="59" t="n">
        <f aca="false">P$4</f>
        <v>1</v>
      </c>
      <c r="Q75" s="48" t="str">
        <f aca="false">IF(E75&gt;0,E75*P75," ")</f>
        <v> </v>
      </c>
      <c r="R75" s="48"/>
      <c r="S75" s="48" t="str">
        <f aca="false">IF(E75&gt;0,E75-Q75," ")</f>
        <v> </v>
      </c>
      <c r="T75" s="48"/>
      <c r="U75" s="55"/>
      <c r="V75" s="58"/>
      <c r="W75" s="51" t="str">
        <f aca="false">IF(V75&gt;0,E75," ")</f>
        <v> </v>
      </c>
      <c r="X75" s="51" t="str">
        <f aca="false">IF(V75&gt;0,J75," ")</f>
        <v> </v>
      </c>
      <c r="Y75" s="48" t="str">
        <f aca="false">IF((U75+V75)&gt;0,IF(V75&lt;S75,S75-V75," ")," ")</f>
        <v> </v>
      </c>
      <c r="Z75" s="48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3"/>
      <c r="B76" s="55"/>
      <c r="C76" s="56"/>
      <c r="D76" s="81"/>
      <c r="E76" s="58"/>
      <c r="F76" s="51"/>
      <c r="G76" s="51"/>
      <c r="H76" s="59" t="n">
        <f aca="false">H$74</f>
        <v>0.2</v>
      </c>
      <c r="I76" s="51" t="str">
        <f aca="false">IF(E76&gt;0,MIN(E76*H76,G76)," ")</f>
        <v> </v>
      </c>
      <c r="J76" s="51" t="str">
        <f aca="false">IF(E76&gt;0,F76+I76," ")</f>
        <v> </v>
      </c>
      <c r="K76" s="51" t="str">
        <f aca="false">IF(E76&gt;0,IF(V76&gt;0,0,E76-J76)," ")</f>
        <v> </v>
      </c>
      <c r="L76" s="51"/>
      <c r="M76" s="59"/>
      <c r="N76" s="51"/>
      <c r="O76" s="48"/>
      <c r="P76" s="59" t="n">
        <f aca="false">P$4</f>
        <v>1</v>
      </c>
      <c r="Q76" s="48" t="str">
        <f aca="false">IF(E76&gt;0,E76*P76," ")</f>
        <v> </v>
      </c>
      <c r="R76" s="48"/>
      <c r="S76" s="48" t="str">
        <f aca="false">IF(E76&gt;0,E76-Q76," ")</f>
        <v> </v>
      </c>
      <c r="T76" s="48"/>
      <c r="U76" s="55"/>
      <c r="V76" s="58"/>
      <c r="W76" s="51" t="str">
        <f aca="false">IF(V76&gt;0,E76," ")</f>
        <v> </v>
      </c>
      <c r="X76" s="51" t="str">
        <f aca="false">IF(V76&gt;0,J76," ")</f>
        <v> </v>
      </c>
      <c r="Y76" s="48" t="str">
        <f aca="false">IF((U76+V76)&gt;0,IF(V76&lt;S76,S76-V76," ")," ")</f>
        <v> </v>
      </c>
      <c r="Z76" s="48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3"/>
      <c r="B77" s="55"/>
      <c r="C77" s="56"/>
      <c r="D77" s="81"/>
      <c r="E77" s="58"/>
      <c r="F77" s="51"/>
      <c r="G77" s="51"/>
      <c r="H77" s="59" t="n">
        <f aca="false">H$74</f>
        <v>0.2</v>
      </c>
      <c r="I77" s="51" t="str">
        <f aca="false">IF(E77&gt;0,MIN(E77*H77,G77)," ")</f>
        <v> </v>
      </c>
      <c r="J77" s="51" t="str">
        <f aca="false">IF(E77&gt;0,F77+I77," ")</f>
        <v> </v>
      </c>
      <c r="K77" s="51" t="str">
        <f aca="false">IF(E77&gt;0,IF(V77&gt;0,0,E77-J77)," ")</f>
        <v> </v>
      </c>
      <c r="L77" s="51"/>
      <c r="M77" s="59"/>
      <c r="N77" s="51"/>
      <c r="O77" s="48"/>
      <c r="P77" s="59" t="n">
        <f aca="false">P$4</f>
        <v>1</v>
      </c>
      <c r="Q77" s="48" t="str">
        <f aca="false">IF(E77&gt;0,E77*P77," ")</f>
        <v> </v>
      </c>
      <c r="R77" s="48"/>
      <c r="S77" s="48" t="str">
        <f aca="false">IF(E77&gt;0,E77-Q77," ")</f>
        <v> </v>
      </c>
      <c r="T77" s="48"/>
      <c r="U77" s="55"/>
      <c r="V77" s="58"/>
      <c r="W77" s="51" t="str">
        <f aca="false">IF(V77&gt;0,E77," ")</f>
        <v> </v>
      </c>
      <c r="X77" s="51" t="str">
        <f aca="false">IF(V77&gt;0,J77," ")</f>
        <v> </v>
      </c>
      <c r="Y77" s="48" t="str">
        <f aca="false">IF((U77+V77)&gt;0,IF(V77&lt;S77,S77-V77," ")," ")</f>
        <v> </v>
      </c>
      <c r="Z77" s="48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3"/>
      <c r="B78" s="55"/>
      <c r="C78" s="56"/>
      <c r="D78" s="81"/>
      <c r="E78" s="58"/>
      <c r="F78" s="51"/>
      <c r="G78" s="51"/>
      <c r="H78" s="59" t="n">
        <f aca="false">H$74</f>
        <v>0.2</v>
      </c>
      <c r="I78" s="51" t="str">
        <f aca="false">IF(E78&gt;0,MIN(E78*H78,G78)," ")</f>
        <v> </v>
      </c>
      <c r="J78" s="51" t="str">
        <f aca="false">IF(E78&gt;0,F78+I78," ")</f>
        <v> </v>
      </c>
      <c r="K78" s="51" t="str">
        <f aca="false">IF(E78&gt;0,IF(V78&gt;0,0,E78-J78)," ")</f>
        <v> </v>
      </c>
      <c r="L78" s="51"/>
      <c r="M78" s="59"/>
      <c r="N78" s="51"/>
      <c r="O78" s="48"/>
      <c r="P78" s="59" t="n">
        <f aca="false">P$4</f>
        <v>1</v>
      </c>
      <c r="Q78" s="48" t="str">
        <f aca="false">IF(E78&gt;0,E78*P78," ")</f>
        <v> </v>
      </c>
      <c r="R78" s="48"/>
      <c r="S78" s="48" t="str">
        <f aca="false">IF(E78&gt;0,E78-Q78," ")</f>
        <v> </v>
      </c>
      <c r="T78" s="48"/>
      <c r="U78" s="55"/>
      <c r="V78" s="58"/>
      <c r="W78" s="51" t="str">
        <f aca="false">IF(V78&gt;0,E78," ")</f>
        <v> </v>
      </c>
      <c r="X78" s="51" t="str">
        <f aca="false">IF(V78&gt;0,J78," ")</f>
        <v> </v>
      </c>
      <c r="Y78" s="48" t="str">
        <f aca="false">IF((U78+V78)&gt;0,IF(V78&lt;S78,S78-V78," ")," ")</f>
        <v> </v>
      </c>
      <c r="Z78" s="48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3"/>
      <c r="B79" s="55"/>
      <c r="C79" s="56"/>
      <c r="D79" s="81"/>
      <c r="E79" s="58"/>
      <c r="F79" s="51"/>
      <c r="G79" s="51"/>
      <c r="H79" s="59" t="n">
        <f aca="false">H$74</f>
        <v>0.2</v>
      </c>
      <c r="I79" s="51" t="str">
        <f aca="false">IF(E79&gt;0,MIN(E79*H79,G79)," ")</f>
        <v> </v>
      </c>
      <c r="J79" s="51" t="str">
        <f aca="false">IF(E79&gt;0,F79+I79," ")</f>
        <v> </v>
      </c>
      <c r="K79" s="51" t="str">
        <f aca="false">IF(E79&gt;0,IF(V79&gt;0,0,E79-J79)," ")</f>
        <v> </v>
      </c>
      <c r="L79" s="51"/>
      <c r="M79" s="59"/>
      <c r="N79" s="51"/>
      <c r="O79" s="48"/>
      <c r="P79" s="59" t="n">
        <f aca="false">P$4</f>
        <v>1</v>
      </c>
      <c r="Q79" s="48" t="str">
        <f aca="false">IF(E79&gt;0,E79*P79," ")</f>
        <v> </v>
      </c>
      <c r="R79" s="48"/>
      <c r="S79" s="48" t="str">
        <f aca="false">IF(E79&gt;0,E79-Q79," ")</f>
        <v> </v>
      </c>
      <c r="T79" s="48"/>
      <c r="U79" s="55"/>
      <c r="V79" s="58"/>
      <c r="W79" s="51" t="str">
        <f aca="false">IF(V79&gt;0,E79," ")</f>
        <v> </v>
      </c>
      <c r="X79" s="51" t="str">
        <f aca="false">IF(V79&gt;0,J79," ")</f>
        <v> </v>
      </c>
      <c r="Y79" s="48" t="str">
        <f aca="false">IF((U79+V79)&gt;0,IF(V79&lt;S79,S79-V79," ")," ")</f>
        <v> </v>
      </c>
      <c r="Z79" s="48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3"/>
      <c r="B80" s="60" t="s">
        <v>56</v>
      </c>
      <c r="C80" s="60"/>
      <c r="D80" s="60"/>
      <c r="E80" s="61" t="n">
        <f aca="false">SUM(E75:E79)</f>
        <v>0</v>
      </c>
      <c r="F80" s="62" t="n">
        <f aca="false">SUM(F75:F79)</f>
        <v>0</v>
      </c>
      <c r="G80" s="62" t="n">
        <f aca="false">SUM(G75:G79)</f>
        <v>0</v>
      </c>
      <c r="H80" s="59"/>
      <c r="I80" s="62" t="n">
        <f aca="false">SUM(I75:I79)</f>
        <v>0</v>
      </c>
      <c r="J80" s="62" t="n">
        <f aca="false">SUM(J75:J79)</f>
        <v>0</v>
      </c>
      <c r="K80" s="62" t="n">
        <f aca="false">SUM(K75:K79)</f>
        <v>0</v>
      </c>
      <c r="L80" s="51"/>
      <c r="M80" s="59"/>
      <c r="N80" s="51"/>
      <c r="O80" s="62" t="n">
        <f aca="false">SUM(O75:O79)</f>
        <v>0</v>
      </c>
      <c r="P80" s="63"/>
      <c r="Q80" s="62" t="n">
        <f aca="false">SUM(Q75:Q79)</f>
        <v>0</v>
      </c>
      <c r="R80" s="62" t="n">
        <f aca="false">SUM(R75:R79)</f>
        <v>0</v>
      </c>
      <c r="S80" s="62" t="n">
        <f aca="false">SUM(S75:S79)</f>
        <v>0</v>
      </c>
      <c r="T80" s="48"/>
      <c r="U80" s="50"/>
      <c r="V80" s="61" t="n">
        <f aca="false">SUM(V75:V79)</f>
        <v>0</v>
      </c>
      <c r="W80" s="62" t="n">
        <f aca="false">SUM(W75:W79)</f>
        <v>0</v>
      </c>
      <c r="X80" s="62" t="n">
        <f aca="false">SUM(X75:X79)</f>
        <v>0</v>
      </c>
      <c r="Y80" s="62" t="n">
        <f aca="false">SUM(Y75:Y79)</f>
        <v>0</v>
      </c>
      <c r="Z80" s="62" t="n">
        <f aca="false">SUM(Z75:Z79)</f>
        <v>0</v>
      </c>
      <c r="AA80" s="25"/>
      <c r="AB80" s="25"/>
      <c r="AC80" s="62" t="n">
        <f aca="false">SUM(AC75:AC79)</f>
        <v>0</v>
      </c>
      <c r="AE80" s="62" t="n">
        <f aca="false">SUM(AE75:AE79)</f>
        <v>0</v>
      </c>
      <c r="AF80" s="62" t="n">
        <f aca="false">SUM(AF75:AF79)</f>
        <v>0</v>
      </c>
      <c r="AG80" s="62" t="n">
        <f aca="false">SUM(AG75:AG79)</f>
        <v>0</v>
      </c>
      <c r="AH80" s="62" t="n">
        <f aca="false">SUM(AH75:AH79)</f>
        <v>0</v>
      </c>
      <c r="AI80" s="62" t="n">
        <f aca="false">SUM(AI75:AI79)</f>
        <v>0</v>
      </c>
    </row>
    <row r="81" customFormat="false" ht="6" hidden="false" customHeight="true" outlineLevel="0" collapsed="false">
      <c r="A81" s="43"/>
      <c r="B81" s="64"/>
      <c r="C81" s="65"/>
      <c r="D81" s="66"/>
      <c r="E81" s="51"/>
      <c r="F81" s="51"/>
      <c r="G81" s="51"/>
      <c r="H81" s="59"/>
      <c r="I81" s="51"/>
      <c r="J81" s="51"/>
      <c r="K81" s="51"/>
      <c r="L81" s="51"/>
      <c r="M81" s="59"/>
      <c r="N81" s="51"/>
      <c r="O81" s="51"/>
      <c r="P81" s="63"/>
      <c r="Q81" s="51"/>
      <c r="R81" s="51"/>
      <c r="S81" s="51"/>
      <c r="T81" s="48"/>
      <c r="U81" s="50"/>
      <c r="V81" s="51"/>
      <c r="W81" s="51"/>
      <c r="X81" s="51"/>
      <c r="Y81" s="51"/>
      <c r="Z81" s="51"/>
      <c r="AA81" s="25"/>
    </row>
    <row r="82" customFormat="false" ht="12" hidden="false" customHeight="true" outlineLevel="0" collapsed="false">
      <c r="A82" s="43"/>
      <c r="B82" s="52" t="s">
        <v>37</v>
      </c>
      <c r="C82" s="52"/>
      <c r="D82" s="69"/>
      <c r="E82" s="51"/>
      <c r="F82" s="51"/>
      <c r="G82" s="51"/>
      <c r="H82" s="83" t="n">
        <f aca="false">H$29</f>
        <v>0.33</v>
      </c>
      <c r="I82" s="51"/>
      <c r="J82" s="51"/>
      <c r="K82" s="51"/>
      <c r="L82" s="51"/>
      <c r="M82" s="59"/>
      <c r="N82" s="51"/>
      <c r="O82" s="48"/>
      <c r="P82" s="49"/>
      <c r="Q82" s="48"/>
      <c r="R82" s="48"/>
      <c r="S82" s="48"/>
      <c r="T82" s="48"/>
      <c r="U82" s="50"/>
      <c r="V82" s="51"/>
      <c r="W82" s="51"/>
      <c r="X82" s="51"/>
      <c r="Y82" s="48"/>
      <c r="Z82" s="48"/>
      <c r="AA82" s="25"/>
    </row>
    <row r="83" customFormat="false" ht="12" hidden="false" customHeight="false" outlineLevel="0" collapsed="false">
      <c r="A83" s="43"/>
      <c r="B83" s="55"/>
      <c r="C83" s="56"/>
      <c r="D83" s="81"/>
      <c r="E83" s="58"/>
      <c r="F83" s="51"/>
      <c r="G83" s="51"/>
      <c r="H83" s="59" t="n">
        <f aca="false">H$82</f>
        <v>0.33</v>
      </c>
      <c r="I83" s="51" t="str">
        <f aca="false">IF(E83&gt;0,MIN(E83*H83,G83)," ")</f>
        <v> </v>
      </c>
      <c r="J83" s="51" t="str">
        <f aca="false">IF(E83&gt;0,F83+I83," ")</f>
        <v> </v>
      </c>
      <c r="K83" s="51" t="str">
        <f aca="false">IF(E83&gt;0,IF(V83&gt;0,0,E83-J83)," ")</f>
        <v> </v>
      </c>
      <c r="L83" s="51"/>
      <c r="M83" s="59"/>
      <c r="N83" s="51"/>
      <c r="O83" s="48"/>
      <c r="P83" s="59" t="n">
        <f aca="false">P$4</f>
        <v>1</v>
      </c>
      <c r="Q83" s="48" t="str">
        <f aca="false">IF(E83&gt;0,E83*P83," ")</f>
        <v> </v>
      </c>
      <c r="R83" s="48"/>
      <c r="S83" s="48" t="str">
        <f aca="false">IF(E83&gt;0,E83-Q83," ")</f>
        <v> </v>
      </c>
      <c r="T83" s="48"/>
      <c r="U83" s="55"/>
      <c r="V83" s="58"/>
      <c r="W83" s="51" t="str">
        <f aca="false">IF(V83&gt;0,E83," ")</f>
        <v> </v>
      </c>
      <c r="X83" s="51" t="str">
        <f aca="false">IF(V83&gt;0,J83," ")</f>
        <v> </v>
      </c>
      <c r="Y83" s="48" t="str">
        <f aca="false">IF((U83+V83)&gt;0,IF(V83&lt;S83,S83-V83," ")," ")</f>
        <v> </v>
      </c>
      <c r="Z83" s="48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3"/>
      <c r="B84" s="55"/>
      <c r="C84" s="56"/>
      <c r="D84" s="81"/>
      <c r="E84" s="58"/>
      <c r="F84" s="51"/>
      <c r="G84" s="51"/>
      <c r="H84" s="59" t="n">
        <f aca="false">H$82</f>
        <v>0.33</v>
      </c>
      <c r="I84" s="51" t="str">
        <f aca="false">IF(E84&gt;0,MIN(E84*H84,G84)," ")</f>
        <v> </v>
      </c>
      <c r="J84" s="51" t="str">
        <f aca="false">IF(E84&gt;0,F84+I84," ")</f>
        <v> </v>
      </c>
      <c r="K84" s="51" t="str">
        <f aca="false">IF(E84&gt;0,IF(V84&gt;0,0,E84-J84)," ")</f>
        <v> </v>
      </c>
      <c r="L84" s="51"/>
      <c r="M84" s="59"/>
      <c r="N84" s="51"/>
      <c r="O84" s="48"/>
      <c r="P84" s="59" t="n">
        <f aca="false">P$4</f>
        <v>1</v>
      </c>
      <c r="Q84" s="48" t="str">
        <f aca="false">IF(E84&gt;0,E84*P84," ")</f>
        <v> </v>
      </c>
      <c r="R84" s="48"/>
      <c r="S84" s="48" t="str">
        <f aca="false">IF(E84&gt;0,E84-Q84," ")</f>
        <v> </v>
      </c>
      <c r="T84" s="48"/>
      <c r="U84" s="55"/>
      <c r="V84" s="58"/>
      <c r="W84" s="51" t="str">
        <f aca="false">IF(V84&gt;0,E84," ")</f>
        <v> </v>
      </c>
      <c r="X84" s="51" t="str">
        <f aca="false">IF(V84&gt;0,J84," ")</f>
        <v> </v>
      </c>
      <c r="Y84" s="48" t="str">
        <f aca="false">IF((U84+V84)&gt;0,IF(V84&lt;S84,S84-V84," ")," ")</f>
        <v> </v>
      </c>
      <c r="Z84" s="48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3"/>
      <c r="B85" s="55"/>
      <c r="C85" s="56"/>
      <c r="D85" s="81"/>
      <c r="E85" s="58"/>
      <c r="F85" s="51"/>
      <c r="G85" s="51"/>
      <c r="H85" s="59" t="n">
        <f aca="false">H$82</f>
        <v>0.33</v>
      </c>
      <c r="I85" s="51" t="str">
        <f aca="false">IF(E85&gt;0,MIN(E85*H85,G85)," ")</f>
        <v> </v>
      </c>
      <c r="J85" s="51" t="str">
        <f aca="false">IF(E85&gt;0,F85+I85," ")</f>
        <v> </v>
      </c>
      <c r="K85" s="51" t="str">
        <f aca="false">IF(E85&gt;0,IF(V85&gt;0,0,E85-J85)," ")</f>
        <v> </v>
      </c>
      <c r="L85" s="51"/>
      <c r="M85" s="59"/>
      <c r="N85" s="51"/>
      <c r="O85" s="48"/>
      <c r="P85" s="59" t="n">
        <f aca="false">P$4</f>
        <v>1</v>
      </c>
      <c r="Q85" s="48" t="str">
        <f aca="false">IF(E85&gt;0,E85*P85," ")</f>
        <v> </v>
      </c>
      <c r="R85" s="48"/>
      <c r="S85" s="48" t="str">
        <f aca="false">IF(E85&gt;0,E85-Q85," ")</f>
        <v> </v>
      </c>
      <c r="T85" s="48"/>
      <c r="U85" s="55"/>
      <c r="V85" s="58"/>
      <c r="W85" s="51" t="str">
        <f aca="false">IF(V85&gt;0,E85," ")</f>
        <v> </v>
      </c>
      <c r="X85" s="51" t="str">
        <f aca="false">IF(V85&gt;0,J85," ")</f>
        <v> </v>
      </c>
      <c r="Y85" s="48" t="str">
        <f aca="false">IF((U85+V85)&gt;0,IF(V85&lt;S85,S85-V85," ")," ")</f>
        <v> </v>
      </c>
      <c r="Z85" s="48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3"/>
      <c r="B86" s="55"/>
      <c r="C86" s="56"/>
      <c r="D86" s="81"/>
      <c r="E86" s="58"/>
      <c r="F86" s="51"/>
      <c r="G86" s="51"/>
      <c r="H86" s="59" t="n">
        <f aca="false">H$82</f>
        <v>0.33</v>
      </c>
      <c r="I86" s="51" t="str">
        <f aca="false">IF(E86&gt;0,MIN(E86*H86,G86)," ")</f>
        <v> </v>
      </c>
      <c r="J86" s="51" t="str">
        <f aca="false">IF(E86&gt;0,F86+I86," ")</f>
        <v> </v>
      </c>
      <c r="K86" s="51" t="str">
        <f aca="false">IF(E86&gt;0,IF(V86&gt;0,0,E86-J86)," ")</f>
        <v> </v>
      </c>
      <c r="L86" s="51"/>
      <c r="M86" s="59"/>
      <c r="N86" s="51"/>
      <c r="O86" s="48"/>
      <c r="P86" s="59" t="n">
        <f aca="false">P$4</f>
        <v>1</v>
      </c>
      <c r="Q86" s="48" t="str">
        <f aca="false">IF(E86&gt;0,E86*P86," ")</f>
        <v> </v>
      </c>
      <c r="R86" s="48"/>
      <c r="S86" s="48" t="str">
        <f aca="false">IF(E86&gt;0,E86-Q86," ")</f>
        <v> </v>
      </c>
      <c r="T86" s="48"/>
      <c r="U86" s="55"/>
      <c r="V86" s="58"/>
      <c r="W86" s="51" t="str">
        <f aca="false">IF(V86&gt;0,E86," ")</f>
        <v> </v>
      </c>
      <c r="X86" s="51" t="str">
        <f aca="false">IF(V86&gt;0,J86," ")</f>
        <v> </v>
      </c>
      <c r="Y86" s="48" t="str">
        <f aca="false">IF((U86+V86)&gt;0,IF(V86&lt;S86,S86-V86," ")," ")</f>
        <v> </v>
      </c>
      <c r="Z86" s="48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3"/>
      <c r="B87" s="55"/>
      <c r="C87" s="56"/>
      <c r="D87" s="81"/>
      <c r="E87" s="58"/>
      <c r="F87" s="51"/>
      <c r="G87" s="51"/>
      <c r="H87" s="59" t="n">
        <f aca="false">H$82</f>
        <v>0.33</v>
      </c>
      <c r="I87" s="51" t="str">
        <f aca="false">IF(E87&gt;0,MIN(E87*H87,G87)," ")</f>
        <v> </v>
      </c>
      <c r="J87" s="51" t="str">
        <f aca="false">IF(E87&gt;0,F87+I87," ")</f>
        <v> </v>
      </c>
      <c r="K87" s="51" t="str">
        <f aca="false">IF(E87&gt;0,IF(V87&gt;0,0,E87-J87)," ")</f>
        <v> </v>
      </c>
      <c r="L87" s="51"/>
      <c r="M87" s="59"/>
      <c r="N87" s="51"/>
      <c r="O87" s="48"/>
      <c r="P87" s="59" t="n">
        <f aca="false">P$4</f>
        <v>1</v>
      </c>
      <c r="Q87" s="48" t="str">
        <f aca="false">IF(E87&gt;0,E87*P87," ")</f>
        <v> </v>
      </c>
      <c r="R87" s="48"/>
      <c r="S87" s="48" t="str">
        <f aca="false">IF(E87&gt;0,E87-Q87," ")</f>
        <v> </v>
      </c>
      <c r="T87" s="48"/>
      <c r="U87" s="55"/>
      <c r="V87" s="58"/>
      <c r="W87" s="51" t="str">
        <f aca="false">IF(V87&gt;0,E87," ")</f>
        <v> </v>
      </c>
      <c r="X87" s="51" t="str">
        <f aca="false">IF(V87&gt;0,J87," ")</f>
        <v> </v>
      </c>
      <c r="Y87" s="48" t="str">
        <f aca="false">IF((U87+V87)&gt;0,IF(V87&lt;S87,S87-V87," ")," ")</f>
        <v> </v>
      </c>
      <c r="Z87" s="48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3"/>
      <c r="B88" s="60" t="s">
        <v>57</v>
      </c>
      <c r="C88" s="60"/>
      <c r="D88" s="60"/>
      <c r="E88" s="61" t="n">
        <f aca="false">SUM(E83:E87)</f>
        <v>0</v>
      </c>
      <c r="F88" s="62" t="n">
        <f aca="false">SUM(F83:F87)</f>
        <v>0</v>
      </c>
      <c r="G88" s="62" t="n">
        <f aca="false">SUM(G83:G87)</f>
        <v>0</v>
      </c>
      <c r="H88" s="59"/>
      <c r="I88" s="62" t="n">
        <f aca="false">SUM(I83:I87)</f>
        <v>0</v>
      </c>
      <c r="J88" s="62" t="n">
        <f aca="false">SUM(J83:J87)</f>
        <v>0</v>
      </c>
      <c r="K88" s="62" t="n">
        <f aca="false">SUM(K83:K87)</f>
        <v>0</v>
      </c>
      <c r="L88" s="51"/>
      <c r="M88" s="59"/>
      <c r="N88" s="51"/>
      <c r="O88" s="62" t="n">
        <f aca="false">SUM(O83:O87)</f>
        <v>0</v>
      </c>
      <c r="P88" s="63"/>
      <c r="Q88" s="62" t="n">
        <f aca="false">SUM(Q83:Q87)</f>
        <v>0</v>
      </c>
      <c r="R88" s="62" t="n">
        <f aca="false">SUM(R83:R87)</f>
        <v>0</v>
      </c>
      <c r="S88" s="62" t="n">
        <f aca="false">SUM(S83:S87)</f>
        <v>0</v>
      </c>
      <c r="T88" s="48"/>
      <c r="U88" s="50"/>
      <c r="V88" s="61" t="n">
        <f aca="false">SUM(V83:V87)</f>
        <v>0</v>
      </c>
      <c r="W88" s="62" t="n">
        <f aca="false">SUM(W83:W87)</f>
        <v>0</v>
      </c>
      <c r="X88" s="62" t="n">
        <f aca="false">SUM(X83:X87)</f>
        <v>0</v>
      </c>
      <c r="Y88" s="62" t="n">
        <f aca="false">SUM(Y83:Y87)</f>
        <v>0</v>
      </c>
      <c r="Z88" s="62" t="n">
        <f aca="false">SUM(Z83:Z87)</f>
        <v>0</v>
      </c>
      <c r="AA88" s="25"/>
      <c r="AB88" s="25"/>
      <c r="AC88" s="62" t="n">
        <f aca="false">SUM(AC83:AC87)</f>
        <v>0</v>
      </c>
      <c r="AE88" s="62" t="n">
        <f aca="false">SUM(AE83:AE87)</f>
        <v>0</v>
      </c>
      <c r="AF88" s="62" t="n">
        <f aca="false">SUM(AF83:AF87)</f>
        <v>0</v>
      </c>
      <c r="AG88" s="62" t="n">
        <f aca="false">SUM(AG83:AG87)</f>
        <v>0</v>
      </c>
      <c r="AH88" s="62" t="n">
        <f aca="false">SUM(AH83:AH87)</f>
        <v>0</v>
      </c>
      <c r="AI88" s="62" t="n">
        <f aca="false">SUM(AI83:AI87)</f>
        <v>0</v>
      </c>
    </row>
    <row r="89" customFormat="false" ht="6" hidden="false" customHeight="true" outlineLevel="0" collapsed="false">
      <c r="A89" s="43"/>
      <c r="B89" s="64"/>
      <c r="C89" s="65"/>
      <c r="D89" s="66"/>
      <c r="E89" s="51"/>
      <c r="F89" s="51"/>
      <c r="G89" s="51"/>
      <c r="H89" s="59"/>
      <c r="I89" s="51"/>
      <c r="J89" s="51"/>
      <c r="K89" s="51"/>
      <c r="L89" s="51"/>
      <c r="M89" s="59"/>
      <c r="N89" s="51"/>
      <c r="O89" s="51"/>
      <c r="P89" s="63"/>
      <c r="Q89" s="51"/>
      <c r="R89" s="51"/>
      <c r="S89" s="51"/>
      <c r="T89" s="48"/>
      <c r="U89" s="50"/>
      <c r="V89" s="51"/>
      <c r="W89" s="51"/>
      <c r="X89" s="51"/>
      <c r="Y89" s="51"/>
      <c r="Z89" s="51"/>
      <c r="AA89" s="25"/>
    </row>
    <row r="90" customFormat="false" ht="12" hidden="false" customHeight="true" outlineLevel="0" collapsed="false">
      <c r="A90" s="43"/>
      <c r="B90" s="70" t="str">
        <f aca="false">B37</f>
        <v>Motor Vehicles - costing over £</v>
      </c>
      <c r="C90" s="70"/>
      <c r="D90" s="71" t="n">
        <f aca="false">D37</f>
        <v>0</v>
      </c>
      <c r="E90" s="51"/>
      <c r="F90" s="51"/>
      <c r="G90" s="51"/>
      <c r="H90" s="83" t="n">
        <f aca="false">H$37</f>
        <v>0.25</v>
      </c>
      <c r="I90" s="51"/>
      <c r="J90" s="51"/>
      <c r="K90" s="51"/>
      <c r="L90" s="51"/>
      <c r="M90" s="59"/>
      <c r="N90" s="51"/>
      <c r="O90" s="48"/>
      <c r="P90" s="63"/>
      <c r="Q90" s="48"/>
      <c r="R90" s="48"/>
      <c r="S90" s="48"/>
      <c r="T90" s="48"/>
      <c r="U90" s="50"/>
      <c r="V90" s="51"/>
      <c r="W90" s="51"/>
      <c r="X90" s="51"/>
      <c r="Y90" s="48"/>
      <c r="Z90" s="48"/>
      <c r="AA90" s="25"/>
    </row>
    <row r="91" customFormat="false" ht="12" hidden="false" customHeight="false" outlineLevel="0" collapsed="false">
      <c r="A91" s="43"/>
      <c r="B91" s="55"/>
      <c r="C91" s="56"/>
      <c r="D91" s="81"/>
      <c r="E91" s="58"/>
      <c r="F91" s="51"/>
      <c r="G91" s="51"/>
      <c r="H91" s="59" t="n">
        <f aca="false">H$90</f>
        <v>0.25</v>
      </c>
      <c r="I91" s="51" t="str">
        <f aca="false">IF(E91&gt;0,MIN(E91*H91,G91)," ")</f>
        <v> </v>
      </c>
      <c r="J91" s="51" t="str">
        <f aca="false">IF(E91&gt;0,F91+I91," ")</f>
        <v> </v>
      </c>
      <c r="K91" s="51" t="str">
        <f aca="false">IF(E91&gt;0,IF(V91&gt;0,0,E91-J91)," ")</f>
        <v> </v>
      </c>
      <c r="L91" s="51"/>
      <c r="M91" s="67" t="n">
        <v>0</v>
      </c>
      <c r="N91" s="51"/>
      <c r="O91" s="48"/>
      <c r="P91" s="49"/>
      <c r="Q91" s="48"/>
      <c r="R91" s="48" t="str">
        <f aca="false">IF(AND(E91&gt;0,AB91&lt;&gt;"S"),E91*R$4*(1-M91)," ")</f>
        <v> </v>
      </c>
      <c r="S91" s="48" t="str">
        <f aca="false">IF(E91&gt;0,E91-N(R91)-N(AC91)," ")</f>
        <v> </v>
      </c>
      <c r="T91" s="48"/>
      <c r="U91" s="55"/>
      <c r="V91" s="58"/>
      <c r="W91" s="51" t="str">
        <f aca="false">IF(V91&gt;0,E91," ")</f>
        <v> </v>
      </c>
      <c r="X91" s="51" t="str">
        <f aca="false">IF(V91&gt;0,J91," ")</f>
        <v> </v>
      </c>
      <c r="Y91" s="48" t="str">
        <f aca="false">IF((U91+V91)&gt;0,IF(V91&lt;S91,(S91-V91)*(1-M91)," ")," ")</f>
        <v> </v>
      </c>
      <c r="Z91" s="48" t="str">
        <f aca="false">IF((U91+V91)&gt;0,IF(V91&gt;S91,(V91-S91)*(1-M91)," ")," ")</f>
        <v> </v>
      </c>
      <c r="AA91" s="25"/>
      <c r="AB91" s="55"/>
      <c r="AC91" s="48" t="str">
        <f aca="false">IF(AND(E91&gt;0,AB91="S"),E91*AC$4*(1-M91)," ")</f>
        <v> </v>
      </c>
      <c r="AE91" s="48" t="str">
        <f aca="false">IF(AND(AD91="P",AB91&lt;&gt;"S"),N(R91)," ")</f>
        <v> </v>
      </c>
      <c r="AF91" s="48" t="str">
        <f aca="false">IF(AND(AD91="P",AB91="S"),N(AC91)," ")</f>
        <v> </v>
      </c>
      <c r="AG91" s="48" t="str">
        <f aca="false">IF(AD91="P",N(S91)," ")</f>
        <v> </v>
      </c>
      <c r="AH91" s="48" t="n">
        <f aca="false">IF(AND(AD91&lt;&gt;"P",AB91&lt;&gt;"S"),N(S91)," ")</f>
        <v>0</v>
      </c>
      <c r="AI91" s="48" t="str">
        <f aca="false">IF(AND(AD91&lt;&gt;"P",AB91="S"),N(S91)," ")</f>
        <v> </v>
      </c>
    </row>
    <row r="92" customFormat="false" ht="12" hidden="false" customHeight="false" outlineLevel="0" collapsed="false">
      <c r="A92" s="43"/>
      <c r="B92" s="55"/>
      <c r="C92" s="56"/>
      <c r="D92" s="81"/>
      <c r="E92" s="58"/>
      <c r="F92" s="51"/>
      <c r="G92" s="51"/>
      <c r="H92" s="59" t="n">
        <f aca="false">H$90</f>
        <v>0.25</v>
      </c>
      <c r="I92" s="51" t="str">
        <f aca="false">IF(E92&gt;0,MIN(E92*H92,G92)," ")</f>
        <v> </v>
      </c>
      <c r="J92" s="51" t="str">
        <f aca="false">IF(E92&gt;0,F92+I92," ")</f>
        <v> </v>
      </c>
      <c r="K92" s="51" t="str">
        <f aca="false">IF(E92&gt;0,IF(V92&gt;0,0,E92-J92)," ")</f>
        <v> </v>
      </c>
      <c r="L92" s="51"/>
      <c r="M92" s="67" t="n">
        <v>0</v>
      </c>
      <c r="N92" s="51"/>
      <c r="O92" s="48"/>
      <c r="P92" s="49"/>
      <c r="Q92" s="48"/>
      <c r="R92" s="48" t="str">
        <f aca="false">IF(AND(E92&gt;0,AB92&lt;&gt;"S"),E92*R$4*(1-M92)," ")</f>
        <v> </v>
      </c>
      <c r="S92" s="48" t="str">
        <f aca="false">IF(E92&gt;0,E92-N(R92)-N(AC92)," ")</f>
        <v> </v>
      </c>
      <c r="T92" s="48"/>
      <c r="U92" s="55"/>
      <c r="V92" s="58"/>
      <c r="W92" s="51" t="str">
        <f aca="false">IF(V92&gt;0,E92," ")</f>
        <v> </v>
      </c>
      <c r="X92" s="51" t="str">
        <f aca="false">IF(V92&gt;0,J92," ")</f>
        <v> </v>
      </c>
      <c r="Y92" s="48" t="str">
        <f aca="false">IF((U92+V92)&gt;0,IF(V92&lt;S92,(S92-V92)*(1-M92)," ")," ")</f>
        <v> </v>
      </c>
      <c r="Z92" s="48" t="str">
        <f aca="false">IF((U92+V92)&gt;0,IF(V92&gt;S92,(V92-S92)*(1-M92)," ")," ")</f>
        <v> </v>
      </c>
      <c r="AA92" s="25"/>
      <c r="AB92" s="55"/>
      <c r="AC92" s="48" t="str">
        <f aca="false">IF(AND(E92&gt;0,AB92="S"),E92*AC$4*(1-M92)," ")</f>
        <v> </v>
      </c>
      <c r="AE92" s="48" t="str">
        <f aca="false">IF(AND(AD92="P",AB92&lt;&gt;"S"),N(R92)," ")</f>
        <v> </v>
      </c>
      <c r="AF92" s="48" t="str">
        <f aca="false">IF(AND(AD92="P",AB92="S"),N(AC92)," ")</f>
        <v> </v>
      </c>
      <c r="AG92" s="48" t="str">
        <f aca="false">IF(AD92="P",N(S92)," ")</f>
        <v> </v>
      </c>
      <c r="AH92" s="48" t="n">
        <f aca="false">IF(AND(AD92&lt;&gt;"P",AB92&lt;&gt;"S"),N(S92)," ")</f>
        <v>0</v>
      </c>
      <c r="AI92" s="48" t="str">
        <f aca="false">IF(AND(AD92&lt;&gt;"P",AB92="S"),N(S92)," ")</f>
        <v> </v>
      </c>
    </row>
    <row r="93" customFormat="false" ht="12" hidden="false" customHeight="false" outlineLevel="0" collapsed="false">
      <c r="A93" s="43"/>
      <c r="B93" s="55"/>
      <c r="C93" s="56"/>
      <c r="D93" s="81"/>
      <c r="E93" s="58"/>
      <c r="F93" s="51"/>
      <c r="G93" s="51"/>
      <c r="H93" s="59" t="n">
        <f aca="false">H$90</f>
        <v>0.25</v>
      </c>
      <c r="I93" s="51" t="str">
        <f aca="false">IF(E93&gt;0,MIN(E93*H93,G93)," ")</f>
        <v> </v>
      </c>
      <c r="J93" s="51" t="str">
        <f aca="false">IF(E93&gt;0,F93+I93," ")</f>
        <v> </v>
      </c>
      <c r="K93" s="51" t="str">
        <f aca="false">IF(E93&gt;0,IF(V93&gt;0,0,E93-J93)," ")</f>
        <v> </v>
      </c>
      <c r="L93" s="51"/>
      <c r="M93" s="67" t="n">
        <v>0</v>
      </c>
      <c r="N93" s="51"/>
      <c r="O93" s="48"/>
      <c r="P93" s="49"/>
      <c r="Q93" s="48"/>
      <c r="R93" s="48" t="str">
        <f aca="false">IF(AND(E93&gt;0,AB93&lt;&gt;"S"),E93*R$4*(1-M93)," ")</f>
        <v> </v>
      </c>
      <c r="S93" s="48" t="str">
        <f aca="false">IF(E93&gt;0,E93-N(R93)-N(AC93)," ")</f>
        <v> </v>
      </c>
      <c r="T93" s="48"/>
      <c r="U93" s="55"/>
      <c r="V93" s="58"/>
      <c r="W93" s="51" t="str">
        <f aca="false">IF(V93&gt;0,E93," ")</f>
        <v> </v>
      </c>
      <c r="X93" s="51" t="str">
        <f aca="false">IF(V93&gt;0,J93," ")</f>
        <v> </v>
      </c>
      <c r="Y93" s="48" t="str">
        <f aca="false">IF((U93+V93)&gt;0,IF(V93&lt;S93,(S93-V93)*(1-M93)," ")," ")</f>
        <v> </v>
      </c>
      <c r="Z93" s="48" t="str">
        <f aca="false">IF((U93+V93)&gt;0,IF(V93&gt;S93,(V93-S93)*(1-M93)," ")," ")</f>
        <v> </v>
      </c>
      <c r="AA93" s="25"/>
      <c r="AB93" s="55"/>
      <c r="AC93" s="48" t="str">
        <f aca="false">IF(AND(E93&gt;0,AB93="S"),E93*AC$4*(1-M93)," ")</f>
        <v> </v>
      </c>
      <c r="AE93" s="48" t="str">
        <f aca="false">IF(AND(AD93="P",AB93&lt;&gt;"S"),N(R93)," ")</f>
        <v> </v>
      </c>
      <c r="AF93" s="48" t="str">
        <f aca="false">IF(AND(AD93="P",AB93="S"),N(AC93)," ")</f>
        <v> </v>
      </c>
      <c r="AG93" s="48" t="str">
        <f aca="false">IF(AD93="P",N(S93)," ")</f>
        <v> </v>
      </c>
      <c r="AH93" s="48" t="n">
        <f aca="false">IF(AND(AD93&lt;&gt;"P",AB93&lt;&gt;"S"),N(S93)," ")</f>
        <v>0</v>
      </c>
      <c r="AI93" s="48" t="str">
        <f aca="false">IF(AND(AD93&lt;&gt;"P",AB93="S"),N(S93)," ")</f>
        <v> </v>
      </c>
    </row>
    <row r="94" customFormat="false" ht="12" hidden="false" customHeight="false" outlineLevel="0" collapsed="false">
      <c r="A94" s="43"/>
      <c r="B94" s="55"/>
      <c r="C94" s="56"/>
      <c r="D94" s="81"/>
      <c r="E94" s="58"/>
      <c r="F94" s="51"/>
      <c r="G94" s="51"/>
      <c r="H94" s="59" t="n">
        <f aca="false">H$90</f>
        <v>0.25</v>
      </c>
      <c r="I94" s="51" t="str">
        <f aca="false">IF(E94&gt;0,MIN(E94*H94,G94)," ")</f>
        <v> </v>
      </c>
      <c r="J94" s="51" t="str">
        <f aca="false">IF(E94&gt;0,F94+I94," ")</f>
        <v> </v>
      </c>
      <c r="K94" s="51" t="str">
        <f aca="false">IF(E94&gt;0,IF(V94&gt;0,0,E94-J94)," ")</f>
        <v> </v>
      </c>
      <c r="L94" s="51"/>
      <c r="M94" s="67" t="n">
        <v>0</v>
      </c>
      <c r="N94" s="51"/>
      <c r="O94" s="48"/>
      <c r="P94" s="49"/>
      <c r="Q94" s="48"/>
      <c r="R94" s="48" t="str">
        <f aca="false">IF(AND(E94&gt;0,AB94&lt;&gt;"S"),E94*R$4*(1-M94)," ")</f>
        <v> </v>
      </c>
      <c r="S94" s="48" t="str">
        <f aca="false">IF(E94&gt;0,E94-N(R94)-N(AC94)," ")</f>
        <v> </v>
      </c>
      <c r="T94" s="48"/>
      <c r="U94" s="55"/>
      <c r="V94" s="58"/>
      <c r="W94" s="51" t="str">
        <f aca="false">IF(V94&gt;0,E94," ")</f>
        <v> </v>
      </c>
      <c r="X94" s="51" t="str">
        <f aca="false">IF(V94&gt;0,J94," ")</f>
        <v> </v>
      </c>
      <c r="Y94" s="48" t="str">
        <f aca="false">IF((U94+V94)&gt;0,IF(V94&lt;S94,(S94-V94)*(1-M94)," ")," ")</f>
        <v> </v>
      </c>
      <c r="Z94" s="48" t="str">
        <f aca="false">IF((U94+V94)&gt;0,IF(V94&gt;S94,(V94-S94)*(1-M94)," ")," ")</f>
        <v> </v>
      </c>
      <c r="AA94" s="25"/>
      <c r="AB94" s="55"/>
      <c r="AC94" s="48" t="str">
        <f aca="false">IF(AND(E94&gt;0,AB94="S"),E94*AC$4*(1-M94)," ")</f>
        <v> </v>
      </c>
      <c r="AE94" s="48" t="str">
        <f aca="false">IF(AND(AD94="P",AB94&lt;&gt;"S"),N(R94)," ")</f>
        <v> </v>
      </c>
      <c r="AF94" s="48" t="str">
        <f aca="false">IF(AND(AD94="P",AB94="S"),N(AC94)," ")</f>
        <v> </v>
      </c>
      <c r="AG94" s="48" t="str">
        <f aca="false">IF(AD94="P",N(S94)," ")</f>
        <v> </v>
      </c>
      <c r="AH94" s="48" t="n">
        <f aca="false">IF(AND(AD94&lt;&gt;"P",AB94&lt;&gt;"S"),N(S94)," ")</f>
        <v>0</v>
      </c>
      <c r="AI94" s="48" t="str">
        <f aca="false">IF(AND(AD94&lt;&gt;"P",AB94="S"),N(S94)," ")</f>
        <v> </v>
      </c>
    </row>
    <row r="95" customFormat="false" ht="12" hidden="false" customHeight="false" outlineLevel="0" collapsed="false">
      <c r="A95" s="43"/>
      <c r="B95" s="55"/>
      <c r="C95" s="56"/>
      <c r="D95" s="81"/>
      <c r="E95" s="58"/>
      <c r="F95" s="51"/>
      <c r="G95" s="51"/>
      <c r="H95" s="59" t="n">
        <f aca="false">H$90</f>
        <v>0.25</v>
      </c>
      <c r="I95" s="51" t="str">
        <f aca="false">IF(E95&gt;0,MIN(E95*H95,G95)," ")</f>
        <v> </v>
      </c>
      <c r="J95" s="51" t="str">
        <f aca="false">IF(E95&gt;0,F95+I95," ")</f>
        <v> </v>
      </c>
      <c r="K95" s="51" t="str">
        <f aca="false">IF(E95&gt;0,IF(V95&gt;0,0,E95-J95)," ")</f>
        <v> </v>
      </c>
      <c r="L95" s="51"/>
      <c r="M95" s="67" t="n">
        <v>0</v>
      </c>
      <c r="N95" s="51"/>
      <c r="O95" s="48"/>
      <c r="P95" s="49"/>
      <c r="Q95" s="48"/>
      <c r="R95" s="48" t="str">
        <f aca="false">IF(AND(E95&gt;0,AB95&lt;&gt;"S"),E95*R$4*(1-M95)," ")</f>
        <v> </v>
      </c>
      <c r="S95" s="48" t="str">
        <f aca="false">IF(E95&gt;0,E95-N(R95)-N(AC95)," ")</f>
        <v> </v>
      </c>
      <c r="T95" s="48"/>
      <c r="U95" s="55"/>
      <c r="V95" s="58"/>
      <c r="W95" s="51" t="str">
        <f aca="false">IF(V95&gt;0,E95," ")</f>
        <v> </v>
      </c>
      <c r="X95" s="51" t="str">
        <f aca="false">IF(V95&gt;0,J95," ")</f>
        <v> </v>
      </c>
      <c r="Y95" s="48" t="str">
        <f aca="false">IF((U95+V95)&gt;0,IF(V95&lt;S95,(S95-V95)*(1-M95)," ")," ")</f>
        <v> </v>
      </c>
      <c r="Z95" s="48" t="str">
        <f aca="false">IF((U95+V95)&gt;0,IF(V95&gt;S95,(V95-S95)*(1-M95)," ")," ")</f>
        <v> </v>
      </c>
      <c r="AA95" s="25"/>
      <c r="AB95" s="55"/>
      <c r="AC95" s="48" t="str">
        <f aca="false">IF(AND(E95&gt;0,AB95="S"),E95*AC$4*(1-M95)," ")</f>
        <v> </v>
      </c>
      <c r="AE95" s="48" t="str">
        <f aca="false">IF(AND(AD95="P",AB95&lt;&gt;"S"),N(R95)," ")</f>
        <v> </v>
      </c>
      <c r="AF95" s="48" t="str">
        <f aca="false">IF(AND(AD95="P",AB95="S"),N(AC95)," ")</f>
        <v> </v>
      </c>
      <c r="AG95" s="48" t="str">
        <f aca="false">IF(AD95="P",N(S95)," ")</f>
        <v> </v>
      </c>
      <c r="AH95" s="48" t="n">
        <f aca="false">IF(AND(AD95&lt;&gt;"P",AB95&lt;&gt;"S"),N(S95)," ")</f>
        <v>0</v>
      </c>
      <c r="AI95" s="48" t="str">
        <f aca="false">IF(AND(AD95&lt;&gt;"P",AB95="S"),N(S95)," ")</f>
        <v> </v>
      </c>
    </row>
    <row r="96" customFormat="false" ht="12" hidden="false" customHeight="true" outlineLevel="0" collapsed="false">
      <c r="A96" s="43"/>
      <c r="B96" s="84" t="str">
        <f aca="false">B43</f>
        <v>Motor Vehicles - costing under £</v>
      </c>
      <c r="C96" s="84"/>
      <c r="D96" s="71" t="n">
        <f aca="false">D43</f>
        <v>0</v>
      </c>
      <c r="E96" s="51"/>
      <c r="F96" s="51"/>
      <c r="G96" s="51"/>
      <c r="H96" s="59"/>
      <c r="I96" s="51"/>
      <c r="J96" s="51"/>
      <c r="K96" s="51"/>
      <c r="L96" s="51"/>
      <c r="M96" s="59"/>
      <c r="N96" s="51"/>
      <c r="O96" s="48"/>
      <c r="P96" s="49"/>
      <c r="Q96" s="48"/>
      <c r="R96" s="48"/>
      <c r="S96" s="48"/>
      <c r="T96" s="48"/>
      <c r="U96" s="50"/>
      <c r="V96" s="51"/>
      <c r="W96" s="51"/>
      <c r="X96" s="51"/>
      <c r="Y96" s="48"/>
      <c r="Z96" s="48"/>
      <c r="AA96" s="25"/>
    </row>
    <row r="97" customFormat="false" ht="12" hidden="false" customHeight="false" outlineLevel="0" collapsed="false">
      <c r="A97" s="43"/>
      <c r="B97" s="55"/>
      <c r="C97" s="56"/>
      <c r="D97" s="81"/>
      <c r="E97" s="58"/>
      <c r="F97" s="51"/>
      <c r="G97" s="51"/>
      <c r="H97" s="59" t="n">
        <f aca="false">H$90</f>
        <v>0.25</v>
      </c>
      <c r="I97" s="51" t="str">
        <f aca="false">IF(E97&gt;0,MIN(E97*H97,G97)," ")</f>
        <v> </v>
      </c>
      <c r="J97" s="51" t="str">
        <f aca="false">IF(E97&gt;0,F97+I97," ")</f>
        <v> </v>
      </c>
      <c r="K97" s="51" t="str">
        <f aca="false">IF(E97&gt;0,IF(V97&gt;0,0,E97-J97)," ")</f>
        <v> </v>
      </c>
      <c r="L97" s="51"/>
      <c r="M97" s="67" t="n">
        <v>0</v>
      </c>
      <c r="N97" s="51"/>
      <c r="O97" s="48"/>
      <c r="P97" s="49"/>
      <c r="Q97" s="48"/>
      <c r="R97" s="48" t="str">
        <f aca="false">IF(AND(E97&gt;0,AB97&lt;&gt;"S"),E97*R$4*(1-M97)," ")</f>
        <v> </v>
      </c>
      <c r="S97" s="48" t="str">
        <f aca="false">IF(E97&gt;0,E97-N(R97)-N(AC97)," ")</f>
        <v> </v>
      </c>
      <c r="T97" s="48"/>
      <c r="U97" s="55"/>
      <c r="V97" s="58"/>
      <c r="W97" s="51" t="str">
        <f aca="false">IF(V97&gt;0,E97," ")</f>
        <v> </v>
      </c>
      <c r="X97" s="51" t="str">
        <f aca="false">IF(V97&gt;0,J97," ")</f>
        <v> </v>
      </c>
      <c r="Y97" s="48" t="str">
        <f aca="false">IF((U97+V97)&gt;0,IF(V97&lt;S97,(S97-V97)*(1-M97)," ")," ")</f>
        <v> </v>
      </c>
      <c r="Z97" s="48" t="str">
        <f aca="false">IF((U97+V97)&gt;0,IF(V97&gt;S97,(V97-S97)*(1-M97)," ")," ")</f>
        <v> </v>
      </c>
      <c r="AA97" s="25"/>
      <c r="AB97" s="55"/>
      <c r="AC97" s="48" t="str">
        <f aca="false">IF(AND(E97&gt;0,AB97="S"),E97*AC$4*(1-M97)," ")</f>
        <v> </v>
      </c>
      <c r="AE97" s="48" t="str">
        <f aca="false">IF(AND(AD97="P",AB97&lt;&gt;"S"),N(R97)," ")</f>
        <v> </v>
      </c>
      <c r="AF97" s="48" t="str">
        <f aca="false">IF(AND(AD97="P",AB97="S"),N(AC97)," ")</f>
        <v> </v>
      </c>
      <c r="AG97" s="48" t="str">
        <f aca="false">IF(AD97="P",N(S97)," ")</f>
        <v> </v>
      </c>
      <c r="AH97" s="48" t="n">
        <f aca="false">IF(AND(AD97&lt;&gt;"P",AB97&lt;&gt;"S"),N(S97)," ")</f>
        <v>0</v>
      </c>
      <c r="AI97" s="48" t="str">
        <f aca="false">IF(AND(AD97&lt;&gt;"P",AB97="S"),N(S97)," ")</f>
        <v> </v>
      </c>
    </row>
    <row r="98" customFormat="false" ht="12" hidden="false" customHeight="false" outlineLevel="0" collapsed="false">
      <c r="A98" s="43"/>
      <c r="B98" s="55"/>
      <c r="C98" s="56"/>
      <c r="D98" s="81"/>
      <c r="E98" s="58"/>
      <c r="F98" s="51"/>
      <c r="G98" s="51"/>
      <c r="H98" s="59" t="n">
        <f aca="false">H$90</f>
        <v>0.25</v>
      </c>
      <c r="I98" s="51" t="str">
        <f aca="false">IF(E98&gt;0,MIN(E98*H98,G98)," ")</f>
        <v> </v>
      </c>
      <c r="J98" s="51" t="str">
        <f aca="false">IF(E98&gt;0,F98+I98," ")</f>
        <v> </v>
      </c>
      <c r="K98" s="51" t="str">
        <f aca="false">IF(E98&gt;0,IF(V98&gt;0,0,E98-J98)," ")</f>
        <v> </v>
      </c>
      <c r="L98" s="51"/>
      <c r="M98" s="67" t="n">
        <v>0</v>
      </c>
      <c r="N98" s="51"/>
      <c r="O98" s="48"/>
      <c r="P98" s="49"/>
      <c r="Q98" s="48"/>
      <c r="R98" s="48" t="str">
        <f aca="false">IF(AND(E98&gt;0,AB98&lt;&gt;"S"),E98*R$4*(1-M98)," ")</f>
        <v> </v>
      </c>
      <c r="S98" s="48" t="str">
        <f aca="false">IF(E98&gt;0,E98-N(R98)-N(AC98)," ")</f>
        <v> </v>
      </c>
      <c r="T98" s="48"/>
      <c r="U98" s="55"/>
      <c r="V98" s="58"/>
      <c r="W98" s="51" t="str">
        <f aca="false">IF(V98&gt;0,E98," ")</f>
        <v> </v>
      </c>
      <c r="X98" s="51" t="str">
        <f aca="false">IF(V98&gt;0,J98," ")</f>
        <v> </v>
      </c>
      <c r="Y98" s="48" t="str">
        <f aca="false">IF((U98+V98)&gt;0,IF(V98&lt;S98,(S98-V98)*(1-M98)," ")," ")</f>
        <v> </v>
      </c>
      <c r="Z98" s="48" t="str">
        <f aca="false">IF((U98+V98)&gt;0,IF(V98&gt;S98,(V98-S98)*(1-M98)," ")," ")</f>
        <v> </v>
      </c>
      <c r="AA98" s="25"/>
      <c r="AB98" s="55"/>
      <c r="AC98" s="48" t="str">
        <f aca="false">IF(AND(E98&gt;0,AB98="S"),E98*AC$4*(1-M98)," ")</f>
        <v> </v>
      </c>
      <c r="AE98" s="48" t="str">
        <f aca="false">IF(AND(AD98="P",AB98&lt;&gt;"S"),N(R98)," ")</f>
        <v> </v>
      </c>
      <c r="AF98" s="48" t="str">
        <f aca="false">IF(AND(AD98="P",AB98="S"),N(AC98)," ")</f>
        <v> </v>
      </c>
      <c r="AG98" s="48" t="str">
        <f aca="false">IF(AD98="P",N(S98)," ")</f>
        <v> </v>
      </c>
      <c r="AH98" s="48" t="n">
        <f aca="false">IF(AND(AD98&lt;&gt;"P",AB98&lt;&gt;"S"),N(S98)," ")</f>
        <v>0</v>
      </c>
      <c r="AI98" s="48" t="str">
        <f aca="false">IF(AND(AD98&lt;&gt;"P",AB98="S"),N(S98)," ")</f>
        <v> </v>
      </c>
    </row>
    <row r="99" customFormat="false" ht="12" hidden="false" customHeight="false" outlineLevel="0" collapsed="false">
      <c r="A99" s="43"/>
      <c r="B99" s="55"/>
      <c r="C99" s="56"/>
      <c r="D99" s="81"/>
      <c r="E99" s="58"/>
      <c r="F99" s="51"/>
      <c r="G99" s="51"/>
      <c r="H99" s="59" t="n">
        <f aca="false">H$90</f>
        <v>0.25</v>
      </c>
      <c r="I99" s="51" t="str">
        <f aca="false">IF(E99&gt;0,MIN(E99*H99,G99)," ")</f>
        <v> </v>
      </c>
      <c r="J99" s="51" t="str">
        <f aca="false">IF(E99&gt;0,F99+I99," ")</f>
        <v> </v>
      </c>
      <c r="K99" s="51" t="str">
        <f aca="false">IF(E99&gt;0,IF(V99&gt;0,0,E99-J99)," ")</f>
        <v> </v>
      </c>
      <c r="L99" s="51"/>
      <c r="M99" s="67" t="n">
        <v>0</v>
      </c>
      <c r="N99" s="51"/>
      <c r="O99" s="48"/>
      <c r="P99" s="49"/>
      <c r="Q99" s="48"/>
      <c r="R99" s="48" t="str">
        <f aca="false">IF(AND(E99&gt;0,AB99&lt;&gt;"S"),E99*R$4*(1-M99)," ")</f>
        <v> </v>
      </c>
      <c r="S99" s="48" t="str">
        <f aca="false">IF(E99&gt;0,E99-N(R99)-N(AC99)," ")</f>
        <v> </v>
      </c>
      <c r="T99" s="48"/>
      <c r="U99" s="55"/>
      <c r="V99" s="58"/>
      <c r="W99" s="51" t="str">
        <f aca="false">IF(V99&gt;0,E99," ")</f>
        <v> </v>
      </c>
      <c r="X99" s="51" t="str">
        <f aca="false">IF(V99&gt;0,J99," ")</f>
        <v> </v>
      </c>
      <c r="Y99" s="48" t="str">
        <f aca="false">IF((U99+V99)&gt;0,IF(V99&lt;S99,(S99-V99)*(1-M99)," ")," ")</f>
        <v> </v>
      </c>
      <c r="Z99" s="48" t="str">
        <f aca="false">IF((U99+V99)&gt;0,IF(V99&gt;S99,(V99-S99)*(1-M99)," ")," ")</f>
        <v> </v>
      </c>
      <c r="AA99" s="25"/>
      <c r="AB99" s="55"/>
      <c r="AC99" s="48" t="str">
        <f aca="false">IF(AND(E99&gt;0,AB99="S"),E99*AC$4*(1-M99)," ")</f>
        <v> </v>
      </c>
      <c r="AE99" s="48" t="str">
        <f aca="false">IF(AND(AD99="P",AB99&lt;&gt;"S"),N(R99)," ")</f>
        <v> </v>
      </c>
      <c r="AF99" s="48" t="str">
        <f aca="false">IF(AND(AD99="P",AB99="S"),N(AC99)," ")</f>
        <v> </v>
      </c>
      <c r="AG99" s="48" t="str">
        <f aca="false">IF(AD99="P",N(S99)," ")</f>
        <v> </v>
      </c>
      <c r="AH99" s="48" t="n">
        <f aca="false">IF(AND(AD99&lt;&gt;"P",AB99&lt;&gt;"S"),N(S99)," ")</f>
        <v>0</v>
      </c>
      <c r="AI99" s="48" t="str">
        <f aca="false">IF(AND(AD99&lt;&gt;"P",AB99="S"),N(S99)," ")</f>
        <v> </v>
      </c>
    </row>
    <row r="100" customFormat="false" ht="12" hidden="false" customHeight="false" outlineLevel="0" collapsed="false">
      <c r="A100" s="43"/>
      <c r="B100" s="55"/>
      <c r="C100" s="56"/>
      <c r="D100" s="81"/>
      <c r="E100" s="58"/>
      <c r="F100" s="51"/>
      <c r="G100" s="51"/>
      <c r="H100" s="59" t="n">
        <f aca="false">H$90</f>
        <v>0.25</v>
      </c>
      <c r="I100" s="51" t="str">
        <f aca="false">IF(E100&gt;0,MIN(E100*H100,G100)," ")</f>
        <v> </v>
      </c>
      <c r="J100" s="51" t="str">
        <f aca="false">IF(E100&gt;0,F100+I100," ")</f>
        <v> </v>
      </c>
      <c r="K100" s="51" t="str">
        <f aca="false">IF(E100&gt;0,IF(V100&gt;0,0,E100-J100)," ")</f>
        <v> </v>
      </c>
      <c r="L100" s="51"/>
      <c r="M100" s="67" t="n">
        <v>0</v>
      </c>
      <c r="N100" s="51"/>
      <c r="O100" s="48"/>
      <c r="P100" s="49"/>
      <c r="Q100" s="48"/>
      <c r="R100" s="48" t="str">
        <f aca="false">IF(AND(E100&gt;0,AB100&lt;&gt;"S"),E100*R$4*(1-M100)," ")</f>
        <v> </v>
      </c>
      <c r="S100" s="48" t="str">
        <f aca="false">IF(E100&gt;0,E100-N(R100)-N(AC100)," ")</f>
        <v> </v>
      </c>
      <c r="T100" s="48"/>
      <c r="U100" s="55"/>
      <c r="V100" s="58"/>
      <c r="W100" s="51" t="str">
        <f aca="false">IF(V100&gt;0,E100," ")</f>
        <v> </v>
      </c>
      <c r="X100" s="51" t="str">
        <f aca="false">IF(V100&gt;0,J100," ")</f>
        <v> </v>
      </c>
      <c r="Y100" s="48" t="str">
        <f aca="false">IF((U100+V100)&gt;0,IF(V100&lt;S100,(S100-V100)*(1-M100)," ")," ")</f>
        <v> </v>
      </c>
      <c r="Z100" s="48" t="str">
        <f aca="false">IF((U100+V100)&gt;0,IF(V100&gt;S100,(V100-S100)*(1-M100)," ")," ")</f>
        <v> </v>
      </c>
      <c r="AA100" s="25"/>
      <c r="AB100" s="55"/>
      <c r="AC100" s="48" t="str">
        <f aca="false">IF(AND(E100&gt;0,AB100="S"),E100*AC$4*(1-M100)," ")</f>
        <v> </v>
      </c>
      <c r="AE100" s="48" t="str">
        <f aca="false">IF(AND(AD100="P",AB100&lt;&gt;"S"),N(R100)," ")</f>
        <v> </v>
      </c>
      <c r="AF100" s="48" t="str">
        <f aca="false">IF(AND(AD100="P",AB100="S"),N(AC100)," ")</f>
        <v> </v>
      </c>
      <c r="AG100" s="48" t="str">
        <f aca="false">IF(AD100="P",N(S100)," ")</f>
        <v> </v>
      </c>
      <c r="AH100" s="48" t="n">
        <f aca="false">IF(AND(AD100&lt;&gt;"P",AB100&lt;&gt;"S"),N(S100)," ")</f>
        <v>0</v>
      </c>
      <c r="AI100" s="48" t="str">
        <f aca="false">IF(AND(AD100&lt;&gt;"P",AB100="S"),N(S100)," ")</f>
        <v> </v>
      </c>
    </row>
    <row r="101" customFormat="false" ht="12" hidden="false" customHeight="false" outlineLevel="0" collapsed="false">
      <c r="A101" s="43"/>
      <c r="B101" s="55"/>
      <c r="C101" s="56"/>
      <c r="D101" s="81"/>
      <c r="E101" s="58"/>
      <c r="F101" s="51"/>
      <c r="G101" s="51"/>
      <c r="H101" s="59" t="n">
        <f aca="false">H$90</f>
        <v>0.25</v>
      </c>
      <c r="I101" s="51" t="str">
        <f aca="false">IF(E101&gt;0,MIN(E101*H101,G101)," ")</f>
        <v> </v>
      </c>
      <c r="J101" s="51" t="str">
        <f aca="false">IF(E101&gt;0,F101+I101," ")</f>
        <v> </v>
      </c>
      <c r="K101" s="51" t="str">
        <f aca="false">IF(E101&gt;0,IF(V101&gt;0,0,E101-J101)," ")</f>
        <v> </v>
      </c>
      <c r="L101" s="51"/>
      <c r="M101" s="67" t="n">
        <v>0</v>
      </c>
      <c r="N101" s="51"/>
      <c r="O101" s="48"/>
      <c r="P101" s="49"/>
      <c r="Q101" s="48"/>
      <c r="R101" s="48" t="str">
        <f aca="false">IF(AND(E101&gt;0,AB101&lt;&gt;"S"),E101*R$4*(1-M101)," ")</f>
        <v> </v>
      </c>
      <c r="S101" s="48" t="str">
        <f aca="false">IF(E101&gt;0,E101-N(R101)-N(AC101)," ")</f>
        <v> </v>
      </c>
      <c r="T101" s="48"/>
      <c r="U101" s="55"/>
      <c r="V101" s="58"/>
      <c r="W101" s="51" t="str">
        <f aca="false">IF(V101&gt;0,E101," ")</f>
        <v> </v>
      </c>
      <c r="X101" s="51" t="str">
        <f aca="false">IF(V101&gt;0,J101," ")</f>
        <v> </v>
      </c>
      <c r="Y101" s="48" t="str">
        <f aca="false">IF((U101+V101)&gt;0,IF(V101&lt;S101,(S101-V101)*(1-M101)," ")," ")</f>
        <v> </v>
      </c>
      <c r="Z101" s="48" t="str">
        <f aca="false">IF((U101+V101)&gt;0,IF(V101&gt;S101,(V101-S101)*(1-M101)," ")," ")</f>
        <v> </v>
      </c>
      <c r="AA101" s="25"/>
      <c r="AB101" s="55"/>
      <c r="AC101" s="48" t="str">
        <f aca="false">IF(AND(E101&gt;0,AB101="S"),E101*AC$4*(1-M101)," ")</f>
        <v> </v>
      </c>
      <c r="AE101" s="48" t="str">
        <f aca="false">IF(AND(AD101="P",AB101&lt;&gt;"S"),N(R101)," ")</f>
        <v> </v>
      </c>
      <c r="AF101" s="48" t="str">
        <f aca="false">IF(AND(AD101="P",AB101="S"),N(AC101)," ")</f>
        <v> </v>
      </c>
      <c r="AG101" s="48" t="str">
        <f aca="false">IF(AD101="P",N(S101)," ")</f>
        <v> </v>
      </c>
      <c r="AH101" s="48" t="n">
        <f aca="false">IF(AND(AD101&lt;&gt;"P",AB101&lt;&gt;"S"),N(S101)," ")</f>
        <v>0</v>
      </c>
      <c r="AI101" s="48" t="str">
        <f aca="false">IF(AND(AD101&lt;&gt;"P",AB101="S"),N(S101)," ")</f>
        <v> </v>
      </c>
    </row>
    <row r="102" customFormat="false" ht="12" hidden="false" customHeight="true" outlineLevel="0" collapsed="false">
      <c r="A102" s="43"/>
      <c r="B102" s="52" t="s">
        <v>47</v>
      </c>
      <c r="C102" s="52"/>
      <c r="D102" s="69"/>
      <c r="E102" s="51"/>
      <c r="F102" s="51"/>
      <c r="G102" s="51"/>
      <c r="H102" s="59"/>
      <c r="I102" s="51"/>
      <c r="J102" s="51"/>
      <c r="K102" s="51"/>
      <c r="L102" s="51"/>
      <c r="M102" s="59"/>
      <c r="N102" s="51"/>
      <c r="O102" s="48"/>
      <c r="P102" s="49"/>
      <c r="Q102" s="48"/>
      <c r="R102" s="48"/>
      <c r="S102" s="48"/>
      <c r="T102" s="48"/>
      <c r="U102" s="50"/>
      <c r="V102" s="51"/>
      <c r="W102" s="51"/>
      <c r="X102" s="51"/>
      <c r="Y102" s="48"/>
      <c r="Z102" s="48"/>
      <c r="AA102" s="25"/>
    </row>
    <row r="103" customFormat="false" ht="12" hidden="false" customHeight="false" outlineLevel="0" collapsed="false">
      <c r="A103" s="43"/>
      <c r="B103" s="55"/>
      <c r="C103" s="56"/>
      <c r="D103" s="81"/>
      <c r="E103" s="58"/>
      <c r="F103" s="51"/>
      <c r="G103" s="51"/>
      <c r="H103" s="59" t="n">
        <f aca="false">H$90</f>
        <v>0.25</v>
      </c>
      <c r="I103" s="51" t="str">
        <f aca="false">IF(E103&gt;0,MIN(E103*H103,G103)," ")</f>
        <v> </v>
      </c>
      <c r="J103" s="51" t="str">
        <f aca="false">IF(E103&gt;0,F103+I103," ")</f>
        <v> </v>
      </c>
      <c r="K103" s="51" t="str">
        <f aca="false">IF(E103&gt;0,IF(V103&gt;0,0,E103-J103)," ")</f>
        <v> </v>
      </c>
      <c r="L103" s="51"/>
      <c r="M103" s="67" t="n">
        <v>0</v>
      </c>
      <c r="N103" s="51"/>
      <c r="O103" s="48"/>
      <c r="P103" s="59" t="n">
        <f aca="false">P$4</f>
        <v>1</v>
      </c>
      <c r="Q103" s="48" t="str">
        <f aca="false">IF(E103&gt;0,E103*P103," ")</f>
        <v> </v>
      </c>
      <c r="R103" s="48"/>
      <c r="S103" s="48" t="str">
        <f aca="false">IF(E103&gt;0,E103-Q103," ")</f>
        <v> </v>
      </c>
      <c r="T103" s="48"/>
      <c r="U103" s="55"/>
      <c r="V103" s="58"/>
      <c r="W103" s="51" t="str">
        <f aca="false">IF(V103&gt;0,E103," ")</f>
        <v> </v>
      </c>
      <c r="X103" s="51" t="str">
        <f aca="false">IF(V103&gt;0,J103," ")</f>
        <v> </v>
      </c>
      <c r="Y103" s="48" t="str">
        <f aca="false">IF((U103+V103)&gt;0,IF(V103&lt;S103,(S103-V103)*(1-M103)," ")," ")</f>
        <v> </v>
      </c>
      <c r="Z103" s="48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3"/>
      <c r="B104" s="55"/>
      <c r="C104" s="56"/>
      <c r="D104" s="81"/>
      <c r="E104" s="58"/>
      <c r="F104" s="51"/>
      <c r="G104" s="51"/>
      <c r="H104" s="59" t="n">
        <f aca="false">H$90</f>
        <v>0.25</v>
      </c>
      <c r="I104" s="51" t="str">
        <f aca="false">IF(E104&gt;0,MIN(E104*H104,G104)," ")</f>
        <v> </v>
      </c>
      <c r="J104" s="51" t="str">
        <f aca="false">IF(E104&gt;0,F104+I104," ")</f>
        <v> </v>
      </c>
      <c r="K104" s="51" t="str">
        <f aca="false">IF(E104&gt;0,IF(V104&gt;0,0,E104-J104)," ")</f>
        <v> </v>
      </c>
      <c r="L104" s="51"/>
      <c r="M104" s="67" t="n">
        <v>0</v>
      </c>
      <c r="N104" s="51"/>
      <c r="O104" s="48"/>
      <c r="P104" s="59" t="n">
        <f aca="false">P$4</f>
        <v>1</v>
      </c>
      <c r="Q104" s="48" t="str">
        <f aca="false">IF(E104&gt;0,E104*P104," ")</f>
        <v> </v>
      </c>
      <c r="R104" s="48"/>
      <c r="S104" s="48" t="str">
        <f aca="false">IF(E104&gt;0,E104-Q104," ")</f>
        <v> </v>
      </c>
      <c r="T104" s="48"/>
      <c r="U104" s="55"/>
      <c r="V104" s="58"/>
      <c r="W104" s="51" t="str">
        <f aca="false">IF(V104&gt;0,E104," ")</f>
        <v> </v>
      </c>
      <c r="X104" s="51" t="str">
        <f aca="false">IF(V104&gt;0,J104," ")</f>
        <v> </v>
      </c>
      <c r="Y104" s="48" t="str">
        <f aca="false">IF((U104+V104)&gt;0,IF(V104&lt;S104,(S104-V104)*(1-M104)," ")," ")</f>
        <v> </v>
      </c>
      <c r="Z104" s="48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3"/>
      <c r="B105" s="55"/>
      <c r="C105" s="56"/>
      <c r="D105" s="81"/>
      <c r="E105" s="58"/>
      <c r="F105" s="51"/>
      <c r="G105" s="51"/>
      <c r="H105" s="59" t="n">
        <f aca="false">H$90</f>
        <v>0.25</v>
      </c>
      <c r="I105" s="51" t="str">
        <f aca="false">IF(E105&gt;0,MIN(E105*H105,G105)," ")</f>
        <v> </v>
      </c>
      <c r="J105" s="51" t="str">
        <f aca="false">IF(E105&gt;0,F105+I105," ")</f>
        <v> </v>
      </c>
      <c r="K105" s="51" t="str">
        <f aca="false">IF(E105&gt;0,IF(V105&gt;0,0,E105-J105)," ")</f>
        <v> </v>
      </c>
      <c r="L105" s="51"/>
      <c r="M105" s="67" t="n">
        <v>0</v>
      </c>
      <c r="N105" s="51"/>
      <c r="O105" s="48"/>
      <c r="P105" s="59" t="n">
        <f aca="false">P$4</f>
        <v>1</v>
      </c>
      <c r="Q105" s="48" t="str">
        <f aca="false">IF(E105&gt;0,E105*P105," ")</f>
        <v> </v>
      </c>
      <c r="R105" s="48"/>
      <c r="S105" s="48" t="str">
        <f aca="false">IF(E105&gt;0,E105-Q105," ")</f>
        <v> </v>
      </c>
      <c r="T105" s="48"/>
      <c r="U105" s="55"/>
      <c r="V105" s="58"/>
      <c r="W105" s="51" t="str">
        <f aca="false">IF(V105&gt;0,E105," ")</f>
        <v> </v>
      </c>
      <c r="X105" s="51" t="str">
        <f aca="false">IF(V105&gt;0,J105," ")</f>
        <v> </v>
      </c>
      <c r="Y105" s="48" t="str">
        <f aca="false">IF((U105+V105)&gt;0,IF(V105&lt;S105,(S105-V105)*(1-M105)," ")," ")</f>
        <v> </v>
      </c>
      <c r="Z105" s="48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3"/>
      <c r="B106" s="55"/>
      <c r="C106" s="56"/>
      <c r="D106" s="81"/>
      <c r="E106" s="58"/>
      <c r="F106" s="51"/>
      <c r="G106" s="51"/>
      <c r="H106" s="59" t="n">
        <f aca="false">H$90</f>
        <v>0.25</v>
      </c>
      <c r="I106" s="51" t="str">
        <f aca="false">IF(E106&gt;0,MIN(E106*H106,G106)," ")</f>
        <v> </v>
      </c>
      <c r="J106" s="51" t="str">
        <f aca="false">IF(E106&gt;0,F106+I106," ")</f>
        <v> </v>
      </c>
      <c r="K106" s="51" t="str">
        <f aca="false">IF(E106&gt;0,IF(V106&gt;0,0,E106-J106)," ")</f>
        <v> </v>
      </c>
      <c r="L106" s="51"/>
      <c r="M106" s="67" t="n">
        <v>0</v>
      </c>
      <c r="N106" s="51"/>
      <c r="O106" s="48"/>
      <c r="P106" s="59" t="n">
        <f aca="false">P$4</f>
        <v>1</v>
      </c>
      <c r="Q106" s="48" t="str">
        <f aca="false">IF(E106&gt;0,E106*P106," ")</f>
        <v> </v>
      </c>
      <c r="R106" s="48"/>
      <c r="S106" s="48" t="str">
        <f aca="false">IF(E106&gt;0,E106-Q106," ")</f>
        <v> </v>
      </c>
      <c r="T106" s="48"/>
      <c r="U106" s="55"/>
      <c r="V106" s="58"/>
      <c r="W106" s="51" t="str">
        <f aca="false">IF(V106&gt;0,E106," ")</f>
        <v> </v>
      </c>
      <c r="X106" s="51" t="str">
        <f aca="false">IF(V106&gt;0,J106," ")</f>
        <v> </v>
      </c>
      <c r="Y106" s="48" t="str">
        <f aca="false">IF((U106+V106)&gt;0,IF(V106&lt;S106,(S106-V106)*(1-M106)," ")," ")</f>
        <v> </v>
      </c>
      <c r="Z106" s="48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3"/>
      <c r="B107" s="55"/>
      <c r="C107" s="56"/>
      <c r="D107" s="81"/>
      <c r="E107" s="85"/>
      <c r="F107" s="51"/>
      <c r="G107" s="51"/>
      <c r="H107" s="59" t="n">
        <f aca="false">H$90</f>
        <v>0.25</v>
      </c>
      <c r="I107" s="51" t="str">
        <f aca="false">IF(E107&gt;0,MIN(E107*H107,G107)," ")</f>
        <v> </v>
      </c>
      <c r="J107" s="51" t="str">
        <f aca="false">IF(E107&gt;0,F107+I107," ")</f>
        <v> </v>
      </c>
      <c r="K107" s="51" t="str">
        <f aca="false">IF(E107&gt;0,IF(V107&gt;0,0,E107-J107)," ")</f>
        <v> </v>
      </c>
      <c r="L107" s="51"/>
      <c r="M107" s="67" t="n">
        <v>0</v>
      </c>
      <c r="N107" s="51"/>
      <c r="O107" s="48"/>
      <c r="P107" s="59" t="n">
        <f aca="false">P$4</f>
        <v>1</v>
      </c>
      <c r="Q107" s="48" t="str">
        <f aca="false">IF(E107&gt;0,E107*P107," ")</f>
        <v> </v>
      </c>
      <c r="R107" s="48"/>
      <c r="S107" s="48" t="str">
        <f aca="false">IF(E107&gt;0,E107-Q107," ")</f>
        <v> </v>
      </c>
      <c r="T107" s="48"/>
      <c r="U107" s="55"/>
      <c r="V107" s="85"/>
      <c r="W107" s="51" t="str">
        <f aca="false">IF(V107&gt;0,E107," ")</f>
        <v> </v>
      </c>
      <c r="X107" s="51" t="str">
        <f aca="false">IF(V107&gt;0,J107," ")</f>
        <v> </v>
      </c>
      <c r="Y107" s="48" t="str">
        <f aca="false">IF((U107+V107)&gt;0,IF(V107&lt;S107,(S107-V107)*(1-M107)," ")," ")</f>
        <v> </v>
      </c>
      <c r="Z107" s="48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3"/>
      <c r="B108" s="60" t="s">
        <v>58</v>
      </c>
      <c r="C108" s="60"/>
      <c r="D108" s="60"/>
      <c r="E108" s="62" t="n">
        <f aca="false">SUM(E91:E107)</f>
        <v>0</v>
      </c>
      <c r="F108" s="62" t="n">
        <f aca="false">SUM(F91:F107)</f>
        <v>0</v>
      </c>
      <c r="G108" s="62" t="n">
        <f aca="false">SUM(G91:G107)</f>
        <v>0</v>
      </c>
      <c r="H108" s="59"/>
      <c r="I108" s="62" t="n">
        <f aca="false">SUM(I91:I107)</f>
        <v>0</v>
      </c>
      <c r="J108" s="62" t="n">
        <f aca="false">SUM(J91:J107)</f>
        <v>0</v>
      </c>
      <c r="K108" s="62" t="n">
        <f aca="false">SUM(K91:K107)</f>
        <v>0</v>
      </c>
      <c r="L108" s="51"/>
      <c r="M108" s="59"/>
      <c r="N108" s="51"/>
      <c r="O108" s="62" t="n">
        <f aca="false">SUM(O91:O107)</f>
        <v>0</v>
      </c>
      <c r="P108" s="63"/>
      <c r="Q108" s="62" t="n">
        <f aca="false">SUM(Q91:Q107)</f>
        <v>0</v>
      </c>
      <c r="R108" s="62" t="n">
        <f aca="false">SUM(R91:R107)</f>
        <v>0</v>
      </c>
      <c r="S108" s="62" t="n">
        <f aca="false">SUM(S91:S107)</f>
        <v>0</v>
      </c>
      <c r="T108" s="48"/>
      <c r="U108" s="50"/>
      <c r="V108" s="62" t="n">
        <f aca="false">SUM(V91:V107)</f>
        <v>0</v>
      </c>
      <c r="W108" s="62" t="n">
        <f aca="false">SUM(W91:W107)</f>
        <v>0</v>
      </c>
      <c r="X108" s="62" t="n">
        <f aca="false">SUM(X91:X107)</f>
        <v>0</v>
      </c>
      <c r="Y108" s="62" t="n">
        <f aca="false">SUM(Y91:Y107)</f>
        <v>0</v>
      </c>
      <c r="Z108" s="62" t="n">
        <f aca="false">SUM(Z91:Z107)</f>
        <v>0</v>
      </c>
      <c r="AA108" s="25"/>
      <c r="AB108" s="25"/>
      <c r="AC108" s="62" t="n">
        <f aca="false">SUM(AC91:AC107)</f>
        <v>0</v>
      </c>
      <c r="AE108" s="62" t="n">
        <f aca="false">SUM(AE91:AE107)</f>
        <v>0</v>
      </c>
      <c r="AF108" s="62" t="n">
        <f aca="false">SUM(AF91:AF107)</f>
        <v>0</v>
      </c>
      <c r="AG108" s="62" t="n">
        <f aca="false">SUM(AG91:AG107)</f>
        <v>0</v>
      </c>
      <c r="AH108" s="62" t="n">
        <f aca="false">SUM(AH91:AH107)</f>
        <v>0</v>
      </c>
      <c r="AI108" s="62" t="n">
        <f aca="false">SUM(AI91:AI107)</f>
        <v>0</v>
      </c>
    </row>
    <row r="109" customFormat="false" ht="9" hidden="false" customHeight="true" outlineLevel="0" collapsed="false">
      <c r="A109" s="43"/>
      <c r="B109" s="50"/>
      <c r="C109" s="74"/>
      <c r="D109" s="69"/>
      <c r="E109" s="51"/>
      <c r="F109" s="51"/>
      <c r="G109" s="51"/>
      <c r="H109" s="59"/>
      <c r="I109" s="51"/>
      <c r="J109" s="51"/>
      <c r="K109" s="51"/>
      <c r="L109" s="51"/>
      <c r="M109" s="59"/>
      <c r="N109" s="51"/>
      <c r="O109" s="48"/>
      <c r="P109" s="49"/>
      <c r="Q109" s="48"/>
      <c r="R109" s="48"/>
      <c r="S109" s="48"/>
      <c r="T109" s="48"/>
      <c r="U109" s="50"/>
      <c r="V109" s="51"/>
      <c r="W109" s="48"/>
      <c r="X109" s="48"/>
      <c r="Y109" s="48"/>
      <c r="Z109" s="48"/>
      <c r="AA109" s="25"/>
    </row>
    <row r="110" customFormat="false" ht="13.5" hidden="false" customHeight="true" outlineLevel="0" collapsed="false">
      <c r="A110" s="43"/>
      <c r="B110" s="44" t="str">
        <f aca="false">B59</f>
        <v>NEW FIXED ASSETS Bought AFTER </v>
      </c>
      <c r="C110" s="44"/>
      <c r="D110" s="45" t="n">
        <f aca="false">D59</f>
        <v>46118</v>
      </c>
      <c r="E110" s="75" t="n">
        <f aca="false">E64+E72+E80+E88+E108</f>
        <v>52500</v>
      </c>
      <c r="F110" s="75" t="n">
        <f aca="false">F64+F72+F80+F88+F108</f>
        <v>0</v>
      </c>
      <c r="G110" s="75" t="n">
        <f aca="false">G64+G72+G80+G88+G108</f>
        <v>0</v>
      </c>
      <c r="H110" s="59"/>
      <c r="I110" s="75" t="n">
        <f aca="false">I64+I72+I80+I88+I108</f>
        <v>5250</v>
      </c>
      <c r="J110" s="75" t="n">
        <f aca="false">J64+J72+J80+J88+J108</f>
        <v>5250</v>
      </c>
      <c r="K110" s="75" t="n">
        <f aca="false">K64+K72+K80+K88+K108</f>
        <v>47250</v>
      </c>
      <c r="L110" s="51"/>
      <c r="M110" s="59"/>
      <c r="N110" s="51"/>
      <c r="O110" s="75" t="n">
        <f aca="false">O64+O72+O80+O88+O108</f>
        <v>0</v>
      </c>
      <c r="P110" s="63"/>
      <c r="Q110" s="75" t="n">
        <f aca="false">Q64+Q72+Q80+Q88+Q108</f>
        <v>52500</v>
      </c>
      <c r="R110" s="75" t="n">
        <f aca="false">R64+R72+R80+R88+R108</f>
        <v>0</v>
      </c>
      <c r="S110" s="75" t="n">
        <f aca="false">S64+S72+S80+S88+S108</f>
        <v>0</v>
      </c>
      <c r="T110" s="48"/>
      <c r="U110" s="50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  <c r="AB110" s="25"/>
      <c r="AC110" s="75" t="n">
        <f aca="false">AC64+AC72+AC80+AC88+AC108</f>
        <v>0</v>
      </c>
      <c r="AE110" s="75" t="n">
        <f aca="false">AE64+AE72+AE80+AE88+AE108</f>
        <v>0</v>
      </c>
      <c r="AF110" s="75" t="n">
        <f aca="false">AF64+AF72+AF80+AF88+AF108</f>
        <v>0</v>
      </c>
      <c r="AG110" s="75" t="n">
        <f aca="false">AG64+AG72+AG80+AG88+AG108</f>
        <v>0</v>
      </c>
      <c r="AH110" s="75" t="n">
        <f aca="false">AH64+AH72+AH80+AH88+AH108</f>
        <v>0</v>
      </c>
      <c r="AI110" s="75" t="n">
        <f aca="false">AI64+AI72+AI80+AI88+AI108</f>
        <v>0</v>
      </c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  <row r="113" customFormat="false" ht="13.5" hidden="false" customHeight="true" outlineLevel="0" collapsed="false">
      <c r="B113" s="44" t="s">
        <v>59</v>
      </c>
    </row>
    <row r="114" customFormat="false" ht="24" hidden="false" customHeight="true" outlineLevel="0" collapsed="false">
      <c r="B114" s="26" t="s">
        <v>60</v>
      </c>
      <c r="C114" s="26" t="s">
        <v>61</v>
      </c>
      <c r="D114" s="26" t="s">
        <v>62</v>
      </c>
      <c r="E114" s="26" t="s">
        <v>63</v>
      </c>
      <c r="F114" s="26" t="s">
        <v>64</v>
      </c>
      <c r="G114" s="26" t="s">
        <v>65</v>
      </c>
      <c r="H114" s="26" t="s">
        <v>66</v>
      </c>
      <c r="I114" s="26" t="s">
        <v>67</v>
      </c>
      <c r="J114" s="26" t="s">
        <v>68</v>
      </c>
      <c r="K114" s="26" t="s">
        <v>69</v>
      </c>
    </row>
    <row r="115" customFormat="false" ht="12" hidden="false" customHeight="false" outlineLevel="0" collapsed="false">
      <c r="B115" s="27" t="n">
        <v>45566</v>
      </c>
      <c r="C115" s="55" t="s">
        <v>70</v>
      </c>
      <c r="D115" s="55"/>
      <c r="E115" s="58" t="n">
        <v>60000</v>
      </c>
      <c r="F115" s="55" t="s">
        <v>71</v>
      </c>
      <c r="G115" s="55"/>
      <c r="H115" s="29" t="n">
        <f aca="false">IF(E115&gt;0,IF(G115="F",[1]Admin!$G$10,[1]Admin!$G$9)," ")</f>
        <v>0.03</v>
      </c>
      <c r="I115" s="27"/>
      <c r="J115" s="48" t="n">
        <f aca="false">IF(E115&gt;0,MAX(0,MIN($S$4,IF(N(I115)&gt;0,I115,$S$4),EDATE(B115,IF(G115="F",120,400))-1)-MAX($D$6,B115)+1)," ")</f>
        <v>365</v>
      </c>
      <c r="K115" s="48" t="n">
        <f aca="false">IF(E115&gt;0,E115*H115*J115/($S$4-$D$6+1)," ")</f>
        <v>1800</v>
      </c>
    </row>
    <row r="116" customFormat="false" ht="12" hidden="false" customHeight="false" outlineLevel="0" collapsed="false">
      <c r="B116" s="27" t="n">
        <v>46296</v>
      </c>
      <c r="C116" s="55"/>
      <c r="D116" s="55" t="s">
        <v>72</v>
      </c>
      <c r="E116" s="58" t="n">
        <v>20000</v>
      </c>
      <c r="F116" s="55" t="s">
        <v>73</v>
      </c>
      <c r="G116" s="55" t="s">
        <v>74</v>
      </c>
      <c r="H116" s="29" t="n">
        <f aca="false">IF(E116&gt;0,IF(G116="F",[1]Admin!$G$10,[1]Admin!$G$9)," ")</f>
        <v>0.1</v>
      </c>
      <c r="I116" s="27"/>
      <c r="J116" s="48" t="n">
        <f aca="false">IF(E116&gt;0,MAX(0,MIN($S$4,IF(N(I116)&gt;0,I116,$S$4),EDATE(B116,IF(G116="F",120,400))-1)-MAX($D$6,B116)+1)," ")</f>
        <v>187</v>
      </c>
      <c r="K116" s="48" t="n">
        <f aca="false">IF(E116&gt;0,E116*H116*J116/($S$4-$D$6+1)," ")</f>
        <v>1024.65753424658</v>
      </c>
    </row>
    <row r="117" customFormat="false" ht="12" hidden="false" customHeight="false" outlineLevel="0" collapsed="false">
      <c r="B117" s="27"/>
      <c r="C117" s="55"/>
      <c r="D117" s="55"/>
      <c r="E117" s="58"/>
      <c r="F117" s="55"/>
      <c r="G117" s="55"/>
      <c r="H117" s="29" t="str">
        <f aca="false">IF(E117&gt;0,IF(G117="F",[1]Admin!$G$10,[1]Admin!$G$9)," ")</f>
        <v> </v>
      </c>
      <c r="I117" s="27"/>
      <c r="J117" s="48" t="str">
        <f aca="false">IF(E117&gt;0,MAX(0,MIN($S$4,IF(N(I117)&gt;0,I117,$S$4),EDATE(B117,IF(G117="F",120,400))-1)-MAX($D$6,B117)+1)," ")</f>
        <v> </v>
      </c>
      <c r="K117" s="48" t="str">
        <f aca="false">IF(E117&gt;0,E117*H117*J117/($S$4-$D$6+1)," ")</f>
        <v> </v>
      </c>
    </row>
    <row r="118" customFormat="false" ht="12" hidden="false" customHeight="false" outlineLevel="0" collapsed="false">
      <c r="B118" s="27"/>
      <c r="C118" s="55"/>
      <c r="D118" s="55"/>
      <c r="E118" s="58"/>
      <c r="F118" s="55"/>
      <c r="G118" s="55"/>
      <c r="H118" s="29" t="str">
        <f aca="false">IF(E118&gt;0,IF(G118="F",[1]Admin!$G$10,[1]Admin!$G$9)," ")</f>
        <v> </v>
      </c>
      <c r="I118" s="27"/>
      <c r="J118" s="48" t="str">
        <f aca="false">IF(E118&gt;0,MAX(0,MIN($S$4,IF(N(I118)&gt;0,I118,$S$4),EDATE(B118,IF(G118="F",120,400))-1)-MAX($D$6,B118)+1)," ")</f>
        <v> </v>
      </c>
      <c r="K118" s="48" t="str">
        <f aca="false">IF(E118&gt;0,E118*H118*J118/($S$4-$D$6+1)," ")</f>
        <v> </v>
      </c>
    </row>
    <row r="119" customFormat="false" ht="12" hidden="false" customHeight="false" outlineLevel="0" collapsed="false">
      <c r="B119" s="27"/>
      <c r="C119" s="55"/>
      <c r="D119" s="55"/>
      <c r="E119" s="58"/>
      <c r="F119" s="55"/>
      <c r="G119" s="55"/>
      <c r="H119" s="29" t="str">
        <f aca="false">IF(E119&gt;0,IF(G119="F",[1]Admin!$G$10,[1]Admin!$G$9)," ")</f>
        <v> </v>
      </c>
      <c r="I119" s="27"/>
      <c r="J119" s="48" t="str">
        <f aca="false">IF(E119&gt;0,MAX(0,MIN($S$4,IF(N(I119)&gt;0,I119,$S$4),EDATE(B119,IF(G119="F",120,400))-1)-MAX($D$6,B119)+1)," ")</f>
        <v> </v>
      </c>
      <c r="K119" s="48" t="str">
        <f aca="false">IF(E119&gt;0,E119*H119*J119/($S$4-$D$6+1)," ")</f>
        <v> </v>
      </c>
    </row>
    <row r="120" customFormat="false" ht="262.65" hidden="false" customHeight="false" outlineLevel="0" collapsed="false">
      <c r="B120" s="64" t="s">
        <v>75</v>
      </c>
      <c r="K120" s="62" t="n">
        <f aca="false">SUMIF(G115:G119,"&lt;&gt;F",K115:K119)</f>
        <v>1800</v>
      </c>
    </row>
    <row r="121" customFormat="false" ht="294" hidden="false" customHeight="false" outlineLevel="0" collapsed="false">
      <c r="B121" s="64" t="s">
        <v>76</v>
      </c>
      <c r="K121" s="62" t="n">
        <f aca="false">SUMIF(G115:G119,"F",K115:K119)</f>
        <v>1024.65753424658</v>
      </c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customFormat="fals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customFormat="false" ht="15" hidden="false" customHeight="true" outlineLevel="0" collapsed="false">
      <c r="A2" s="98"/>
      <c r="B2" s="99"/>
      <c r="C2" s="100"/>
      <c r="D2" s="101"/>
      <c r="E2" s="102" t="s">
        <v>77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customFormat="fals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customFormat="false" ht="15" hidden="false" customHeight="true" outlineLevel="0" collapsed="false">
      <c r="A4" s="98"/>
      <c r="B4" s="108" t="s">
        <v>78</v>
      </c>
      <c r="C4" s="100"/>
      <c r="D4" s="101"/>
      <c r="E4" s="109" t="s">
        <v>8</v>
      </c>
      <c r="F4" s="103"/>
      <c r="G4" s="110" t="s">
        <v>79</v>
      </c>
      <c r="H4" s="110"/>
      <c r="I4" s="110"/>
      <c r="J4" s="103"/>
      <c r="K4" s="109" t="s">
        <v>80</v>
      </c>
      <c r="L4" s="103"/>
      <c r="M4" s="111" t="s">
        <v>81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customFormat="false" ht="15" hidden="false" customHeight="true" outlineLevel="0" collapsed="false">
      <c r="A5" s="98"/>
      <c r="B5" s="99" t="s">
        <v>82</v>
      </c>
      <c r="C5" s="100"/>
      <c r="D5" s="101"/>
      <c r="E5" s="103"/>
      <c r="F5" s="103"/>
      <c r="G5" s="99" t="s">
        <v>83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customFormat="false" ht="15" hidden="false" customHeight="true" outlineLevel="0" collapsed="false">
      <c r="A6" s="98"/>
      <c r="B6" s="112" t="s">
        <v>50</v>
      </c>
      <c r="C6" s="112"/>
      <c r="D6" s="112"/>
      <c r="E6" s="113" t="n">
        <f aca="false">Schedule!E64</f>
        <v>0</v>
      </c>
      <c r="F6" s="103"/>
      <c r="G6" s="112" t="s">
        <v>84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customFormat="false" ht="15" hidden="false" customHeight="true" outlineLevel="0" collapsed="false">
      <c r="A7" s="98"/>
      <c r="B7" s="112" t="s">
        <v>55</v>
      </c>
      <c r="C7" s="112"/>
      <c r="D7" s="112"/>
      <c r="E7" s="113" t="n">
        <f aca="false">Schedule!E72</f>
        <v>52500</v>
      </c>
      <c r="F7" s="103"/>
      <c r="G7" s="112" t="s">
        <v>85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customFormat="false" ht="15" hidden="false" customHeight="true" outlineLevel="0" collapsed="false">
      <c r="A8" s="98"/>
      <c r="B8" s="112" t="s">
        <v>56</v>
      </c>
      <c r="C8" s="112"/>
      <c r="D8" s="112"/>
      <c r="E8" s="113" t="n">
        <f aca="false">Schedule!E80</f>
        <v>0</v>
      </c>
      <c r="F8" s="103"/>
      <c r="G8" s="112" t="s">
        <v>86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customFormat="false" ht="15" hidden="false" customHeight="true" outlineLevel="0" collapsed="false">
      <c r="A9" s="98"/>
      <c r="B9" s="112" t="s">
        <v>57</v>
      </c>
      <c r="C9" s="112"/>
      <c r="D9" s="112"/>
      <c r="E9" s="113" t="n">
        <f aca="false">Schedule!E88</f>
        <v>0</v>
      </c>
      <c r="F9" s="103"/>
      <c r="G9" s="112" t="s">
        <v>87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customFormat="false" ht="15" hidden="false" customHeight="true" outlineLevel="0" collapsed="false">
      <c r="A10" s="98"/>
      <c r="B10" s="112" t="s">
        <v>58</v>
      </c>
      <c r="C10" s="112"/>
      <c r="D10" s="112"/>
      <c r="E10" s="113" t="n">
        <f aca="false">Schedule!E108</f>
        <v>0</v>
      </c>
      <c r="F10" s="103"/>
      <c r="G10" s="112" t="s">
        <v>88</v>
      </c>
      <c r="H10" s="112"/>
      <c r="I10" s="112"/>
      <c r="J10" s="112"/>
      <c r="K10" s="113" t="n">
        <f aca="false">Schedule!V55+Schedule!V108</f>
        <v>12500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customFormat="false" ht="15" hidden="false" customHeight="true" outlineLevel="0" collapsed="false">
      <c r="A11" s="98"/>
      <c r="B11" s="114" t="s">
        <v>89</v>
      </c>
      <c r="C11" s="114"/>
      <c r="D11" s="114"/>
      <c r="E11" s="115" t="n">
        <f aca="false">SUM(E6:E10)</f>
        <v>52500</v>
      </c>
      <c r="F11" s="103"/>
      <c r="G11" s="116" t="s">
        <v>89</v>
      </c>
      <c r="H11" s="116"/>
      <c r="I11" s="116"/>
      <c r="J11" s="116"/>
      <c r="K11" s="115" t="n">
        <f aca="false">SUM(K6:K10)</f>
        <v>12500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customFormat="fals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customFormat="false" ht="15" hidden="false" customHeight="true" outlineLevel="0" collapsed="false">
      <c r="A13" s="98"/>
      <c r="B13" s="114" t="s">
        <v>90</v>
      </c>
      <c r="C13" s="114"/>
      <c r="D13" s="114"/>
      <c r="E13" s="117" t="n">
        <f aca="false">[2]Mar!$AB$2</f>
        <v>52500</v>
      </c>
      <c r="F13" s="103"/>
      <c r="G13" s="116" t="s">
        <v>91</v>
      </c>
      <c r="H13" s="116"/>
      <c r="I13" s="116"/>
      <c r="J13" s="116"/>
      <c r="K13" s="117" t="n">
        <f aca="false">[3]Mar!$V$2</f>
        <v>12500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customFormat="fals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customFormat="fals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customFormat="fals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92</v>
      </c>
      <c r="D2" s="133"/>
      <c r="E2" s="134" t="n">
        <f aca="false">SUM(E8:E14)</f>
        <v>20000</v>
      </c>
      <c r="F2" s="135"/>
      <c r="G2" s="136" t="s">
        <v>93</v>
      </c>
      <c r="H2" s="136"/>
      <c r="I2" s="136"/>
      <c r="J2" s="136"/>
      <c r="K2" s="136"/>
      <c r="L2" s="49"/>
      <c r="M2" s="129"/>
    </row>
    <row r="3" customFormat="false" ht="18" hidden="false" customHeight="true" outlineLevel="0" collapsed="false">
      <c r="A3" s="129"/>
      <c r="B3" s="137" t="s">
        <v>94</v>
      </c>
      <c r="C3" s="63"/>
      <c r="D3" s="138"/>
      <c r="E3" s="135"/>
      <c r="F3" s="135"/>
      <c r="G3" s="136"/>
      <c r="H3" s="136"/>
      <c r="I3" s="136"/>
      <c r="J3" s="136"/>
      <c r="K3" s="136"/>
      <c r="L3" s="49"/>
      <c r="M3" s="129"/>
    </row>
    <row r="4" customFormat="false" ht="9" hidden="false" customHeight="true" outlineLevel="0" collapsed="false">
      <c r="A4" s="129"/>
      <c r="B4" s="50"/>
      <c r="C4" s="63"/>
      <c r="D4" s="63"/>
      <c r="E4" s="132"/>
      <c r="F4" s="132"/>
      <c r="G4" s="132"/>
      <c r="H4" s="49"/>
      <c r="I4" s="135"/>
      <c r="J4" s="135"/>
      <c r="K4" s="135"/>
      <c r="L4" s="139"/>
      <c r="M4" s="129"/>
    </row>
    <row r="5" customFormat="false" ht="15" hidden="false" customHeight="true" outlineLevel="0" collapsed="false">
      <c r="A5" s="140"/>
      <c r="B5" s="10" t="s">
        <v>95</v>
      </c>
      <c r="C5" s="21" t="s">
        <v>96</v>
      </c>
      <c r="D5" s="21" t="s">
        <v>97</v>
      </c>
      <c r="E5" s="141" t="s">
        <v>98</v>
      </c>
      <c r="F5" s="141" t="s">
        <v>99</v>
      </c>
      <c r="G5" s="141" t="s">
        <v>100</v>
      </c>
      <c r="H5" s="21" t="s">
        <v>101</v>
      </c>
      <c r="I5" s="141" t="s">
        <v>102</v>
      </c>
      <c r="J5" s="141"/>
      <c r="K5" s="141"/>
      <c r="L5" s="21" t="s">
        <v>103</v>
      </c>
      <c r="M5" s="140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2"/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142"/>
      <c r="CE5" s="142"/>
      <c r="CF5" s="142"/>
      <c r="CG5" s="142"/>
      <c r="CH5" s="14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2"/>
      <c r="EG5" s="142"/>
      <c r="EH5" s="142"/>
      <c r="EI5" s="142"/>
      <c r="EJ5" s="142"/>
      <c r="EK5" s="142"/>
      <c r="EL5" s="142"/>
      <c r="EM5" s="142"/>
      <c r="EN5" s="142"/>
      <c r="EO5" s="142"/>
      <c r="EP5" s="142"/>
      <c r="EQ5" s="142"/>
      <c r="ER5" s="142"/>
      <c r="ES5" s="142"/>
      <c r="ET5" s="142"/>
      <c r="EU5" s="142"/>
      <c r="EV5" s="142"/>
      <c r="EW5" s="142"/>
      <c r="EX5" s="142"/>
      <c r="EY5" s="142"/>
      <c r="EZ5" s="142"/>
      <c r="FA5" s="142"/>
      <c r="FB5" s="142"/>
      <c r="FC5" s="142"/>
      <c r="FD5" s="142"/>
      <c r="FE5" s="142"/>
      <c r="FF5" s="142"/>
      <c r="FG5" s="142"/>
      <c r="FH5" s="142"/>
      <c r="FI5" s="142"/>
      <c r="FJ5" s="142"/>
      <c r="FK5" s="142"/>
      <c r="FL5" s="142"/>
      <c r="FM5" s="142"/>
      <c r="FN5" s="142"/>
      <c r="FO5" s="142"/>
      <c r="FP5" s="142"/>
      <c r="FQ5" s="142"/>
      <c r="FR5" s="142"/>
      <c r="FS5" s="142"/>
      <c r="FT5" s="142"/>
      <c r="FU5" s="142"/>
      <c r="FV5" s="142"/>
      <c r="FW5" s="142"/>
      <c r="FX5" s="142"/>
      <c r="FY5" s="142"/>
      <c r="FZ5" s="142"/>
      <c r="GA5" s="142"/>
      <c r="GB5" s="142"/>
      <c r="GC5" s="142"/>
      <c r="GD5" s="142"/>
      <c r="GE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  <c r="GY5" s="142"/>
      <c r="GZ5" s="142"/>
      <c r="HA5" s="142"/>
      <c r="HB5" s="142"/>
      <c r="HC5" s="142"/>
      <c r="HD5" s="142"/>
      <c r="HE5" s="142"/>
      <c r="HF5" s="142"/>
      <c r="HG5" s="142"/>
      <c r="HH5" s="142"/>
      <c r="HI5" s="142"/>
      <c r="HJ5" s="142"/>
      <c r="HK5" s="142"/>
      <c r="HL5" s="142"/>
      <c r="HM5" s="142"/>
      <c r="HN5" s="142"/>
      <c r="HO5" s="142"/>
      <c r="HP5" s="142"/>
      <c r="HQ5" s="142"/>
      <c r="HR5" s="142"/>
      <c r="HS5" s="142"/>
      <c r="HT5" s="142"/>
      <c r="HU5" s="142"/>
      <c r="HV5" s="142"/>
      <c r="HW5" s="142"/>
      <c r="HX5" s="142"/>
      <c r="HY5" s="142"/>
      <c r="HZ5" s="142"/>
      <c r="IA5" s="142"/>
      <c r="IB5" s="142"/>
      <c r="IC5" s="142"/>
      <c r="ID5" s="142"/>
      <c r="IE5" s="142"/>
      <c r="IF5" s="142"/>
      <c r="IG5" s="142"/>
      <c r="IH5" s="142"/>
      <c r="II5" s="142"/>
      <c r="IJ5" s="142"/>
      <c r="IK5" s="142"/>
      <c r="IL5" s="142"/>
      <c r="IM5" s="142"/>
      <c r="IN5" s="142"/>
      <c r="IO5" s="142"/>
      <c r="IP5" s="142"/>
      <c r="IQ5" s="142"/>
      <c r="IR5" s="142"/>
      <c r="IS5" s="142"/>
      <c r="IT5" s="142"/>
      <c r="IU5" s="142"/>
      <c r="IV5" s="142"/>
      <c r="IW5" s="142"/>
    </row>
    <row r="6" customFormat="fals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104</v>
      </c>
      <c r="J6" s="141" t="s">
        <v>105</v>
      </c>
      <c r="K6" s="141" t="s">
        <v>106</v>
      </c>
      <c r="L6" s="21"/>
      <c r="M6" s="140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142"/>
      <c r="CE6" s="142"/>
      <c r="CF6" s="142"/>
      <c r="CG6" s="142"/>
      <c r="CH6" s="142"/>
      <c r="CI6" s="142"/>
      <c r="CJ6" s="142"/>
      <c r="CK6" s="142"/>
      <c r="CL6" s="142"/>
      <c r="CM6" s="142"/>
      <c r="CN6" s="142"/>
      <c r="CO6" s="142"/>
      <c r="CP6" s="142"/>
      <c r="CQ6" s="142"/>
      <c r="CR6" s="142"/>
      <c r="CS6" s="142"/>
      <c r="CT6" s="142"/>
      <c r="CU6" s="142"/>
      <c r="CV6" s="142"/>
      <c r="CW6" s="142"/>
      <c r="CX6" s="142"/>
      <c r="CY6" s="142"/>
      <c r="CZ6" s="142"/>
      <c r="DA6" s="142"/>
      <c r="DB6" s="142"/>
      <c r="DC6" s="142"/>
      <c r="DD6" s="142"/>
      <c r="DE6" s="142"/>
      <c r="DF6" s="142"/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  <c r="DX6" s="142"/>
      <c r="DY6" s="142"/>
      <c r="DZ6" s="142"/>
      <c r="EA6" s="142"/>
      <c r="EB6" s="142"/>
      <c r="EC6" s="142"/>
      <c r="ED6" s="142"/>
      <c r="EE6" s="142"/>
      <c r="EF6" s="142"/>
      <c r="EG6" s="142"/>
      <c r="EH6" s="142"/>
      <c r="EI6" s="142"/>
      <c r="EJ6" s="142"/>
      <c r="EK6" s="142"/>
      <c r="EL6" s="142"/>
      <c r="EM6" s="142"/>
      <c r="EN6" s="142"/>
      <c r="EO6" s="142"/>
      <c r="EP6" s="142"/>
      <c r="EQ6" s="142"/>
      <c r="ER6" s="142"/>
      <c r="ES6" s="142"/>
      <c r="ET6" s="142"/>
      <c r="EU6" s="142"/>
      <c r="EV6" s="142"/>
      <c r="EW6" s="142"/>
      <c r="EX6" s="142"/>
      <c r="EY6" s="142"/>
      <c r="EZ6" s="142"/>
      <c r="FA6" s="142"/>
      <c r="FB6" s="142"/>
      <c r="FC6" s="142"/>
      <c r="FD6" s="142"/>
      <c r="FE6" s="142"/>
      <c r="FF6" s="142"/>
      <c r="FG6" s="142"/>
      <c r="FH6" s="142"/>
      <c r="FI6" s="142"/>
      <c r="FJ6" s="142"/>
      <c r="FK6" s="142"/>
      <c r="FL6" s="142"/>
      <c r="FM6" s="142"/>
      <c r="FN6" s="142"/>
      <c r="FO6" s="142"/>
      <c r="FP6" s="142"/>
      <c r="FQ6" s="142"/>
      <c r="FR6" s="142"/>
      <c r="FS6" s="142"/>
      <c r="FT6" s="142"/>
      <c r="FU6" s="142"/>
      <c r="FV6" s="142"/>
      <c r="FW6" s="142"/>
      <c r="FX6" s="142"/>
      <c r="FY6" s="142"/>
      <c r="FZ6" s="142"/>
      <c r="GA6" s="142"/>
      <c r="GB6" s="142"/>
      <c r="GC6" s="142"/>
      <c r="GD6" s="142"/>
      <c r="GE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  <c r="GY6" s="142"/>
      <c r="GZ6" s="142"/>
      <c r="HA6" s="142"/>
      <c r="HB6" s="142"/>
      <c r="HC6" s="142"/>
      <c r="HD6" s="142"/>
      <c r="HE6" s="142"/>
      <c r="HF6" s="142"/>
      <c r="HG6" s="142"/>
      <c r="HH6" s="142"/>
      <c r="HI6" s="142"/>
      <c r="HJ6" s="142"/>
      <c r="HK6" s="142"/>
      <c r="HL6" s="142"/>
      <c r="HM6" s="142"/>
      <c r="HN6" s="142"/>
      <c r="HO6" s="142"/>
      <c r="HP6" s="142"/>
      <c r="HQ6" s="142"/>
      <c r="HR6" s="142"/>
      <c r="HS6" s="142"/>
      <c r="HT6" s="142"/>
      <c r="HU6" s="142"/>
      <c r="HV6" s="142"/>
      <c r="HW6" s="142"/>
      <c r="HX6" s="142"/>
      <c r="HY6" s="142"/>
      <c r="HZ6" s="142"/>
      <c r="IA6" s="142"/>
      <c r="IB6" s="142"/>
      <c r="IC6" s="142"/>
      <c r="ID6" s="142"/>
      <c r="IE6" s="142"/>
      <c r="IF6" s="142"/>
      <c r="IG6" s="142"/>
      <c r="IH6" s="142"/>
      <c r="II6" s="142"/>
      <c r="IJ6" s="142"/>
      <c r="IK6" s="142"/>
      <c r="IL6" s="142"/>
      <c r="IM6" s="142"/>
      <c r="IN6" s="142"/>
      <c r="IO6" s="142"/>
      <c r="IP6" s="142"/>
      <c r="IQ6" s="142"/>
      <c r="IR6" s="142"/>
      <c r="IS6" s="142"/>
      <c r="IT6" s="142"/>
      <c r="IU6" s="142"/>
      <c r="IV6" s="142"/>
      <c r="IW6" s="142"/>
    </row>
    <row r="7" customFormat="false" ht="12" hidden="false" customHeight="false" outlineLevel="0" collapsed="false">
      <c r="A7" s="129"/>
      <c r="B7" s="50"/>
      <c r="C7" s="63"/>
      <c r="D7" s="63"/>
      <c r="E7" s="132"/>
      <c r="F7" s="132"/>
      <c r="G7" s="132"/>
      <c r="H7" s="49"/>
      <c r="I7" s="135"/>
      <c r="J7" s="135"/>
      <c r="K7" s="135"/>
      <c r="L7" s="63"/>
      <c r="M7" s="129"/>
    </row>
    <row r="8" customFormat="false" ht="15" hidden="false" customHeight="true" outlineLevel="0" collapsed="false">
      <c r="A8" s="129"/>
      <c r="B8" s="55" t="n">
        <v>46174</v>
      </c>
      <c r="C8" s="57" t="s">
        <v>107</v>
      </c>
      <c r="D8" s="57" t="s">
        <v>108</v>
      </c>
      <c r="E8" s="134" t="n">
        <v>13000</v>
      </c>
      <c r="F8" s="134" t="n">
        <v>200</v>
      </c>
      <c r="G8" s="134" t="n">
        <v>1800</v>
      </c>
      <c r="H8" s="143" t="n">
        <v>20</v>
      </c>
      <c r="I8" s="135" t="n">
        <f aca="false">IF(E8&gt;0,(E8+F8+G8)/H8," ")</f>
        <v>750</v>
      </c>
      <c r="J8" s="135" t="n">
        <f aca="false">IF(H8&gt;0,I8-K8," ")</f>
        <v>660</v>
      </c>
      <c r="K8" s="135" t="n">
        <f aca="false">IF(H8&gt;0,G8/H8," ")</f>
        <v>90</v>
      </c>
      <c r="L8" s="57" t="s">
        <v>52</v>
      </c>
      <c r="M8" s="129"/>
    </row>
    <row r="9" customFormat="false" ht="12" hidden="false" customHeight="false" outlineLevel="0" collapsed="false">
      <c r="A9" s="129"/>
      <c r="B9" s="50"/>
      <c r="C9" s="63"/>
      <c r="D9" s="63"/>
      <c r="E9" s="132"/>
      <c r="F9" s="132"/>
      <c r="G9" s="132"/>
      <c r="H9" s="49"/>
      <c r="I9" s="135"/>
      <c r="J9" s="135"/>
      <c r="K9" s="135"/>
      <c r="L9" s="63"/>
      <c r="M9" s="129"/>
    </row>
    <row r="10" customFormat="false" ht="15" hidden="false" customHeight="true" outlineLevel="0" collapsed="false">
      <c r="A10" s="129"/>
      <c r="B10" s="55" t="n">
        <v>46266</v>
      </c>
      <c r="C10" s="57" t="s">
        <v>107</v>
      </c>
      <c r="D10" s="57" t="s">
        <v>109</v>
      </c>
      <c r="E10" s="134" t="n">
        <v>7000</v>
      </c>
      <c r="F10" s="134" t="n">
        <v>100</v>
      </c>
      <c r="G10" s="134" t="n">
        <v>1000</v>
      </c>
      <c r="H10" s="143" t="n">
        <v>20</v>
      </c>
      <c r="I10" s="135" t="n">
        <f aca="false">IF(E10&gt;0,(E10+F10+G10)/H10," ")</f>
        <v>405</v>
      </c>
      <c r="J10" s="135" t="n">
        <f aca="false">IF(H10&gt;0,I10-K10," ")</f>
        <v>355</v>
      </c>
      <c r="K10" s="135" t="n">
        <f aca="false">IF(H10&gt;0,G10/H10," ")</f>
        <v>50</v>
      </c>
      <c r="L10" s="57" t="s">
        <v>52</v>
      </c>
      <c r="M10" s="129"/>
    </row>
    <row r="11" customFormat="false" ht="12" hidden="false" customHeight="false" outlineLevel="0" collapsed="false">
      <c r="A11" s="129"/>
      <c r="B11" s="50"/>
      <c r="C11" s="63"/>
      <c r="D11" s="63"/>
      <c r="E11" s="132"/>
      <c r="F11" s="132"/>
      <c r="G11" s="132"/>
      <c r="H11" s="49"/>
      <c r="I11" s="135"/>
      <c r="J11" s="135"/>
      <c r="K11" s="135"/>
      <c r="L11" s="63"/>
      <c r="M11" s="129"/>
    </row>
    <row r="12" customFormat="false" ht="15" hidden="false" customHeight="true" outlineLevel="0" collapsed="false">
      <c r="A12" s="129"/>
      <c r="B12" s="55"/>
      <c r="C12" s="57"/>
      <c r="D12" s="57"/>
      <c r="E12" s="134"/>
      <c r="F12" s="134"/>
      <c r="G12" s="134"/>
      <c r="H12" s="143"/>
      <c r="I12" s="135" t="str">
        <f aca="false">IF(E12&gt;0,(E12+F12+G12)/H12," ")</f>
        <v> </v>
      </c>
      <c r="J12" s="135" t="str">
        <f aca="false">IF(H12&gt;0,I12-K12," ")</f>
        <v> </v>
      </c>
      <c r="K12" s="135" t="str">
        <f aca="false">IF(H12&gt;0,G12/H12," ")</f>
        <v> </v>
      </c>
      <c r="L12" s="57"/>
      <c r="M12" s="129"/>
    </row>
    <row r="13" customFormat="false" ht="12" hidden="false" customHeight="false" outlineLevel="0" collapsed="false">
      <c r="A13" s="129"/>
      <c r="B13" s="50"/>
      <c r="C13" s="63"/>
      <c r="D13" s="63"/>
      <c r="E13" s="132"/>
      <c r="F13" s="132"/>
      <c r="G13" s="132"/>
      <c r="H13" s="49"/>
      <c r="I13" s="135"/>
      <c r="J13" s="135"/>
      <c r="K13" s="135"/>
      <c r="L13" s="63"/>
      <c r="M13" s="129"/>
    </row>
    <row r="14" customFormat="false" ht="15" hidden="false" customHeight="true" outlineLevel="0" collapsed="false">
      <c r="A14" s="129"/>
      <c r="B14" s="55"/>
      <c r="C14" s="57"/>
      <c r="D14" s="57"/>
      <c r="E14" s="134"/>
      <c r="F14" s="134"/>
      <c r="G14" s="134"/>
      <c r="H14" s="143"/>
      <c r="I14" s="135" t="str">
        <f aca="false">IF(E14&gt;0,(E14+F14+G14)/H14," ")</f>
        <v> </v>
      </c>
      <c r="J14" s="135" t="str">
        <f aca="false">IF(H14&gt;0,I14-K14," ")</f>
        <v> </v>
      </c>
      <c r="K14" s="135" t="str">
        <f aca="false">IF(H14&gt;0,G14/H14," ")</f>
        <v> </v>
      </c>
      <c r="L14" s="57"/>
      <c r="M14" s="129"/>
    </row>
    <row r="15" customFormat="false" ht="12" hidden="false" customHeight="false" outlineLevel="0" collapsed="false">
      <c r="A15" s="129"/>
      <c r="B15" s="50"/>
      <c r="C15" s="63"/>
      <c r="D15" s="63"/>
      <c r="E15" s="132"/>
      <c r="F15" s="132"/>
      <c r="G15" s="132"/>
      <c r="H15" s="49"/>
      <c r="I15" s="135"/>
      <c r="J15" s="135"/>
      <c r="K15" s="135"/>
      <c r="L15" s="63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110</v>
      </c>
      <c r="C17" s="63"/>
      <c r="D17" s="138"/>
      <c r="E17" s="132"/>
      <c r="F17" s="132"/>
      <c r="G17" s="132"/>
      <c r="H17" s="63" t="s">
        <v>111</v>
      </c>
      <c r="I17" s="132"/>
      <c r="J17" s="132"/>
      <c r="K17" s="132"/>
      <c r="L17" s="63"/>
      <c r="M17" s="129"/>
    </row>
    <row r="18" customFormat="false" ht="12" hidden="false" customHeight="false" outlineLevel="0" collapsed="false">
      <c r="A18" s="129"/>
      <c r="B18" s="50"/>
      <c r="C18" s="63"/>
      <c r="D18" s="63"/>
      <c r="E18" s="132"/>
      <c r="F18" s="132"/>
      <c r="G18" s="132"/>
      <c r="H18" s="49"/>
      <c r="I18" s="135"/>
      <c r="J18" s="135"/>
      <c r="K18" s="135"/>
      <c r="L18" s="63"/>
      <c r="M18" s="129"/>
    </row>
    <row r="19" customFormat="false" ht="15" hidden="false" customHeight="true" outlineLevel="0" collapsed="false">
      <c r="A19" s="140"/>
      <c r="B19" s="10" t="s">
        <v>95</v>
      </c>
      <c r="C19" s="21" t="s">
        <v>96</v>
      </c>
      <c r="D19" s="21" t="s">
        <v>97</v>
      </c>
      <c r="E19" s="141" t="s">
        <v>98</v>
      </c>
      <c r="F19" s="141" t="s">
        <v>99</v>
      </c>
      <c r="G19" s="141" t="s">
        <v>100</v>
      </c>
      <c r="H19" s="21" t="s">
        <v>101</v>
      </c>
      <c r="I19" s="141" t="s">
        <v>102</v>
      </c>
      <c r="J19" s="141"/>
      <c r="K19" s="141"/>
      <c r="L19" s="21" t="s">
        <v>103</v>
      </c>
      <c r="M19" s="140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142"/>
      <c r="CZ19" s="142"/>
      <c r="DA19" s="142"/>
      <c r="DB19" s="142"/>
      <c r="DC19" s="142"/>
      <c r="DD19" s="142"/>
      <c r="DE19" s="142"/>
      <c r="DF19" s="142"/>
      <c r="DG19" s="142"/>
      <c r="DH19" s="142"/>
      <c r="DI19" s="142"/>
      <c r="DJ19" s="142"/>
      <c r="DK19" s="142"/>
      <c r="DL19" s="142"/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  <c r="EL19" s="142"/>
      <c r="EM19" s="142"/>
      <c r="EN19" s="142"/>
      <c r="EO19" s="142"/>
      <c r="EP19" s="142"/>
      <c r="EQ19" s="142"/>
      <c r="ER19" s="142"/>
      <c r="ES19" s="142"/>
      <c r="ET19" s="142"/>
      <c r="EU19" s="142"/>
      <c r="EV19" s="142"/>
      <c r="EW19" s="142"/>
      <c r="EX19" s="142"/>
      <c r="EY19" s="142"/>
      <c r="EZ19" s="142"/>
      <c r="FA19" s="142"/>
      <c r="FB19" s="142"/>
      <c r="FC19" s="142"/>
      <c r="FD19" s="142"/>
      <c r="FE19" s="142"/>
      <c r="FF19" s="142"/>
      <c r="FG19" s="142"/>
      <c r="FH19" s="142"/>
      <c r="FI19" s="142"/>
      <c r="FJ19" s="142"/>
      <c r="FK19" s="142"/>
      <c r="FL19" s="142"/>
      <c r="FM19" s="142"/>
      <c r="FN19" s="142"/>
      <c r="FO19" s="142"/>
      <c r="FP19" s="142"/>
      <c r="FQ19" s="142"/>
      <c r="FR19" s="142"/>
      <c r="FS19" s="142"/>
      <c r="FT19" s="142"/>
      <c r="FU19" s="142"/>
      <c r="FV19" s="142"/>
      <c r="FW19" s="142"/>
      <c r="FX19" s="142"/>
      <c r="FY19" s="142"/>
      <c r="FZ19" s="142"/>
      <c r="GA19" s="142"/>
      <c r="GB19" s="142"/>
      <c r="GC19" s="142"/>
      <c r="GD19" s="142"/>
      <c r="GE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  <c r="GY19" s="142"/>
      <c r="GZ19" s="142"/>
      <c r="HA19" s="142"/>
      <c r="HB19" s="142"/>
      <c r="HC19" s="142"/>
      <c r="HD19" s="142"/>
      <c r="HE19" s="142"/>
      <c r="HF19" s="142"/>
      <c r="HG19" s="142"/>
      <c r="HH19" s="142"/>
      <c r="HI19" s="142"/>
      <c r="HJ19" s="142"/>
      <c r="HK19" s="142"/>
      <c r="HL19" s="142"/>
      <c r="HM19" s="142"/>
      <c r="HN19" s="142"/>
      <c r="HO19" s="142"/>
      <c r="HP19" s="142"/>
      <c r="HQ19" s="142"/>
      <c r="HR19" s="142"/>
      <c r="HS19" s="142"/>
      <c r="HT19" s="142"/>
      <c r="HU19" s="142"/>
      <c r="HV19" s="142"/>
      <c r="HW19" s="142"/>
      <c r="HX19" s="142"/>
      <c r="HY19" s="142"/>
      <c r="HZ19" s="142"/>
      <c r="IA19" s="142"/>
      <c r="IB19" s="142"/>
      <c r="IC19" s="142"/>
      <c r="ID19" s="142"/>
      <c r="IE19" s="142"/>
      <c r="IF19" s="142"/>
      <c r="IG19" s="142"/>
      <c r="IH19" s="142"/>
      <c r="II19" s="142"/>
      <c r="IJ19" s="142"/>
      <c r="IK19" s="142"/>
      <c r="IL19" s="142"/>
      <c r="IM19" s="142"/>
      <c r="IN19" s="142"/>
      <c r="IO19" s="142"/>
      <c r="IP19" s="142"/>
      <c r="IQ19" s="142"/>
      <c r="IR19" s="142"/>
      <c r="IS19" s="142"/>
      <c r="IT19" s="142"/>
      <c r="IU19" s="142"/>
      <c r="IV19" s="142"/>
      <c r="IW19" s="142"/>
    </row>
    <row r="20" customFormat="fals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104</v>
      </c>
      <c r="J20" s="141" t="s">
        <v>105</v>
      </c>
      <c r="K20" s="141" t="s">
        <v>106</v>
      </c>
      <c r="L20" s="21"/>
      <c r="M20" s="140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  <c r="EG20" s="142"/>
      <c r="EH20" s="142"/>
      <c r="EI20" s="142"/>
      <c r="EJ20" s="142"/>
      <c r="EK20" s="142"/>
      <c r="EL20" s="142"/>
      <c r="EM20" s="142"/>
      <c r="EN20" s="142"/>
      <c r="EO20" s="142"/>
      <c r="EP20" s="142"/>
      <c r="EQ20" s="142"/>
      <c r="ER20" s="142"/>
      <c r="ES20" s="142"/>
      <c r="ET20" s="142"/>
      <c r="EU20" s="142"/>
      <c r="EV20" s="142"/>
      <c r="EW20" s="142"/>
      <c r="EX20" s="142"/>
      <c r="EY20" s="142"/>
      <c r="EZ20" s="142"/>
      <c r="FA20" s="142"/>
      <c r="FB20" s="142"/>
      <c r="FC20" s="142"/>
      <c r="FD20" s="142"/>
      <c r="FE20" s="142"/>
      <c r="FF20" s="142"/>
      <c r="FG20" s="142"/>
      <c r="FH20" s="142"/>
      <c r="FI20" s="142"/>
      <c r="FJ20" s="142"/>
      <c r="FK20" s="142"/>
      <c r="FL20" s="142"/>
      <c r="FM20" s="142"/>
      <c r="FN20" s="142"/>
      <c r="FO20" s="142"/>
      <c r="FP20" s="142"/>
      <c r="FQ20" s="142"/>
      <c r="FR20" s="142"/>
      <c r="FS20" s="142"/>
      <c r="FT20" s="142"/>
      <c r="FU20" s="142"/>
      <c r="FV20" s="142"/>
      <c r="FW20" s="142"/>
      <c r="FX20" s="142"/>
      <c r="FY20" s="142"/>
      <c r="FZ20" s="142"/>
      <c r="GA20" s="142"/>
      <c r="GB20" s="142"/>
      <c r="GC20" s="142"/>
      <c r="GD20" s="142"/>
      <c r="GE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  <c r="GY20" s="142"/>
      <c r="GZ20" s="142"/>
      <c r="HA20" s="142"/>
      <c r="HB20" s="142"/>
      <c r="HC20" s="142"/>
      <c r="HD20" s="142"/>
      <c r="HE20" s="142"/>
      <c r="HF20" s="142"/>
      <c r="HG20" s="142"/>
      <c r="HH20" s="142"/>
      <c r="HI20" s="142"/>
      <c r="HJ20" s="142"/>
      <c r="HK20" s="142"/>
      <c r="HL20" s="142"/>
      <c r="HM20" s="142"/>
      <c r="HN20" s="142"/>
      <c r="HO20" s="142"/>
      <c r="HP20" s="142"/>
      <c r="HQ20" s="142"/>
      <c r="HR20" s="142"/>
      <c r="HS20" s="142"/>
      <c r="HT20" s="142"/>
      <c r="HU20" s="142"/>
      <c r="HV20" s="142"/>
      <c r="HW20" s="142"/>
      <c r="HX20" s="142"/>
      <c r="HY20" s="142"/>
      <c r="HZ20" s="142"/>
      <c r="IA20" s="142"/>
      <c r="IB20" s="142"/>
      <c r="IC20" s="142"/>
      <c r="ID20" s="142"/>
      <c r="IE20" s="142"/>
      <c r="IF20" s="142"/>
      <c r="IG20" s="142"/>
      <c r="IH20" s="142"/>
      <c r="II20" s="142"/>
      <c r="IJ20" s="142"/>
      <c r="IK20" s="142"/>
      <c r="IL20" s="142"/>
      <c r="IM20" s="142"/>
      <c r="IN20" s="142"/>
      <c r="IO20" s="142"/>
      <c r="IP20" s="142"/>
      <c r="IQ20" s="142"/>
      <c r="IR20" s="142"/>
      <c r="IS20" s="142"/>
      <c r="IT20" s="142"/>
      <c r="IU20" s="142"/>
      <c r="IV20" s="142"/>
      <c r="IW20" s="142"/>
    </row>
    <row r="21" customFormat="fals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  <c r="EF21" s="142"/>
      <c r="EG21" s="142"/>
      <c r="EH21" s="142"/>
      <c r="EI21" s="142"/>
      <c r="EJ21" s="142"/>
      <c r="EK21" s="142"/>
      <c r="EL21" s="142"/>
      <c r="EM21" s="142"/>
      <c r="EN21" s="142"/>
      <c r="EO21" s="142"/>
      <c r="EP21" s="142"/>
      <c r="EQ21" s="142"/>
      <c r="ER21" s="142"/>
      <c r="ES21" s="142"/>
      <c r="ET21" s="142"/>
      <c r="EU21" s="142"/>
      <c r="EV21" s="142"/>
      <c r="EW21" s="142"/>
      <c r="EX21" s="142"/>
      <c r="EY21" s="142"/>
      <c r="EZ21" s="142"/>
      <c r="FA21" s="142"/>
      <c r="FB21" s="142"/>
      <c r="FC21" s="142"/>
      <c r="FD21" s="142"/>
      <c r="FE21" s="142"/>
      <c r="FF21" s="142"/>
      <c r="FG21" s="142"/>
      <c r="FH21" s="142"/>
      <c r="FI21" s="142"/>
      <c r="FJ21" s="142"/>
      <c r="FK21" s="142"/>
      <c r="FL21" s="142"/>
      <c r="FM21" s="142"/>
      <c r="FN21" s="142"/>
      <c r="FO21" s="142"/>
      <c r="FP21" s="142"/>
      <c r="FQ21" s="142"/>
      <c r="FR21" s="142"/>
      <c r="FS21" s="142"/>
      <c r="FT21" s="142"/>
      <c r="FU21" s="142"/>
      <c r="FV21" s="142"/>
      <c r="FW21" s="142"/>
      <c r="FX21" s="142"/>
      <c r="FY21" s="142"/>
      <c r="FZ21" s="142"/>
      <c r="GA21" s="142"/>
      <c r="GB21" s="142"/>
      <c r="GC21" s="142"/>
      <c r="GD21" s="142"/>
      <c r="GE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  <c r="GY21" s="142"/>
      <c r="GZ21" s="142"/>
      <c r="HA21" s="142"/>
      <c r="HB21" s="142"/>
      <c r="HC21" s="142"/>
      <c r="HD21" s="142"/>
      <c r="HE21" s="142"/>
      <c r="HF21" s="142"/>
      <c r="HG21" s="142"/>
      <c r="HH21" s="142"/>
      <c r="HI21" s="142"/>
      <c r="HJ21" s="142"/>
      <c r="HK21" s="142"/>
      <c r="HL21" s="142"/>
      <c r="HM21" s="142"/>
      <c r="HN21" s="142"/>
      <c r="HO21" s="142"/>
      <c r="HP21" s="142"/>
      <c r="HQ21" s="142"/>
      <c r="HR21" s="142"/>
      <c r="HS21" s="142"/>
      <c r="HT21" s="142"/>
      <c r="HU21" s="142"/>
      <c r="HV21" s="142"/>
      <c r="HW21" s="142"/>
      <c r="HX21" s="142"/>
      <c r="HY21" s="142"/>
      <c r="HZ21" s="142"/>
      <c r="IA21" s="142"/>
      <c r="IB21" s="142"/>
      <c r="IC21" s="142"/>
      <c r="ID21" s="142"/>
      <c r="IE21" s="142"/>
      <c r="IF21" s="142"/>
      <c r="IG21" s="142"/>
      <c r="IH21" s="142"/>
      <c r="II21" s="142"/>
      <c r="IJ21" s="142"/>
      <c r="IK21" s="142"/>
      <c r="IL21" s="142"/>
      <c r="IM21" s="142"/>
      <c r="IN21" s="142"/>
      <c r="IO21" s="142"/>
      <c r="IP21" s="142"/>
      <c r="IQ21" s="142"/>
      <c r="IR21" s="142"/>
      <c r="IS21" s="142"/>
      <c r="IT21" s="142"/>
      <c r="IU21" s="142"/>
      <c r="IV21" s="142"/>
      <c r="IW21" s="142"/>
    </row>
    <row r="22" customFormat="false" ht="15" hidden="false" customHeight="true" outlineLevel="0" collapsed="false">
      <c r="A22" s="129"/>
      <c r="B22" s="55"/>
      <c r="C22" s="57"/>
      <c r="D22" s="57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7"/>
      <c r="M22" s="129"/>
    </row>
    <row r="23" customFormat="false" ht="12.75" hidden="false" customHeight="true" outlineLevel="0" collapsed="false">
      <c r="A23" s="129"/>
      <c r="B23" s="50"/>
      <c r="C23" s="63"/>
      <c r="D23" s="63"/>
      <c r="E23" s="132"/>
      <c r="F23" s="132"/>
      <c r="G23" s="132"/>
      <c r="H23" s="49"/>
      <c r="I23" s="135"/>
      <c r="J23" s="135"/>
      <c r="K23" s="135"/>
      <c r="L23" s="63"/>
      <c r="M23" s="129"/>
    </row>
    <row r="24" customFormat="false" ht="15" hidden="false" customHeight="true" outlineLevel="0" collapsed="false">
      <c r="A24" s="129"/>
      <c r="B24" s="55"/>
      <c r="C24" s="57"/>
      <c r="D24" s="57"/>
      <c r="E24" s="134"/>
      <c r="F24" s="134"/>
      <c r="G24" s="134"/>
      <c r="H24" s="143"/>
      <c r="I24" s="135" t="str">
        <f aca="false">IF(E24&gt;0,(E24+F24+G24)/H24," ")</f>
        <v> </v>
      </c>
      <c r="J24" s="135" t="str">
        <f aca="false">IF(H24&gt;0,I24-K24," ")</f>
        <v> </v>
      </c>
      <c r="K24" s="135" t="str">
        <f aca="false">IF(H24&gt;0,G24/H24," ")</f>
        <v> </v>
      </c>
      <c r="L24" s="57"/>
      <c r="M24" s="129"/>
    </row>
    <row r="25" customFormat="false" ht="12" hidden="false" customHeight="false" outlineLevel="0" collapsed="false">
      <c r="A25" s="129"/>
      <c r="B25" s="50"/>
      <c r="C25" s="63"/>
      <c r="D25" s="63"/>
      <c r="E25" s="132"/>
      <c r="F25" s="132"/>
      <c r="G25" s="132"/>
      <c r="H25" s="49"/>
      <c r="I25" s="135"/>
      <c r="J25" s="135"/>
      <c r="K25" s="135"/>
      <c r="L25" s="63"/>
      <c r="M25" s="129"/>
    </row>
    <row r="26" customFormat="false" ht="15" hidden="false" customHeight="true" outlineLevel="0" collapsed="false">
      <c r="A26" s="129"/>
      <c r="B26" s="55"/>
      <c r="C26" s="57"/>
      <c r="D26" s="57"/>
      <c r="E26" s="134"/>
      <c r="F26" s="134"/>
      <c r="G26" s="134"/>
      <c r="H26" s="143"/>
      <c r="I26" s="135" t="str">
        <f aca="false">IF(E26&gt;0,(E26+F26+G26)/H26," ")</f>
        <v> </v>
      </c>
      <c r="J26" s="135" t="str">
        <f aca="false">IF(H26&gt;0,I26-K26," ")</f>
        <v> </v>
      </c>
      <c r="K26" s="135" t="str">
        <f aca="false">IF(H26&gt;0,G26/H26," ")</f>
        <v> </v>
      </c>
      <c r="L26" s="57"/>
      <c r="M26" s="129"/>
    </row>
    <row r="27" customFormat="false" ht="12" hidden="false" customHeight="false" outlineLevel="0" collapsed="false">
      <c r="A27" s="129"/>
      <c r="B27" s="50"/>
      <c r="C27" s="63"/>
      <c r="D27" s="63"/>
      <c r="E27" s="132"/>
      <c r="F27" s="132"/>
      <c r="G27" s="132"/>
      <c r="H27" s="49"/>
      <c r="I27" s="135"/>
      <c r="J27" s="135"/>
      <c r="K27" s="135"/>
      <c r="L27" s="63"/>
      <c r="M27" s="129"/>
    </row>
    <row r="28" customFormat="false" ht="15" hidden="false" customHeight="true" outlineLevel="0" collapsed="false">
      <c r="A28" s="129"/>
      <c r="B28" s="55"/>
      <c r="C28" s="57"/>
      <c r="D28" s="57"/>
      <c r="E28" s="134"/>
      <c r="F28" s="134"/>
      <c r="G28" s="134"/>
      <c r="H28" s="143"/>
      <c r="I28" s="135" t="str">
        <f aca="false">IF(E28&gt;0,(E28+F28+G28)/H28," ")</f>
        <v> </v>
      </c>
      <c r="J28" s="135" t="str">
        <f aca="false">IF(H28&gt;0,I28-K28," ")</f>
        <v> </v>
      </c>
      <c r="K28" s="135" t="str">
        <f aca="false">IF(H28&gt;0,G28/H28," ")</f>
        <v> </v>
      </c>
      <c r="L28" s="57"/>
      <c r="M28" s="129"/>
    </row>
    <row r="29" customFormat="false" ht="12" hidden="false" customHeight="false" outlineLevel="0" collapsed="false">
      <c r="A29" s="129"/>
      <c r="B29" s="50"/>
      <c r="C29" s="63"/>
      <c r="D29" s="63"/>
      <c r="E29" s="132"/>
      <c r="F29" s="132"/>
      <c r="G29" s="132"/>
      <c r="H29" s="49"/>
      <c r="I29" s="135"/>
      <c r="J29" s="135"/>
      <c r="K29" s="135"/>
      <c r="L29" s="63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