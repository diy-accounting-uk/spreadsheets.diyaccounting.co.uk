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<sst xmlns="http://schemas.openxmlformats.org/spreadsheetml/2006/main" count="111" uniqueCount="82">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</sst>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85500</v>
      </c>
      <c r="F1" s="13" t="n">
        <f aca="false">F57+F110</f>
        <v>10098</v>
      </c>
      <c r="G1" s="13" t="n">
        <f aca="false">G57+G110</f>
        <v>22902</v>
      </c>
      <c r="H1" s="14" t="s">
        <v>2</v>
      </c>
      <c r="I1" s="13" t="n">
        <f aca="false">I57+I110</f>
        <v>13740</v>
      </c>
      <c r="J1" s="13" t="n">
        <f aca="false">J57+J110</f>
        <v>23838</v>
      </c>
      <c r="K1" s="13" t="n">
        <f aca="false">K57+K110</f>
        <v>48990</v>
      </c>
      <c r="L1" s="13"/>
      <c r="M1" s="14" t="s">
        <v>3</v>
      </c>
      <c r="N1" s="13"/>
      <c r="O1" s="13" t="n">
        <f aca="false">O57+O110</f>
        <v>24000</v>
      </c>
      <c r="P1" s="15" t="s">
        <v>4</v>
      </c>
      <c r="Q1" s="13" t="n">
        <f aca="false">Q57+Q110</f>
        <v>52500</v>
      </c>
      <c r="R1" s="13" t="n">
        <f aca="false">R57+R110</f>
        <v>3360</v>
      </c>
      <c r="S1" s="13" t="n">
        <f aca="false">S57+S110</f>
        <v>20640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46118</v>
      </c>
      <c r="G4" s="26" t="n">
        <f aca="false">[1]Admin!$B$4</f>
        <v>46118</v>
      </c>
      <c r="H4" s="14"/>
      <c r="I4" s="23"/>
      <c r="J4" s="26" t="n">
        <f aca="false">[1]Admin!$B$17</f>
        <v>46482</v>
      </c>
      <c r="K4" s="26" t="n">
        <f aca="false">[1]Admin!$B$17</f>
        <v>46482</v>
      </c>
      <c r="L4" s="13"/>
      <c r="M4" s="14"/>
      <c r="N4" s="13"/>
      <c r="O4" s="26" t="n">
        <f aca="false">[1]Admin!$B$4</f>
        <v>46118</v>
      </c>
      <c r="P4" s="27" t="n">
        <f aca="false">[1]Admin!$G$4</f>
        <v>1</v>
      </c>
      <c r="Q4" s="22"/>
      <c r="R4" s="28" t="n">
        <f aca="false">[1]Admin!$G$5</f>
        <v>0.14</v>
      </c>
      <c r="S4" s="26" t="n">
        <f aca="false">[1]Admin!$B$17</f>
        <v>46482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46118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IF(E8&gt;0,IF(V8&gt;0,0,E8-J8),"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IF(E9&gt;0,IF(V9&gt;0,0,E9-J9),"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IF(E10&gt;0,IF(V10&gt;0,0,E10-J10),"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IF(E14&gt;0,IF(V14&gt;0,0,E14-J14),"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IF(E15&gt;0,IF(V15&gt;0,0,E15-J15),"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IF(E16&gt;0,IF(V16&gt;0,0,E16-J16),"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IF(E17&gt;0,IF(V17&gt;0,0,E17-J17),"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IF(E18&gt;0,IF(V18&gt;0,0,E18-J18),"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IF(E22&gt;0,IF(V22&gt;0,0,E22-J22),"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IF(E23&gt;0,IF(V23&gt;0,0,E23-J23),"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IF(E24&gt;0,IF(V24&gt;0,0,E24-J24),"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IF(E25&gt;0,IF(V25&gt;0,0,E25-J25),"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IF(E26&gt;0,IF(V26&gt;0,0,E26-J26),"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 t="s">
        <v>30</v>
      </c>
      <c r="D30" s="56"/>
      <c r="E30" s="57" t="n">
        <v>3000</v>
      </c>
      <c r="F30" s="57" t="n">
        <v>270</v>
      </c>
      <c r="G30" s="50" t="n">
        <f aca="false">IF(E30&gt;0,E30-F30," ")</f>
        <v>2730</v>
      </c>
      <c r="H30" s="58" t="n">
        <f aca="false">H$29</f>
        <v>0.33</v>
      </c>
      <c r="I30" s="50" t="n">
        <f aca="false">IF(E30&gt;0,MIN(E30*H30,G30)," ")</f>
        <v>990</v>
      </c>
      <c r="J30" s="50" t="n">
        <f aca="false">IF(E30&gt;0,F30+I30," ")</f>
        <v>1260</v>
      </c>
      <c r="K30" s="50" t="n">
        <f aca="false">IF(E30&gt;0,IF(V30&gt;0,0,E30-J30)," ")</f>
        <v>1740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IF(E31&gt;0,IF(V31&gt;0,0,E31-J31),"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IF(E32&gt;0,IF(V32&gt;0,0,E32-J32),"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IF(E33&gt;0,IF(V33&gt;0,0,E33-J33),"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IF(E34&gt;0,IF(V34&gt;0,0,E34-J34),"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31</v>
      </c>
      <c r="C35" s="59"/>
      <c r="D35" s="59"/>
      <c r="E35" s="60" t="n">
        <f aca="false">SUM(E30:E34)</f>
        <v>3000</v>
      </c>
      <c r="F35" s="60" t="n">
        <f aca="false">SUM(F30:F34)</f>
        <v>270</v>
      </c>
      <c r="G35" s="61" t="n">
        <f aca="false">SUM(G30:G34)</f>
        <v>2730</v>
      </c>
      <c r="H35" s="58"/>
      <c r="I35" s="61" t="n">
        <f aca="false">SUM(I30:I34)</f>
        <v>990</v>
      </c>
      <c r="J35" s="61" t="n">
        <f aca="false">SUM(J30:J34)</f>
        <v>1260</v>
      </c>
      <c r="K35" s="61" t="n">
        <f aca="false">SUM(K30:K34)</f>
        <v>1740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32</v>
      </c>
      <c r="C37" s="69"/>
      <c r="D37" s="70" t="n">
        <f aca="false">[1]Admin!$E$8</f>
        <v>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 t="s">
        <v>33</v>
      </c>
      <c r="D38" s="56"/>
      <c r="E38" s="57" t="n">
        <v>30000</v>
      </c>
      <c r="F38" s="57" t="n">
        <v>9828</v>
      </c>
      <c r="G38" s="50" t="n">
        <f aca="false">IF(E38&gt;0,E38-F38," ")</f>
        <v>20172</v>
      </c>
      <c r="H38" s="58" t="n">
        <f aca="false">H$37</f>
        <v>0.25</v>
      </c>
      <c r="I38" s="50" t="n">
        <f aca="false">IF(E38&gt;0,MIN(E38*H38,G38)," ")</f>
        <v>7500</v>
      </c>
      <c r="J38" s="50" t="n">
        <f aca="false">IF(E38&gt;0,F38+I38," ")</f>
        <v>17328</v>
      </c>
      <c r="K38" s="50" t="n">
        <f aca="false">IF(E38&gt;0,IF(V38&gt;0,0,E38-J38)," ")</f>
        <v>0</v>
      </c>
      <c r="L38" s="50"/>
      <c r="M38" s="66" t="n">
        <v>0</v>
      </c>
      <c r="N38" s="50"/>
      <c r="O38" s="67" t="n">
        <v>24000</v>
      </c>
      <c r="P38" s="48"/>
      <c r="Q38" s="47"/>
      <c r="R38" s="47" t="n">
        <f aca="false">IF(O38&gt;0,O38*R$4*(1-M38)," ")</f>
        <v>3360</v>
      </c>
      <c r="S38" s="47" t="n">
        <f aca="false">IF(O38&gt;0,O38-R38," ")</f>
        <v>20640</v>
      </c>
      <c r="T38" s="47"/>
      <c r="U38" s="54" t="n">
        <v>46305</v>
      </c>
      <c r="V38" s="57" t="n">
        <v>12500</v>
      </c>
      <c r="W38" s="50" t="n">
        <f aca="false">IF(V38&gt;0,E38," ")</f>
        <v>30000</v>
      </c>
      <c r="X38" s="50" t="n">
        <f aca="false">IF(V38&gt;0,J38," ")</f>
        <v>17328</v>
      </c>
      <c r="Y38" s="47" t="n">
        <f aca="false">IF((U38+V38)&gt;0,IF(V38&lt;S38,(S38-V38)*(1-M38)," ")," ")</f>
        <v>8140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IF(E39&gt;0,IF(V39&gt;0,0,E39-J39),"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IF(O39&gt;0,O39*R$4*(1-M39),"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IF(E40&gt;0,IF(V40&gt;0,0,E40-J40),"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IF(O40&gt;0,O40*R$4*(1-M40),"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IF(E41&gt;0,IF(V41&gt;0,0,E41-J41),"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IF(O41&gt;0,O41*R$4*(1-M41),"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IF(E42&gt;0,IF(V42&gt;0,0,E42-J42),"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IF(O42&gt;0,O42*R$4*(1-M42),"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34</v>
      </c>
      <c r="C43" s="69"/>
      <c r="D43" s="70" t="n">
        <f aca="false">[1]Admin!$E$8</f>
        <v>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IF(E44&gt;0,IF(V44&gt;0,0,E44-J44),"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IF(O44&gt;0,O44*R$4*(1-M44),"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IF(E45&gt;0,IF(V45&gt;0,0,E45-J45),"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IF(O45&gt;0,O45*R$4*(1-M45),"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IF(E46&gt;0,IF(V46&gt;0,0,E46-J46),"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IF(O46&gt;0,O46*R$4*(1-M46),"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IF(E47&gt;0,IF(V47&gt;0,0,E47-J47),"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IF(O47&gt;0,O47*R$4*(1-M47),"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IF(E48&gt;0,IF(V48&gt;0,0,E48-J48),"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IF(O48&gt;0,O48*R$4*(1-M48),"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35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IF(E50&gt;0,IF(V50&gt;0,0,E50-J50),"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IF(E51&gt;0,IF(V51&gt;0,0,E51-J51),"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IF(E52&gt;0,IF(V52&gt;0,0,E52-J52),"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IF(E53&gt;0,IF(V53&gt;0,0,E53-J53),"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IF(E54&gt;0,IF(V54&gt;0,0,E54-J54),"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36</v>
      </c>
      <c r="C55" s="59"/>
      <c r="D55" s="59"/>
      <c r="E55" s="61" t="n">
        <f aca="false">SUM(E38:E54)</f>
        <v>30000</v>
      </c>
      <c r="F55" s="61" t="n">
        <f aca="false">SUM(F38:F54)</f>
        <v>9828</v>
      </c>
      <c r="G55" s="61" t="n">
        <f aca="false">SUM(G38:G54)</f>
        <v>20172</v>
      </c>
      <c r="H55" s="58"/>
      <c r="I55" s="61" t="n">
        <f aca="false">SUM(I38:I54)</f>
        <v>7500</v>
      </c>
      <c r="J55" s="61" t="n">
        <f aca="false">SUM(J38:J54)</f>
        <v>17328</v>
      </c>
      <c r="K55" s="61" t="n">
        <f aca="false">SUM(K38:K54)</f>
        <v>0</v>
      </c>
      <c r="L55" s="50"/>
      <c r="M55" s="71"/>
      <c r="N55" s="50"/>
      <c r="O55" s="61" t="n">
        <f aca="false">SUM(O38:O54)</f>
        <v>24000</v>
      </c>
      <c r="P55" s="62"/>
      <c r="Q55" s="61" t="n">
        <f aca="false">SUM(Q38:Q54)</f>
        <v>0</v>
      </c>
      <c r="R55" s="61" t="n">
        <f aca="false">SUM(R38:R54)</f>
        <v>3360</v>
      </c>
      <c r="S55" s="61" t="n">
        <f aca="false">SUM(S38:S54)</f>
        <v>20640</v>
      </c>
      <c r="T55" s="50"/>
      <c r="U55" s="49"/>
      <c r="V55" s="61" t="n">
        <f aca="false">SUM(V38:V54)</f>
        <v>12500</v>
      </c>
      <c r="W55" s="61" t="n">
        <f aca="false">SUM(W38:W54)</f>
        <v>30000</v>
      </c>
      <c r="X55" s="61" t="n">
        <f aca="false">SUM(X38:X54)</f>
        <v>17328</v>
      </c>
      <c r="Y55" s="61" t="n">
        <f aca="false">SUM(Y38:Y54)</f>
        <v>8140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46118</v>
      </c>
      <c r="E57" s="74" t="n">
        <f aca="false">E11+E19+E27+E35+E55</f>
        <v>33000</v>
      </c>
      <c r="F57" s="74" t="n">
        <f aca="false">F11+F19+F27+F35+F55</f>
        <v>10098</v>
      </c>
      <c r="G57" s="74" t="n">
        <f aca="false">G11+G19+G27+G35+G55</f>
        <v>22902</v>
      </c>
      <c r="H57" s="58"/>
      <c r="I57" s="74" t="n">
        <f aca="false">I11+I19+I27+I35+I55</f>
        <v>8490</v>
      </c>
      <c r="J57" s="74" t="n">
        <f aca="false">J11+J19+J27+J35+J55</f>
        <v>18588</v>
      </c>
      <c r="K57" s="74" t="n">
        <f aca="false">K11+K19+K27+K35+K55</f>
        <v>1740</v>
      </c>
      <c r="L57" s="50"/>
      <c r="M57" s="58"/>
      <c r="N57" s="50"/>
      <c r="O57" s="74" t="n">
        <f aca="false">O11+O19+O27+O35+O55</f>
        <v>24000</v>
      </c>
      <c r="P57" s="62"/>
      <c r="Q57" s="74" t="n">
        <f aca="false">Q11+Q19+Q27+Q35+Q55</f>
        <v>0</v>
      </c>
      <c r="R57" s="74" t="n">
        <f aca="false">R11+R19+R27+R35+R55</f>
        <v>3360</v>
      </c>
      <c r="S57" s="74" t="n">
        <f aca="false">S11+S19+S27+S35+S55</f>
        <v>20640</v>
      </c>
      <c r="T57" s="47"/>
      <c r="U57" s="49"/>
      <c r="V57" s="74" t="n">
        <f aca="false">V11+V19+V27+V35+V55</f>
        <v>12500</v>
      </c>
      <c r="W57" s="74" t="n">
        <f aca="false">W11+W19+W27+W35+W55</f>
        <v>30000</v>
      </c>
      <c r="X57" s="74" t="n">
        <f aca="false">X11+X19+X27+X35+X55</f>
        <v>17328</v>
      </c>
      <c r="Y57" s="74" t="n">
        <f aca="false">Y11+Y19+Y27+Y35+Y55</f>
        <v>8140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37</v>
      </c>
      <c r="C59" s="43"/>
      <c r="D59" s="44" t="n">
        <f aca="false">[1]Admin!$B$4</f>
        <v>46118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IF(E61&gt;0,IF(V61&gt;0,0,E61-J61),"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IF(E62&gt;0,IF(V62&gt;0,0,E62-J62),"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IF(E63&gt;0,IF(V63&gt;0,0,E63-J63),"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38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 t="n">
        <v>46157</v>
      </c>
      <c r="C67" s="55" t="s">
        <v>39</v>
      </c>
      <c r="D67" s="56"/>
      <c r="E67" s="57" t="n">
        <v>1500</v>
      </c>
      <c r="F67" s="50"/>
      <c r="G67" s="50"/>
      <c r="H67" s="58" t="n">
        <f aca="false">H$66</f>
        <v>0.1</v>
      </c>
      <c r="I67" s="50" t="n">
        <f aca="false">IF(E67&gt;0,MIN(E67*H67,G67)," ")</f>
        <v>150</v>
      </c>
      <c r="J67" s="50" t="n">
        <f aca="false">IF(E67&gt;0,F67+I67," ")</f>
        <v>150</v>
      </c>
      <c r="K67" s="50" t="n">
        <f aca="false">IF(E67&gt;0,IF(V67&gt;0,0,E67-J67)," ")</f>
        <v>1350</v>
      </c>
      <c r="L67" s="50"/>
      <c r="M67" s="58"/>
      <c r="N67" s="50"/>
      <c r="O67" s="47"/>
      <c r="P67" s="58" t="n">
        <f aca="false">P$4</f>
        <v>1</v>
      </c>
      <c r="Q67" s="47" t="n">
        <f aca="false">IF(E67&gt;0,E67*P67," ")</f>
        <v>1500</v>
      </c>
      <c r="R67" s="47"/>
      <c r="S67" s="47" t="n">
        <f aca="false">IF(E67&gt;0,E67-Q67," ")</f>
        <v>0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 t="n">
        <v>46174</v>
      </c>
      <c r="C68" s="55" t="s">
        <v>40</v>
      </c>
      <c r="D68" s="56"/>
      <c r="E68" s="57" t="n">
        <v>13000</v>
      </c>
      <c r="F68" s="50"/>
      <c r="G68" s="50"/>
      <c r="H68" s="58" t="n">
        <f aca="false">H$66</f>
        <v>0.1</v>
      </c>
      <c r="I68" s="50" t="n">
        <f aca="false">IF(E68&gt;0,MIN(E68*H68,G68)," ")</f>
        <v>1300</v>
      </c>
      <c r="J68" s="50" t="n">
        <f aca="false">IF(E68&gt;0,F68+I68," ")</f>
        <v>1300</v>
      </c>
      <c r="K68" s="50" t="n">
        <f aca="false">IF(E68&gt;0,IF(V68&gt;0,0,E68-J68)," ")</f>
        <v>11700</v>
      </c>
      <c r="L68" s="50"/>
      <c r="M68" s="58"/>
      <c r="N68" s="50"/>
      <c r="O68" s="47"/>
      <c r="P68" s="58" t="n">
        <f aca="false">P$4</f>
        <v>1</v>
      </c>
      <c r="Q68" s="47" t="n">
        <f aca="false">IF(E68&gt;0,E68*P68," ")</f>
        <v>13000</v>
      </c>
      <c r="R68" s="47"/>
      <c r="S68" s="47" t="n">
        <f aca="false">IF(E68&gt;0,E68-Q68," ")</f>
        <v>0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 t="n">
        <v>46218</v>
      </c>
      <c r="C69" s="55" t="s">
        <v>41</v>
      </c>
      <c r="D69" s="56"/>
      <c r="E69" s="57" t="n">
        <v>1000</v>
      </c>
      <c r="F69" s="50"/>
      <c r="G69" s="50"/>
      <c r="H69" s="58" t="n">
        <f aca="false">H$66</f>
        <v>0.1</v>
      </c>
      <c r="I69" s="50" t="n">
        <f aca="false">IF(E69&gt;0,MIN(E69*H69,G69)," ")</f>
        <v>100</v>
      </c>
      <c r="J69" s="50" t="n">
        <f aca="false">IF(E69&gt;0,F69+I69," ")</f>
        <v>100</v>
      </c>
      <c r="K69" s="50" t="n">
        <f aca="false">IF(E69&gt;0,IF(V69&gt;0,0,E69-J69)," ")</f>
        <v>900</v>
      </c>
      <c r="L69" s="50"/>
      <c r="M69" s="58"/>
      <c r="N69" s="50"/>
      <c r="O69" s="47"/>
      <c r="P69" s="58" t="n">
        <f aca="false">P$4</f>
        <v>1</v>
      </c>
      <c r="Q69" s="47" t="n">
        <f aca="false">IF(E69&gt;0,E69*P69," ")</f>
        <v>1000</v>
      </c>
      <c r="R69" s="47"/>
      <c r="S69" s="47" t="n">
        <f aca="false">IF(E69&gt;0,E69-Q69," ")</f>
        <v>0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 t="n">
        <v>46266</v>
      </c>
      <c r="C70" s="55" t="s">
        <v>40</v>
      </c>
      <c r="D70" s="56"/>
      <c r="E70" s="57" t="n">
        <v>7000</v>
      </c>
      <c r="F70" s="50"/>
      <c r="G70" s="50"/>
      <c r="H70" s="58" t="n">
        <f aca="false">H$66</f>
        <v>0.1</v>
      </c>
      <c r="I70" s="50" t="n">
        <f aca="false">IF(E70&gt;0,MIN(E70*H70,G70)," ")</f>
        <v>700</v>
      </c>
      <c r="J70" s="50" t="n">
        <f aca="false">IF(E70&gt;0,F70+I70," ")</f>
        <v>700</v>
      </c>
      <c r="K70" s="50" t="n">
        <f aca="false">IF(E70&gt;0,IF(V70&gt;0,0,E70-J70)," ")</f>
        <v>6300</v>
      </c>
      <c r="L70" s="50"/>
      <c r="M70" s="58"/>
      <c r="N70" s="50"/>
      <c r="O70" s="47"/>
      <c r="P70" s="58" t="n">
        <f aca="false">P$4</f>
        <v>1</v>
      </c>
      <c r="Q70" s="47" t="n">
        <f aca="false">IF(E70&gt;0,E70*P70," ")</f>
        <v>7000</v>
      </c>
      <c r="R70" s="47"/>
      <c r="S70" s="47" t="n">
        <f aca="false">IF(E70&gt;0,E70-Q70," ")</f>
        <v>0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 t="n">
        <v>46320</v>
      </c>
      <c r="C71" s="55" t="s">
        <v>42</v>
      </c>
      <c r="D71" s="56"/>
      <c r="E71" s="57" t="n">
        <v>30000</v>
      </c>
      <c r="F71" s="50"/>
      <c r="G71" s="50"/>
      <c r="H71" s="58" t="n">
        <f aca="false">H$66</f>
        <v>0.1</v>
      </c>
      <c r="I71" s="50" t="n">
        <f aca="false">IF(E71&gt;0,MIN(E71*H71,G71)," ")</f>
        <v>3000</v>
      </c>
      <c r="J71" s="50" t="n">
        <f aca="false">IF(E71&gt;0,F71+I71," ")</f>
        <v>3000</v>
      </c>
      <c r="K71" s="50" t="n">
        <f aca="false">IF(E71&gt;0,IF(V71&gt;0,0,E71-J71)," ")</f>
        <v>27000</v>
      </c>
      <c r="L71" s="50"/>
      <c r="M71" s="58"/>
      <c r="N71" s="50"/>
      <c r="O71" s="47"/>
      <c r="P71" s="58" t="n">
        <f aca="false">P$4</f>
        <v>1</v>
      </c>
      <c r="Q71" s="47" t="n">
        <f aca="false">IF(E71&gt;0,E71*P71," ")</f>
        <v>30000</v>
      </c>
      <c r="R71" s="47"/>
      <c r="S71" s="47" t="n">
        <f aca="false">IF(E71&gt;0,E71-Q71," ")</f>
        <v>0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43</v>
      </c>
      <c r="C72" s="59"/>
      <c r="D72" s="59"/>
      <c r="E72" s="60" t="n">
        <f aca="false">SUM(E67:E71)</f>
        <v>52500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5250</v>
      </c>
      <c r="J72" s="61" t="n">
        <f aca="false">SUM(J67:J71)</f>
        <v>5250</v>
      </c>
      <c r="K72" s="61" t="n">
        <f aca="false">SUM(K67:K71)</f>
        <v>47250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52500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IF(E75&gt;0,IF(V75&gt;0,0,E75-J75),"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IF(E76&gt;0,IF(V76&gt;0,0,E76-J76),"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IF(E77&gt;0,IF(V77&gt;0,0,E77-J77),"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IF(E78&gt;0,IF(V78&gt;0,0,E78-J78),"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IF(E79&gt;0,IF(V79&gt;0,0,E79-J79),"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44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IF(E83&gt;0,IF(V83&gt;0,0,E83-J83),"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IF(E84&gt;0,IF(V84&gt;0,0,E84-J84),"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IF(E85&gt;0,IF(V85&gt;0,0,E85-J85),"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IF(E86&gt;0,IF(V86&gt;0,0,E86-J86),"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IF(E87&gt;0,IF(V87&gt;0,0,E87-J87),"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45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IF(E91&gt;0,IF(V91&gt;0,0,E91-J91),"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IF(E91&gt;0,E91*R$4*(1-M91),"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IF(E92&gt;0,IF(V92&gt;0,0,E92-J92),"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IF(E92&gt;0,E92*R$4*(1-M92),"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IF(E93&gt;0,IF(V93&gt;0,0,E93-J93),"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IF(E93&gt;0,E93*R$4*(1-M93),"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IF(E94&gt;0,IF(V94&gt;0,0,E94-J94),"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IF(E94&gt;0,E94*R$4*(1-M94),"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IF(E95&gt;0,IF(V95&gt;0,0,E95-J95),"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IF(E95&gt;0,E95*R$4*(1-M95),"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IF(E97&gt;0,IF(V97&gt;0,0,E97-J97),"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IF(E97&gt;0,E97*R$4*(1-M97),"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IF(E98&gt;0,IF(V98&gt;0,0,E98-J98),"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IF(E98&gt;0,E98*R$4*(1-M98),"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IF(E99&gt;0,IF(V99&gt;0,0,E99-J99),"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IF(E99&gt;0,E99*R$4*(1-M99),"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IF(E100&gt;0,IF(V100&gt;0,0,E100-J100),"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IF(E100&gt;0,E100*R$4*(1-M100),"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IF(E101&gt;0,IF(V101&gt;0,0,E101-J101),"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IF(E101&gt;0,E101*R$4*(1-M101),"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35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IF(E103&gt;0,IF(V103&gt;0,0,E103-J103),"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IF(E104&gt;0,IF(V104&gt;0,0,E104-J104),"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IF(E105&gt;0,IF(V105&gt;0,0,E105-J105),"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IF(E106&gt;0,IF(V106&gt;0,0,E106-J106),"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IF(E107&gt;0,IF(V107&gt;0,0,E107-J107),"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46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46118</v>
      </c>
      <c r="E110" s="74" t="n">
        <f aca="false">E64+E72+E80+E88+E108</f>
        <v>52500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5250</v>
      </c>
      <c r="J110" s="74" t="n">
        <f aca="false">J64+J72+J80+J88+J108</f>
        <v>5250</v>
      </c>
      <c r="K110" s="74" t="n">
        <f aca="false">K64+K72+K80+K88+K108</f>
        <v>47250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52500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47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48</v>
      </c>
      <c r="C4" s="99"/>
      <c r="D4" s="100"/>
      <c r="E4" s="108" t="s">
        <v>8</v>
      </c>
      <c r="F4" s="102"/>
      <c r="G4" s="109" t="s">
        <v>49</v>
      </c>
      <c r="H4" s="109"/>
      <c r="I4" s="109"/>
      <c r="J4" s="102"/>
      <c r="K4" s="108" t="s">
        <v>50</v>
      </c>
      <c r="L4" s="102"/>
      <c r="M4" s="110" t="s">
        <v>51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52</v>
      </c>
      <c r="C5" s="99"/>
      <c r="D5" s="100"/>
      <c r="E5" s="102"/>
      <c r="F5" s="102"/>
      <c r="G5" s="98" t="s">
        <v>53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38</v>
      </c>
      <c r="C6" s="111"/>
      <c r="D6" s="111"/>
      <c r="E6" s="112" t="n">
        <f aca="false">Schedule!E64</f>
        <v>0</v>
      </c>
      <c r="F6" s="102"/>
      <c r="G6" s="111" t="s">
        <v>54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43</v>
      </c>
      <c r="C7" s="111"/>
      <c r="D7" s="111"/>
      <c r="E7" s="112" t="n">
        <f aca="false">Schedule!E72</f>
        <v>52500</v>
      </c>
      <c r="F7" s="102"/>
      <c r="G7" s="111" t="s">
        <v>55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44</v>
      </c>
      <c r="C8" s="111"/>
      <c r="D8" s="111"/>
      <c r="E8" s="112" t="n">
        <f aca="false">Schedule!E80</f>
        <v>0</v>
      </c>
      <c r="F8" s="102"/>
      <c r="G8" s="111" t="s">
        <v>56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45</v>
      </c>
      <c r="C9" s="111"/>
      <c r="D9" s="111"/>
      <c r="E9" s="112" t="n">
        <f aca="false">Schedule!E88</f>
        <v>0</v>
      </c>
      <c r="F9" s="102"/>
      <c r="G9" s="111" t="s">
        <v>57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46</v>
      </c>
      <c r="C10" s="111"/>
      <c r="D10" s="111"/>
      <c r="E10" s="112" t="n">
        <f aca="false">Schedule!E108</f>
        <v>0</v>
      </c>
      <c r="F10" s="102"/>
      <c r="G10" s="111" t="s">
        <v>58</v>
      </c>
      <c r="H10" s="111"/>
      <c r="I10" s="111"/>
      <c r="J10" s="111"/>
      <c r="K10" s="112" t="n">
        <f aca="false">Schedule!V55+Schedule!V108</f>
        <v>12500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59</v>
      </c>
      <c r="C11" s="113"/>
      <c r="D11" s="113"/>
      <c r="E11" s="114" t="n">
        <f aca="false">SUM(E6:E10)</f>
        <v>52500</v>
      </c>
      <c r="F11" s="102"/>
      <c r="G11" s="115" t="s">
        <v>59</v>
      </c>
      <c r="H11" s="115"/>
      <c r="I11" s="115"/>
      <c r="J11" s="115"/>
      <c r="K11" s="114" t="n">
        <f aca="false">SUM(K6:K10)</f>
        <v>12500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60</v>
      </c>
      <c r="C13" s="113"/>
      <c r="D13" s="113"/>
      <c r="E13" s="116" t="n">
        <f aca="false">[2]Mar!$AB$2</f>
        <v>52500</v>
      </c>
      <c r="F13" s="102"/>
      <c r="G13" s="115" t="s">
        <v>61</v>
      </c>
      <c r="H13" s="115"/>
      <c r="I13" s="115"/>
      <c r="J13" s="115"/>
      <c r="K13" s="116" t="n">
        <f aca="false">[3]Mar!$V$2</f>
        <v>12500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62</v>
      </c>
      <c r="D2" s="132"/>
      <c r="E2" s="133" t="n">
        <f aca="false">SUM(E8:E14)</f>
        <v>20000</v>
      </c>
      <c r="F2" s="134"/>
      <c r="G2" s="135" t="s">
        <v>63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64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65</v>
      </c>
      <c r="C5" s="21" t="s">
        <v>66</v>
      </c>
      <c r="D5" s="21" t="s">
        <v>67</v>
      </c>
      <c r="E5" s="140" t="s">
        <v>68</v>
      </c>
      <c r="F5" s="140" t="s">
        <v>69</v>
      </c>
      <c r="G5" s="140" t="s">
        <v>70</v>
      </c>
      <c r="H5" s="21" t="s">
        <v>71</v>
      </c>
      <c r="I5" s="140" t="s">
        <v>72</v>
      </c>
      <c r="J5" s="140"/>
      <c r="K5" s="140"/>
      <c r="L5" s="21" t="s">
        <v>73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74</v>
      </c>
      <c r="J6" s="140" t="s">
        <v>75</v>
      </c>
      <c r="K6" s="140" t="s">
        <v>76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 t="n">
        <v>46174</v>
      </c>
      <c r="C8" s="56" t="s">
        <v>77</v>
      </c>
      <c r="D8" s="56" t="s">
        <v>78</v>
      </c>
      <c r="E8" s="133" t="n">
        <v>13000</v>
      </c>
      <c r="F8" s="133" t="n">
        <v>200</v>
      </c>
      <c r="G8" s="133" t="n">
        <v>1800</v>
      </c>
      <c r="H8" s="142" t="n">
        <v>20</v>
      </c>
      <c r="I8" s="134" t="n">
        <f aca="false">IF(E8&gt;0,(E8+F8+G8)/H8," ")</f>
        <v>750</v>
      </c>
      <c r="J8" s="134" t="n">
        <f aca="false">IF(H8&gt;0,I8-K8," ")</f>
        <v>660</v>
      </c>
      <c r="K8" s="134" t="n">
        <f aca="false">IF(H8&gt;0,G8/H8," ")</f>
        <v>90</v>
      </c>
      <c r="L8" s="56" t="s">
        <v>40</v>
      </c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 t="n">
        <v>46266</v>
      </c>
      <c r="C10" s="56" t="s">
        <v>77</v>
      </c>
      <c r="D10" s="56" t="s">
        <v>79</v>
      </c>
      <c r="E10" s="133" t="n">
        <v>7000</v>
      </c>
      <c r="F10" s="133" t="n">
        <v>100</v>
      </c>
      <c r="G10" s="133" t="n">
        <v>1000</v>
      </c>
      <c r="H10" s="142" t="n">
        <v>20</v>
      </c>
      <c r="I10" s="134" t="n">
        <f aca="false">IF(E10&gt;0,(E10+F10+G10)/H10," ")</f>
        <v>405</v>
      </c>
      <c r="J10" s="134" t="n">
        <f aca="false">IF(H10&gt;0,I10-K10," ")</f>
        <v>355</v>
      </c>
      <c r="K10" s="134" t="n">
        <f aca="false">IF(H10&gt;0,G10/H10," ")</f>
        <v>50</v>
      </c>
      <c r="L10" s="56" t="s">
        <v>40</v>
      </c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str">
        <f aca="false">IF(E12&gt;0,(E12+F12+G12)/H12," ")</f>
        <v> 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str">
        <f aca="false">IF(E14&gt;0,(E14+F14+G14)/H14," ")</f>
        <v> 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80</v>
      </c>
      <c r="C17" s="62"/>
      <c r="D17" s="137"/>
      <c r="E17" s="131"/>
      <c r="F17" s="131"/>
      <c r="G17" s="131"/>
      <c r="H17" s="62" t="s">
        <v>81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65</v>
      </c>
      <c r="C19" s="21" t="s">
        <v>66</v>
      </c>
      <c r="D19" s="21" t="s">
        <v>67</v>
      </c>
      <c r="E19" s="140" t="s">
        <v>68</v>
      </c>
      <c r="F19" s="140" t="s">
        <v>69</v>
      </c>
      <c r="G19" s="140" t="s">
        <v>70</v>
      </c>
      <c r="H19" s="21" t="s">
        <v>71</v>
      </c>
      <c r="I19" s="140" t="s">
        <v>72</v>
      </c>
      <c r="J19" s="140"/>
      <c r="K19" s="140"/>
      <c r="L19" s="21" t="s">
        <v>73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74</v>
      </c>
      <c r="J20" s="140" t="s">
        <v>75</v>
      </c>
      <c r="K20" s="140" t="s">
        <v>76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str">
        <f aca="false">IF(E24&gt;0,(E24+F24+G24)/H24," ")</f>
        <v> 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str">
        <f aca="false">IF(E26&gt;0,(E26+F26+G26)/H26," ")</f>
        <v> 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str">
        <f aca="false">IF(E28&gt;0,(E28+F28+G28)/H28," ")</f>
        <v> 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