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Debtors" sheetId="14" state="visible" r:id="rId16"/>
  </sheets>
  <definedNames>
    <definedName function="false" hidden="false" localSheetId="1" name="_xlnm.Print_Area" vbProcedure="false">Apr!$A$1:$X$75</definedName>
    <definedName function="false" hidden="false" localSheetId="1" name="_xlnm.Print_Titles" vbProcedure="false">Apr!$A:$E,Apr!$1:$4</definedName>
    <definedName function="false" hidden="false" localSheetId="5" name="_xlnm.Print_Area" vbProcedure="false">Aug!$A$1:$X$75</definedName>
    <definedName function="false" hidden="false" localSheetId="5" name="_xlnm.Print_Titles" vbProcedure="false">Aug!$A:$E,Aug!$1:$4</definedName>
    <definedName function="false" hidden="false" localSheetId="13" name="_xlnm.Print_Area" vbProcedure="false">ClosingDebtors!$A$1:$Q$75</definedName>
    <definedName function="false" hidden="false" localSheetId="13" name="_xlnm.Print_Titles" vbProcedure="false">ClosingDebtors!$A:$E,ClosingDebtors!$1:$4</definedName>
    <definedName function="false" hidden="false" localSheetId="9" name="_xlnm.Print_Area" vbProcedure="false">Dec!$A$1:$X$75</definedName>
    <definedName function="false" hidden="false" localSheetId="9" name="_xlnm.Print_Titles" vbProcedure="false">Dec!$A:$E,Dec!$1:$4</definedName>
    <definedName function="false" hidden="false" localSheetId="11" name="_xlnm.Print_Area" vbProcedure="false">Feb!$A$1:$X$75</definedName>
    <definedName function="false" hidden="false" localSheetId="11" name="_xlnm.Print_Titles" vbProcedure="false">Feb!$A:$E,Feb!$1:$4</definedName>
    <definedName function="false" hidden="false" localSheetId="10" name="_xlnm.Print_Area" vbProcedure="false">Jan!$A$1:$X$75</definedName>
    <definedName function="false" hidden="false" localSheetId="10" name="_xlnm.Print_Titles" vbProcedure="false">Jan!$A:$E,Jan!$1:$4</definedName>
    <definedName function="false" hidden="false" localSheetId="4" name="_xlnm.Print_Area" vbProcedure="false">Jul!$A$1:$X$75</definedName>
    <definedName function="false" hidden="false" localSheetId="4" name="_xlnm.Print_Titles" vbProcedure="false">Jul!$A:$E,Jul!$1:$4</definedName>
    <definedName function="false" hidden="false" localSheetId="3" name="_xlnm.Print_Area" vbProcedure="false">Jun!$A$1:$X$75</definedName>
    <definedName function="false" hidden="false" localSheetId="3" name="_xlnm.Print_Titles" vbProcedure="false">Jun!$A:$E,Jun!$1:$4</definedName>
    <definedName function="false" hidden="false" localSheetId="12" name="_xlnm.Print_Area" vbProcedure="false">Mar!$A$1:$X$75</definedName>
    <definedName function="false" hidden="false" localSheetId="12" name="_xlnm.Print_Titles" vbProcedure="false">Mar!$A:$E,Mar!$1:$4</definedName>
    <definedName function="false" hidden="false" localSheetId="2" name="_xlnm.Print_Area" vbProcedure="false">May!$A$1:$X$75</definedName>
    <definedName function="false" hidden="false" localSheetId="2" name="_xlnm.Print_Titles" vbProcedure="false">May!$A:$E,May!$1:$4</definedName>
    <definedName function="false" hidden="false" localSheetId="8" name="_xlnm.Print_Area" vbProcedure="false">Nov!$A$1:$X$75</definedName>
    <definedName function="false" hidden="false" localSheetId="8" name="_xlnm.Print_Titles" vbProcedure="false">Nov!$A:$E,Nov!$1:$4</definedName>
    <definedName function="false" hidden="false" localSheetId="7" name="_xlnm.Print_Area" vbProcedure="false">Oct!$A$1:$X$75</definedName>
    <definedName function="false" hidden="false" localSheetId="7" name="_xlnm.Print_Titles" vbProcedure="false">Oct!$A:$E,Oct!$1:$4</definedName>
    <definedName function="false" hidden="false" localSheetId="0" name="_xlnm.Print_Area" vbProcedure="false">OpeningDebtors!$A$1:$Q$75</definedName>
    <definedName function="false" hidden="false" localSheetId="0" name="_xlnm.Print_Titles" vbProcedure="false">OpeningDebtors!$A:$E,OpeningDebtors!$1:$4</definedName>
    <definedName function="false" hidden="false" localSheetId="6" name="_xlnm.Print_Area" vbProcedure="false">Sep!$A$1:$X$75</definedName>
    <definedName function="false" hidden="false" localSheetId="6" name="_xlnm.Print_Titles" vbProcedure="false">Sep!$A:$E,Sep!$1:$4</definedName>
    <definedName function="false" hidden="false" localSheetId="0" name="Excel_BuiltIn_Print_Titles" vbProcedure="false">(OpeningDebtors!$A:$E,OpeningDebtors!$1:$4)</definedName>
    <definedName function="false" hidden="false" localSheetId="0" name="_xlnm_Print_Area" vbProcedure="false">OpeningDebtors!$A$1:$Q$75</definedName>
    <definedName function="false" hidden="false" localSheetId="0" name="_xlnm_Print_Titles" vbProcedure="false">(OpeningDebtors!$A:$E,OpeningDebtors!$1:$4)</definedName>
    <definedName function="false" hidden="false" localSheetId="1" name="Excel_BuiltIn_Print_Titles" vbProcedure="false">(Apr!$A:$E,Apr!$1:$4)</definedName>
    <definedName function="false" hidden="false" localSheetId="1" name="_xlnm_Print_Area" vbProcedure="false">Apr!$A$1:$X$75</definedName>
    <definedName function="false" hidden="false" localSheetId="1" name="_xlnm_Print_Titles" vbProcedure="false">(Apr!$A:$E,Apr!$1:$4)</definedName>
    <definedName function="false" hidden="false" localSheetId="2" name="Excel_BuiltIn_Print_Titles" vbProcedure="false">(May!$A:$E,May!$1:$4)</definedName>
    <definedName function="false" hidden="false" localSheetId="2" name="_xlnm_Print_Area" vbProcedure="false">May!$A$1:$X$75</definedName>
    <definedName function="false" hidden="false" localSheetId="2" name="_xlnm_Print_Titles" vbProcedure="false">(May!$A:$E,May!$1:$4)</definedName>
    <definedName function="false" hidden="false" localSheetId="3" name="Excel_BuiltIn_Print_Titles" vbProcedure="false">(Jun!$A:$E,Jun!$1:$4)</definedName>
    <definedName function="false" hidden="false" localSheetId="3" name="_xlnm_Print_Area" vbProcedure="false">Jun!$A$1:$X$75</definedName>
    <definedName function="false" hidden="false" localSheetId="3" name="_xlnm_Print_Titles" vbProcedure="false">(Jun!$A:$E,Jun!$1:$4)</definedName>
    <definedName function="false" hidden="false" localSheetId="4" name="Excel_BuiltIn_Print_Titles" vbProcedure="false">(Jul!$A:$E,Jul!$1:$4)</definedName>
    <definedName function="false" hidden="false" localSheetId="4" name="_xlnm_Print_Area" vbProcedure="false">Jul!$A$1:$X$75</definedName>
    <definedName function="false" hidden="false" localSheetId="4" name="_xlnm_Print_Titles" vbProcedure="false">(Jul!$A:$E,Jul!$1:$4)</definedName>
    <definedName function="false" hidden="false" localSheetId="5" name="Excel_BuiltIn_Print_Titles" vbProcedure="false">(Aug!$A:$E,Aug!$1:$4)</definedName>
    <definedName function="false" hidden="false" localSheetId="5" name="_xlnm_Print_Area" vbProcedure="false">Aug!$A$1:$X$75</definedName>
    <definedName function="false" hidden="false" localSheetId="5" name="_xlnm_Print_Titles" vbProcedure="false">(Aug!$A:$E,Aug!$1:$4)</definedName>
    <definedName function="false" hidden="false" localSheetId="6" name="Excel_BuiltIn_Print_Titles" vbProcedure="false">(Sep!$A:$E,Sep!$1:$4)</definedName>
    <definedName function="false" hidden="false" localSheetId="6" name="_xlnm_Print_Area" vbProcedure="false">Sep!$A$1:$X$75</definedName>
    <definedName function="false" hidden="false" localSheetId="6" name="_xlnm_Print_Titles" vbProcedure="false">(Sep!$A:$E,Sep!$1:$4)</definedName>
    <definedName function="false" hidden="false" localSheetId="7" name="Excel_BuiltIn_Print_Titles" vbProcedure="false">(Oct!$A:$E,Oct!$1:$4)</definedName>
    <definedName function="false" hidden="false" localSheetId="7" name="_xlnm_Print_Area" vbProcedure="false">Oct!$A$1:$X$75</definedName>
    <definedName function="false" hidden="false" localSheetId="7" name="_xlnm_Print_Titles" vbProcedure="false">(Oct!$A:$E,Oct!$1:$4)</definedName>
    <definedName function="false" hidden="false" localSheetId="8" name="Excel_BuiltIn_Print_Titles" vbProcedure="false">(Nov!$A:$E,Nov!$1:$4)</definedName>
    <definedName function="false" hidden="false" localSheetId="8" name="_xlnm_Print_Area" vbProcedure="false">Nov!$A$1:$X$75</definedName>
    <definedName function="false" hidden="false" localSheetId="8" name="_xlnm_Print_Titles" vbProcedure="false">(Nov!$A:$E,Nov!$1:$4)</definedName>
    <definedName function="false" hidden="false" localSheetId="9" name="Excel_BuiltIn_Print_Titles" vbProcedure="false">(Dec!$A:$E,Dec!$1:$4)</definedName>
    <definedName function="false" hidden="false" localSheetId="9" name="_xlnm_Print_Area" vbProcedure="false">Dec!$A$1:$X$75</definedName>
    <definedName function="false" hidden="false" localSheetId="9" name="_xlnm_Print_Titles" vbProcedure="false">(Dec!$A:$E,Dec!$1:$4)</definedName>
    <definedName function="false" hidden="false" localSheetId="10" name="Excel_BuiltIn_Print_Titles" vbProcedure="false">(Jan!$A:$E,Jan!$1:$4)</definedName>
    <definedName function="false" hidden="false" localSheetId="10" name="_xlnm_Print_Area" vbProcedure="false">Jan!$A$1:$X$75</definedName>
    <definedName function="false" hidden="false" localSheetId="10" name="_xlnm_Print_Titles" vbProcedure="false">(Jan!$A:$E,Jan!$1:$4)</definedName>
    <definedName function="false" hidden="false" localSheetId="11" name="Excel_BuiltIn_Print_Titles" vbProcedure="false">(Feb!$A:$E,Feb!$1:$4)</definedName>
    <definedName function="false" hidden="false" localSheetId="11" name="_xlnm_Print_Area" vbProcedure="false">Feb!$A$1:$X$75</definedName>
    <definedName function="false" hidden="false" localSheetId="11" name="_xlnm_Print_Titles" vbProcedure="false">(Feb!$A:$E,Feb!$1:$4)</definedName>
    <definedName function="false" hidden="false" localSheetId="12" name="Excel_BuiltIn_Print_Titles" vbProcedure="false">(Mar!$A:$E,Mar!$1:$4)</definedName>
    <definedName function="false" hidden="false" localSheetId="12" name="_xlnm_Print_Area" vbProcedure="false">Mar!$A$1:$X$75</definedName>
    <definedName function="false" hidden="false" localSheetId="12" name="_xlnm_Print_Titles" vbProcedure="false">(Mar!$A:$E,Mar!$1:$4)</definedName>
    <definedName function="false" hidden="false" localSheetId="13" name="Excel_BuiltIn_Print_Titles" vbProcedure="false">(ClosingDebtors!$A:$E,ClosingDebtors!$1:$4)</definedName>
    <definedName function="false" hidden="false" localSheetId="13" name="_xlnm_Print_Area" vbProcedure="false">ClosingDebtors!$A$1:$Q$75</definedName>
    <definedName function="false" hidden="false" localSheetId="13" name="_xlnm_Print_Titles" vbProcedure="false">(ClosingDebtors!$A:$E,ClosingDebtors!$1:$4)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<sst xmlns="http://schemas.openxmlformats.org/spreadsheetml/2006/main" count="1010" uniqueCount="208">
  <si>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</si>
  <si>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</si>
  <si>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</si>
  <si>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</si>
  <si>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For your information only. Enter How Paid e.g. Cash, Cheque etc.,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</si>
  <si>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</si>
  <si>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</si>
  <si>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</si>
  <si>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</si>
  <si>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</si>
  <si>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</si>
  <si>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</si>
  <si>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</si>
  <si>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</si>
  <si>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</si>
  <si>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</si>
  <si>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</si>
  <si>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</si>
  <si>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</si>
  <si>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</si>
  <si>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</si>
  <si>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</si>
  <si>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Sales Mileage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</si>
  <si>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</si>
  <si>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</si>
  <si>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</si>
  <si>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</si>
  <si>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</si>
  <si>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</si>
  <si>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Product          A</t>
  </si>
  <si>
    <t xml:space="preserve">Product      B</t>
  </si>
  <si>
    <t xml:space="preserve">Product        C</t>
  </si>
  <si>
    <t xml:space="preserve">Sale of          Fixed Assets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</si>
  <si>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</si>
  <si>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</si>
  <si>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</si>
  <si>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</si>
  <si>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</si>
  <si>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</si>
  <si>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</si>
  <si>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INV-1301</t>
  </si>
  <si>
    <t xml:space="preserve">Software licence renewal</t>
  </si>
  <si>
    <t xml:space="preserve">b</t>
  </si>
  <si>
    <t xml:space="preserve">4001</t>
  </si>
  <si>
    <t xml:space="preserve">FreshField Ltd</t>
  </si>
  <si>
    <t xml:space="preserve">INV-2601</t>
  </si>
  <si>
    <t xml:space="preserve">Software monitoring licence</t>
  </si>
  <si>
    <t xml:space="preserve">CloudNine Ltd</t>
  </si>
  <si>
    <t xml:space="preserve">INV-1401</t>
  </si>
  <si>
    <t xml:space="preserve">SaaS licence fee</t>
  </si>
  <si>
    <t xml:space="preserve">Cedar Systems</t>
  </si>
  <si>
    <t xml:space="preserve">INV-2401</t>
  </si>
  <si>
    <t xml:space="preserve">Managed services</t>
  </si>
  <si>
    <t xml:space="preserve">a</t>
  </si>
  <si>
    <t xml:space="preserve">4000</t>
  </si>
  <si>
    <t xml:space="preserve">Pinnacle Group</t>
  </si>
  <si>
    <t xml:space="preserve">INV-2201</t>
  </si>
  <si>
    <t xml:space="preserve">Monthly support contract</t>
  </si>
  <si>
    <t xml:space="preserve">INV-1001</t>
  </si>
  <si>
    <t xml:space="preserve">IT consultancy services</t>
  </si>
  <si>
    <t xml:space="preserve">TechStart Ltd</t>
  </si>
  <si>
    <t xml:space="preserve">INV-1101</t>
  </si>
  <si>
    <t xml:space="preserve">IT consultancy retainer</t>
  </si>
  <si>
    <t xml:space="preserve">DataFlow Inc</t>
  </si>
  <si>
    <t xml:space="preserve">INV-1201</t>
  </si>
  <si>
    <t xml:space="preserve">Ad-hoc consultancy project</t>
  </si>
  <si>
    <t xml:space="preserve">Horizon Analytics</t>
  </si>
  <si>
    <t xml:space="preserve">INV-2701</t>
  </si>
  <si>
    <t xml:space="preserve">Data analytics commission</t>
  </si>
  <si>
    <t xml:space="preserve">d</t>
  </si>
  <si>
    <t xml:space="preserve">4003</t>
  </si>
  <si>
    <t xml:space="preserve">INV-2602</t>
  </si>
  <si>
    <t xml:space="preserve">INV-1402</t>
  </si>
  <si>
    <t xml:space="preserve">INV-2402</t>
  </si>
  <si>
    <t xml:space="preserve">INV-2202</t>
  </si>
  <si>
    <t xml:space="preserve">QuickFix IT</t>
  </si>
  <si>
    <t xml:space="preserve">INV-2001</t>
  </si>
  <si>
    <t xml:space="preserve">IT support consultancy</t>
  </si>
  <si>
    <t xml:space="preserve">INV-1002</t>
  </si>
  <si>
    <t xml:space="preserve">Summit Training</t>
  </si>
  <si>
    <t xml:space="preserve">INV-2801</t>
  </si>
  <si>
    <t xml:space="preserve">Technical training delivery</t>
  </si>
  <si>
    <t xml:space="preserve">c</t>
  </si>
  <si>
    <t xml:space="preserve">4002</t>
  </si>
  <si>
    <t xml:space="preserve">INV-1102</t>
  </si>
  <si>
    <t xml:space="preserve">Oakridge Partners</t>
  </si>
  <si>
    <t xml:space="preserve">INV-2501</t>
  </si>
  <si>
    <t xml:space="preserve">Quarterly consulting engagement</t>
  </si>
  <si>
    <t xml:space="preserve">INV-2603</t>
  </si>
  <si>
    <t xml:space="preserve">INV-1403</t>
  </si>
  <si>
    <t xml:space="preserve">INV-2403</t>
  </si>
  <si>
    <t xml:space="preserve">INV-2203</t>
  </si>
  <si>
    <t xml:space="preserve">INV-1003</t>
  </si>
  <si>
    <t xml:space="preserve">INV-1103</t>
  </si>
  <si>
    <t xml:space="preserve">INV-1202</t>
  </si>
  <si>
    <t xml:space="preserve">INV-1501</t>
  </si>
  <si>
    <t xml:space="preserve">Advanced DevOps training course</t>
  </si>
  <si>
    <t xml:space="preserve">WidgetWorks</t>
  </si>
  <si>
    <t xml:space="preserve">INV-2101</t>
  </si>
  <si>
    <t xml:space="preserve">Project consultancy</t>
  </si>
  <si>
    <t xml:space="preserve">INV-1302</t>
  </si>
  <si>
    <t xml:space="preserve">INV-2604</t>
  </si>
  <si>
    <t xml:space="preserve">INV-1404</t>
  </si>
  <si>
    <t xml:space="preserve">INV-2404</t>
  </si>
  <si>
    <t xml:space="preserve">INV-2204</t>
  </si>
  <si>
    <t xml:space="preserve">NorthStar Digital</t>
  </si>
  <si>
    <t xml:space="preserve">INV-2301</t>
  </si>
  <si>
    <t xml:space="preserve">Project delivery</t>
  </si>
  <si>
    <t xml:space="preserve">INV-1004</t>
  </si>
  <si>
    <t xml:space="preserve">INV-1104</t>
  </si>
  <si>
    <t xml:space="preserve">INV-2702</t>
  </si>
  <si>
    <t xml:space="preserve">Innovate UK</t>
  </si>
  <si>
    <t xml:space="preserve">INV-1701</t>
  </si>
  <si>
    <t xml:space="preserve">Small business innovation grant</t>
  </si>
  <si>
    <t xml:space="preserve">g</t>
  </si>
  <si>
    <t xml:space="preserve">4004</t>
  </si>
  <si>
    <t xml:space="preserve">INV-2605</t>
  </si>
  <si>
    <t xml:space="preserve">INV-1405</t>
  </si>
  <si>
    <t xml:space="preserve">INV-2405</t>
  </si>
  <si>
    <t xml:space="preserve">INV-2205</t>
  </si>
  <si>
    <t xml:space="preserve">INV-2002</t>
  </si>
  <si>
    <t xml:space="preserve">INV-1005</t>
  </si>
  <si>
    <t xml:space="preserve">INV-1105</t>
  </si>
  <si>
    <t xml:space="preserve">INV-1203</t>
  </si>
  <si>
    <t xml:space="preserve">INV-2502</t>
  </si>
  <si>
    <t xml:space="preserve">INV-2606</t>
  </si>
  <si>
    <t xml:space="preserve">INV-1406</t>
  </si>
  <si>
    <t xml:space="preserve">INV-2406</t>
  </si>
  <si>
    <t xml:space="preserve">INV-2206</t>
  </si>
  <si>
    <t xml:space="preserve">INV-1006</t>
  </si>
  <si>
    <t xml:space="preserve">INV-2802</t>
  </si>
  <si>
    <t xml:space="preserve">INV-1106</t>
  </si>
  <si>
    <t xml:space="preserve">StartupHub</t>
  </si>
  <si>
    <t xml:space="preserve">INV-1504</t>
  </si>
  <si>
    <t xml:space="preserve">Agile methodology workshop</t>
  </si>
  <si>
    <t xml:space="preserve">INV-2102</t>
  </si>
  <si>
    <t xml:space="preserve">Epsilon Partners</t>
  </si>
  <si>
    <t xml:space="preserve">INV-1601</t>
  </si>
  <si>
    <t xml:space="preserve">Client referral commission</t>
  </si>
  <si>
    <t xml:space="preserve">INV-1303</t>
  </si>
  <si>
    <t xml:space="preserve">INV-2607</t>
  </si>
  <si>
    <t xml:space="preserve">INV-1407</t>
  </si>
  <si>
    <t xml:space="preserve">INV-2407</t>
  </si>
  <si>
    <t xml:space="preserve">Private buyer</t>
  </si>
  <si>
    <t xml:space="preserve">INV-1901</t>
  </si>
  <si>
    <t xml:space="preserve">Disposal of company van</t>
  </si>
  <si>
    <t xml:space="preserve">fs</t>
  </si>
  <si>
    <t xml:space="preserve">4006</t>
  </si>
  <si>
    <t xml:space="preserve">INV-2207</t>
  </si>
  <si>
    <t xml:space="preserve">INV-2302</t>
  </si>
  <si>
    <t xml:space="preserve">INV-1007</t>
  </si>
  <si>
    <t xml:space="preserve">INV-1107</t>
  </si>
  <si>
    <t xml:space="preserve">INV-1204</t>
  </si>
  <si>
    <t xml:space="preserve">INV-2703</t>
  </si>
  <si>
    <t xml:space="preserve">INV-2608</t>
  </si>
  <si>
    <t xml:space="preserve">INV-1408</t>
  </si>
  <si>
    <t xml:space="preserve">INV-2408</t>
  </si>
  <si>
    <t xml:space="preserve">INV-2208</t>
  </si>
  <si>
    <t xml:space="preserve">INV-2003</t>
  </si>
  <si>
    <t xml:space="preserve">INV-1008</t>
  </si>
  <si>
    <t xml:space="preserve">INV-1108</t>
  </si>
  <si>
    <t xml:space="preserve">Delta PLC</t>
  </si>
  <si>
    <t xml:space="preserve">INV-1502</t>
  </si>
  <si>
    <t xml:space="preserve">Cloud architecture workshop</t>
  </si>
  <si>
    <t xml:space="preserve">INV-2503</t>
  </si>
  <si>
    <t xml:space="preserve">INV-2609</t>
  </si>
  <si>
    <t xml:space="preserve">INV-1409</t>
  </si>
  <si>
    <t xml:space="preserve">INV-2409</t>
  </si>
  <si>
    <t xml:space="preserve">INV-2209</t>
  </si>
  <si>
    <t xml:space="preserve">INV-1009</t>
  </si>
  <si>
    <t xml:space="preserve">INV-1109</t>
  </si>
  <si>
    <t xml:space="preserve">INV-1205</t>
  </si>
  <si>
    <t xml:space="preserve">INV-2103</t>
  </si>
  <si>
    <t xml:space="preserve">INV-1304</t>
  </si>
  <si>
    <t xml:space="preserve">INV-2610</t>
  </si>
  <si>
    <t xml:space="preserve">INV-1410</t>
  </si>
  <si>
    <t xml:space="preserve">INV-2410</t>
  </si>
  <si>
    <t xml:space="preserve">INV-2210</t>
  </si>
  <si>
    <t xml:space="preserve">INV-2303</t>
  </si>
  <si>
    <t xml:space="preserve">INV-1010</t>
  </si>
  <si>
    <t xml:space="preserve">INV-2803</t>
  </si>
  <si>
    <t xml:space="preserve">INV-1110</t>
  </si>
  <si>
    <t xml:space="preserve">Lambda Corp</t>
  </si>
  <si>
    <t xml:space="preserve">INV-1602</t>
  </si>
  <si>
    <t xml:space="preserve">INV-2704</t>
  </si>
  <si>
    <t xml:space="preserve">INV-2611</t>
  </si>
  <si>
    <t xml:space="preserve">INV-1411</t>
  </si>
  <si>
    <t xml:space="preserve">INV-2411</t>
  </si>
  <si>
    <t xml:space="preserve">INV-2211</t>
  </si>
  <si>
    <t xml:space="preserve">INV-1011</t>
  </si>
  <si>
    <t xml:space="preserve">INV-1111</t>
  </si>
  <si>
    <t xml:space="preserve">INV-1206</t>
  </si>
  <si>
    <t xml:space="preserve">MegaCorp</t>
  </si>
  <si>
    <t xml:space="preserve">INV-1503</t>
  </si>
  <si>
    <t xml:space="preserve">Security awareness training</t>
  </si>
  <si>
    <t xml:space="preserve">INV-2504</t>
  </si>
  <si>
    <t xml:space="preserve">INV-2612</t>
  </si>
  <si>
    <t xml:space="preserve">INV-1412</t>
  </si>
  <si>
    <t xml:space="preserve">INV-2412</t>
  </si>
  <si>
    <t xml:space="preserve">INV-2212</t>
  </si>
  <si>
    <t xml:space="preserve">INV-1012</t>
  </si>
  <si>
    <t xml:space="preserve">INV-1112</t>
  </si>
  <si>
    <t xml:space="preserve">INV-2104</t>
  </si>
  <si>
    <t xml:space="preserve">Zeta Corp</t>
  </si>
  <si>
    <t xml:space="preserve">CN-1801</t>
  </si>
  <si>
    <t xml:space="preserve">Bad debt written off</t>
  </si>
  <si>
    <t xml:space="preserve">o</t>
  </si>
  <si>
    <t xml:space="preserve">4005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</si>
</sst>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10800</v>
      </c>
      <c r="H1" s="14" t="n">
        <f aca="false">SUM(H5:H300)</f>
        <v>1800</v>
      </c>
      <c r="I1" s="14" t="n">
        <f aca="false">SUM(I5:I300)</f>
        <v>9000</v>
      </c>
      <c r="J1" s="15"/>
      <c r="K1" s="16" t="s">
        <v>4</v>
      </c>
      <c r="L1" s="17" t="n">
        <f aca="false">SUM(L5:L300)</f>
        <v>0</v>
      </c>
      <c r="M1" s="17" t="n">
        <f aca="false">SUM(M5:M300)</f>
        <v>10800</v>
      </c>
      <c r="N1" s="18" t="n">
        <f aca="true">TODAY()</f>
        <v>46267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Apr!H2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/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16</v>
      </c>
      <c r="G5" s="2" t="n">
        <v>7200</v>
      </c>
      <c r="H5" s="2" t="n">
        <f aca="false">IF(H$4&gt;0,(IF(G5&lt;&gt;0,G5*H$4/100," ")),IF(G5&lt;&gt;0,G5*H$2/(100+H$2)," "))</f>
        <v>1200</v>
      </c>
      <c r="I5" s="2" t="n">
        <f aca="false">IF((G5&lt;&gt;0),G5-H5," ")</f>
        <v>6000</v>
      </c>
      <c r="M5" s="7" t="n">
        <f aca="false">IF(G5&lt;&gt;0,G5-L5," ")</f>
        <v>7200</v>
      </c>
      <c r="N5" s="8" t="n">
        <f aca="false">IF((G5-L5)&lt;&gt;0,N$1-A5," ")</f>
        <v>46267</v>
      </c>
    </row>
    <row r="6" customFormat="false" ht="12.75" hidden="false" customHeight="true" outlineLevel="0" collapsed="false">
      <c r="B6" s="2" t="s">
        <v>17</v>
      </c>
      <c r="C6" s="3" t="s">
        <v>18</v>
      </c>
      <c r="G6" s="2" t="n">
        <v>1200</v>
      </c>
      <c r="H6" s="2" t="n">
        <f aca="false">IF(H$4&gt;0,(IF(G6&lt;&gt;0,G6*H$4/100," ")),IF(G6&lt;&gt;0,G6*H$2/(100+H$2)," "))</f>
        <v>200</v>
      </c>
      <c r="I6" s="2" t="n">
        <f aca="false">IF((G6&lt;&gt;0),G6-H6," ")</f>
        <v>1000</v>
      </c>
      <c r="M6" s="7" t="n">
        <f aca="false">IF(G6&lt;&gt;0,G6-L6," ")</f>
        <v>1200</v>
      </c>
      <c r="N6" s="8" t="n">
        <f aca="false">IF((G6-L6)&lt;&gt;0,N$1-A6," ")</f>
        <v>46267</v>
      </c>
    </row>
    <row r="7" customFormat="false" ht="12" hidden="false" customHeight="false" outlineLevel="0" collapsed="false">
      <c r="B7" s="2" t="s">
        <v>19</v>
      </c>
      <c r="C7" s="3" t="s">
        <v>20</v>
      </c>
      <c r="G7" s="2" t="n">
        <v>2400</v>
      </c>
      <c r="H7" s="2" t="n">
        <f aca="false">IF(H$4&gt;0,(IF(G7&lt;&gt;0,G7*H$4/100," ")),IF(G7&lt;&gt;0,G7*H$2/(100+H$2)," "))</f>
        <v>400</v>
      </c>
      <c r="I7" s="2" t="n">
        <f aca="false">IF((G7&lt;&gt;0),G7-H7," ")</f>
        <v>2000</v>
      </c>
      <c r="M7" s="7" t="n">
        <f aca="false">IF(G7&lt;&gt;0,G7-L7," ")</f>
        <v>2400</v>
      </c>
      <c r="N7" s="8" t="n">
        <f aca="false">IF((G7-L7)&lt;&gt;0,N$1-A7," ")</f>
        <v>46267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33400</v>
      </c>
      <c r="H1" s="14" t="n">
        <f aca="false">SUM(H5:H300)</f>
        <v>5566.66666666667</v>
      </c>
      <c r="I1" s="14" t="n">
        <f aca="false">SUM(I5:I300)</f>
        <v>27833.3333333333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33400</v>
      </c>
      <c r="N1" s="18" t="n">
        <f aca="true">TODAY()</f>
        <v>46267</v>
      </c>
      <c r="O1" s="19"/>
      <c r="P1" s="14" t="n">
        <f aca="false">SUM(P5:P300)</f>
        <v>25333.3333333333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/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45748</v>
      </c>
      <c r="B5" s="2" t="s">
        <v>17</v>
      </c>
      <c r="C5" s="3" t="s">
        <v>40</v>
      </c>
      <c r="E5" s="36" t="s">
        <v>41</v>
      </c>
      <c r="F5" s="4" t="s">
        <v>42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519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45750</v>
      </c>
      <c r="B6" s="2" t="s">
        <v>44</v>
      </c>
      <c r="C6" s="3" t="s">
        <v>45</v>
      </c>
      <c r="E6" s="36" t="s">
        <v>46</v>
      </c>
      <c r="F6" s="4" t="s">
        <v>42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517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45752</v>
      </c>
      <c r="B7" s="2" t="s">
        <v>47</v>
      </c>
      <c r="C7" s="3" t="s">
        <v>48</v>
      </c>
      <c r="E7" s="36" t="s">
        <v>49</v>
      </c>
      <c r="F7" s="4" t="s">
        <v>42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515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43</v>
      </c>
    </row>
    <row r="8" customFormat="false" ht="12" hidden="false" customHeight="false" outlineLevel="0" collapsed="false">
      <c r="A8" s="1" t="n">
        <v>45755</v>
      </c>
      <c r="B8" s="2" t="s">
        <v>50</v>
      </c>
      <c r="C8" s="3" t="s">
        <v>51</v>
      </c>
      <c r="E8" s="36" t="s">
        <v>52</v>
      </c>
      <c r="F8" s="4" t="s">
        <v>53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512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45757</v>
      </c>
      <c r="B9" s="2" t="s">
        <v>55</v>
      </c>
      <c r="C9" s="3" t="s">
        <v>56</v>
      </c>
      <c r="E9" s="36" t="s">
        <v>57</v>
      </c>
      <c r="F9" s="4" t="s">
        <v>53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510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45762</v>
      </c>
      <c r="B10" s="2" t="s">
        <v>15</v>
      </c>
      <c r="C10" s="3" t="s">
        <v>58</v>
      </c>
      <c r="E10" s="36" t="s">
        <v>59</v>
      </c>
      <c r="F10" s="4" t="s">
        <v>53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505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45765</v>
      </c>
      <c r="B11" s="2" t="s">
        <v>60</v>
      </c>
      <c r="C11" s="3" t="s">
        <v>61</v>
      </c>
      <c r="E11" s="36" t="s">
        <v>62</v>
      </c>
      <c r="F11" s="4" t="s">
        <v>53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502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45767</v>
      </c>
      <c r="B12" s="2" t="s">
        <v>63</v>
      </c>
      <c r="C12" s="3" t="s">
        <v>64</v>
      </c>
      <c r="E12" s="36" t="s">
        <v>65</v>
      </c>
      <c r="F12" s="4" t="s">
        <v>53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500</v>
      </c>
      <c r="P12" s="2" t="n">
        <f aca="false">IF((F12="a"),I12," ")</f>
        <v>1500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A13" s="1" t="n">
        <v>45775</v>
      </c>
      <c r="B13" s="2" t="s">
        <v>66</v>
      </c>
      <c r="C13" s="3" t="s">
        <v>67</v>
      </c>
      <c r="E13" s="36" t="s">
        <v>68</v>
      </c>
      <c r="F13" s="4" t="s">
        <v>69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492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70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6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2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32920</v>
      </c>
      <c r="H1" s="14" t="n">
        <f aca="false">SUM(H5:H300)</f>
        <v>5486.66666666667</v>
      </c>
      <c r="I1" s="14" t="n">
        <f aca="false">SUM(I5:I300)</f>
        <v>27433.3333333333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32920</v>
      </c>
      <c r="N1" s="18" t="n">
        <f aca="true">TODAY()</f>
        <v>46267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1000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W1+Apr!X1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Apr!H2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V1+Apr!V2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Apr!H4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45780</v>
      </c>
      <c r="B5" s="2" t="s">
        <v>44</v>
      </c>
      <c r="C5" s="3" t="s">
        <v>71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487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45782</v>
      </c>
      <c r="B6" s="2" t="s">
        <v>47</v>
      </c>
      <c r="C6" s="3" t="s">
        <v>72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485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45785</v>
      </c>
      <c r="B7" s="2" t="s">
        <v>50</v>
      </c>
      <c r="C7" s="3" t="s">
        <v>73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482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45787</v>
      </c>
      <c r="B8" s="2" t="s">
        <v>55</v>
      </c>
      <c r="C8" s="3" t="s">
        <v>74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480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45789</v>
      </c>
      <c r="B9" s="2" t="s">
        <v>75</v>
      </c>
      <c r="C9" s="3" t="s">
        <v>76</v>
      </c>
      <c r="E9" s="36" t="s">
        <v>77</v>
      </c>
      <c r="F9" s="4" t="s">
        <v>53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478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45792</v>
      </c>
      <c r="B10" s="2" t="s">
        <v>15</v>
      </c>
      <c r="C10" s="3" t="s">
        <v>78</v>
      </c>
      <c r="E10" s="36" t="s">
        <v>59</v>
      </c>
      <c r="F10" s="4" t="s">
        <v>53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475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45793</v>
      </c>
      <c r="B11" s="2" t="s">
        <v>79</v>
      </c>
      <c r="C11" s="3" t="s">
        <v>80</v>
      </c>
      <c r="E11" s="36" t="s">
        <v>81</v>
      </c>
      <c r="F11" s="4" t="s">
        <v>82</v>
      </c>
      <c r="G11" s="2" t="n">
        <v>1200</v>
      </c>
      <c r="H11" s="2" t="n">
        <f aca="false">IF(H$4&gt;0,(IF(G11&lt;&gt;0,G11*H$4/100," ")),IF(G11&lt;&gt;0,G11*H$2/(100+H$2)," "))</f>
        <v>200</v>
      </c>
      <c r="I11" s="2" t="n">
        <f aca="false">IF((G11&lt;&gt;0),G11-H11," ")</f>
        <v>1000</v>
      </c>
      <c r="M11" s="7" t="n">
        <f aca="false">IF(G11&lt;&gt;0,G11-L11," ")</f>
        <v>1200</v>
      </c>
      <c r="N11" s="8" t="n">
        <f aca="false">IF((G11-L11)&lt;&gt;0,N$1-A11," ")</f>
        <v>474</v>
      </c>
      <c r="P11" s="2" t="str">
        <f aca="false">IF((F11="a"),I11," ")</f>
        <v> </v>
      </c>
      <c r="Q11" s="2" t="str">
        <f aca="false">IF((F11="b"),I11," ")</f>
        <v> </v>
      </c>
      <c r="R11" s="2" t="n">
        <f aca="false">IF((F11="c"),I11," ")</f>
        <v>1000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83</v>
      </c>
    </row>
    <row r="12" customFormat="false" ht="12" hidden="false" customHeight="false" outlineLevel="0" collapsed="false">
      <c r="A12" s="1" t="n">
        <v>45795</v>
      </c>
      <c r="B12" s="2" t="s">
        <v>60</v>
      </c>
      <c r="C12" s="3" t="s">
        <v>84</v>
      </c>
      <c r="E12" s="36" t="s">
        <v>62</v>
      </c>
      <c r="F12" s="4" t="s">
        <v>53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472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A13" s="1" t="n">
        <v>45802</v>
      </c>
      <c r="B13" s="2" t="s">
        <v>85</v>
      </c>
      <c r="C13" s="3" t="s">
        <v>86</v>
      </c>
      <c r="E13" s="36" t="s">
        <v>87</v>
      </c>
      <c r="F13" s="4" t="s">
        <v>53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465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2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1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35200</v>
      </c>
      <c r="H1" s="14" t="n">
        <f aca="false">SUM(H5:H300)</f>
        <v>5866.66666666667</v>
      </c>
      <c r="I1" s="14" t="n">
        <f aca="false">SUM(I5:I300)</f>
        <v>29333.3333333333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35200</v>
      </c>
      <c r="N1" s="18" t="n">
        <f aca="true">TODAY()</f>
        <v>46267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2000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W1+May!X1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May!H2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V1+May!V2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May!H4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45811</v>
      </c>
      <c r="B5" s="2" t="s">
        <v>44</v>
      </c>
      <c r="C5" s="3" t="s">
        <v>88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456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45813</v>
      </c>
      <c r="B6" s="2" t="s">
        <v>47</v>
      </c>
      <c r="C6" s="3" t="s">
        <v>89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454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45816</v>
      </c>
      <c r="B7" s="2" t="s">
        <v>50</v>
      </c>
      <c r="C7" s="3" t="s">
        <v>90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451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45818</v>
      </c>
      <c r="B8" s="2" t="s">
        <v>55</v>
      </c>
      <c r="C8" s="3" t="s">
        <v>91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449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45823</v>
      </c>
      <c r="B9" s="2" t="s">
        <v>15</v>
      </c>
      <c r="C9" s="3" t="s">
        <v>92</v>
      </c>
      <c r="E9" s="36" t="s">
        <v>59</v>
      </c>
      <c r="F9" s="4" t="s">
        <v>53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444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45826</v>
      </c>
      <c r="B10" s="2" t="s">
        <v>60</v>
      </c>
      <c r="C10" s="3" t="s">
        <v>93</v>
      </c>
      <c r="E10" s="36" t="s">
        <v>62</v>
      </c>
      <c r="F10" s="4" t="s">
        <v>53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441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45828</v>
      </c>
      <c r="B11" s="2" t="s">
        <v>63</v>
      </c>
      <c r="C11" s="3" t="s">
        <v>94</v>
      </c>
      <c r="E11" s="36" t="s">
        <v>65</v>
      </c>
      <c r="F11" s="4" t="s">
        <v>53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439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45828</v>
      </c>
      <c r="B12" s="2" t="s">
        <v>19</v>
      </c>
      <c r="C12" s="3" t="s">
        <v>95</v>
      </c>
      <c r="E12" s="36" t="s">
        <v>96</v>
      </c>
      <c r="F12" s="4" t="s">
        <v>82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439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2000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83</v>
      </c>
    </row>
    <row r="13" customFormat="false" ht="12" hidden="false" customHeight="false" outlineLevel="0" collapsed="false">
      <c r="A13" s="1" t="n">
        <v>45830</v>
      </c>
      <c r="B13" s="2" t="s">
        <v>97</v>
      </c>
      <c r="C13" s="3" t="s">
        <v>98</v>
      </c>
      <c r="E13" s="36" t="s">
        <v>99</v>
      </c>
      <c r="F13" s="4" t="s">
        <v>53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437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46267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V1+Jun!V2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45839</v>
      </c>
      <c r="B5" s="2" t="s">
        <v>17</v>
      </c>
      <c r="C5" s="3" t="s">
        <v>100</v>
      </c>
      <c r="E5" s="36" t="s">
        <v>41</v>
      </c>
      <c r="F5" s="4" t="s">
        <v>42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428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45841</v>
      </c>
      <c r="B6" s="2" t="s">
        <v>44</v>
      </c>
      <c r="C6" s="3" t="s">
        <v>101</v>
      </c>
      <c r="E6" s="36" t="s">
        <v>46</v>
      </c>
      <c r="F6" s="4" t="s">
        <v>42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426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45843</v>
      </c>
      <c r="B7" s="2" t="s">
        <v>47</v>
      </c>
      <c r="C7" s="3" t="s">
        <v>102</v>
      </c>
      <c r="E7" s="36" t="s">
        <v>49</v>
      </c>
      <c r="F7" s="4" t="s">
        <v>42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424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43</v>
      </c>
    </row>
    <row r="8" customFormat="false" ht="12" hidden="false" customHeight="false" outlineLevel="0" collapsed="false">
      <c r="A8" s="1" t="n">
        <v>45846</v>
      </c>
      <c r="B8" s="2" t="s">
        <v>50</v>
      </c>
      <c r="C8" s="3" t="s">
        <v>103</v>
      </c>
      <c r="E8" s="36" t="s">
        <v>52</v>
      </c>
      <c r="F8" s="4" t="s">
        <v>53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421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45848</v>
      </c>
      <c r="B9" s="2" t="s">
        <v>55</v>
      </c>
      <c r="C9" s="3" t="s">
        <v>104</v>
      </c>
      <c r="E9" s="36" t="s">
        <v>57</v>
      </c>
      <c r="F9" s="4" t="s">
        <v>53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419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45852</v>
      </c>
      <c r="B10" s="2" t="s">
        <v>105</v>
      </c>
      <c r="C10" s="3" t="s">
        <v>106</v>
      </c>
      <c r="E10" s="36" t="s">
        <v>107</v>
      </c>
      <c r="F10" s="4" t="s">
        <v>53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415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45853</v>
      </c>
      <c r="B11" s="2" t="s">
        <v>15</v>
      </c>
      <c r="C11" s="3" t="s">
        <v>108</v>
      </c>
      <c r="E11" s="36" t="s">
        <v>59</v>
      </c>
      <c r="F11" s="4" t="s">
        <v>53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414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45856</v>
      </c>
      <c r="B12" s="2" t="s">
        <v>60</v>
      </c>
      <c r="C12" s="3" t="s">
        <v>109</v>
      </c>
      <c r="E12" s="36" t="s">
        <v>62</v>
      </c>
      <c r="F12" s="4" t="s">
        <v>53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411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A13" s="1" t="n">
        <v>45866</v>
      </c>
      <c r="B13" s="2" t="s">
        <v>66</v>
      </c>
      <c r="C13" s="3" t="s">
        <v>110</v>
      </c>
      <c r="E13" s="36" t="s">
        <v>68</v>
      </c>
      <c r="F13" s="4" t="s">
        <v>69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401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70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36020</v>
      </c>
      <c r="H1" s="14" t="n">
        <f aca="false">SUM(H5:H300)</f>
        <v>6003.33333333333</v>
      </c>
      <c r="I1" s="14" t="n">
        <f aca="false">SUM(I5:I300)</f>
        <v>30016.6666666667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36020</v>
      </c>
      <c r="N1" s="18" t="n">
        <f aca="true">TODAY()</f>
        <v>46267</v>
      </c>
      <c r="O1" s="19"/>
      <c r="P1" s="14" t="n">
        <f aca="false">SUM(P5:P300)</f>
        <v>27133.3333333333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2083.33333333333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W1+Jul!X1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Jul!H2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V1+Jul!V2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Jul!H4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45870</v>
      </c>
      <c r="B5" s="2" t="s">
        <v>111</v>
      </c>
      <c r="C5" s="3" t="s">
        <v>112</v>
      </c>
      <c r="E5" s="36" t="s">
        <v>113</v>
      </c>
      <c r="F5" s="4" t="s">
        <v>114</v>
      </c>
      <c r="G5" s="2" t="n">
        <v>2500</v>
      </c>
      <c r="H5" s="2" t="n">
        <f aca="false">IF(H$4&gt;0,(IF(G5&lt;&gt;0,G5*H$4/100," ")),IF(G5&lt;&gt;0,G5*H$2/(100+H$2)," "))</f>
        <v>416.666666666667</v>
      </c>
      <c r="I5" s="2" t="n">
        <f aca="false">IF((G5&lt;&gt;0),G5-H5," ")</f>
        <v>2083.33333333333</v>
      </c>
      <c r="M5" s="7" t="n">
        <f aca="false">IF(G5&lt;&gt;0,G5-L5," ")</f>
        <v>2500</v>
      </c>
      <c r="N5" s="8" t="n">
        <f aca="false">IF((G5-L5)&lt;&gt;0,N$1-A5," ")</f>
        <v>397</v>
      </c>
      <c r="P5" s="2" t="str">
        <f aca="false">IF((F5="a"),I5," ")</f>
        <v> 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n">
        <f aca="false">IF((F5="g"),I5," ")</f>
        <v>2083.33333333333</v>
      </c>
      <c r="U5" s="2" t="str">
        <f aca="false">IF((F5="o"),I5," ")</f>
        <v> </v>
      </c>
      <c r="V5" s="2" t="str">
        <f aca="false">IF((F5="FS"),I5," ")</f>
        <v> </v>
      </c>
      <c r="BZ5" s="2" t="s">
        <v>115</v>
      </c>
    </row>
    <row r="6" customFormat="false" ht="12.75" hidden="false" customHeight="true" outlineLevel="0" collapsed="false">
      <c r="A6" s="1" t="n">
        <v>45872</v>
      </c>
      <c r="B6" s="2" t="s">
        <v>44</v>
      </c>
      <c r="C6" s="3" t="s">
        <v>116</v>
      </c>
      <c r="E6" s="36" t="s">
        <v>46</v>
      </c>
      <c r="F6" s="4" t="s">
        <v>42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395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45874</v>
      </c>
      <c r="B7" s="2" t="s">
        <v>47</v>
      </c>
      <c r="C7" s="3" t="s">
        <v>117</v>
      </c>
      <c r="E7" s="36" t="s">
        <v>49</v>
      </c>
      <c r="F7" s="4" t="s">
        <v>42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393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43</v>
      </c>
    </row>
    <row r="8" customFormat="false" ht="12" hidden="false" customHeight="false" outlineLevel="0" collapsed="false">
      <c r="A8" s="1" t="n">
        <v>45877</v>
      </c>
      <c r="B8" s="2" t="s">
        <v>50</v>
      </c>
      <c r="C8" s="3" t="s">
        <v>118</v>
      </c>
      <c r="E8" s="36" t="s">
        <v>52</v>
      </c>
      <c r="F8" s="4" t="s">
        <v>53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390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45879</v>
      </c>
      <c r="B9" s="2" t="s">
        <v>55</v>
      </c>
      <c r="C9" s="3" t="s">
        <v>119</v>
      </c>
      <c r="E9" s="36" t="s">
        <v>57</v>
      </c>
      <c r="F9" s="4" t="s">
        <v>53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388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45881</v>
      </c>
      <c r="B10" s="2" t="s">
        <v>75</v>
      </c>
      <c r="C10" s="3" t="s">
        <v>120</v>
      </c>
      <c r="E10" s="36" t="s">
        <v>77</v>
      </c>
      <c r="F10" s="4" t="s">
        <v>53</v>
      </c>
      <c r="G10" s="2" t="n">
        <v>960</v>
      </c>
      <c r="H10" s="2" t="n">
        <f aca="false">IF(H$4&gt;0,(IF(G10&lt;&gt;0,G10*H$4/100," ")),IF(G10&lt;&gt;0,G10*H$2/(100+H$2)," "))</f>
        <v>160</v>
      </c>
      <c r="I10" s="2" t="n">
        <f aca="false">IF((G10&lt;&gt;0),G10-H10," ")</f>
        <v>800</v>
      </c>
      <c r="M10" s="7" t="n">
        <f aca="false">IF(G10&lt;&gt;0,G10-L10," ")</f>
        <v>960</v>
      </c>
      <c r="N10" s="8" t="n">
        <f aca="false">IF((G10-L10)&lt;&gt;0,N$1-A10," ")</f>
        <v>386</v>
      </c>
      <c r="P10" s="2" t="n">
        <f aca="false">IF((F10="a"),I10," ")</f>
        <v>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45884</v>
      </c>
      <c r="B11" s="2" t="s">
        <v>15</v>
      </c>
      <c r="C11" s="3" t="s">
        <v>121</v>
      </c>
      <c r="E11" s="36" t="s">
        <v>59</v>
      </c>
      <c r="F11" s="4" t="s">
        <v>53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383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45887</v>
      </c>
      <c r="B12" s="2" t="s">
        <v>60</v>
      </c>
      <c r="C12" s="3" t="s">
        <v>122</v>
      </c>
      <c r="E12" s="36" t="s">
        <v>62</v>
      </c>
      <c r="F12" s="4" t="s">
        <v>53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380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A13" s="1" t="n">
        <v>45889</v>
      </c>
      <c r="B13" s="2" t="s">
        <v>63</v>
      </c>
      <c r="C13" s="3" t="s">
        <v>123</v>
      </c>
      <c r="E13" s="36" t="s">
        <v>65</v>
      </c>
      <c r="F13" s="4" t="s">
        <v>53</v>
      </c>
      <c r="G13" s="2" t="n">
        <v>1800</v>
      </c>
      <c r="H13" s="2" t="n">
        <f aca="false">IF(H$4&gt;0,(IF(G13&lt;&gt;0,G13*H$4/100," ")),IF(G13&lt;&gt;0,G13*H$2/(100+H$2)," "))</f>
        <v>300</v>
      </c>
      <c r="I13" s="2" t="n">
        <f aca="false">IF((G13&lt;&gt;0),G13-H13," ")</f>
        <v>1500</v>
      </c>
      <c r="M13" s="7" t="n">
        <f aca="false">IF(G13&lt;&gt;0,G13-L13," ")</f>
        <v>1800</v>
      </c>
      <c r="N13" s="8" t="n">
        <f aca="false">IF((G13-L13)&lt;&gt;0,N$1-A13," ")</f>
        <v>378</v>
      </c>
      <c r="P13" s="2" t="n">
        <f aca="false">IF((F13="a"),I13," ")</f>
        <v>1500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A14" s="1" t="n">
        <v>45894</v>
      </c>
      <c r="B14" s="2" t="s">
        <v>85</v>
      </c>
      <c r="C14" s="3" t="s">
        <v>124</v>
      </c>
      <c r="E14" s="36" t="s">
        <v>87</v>
      </c>
      <c r="F14" s="4" t="s">
        <v>53</v>
      </c>
      <c r="G14" s="2" t="n">
        <v>1200</v>
      </c>
      <c r="H14" s="2" t="n">
        <f aca="false">IF(H$4&gt;0,(IF(G14&lt;&gt;0,G14*H$4/100," ")),IF(G14&lt;&gt;0,G14*H$2/(100+H$2)," "))</f>
        <v>200</v>
      </c>
      <c r="I14" s="2" t="n">
        <f aca="false">IF((G14&lt;&gt;0),G14-H14," ")</f>
        <v>1000</v>
      </c>
      <c r="M14" s="7" t="n">
        <f aca="false">IF(G14&lt;&gt;0,G14-L14," ")</f>
        <v>1200</v>
      </c>
      <c r="N14" s="8" t="n">
        <f aca="false">IF((G14-L14)&lt;&gt;0,N$1-A14," ")</f>
        <v>373</v>
      </c>
      <c r="P14" s="2" t="n">
        <f aca="false">IF((F14="a"),I14," ")</f>
        <v>1000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  <c r="BZ14" s="2" t="s">
        <v>54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46267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1800</v>
      </c>
      <c r="S1" s="14" t="n">
        <f aca="false">SUM(S5:S300)</f>
        <v>500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W1+Aug!X1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Aug!H2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V1+Aug!V2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Aug!H4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45903</v>
      </c>
      <c r="B5" s="2" t="s">
        <v>44</v>
      </c>
      <c r="C5" s="3" t="s">
        <v>125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364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45905</v>
      </c>
      <c r="B6" s="2" t="s">
        <v>47</v>
      </c>
      <c r="C6" s="3" t="s">
        <v>126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362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45908</v>
      </c>
      <c r="B7" s="2" t="s">
        <v>50</v>
      </c>
      <c r="C7" s="3" t="s">
        <v>127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359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45910</v>
      </c>
      <c r="B8" s="2" t="s">
        <v>55</v>
      </c>
      <c r="C8" s="3" t="s">
        <v>128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357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45915</v>
      </c>
      <c r="B9" s="2" t="s">
        <v>15</v>
      </c>
      <c r="C9" s="3" t="s">
        <v>129</v>
      </c>
      <c r="E9" s="36" t="s">
        <v>59</v>
      </c>
      <c r="F9" s="4" t="s">
        <v>53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352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45916</v>
      </c>
      <c r="B10" s="2" t="s">
        <v>79</v>
      </c>
      <c r="C10" s="3" t="s">
        <v>130</v>
      </c>
      <c r="E10" s="36" t="s">
        <v>81</v>
      </c>
      <c r="F10" s="4" t="s">
        <v>82</v>
      </c>
      <c r="G10" s="2" t="n">
        <v>1200</v>
      </c>
      <c r="H10" s="2" t="n">
        <f aca="false">IF(H$4&gt;0,(IF(G10&lt;&gt;0,G10*H$4/100," ")),IF(G10&lt;&gt;0,G10*H$2/(100+H$2)," "))</f>
        <v>200</v>
      </c>
      <c r="I10" s="2" t="n">
        <f aca="false">IF((G10&lt;&gt;0),G10-H10," ")</f>
        <v>1000</v>
      </c>
      <c r="M10" s="7" t="n">
        <f aca="false">IF(G10&lt;&gt;0,G10-L10," ")</f>
        <v>1200</v>
      </c>
      <c r="N10" s="8" t="n">
        <f aca="false">IF((G10-L10)&lt;&gt;0,N$1-A10," ")</f>
        <v>351</v>
      </c>
      <c r="P10" s="2" t="str">
        <f aca="false">IF((F10="a"),I10," ")</f>
        <v> </v>
      </c>
      <c r="Q10" s="2" t="str">
        <f aca="false">IF((F10="b"),I10," ")</f>
        <v> </v>
      </c>
      <c r="R10" s="2" t="n">
        <f aca="false">IF((F10="c"),I10," ")</f>
        <v>1000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83</v>
      </c>
    </row>
    <row r="11" customFormat="false" ht="12" hidden="false" customHeight="false" outlineLevel="0" collapsed="false">
      <c r="A11" s="1" t="n">
        <v>45918</v>
      </c>
      <c r="B11" s="2" t="s">
        <v>60</v>
      </c>
      <c r="C11" s="3" t="s">
        <v>131</v>
      </c>
      <c r="E11" s="36" t="s">
        <v>62</v>
      </c>
      <c r="F11" s="4" t="s">
        <v>53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349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45920</v>
      </c>
      <c r="B12" s="2" t="s">
        <v>132</v>
      </c>
      <c r="C12" s="3" t="s">
        <v>133</v>
      </c>
      <c r="E12" s="36" t="s">
        <v>134</v>
      </c>
      <c r="F12" s="4" t="s">
        <v>82</v>
      </c>
      <c r="G12" s="2" t="n">
        <v>960</v>
      </c>
      <c r="H12" s="2" t="n">
        <f aca="false">IF(H$4&gt;0,(IF(G12&lt;&gt;0,G12*H$4/100," ")),IF(G12&lt;&gt;0,G12*H$2/(100+H$2)," "))</f>
        <v>160</v>
      </c>
      <c r="I12" s="2" t="n">
        <f aca="false">IF((G12&lt;&gt;0),G12-H12," ")</f>
        <v>800</v>
      </c>
      <c r="M12" s="7" t="n">
        <f aca="false">IF(G12&lt;&gt;0,G12-L12," ")</f>
        <v>960</v>
      </c>
      <c r="N12" s="8" t="n">
        <f aca="false">IF((G12-L12)&lt;&gt;0,N$1-A12," ")</f>
        <v>347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800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83</v>
      </c>
    </row>
    <row r="13" customFormat="false" ht="12" hidden="false" customHeight="false" outlineLevel="0" collapsed="false">
      <c r="A13" s="1" t="n">
        <v>45922</v>
      </c>
      <c r="B13" s="2" t="s">
        <v>97</v>
      </c>
      <c r="C13" s="3" t="s">
        <v>135</v>
      </c>
      <c r="E13" s="36" t="s">
        <v>99</v>
      </c>
      <c r="F13" s="4" t="s">
        <v>53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345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A14" s="1" t="n">
        <v>45925</v>
      </c>
      <c r="B14" s="2" t="s">
        <v>136</v>
      </c>
      <c r="C14" s="3" t="s">
        <v>137</v>
      </c>
      <c r="E14" s="36" t="s">
        <v>138</v>
      </c>
      <c r="F14" s="4" t="s">
        <v>69</v>
      </c>
      <c r="G14" s="2" t="n">
        <v>600</v>
      </c>
      <c r="H14" s="2" t="n">
        <f aca="false">IF(H$4&gt;0,(IF(G14&lt;&gt;0,G14*H$4/100," ")),IF(G14&lt;&gt;0,G14*H$2/(100+H$2)," "))</f>
        <v>100</v>
      </c>
      <c r="I14" s="2" t="n">
        <f aca="false">IF((G14&lt;&gt;0),G14-H14," ")</f>
        <v>500</v>
      </c>
      <c r="M14" s="7" t="n">
        <f aca="false">IF(G14&lt;&gt;0,G14-L14," ")</f>
        <v>600</v>
      </c>
      <c r="N14" s="8" t="n">
        <f aca="false">IF((G14-L14)&lt;&gt;0,N$1-A14," ")</f>
        <v>342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500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  <c r="BZ14" s="2" t="s">
        <v>70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50560</v>
      </c>
      <c r="H1" s="14" t="n">
        <f aca="false">SUM(H5:H300)</f>
        <v>8426.66666666667</v>
      </c>
      <c r="I1" s="14" t="n">
        <f aca="false">SUM(I5:I300)</f>
        <v>42133.3333333333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50560</v>
      </c>
      <c r="N1" s="18" t="n">
        <f aca="true">TODAY()</f>
        <v>46267</v>
      </c>
      <c r="O1" s="19"/>
      <c r="P1" s="14" t="n">
        <f aca="false">SUM(P5:P300)</f>
        <v>27133.3333333333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12500</v>
      </c>
      <c r="W1" s="14" t="n">
        <f aca="false">SUM(W5:W300)</f>
        <v>0</v>
      </c>
      <c r="X1" s="14" t="n">
        <f aca="false">W1+Sep!X1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Sep!H2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V1+Sep!V2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Sep!H4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45931</v>
      </c>
      <c r="B5" s="2" t="s">
        <v>17</v>
      </c>
      <c r="C5" s="3" t="s">
        <v>139</v>
      </c>
      <c r="E5" s="36" t="s">
        <v>41</v>
      </c>
      <c r="F5" s="4" t="s">
        <v>42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336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45933</v>
      </c>
      <c r="B6" s="2" t="s">
        <v>44</v>
      </c>
      <c r="C6" s="3" t="s">
        <v>140</v>
      </c>
      <c r="E6" s="36" t="s">
        <v>46</v>
      </c>
      <c r="F6" s="4" t="s">
        <v>42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334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45935</v>
      </c>
      <c r="B7" s="2" t="s">
        <v>47</v>
      </c>
      <c r="C7" s="3" t="s">
        <v>141</v>
      </c>
      <c r="E7" s="36" t="s">
        <v>49</v>
      </c>
      <c r="F7" s="4" t="s">
        <v>42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332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43</v>
      </c>
    </row>
    <row r="8" customFormat="false" ht="12" hidden="false" customHeight="false" outlineLevel="0" collapsed="false">
      <c r="A8" s="1" t="n">
        <v>45938</v>
      </c>
      <c r="B8" s="2" t="s">
        <v>50</v>
      </c>
      <c r="C8" s="3" t="s">
        <v>142</v>
      </c>
      <c r="E8" s="36" t="s">
        <v>52</v>
      </c>
      <c r="F8" s="4" t="s">
        <v>53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329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45940</v>
      </c>
      <c r="B9" s="2" t="s">
        <v>143</v>
      </c>
      <c r="C9" s="3" t="s">
        <v>144</v>
      </c>
      <c r="E9" s="36" t="s">
        <v>145</v>
      </c>
      <c r="F9" s="4" t="s">
        <v>146</v>
      </c>
      <c r="G9" s="2" t="n">
        <v>15000</v>
      </c>
      <c r="H9" s="2" t="n">
        <f aca="false">IF(H$4&gt;0,(IF(G9&lt;&gt;0,G9*H$4/100," ")),IF(G9&lt;&gt;0,G9*H$2/(100+H$2)," "))</f>
        <v>2500</v>
      </c>
      <c r="I9" s="2" t="n">
        <f aca="false">IF((G9&lt;&gt;0),G9-H9," ")</f>
        <v>12500</v>
      </c>
      <c r="M9" s="7" t="n">
        <f aca="false">IF(G9&lt;&gt;0,G9-L9," ")</f>
        <v>15000</v>
      </c>
      <c r="N9" s="8" t="n">
        <f aca="false">IF((G9-L9)&lt;&gt;0,N$1-A9," ")</f>
        <v>327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n">
        <f aca="false">IF((F9="FS"),I9," ")</f>
        <v>12500</v>
      </c>
      <c r="BZ9" s="2" t="s">
        <v>147</v>
      </c>
    </row>
    <row r="10" customFormat="false" ht="12" hidden="false" customHeight="false" outlineLevel="0" collapsed="false">
      <c r="A10" s="1" t="n">
        <v>45940</v>
      </c>
      <c r="B10" s="2" t="s">
        <v>55</v>
      </c>
      <c r="C10" s="3" t="s">
        <v>148</v>
      </c>
      <c r="E10" s="36" t="s">
        <v>57</v>
      </c>
      <c r="F10" s="4" t="s">
        <v>53</v>
      </c>
      <c r="G10" s="2" t="n">
        <v>720</v>
      </c>
      <c r="H10" s="2" t="n">
        <f aca="false">IF(H$4&gt;0,(IF(G10&lt;&gt;0,G10*H$4/100," ")),IF(G10&lt;&gt;0,G10*H$2/(100+H$2)," "))</f>
        <v>120</v>
      </c>
      <c r="I10" s="2" t="n">
        <f aca="false">IF((G10&lt;&gt;0),G10-H10," ")</f>
        <v>600</v>
      </c>
      <c r="M10" s="7" t="n">
        <f aca="false">IF(G10&lt;&gt;0,G10-L10," ")</f>
        <v>720</v>
      </c>
      <c r="N10" s="8" t="n">
        <f aca="false">IF((G10-L10)&lt;&gt;0,N$1-A10," ")</f>
        <v>327</v>
      </c>
      <c r="P10" s="2" t="n">
        <f aca="false">IF((F10="a"),I10," ")</f>
        <v>600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45944</v>
      </c>
      <c r="B11" s="2" t="s">
        <v>105</v>
      </c>
      <c r="C11" s="3" t="s">
        <v>149</v>
      </c>
      <c r="E11" s="36" t="s">
        <v>107</v>
      </c>
      <c r="F11" s="4" t="s">
        <v>53</v>
      </c>
      <c r="G11" s="2" t="n">
        <v>2160</v>
      </c>
      <c r="H11" s="2" t="n">
        <f aca="false">IF(H$4&gt;0,(IF(G11&lt;&gt;0,G11*H$4/100," ")),IF(G11&lt;&gt;0,G11*H$2/(100+H$2)," "))</f>
        <v>360</v>
      </c>
      <c r="I11" s="2" t="n">
        <f aca="false">IF((G11&lt;&gt;0),G11-H11," ")</f>
        <v>1800</v>
      </c>
      <c r="M11" s="7" t="n">
        <f aca="false">IF(G11&lt;&gt;0,G11-L11," ")</f>
        <v>2160</v>
      </c>
      <c r="N11" s="8" t="n">
        <f aca="false">IF((G11-L11)&lt;&gt;0,N$1-A11," ")</f>
        <v>323</v>
      </c>
      <c r="P11" s="2" t="n">
        <f aca="false">IF((F11="a"),I11," ")</f>
        <v>1800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45945</v>
      </c>
      <c r="B12" s="2" t="s">
        <v>15</v>
      </c>
      <c r="C12" s="3" t="s">
        <v>150</v>
      </c>
      <c r="E12" s="36" t="s">
        <v>59</v>
      </c>
      <c r="F12" s="4" t="s">
        <v>53</v>
      </c>
      <c r="G12" s="2" t="n">
        <v>25000</v>
      </c>
      <c r="H12" s="2" t="n">
        <f aca="false">IF(H$4&gt;0,(IF(G12&lt;&gt;0,G12*H$4/100," ")),IF(G12&lt;&gt;0,G12*H$2/(100+H$2)," "))</f>
        <v>4166.66666666667</v>
      </c>
      <c r="I12" s="2" t="n">
        <f aca="false">IF((G12&lt;&gt;0),G12-H12," ")</f>
        <v>20833.3333333333</v>
      </c>
      <c r="M12" s="7" t="n">
        <f aca="false">IF(G12&lt;&gt;0,G12-L12," ")</f>
        <v>25000</v>
      </c>
      <c r="N12" s="8" t="n">
        <f aca="false">IF((G12-L12)&lt;&gt;0,N$1-A12," ")</f>
        <v>322</v>
      </c>
      <c r="P12" s="2" t="n">
        <f aca="false">IF((F12="a"),I12," ")</f>
        <v>20833.3333333333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A13" s="1" t="n">
        <v>45948</v>
      </c>
      <c r="B13" s="2" t="s">
        <v>60</v>
      </c>
      <c r="C13" s="3" t="s">
        <v>151</v>
      </c>
      <c r="E13" s="36" t="s">
        <v>62</v>
      </c>
      <c r="F13" s="4" t="s">
        <v>53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319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A14" s="1" t="n">
        <v>45950</v>
      </c>
      <c r="B14" s="2" t="s">
        <v>63</v>
      </c>
      <c r="C14" s="3" t="s">
        <v>152</v>
      </c>
      <c r="E14" s="36" t="s">
        <v>65</v>
      </c>
      <c r="F14" s="4" t="s">
        <v>53</v>
      </c>
      <c r="G14" s="2" t="n">
        <v>1800</v>
      </c>
      <c r="H14" s="2" t="n">
        <f aca="false">IF(H$4&gt;0,(IF(G14&lt;&gt;0,G14*H$4/100," ")),IF(G14&lt;&gt;0,G14*H$2/(100+H$2)," "))</f>
        <v>300</v>
      </c>
      <c r="I14" s="2" t="n">
        <f aca="false">IF((G14&lt;&gt;0),G14-H14," ")</f>
        <v>1500</v>
      </c>
      <c r="M14" s="7" t="n">
        <f aca="false">IF(G14&lt;&gt;0,G14-L14," ")</f>
        <v>1800</v>
      </c>
      <c r="N14" s="8" t="n">
        <f aca="false">IF((G14-L14)&lt;&gt;0,N$1-A14," ")</f>
        <v>317</v>
      </c>
      <c r="P14" s="2" t="n">
        <f aca="false">IF((F14="a"),I14," ")</f>
        <v>1500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  <c r="BZ14" s="2" t="s">
        <v>54</v>
      </c>
    </row>
    <row r="15" customFormat="false" ht="12" hidden="false" customHeight="false" outlineLevel="0" collapsed="false">
      <c r="A15" s="1" t="n">
        <v>45958</v>
      </c>
      <c r="B15" s="2" t="s">
        <v>66</v>
      </c>
      <c r="C15" s="3" t="s">
        <v>153</v>
      </c>
      <c r="E15" s="36" t="s">
        <v>68</v>
      </c>
      <c r="F15" s="4" t="s">
        <v>69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309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  <c r="BZ15" s="2" t="s">
        <v>70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35320</v>
      </c>
      <c r="H1" s="14" t="n">
        <f aca="false">SUM(H5:H300)</f>
        <v>5886.66666666667</v>
      </c>
      <c r="I1" s="14" t="n">
        <f aca="false">SUM(I5:I300)</f>
        <v>29433.3333333333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35320</v>
      </c>
      <c r="N1" s="18" t="n">
        <f aca="true">TODAY()</f>
        <v>46267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3000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W1+Oct!X1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Oct!H2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V1+Oct!V2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Oct!H4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45964</v>
      </c>
      <c r="B5" s="2" t="s">
        <v>44</v>
      </c>
      <c r="C5" s="3" t="s">
        <v>154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303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45966</v>
      </c>
      <c r="B6" s="2" t="s">
        <v>47</v>
      </c>
      <c r="C6" s="3" t="s">
        <v>155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301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45969</v>
      </c>
      <c r="B7" s="2" t="s">
        <v>50</v>
      </c>
      <c r="C7" s="3" t="s">
        <v>156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298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45971</v>
      </c>
      <c r="B8" s="2" t="s">
        <v>55</v>
      </c>
      <c r="C8" s="3" t="s">
        <v>157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296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45973</v>
      </c>
      <c r="B9" s="2" t="s">
        <v>75</v>
      </c>
      <c r="C9" s="3" t="s">
        <v>158</v>
      </c>
      <c r="E9" s="36" t="s">
        <v>77</v>
      </c>
      <c r="F9" s="4" t="s">
        <v>53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294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45976</v>
      </c>
      <c r="B10" s="2" t="s">
        <v>15</v>
      </c>
      <c r="C10" s="3" t="s">
        <v>159</v>
      </c>
      <c r="E10" s="36" t="s">
        <v>59</v>
      </c>
      <c r="F10" s="4" t="s">
        <v>53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291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45979</v>
      </c>
      <c r="B11" s="2" t="s">
        <v>60</v>
      </c>
      <c r="C11" s="3" t="s">
        <v>160</v>
      </c>
      <c r="E11" s="36" t="s">
        <v>62</v>
      </c>
      <c r="F11" s="4" t="s">
        <v>53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288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45981</v>
      </c>
      <c r="B12" s="2" t="s">
        <v>161</v>
      </c>
      <c r="C12" s="3" t="s">
        <v>162</v>
      </c>
      <c r="E12" s="36" t="s">
        <v>163</v>
      </c>
      <c r="F12" s="4" t="s">
        <v>82</v>
      </c>
      <c r="G12" s="2" t="n">
        <v>3600</v>
      </c>
      <c r="H12" s="2" t="n">
        <f aca="false">IF(H$4&gt;0,(IF(G12&lt;&gt;0,G12*H$4/100," ")),IF(G12&lt;&gt;0,G12*H$2/(100+H$2)," "))</f>
        <v>600</v>
      </c>
      <c r="I12" s="2" t="n">
        <f aca="false">IF((G12&lt;&gt;0),G12-H12," ")</f>
        <v>3000</v>
      </c>
      <c r="M12" s="7" t="n">
        <f aca="false">IF(G12&lt;&gt;0,G12-L12," ")</f>
        <v>3600</v>
      </c>
      <c r="N12" s="8" t="n">
        <f aca="false">IF((G12-L12)&lt;&gt;0,N$1-A12," ")</f>
        <v>286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3000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83</v>
      </c>
    </row>
    <row r="13" customFormat="false" ht="12" hidden="false" customHeight="false" outlineLevel="0" collapsed="false">
      <c r="A13" s="1" t="n">
        <v>45986</v>
      </c>
      <c r="B13" s="2" t="s">
        <v>85</v>
      </c>
      <c r="C13" s="3" t="s">
        <v>164</v>
      </c>
      <c r="E13" s="36" t="s">
        <v>87</v>
      </c>
      <c r="F13" s="4" t="s">
        <v>53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281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32800</v>
      </c>
      <c r="H1" s="14" t="n">
        <f aca="false">SUM(H5:H300)</f>
        <v>5466.66666666667</v>
      </c>
      <c r="I1" s="14" t="n">
        <f aca="false">SUM(I5:I300)</f>
        <v>27333.3333333333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32800</v>
      </c>
      <c r="N1" s="18" t="n">
        <f aca="true">TODAY()</f>
        <v>46267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W1+Nov!X1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Nov!H2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V1+Nov!V2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Nov!H4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45994</v>
      </c>
      <c r="B5" s="2" t="s">
        <v>44</v>
      </c>
      <c r="C5" s="3" t="s">
        <v>165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273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45996</v>
      </c>
      <c r="B6" s="2" t="s">
        <v>47</v>
      </c>
      <c r="C6" s="3" t="s">
        <v>166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271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45999</v>
      </c>
      <c r="B7" s="2" t="s">
        <v>50</v>
      </c>
      <c r="C7" s="3" t="s">
        <v>167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268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46001</v>
      </c>
      <c r="B8" s="2" t="s">
        <v>55</v>
      </c>
      <c r="C8" s="3" t="s">
        <v>168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266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46006</v>
      </c>
      <c r="B9" s="2" t="s">
        <v>15</v>
      </c>
      <c r="C9" s="3" t="s">
        <v>169</v>
      </c>
      <c r="E9" s="36" t="s">
        <v>59</v>
      </c>
      <c r="F9" s="4" t="s">
        <v>53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261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46009</v>
      </c>
      <c r="B10" s="2" t="s">
        <v>60</v>
      </c>
      <c r="C10" s="3" t="s">
        <v>170</v>
      </c>
      <c r="E10" s="36" t="s">
        <v>62</v>
      </c>
      <c r="F10" s="4" t="s">
        <v>53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258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46011</v>
      </c>
      <c r="B11" s="2" t="s">
        <v>63</v>
      </c>
      <c r="C11" s="3" t="s">
        <v>171</v>
      </c>
      <c r="E11" s="36" t="s">
        <v>65</v>
      </c>
      <c r="F11" s="4" t="s">
        <v>53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256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46013</v>
      </c>
      <c r="B12" s="2" t="s">
        <v>97</v>
      </c>
      <c r="C12" s="3" t="s">
        <v>172</v>
      </c>
      <c r="E12" s="36" t="s">
        <v>99</v>
      </c>
      <c r="F12" s="4" t="s">
        <v>53</v>
      </c>
      <c r="G12" s="2" t="n">
        <v>1440</v>
      </c>
      <c r="H12" s="2" t="n">
        <f aca="false">IF(H$4&gt;0,(IF(G12&lt;&gt;0,G12*H$4/100," ")),IF(G12&lt;&gt;0,G12*H$2/(100+H$2)," "))</f>
        <v>240</v>
      </c>
      <c r="I12" s="2" t="n">
        <f aca="false">IF((G12&lt;&gt;0),G12-H12," ")</f>
        <v>1200</v>
      </c>
      <c r="M12" s="7" t="n">
        <f aca="false">IF(G12&lt;&gt;0,G12-L12," ")</f>
        <v>1440</v>
      </c>
      <c r="N12" s="8" t="n">
        <f aca="false">IF((G12-L12)&lt;&gt;0,N$1-A12," ")</f>
        <v>254</v>
      </c>
      <c r="P12" s="2" t="n">
        <f aca="false">IF((F12="a"),I12," ")</f>
        <v>1200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35440</v>
      </c>
      <c r="H1" s="14" t="n">
        <f aca="false">SUM(H5:H300)</f>
        <v>5906.66666666667</v>
      </c>
      <c r="I1" s="14" t="n">
        <f aca="false">SUM(I5:I300)</f>
        <v>29533.3333333333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35440</v>
      </c>
      <c r="N1" s="18" t="n">
        <f aca="true">TODAY()</f>
        <v>46267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1000</v>
      </c>
      <c r="S1" s="14" t="n">
        <f aca="false">SUM(S5:S300)</f>
        <v>1100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W1+Dec!X1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Dec!H2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V1+Dec!V2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44" t="n">
        <f aca="false">Dec!H4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46023</v>
      </c>
      <c r="B5" s="2" t="s">
        <v>17</v>
      </c>
      <c r="C5" s="3" t="s">
        <v>173</v>
      </c>
      <c r="E5" s="36" t="s">
        <v>41</v>
      </c>
      <c r="F5" s="4" t="s">
        <v>42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244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46025</v>
      </c>
      <c r="B6" s="2" t="s">
        <v>44</v>
      </c>
      <c r="C6" s="3" t="s">
        <v>174</v>
      </c>
      <c r="E6" s="36" t="s">
        <v>46</v>
      </c>
      <c r="F6" s="4" t="s">
        <v>42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242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46027</v>
      </c>
      <c r="B7" s="2" t="s">
        <v>47</v>
      </c>
      <c r="C7" s="3" t="s">
        <v>175</v>
      </c>
      <c r="E7" s="36" t="s">
        <v>49</v>
      </c>
      <c r="F7" s="4" t="s">
        <v>42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240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43</v>
      </c>
    </row>
    <row r="8" customFormat="false" ht="12" hidden="false" customHeight="false" outlineLevel="0" collapsed="false">
      <c r="A8" s="1" t="n">
        <v>46030</v>
      </c>
      <c r="B8" s="2" t="s">
        <v>50</v>
      </c>
      <c r="C8" s="3" t="s">
        <v>176</v>
      </c>
      <c r="E8" s="36" t="s">
        <v>52</v>
      </c>
      <c r="F8" s="4" t="s">
        <v>53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237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46032</v>
      </c>
      <c r="B9" s="2" t="s">
        <v>55</v>
      </c>
      <c r="C9" s="3" t="s">
        <v>177</v>
      </c>
      <c r="E9" s="36" t="s">
        <v>57</v>
      </c>
      <c r="F9" s="4" t="s">
        <v>53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235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46036</v>
      </c>
      <c r="B10" s="2" t="s">
        <v>105</v>
      </c>
      <c r="C10" s="3" t="s">
        <v>178</v>
      </c>
      <c r="E10" s="36" t="s">
        <v>107</v>
      </c>
      <c r="F10" s="4" t="s">
        <v>53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231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46037</v>
      </c>
      <c r="B11" s="2" t="s">
        <v>15</v>
      </c>
      <c r="C11" s="3" t="s">
        <v>179</v>
      </c>
      <c r="E11" s="36" t="s">
        <v>59</v>
      </c>
      <c r="F11" s="4" t="s">
        <v>53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230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46038</v>
      </c>
      <c r="B12" s="2" t="s">
        <v>79</v>
      </c>
      <c r="C12" s="3" t="s">
        <v>180</v>
      </c>
      <c r="E12" s="36" t="s">
        <v>81</v>
      </c>
      <c r="F12" s="4" t="s">
        <v>82</v>
      </c>
      <c r="G12" s="2" t="n">
        <v>1200</v>
      </c>
      <c r="H12" s="2" t="n">
        <f aca="false">IF(H$4&gt;0,(IF(G12&lt;&gt;0,G12*H$4/100," ")),IF(G12&lt;&gt;0,G12*H$2/(100+H$2)," "))</f>
        <v>200</v>
      </c>
      <c r="I12" s="2" t="n">
        <f aca="false">IF((G12&lt;&gt;0),G12-H12," ")</f>
        <v>1000</v>
      </c>
      <c r="M12" s="7" t="n">
        <f aca="false">IF(G12&lt;&gt;0,G12-L12," ")</f>
        <v>1200</v>
      </c>
      <c r="N12" s="8" t="n">
        <f aca="false">IF((G12-L12)&lt;&gt;0,N$1-A12," ")</f>
        <v>229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83</v>
      </c>
    </row>
    <row r="13" customFormat="false" ht="12" hidden="false" customHeight="false" outlineLevel="0" collapsed="false">
      <c r="A13" s="1" t="n">
        <v>46040</v>
      </c>
      <c r="B13" s="2" t="s">
        <v>60</v>
      </c>
      <c r="C13" s="3" t="s">
        <v>181</v>
      </c>
      <c r="E13" s="36" t="s">
        <v>62</v>
      </c>
      <c r="F13" s="4" t="s">
        <v>53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227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A14" s="1" t="n">
        <v>46047</v>
      </c>
      <c r="B14" s="2" t="s">
        <v>182</v>
      </c>
      <c r="C14" s="3" t="s">
        <v>183</v>
      </c>
      <c r="E14" s="36" t="s">
        <v>138</v>
      </c>
      <c r="F14" s="4" t="s">
        <v>69</v>
      </c>
      <c r="G14" s="2" t="n">
        <v>480</v>
      </c>
      <c r="H14" s="2" t="n">
        <f aca="false">IF(H$4&gt;0,(IF(G14&lt;&gt;0,G14*H$4/100," ")),IF(G14&lt;&gt;0,G14*H$2/(100+H$2)," "))</f>
        <v>80</v>
      </c>
      <c r="I14" s="2" t="n">
        <f aca="false">IF((G14&lt;&gt;0),G14-H14," ")</f>
        <v>400</v>
      </c>
      <c r="M14" s="7" t="n">
        <f aca="false">IF(G14&lt;&gt;0,G14-L14," ")</f>
        <v>480</v>
      </c>
      <c r="N14" s="8" t="n">
        <f aca="false">IF((G14-L14)&lt;&gt;0,N$1-A14," ")</f>
        <v>220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400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  <c r="BZ14" s="2" t="s">
        <v>70</v>
      </c>
    </row>
    <row r="15" customFormat="false" ht="12" hidden="false" customHeight="false" outlineLevel="0" collapsed="false">
      <c r="A15" s="1" t="n">
        <v>46050</v>
      </c>
      <c r="B15" s="2" t="s">
        <v>66</v>
      </c>
      <c r="C15" s="3" t="s">
        <v>184</v>
      </c>
      <c r="E15" s="36" t="s">
        <v>68</v>
      </c>
      <c r="F15" s="4" t="s">
        <v>69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217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  <c r="BZ15" s="2" t="s">
        <v>70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5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To effect a change in the standard vat rate:&#10;&#10;ENTER NEW RATE IN THE MONTH THE RATE CHANGES&#10;PURCHASE AND SUCCEEDING MONTHS AUTOMATICALLY UPDATED" promptTitle="VAT CHANGE" showDropDown="false" showErrorMessage="true" showInputMessage="true" sqref="H2" type="none">
      <formula1>0</formula1>
      <formula2>0</formula2>
    </dataValidation>
    <dataValidation allowBlank="true" errorStyle="stop" operator="between" prompt="To effect a change in the FLAT RATE VAT PERCENTAGE&#10;&#10;ENTER NEW RATE IN THE MONTH THE RATE CHANGES&#10;PURCHASE AND SUCCEEDING MONTHS AUTOMATICALLY UPDATED" promptTitle="CHANGE TO FLAT RATE VAT" showDropDown="false" showErrorMessage="true" showInputMessage="true" sqref="H4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34360</v>
      </c>
      <c r="H1" s="14" t="n">
        <f aca="false">SUM(H5:H300)</f>
        <v>5726.66666666667</v>
      </c>
      <c r="I1" s="14" t="n">
        <f aca="false">SUM(I5:I300)</f>
        <v>28633.3333333333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34360</v>
      </c>
      <c r="N1" s="18" t="n">
        <f aca="true">TODAY()</f>
        <v>46267</v>
      </c>
      <c r="O1" s="19"/>
      <c r="P1" s="14" t="n">
        <f aca="false">SUM(P5:P300)</f>
        <v>26333.3333333333</v>
      </c>
      <c r="Q1" s="14" t="n">
        <f aca="false">SUM(Q5:Q300)</f>
        <v>800</v>
      </c>
      <c r="R1" s="14" t="n">
        <f aca="false">SUM(R5:R300)</f>
        <v>1500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W1+Jan!X1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Jan!H2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V1+Jan!V2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Jan!H4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46056</v>
      </c>
      <c r="B5" s="2" t="s">
        <v>44</v>
      </c>
      <c r="C5" s="3" t="s">
        <v>185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211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46058</v>
      </c>
      <c r="B6" s="2" t="s">
        <v>47</v>
      </c>
      <c r="C6" s="3" t="s">
        <v>186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209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46061</v>
      </c>
      <c r="B7" s="2" t="s">
        <v>50</v>
      </c>
      <c r="C7" s="3" t="s">
        <v>187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206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46063</v>
      </c>
      <c r="B8" s="2" t="s">
        <v>55</v>
      </c>
      <c r="C8" s="3" t="s">
        <v>188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204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46068</v>
      </c>
      <c r="B9" s="2" t="s">
        <v>15</v>
      </c>
      <c r="C9" s="3" t="s">
        <v>189</v>
      </c>
      <c r="E9" s="36" t="s">
        <v>59</v>
      </c>
      <c r="F9" s="4" t="s">
        <v>53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199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46071</v>
      </c>
      <c r="B10" s="2" t="s">
        <v>60</v>
      </c>
      <c r="C10" s="3" t="s">
        <v>190</v>
      </c>
      <c r="E10" s="36" t="s">
        <v>62</v>
      </c>
      <c r="F10" s="4" t="s">
        <v>53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196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46073</v>
      </c>
      <c r="B11" s="2" t="s">
        <v>63</v>
      </c>
      <c r="C11" s="3" t="s">
        <v>191</v>
      </c>
      <c r="E11" s="36" t="s">
        <v>65</v>
      </c>
      <c r="F11" s="4" t="s">
        <v>53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194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46073</v>
      </c>
      <c r="B12" s="2" t="s">
        <v>192</v>
      </c>
      <c r="C12" s="3" t="s">
        <v>193</v>
      </c>
      <c r="E12" s="36" t="s">
        <v>194</v>
      </c>
      <c r="F12" s="4" t="s">
        <v>82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194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1500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83</v>
      </c>
    </row>
    <row r="13" customFormat="false" ht="12" hidden="false" customHeight="false" outlineLevel="0" collapsed="false">
      <c r="A13" s="1" t="n">
        <v>46078</v>
      </c>
      <c r="B13" s="2" t="s">
        <v>85</v>
      </c>
      <c r="C13" s="3" t="s">
        <v>195</v>
      </c>
      <c r="E13" s="36" t="s">
        <v>87</v>
      </c>
      <c r="F13" s="4" t="s">
        <v>53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189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31360</v>
      </c>
      <c r="H1" s="14" t="n">
        <f aca="false">SUM(H5:H300)</f>
        <v>5226.66666666667</v>
      </c>
      <c r="I1" s="14" t="n">
        <f aca="false">SUM(I5:I300)</f>
        <v>26133.3333333333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31360</v>
      </c>
      <c r="N1" s="18" t="n">
        <f aca="true">TODAY()</f>
        <v>46267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300</v>
      </c>
      <c r="V1" s="14" t="n">
        <f aca="false">SUM(V5:V300)</f>
        <v>0</v>
      </c>
      <c r="W1" s="14" t="n">
        <f aca="false">SUM(W5:W300)</f>
        <v>0</v>
      </c>
      <c r="X1" s="14" t="n">
        <f aca="false">W1+Feb!X1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Feb!H2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V1+Feb!V2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Feb!H4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46084</v>
      </c>
      <c r="B5" s="2" t="s">
        <v>44</v>
      </c>
      <c r="C5" s="3" t="s">
        <v>196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183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46086</v>
      </c>
      <c r="B6" s="2" t="s">
        <v>47</v>
      </c>
      <c r="C6" s="3" t="s">
        <v>197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181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46089</v>
      </c>
      <c r="B7" s="2" t="s">
        <v>50</v>
      </c>
      <c r="C7" s="3" t="s">
        <v>198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178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46091</v>
      </c>
      <c r="B8" s="2" t="s">
        <v>55</v>
      </c>
      <c r="C8" s="3" t="s">
        <v>199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176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46096</v>
      </c>
      <c r="B9" s="2" t="s">
        <v>15</v>
      </c>
      <c r="C9" s="3" t="s">
        <v>200</v>
      </c>
      <c r="E9" s="36" t="s">
        <v>59</v>
      </c>
      <c r="F9" s="4" t="s">
        <v>53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171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46099</v>
      </c>
      <c r="B10" s="2" t="s">
        <v>60</v>
      </c>
      <c r="C10" s="3" t="s">
        <v>201</v>
      </c>
      <c r="E10" s="36" t="s">
        <v>62</v>
      </c>
      <c r="F10" s="4" t="s">
        <v>53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168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46103</v>
      </c>
      <c r="B11" s="2" t="s">
        <v>97</v>
      </c>
      <c r="C11" s="3" t="s">
        <v>202</v>
      </c>
      <c r="E11" s="36" t="s">
        <v>99</v>
      </c>
      <c r="F11" s="4" t="s">
        <v>53</v>
      </c>
      <c r="G11" s="2" t="n">
        <v>1440</v>
      </c>
      <c r="H11" s="2" t="n">
        <f aca="false">IF(H$4&gt;0,(IF(G11&lt;&gt;0,G11*H$4/100," ")),IF(G11&lt;&gt;0,G11*H$2/(100+H$2)," "))</f>
        <v>240</v>
      </c>
      <c r="I11" s="2" t="n">
        <f aca="false">IF((G11&lt;&gt;0),G11-H11," ")</f>
        <v>1200</v>
      </c>
      <c r="M11" s="7" t="n">
        <f aca="false">IF(G11&lt;&gt;0,G11-L11," ")</f>
        <v>1440</v>
      </c>
      <c r="N11" s="8" t="n">
        <f aca="false">IF((G11-L11)&lt;&gt;0,N$1-A11," ")</f>
        <v>164</v>
      </c>
      <c r="P11" s="2" t="n">
        <f aca="false">IF((F11="a"),I11," ")</f>
        <v>1200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46112</v>
      </c>
      <c r="B12" s="2" t="s">
        <v>203</v>
      </c>
      <c r="C12" s="3" t="s">
        <v>204</v>
      </c>
      <c r="E12" s="36" t="s">
        <v>205</v>
      </c>
      <c r="F12" s="4" t="s">
        <v>206</v>
      </c>
      <c r="G12" s="2" t="n">
        <v>360</v>
      </c>
      <c r="H12" s="2" t="n">
        <f aca="false">IF(H$4&gt;0,(IF(G12&lt;&gt;0,G12*H$4/100," ")),IF(G12&lt;&gt;0,G12*H$2/(100+H$2)," "))</f>
        <v>60</v>
      </c>
      <c r="I12" s="2" t="n">
        <f aca="false">IF((G12&lt;&gt;0),G12-H12," ")</f>
        <v>300</v>
      </c>
      <c r="M12" s="7" t="n">
        <f aca="false">IF(G12&lt;&gt;0,G12-L12," ")</f>
        <v>360</v>
      </c>
      <c r="N12" s="8" t="n">
        <f aca="false">IF((G12-L12)&lt;&gt;0,N$1-A12," ")</f>
        <v>155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n">
        <f aca="false">IF((F12="o"),I12," ")</f>
        <v>300</v>
      </c>
      <c r="V12" s="2" t="str">
        <f aca="false">IF((F12="FS"),I12," ")</f>
        <v> </v>
      </c>
      <c r="BZ12" s="2" t="s">
        <v>207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7900</v>
      </c>
      <c r="H1" s="14" t="n">
        <f aca="false">SUM(H5:H300)</f>
        <v>1316.66666666667</v>
      </c>
      <c r="I1" s="14" t="n">
        <f aca="false">SUM(I5:I300)</f>
        <v>6583.33333333333</v>
      </c>
      <c r="J1" s="15"/>
      <c r="K1" s="16" t="s">
        <v>4</v>
      </c>
      <c r="L1" s="17" t="n">
        <f aca="false">SUM(L5:L300)</f>
        <v>0</v>
      </c>
      <c r="M1" s="17" t="n">
        <f aca="false">SUM(M5:M300)</f>
        <v>7900</v>
      </c>
      <c r="N1" s="18" t="n">
        <f aca="true">TODAY()</f>
        <v>46267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Mar!H2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 t="n">
        <f aca="false">Mar!H4</f>
        <v>0</v>
      </c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200</v>
      </c>
      <c r="G5" s="2" t="n">
        <v>6100</v>
      </c>
      <c r="H5" s="2" t="n">
        <f aca="false">IF(H$4&gt;0,(IF(G5&lt;&gt;0,G5*H$4/100," ")),IF(G5&lt;&gt;0,G5*H$2/(100+H$2)," "))</f>
        <v>1016.66666666667</v>
      </c>
      <c r="I5" s="2" t="n">
        <f aca="false">IF((G5&lt;&gt;0),G5-H5," ")</f>
        <v>5083.33333333333</v>
      </c>
      <c r="M5" s="7" t="n">
        <f aca="false">IF(G5&lt;&gt;0,G5-L5," ")</f>
        <v>6100</v>
      </c>
      <c r="N5" s="8" t="n">
        <f aca="false">IF((G5-L5)&lt;&gt;0,N$1-A5," ")</f>
        <v>46267</v>
      </c>
    </row>
    <row r="6" customFormat="false" ht="12.75" hidden="false" customHeight="true" outlineLevel="0" collapsed="false">
      <c r="B6" s="2" t="s">
        <v>97</v>
      </c>
      <c r="C6" s="3" t="s">
        <v>202</v>
      </c>
      <c r="G6" s="2" t="n">
        <v>1440</v>
      </c>
      <c r="H6" s="2" t="n">
        <f aca="false">IF(H$4&gt;0,(IF(G6&lt;&gt;0,G6*H$4/100," ")),IF(G6&lt;&gt;0,G6*H$2/(100+H$2)," "))</f>
        <v>240</v>
      </c>
      <c r="I6" s="2" t="n">
        <f aca="false">IF((G6&lt;&gt;0),G6-H6," ")</f>
        <v>1200</v>
      </c>
      <c r="M6" s="7" t="n">
        <f aca="false">IF(G6&lt;&gt;0,G6-L6," ")</f>
        <v>1440</v>
      </c>
      <c r="N6" s="8" t="n">
        <f aca="false">IF((G6-L6)&lt;&gt;0,N$1-A6," ")</f>
        <v>46267</v>
      </c>
    </row>
    <row r="7" customFormat="false" ht="12" hidden="false" customHeight="false" outlineLevel="0" collapsed="false">
      <c r="B7" s="2" t="s">
        <v>203</v>
      </c>
      <c r="C7" s="3" t="s">
        <v>204</v>
      </c>
      <c r="G7" s="2" t="n">
        <v>360</v>
      </c>
      <c r="H7" s="2" t="n">
        <f aca="false">IF(H$4&gt;0,(IF(G7&lt;&gt;0,G7*H$4/100," ")),IF(G7&lt;&gt;0,G7*H$2/(100+H$2)," "))</f>
        <v>60</v>
      </c>
      <c r="I7" s="2" t="n">
        <f aca="false">IF((G7&lt;&gt;0),G7-H7," ")</f>
        <v>300</v>
      </c>
      <c r="M7" s="7" t="n">
        <f aca="false">IF(G7&lt;&gt;0,G7-L7," ")</f>
        <v>360</v>
      </c>
      <c r="N7" s="8" t="n">
        <f aca="false">IF((G7-L7)&lt;&gt;0,N$1-A7," ")</f>
        <v>46267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2025-04-03T22:49:48Z</dcterms:modified>
  <cp:revision>0</cp:revision>
  <dc:subject/>
  <dc:title>Self Employed Sales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