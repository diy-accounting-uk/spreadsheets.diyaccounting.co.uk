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<sst xmlns="http://schemas.openxmlformats.org/spreadsheetml/2006/main" count="480" uniqueCount="46">
  <si>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</si>
  <si>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</si>
  <si>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</si>
  <si>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</si>
  <si>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</si>
  <si>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</si>
  <si>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</si>
  <si>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</si>
  <si>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</si>
  <si>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</si>
  <si>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</si>
  <si>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</si>
  <si>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</si>
  <si>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</si>
  <si>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</si>
  <si>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</si>
  <si>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</si>
  <si>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</si>
  <si>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</si>
  <si>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</si>
  <si>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</si>
  <si>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</si>
  <si>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</si>
  <si>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</si>
  <si>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</si>
  <si>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</si>
  <si>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</si>
  <si>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</si>
  <si>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</si>
  <si>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</si>
  <si>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</si>
  <si>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</si>
  <si>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</si>
  <si>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</si>
  <si>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Acme Corp</t>
  </si>
  <si>
    <t xml:space="preserve">a</t>
  </si>
  <si>
    <t xml:space="preserve">Beta Systems</t>
  </si>
  <si>
    <t xml:space="preserve">b</t>
  </si>
  <si>
    <t xml:space="preserve">Gamma Ltd</t>
  </si>
  <si>
    <t xml:space="preserve">c</t>
  </si>
  <si>
    <t xml:space="preserve">Delta PLC</t>
  </si>
  <si>
    <t xml:space="preserve">d</t>
  </si>
  <si>
    <t xml:space="preserve">Innovate UK</t>
  </si>
  <si>
    <t xml:space="preserve">g</t>
  </si>
  <si>
    <t xml:space="preserve">Zeta Corp</t>
  </si>
  <si>
    <t xml:space="preserve">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</si>
</sst>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46115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6200</v>
      </c>
      <c r="H1" s="14" t="n">
        <f aca="false">SUM(H5:H300)</f>
        <v>1033.33333333333</v>
      </c>
      <c r="I1" s="14" t="n">
        <f aca="false">SUM(I5:I300)</f>
        <v>5166.66666666667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6200</v>
      </c>
      <c r="N1" s="18" t="n">
        <f aca="true">TODAY()</f>
        <v>46115</v>
      </c>
      <c r="O1" s="19"/>
      <c r="P1" s="14" t="n">
        <f aca="false">SUM(P5:P300)</f>
        <v>4166.66666666667</v>
      </c>
      <c r="Q1" s="14" t="n">
        <f aca="false">SUM(Q5:Q300)</f>
        <v>1000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45757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358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45772</v>
      </c>
      <c r="B6" s="2" t="s">
        <v>36</v>
      </c>
      <c r="F6" s="4" t="s">
        <v>37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343</v>
      </c>
      <c r="P6" s="2" t="str">
        <f aca="false">IF((F6="a"),I6," ")</f>
        <v> </v>
      </c>
      <c r="Q6" s="2" t="n">
        <f aca="false">IF((F6="b"),I6," ")</f>
        <v>1000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F11" s="4" t="str">
        <f aca="false">IF((G11&lt;&gt;0),"Enter Letter"," ")</f>
        <v> </v>
      </c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F12" s="4" t="str">
        <f aca="false">IF((G12&lt;&gt;0),"Enter Letter"," ")</f>
        <v> </v>
      </c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F13" s="4" t="str">
        <f aca="false">IF((G13&lt;&gt;0),"Enter Letter"," ")</f>
        <v> </v>
      </c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F14" s="4" t="str">
        <f aca="false">IF((G14&lt;&gt;0),"Enter Letter"," ")</f>
        <v> </v>
      </c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F15" s="4" t="str">
        <f aca="false">IF((G15&lt;&gt;0),"Enter Letter"," ")</f>
        <v> </v>
      </c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F16" s="4" t="str">
        <f aca="false">IF((G16&lt;&gt;0),"Enter Letter"," ")</f>
        <v> </v>
      </c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F17" s="4" t="str">
        <f aca="false">IF((G17&lt;&gt;0),"Enter Letter"," ")</f>
        <v> </v>
      </c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F18" s="4" t="str">
        <f aca="false">IF((G18&lt;&gt;0),"Enter Letter"," ")</f>
        <v> </v>
      </c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F19" s="4" t="str">
        <f aca="false">IF((G19&lt;&gt;0),"Enter Letter"," ")</f>
        <v> </v>
      </c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F20" s="4" t="str">
        <f aca="false">IF((G20&lt;&gt;0),"Enter Letter"," ")</f>
        <v> </v>
      </c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F23" s="4" t="str">
        <f aca="false">IF((G23&lt;&gt;0),"Enter Letter"," ")</f>
        <v> </v>
      </c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F24" s="4" t="str">
        <f aca="false">IF((G24&lt;&gt;0),"Enter Letter"," ")</f>
        <v> </v>
      </c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F25" s="4" t="str">
        <f aca="false">IF((G25&lt;&gt;0),"Enter Letter"," ")</f>
        <v> </v>
      </c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F26" s="4" t="str">
        <f aca="false">IF((G26&lt;&gt;0),"Enter Letter"," ")</f>
        <v> </v>
      </c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F27" s="4" t="str">
        <f aca="false">IF((G27&lt;&gt;0),"Enter Letter"," ")</f>
        <v> </v>
      </c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F28" s="4" t="str">
        <f aca="false">IF((G28&lt;&gt;0),"Enter Letter"," ")</f>
        <v> </v>
      </c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F29" s="4" t="str">
        <f aca="false">IF((G29&lt;&gt;0),"Enter Letter"," ")</f>
        <v> </v>
      </c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F30" s="4" t="str">
        <f aca="false">IF((G30&lt;&gt;0),"Enter Letter"," ")</f>
        <v> </v>
      </c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F31" s="4" t="str">
        <f aca="false">IF((G31&lt;&gt;0),"Enter Letter"," ")</f>
        <v> </v>
      </c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F32" s="4" t="str">
        <f aca="false">IF((G32&lt;&gt;0),"Enter Letter"," ")</f>
        <v> </v>
      </c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F33" s="4" t="str">
        <f aca="false">IF((G33&lt;&gt;0),"Enter Letter"," ")</f>
        <v> </v>
      </c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F34" s="4" t="str">
        <f aca="false">IF((G34&lt;&gt;0),"Enter Letter"," ")</f>
        <v> </v>
      </c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F35" s="4" t="str">
        <f aca="false">IF((G35&lt;&gt;0),"Enter Letter"," ")</f>
        <v> </v>
      </c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F36" s="4" t="str">
        <f aca="false">IF((G36&lt;&gt;0),"Enter Letter"," ")</f>
        <v> </v>
      </c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F37" s="4" t="str">
        <f aca="false">IF((G37&lt;&gt;0),"Enter Letter"," ")</f>
        <v> </v>
      </c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F38" s="4" t="str">
        <f aca="false">IF((G38&lt;&gt;0),"Enter Letter"," ")</f>
        <v> </v>
      </c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F39" s="4" t="str">
        <f aca="false">IF((G39&lt;&gt;0),"Enter Letter"," ")</f>
        <v> </v>
      </c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F40" s="4" t="str">
        <f aca="false">IF((G40&lt;&gt;0),"Enter Letter"," ")</f>
        <v> </v>
      </c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F41" s="4" t="str">
        <f aca="false">IF((G41&lt;&gt;0),"Enter Letter"," ")</f>
        <v> </v>
      </c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F42" s="4" t="str">
        <f aca="false">IF((G42&lt;&gt;0),"Enter Letter"," ")</f>
        <v> </v>
      </c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F43" s="4" t="str">
        <f aca="false">IF((G43&lt;&gt;0),"Enter Letter"," ")</f>
        <v> </v>
      </c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F44" s="4" t="str">
        <f aca="false">IF((G44&lt;&gt;0),"Enter Letter"," ")</f>
        <v> </v>
      </c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F45" s="4" t="str">
        <f aca="false">IF((G45&lt;&gt;0),"Enter Letter"," ")</f>
        <v> </v>
      </c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F46" s="4" t="str">
        <f aca="false">IF((G46&lt;&gt;0),"Enter Letter"," ")</f>
        <v> </v>
      </c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F47" s="4" t="str">
        <f aca="false">IF((G47&lt;&gt;0),"Enter Letter"," ")</f>
        <v> </v>
      </c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F48" s="4" t="str">
        <f aca="false">IF((G48&lt;&gt;0),"Enter Letter"," ")</f>
        <v> </v>
      </c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F49" s="4" t="str">
        <f aca="false">IF((G49&lt;&gt;0),"Enter Letter"," ")</f>
        <v> </v>
      </c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F50" s="4" t="str">
        <f aca="false">IF((G50&lt;&gt;0),"Enter Letter"," ")</f>
        <v> </v>
      </c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F51" s="4" t="str">
        <f aca="false">IF((G51&lt;&gt;0),"Enter Letter"," ")</f>
        <v> </v>
      </c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F52" s="4" t="str">
        <f aca="false">IF((G52&lt;&gt;0),"Enter Letter"," ")</f>
        <v> </v>
      </c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F53" s="4" t="str">
        <f aca="false">IF((G53&lt;&gt;0),"Enter Letter"," ")</f>
        <v> </v>
      </c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F54" s="4" t="str">
        <f aca="false">IF((G54&lt;&gt;0),"Enter Letter"," ")</f>
        <v> </v>
      </c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F55" s="4" t="str">
        <f aca="false">IF((G55&lt;&gt;0),"Enter Letter"," ")</f>
        <v> </v>
      </c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F56" s="4" t="str">
        <f aca="false">IF((G56&lt;&gt;0),"Enter Letter"," ")</f>
        <v> </v>
      </c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F57" s="4" t="str">
        <f aca="false">IF((G57&lt;&gt;0),"Enter Letter"," ")</f>
        <v> </v>
      </c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F58" s="4" t="str">
        <f aca="false">IF((G58&lt;&gt;0),"Enter Letter"," ")</f>
        <v> </v>
      </c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F59" s="4" t="str">
        <f aca="false">IF((G59&lt;&gt;0),"Enter Letter"," ")</f>
        <v> </v>
      </c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F60" s="4" t="str">
        <f aca="false">IF((G60&lt;&gt;0),"Enter Letter"," ")</f>
        <v> </v>
      </c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F61" s="4" t="str">
        <f aca="false">IF((G61&lt;&gt;0),"Enter Letter"," ")</f>
        <v> </v>
      </c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F62" s="4" t="str">
        <f aca="false">IF((G62&lt;&gt;0),"Enter Letter"," ")</f>
        <v> </v>
      </c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F63" s="4" t="str">
        <f aca="false">IF((G63&lt;&gt;0),"Enter Letter"," ")</f>
        <v> </v>
      </c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F64" s="4" t="str">
        <f aca="false">IF((G64&lt;&gt;0),"Enter Letter"," ")</f>
        <v> </v>
      </c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F65" s="4" t="str">
        <f aca="false">IF((G65&lt;&gt;0),"Enter Letter"," ")</f>
        <v> </v>
      </c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F66" s="4" t="str">
        <f aca="false">IF((G66&lt;&gt;0),"Enter Letter"," ")</f>
        <v> </v>
      </c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F67" s="4" t="str">
        <f aca="false">IF((G67&lt;&gt;0),"Enter Letter"," ")</f>
        <v> </v>
      </c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F68" s="4" t="str">
        <f aca="false">IF((G68&lt;&gt;0),"Enter Letter"," ")</f>
        <v> </v>
      </c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7400</v>
      </c>
      <c r="H1" s="14" t="n">
        <f aca="false">SUM(H5:H300)</f>
        <v>1233.33333333333</v>
      </c>
      <c r="I1" s="14" t="n">
        <f aca="false">SUM(I5:I300)</f>
        <v>6166.66666666667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7400</v>
      </c>
      <c r="N1" s="18" t="n">
        <f aca="true">TODAY()</f>
        <v>46115</v>
      </c>
      <c r="O1" s="19"/>
      <c r="P1" s="14" t="n">
        <f aca="false">SUM(P5:P300)</f>
        <v>4166.66666666667</v>
      </c>
      <c r="Q1" s="14" t="n">
        <f aca="false">SUM(Q5:Q300)</f>
        <v>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Apr!H2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45792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323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45805</v>
      </c>
      <c r="B6" s="2" t="s">
        <v>38</v>
      </c>
      <c r="F6" s="4" t="s">
        <v>39</v>
      </c>
      <c r="G6" s="2" t="n">
        <v>2400</v>
      </c>
      <c r="H6" s="2" t="n">
        <f aca="false">IF(H$4&gt;0,(IF(G6&lt;&gt;0,G6*H$4/100," ")),IF(G6&lt;&gt;0,G6*H$2/(100+H$2)," "))</f>
        <v>400</v>
      </c>
      <c r="I6" s="2" t="n">
        <f aca="false">IF((G6&lt;&gt;0),G6-H6," ")</f>
        <v>2000</v>
      </c>
      <c r="M6" s="7" t="n">
        <f aca="false">IF(G6&lt;&gt;0,G6-L6," ")</f>
        <v>2400</v>
      </c>
      <c r="N6" s="8" t="n">
        <f aca="false">IF((G6-L6)&lt;&gt;0,N$1-A6," ")</f>
        <v>310</v>
      </c>
      <c r="P6" s="2" t="str">
        <f aca="false">IF((F6="a"),I6," ")</f>
        <v> </v>
      </c>
      <c r="Q6" s="2" t="str">
        <f aca="false">IF((F6="b"),I6," ")</f>
        <v> </v>
      </c>
      <c r="R6" s="2" t="n">
        <f aca="false">IF((F6="c"),I6," ")</f>
        <v>2000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5600</v>
      </c>
      <c r="H1" s="14" t="n">
        <f aca="false">SUM(H5:H300)</f>
        <v>933.333333333333</v>
      </c>
      <c r="I1" s="14" t="n">
        <f aca="false">SUM(I5:I300)</f>
        <v>4666.66666666667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5600</v>
      </c>
      <c r="N1" s="18" t="n">
        <f aca="true">TODAY()</f>
        <v>46115</v>
      </c>
      <c r="O1" s="19"/>
      <c r="P1" s="14" t="n">
        <f aca="false">SUM(P5:P300)</f>
        <v>4166.66666666667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May!H2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45820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295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45828</v>
      </c>
      <c r="B6" s="2" t="s">
        <v>40</v>
      </c>
      <c r="F6" s="4" t="s">
        <v>41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287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n">
        <f aca="false">IF((F6="d"),I6," ")</f>
        <v>500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8200</v>
      </c>
      <c r="H1" s="14" t="n">
        <f aca="false">SUM(H5:H300)</f>
        <v>1366.66666666667</v>
      </c>
      <c r="I1" s="14" t="n">
        <f aca="false">SUM(I5:I300)</f>
        <v>6833.33333333333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8200</v>
      </c>
      <c r="N1" s="18" t="n">
        <f aca="true">TODAY()</f>
        <v>46115</v>
      </c>
      <c r="O1" s="19"/>
      <c r="P1" s="14" t="n">
        <f aca="false">SUM(P5:P300)</f>
        <v>5833.33333333333</v>
      </c>
      <c r="Q1" s="14" t="n">
        <f aca="false">SUM(Q5:Q300)</f>
        <v>1000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Jun!H2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45853</v>
      </c>
      <c r="B5" s="2" t="s">
        <v>34</v>
      </c>
      <c r="F5" s="4" t="s">
        <v>35</v>
      </c>
      <c r="G5" s="2" t="n">
        <v>7000</v>
      </c>
      <c r="H5" s="2" t="n">
        <f aca="false">IF(H$4&gt;0,(IF(G5&lt;&gt;0,G5*H$4/100," ")),IF(G5&lt;&gt;0,G5*H$2/(100+H$2)," "))</f>
        <v>1166.66666666667</v>
      </c>
      <c r="I5" s="2" t="n">
        <f aca="false">IF((G5&lt;&gt;0),G5-H5," ")</f>
        <v>5833.33333333333</v>
      </c>
      <c r="M5" s="7" t="n">
        <f aca="false">IF(G5&lt;&gt;0,G5-L5," ")</f>
        <v>7000</v>
      </c>
      <c r="N5" s="8" t="n">
        <f aca="false">IF((G5-L5)&lt;&gt;0,N$1-A5," ")</f>
        <v>262</v>
      </c>
      <c r="P5" s="2" t="n">
        <f aca="false">IF((F5="a"),I5," ")</f>
        <v>5833.33333333333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45866</v>
      </c>
      <c r="B6" s="2" t="s">
        <v>36</v>
      </c>
      <c r="F6" s="4" t="s">
        <v>37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249</v>
      </c>
      <c r="P6" s="2" t="str">
        <f aca="false">IF((F6="a"),I6," ")</f>
        <v> </v>
      </c>
      <c r="Q6" s="2" t="n">
        <f aca="false">IF((F6="b"),I6," ")</f>
        <v>1000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9500</v>
      </c>
      <c r="H1" s="14" t="n">
        <f aca="false">SUM(H5:H300)</f>
        <v>1583.33333333333</v>
      </c>
      <c r="I1" s="14" t="n">
        <f aca="false">SUM(I5:I300)</f>
        <v>7916.66666666667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9500</v>
      </c>
      <c r="N1" s="18" t="n">
        <f aca="true">TODAY()</f>
        <v>46115</v>
      </c>
      <c r="O1" s="19"/>
      <c r="P1" s="14" t="n">
        <f aca="false">SUM(P5:P300)</f>
        <v>5833.33333333333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Jul!H2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45883</v>
      </c>
      <c r="B5" s="2" t="s">
        <v>34</v>
      </c>
      <c r="F5" s="4" t="s">
        <v>35</v>
      </c>
      <c r="G5" s="2" t="n">
        <v>7000</v>
      </c>
      <c r="H5" s="2" t="n">
        <f aca="false">IF(H$4&gt;0,(IF(G5&lt;&gt;0,G5*H$4/100," ")),IF(G5&lt;&gt;0,G5*H$2/(100+H$2)," "))</f>
        <v>1166.66666666667</v>
      </c>
      <c r="I5" s="2" t="n">
        <f aca="false">IF((G5&lt;&gt;0),G5-H5," ")</f>
        <v>5833.33333333333</v>
      </c>
      <c r="M5" s="7" t="n">
        <f aca="false">IF(G5&lt;&gt;0,G5-L5," ")</f>
        <v>7000</v>
      </c>
      <c r="N5" s="8" t="n">
        <f aca="false">IF((G5-L5)&lt;&gt;0,N$1-A5," ")</f>
        <v>232</v>
      </c>
      <c r="P5" s="2" t="n">
        <f aca="false">IF((F5="a"),I5," ")</f>
        <v>5833.33333333333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45889</v>
      </c>
      <c r="B6" s="2" t="s">
        <v>42</v>
      </c>
      <c r="F6" s="4" t="s">
        <v>43</v>
      </c>
      <c r="G6" s="2" t="n">
        <v>2500</v>
      </c>
      <c r="H6" s="2" t="n">
        <f aca="false">IF(H$4&gt;0,(IF(G6&lt;&gt;0,G6*H$4/100," ")),IF(G6&lt;&gt;0,G6*H$2/(100+H$2)," "))</f>
        <v>416.666666666667</v>
      </c>
      <c r="I6" s="2" t="n">
        <f aca="false">IF((G6&lt;&gt;0),G6-H6," ")</f>
        <v>2083.33333333333</v>
      </c>
      <c r="M6" s="7" t="n">
        <f aca="false">IF(G6&lt;&gt;0,G6-L6," ")</f>
        <v>2500</v>
      </c>
      <c r="N6" s="8" t="n">
        <f aca="false">IF((G6-L6)&lt;&gt;0,N$1-A6," ")</f>
        <v>226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n">
        <f aca="false">IF((F6="g"),I6," ")</f>
        <v>2083.33333333333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7000</v>
      </c>
      <c r="H1" s="14" t="n">
        <f aca="false">SUM(H5:H300)</f>
        <v>1166.66666666667</v>
      </c>
      <c r="I1" s="14" t="n">
        <f aca="false">SUM(I5:I300)</f>
        <v>5833.33333333333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7000</v>
      </c>
      <c r="N1" s="18" t="n">
        <f aca="true">TODAY()</f>
        <v>46115</v>
      </c>
      <c r="O1" s="19"/>
      <c r="P1" s="14" t="n">
        <f aca="false">SUM(P5:P300)</f>
        <v>5833.33333333333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Aug!H2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45915</v>
      </c>
      <c r="B5" s="2" t="s">
        <v>34</v>
      </c>
      <c r="F5" s="4" t="s">
        <v>35</v>
      </c>
      <c r="G5" s="2" t="n">
        <v>7000</v>
      </c>
      <c r="H5" s="2" t="n">
        <f aca="false">IF(H$4&gt;0,(IF(G5&lt;&gt;0,G5*H$4/100," ")),IF(G5&lt;&gt;0,G5*H$2/(100+H$2)," "))</f>
        <v>1166.66666666667</v>
      </c>
      <c r="I5" s="2" t="n">
        <f aca="false">IF((G5&lt;&gt;0),G5-H5," ")</f>
        <v>5833.33333333333</v>
      </c>
      <c r="M5" s="7" t="n">
        <f aca="false">IF(G5&lt;&gt;0,G5-L5," ")</f>
        <v>7000</v>
      </c>
      <c r="N5" s="8" t="n">
        <f aca="false">IF((G5-L5)&lt;&gt;0,N$1-A5," ")</f>
        <v>200</v>
      </c>
      <c r="P5" s="2" t="n">
        <f aca="false">IF((F5="a"),I5," ")</f>
        <v>5833.33333333333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8200</v>
      </c>
      <c r="H1" s="14" t="n">
        <f aca="false">SUM(H5:H300)</f>
        <v>1366.66666666667</v>
      </c>
      <c r="I1" s="14" t="n">
        <f aca="false">SUM(I5:I300)</f>
        <v>6833.33333333333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8200</v>
      </c>
      <c r="N1" s="18" t="n">
        <f aca="true">TODAY()</f>
        <v>46115</v>
      </c>
      <c r="O1" s="19"/>
      <c r="P1" s="14" t="n">
        <f aca="false">SUM(P5:P300)</f>
        <v>5833.33333333333</v>
      </c>
      <c r="Q1" s="14" t="n">
        <f aca="false">SUM(Q5:Q300)</f>
        <v>1000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Sep!H2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V1+Sep!V2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45940</v>
      </c>
      <c r="B5" s="2" t="s">
        <v>34</v>
      </c>
      <c r="F5" s="4" t="s">
        <v>35</v>
      </c>
      <c r="G5" s="2" t="n">
        <v>7000</v>
      </c>
      <c r="H5" s="2" t="n">
        <f aca="false">IF(H$4&gt;0,(IF(G5&lt;&gt;0,G5*H$4/100," ")),IF(G5&lt;&gt;0,G5*H$2/(100+H$2)," "))</f>
        <v>1166.66666666667</v>
      </c>
      <c r="I5" s="2" t="n">
        <f aca="false">IF((G5&lt;&gt;0),G5-H5," ")</f>
        <v>5833.33333333333</v>
      </c>
      <c r="M5" s="7" t="n">
        <f aca="false">IF(G5&lt;&gt;0,G5-L5," ")</f>
        <v>7000</v>
      </c>
      <c r="N5" s="8" t="n">
        <f aca="false">IF((G5-L5)&lt;&gt;0,N$1-A5," ")</f>
        <v>175</v>
      </c>
      <c r="P5" s="2" t="n">
        <f aca="false">IF((F5="a"),I5," ")</f>
        <v>5833.33333333333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45952</v>
      </c>
      <c r="B6" s="2" t="s">
        <v>36</v>
      </c>
      <c r="F6" s="4" t="s">
        <v>37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163</v>
      </c>
      <c r="P6" s="2" t="str">
        <f aca="false">IF((F6="a"),I6," ")</f>
        <v> </v>
      </c>
      <c r="Q6" s="2" t="n">
        <f aca="false">IF((F6="b"),I6," ")</f>
        <v>1000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6800</v>
      </c>
      <c r="H1" s="14" t="n">
        <f aca="false">SUM(H5:H300)</f>
        <v>1133.33333333333</v>
      </c>
      <c r="I1" s="14" t="n">
        <f aca="false">SUM(I5:I300)</f>
        <v>5666.66666666667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6800</v>
      </c>
      <c r="N1" s="18" t="n">
        <f aca="true">TODAY()</f>
        <v>46115</v>
      </c>
      <c r="O1" s="19"/>
      <c r="P1" s="14" t="n">
        <f aca="false">SUM(P5:P300)</f>
        <v>4166.66666666667</v>
      </c>
      <c r="Q1" s="14" t="n">
        <f aca="false">SUM(Q5:Q300)</f>
        <v>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Oct!H2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V1+Oct!V2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45976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139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45989</v>
      </c>
      <c r="B6" s="2" t="s">
        <v>38</v>
      </c>
      <c r="F6" s="4" t="s">
        <v>39</v>
      </c>
      <c r="G6" s="2" t="n">
        <v>1800</v>
      </c>
      <c r="H6" s="2" t="n">
        <f aca="false">IF(H$4&gt;0,(IF(G6&lt;&gt;0,G6*H$4/100," ")),IF(G6&lt;&gt;0,G6*H$2/(100+H$2)," "))</f>
        <v>300</v>
      </c>
      <c r="I6" s="2" t="n">
        <f aca="false">IF((G6&lt;&gt;0),G6-H6," ")</f>
        <v>1500</v>
      </c>
      <c r="M6" s="7" t="n">
        <f aca="false">IF(G6&lt;&gt;0,G6-L6," ")</f>
        <v>1800</v>
      </c>
      <c r="N6" s="8" t="n">
        <f aca="false">IF((G6-L6)&lt;&gt;0,N$1-A6," ")</f>
        <v>126</v>
      </c>
      <c r="P6" s="2" t="str">
        <f aca="false">IF((F6="a"),I6," ")</f>
        <v> </v>
      </c>
      <c r="Q6" s="2" t="str">
        <f aca="false">IF((F6="b"),I6," ")</f>
        <v> </v>
      </c>
      <c r="R6" s="2" t="n">
        <f aca="false">IF((F6="c"),I6," ")</f>
        <v>1500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5000</v>
      </c>
      <c r="H1" s="14" t="n">
        <f aca="false">SUM(H5:H300)</f>
        <v>833.333333333333</v>
      </c>
      <c r="I1" s="14" t="n">
        <f aca="false">SUM(I5:I300)</f>
        <v>4166.66666666667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5000</v>
      </c>
      <c r="N1" s="18" t="n">
        <f aca="true">TODAY()</f>
        <v>46115</v>
      </c>
      <c r="O1" s="19"/>
      <c r="P1" s="14" t="n">
        <f aca="false">SUM(P5:P300)</f>
        <v>4166.66666666667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Nov!H2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V1+Nov!V2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46003</v>
      </c>
      <c r="B5" s="2" t="s">
        <v>34</v>
      </c>
      <c r="F5" s="4" t="s">
        <v>35</v>
      </c>
      <c r="G5" s="2" t="n">
        <v>5000</v>
      </c>
      <c r="H5" s="2" t="n">
        <f aca="false">IF(H$4&gt;0,(IF(G5&lt;&gt;0,G5*H$4/100," ")),IF(G5&lt;&gt;0,G5*H$2/(100+H$2)," "))</f>
        <v>833.333333333333</v>
      </c>
      <c r="I5" s="2" t="n">
        <f aca="false">IF((G5&lt;&gt;0),G5-H5," ")</f>
        <v>4166.66666666667</v>
      </c>
      <c r="M5" s="7" t="n">
        <f aca="false">IF(G5&lt;&gt;0,G5-L5," ")</f>
        <v>5000</v>
      </c>
      <c r="N5" s="8" t="n">
        <f aca="false">IF((G5-L5)&lt;&gt;0,N$1-A5," ")</f>
        <v>112</v>
      </c>
      <c r="P5" s="2" t="n">
        <f aca="false">IF((F5="a"),I5," ")</f>
        <v>4166.66666666667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4200</v>
      </c>
      <c r="H1" s="14" t="n">
        <f aca="false">SUM(H5:H300)</f>
        <v>700</v>
      </c>
      <c r="I1" s="14" t="n">
        <f aca="false">SUM(I5:I300)</f>
        <v>3500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4200</v>
      </c>
      <c r="N1" s="18" t="n">
        <f aca="true">TODAY()</f>
        <v>46115</v>
      </c>
      <c r="O1" s="19"/>
      <c r="P1" s="14" t="n">
        <f aca="false">SUM(P5:P300)</f>
        <v>2500</v>
      </c>
      <c r="Q1" s="14" t="n">
        <f aca="false">SUM(Q5:Q300)</f>
        <v>1000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Dec!H2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V1+Dec!V2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46037</v>
      </c>
      <c r="B5" s="2" t="s">
        <v>34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78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46050</v>
      </c>
      <c r="B6" s="2" t="s">
        <v>36</v>
      </c>
      <c r="F6" s="4" t="s">
        <v>37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65</v>
      </c>
      <c r="P6" s="2" t="str">
        <f aca="false">IF((F6="a"),I6," ")</f>
        <v> </v>
      </c>
      <c r="Q6" s="2" t="n">
        <f aca="false">IF((F6="b"),I6," ")</f>
        <v>1000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3000</v>
      </c>
      <c r="H1" s="14" t="n">
        <f aca="false">SUM(H5:H300)</f>
        <v>500</v>
      </c>
      <c r="I1" s="14" t="n">
        <f aca="false">SUM(I5:I300)</f>
        <v>2500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3000</v>
      </c>
      <c r="N1" s="18" t="n">
        <f aca="true">TODAY()</f>
        <v>46115</v>
      </c>
      <c r="O1" s="19"/>
      <c r="P1" s="14" t="n">
        <f aca="false">SUM(P5:P300)</f>
        <v>2500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Jan!H2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V1+Jan!V2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46068</v>
      </c>
      <c r="B5" s="2" t="s">
        <v>34</v>
      </c>
      <c r="F5" s="4" t="s">
        <v>35</v>
      </c>
      <c r="G5" s="2" t="n">
        <v>3000</v>
      </c>
      <c r="H5" s="2" t="n">
        <f aca="false">IF(H$4&gt;0,(IF(G5&lt;&gt;0,G5*H$4/100," ")),IF(G5&lt;&gt;0,G5*H$2/(100+H$2)," "))</f>
        <v>500</v>
      </c>
      <c r="I5" s="2" t="n">
        <f aca="false">IF((G5&lt;&gt;0),G5-H5," ")</f>
        <v>2500</v>
      </c>
      <c r="M5" s="7" t="n">
        <f aca="false">IF(G5&lt;&gt;0,G5-L5," ")</f>
        <v>3000</v>
      </c>
      <c r="N5" s="8" t="n">
        <f aca="false">IF((G5-L5)&lt;&gt;0,N$1-A5," ")</f>
        <v>47</v>
      </c>
      <c r="P5" s="2" t="n">
        <f aca="false">IF((F5="a"),I5," ")</f>
        <v>2500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15</v>
      </c>
      <c r="C1" s="39" t="s">
        <v>16</v>
      </c>
      <c r="D1" s="40" t="n">
        <f aca="false">SUM(D5:D300)</f>
        <v>0</v>
      </c>
      <c r="E1" s="13" t="s">
        <v>3</v>
      </c>
      <c r="F1" s="12" t="s">
        <v>17</v>
      </c>
      <c r="G1" s="14" t="n">
        <f aca="false">SUM(G5:G300)</f>
        <v>1900</v>
      </c>
      <c r="H1" s="14" t="n">
        <f aca="false">SUM(H5:H300)</f>
        <v>316.666666666667</v>
      </c>
      <c r="I1" s="14" t="n">
        <f aca="false">SUM(I5:I300)</f>
        <v>1583.33333333333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1900</v>
      </c>
      <c r="N1" s="18" t="n">
        <f aca="true">TODAY()</f>
        <v>46115</v>
      </c>
      <c r="O1" s="19"/>
      <c r="P1" s="14" t="n">
        <f aca="false">SUM(P5:P300)</f>
        <v>1250</v>
      </c>
      <c r="Q1" s="14" t="n">
        <f aca="false">SUM(Q5:Q300)</f>
        <v>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333.333333333333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16</v>
      </c>
      <c r="E2" s="13"/>
      <c r="F2" s="13"/>
      <c r="G2" s="10" t="s">
        <v>5</v>
      </c>
      <c r="H2" s="21" t="n">
        <f aca="false">Feb!H2</f>
        <v>20</v>
      </c>
      <c r="I2" s="10" t="s">
        <v>18</v>
      </c>
      <c r="J2" s="15"/>
      <c r="K2" s="16"/>
      <c r="L2" s="22" t="s">
        <v>7</v>
      </c>
      <c r="M2" s="22"/>
      <c r="N2" s="22"/>
      <c r="O2" s="19"/>
      <c r="P2" s="10" t="s">
        <v>19</v>
      </c>
      <c r="Q2" s="10"/>
      <c r="R2" s="10"/>
      <c r="S2" s="10" t="s">
        <v>20</v>
      </c>
      <c r="T2" s="10" t="s">
        <v>21</v>
      </c>
      <c r="U2" s="10" t="s">
        <v>22</v>
      </c>
      <c r="V2" s="10" t="n">
        <f aca="false">V1+Feb!V2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23</v>
      </c>
      <c r="Q3" s="42" t="s">
        <v>24</v>
      </c>
      <c r="R3" s="42" t="s">
        <v>25</v>
      </c>
      <c r="S3" s="10"/>
      <c r="T3" s="10"/>
      <c r="U3" s="10"/>
      <c r="V3" s="10" t="s">
        <v>26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27</v>
      </c>
      <c r="Q4" s="14" t="s">
        <v>28</v>
      </c>
      <c r="R4" s="14" t="s">
        <v>29</v>
      </c>
      <c r="S4" s="14" t="s">
        <v>30</v>
      </c>
      <c r="T4" s="14" t="s">
        <v>31</v>
      </c>
      <c r="U4" s="14" t="s">
        <v>32</v>
      </c>
      <c r="V4" s="14" t="s">
        <v>33</v>
      </c>
      <c r="W4" s="10"/>
      <c r="X4" s="10"/>
    </row>
    <row r="5" customFormat="false" ht="12.75" hidden="false" customHeight="true" outlineLevel="0" collapsed="false">
      <c r="A5" s="1" t="n">
        <v>46096</v>
      </c>
      <c r="B5" s="2" t="s">
        <v>34</v>
      </c>
      <c r="F5" s="4" t="s">
        <v>35</v>
      </c>
      <c r="G5" s="2" t="n">
        <v>1500</v>
      </c>
      <c r="H5" s="2" t="n">
        <f aca="false">IF(H$4&gt;0,(IF(G5&lt;&gt;0,G5*H$4/100," ")),IF(G5&lt;&gt;0,G5*H$2/(100+H$2)," "))</f>
        <v>250</v>
      </c>
      <c r="I5" s="2" t="n">
        <f aca="false">IF((G5&lt;&gt;0),G5-H5," ")</f>
        <v>1250</v>
      </c>
      <c r="M5" s="7" t="n">
        <f aca="false">IF(G5&lt;&gt;0,G5-L5," ")</f>
        <v>1500</v>
      </c>
      <c r="N5" s="8" t="n">
        <f aca="false">IF((G5-L5)&lt;&gt;0,N$1-A5," ")</f>
        <v>19</v>
      </c>
      <c r="P5" s="2" t="n">
        <f aca="false">IF((F5="a"),I5," ")</f>
        <v>1250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46109</v>
      </c>
      <c r="B6" s="2" t="s">
        <v>44</v>
      </c>
      <c r="F6" s="4" t="s">
        <v>45</v>
      </c>
      <c r="G6" s="2" t="n">
        <v>400</v>
      </c>
      <c r="H6" s="2" t="n">
        <f aca="false">IF(H$4&gt;0,(IF(G6&lt;&gt;0,G6*H$4/100," ")),IF(G6&lt;&gt;0,G6*H$2/(100+H$2)," "))</f>
        <v>66.6666666666667</v>
      </c>
      <c r="I6" s="2" t="n">
        <f aca="false">IF((G6&lt;&gt;0),G6-H6," ")</f>
        <v>333.333333333333</v>
      </c>
      <c r="M6" s="7" t="n">
        <f aca="false">IF(G6&lt;&gt;0,G6-L6," ")</f>
        <v>400</v>
      </c>
      <c r="N6" s="8" t="n">
        <f aca="false">IF((G6-L6)&lt;&gt;0,N$1-A6," ")</f>
        <v>6</v>
      </c>
      <c r="P6" s="2" t="str">
        <f aca="false">IF((F6="a"),I6," ")</f>
        <v> </v>
      </c>
      <c r="Q6" s="2" t="str">
        <f aca="false">IF((F6="b"),I6," ")</f>
        <v> 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n">
        <f aca="false">IF((F6="o"),I6," ")</f>
        <v>333.333333333333</v>
      </c>
      <c r="V6" s="2" t="str">
        <f aca="false">IF((F6="FS"),I6,"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  <c r="P7" s="2" t="str">
        <f aca="false">IF((F7="a"),I7," ")</f>
        <v> 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  <c r="P8" s="2" t="str">
        <f aca="false">IF((F8="a"),I8," ")</f>
        <v> 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  <c r="P10" s="2" t="str">
        <f aca="false">IF((F10="a"),I10," ")</f>
        <v> 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  <c r="P11" s="2" t="str">
        <f aca="false">IF((F11="a"),I11," ")</f>
        <v> 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46115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