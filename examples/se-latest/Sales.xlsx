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<sst xmlns="http://schemas.openxmlformats.org/spreadsheetml/2006/main" count="672" uniqueCount="69">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</sst>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46116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16400</v>
      </c>
      <c r="H1" s="14" t="n">
        <f aca="false">SUM(H5:H300)</f>
        <v>2733.33333333333</v>
      </c>
      <c r="I1" s="14" t="n">
        <f aca="false">SUM(I5:I300)</f>
        <v>13666.6666666667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16400</v>
      </c>
      <c r="N1" s="18" t="n">
        <f aca="true">TODAY()</f>
        <v>46116</v>
      </c>
      <c r="O1" s="19"/>
      <c r="P1" s="14" t="n">
        <f aca="false">SUM(P5:P300)</f>
        <v>11166.6666666667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368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366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364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361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359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8000</v>
      </c>
      <c r="H10" s="2" t="n">
        <f aca="false">IF(H$4&gt;0,(IF(G10&lt;&gt;0,G10*H$4/100," ")),IF(G10&lt;&gt;0,G10*H$2/(100+H$2)," "))</f>
        <v>1333.33333333333</v>
      </c>
      <c r="I10" s="2" t="n">
        <f aca="false">IF((G10&lt;&gt;0),G10-H10," ")</f>
        <v>6666.66666666667</v>
      </c>
      <c r="M10" s="7" t="n">
        <f aca="false">IF(G10&lt;&gt;0,G10-L10," ")</f>
        <v>8000</v>
      </c>
      <c r="N10" s="8" t="n">
        <f aca="false">IF((G10-L10)&lt;&gt;0,N$1-A10," ")</f>
        <v>354</v>
      </c>
      <c r="P10" s="2" t="n">
        <f aca="false">IF((F10="a"),I10," ")</f>
        <v>6666.66666666667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351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349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341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15920</v>
      </c>
      <c r="H1" s="14" t="n">
        <f aca="false">SUM(H5:H300)</f>
        <v>2653.33333333333</v>
      </c>
      <c r="I1" s="14" t="n">
        <f aca="false">SUM(I5:I300)</f>
        <v>13266.6666666667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15920</v>
      </c>
      <c r="N1" s="18" t="n">
        <f aca="true">TODAY()</f>
        <v>46116</v>
      </c>
      <c r="O1" s="19"/>
      <c r="P1" s="14" t="n">
        <f aca="false">SUM(P5:P300)</f>
        <v>11466.6666666667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336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334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331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329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327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8000</v>
      </c>
      <c r="H10" s="2" t="n">
        <f aca="false">IF(H$4&gt;0,(IF(G10&lt;&gt;0,G10*H$4/100," ")),IF(G10&lt;&gt;0,G10*H$2/(100+H$2)," "))</f>
        <v>1333.33333333333</v>
      </c>
      <c r="I10" s="2" t="n">
        <f aca="false">IF((G10&lt;&gt;0),G10-H10," ")</f>
        <v>6666.66666666667</v>
      </c>
      <c r="M10" s="7" t="n">
        <f aca="false">IF(G10&lt;&gt;0,G10-L10," ")</f>
        <v>8000</v>
      </c>
      <c r="N10" s="8" t="n">
        <f aca="false">IF((G10-L10)&lt;&gt;0,N$1-A10," ")</f>
        <v>324</v>
      </c>
      <c r="P10" s="2" t="n">
        <f aca="false">IF((F10="a"),I10," ")</f>
        <v>6666.66666666667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323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321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314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18200</v>
      </c>
      <c r="H1" s="14" t="n">
        <f aca="false">SUM(H5:H300)</f>
        <v>3033.33333333333</v>
      </c>
      <c r="I1" s="14" t="n">
        <f aca="false">SUM(I5:I300)</f>
        <v>15166.6666666667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18200</v>
      </c>
      <c r="N1" s="18" t="n">
        <f aca="true">TODAY()</f>
        <v>46116</v>
      </c>
      <c r="O1" s="19"/>
      <c r="P1" s="14" t="n">
        <f aca="false">SUM(P5:P300)</f>
        <v>12366.6666666667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305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303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300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298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8000</v>
      </c>
      <c r="H9" s="2" t="n">
        <f aca="false">IF(H$4&gt;0,(IF(G9&lt;&gt;0,G9*H$4/100," ")),IF(G9&lt;&gt;0,G9*H$2/(100+H$2)," "))</f>
        <v>1333.33333333333</v>
      </c>
      <c r="I9" s="2" t="n">
        <f aca="false">IF((G9&lt;&gt;0),G9-H9," ")</f>
        <v>6666.66666666667</v>
      </c>
      <c r="M9" s="7" t="n">
        <f aca="false">IF(G9&lt;&gt;0,G9-L9," ")</f>
        <v>8000</v>
      </c>
      <c r="N9" s="8" t="n">
        <f aca="false">IF((G9-L9)&lt;&gt;0,N$1-A9," ")</f>
        <v>293</v>
      </c>
      <c r="P9" s="2" t="n">
        <f aca="false">IF((F9="a"),I9," ")</f>
        <v>6666.66666666667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290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288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288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286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16760</v>
      </c>
      <c r="H1" s="14" t="n">
        <f aca="false">SUM(H5:H300)</f>
        <v>2793.33333333333</v>
      </c>
      <c r="I1" s="14" t="n">
        <f aca="false">SUM(I5:I300)</f>
        <v>13966.6666666667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16760</v>
      </c>
      <c r="N1" s="18" t="n">
        <f aca="true">TODAY()</f>
        <v>46116</v>
      </c>
      <c r="O1" s="19"/>
      <c r="P1" s="14" t="n">
        <f aca="false">SUM(P5:P300)</f>
        <v>11466.6666666667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277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275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273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270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268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264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8000</v>
      </c>
      <c r="H11" s="2" t="n">
        <f aca="false">IF(H$4&gt;0,(IF(G11&lt;&gt;0,G11*H$4/100," ")),IF(G11&lt;&gt;0,G11*H$2/(100+H$2)," "))</f>
        <v>1333.33333333333</v>
      </c>
      <c r="I11" s="2" t="n">
        <f aca="false">IF((G11&lt;&gt;0),G11-H11," ")</f>
        <v>6666.66666666667</v>
      </c>
      <c r="M11" s="7" t="n">
        <f aca="false">IF(G11&lt;&gt;0,G11-L11," ")</f>
        <v>8000</v>
      </c>
      <c r="N11" s="8" t="n">
        <f aca="false">IF((G11-L11)&lt;&gt;0,N$1-A11," ")</f>
        <v>263</v>
      </c>
      <c r="P11" s="2" t="n">
        <f aca="false">IF((F11="a"),I11," ")</f>
        <v>6666.66666666667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260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250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19020</v>
      </c>
      <c r="H1" s="14" t="n">
        <f aca="false">SUM(H5:H300)</f>
        <v>3170</v>
      </c>
      <c r="I1" s="14" t="n">
        <f aca="false">SUM(I5:I300)</f>
        <v>15850</v>
      </c>
      <c r="J1" s="15"/>
      <c r="K1" s="16" t="s">
        <v>4</v>
      </c>
      <c r="L1" s="17" t="n">
        <f aca="false">SUM(L5:L300)</f>
        <v>0</v>
      </c>
      <c r="M1" s="41" t="n">
        <f aca="false">SUM(M5:M300)</f>
        <v>19020</v>
      </c>
      <c r="N1" s="18" t="n">
        <f aca="true">TODAY()</f>
        <v>46116</v>
      </c>
      <c r="O1" s="19"/>
      <c r="P1" s="14" t="n">
        <f aca="false">SUM(P5:P300)</f>
        <v>12966.6666666667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246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244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242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239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237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235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8000</v>
      </c>
      <c r="H11" s="2" t="n">
        <f aca="false">IF(H$4&gt;0,(IF(G11&lt;&gt;0,G11*H$4/100," ")),IF(G11&lt;&gt;0,G11*H$2/(100+H$2)," "))</f>
        <v>1333.33333333333</v>
      </c>
      <c r="I11" s="2" t="n">
        <f aca="false">IF((G11&lt;&gt;0),G11-H11," ")</f>
        <v>6666.66666666667</v>
      </c>
      <c r="M11" s="7" t="n">
        <f aca="false">IF(G11&lt;&gt;0,G11-L11," ")</f>
        <v>8000</v>
      </c>
      <c r="N11" s="8" t="n">
        <f aca="false">IF((G11-L11)&lt;&gt;0,N$1-A11," ")</f>
        <v>232</v>
      </c>
      <c r="P11" s="2" t="n">
        <f aca="false">IF((F11="a"),I11," ")</f>
        <v>6666.66666666667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229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227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222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16760</v>
      </c>
      <c r="H1" s="14" t="n">
        <f aca="false">SUM(H5:H300)</f>
        <v>2793.33333333333</v>
      </c>
      <c r="I1" s="14" t="n">
        <f aca="false">SUM(I5:I300)</f>
        <v>13966.6666666667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16760</v>
      </c>
      <c r="N1" s="18" t="n">
        <f aca="true">TODAY()</f>
        <v>46116</v>
      </c>
      <c r="O1" s="19"/>
      <c r="P1" s="14" t="n">
        <f aca="false">SUM(P5:P300)</f>
        <v>10866.6666666667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213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211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208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206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8000</v>
      </c>
      <c r="H9" s="2" t="n">
        <f aca="false">IF(H$4&gt;0,(IF(G9&lt;&gt;0,G9*H$4/100," ")),IF(G9&lt;&gt;0,G9*H$2/(100+H$2)," "))</f>
        <v>1333.33333333333</v>
      </c>
      <c r="I9" s="2" t="n">
        <f aca="false">IF((G9&lt;&gt;0),G9-H9," ")</f>
        <v>6666.66666666667</v>
      </c>
      <c r="M9" s="7" t="n">
        <f aca="false">IF(G9&lt;&gt;0,G9-L9," ")</f>
        <v>8000</v>
      </c>
      <c r="N9" s="8" t="n">
        <f aca="false">IF((G9-L9)&lt;&gt;0,N$1-A9," ")</f>
        <v>201</v>
      </c>
      <c r="P9" s="2" t="n">
        <f aca="false">IF((F9="a"),I9," ")</f>
        <v>6666.66666666667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200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198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196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194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191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33560</v>
      </c>
      <c r="H1" s="14" t="n">
        <f aca="false">SUM(H5:H300)</f>
        <v>5593.33333333333</v>
      </c>
      <c r="I1" s="14" t="n">
        <f aca="false">SUM(I5:I300)</f>
        <v>27966.6666666667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33560</v>
      </c>
      <c r="N1" s="18" t="n">
        <f aca="true">TODAY()</f>
        <v>46116</v>
      </c>
      <c r="O1" s="19"/>
      <c r="P1" s="14" t="n">
        <f aca="false">SUM(P5:P300)</f>
        <v>12966.6666666667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185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183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181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178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176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176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172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8000</v>
      </c>
      <c r="H12" s="2" t="n">
        <f aca="false">IF(H$4&gt;0,(IF(G12&lt;&gt;0,G12*H$4/100," ")),IF(G12&lt;&gt;0,G12*H$2/(100+H$2)," "))</f>
        <v>1333.33333333333</v>
      </c>
      <c r="I12" s="2" t="n">
        <f aca="false">IF((G12&lt;&gt;0),G12-H12," ")</f>
        <v>6666.66666666667</v>
      </c>
      <c r="M12" s="7" t="n">
        <f aca="false">IF(G12&lt;&gt;0,G12-L12," ")</f>
        <v>8000</v>
      </c>
      <c r="N12" s="8" t="n">
        <f aca="false">IF((G12-L12)&lt;&gt;0,N$1-A12," ")</f>
        <v>171</v>
      </c>
      <c r="P12" s="2" t="n">
        <f aca="false">IF((F12="a"),I12," ")</f>
        <v>6666.66666666667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168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166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158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18320</v>
      </c>
      <c r="H1" s="14" t="n">
        <f aca="false">SUM(H5:H300)</f>
        <v>3053.33333333333</v>
      </c>
      <c r="I1" s="14" t="n">
        <f aca="false">SUM(I5:I300)</f>
        <v>15266.6666666667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18320</v>
      </c>
      <c r="N1" s="18" t="n">
        <f aca="true">TODAY()</f>
        <v>46116</v>
      </c>
      <c r="O1" s="19"/>
      <c r="P1" s="14" t="n">
        <f aca="false">SUM(P5:P300)</f>
        <v>11466.6666666667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152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150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147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145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143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8000</v>
      </c>
      <c r="H10" s="2" t="n">
        <f aca="false">IF(H$4&gt;0,(IF(G10&lt;&gt;0,G10*H$4/100," ")),IF(G10&lt;&gt;0,G10*H$2/(100+H$2)," "))</f>
        <v>1333.33333333333</v>
      </c>
      <c r="I10" s="2" t="n">
        <f aca="false">IF((G10&lt;&gt;0),G10-H10," ")</f>
        <v>6666.66666666667</v>
      </c>
      <c r="M10" s="7" t="n">
        <f aca="false">IF(G10&lt;&gt;0,G10-L10," ")</f>
        <v>8000</v>
      </c>
      <c r="N10" s="8" t="n">
        <f aca="false">IF((G10-L10)&lt;&gt;0,N$1-A10," ")</f>
        <v>140</v>
      </c>
      <c r="P10" s="2" t="n">
        <f aca="false">IF((F10="a"),I10," ")</f>
        <v>6666.66666666667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137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135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130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15800</v>
      </c>
      <c r="H1" s="14" t="n">
        <f aca="false">SUM(H5:H300)</f>
        <v>2633.33333333333</v>
      </c>
      <c r="I1" s="14" t="n">
        <f aca="false">SUM(I5:I300)</f>
        <v>13166.6666666667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15800</v>
      </c>
      <c r="N1" s="18" t="n">
        <f aca="true">TODAY()</f>
        <v>46116</v>
      </c>
      <c r="O1" s="19"/>
      <c r="P1" s="14" t="n">
        <f aca="false">SUM(P5:P300)</f>
        <v>12366.6666666667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122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120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117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115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8000</v>
      </c>
      <c r="H9" s="2" t="n">
        <f aca="false">IF(H$4&gt;0,(IF(G9&lt;&gt;0,G9*H$4/100," ")),IF(G9&lt;&gt;0,G9*H$2/(100+H$2)," "))</f>
        <v>1333.33333333333</v>
      </c>
      <c r="I9" s="2" t="n">
        <f aca="false">IF((G9&lt;&gt;0),G9-H9," ")</f>
        <v>6666.66666666667</v>
      </c>
      <c r="M9" s="7" t="n">
        <f aca="false">IF(G9&lt;&gt;0,G9-L9," ")</f>
        <v>8000</v>
      </c>
      <c r="N9" s="8" t="n">
        <f aca="false">IF((G9-L9)&lt;&gt;0,N$1-A9," ")</f>
        <v>110</v>
      </c>
      <c r="P9" s="2" t="n">
        <f aca="false">IF((F9="a"),I9," ")</f>
        <v>6666.66666666667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107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105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103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18440</v>
      </c>
      <c r="H1" s="14" t="n">
        <f aca="false">SUM(H5:H300)</f>
        <v>3073.33333333333</v>
      </c>
      <c r="I1" s="14" t="n">
        <f aca="false">SUM(I5:I300)</f>
        <v>15366.6666666667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18440</v>
      </c>
      <c r="N1" s="18" t="n">
        <f aca="true">TODAY()</f>
        <v>46116</v>
      </c>
      <c r="O1" s="19"/>
      <c r="P1" s="14" t="n">
        <f aca="false">SUM(P5:P300)</f>
        <v>11466.6666666667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93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91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89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86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84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80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8000</v>
      </c>
      <c r="H11" s="2" t="n">
        <f aca="false">IF(H$4&gt;0,(IF(G11&lt;&gt;0,G11*H$4/100," ")),IF(G11&lt;&gt;0,G11*H$2/(100+H$2)," "))</f>
        <v>1333.33333333333</v>
      </c>
      <c r="I11" s="2" t="n">
        <f aca="false">IF((G11&lt;&gt;0),G11-H11," ")</f>
        <v>6666.66666666667</v>
      </c>
      <c r="M11" s="7" t="n">
        <f aca="false">IF(G11&lt;&gt;0,G11-L11," ")</f>
        <v>8000</v>
      </c>
      <c r="N11" s="8" t="n">
        <f aca="false">IF((G11-L11)&lt;&gt;0,N$1-A11," ")</f>
        <v>79</v>
      </c>
      <c r="P11" s="2" t="n">
        <f aca="false">IF((F11="a"),I11," ")</f>
        <v>6666.66666666667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78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76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69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66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17360</v>
      </c>
      <c r="H1" s="14" t="n">
        <f aca="false">SUM(H5:H300)</f>
        <v>2893.33333333333</v>
      </c>
      <c r="I1" s="14" t="n">
        <f aca="false">SUM(I5:I300)</f>
        <v>14466.6666666667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17360</v>
      </c>
      <c r="N1" s="18" t="n">
        <f aca="true">TODAY()</f>
        <v>46116</v>
      </c>
      <c r="O1" s="19"/>
      <c r="P1" s="14" t="n">
        <f aca="false">SUM(P5:P300)</f>
        <v>12166.6666666667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60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58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55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53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8000</v>
      </c>
      <c r="H9" s="2" t="n">
        <f aca="false">IF(H$4&gt;0,(IF(G9&lt;&gt;0,G9*H$4/100," ")),IF(G9&lt;&gt;0,G9*H$2/(100+H$2)," "))</f>
        <v>1333.33333333333</v>
      </c>
      <c r="I9" s="2" t="n">
        <f aca="false">IF((G9&lt;&gt;0),G9-H9," ")</f>
        <v>6666.66666666667</v>
      </c>
      <c r="M9" s="7" t="n">
        <f aca="false">IF(G9&lt;&gt;0,G9-L9," ")</f>
        <v>8000</v>
      </c>
      <c r="N9" s="8" t="n">
        <f aca="false">IF((G9-L9)&lt;&gt;0,N$1-A9," ")</f>
        <v>48</v>
      </c>
      <c r="P9" s="2" t="n">
        <f aca="false">IF((F9="a"),I9," ")</f>
        <v>6666.66666666667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45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43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43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38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14360</v>
      </c>
      <c r="H1" s="14" t="n">
        <f aca="false">SUM(H5:H300)</f>
        <v>2393.33333333333</v>
      </c>
      <c r="I1" s="14" t="n">
        <f aca="false">SUM(I5:I300)</f>
        <v>11966.6666666667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14360</v>
      </c>
      <c r="N1" s="18" t="n">
        <f aca="true">TODAY()</f>
        <v>46116</v>
      </c>
      <c r="O1" s="19"/>
      <c r="P1" s="14" t="n">
        <f aca="false">SUM(P5:P300)</f>
        <v>10866.6666666667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8000</v>
      </c>
      <c r="H9" s="2" t="n">
        <f aca="false">IF(H$4&gt;0,(IF(G9&lt;&gt;0,G9*H$4/100," ")),IF(G9&lt;&gt;0,G9*H$2/(100+H$2)," "))</f>
        <v>1333.33333333333</v>
      </c>
      <c r="I9" s="2" t="n">
        <f aca="false">IF((G9&lt;&gt;0),G9-H9," ")</f>
        <v>6666.66666666667</v>
      </c>
      <c r="M9" s="7" t="n">
        <f aca="false">IF(G9&lt;&gt;0,G9-L9," ")</f>
        <v>8000</v>
      </c>
      <c r="N9" s="8" t="n">
        <f aca="false">IF((G9-L9)&lt;&gt;0,N$1-A9," ")</f>
        <v>20</v>
      </c>
      <c r="P9" s="2" t="n">
        <f aca="false">IF((F9="a"),I9," ")</f>
        <v>6666.66666666667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13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4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46116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