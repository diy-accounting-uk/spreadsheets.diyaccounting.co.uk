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<sst xmlns="http://schemas.openxmlformats.org/spreadsheetml/2006/main" count="672" uniqueCount="69">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</sst>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46116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16</v>
      </c>
      <c r="D5" s="4" t="n">
        <v>7200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17</v>
      </c>
      <c r="C6" s="3" t="s">
        <v>18</v>
      </c>
      <c r="D6" s="4" t="n">
        <v>1200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B7" s="2" t="s">
        <v>19</v>
      </c>
      <c r="C7" s="3" t="s">
        <v>20</v>
      </c>
      <c r="D7" s="4" t="n">
        <v>2400</v>
      </c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33400</v>
      </c>
      <c r="H1" s="14" t="n">
        <f aca="false">SUM(H5:H300)</f>
        <v>5566.66666666667</v>
      </c>
      <c r="I1" s="14" t="n">
        <f aca="false">SUM(I5:I300)</f>
        <v>27833.3333333333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33400</v>
      </c>
      <c r="N1" s="18" t="n">
        <f aca="true">TODAY()</f>
        <v>46116</v>
      </c>
      <c r="O1" s="19"/>
      <c r="P1" s="14" t="n">
        <f aca="false">SUM(P5:P300)</f>
        <v>25333.3333333333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45748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368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45750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366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45752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364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45755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361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45757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359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45762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354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45765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351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45767</v>
      </c>
      <c r="B12" s="2" t="s">
        <v>47</v>
      </c>
      <c r="F12" s="4" t="s">
        <v>44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349</v>
      </c>
      <c r="P12" s="2" t="n">
        <f aca="false">IF((F12="a"),I12," ")</f>
        <v>1500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45775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341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32920</v>
      </c>
      <c r="H1" s="14" t="n">
        <f aca="false">SUM(H5:H300)</f>
        <v>5486.66666666667</v>
      </c>
      <c r="I1" s="14" t="n">
        <f aca="false">SUM(I5:I300)</f>
        <v>27433.3333333333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32920</v>
      </c>
      <c r="N1" s="18" t="n">
        <f aca="true">TODAY()</f>
        <v>46116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1000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Apr!H2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V1+Apr!V2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45780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336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45782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334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45785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331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45787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329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45789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327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45792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324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45793</v>
      </c>
      <c r="B11" s="2" t="s">
        <v>51</v>
      </c>
      <c r="F11" s="4" t="s">
        <v>52</v>
      </c>
      <c r="G11" s="2" t="n">
        <v>1200</v>
      </c>
      <c r="H11" s="2" t="n">
        <f aca="false">IF(H$4&gt;0,(IF(G11&lt;&gt;0,G11*H$4/100," ")),IF(G11&lt;&gt;0,G11*H$2/(100+H$2)," "))</f>
        <v>200</v>
      </c>
      <c r="I11" s="2" t="n">
        <f aca="false">IF((G11&lt;&gt;0),G11-H11," ")</f>
        <v>1000</v>
      </c>
      <c r="M11" s="7" t="n">
        <f aca="false">IF(G11&lt;&gt;0,G11-L11," ")</f>
        <v>1200</v>
      </c>
      <c r="N11" s="8" t="n">
        <f aca="false">IF((G11-L11)&lt;&gt;0,N$1-A11," ")</f>
        <v>323</v>
      </c>
      <c r="P11" s="2" t="str">
        <f aca="false">IF((F11="a"),I11," ")</f>
        <v> </v>
      </c>
      <c r="Q11" s="2" t="str">
        <f aca="false">IF((F11="b"),I11," ")</f>
        <v> </v>
      </c>
      <c r="R11" s="2" t="n">
        <f aca="false">IF((F11="c"),I11," ")</f>
        <v>1000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45795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321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45802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314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35200</v>
      </c>
      <c r="H1" s="14" t="n">
        <f aca="false">SUM(H5:H300)</f>
        <v>5866.66666666667</v>
      </c>
      <c r="I1" s="14" t="n">
        <f aca="false">SUM(I5:I300)</f>
        <v>29333.3333333333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35200</v>
      </c>
      <c r="N1" s="18" t="n">
        <f aca="true">TODAY()</f>
        <v>46116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2000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May!H2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V1+May!V2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45811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305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45813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303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45816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300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45818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298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45823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293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45826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290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45828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288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45828</v>
      </c>
      <c r="B12" s="2" t="s">
        <v>19</v>
      </c>
      <c r="F12" s="4" t="s">
        <v>52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288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2000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45830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286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46116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45839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277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45841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275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45843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273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45846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270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45848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268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45852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264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45853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263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45856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260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45866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250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36020</v>
      </c>
      <c r="H1" s="14" t="n">
        <f aca="false">SUM(H5:H300)</f>
        <v>6003.33333333333</v>
      </c>
      <c r="I1" s="14" t="n">
        <f aca="false">SUM(I5:I300)</f>
        <v>30016.6666666667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36020</v>
      </c>
      <c r="N1" s="18" t="n">
        <f aca="true">TODAY()</f>
        <v>46116</v>
      </c>
      <c r="O1" s="19"/>
      <c r="P1" s="14" t="n">
        <f aca="false">SUM(P5:P300)</f>
        <v>27133.3333333333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2083.33333333333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Jul!H2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V1+Jul!V2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45870</v>
      </c>
      <c r="B5" s="2" t="s">
        <v>56</v>
      </c>
      <c r="F5" s="4" t="s">
        <v>57</v>
      </c>
      <c r="G5" s="2" t="n">
        <v>2500</v>
      </c>
      <c r="H5" s="2" t="n">
        <f aca="false">IF(H$4&gt;0,(IF(G5&lt;&gt;0,G5*H$4/100," ")),IF(G5&lt;&gt;0,G5*H$2/(100+H$2)," "))</f>
        <v>416.666666666667</v>
      </c>
      <c r="I5" s="2" t="n">
        <f aca="false">IF((G5&lt;&gt;0),G5-H5," ")</f>
        <v>2083.33333333333</v>
      </c>
      <c r="M5" s="7" t="n">
        <f aca="false">IF(G5&lt;&gt;0,G5-L5," ")</f>
        <v>2500</v>
      </c>
      <c r="N5" s="8" t="n">
        <f aca="false">IF((G5-L5)&lt;&gt;0,N$1-A5," ")</f>
        <v>246</v>
      </c>
      <c r="P5" s="2" t="str">
        <f aca="false">IF((F5="a"),I5," ")</f>
        <v> 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n">
        <f aca="false">IF((F5="g"),I5," ")</f>
        <v>2083.33333333333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45872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244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45874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242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45877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239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45879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237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45881</v>
      </c>
      <c r="B10" s="2" t="s">
        <v>50</v>
      </c>
      <c r="F10" s="4" t="s">
        <v>44</v>
      </c>
      <c r="G10" s="2" t="n">
        <v>960</v>
      </c>
      <c r="H10" s="2" t="n">
        <f aca="false">IF(H$4&gt;0,(IF(G10&lt;&gt;0,G10*H$4/100," ")),IF(G10&lt;&gt;0,G10*H$2/(100+H$2)," "))</f>
        <v>160</v>
      </c>
      <c r="I10" s="2" t="n">
        <f aca="false">IF((G10&lt;&gt;0),G10-H10," ")</f>
        <v>800</v>
      </c>
      <c r="M10" s="7" t="n">
        <f aca="false">IF(G10&lt;&gt;0,G10-L10," ")</f>
        <v>960</v>
      </c>
      <c r="N10" s="8" t="n">
        <f aca="false">IF((G10-L10)&lt;&gt;0,N$1-A10," ")</f>
        <v>235</v>
      </c>
      <c r="P10" s="2" t="n">
        <f aca="false">IF((F10="a"),I10," ")</f>
        <v>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45884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232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45887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229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45889</v>
      </c>
      <c r="B13" s="2" t="s">
        <v>47</v>
      </c>
      <c r="F13" s="4" t="s">
        <v>44</v>
      </c>
      <c r="G13" s="2" t="n">
        <v>1800</v>
      </c>
      <c r="H13" s="2" t="n">
        <f aca="false">IF(H$4&gt;0,(IF(G13&lt;&gt;0,G13*H$4/100," ")),IF(G13&lt;&gt;0,G13*H$2/(100+H$2)," "))</f>
        <v>300</v>
      </c>
      <c r="I13" s="2" t="n">
        <f aca="false">IF((G13&lt;&gt;0),G13-H13," ")</f>
        <v>1500</v>
      </c>
      <c r="M13" s="7" t="n">
        <f aca="false">IF(G13&lt;&gt;0,G13-L13," ")</f>
        <v>1800</v>
      </c>
      <c r="N13" s="8" t="n">
        <f aca="false">IF((G13-L13)&lt;&gt;0,N$1-A13," ")</f>
        <v>227</v>
      </c>
      <c r="P13" s="2" t="n">
        <f aca="false">IF((F13="a"),I13," ")</f>
        <v>1500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45894</v>
      </c>
      <c r="B14" s="2" t="s">
        <v>53</v>
      </c>
      <c r="F14" s="4" t="s">
        <v>44</v>
      </c>
      <c r="G14" s="2" t="n">
        <v>1200</v>
      </c>
      <c r="H14" s="2" t="n">
        <f aca="false">IF(H$4&gt;0,(IF(G14&lt;&gt;0,G14*H$4/100," ")),IF(G14&lt;&gt;0,G14*H$2/(100+H$2)," "))</f>
        <v>200</v>
      </c>
      <c r="I14" s="2" t="n">
        <f aca="false">IF((G14&lt;&gt;0),G14-H14," ")</f>
        <v>1000</v>
      </c>
      <c r="M14" s="7" t="n">
        <f aca="false">IF(G14&lt;&gt;0,G14-L14," ")</f>
        <v>1200</v>
      </c>
      <c r="N14" s="8" t="n">
        <f aca="false">IF((G14-L14)&lt;&gt;0,N$1-A14," ")</f>
        <v>222</v>
      </c>
      <c r="P14" s="2" t="n">
        <f aca="false">IF((F14="a"),I14," ")</f>
        <v>1000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46116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1800</v>
      </c>
      <c r="S1" s="14" t="n">
        <f aca="false">SUM(S5:S300)</f>
        <v>500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Aug!H2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V1+Aug!V2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45903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213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45905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211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45908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208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45910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206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45915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201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45916</v>
      </c>
      <c r="B10" s="2" t="s">
        <v>51</v>
      </c>
      <c r="F10" s="4" t="s">
        <v>52</v>
      </c>
      <c r="G10" s="2" t="n">
        <v>1200</v>
      </c>
      <c r="H10" s="2" t="n">
        <f aca="false">IF(H$4&gt;0,(IF(G10&lt;&gt;0,G10*H$4/100," ")),IF(G10&lt;&gt;0,G10*H$2/(100+H$2)," "))</f>
        <v>200</v>
      </c>
      <c r="I10" s="2" t="n">
        <f aca="false">IF((G10&lt;&gt;0),G10-H10," ")</f>
        <v>1000</v>
      </c>
      <c r="M10" s="7" t="n">
        <f aca="false">IF(G10&lt;&gt;0,G10-L10," ")</f>
        <v>1200</v>
      </c>
      <c r="N10" s="8" t="n">
        <f aca="false">IF((G10-L10)&lt;&gt;0,N$1-A10," ")</f>
        <v>200</v>
      </c>
      <c r="P10" s="2" t="str">
        <f aca="false">IF((F10="a"),I10," ")</f>
        <v> </v>
      </c>
      <c r="Q10" s="2" t="str">
        <f aca="false">IF((F10="b"),I10," ")</f>
        <v> </v>
      </c>
      <c r="R10" s="2" t="n">
        <f aca="false">IF((F10="c"),I10," ")</f>
        <v>1000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45918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198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45920</v>
      </c>
      <c r="B12" s="2" t="s">
        <v>58</v>
      </c>
      <c r="F12" s="4" t="s">
        <v>52</v>
      </c>
      <c r="G12" s="2" t="n">
        <v>960</v>
      </c>
      <c r="H12" s="2" t="n">
        <f aca="false">IF(H$4&gt;0,(IF(G12&lt;&gt;0,G12*H$4/100," ")),IF(G12&lt;&gt;0,G12*H$2/(100+H$2)," "))</f>
        <v>160</v>
      </c>
      <c r="I12" s="2" t="n">
        <f aca="false">IF((G12&lt;&gt;0),G12-H12," ")</f>
        <v>800</v>
      </c>
      <c r="M12" s="7" t="n">
        <f aca="false">IF(G12&lt;&gt;0,G12-L12," ")</f>
        <v>960</v>
      </c>
      <c r="N12" s="8" t="n">
        <f aca="false">IF((G12-L12)&lt;&gt;0,N$1-A12," ")</f>
        <v>196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800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45922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194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45925</v>
      </c>
      <c r="B14" s="2" t="s">
        <v>59</v>
      </c>
      <c r="F14" s="4" t="s">
        <v>49</v>
      </c>
      <c r="G14" s="2" t="n">
        <v>600</v>
      </c>
      <c r="H14" s="2" t="n">
        <f aca="false">IF(H$4&gt;0,(IF(G14&lt;&gt;0,G14*H$4/100," ")),IF(G14&lt;&gt;0,G14*H$2/(100+H$2)," "))</f>
        <v>100</v>
      </c>
      <c r="I14" s="2" t="n">
        <f aca="false">IF((G14&lt;&gt;0),G14-H14," ")</f>
        <v>500</v>
      </c>
      <c r="M14" s="7" t="n">
        <f aca="false">IF(G14&lt;&gt;0,G14-L14," ")</f>
        <v>600</v>
      </c>
      <c r="N14" s="8" t="n">
        <f aca="false">IF((G14-L14)&lt;&gt;0,N$1-A14," ")</f>
        <v>191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500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50560</v>
      </c>
      <c r="H1" s="14" t="n">
        <f aca="false">SUM(H5:H300)</f>
        <v>8426.66666666667</v>
      </c>
      <c r="I1" s="14" t="n">
        <f aca="false">SUM(I5:I300)</f>
        <v>42133.3333333333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50560</v>
      </c>
      <c r="N1" s="18" t="n">
        <f aca="true">TODAY()</f>
        <v>46116</v>
      </c>
      <c r="O1" s="19"/>
      <c r="P1" s="14" t="n">
        <f aca="false">SUM(P5:P300)</f>
        <v>27133.3333333333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12500</v>
      </c>
      <c r="W1" s="14" t="n">
        <f aca="false">SUM(W5:W300)</f>
        <v>0</v>
      </c>
      <c r="X1" s="14" t="n">
        <f aca="false">W1+Sep!X1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Sep!H2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V1+Sep!V2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45931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185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45933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183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45935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181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45938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178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45940</v>
      </c>
      <c r="B9" s="2" t="s">
        <v>60</v>
      </c>
      <c r="F9" s="4" t="s">
        <v>61</v>
      </c>
      <c r="G9" s="2" t="n">
        <v>15000</v>
      </c>
      <c r="H9" s="2" t="n">
        <f aca="false">IF(H$4&gt;0,(IF(G9&lt;&gt;0,G9*H$4/100," ")),IF(G9&lt;&gt;0,G9*H$2/(100+H$2)," "))</f>
        <v>2500</v>
      </c>
      <c r="I9" s="2" t="n">
        <f aca="false">IF((G9&lt;&gt;0),G9-H9," ")</f>
        <v>12500</v>
      </c>
      <c r="M9" s="7" t="n">
        <f aca="false">IF(G9&lt;&gt;0,G9-L9," ")</f>
        <v>15000</v>
      </c>
      <c r="N9" s="8" t="n">
        <f aca="false">IF((G9-L9)&lt;&gt;0,N$1-A9," ")</f>
        <v>176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n">
        <f aca="false">IF((F9="FS"),I9," ")</f>
        <v>12500</v>
      </c>
    </row>
    <row r="10" customFormat="false" ht="12" hidden="false" customHeight="false" outlineLevel="0" collapsed="false">
      <c r="A10" s="1" t="n">
        <v>45940</v>
      </c>
      <c r="B10" s="2" t="s">
        <v>45</v>
      </c>
      <c r="F10" s="4" t="s">
        <v>44</v>
      </c>
      <c r="G10" s="2" t="n">
        <v>720</v>
      </c>
      <c r="H10" s="2" t="n">
        <f aca="false">IF(H$4&gt;0,(IF(G10&lt;&gt;0,G10*H$4/100," ")),IF(G10&lt;&gt;0,G10*H$2/(100+H$2)," "))</f>
        <v>120</v>
      </c>
      <c r="I10" s="2" t="n">
        <f aca="false">IF((G10&lt;&gt;0),G10-H10," ")</f>
        <v>600</v>
      </c>
      <c r="M10" s="7" t="n">
        <f aca="false">IF(G10&lt;&gt;0,G10-L10," ")</f>
        <v>720</v>
      </c>
      <c r="N10" s="8" t="n">
        <f aca="false">IF((G10-L10)&lt;&gt;0,N$1-A10," ")</f>
        <v>176</v>
      </c>
      <c r="P10" s="2" t="n">
        <f aca="false">IF((F10="a"),I10," ")</f>
        <v>600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45944</v>
      </c>
      <c r="B11" s="2" t="s">
        <v>55</v>
      </c>
      <c r="F11" s="4" t="s">
        <v>44</v>
      </c>
      <c r="G11" s="2" t="n">
        <v>2160</v>
      </c>
      <c r="H11" s="2" t="n">
        <f aca="false">IF(H$4&gt;0,(IF(G11&lt;&gt;0,G11*H$4/100," ")),IF(G11&lt;&gt;0,G11*H$2/(100+H$2)," "))</f>
        <v>360</v>
      </c>
      <c r="I11" s="2" t="n">
        <f aca="false">IF((G11&lt;&gt;0),G11-H11," ")</f>
        <v>1800</v>
      </c>
      <c r="M11" s="7" t="n">
        <f aca="false">IF(G11&lt;&gt;0,G11-L11," ")</f>
        <v>2160</v>
      </c>
      <c r="N11" s="8" t="n">
        <f aca="false">IF((G11-L11)&lt;&gt;0,N$1-A11," ")</f>
        <v>172</v>
      </c>
      <c r="P11" s="2" t="n">
        <f aca="false">IF((F11="a"),I11," ")</f>
        <v>1800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45945</v>
      </c>
      <c r="B12" s="2" t="s">
        <v>15</v>
      </c>
      <c r="F12" s="4" t="s">
        <v>44</v>
      </c>
      <c r="G12" s="2" t="n">
        <v>25000</v>
      </c>
      <c r="H12" s="2" t="n">
        <f aca="false">IF(H$4&gt;0,(IF(G12&lt;&gt;0,G12*H$4/100," ")),IF(G12&lt;&gt;0,G12*H$2/(100+H$2)," "))</f>
        <v>4166.66666666667</v>
      </c>
      <c r="I12" s="2" t="n">
        <f aca="false">IF((G12&lt;&gt;0),G12-H12," ")</f>
        <v>20833.3333333333</v>
      </c>
      <c r="M12" s="7" t="n">
        <f aca="false">IF(G12&lt;&gt;0,G12-L12," ")</f>
        <v>25000</v>
      </c>
      <c r="N12" s="8" t="n">
        <f aca="false">IF((G12-L12)&lt;&gt;0,N$1-A12," ")</f>
        <v>171</v>
      </c>
      <c r="P12" s="2" t="n">
        <f aca="false">IF((F12="a"),I12," ")</f>
        <v>20833.3333333333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45948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168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45950</v>
      </c>
      <c r="B14" s="2" t="s">
        <v>47</v>
      </c>
      <c r="F14" s="4" t="s">
        <v>44</v>
      </c>
      <c r="G14" s="2" t="n">
        <v>1800</v>
      </c>
      <c r="H14" s="2" t="n">
        <f aca="false">IF(H$4&gt;0,(IF(G14&lt;&gt;0,G14*H$4/100," ")),IF(G14&lt;&gt;0,G14*H$2/(100+H$2)," "))</f>
        <v>300</v>
      </c>
      <c r="I14" s="2" t="n">
        <f aca="false">IF((G14&lt;&gt;0),G14-H14," ")</f>
        <v>1500</v>
      </c>
      <c r="M14" s="7" t="n">
        <f aca="false">IF(G14&lt;&gt;0,G14-L14," ")</f>
        <v>1800</v>
      </c>
      <c r="N14" s="8" t="n">
        <f aca="false">IF((G14-L14)&lt;&gt;0,N$1-A14," ")</f>
        <v>166</v>
      </c>
      <c r="P14" s="2" t="n">
        <f aca="false">IF((F14="a"),I14," ")</f>
        <v>1500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45958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158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35320</v>
      </c>
      <c r="H1" s="14" t="n">
        <f aca="false">SUM(H5:H300)</f>
        <v>5886.66666666667</v>
      </c>
      <c r="I1" s="14" t="n">
        <f aca="false">SUM(I5:I300)</f>
        <v>29433.3333333333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35320</v>
      </c>
      <c r="N1" s="18" t="n">
        <f aca="true">TODAY()</f>
        <v>46116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3000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Oct!H2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V1+Oct!V2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45964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152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45966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150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45969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147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45971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145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45973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143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45976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140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45979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137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45981</v>
      </c>
      <c r="B12" s="2" t="s">
        <v>62</v>
      </c>
      <c r="F12" s="4" t="s">
        <v>52</v>
      </c>
      <c r="G12" s="2" t="n">
        <v>3600</v>
      </c>
      <c r="H12" s="2" t="n">
        <f aca="false">IF(H$4&gt;0,(IF(G12&lt;&gt;0,G12*H$4/100," ")),IF(G12&lt;&gt;0,G12*H$2/(100+H$2)," "))</f>
        <v>600</v>
      </c>
      <c r="I12" s="2" t="n">
        <f aca="false">IF((G12&lt;&gt;0),G12-H12," ")</f>
        <v>3000</v>
      </c>
      <c r="M12" s="7" t="n">
        <f aca="false">IF(G12&lt;&gt;0,G12-L12," ")</f>
        <v>3600</v>
      </c>
      <c r="N12" s="8" t="n">
        <f aca="false">IF((G12-L12)&lt;&gt;0,N$1-A12," ")</f>
        <v>135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3000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45986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130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32800</v>
      </c>
      <c r="H1" s="14" t="n">
        <f aca="false">SUM(H5:H300)</f>
        <v>5466.66666666667</v>
      </c>
      <c r="I1" s="14" t="n">
        <f aca="false">SUM(I5:I300)</f>
        <v>27333.3333333333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32800</v>
      </c>
      <c r="N1" s="18" t="n">
        <f aca="true">TODAY()</f>
        <v>46116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Nov!H2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V1+Nov!V2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45994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122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45996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120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45999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117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46001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115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46006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110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46009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107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46011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105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46013</v>
      </c>
      <c r="B12" s="2" t="s">
        <v>54</v>
      </c>
      <c r="F12" s="4" t="s">
        <v>44</v>
      </c>
      <c r="G12" s="2" t="n">
        <v>1440</v>
      </c>
      <c r="H12" s="2" t="n">
        <f aca="false">IF(H$4&gt;0,(IF(G12&lt;&gt;0,G12*H$4/100," ")),IF(G12&lt;&gt;0,G12*H$2/(100+H$2)," "))</f>
        <v>240</v>
      </c>
      <c r="I12" s="2" t="n">
        <f aca="false">IF((G12&lt;&gt;0),G12-H12," ")</f>
        <v>1200</v>
      </c>
      <c r="M12" s="7" t="n">
        <f aca="false">IF(G12&lt;&gt;0,G12-L12," ")</f>
        <v>1440</v>
      </c>
      <c r="N12" s="8" t="n">
        <f aca="false">IF((G12-L12)&lt;&gt;0,N$1-A12," ")</f>
        <v>103</v>
      </c>
      <c r="P12" s="2" t="n">
        <f aca="false">IF((F12="a"),I12," ")</f>
        <v>1200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35440</v>
      </c>
      <c r="H1" s="14" t="n">
        <f aca="false">SUM(H5:H300)</f>
        <v>5906.66666666667</v>
      </c>
      <c r="I1" s="14" t="n">
        <f aca="false">SUM(I5:I300)</f>
        <v>29533.3333333333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35440</v>
      </c>
      <c r="N1" s="18" t="n">
        <f aca="true">TODAY()</f>
        <v>46116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1000</v>
      </c>
      <c r="S1" s="14" t="n">
        <f aca="false">SUM(S5:S300)</f>
        <v>1100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Dec!H2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V1+Dec!V2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44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46023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93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46025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91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46027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89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46030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86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46032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84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46036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80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46037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79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46038</v>
      </c>
      <c r="B12" s="2" t="s">
        <v>51</v>
      </c>
      <c r="F12" s="4" t="s">
        <v>52</v>
      </c>
      <c r="G12" s="2" t="n">
        <v>1200</v>
      </c>
      <c r="H12" s="2" t="n">
        <f aca="false">IF(H$4&gt;0,(IF(G12&lt;&gt;0,G12*H$4/100," ")),IF(G12&lt;&gt;0,G12*H$2/(100+H$2)," "))</f>
        <v>200</v>
      </c>
      <c r="I12" s="2" t="n">
        <f aca="false">IF((G12&lt;&gt;0),G12-H12," ")</f>
        <v>1000</v>
      </c>
      <c r="M12" s="7" t="n">
        <f aca="false">IF(G12&lt;&gt;0,G12-L12," ")</f>
        <v>1200</v>
      </c>
      <c r="N12" s="8" t="n">
        <f aca="false">IF((G12-L12)&lt;&gt;0,N$1-A12," ")</f>
        <v>78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46040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76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46047</v>
      </c>
      <c r="B14" s="2" t="s">
        <v>63</v>
      </c>
      <c r="F14" s="4" t="s">
        <v>49</v>
      </c>
      <c r="G14" s="2" t="n">
        <v>480</v>
      </c>
      <c r="H14" s="2" t="n">
        <f aca="false">IF(H$4&gt;0,(IF(G14&lt;&gt;0,G14*H$4/100," ")),IF(G14&lt;&gt;0,G14*H$2/(100+H$2)," "))</f>
        <v>80</v>
      </c>
      <c r="I14" s="2" t="n">
        <f aca="false">IF((G14&lt;&gt;0),G14-H14," ")</f>
        <v>400</v>
      </c>
      <c r="M14" s="7" t="n">
        <f aca="false">IF(G14&lt;&gt;0,G14-L14," ")</f>
        <v>480</v>
      </c>
      <c r="N14" s="8" t="n">
        <f aca="false">IF((G14-L14)&lt;&gt;0,N$1-A14," ")</f>
        <v>69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400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46050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66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34360</v>
      </c>
      <c r="H1" s="14" t="n">
        <f aca="false">SUM(H5:H300)</f>
        <v>5726.66666666667</v>
      </c>
      <c r="I1" s="14" t="n">
        <f aca="false">SUM(I5:I300)</f>
        <v>28633.3333333333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34360</v>
      </c>
      <c r="N1" s="18" t="n">
        <f aca="true">TODAY()</f>
        <v>46116</v>
      </c>
      <c r="O1" s="19"/>
      <c r="P1" s="14" t="n">
        <f aca="false">SUM(P5:P300)</f>
        <v>26333.3333333333</v>
      </c>
      <c r="Q1" s="14" t="n">
        <f aca="false">SUM(Q5:Q300)</f>
        <v>800</v>
      </c>
      <c r="R1" s="14" t="n">
        <f aca="false">SUM(R5:R300)</f>
        <v>1500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Jan!H2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V1+Jan!V2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46056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60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46058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58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46061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55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46063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53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46068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48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46071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45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46073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43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46073</v>
      </c>
      <c r="B12" s="2" t="s">
        <v>64</v>
      </c>
      <c r="F12" s="4" t="s">
        <v>52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43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1500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46078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38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31360</v>
      </c>
      <c r="H1" s="14" t="n">
        <f aca="false">SUM(H5:H300)</f>
        <v>5226.66666666667</v>
      </c>
      <c r="I1" s="14" t="n">
        <f aca="false">SUM(I5:I300)</f>
        <v>26133.3333333333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31360</v>
      </c>
      <c r="N1" s="18" t="n">
        <f aca="true">TODAY()</f>
        <v>46116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300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Feb!H2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V1+Feb!V2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46084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32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46086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30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46089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27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46091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25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46096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20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46099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17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46103</v>
      </c>
      <c r="B11" s="2" t="s">
        <v>54</v>
      </c>
      <c r="F11" s="4" t="s">
        <v>44</v>
      </c>
      <c r="G11" s="2" t="n">
        <v>1440</v>
      </c>
      <c r="H11" s="2" t="n">
        <f aca="false">IF(H$4&gt;0,(IF(G11&lt;&gt;0,G11*H$4/100," ")),IF(G11&lt;&gt;0,G11*H$2/(100+H$2)," "))</f>
        <v>240</v>
      </c>
      <c r="I11" s="2" t="n">
        <f aca="false">IF((G11&lt;&gt;0),G11-H11," ")</f>
        <v>1200</v>
      </c>
      <c r="M11" s="7" t="n">
        <f aca="false">IF(G11&lt;&gt;0,G11-L11," ")</f>
        <v>1440</v>
      </c>
      <c r="N11" s="8" t="n">
        <f aca="false">IF((G11-L11)&lt;&gt;0,N$1-A11," ")</f>
        <v>13</v>
      </c>
      <c r="P11" s="2" t="n">
        <f aca="false">IF((F11="a"),I11," ")</f>
        <v>1200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46112</v>
      </c>
      <c r="B12" s="2" t="s">
        <v>65</v>
      </c>
      <c r="F12" s="4" t="s">
        <v>66</v>
      </c>
      <c r="G12" s="2" t="n">
        <v>360</v>
      </c>
      <c r="H12" s="2" t="n">
        <f aca="false">IF(H$4&gt;0,(IF(G12&lt;&gt;0,G12*H$4/100," ")),IF(G12&lt;&gt;0,G12*H$2/(100+H$2)," "))</f>
        <v>60</v>
      </c>
      <c r="I12" s="2" t="n">
        <f aca="false">IF((G12&lt;&gt;0),G12-H12," ")</f>
        <v>300</v>
      </c>
      <c r="M12" s="7" t="n">
        <f aca="false">IF(G12&lt;&gt;0,G12-L12," ")</f>
        <v>360</v>
      </c>
      <c r="N12" s="8" t="n">
        <f aca="false">IF((G12-L12)&lt;&gt;0,N$1-A12," ")</f>
        <v>4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n">
        <f aca="false">IF((F12="o"),I12," ")</f>
        <v>300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46116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67</v>
      </c>
      <c r="D5" s="4" t="n">
        <v>8000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46</v>
      </c>
      <c r="C6" s="3" t="s">
        <v>68</v>
      </c>
      <c r="D6" s="4" t="n">
        <v>2400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