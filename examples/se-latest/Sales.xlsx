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Deb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Debtors" sheetId="14" state="visible" r:id="rId16"/>
  </sheets>
  <definedNames>
    <definedName function="false" hidden="false" localSheetId="1" name="_xlnm.Print_Area" vbProcedure="false">Apr!$A$1:$X$75</definedName>
    <definedName function="false" hidden="false" localSheetId="1" name="_xlnm.Print_Titles" vbProcedure="false">Apr!$A:$E,Apr!$1:$4</definedName>
    <definedName function="false" hidden="false" localSheetId="5" name="_xlnm.Print_Area" vbProcedure="false">Aug!$A$1:$X$75</definedName>
    <definedName function="false" hidden="false" localSheetId="5" name="_xlnm.Print_Titles" vbProcedure="false">Aug!$A:$E,Aug!$1:$4</definedName>
    <definedName function="false" hidden="false" localSheetId="13" name="_xlnm.Print_Area" vbProcedure="false">ClosingDebtors!$A$1:$Q$75</definedName>
    <definedName function="false" hidden="false" localSheetId="13" name="_xlnm.Print_Titles" vbProcedure="false">ClosingDebtors!$A:$E,ClosingDebtors!$1:$4</definedName>
    <definedName function="false" hidden="false" localSheetId="9" name="_xlnm.Print_Area" vbProcedure="false">Dec!$A$1:$X$75</definedName>
    <definedName function="false" hidden="false" localSheetId="9" name="_xlnm.Print_Titles" vbProcedure="false">Dec!$A:$E,Dec!$1:$4</definedName>
    <definedName function="false" hidden="false" localSheetId="11" name="_xlnm.Print_Area" vbProcedure="false">Feb!$A$1:$X$75</definedName>
    <definedName function="false" hidden="false" localSheetId="11" name="_xlnm.Print_Titles" vbProcedure="false">Feb!$A:$E,Feb!$1:$4</definedName>
    <definedName function="false" hidden="false" localSheetId="10" name="_xlnm.Print_Area" vbProcedure="false">Jan!$A$1:$X$75</definedName>
    <definedName function="false" hidden="false" localSheetId="10" name="_xlnm.Print_Titles" vbProcedure="false">Jan!$A:$E,Jan!$1:$4</definedName>
    <definedName function="false" hidden="false" localSheetId="4" name="_xlnm.Print_Area" vbProcedure="false">Jul!$A$1:$X$75</definedName>
    <definedName function="false" hidden="false" localSheetId="4" name="_xlnm.Print_Titles" vbProcedure="false">Jul!$A:$E,Jul!$1:$4</definedName>
    <definedName function="false" hidden="false" localSheetId="3" name="_xlnm.Print_Area" vbProcedure="false">Jun!$A$1:$X$75</definedName>
    <definedName function="false" hidden="false" localSheetId="3" name="_xlnm.Print_Titles" vbProcedure="false">Jun!$A:$E,Jun!$1:$4</definedName>
    <definedName function="false" hidden="false" localSheetId="12" name="_xlnm.Print_Area" vbProcedure="false">Mar!$A$1:$X$75</definedName>
    <definedName function="false" hidden="false" localSheetId="12" name="_xlnm.Print_Titles" vbProcedure="false">Mar!$A:$E,Mar!$1:$4</definedName>
    <definedName function="false" hidden="false" localSheetId="2" name="_xlnm.Print_Area" vbProcedure="false">May!$A$1:$X$75</definedName>
    <definedName function="false" hidden="false" localSheetId="2" name="_xlnm.Print_Titles" vbProcedure="false">May!$A:$E,May!$1:$4</definedName>
    <definedName function="false" hidden="false" localSheetId="8" name="_xlnm.Print_Area" vbProcedure="false">Nov!$A$1:$X$75</definedName>
    <definedName function="false" hidden="false" localSheetId="8" name="_xlnm.Print_Titles" vbProcedure="false">Nov!$A:$E,Nov!$1:$4</definedName>
    <definedName function="false" hidden="false" localSheetId="7" name="_xlnm.Print_Area" vbProcedure="false">Oct!$A$1:$X$75</definedName>
    <definedName function="false" hidden="false" localSheetId="7" name="_xlnm.Print_Titles" vbProcedure="false">Oct!$A:$E,Oct!$1:$4</definedName>
    <definedName function="false" hidden="false" localSheetId="0" name="_xlnm.Print_Area" vbProcedure="false">OpeningDebtors!$A$1:$Q$75</definedName>
    <definedName function="false" hidden="false" localSheetId="0" name="_xlnm.Print_Titles" vbProcedure="false">OpeningDebtors!$A:$E,OpeningDebtors!$1:$4</definedName>
    <definedName function="false" hidden="false" localSheetId="6" name="_xlnm.Print_Area" vbProcedure="false">Sep!$A$1:$X$75</definedName>
    <definedName function="false" hidden="false" localSheetId="6" name="_xlnm.Print_Titles" vbProcedure="false">Sep!$A:$E,Sep!$1:$4</definedName>
    <definedName function="false" hidden="false" localSheetId="0" name="Excel_BuiltIn_Print_Titles" vbProcedure="false">(OpeningDebtors!$A:$E,OpeningDebtors!$1:$4)</definedName>
    <definedName function="false" hidden="false" localSheetId="0" name="_xlnm_Print_Area" vbProcedure="false">OpeningDebtors!$A$1:$Q$75</definedName>
    <definedName function="false" hidden="false" localSheetId="0" name="_xlnm_Print_Titles" vbProcedure="false">(OpeningDebtors!$A:$E,OpeningDebtors!$1:$4)</definedName>
    <definedName function="false" hidden="false" localSheetId="1" name="Excel_BuiltIn_Print_Titles" vbProcedure="false">(Apr!$A:$E,Apr!$1:$4)</definedName>
    <definedName function="false" hidden="false" localSheetId="1" name="_xlnm_Print_Area" vbProcedure="false">Apr!$A$1:$X$75</definedName>
    <definedName function="false" hidden="false" localSheetId="1" name="_xlnm_Print_Titles" vbProcedure="false">(Apr!$A:$E,Apr!$1:$4)</definedName>
    <definedName function="false" hidden="false" localSheetId="2" name="Excel_BuiltIn_Print_Titles" vbProcedure="false">(May!$A:$E,May!$1:$4)</definedName>
    <definedName function="false" hidden="false" localSheetId="2" name="_xlnm_Print_Area" vbProcedure="false">May!$A$1:$X$75</definedName>
    <definedName function="false" hidden="false" localSheetId="2" name="_xlnm_Print_Titles" vbProcedure="false">(May!$A:$E,May!$1:$4)</definedName>
    <definedName function="false" hidden="false" localSheetId="3" name="Excel_BuiltIn_Print_Titles" vbProcedure="false">(Jun!$A:$E,Jun!$1:$4)</definedName>
    <definedName function="false" hidden="false" localSheetId="3" name="_xlnm_Print_Area" vbProcedure="false">Jun!$A$1:$X$75</definedName>
    <definedName function="false" hidden="false" localSheetId="3" name="_xlnm_Print_Titles" vbProcedure="false">(Jun!$A:$E,Jun!$1:$4)</definedName>
    <definedName function="false" hidden="false" localSheetId="4" name="Excel_BuiltIn_Print_Titles" vbProcedure="false">(Jul!$A:$E,Jul!$1:$4)</definedName>
    <definedName function="false" hidden="false" localSheetId="4" name="_xlnm_Print_Area" vbProcedure="false">Jul!$A$1:$X$75</definedName>
    <definedName function="false" hidden="false" localSheetId="4" name="_xlnm_Print_Titles" vbProcedure="false">(Jul!$A:$E,Jul!$1:$4)</definedName>
    <definedName function="false" hidden="false" localSheetId="5" name="Excel_BuiltIn_Print_Titles" vbProcedure="false">(Aug!$A:$E,Aug!$1:$4)</definedName>
    <definedName function="false" hidden="false" localSheetId="5" name="_xlnm_Print_Area" vbProcedure="false">Aug!$A$1:$X$75</definedName>
    <definedName function="false" hidden="false" localSheetId="5" name="_xlnm_Print_Titles" vbProcedure="false">(Aug!$A:$E,Aug!$1:$4)</definedName>
    <definedName function="false" hidden="false" localSheetId="6" name="Excel_BuiltIn_Print_Titles" vbProcedure="false">(Sep!$A:$E,Sep!$1:$4)</definedName>
    <definedName function="false" hidden="false" localSheetId="6" name="_xlnm_Print_Area" vbProcedure="false">Sep!$A$1:$X$75</definedName>
    <definedName function="false" hidden="false" localSheetId="6" name="_xlnm_Print_Titles" vbProcedure="false">(Sep!$A:$E,Sep!$1:$4)</definedName>
    <definedName function="false" hidden="false" localSheetId="7" name="Excel_BuiltIn_Print_Titles" vbProcedure="false">(Oct!$A:$E,Oct!$1:$4)</definedName>
    <definedName function="false" hidden="false" localSheetId="7" name="_xlnm_Print_Area" vbProcedure="false">Oct!$A$1:$X$75</definedName>
    <definedName function="false" hidden="false" localSheetId="7" name="_xlnm_Print_Titles" vbProcedure="false">(Oct!$A:$E,Oct!$1:$4)</definedName>
    <definedName function="false" hidden="false" localSheetId="8" name="Excel_BuiltIn_Print_Titles" vbProcedure="false">(Nov!$A:$E,Nov!$1:$4)</definedName>
    <definedName function="false" hidden="false" localSheetId="8" name="_xlnm_Print_Area" vbProcedure="false">Nov!$A$1:$X$75</definedName>
    <definedName function="false" hidden="false" localSheetId="8" name="_xlnm_Print_Titles" vbProcedure="false">(Nov!$A:$E,Nov!$1:$4)</definedName>
    <definedName function="false" hidden="false" localSheetId="9" name="Excel_BuiltIn_Print_Titles" vbProcedure="false">(Dec!$A:$E,Dec!$1:$4)</definedName>
    <definedName function="false" hidden="false" localSheetId="9" name="_xlnm_Print_Area" vbProcedure="false">Dec!$A$1:$X$75</definedName>
    <definedName function="false" hidden="false" localSheetId="9" name="_xlnm_Print_Titles" vbProcedure="false">(Dec!$A:$E,Dec!$1:$4)</definedName>
    <definedName function="false" hidden="false" localSheetId="10" name="Excel_BuiltIn_Print_Titles" vbProcedure="false">(Jan!$A:$E,Jan!$1:$4)</definedName>
    <definedName function="false" hidden="false" localSheetId="10" name="_xlnm_Print_Area" vbProcedure="false">Jan!$A$1:$X$75</definedName>
    <definedName function="false" hidden="false" localSheetId="10" name="_xlnm_Print_Titles" vbProcedure="false">(Jan!$A:$E,Jan!$1:$4)</definedName>
    <definedName function="false" hidden="false" localSheetId="11" name="Excel_BuiltIn_Print_Titles" vbProcedure="false">(Feb!$A:$E,Feb!$1:$4)</definedName>
    <definedName function="false" hidden="false" localSheetId="11" name="_xlnm_Print_Area" vbProcedure="false">Feb!$A$1:$X$75</definedName>
    <definedName function="false" hidden="false" localSheetId="11" name="_xlnm_Print_Titles" vbProcedure="false">(Feb!$A:$E,Feb!$1:$4)</definedName>
    <definedName function="false" hidden="false" localSheetId="12" name="Excel_BuiltIn_Print_Titles" vbProcedure="false">(Mar!$A:$E,Mar!$1:$4)</definedName>
    <definedName function="false" hidden="false" localSheetId="12" name="_xlnm_Print_Area" vbProcedure="false">Mar!$A$1:$X$75</definedName>
    <definedName function="false" hidden="false" localSheetId="12" name="_xlnm_Print_Titles" vbProcedure="false">(Mar!$A:$E,Mar!$1:$4)</definedName>
    <definedName function="false" hidden="false" localSheetId="13" name="Excel_BuiltIn_Print_Titles" vbProcedure="false">(ClosingDebtors!$A:$E,ClosingDebtors!$1:$4)</definedName>
    <definedName function="false" hidden="false" localSheetId="13" name="_xlnm_Print_Area" vbProcedure="false">ClosingDebtors!$A$1:$Q$75</definedName>
    <definedName function="false" hidden="false" localSheetId="13" name="_xlnm_Print_Titles" vbProcedure="false">(ClosingDebtors!$A:$E,ClosingDebtors!$1:$4)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<sst xmlns="http://schemas.openxmlformats.org/spreadsheetml/2006/main" count="1010" uniqueCount="208">
  <si>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</si>
  <si>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</si>
  <si>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</si>
  <si>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</si>
  <si>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For your information only. Enter How Paid e.g. Cash, Cheque etc.,</t>
  </si>
  <si>
    <t xml:space="preserve">Sales Value including   Vat</t>
  </si>
  <si>
    <t xml:space="preserve">Sales         Net of Vat</t>
  </si>
  <si>
    <t xml:space="preserve">Receipts from Customers</t>
  </si>
  <si>
    <t xml:space="preserve">Sub contractors only</t>
  </si>
  <si>
    <t xml:space="preserve">Vat       Output</t>
  </si>
  <si>
    <t xml:space="preserve">Actual amount received</t>
  </si>
  <si>
    <t xml:space="preserve">Sales Value not yet received</t>
  </si>
  <si>
    <t xml:space="preserve">Number of Days Outstanding</t>
  </si>
  <si>
    <t xml:space="preserve">CIS Tax Deducted</t>
  </si>
  <si>
    <t xml:space="preserve">CIS Certificate reference</t>
  </si>
  <si>
    <t xml:space="preserve">Acme Corp</t>
  </si>
  <si>
    <t xml:space="preserve">INV-0901</t>
  </si>
  <si>
    <t xml:space="preserve">Beta Systems</t>
  </si>
  <si>
    <t xml:space="preserve">INV-0902</t>
  </si>
  <si>
    <t xml:space="preserve">Gamma Ltd</t>
  </si>
  <si>
    <t xml:space="preserve">INV-0903</t>
  </si>
  <si>
    <t xml:space="preserve">Check Total</t>
  </si>
  <si>
    <t xml:space="preserve">Sales Mileage</t>
  </si>
  <si>
    <t xml:space="preserve"> Enter Expense Code Letter</t>
  </si>
  <si>
    <t xml:space="preserve">Sales           Net of Vat</t>
  </si>
  <si>
    <t xml:space="preserve">Sales Net of Vat</t>
  </si>
  <si>
    <t xml:space="preserve">Other Income</t>
  </si>
  <si>
    <t xml:space="preserve">Investment Grants</t>
  </si>
  <si>
    <t xml:space="preserve">Bad Debts written off</t>
  </si>
  <si>
    <t xml:space="preserve">Product          A</t>
  </si>
  <si>
    <t xml:space="preserve">Product      B</t>
  </si>
  <si>
    <t xml:space="preserve">Product        C</t>
  </si>
  <si>
    <t xml:space="preserve">Sale of          Fixed Assets</t>
  </si>
  <si>
    <t xml:space="preserve">A</t>
  </si>
  <si>
    <t xml:space="preserve">B</t>
  </si>
  <si>
    <t xml:space="preserve">C</t>
  </si>
  <si>
    <t xml:space="preserve">D</t>
  </si>
  <si>
    <t xml:space="preserve">G</t>
  </si>
  <si>
    <t xml:space="preserve">O</t>
  </si>
  <si>
    <t xml:space="preserve">FS</t>
  </si>
  <si>
    <t xml:space="preserve">INV-1301</t>
  </si>
  <si>
    <t xml:space="preserve">Software licence renewal</t>
  </si>
  <si>
    <t xml:space="preserve">b</t>
  </si>
  <si>
    <t xml:space="preserve">4001</t>
  </si>
  <si>
    <t xml:space="preserve">FreshField Ltd</t>
  </si>
  <si>
    <t xml:space="preserve">INV-2601</t>
  </si>
  <si>
    <t xml:space="preserve">Software monitoring licence</t>
  </si>
  <si>
    <t xml:space="preserve">CloudNine Ltd</t>
  </si>
  <si>
    <t xml:space="preserve">INV-1401</t>
  </si>
  <si>
    <t xml:space="preserve">SaaS licence fee</t>
  </si>
  <si>
    <t xml:space="preserve">Cedar Systems</t>
  </si>
  <si>
    <t xml:space="preserve">INV-2401</t>
  </si>
  <si>
    <t xml:space="preserve">Managed services</t>
  </si>
  <si>
    <t xml:space="preserve">a</t>
  </si>
  <si>
    <t xml:space="preserve">4000</t>
  </si>
  <si>
    <t xml:space="preserve">Pinnacle Group</t>
  </si>
  <si>
    <t xml:space="preserve">INV-2201</t>
  </si>
  <si>
    <t xml:space="preserve">Monthly support contract</t>
  </si>
  <si>
    <t xml:space="preserve">INV-1001</t>
  </si>
  <si>
    <t xml:space="preserve">IT consultancy services</t>
  </si>
  <si>
    <t xml:space="preserve">TechStart Ltd</t>
  </si>
  <si>
    <t xml:space="preserve">INV-1101</t>
  </si>
  <si>
    <t xml:space="preserve">IT consultancy retainer</t>
  </si>
  <si>
    <t xml:space="preserve">DataFlow Inc</t>
  </si>
  <si>
    <t xml:space="preserve">INV-1201</t>
  </si>
  <si>
    <t xml:space="preserve">Ad-hoc consultancy project</t>
  </si>
  <si>
    <t xml:space="preserve">Horizon Analytics</t>
  </si>
  <si>
    <t xml:space="preserve">INV-2701</t>
  </si>
  <si>
    <t xml:space="preserve">Data analytics commission</t>
  </si>
  <si>
    <t xml:space="preserve">d</t>
  </si>
  <si>
    <t xml:space="preserve">4003</t>
  </si>
  <si>
    <t xml:space="preserve">INV-2602</t>
  </si>
  <si>
    <t xml:space="preserve">INV-1402</t>
  </si>
  <si>
    <t xml:space="preserve">INV-2402</t>
  </si>
  <si>
    <t xml:space="preserve">INV-2202</t>
  </si>
  <si>
    <t xml:space="preserve">QuickFix IT</t>
  </si>
  <si>
    <t xml:space="preserve">INV-2001</t>
  </si>
  <si>
    <t xml:space="preserve">IT support consultancy</t>
  </si>
  <si>
    <t xml:space="preserve">INV-1002</t>
  </si>
  <si>
    <t xml:space="preserve">Summit Training</t>
  </si>
  <si>
    <t xml:space="preserve">INV-2801</t>
  </si>
  <si>
    <t xml:space="preserve">Technical training delivery</t>
  </si>
  <si>
    <t xml:space="preserve">c</t>
  </si>
  <si>
    <t xml:space="preserve">4002</t>
  </si>
  <si>
    <t xml:space="preserve">INV-1102</t>
  </si>
  <si>
    <t xml:space="preserve">Oakridge Partners</t>
  </si>
  <si>
    <t xml:space="preserve">INV-2501</t>
  </si>
  <si>
    <t xml:space="preserve">Quarterly consulting engagement</t>
  </si>
  <si>
    <t xml:space="preserve">INV-2603</t>
  </si>
  <si>
    <t xml:space="preserve">INV-1403</t>
  </si>
  <si>
    <t xml:space="preserve">INV-2403</t>
  </si>
  <si>
    <t xml:space="preserve">INV-2203</t>
  </si>
  <si>
    <t xml:space="preserve">INV-1003</t>
  </si>
  <si>
    <t xml:space="preserve">INV-1103</t>
  </si>
  <si>
    <t xml:space="preserve">INV-1202</t>
  </si>
  <si>
    <t xml:space="preserve">INV-1501</t>
  </si>
  <si>
    <t xml:space="preserve">Advanced DevOps training course</t>
  </si>
  <si>
    <t xml:space="preserve">WidgetWorks</t>
  </si>
  <si>
    <t xml:space="preserve">INV-2101</t>
  </si>
  <si>
    <t xml:space="preserve">Project consultancy</t>
  </si>
  <si>
    <t xml:space="preserve">INV-1302</t>
  </si>
  <si>
    <t xml:space="preserve">INV-2604</t>
  </si>
  <si>
    <t xml:space="preserve">INV-1404</t>
  </si>
  <si>
    <t xml:space="preserve">INV-2404</t>
  </si>
  <si>
    <t xml:space="preserve">INV-2204</t>
  </si>
  <si>
    <t xml:space="preserve">NorthStar Digital</t>
  </si>
  <si>
    <t xml:space="preserve">INV-2301</t>
  </si>
  <si>
    <t xml:space="preserve">Project delivery</t>
  </si>
  <si>
    <t xml:space="preserve">INV-1004</t>
  </si>
  <si>
    <t xml:space="preserve">INV-1104</t>
  </si>
  <si>
    <t xml:space="preserve">INV-2702</t>
  </si>
  <si>
    <t xml:space="preserve">Innovate UK</t>
  </si>
  <si>
    <t xml:space="preserve">INV-1701</t>
  </si>
  <si>
    <t xml:space="preserve">Small business innovation grant</t>
  </si>
  <si>
    <t xml:space="preserve">g</t>
  </si>
  <si>
    <t xml:space="preserve">4004</t>
  </si>
  <si>
    <t xml:space="preserve">INV-2605</t>
  </si>
  <si>
    <t xml:space="preserve">INV-1405</t>
  </si>
  <si>
    <t xml:space="preserve">INV-2405</t>
  </si>
  <si>
    <t xml:space="preserve">INV-2205</t>
  </si>
  <si>
    <t xml:space="preserve">INV-2002</t>
  </si>
  <si>
    <t xml:space="preserve">INV-1005</t>
  </si>
  <si>
    <t xml:space="preserve">INV-1105</t>
  </si>
  <si>
    <t xml:space="preserve">INV-1203</t>
  </si>
  <si>
    <t xml:space="preserve">INV-2502</t>
  </si>
  <si>
    <t xml:space="preserve">INV-2606</t>
  </si>
  <si>
    <t xml:space="preserve">INV-1406</t>
  </si>
  <si>
    <t xml:space="preserve">INV-2406</t>
  </si>
  <si>
    <t xml:space="preserve">INV-2206</t>
  </si>
  <si>
    <t xml:space="preserve">INV-1006</t>
  </si>
  <si>
    <t xml:space="preserve">INV-2802</t>
  </si>
  <si>
    <t xml:space="preserve">INV-1106</t>
  </si>
  <si>
    <t xml:space="preserve">StartupHub</t>
  </si>
  <si>
    <t xml:space="preserve">INV-1504</t>
  </si>
  <si>
    <t xml:space="preserve">Agile methodology workshop</t>
  </si>
  <si>
    <t xml:space="preserve">INV-2102</t>
  </si>
  <si>
    <t xml:space="preserve">Epsilon Partners</t>
  </si>
  <si>
    <t xml:space="preserve">INV-1601</t>
  </si>
  <si>
    <t xml:space="preserve">Client referral commission</t>
  </si>
  <si>
    <t xml:space="preserve">INV-1303</t>
  </si>
  <si>
    <t xml:space="preserve">INV-2607</t>
  </si>
  <si>
    <t xml:space="preserve">INV-1407</t>
  </si>
  <si>
    <t xml:space="preserve">INV-2407</t>
  </si>
  <si>
    <t xml:space="preserve">Private buyer</t>
  </si>
  <si>
    <t xml:space="preserve">INV-1901</t>
  </si>
  <si>
    <t xml:space="preserve">Disposal of company van</t>
  </si>
  <si>
    <t xml:space="preserve">fs</t>
  </si>
  <si>
    <t xml:space="preserve">4006</t>
  </si>
  <si>
    <t xml:space="preserve">INV-2207</t>
  </si>
  <si>
    <t xml:space="preserve">INV-2302</t>
  </si>
  <si>
    <t xml:space="preserve">INV-1007</t>
  </si>
  <si>
    <t xml:space="preserve">INV-1107</t>
  </si>
  <si>
    <t xml:space="preserve">INV-1204</t>
  </si>
  <si>
    <t xml:space="preserve">INV-2703</t>
  </si>
  <si>
    <t xml:space="preserve">INV-2608</t>
  </si>
  <si>
    <t xml:space="preserve">INV-1408</t>
  </si>
  <si>
    <t xml:space="preserve">INV-2408</t>
  </si>
  <si>
    <t xml:space="preserve">INV-2208</t>
  </si>
  <si>
    <t xml:space="preserve">INV-2003</t>
  </si>
  <si>
    <t xml:space="preserve">INV-1008</t>
  </si>
  <si>
    <t xml:space="preserve">INV-1108</t>
  </si>
  <si>
    <t xml:space="preserve">Delta PLC</t>
  </si>
  <si>
    <t xml:space="preserve">INV-1502</t>
  </si>
  <si>
    <t xml:space="preserve">Cloud architecture workshop</t>
  </si>
  <si>
    <t xml:space="preserve">INV-2503</t>
  </si>
  <si>
    <t xml:space="preserve">INV-2609</t>
  </si>
  <si>
    <t xml:space="preserve">INV-1409</t>
  </si>
  <si>
    <t xml:space="preserve">INV-2409</t>
  </si>
  <si>
    <t xml:space="preserve">INV-2209</t>
  </si>
  <si>
    <t xml:space="preserve">INV-1009</t>
  </si>
  <si>
    <t xml:space="preserve">INV-1109</t>
  </si>
  <si>
    <t xml:space="preserve">INV-1205</t>
  </si>
  <si>
    <t xml:space="preserve">INV-2103</t>
  </si>
  <si>
    <t xml:space="preserve">INV-1304</t>
  </si>
  <si>
    <t xml:space="preserve">INV-2610</t>
  </si>
  <si>
    <t xml:space="preserve">INV-1410</t>
  </si>
  <si>
    <t xml:space="preserve">INV-2410</t>
  </si>
  <si>
    <t xml:space="preserve">INV-2210</t>
  </si>
  <si>
    <t xml:space="preserve">INV-2303</t>
  </si>
  <si>
    <t xml:space="preserve">INV-1010</t>
  </si>
  <si>
    <t xml:space="preserve">INV-2803</t>
  </si>
  <si>
    <t xml:space="preserve">INV-1110</t>
  </si>
  <si>
    <t xml:space="preserve">Lambda Corp</t>
  </si>
  <si>
    <t xml:space="preserve">INV-1602</t>
  </si>
  <si>
    <t xml:space="preserve">INV-2704</t>
  </si>
  <si>
    <t xml:space="preserve">INV-2611</t>
  </si>
  <si>
    <t xml:space="preserve">INV-1411</t>
  </si>
  <si>
    <t xml:space="preserve">INV-2411</t>
  </si>
  <si>
    <t xml:space="preserve">INV-2211</t>
  </si>
  <si>
    <t xml:space="preserve">INV-1011</t>
  </si>
  <si>
    <t xml:space="preserve">INV-1111</t>
  </si>
  <si>
    <t xml:space="preserve">INV-1206</t>
  </si>
  <si>
    <t xml:space="preserve">MegaCorp</t>
  </si>
  <si>
    <t xml:space="preserve">INV-1503</t>
  </si>
  <si>
    <t xml:space="preserve">Security awareness training</t>
  </si>
  <si>
    <t xml:space="preserve">INV-2504</t>
  </si>
  <si>
    <t xml:space="preserve">INV-2612</t>
  </si>
  <si>
    <t xml:space="preserve">INV-1412</t>
  </si>
  <si>
    <t xml:space="preserve">INV-2412</t>
  </si>
  <si>
    <t xml:space="preserve">INV-2212</t>
  </si>
  <si>
    <t xml:space="preserve">INV-1012</t>
  </si>
  <si>
    <t xml:space="preserve">INV-1112</t>
  </si>
  <si>
    <t xml:space="preserve">INV-2104</t>
  </si>
  <si>
    <t xml:space="preserve">Zeta Corp</t>
  </si>
  <si>
    <t xml:space="preserve">CN-1801</t>
  </si>
  <si>
    <t xml:space="preserve">Bad debt written off</t>
  </si>
  <si>
    <t xml:space="preserve">o</t>
  </si>
  <si>
    <t xml:space="preserve">4005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</si>
</sst>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#,##0.00_ ;[RED]\-#,##0.00\ "/>
    <numFmt numFmtId="167" formatCode="0"/>
    <numFmt numFmtId="168" formatCode="#,##0"/>
    <numFmt numFmtId="169" formatCode="#,##0_ ;[RED]\-#,##0\ "/>
    <numFmt numFmtId="170" formatCode="#,##0.00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7.66"/>
    <col collapsed="false" customWidth="true" hidden="false" outlineLevel="0" max="5" min="5" style="4" width="15.32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false" hidden="false" outlineLevel="0" max="257" min="16" style="2" width="9.15"/>
  </cols>
  <sheetData>
    <row r="1" customFormat="false" ht="13.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2"/>
      <c r="G1" s="14" t="n">
        <f aca="false">SUM(G5:G300)</f>
        <v>10800</v>
      </c>
      <c r="H1" s="14" t="n">
        <f aca="false">SUM(H5:H300)</f>
        <v>1800</v>
      </c>
      <c r="I1" s="14" t="n">
        <f aca="false">SUM(I5:I300)</f>
        <v>9000</v>
      </c>
      <c r="J1" s="15"/>
      <c r="K1" s="16" t="s">
        <v>4</v>
      </c>
      <c r="L1" s="17" t="n">
        <f aca="false">SUM(L5:L300)</f>
        <v>0</v>
      </c>
      <c r="M1" s="17" t="n">
        <f aca="false">SUM(M5:M300)</f>
        <v>10800</v>
      </c>
      <c r="N1" s="18" t="n">
        <f aca="true">TODAY()</f>
        <v>46295</v>
      </c>
      <c r="O1" s="19"/>
      <c r="P1" s="14" t="n">
        <f aca="false">SUM(P5:P300)</f>
        <v>0</v>
      </c>
      <c r="Q1" s="14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/>
      <c r="B2" s="10"/>
      <c r="C2" s="10"/>
      <c r="D2" s="12"/>
      <c r="E2" s="12"/>
      <c r="F2" s="12"/>
      <c r="G2" s="10" t="s">
        <v>5</v>
      </c>
      <c r="H2" s="21" t="n">
        <f aca="false">Apr!H2</f>
        <v>20</v>
      </c>
      <c r="I2" s="10" t="s">
        <v>6</v>
      </c>
      <c r="J2" s="15"/>
      <c r="K2" s="16"/>
      <c r="L2" s="22" t="s">
        <v>7</v>
      </c>
      <c r="M2" s="22"/>
      <c r="N2" s="22"/>
      <c r="O2" s="19"/>
      <c r="P2" s="10" t="s">
        <v>8</v>
      </c>
      <c r="Q2" s="1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0"/>
      <c r="D3" s="12"/>
      <c r="E3" s="12"/>
      <c r="F3" s="12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10" t="s">
        <v>13</v>
      </c>
      <c r="Q3" s="10" t="s">
        <v>14</v>
      </c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10"/>
      <c r="C4" s="10"/>
      <c r="D4" s="12"/>
      <c r="E4" s="12"/>
      <c r="F4" s="12"/>
      <c r="G4" s="10"/>
      <c r="H4" s="27"/>
      <c r="I4" s="10"/>
      <c r="J4" s="15"/>
      <c r="K4" s="16"/>
      <c r="L4" s="23"/>
      <c r="M4" s="24"/>
      <c r="N4" s="24"/>
      <c r="O4" s="19"/>
      <c r="P4" s="10"/>
      <c r="Q4" s="10"/>
    </row>
    <row r="5" customFormat="false" ht="12.75" hidden="false" customHeight="true" outlineLevel="0" collapsed="false">
      <c r="B5" s="2" t="s">
        <v>15</v>
      </c>
      <c r="C5" s="3" t="s">
        <v>16</v>
      </c>
      <c r="G5" s="2" t="n">
        <v>7200</v>
      </c>
      <c r="H5" s="2" t="n">
        <f aca="false">IF(H$4&gt;0,(IF(G5&lt;&gt;0,G5*H$4/100," ")),IF(G5&lt;&gt;0,G5*H$2/(100+H$2)," "))</f>
        <v>1200</v>
      </c>
      <c r="I5" s="2" t="n">
        <f aca="false">IF((G5&lt;&gt;0),G5-H5," ")</f>
        <v>6000</v>
      </c>
      <c r="M5" s="7" t="n">
        <f aca="false">IF(G5&lt;&gt;0,G5-L5," ")</f>
        <v>7200</v>
      </c>
      <c r="N5" s="8" t="n">
        <f aca="false">IF((G5-L5)&lt;&gt;0,N$1-A5," ")</f>
        <v>46295</v>
      </c>
    </row>
    <row r="6" customFormat="false" ht="12.75" hidden="false" customHeight="true" outlineLevel="0" collapsed="false">
      <c r="B6" s="2" t="s">
        <v>17</v>
      </c>
      <c r="C6" s="3" t="s">
        <v>18</v>
      </c>
      <c r="G6" s="2" t="n">
        <v>1200</v>
      </c>
      <c r="H6" s="2" t="n">
        <f aca="false">IF(H$4&gt;0,(IF(G6&lt;&gt;0,G6*H$4/100," ")),IF(G6&lt;&gt;0,G6*H$2/(100+H$2)," "))</f>
        <v>200</v>
      </c>
      <c r="I6" s="2" t="n">
        <f aca="false">IF((G6&lt;&gt;0),G6-H6," ")</f>
        <v>1000</v>
      </c>
      <c r="M6" s="7" t="n">
        <f aca="false">IF(G6&lt;&gt;0,G6-L6," ")</f>
        <v>1200</v>
      </c>
      <c r="N6" s="8" t="n">
        <f aca="false">IF((G6-L6)&lt;&gt;0,N$1-A6," ")</f>
        <v>46295</v>
      </c>
    </row>
    <row r="7" customFormat="false" ht="12" hidden="false" customHeight="false" outlineLevel="0" collapsed="false">
      <c r="B7" s="2" t="s">
        <v>19</v>
      </c>
      <c r="C7" s="3" t="s">
        <v>20</v>
      </c>
      <c r="G7" s="2" t="n">
        <v>2400</v>
      </c>
      <c r="H7" s="2" t="n">
        <f aca="false">IF(H$4&gt;0,(IF(G7&lt;&gt;0,G7*H$4/100," ")),IF(G7&lt;&gt;0,G7*H$2/(100+H$2)," "))</f>
        <v>400</v>
      </c>
      <c r="I7" s="2" t="n">
        <f aca="false">IF((G7&lt;&gt;0),G7-H7," ")</f>
        <v>2000</v>
      </c>
      <c r="M7" s="7" t="n">
        <f aca="false">IF(G7&lt;&gt;0,G7-L7," ")</f>
        <v>2400</v>
      </c>
      <c r="N7" s="8" t="n">
        <f aca="false">IF((G7-L7)&lt;&gt;0,N$1-A7," ")</f>
        <v>46295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31"/>
      <c r="F300" s="31"/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/>
      <c r="Q300" s="29"/>
    </row>
  </sheetData>
  <mergeCells count="18">
    <mergeCell ref="A1:A4"/>
    <mergeCell ref="B1:B4"/>
    <mergeCell ref="C1:C4"/>
    <mergeCell ref="D1:D4"/>
    <mergeCell ref="E1:E4"/>
    <mergeCell ref="F1:F4"/>
    <mergeCell ref="J1:J4"/>
    <mergeCell ref="K1:K4"/>
    <mergeCell ref="O1:O4"/>
    <mergeCell ref="G2:G4"/>
    <mergeCell ref="I2:I4"/>
    <mergeCell ref="L2:N2"/>
    <mergeCell ref="P2:Q2"/>
    <mergeCell ref="L3:L4"/>
    <mergeCell ref="M3:M4"/>
    <mergeCell ref="N3:N4"/>
    <mergeCell ref="P3:P4"/>
    <mergeCell ref="Q3:Q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" type="date">
      <formula1>38353</formula1>
      <formula2>53327</formula2>
    </dataValidation>
  </dataValidations>
  <printOptions headings="false" gridLines="false" gridLinesSet="true" horizontalCentered="true" verticalCentered="true"/>
  <pageMargins left="0.275694444444444" right="0.275694444444444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33400</v>
      </c>
      <c r="H1" s="14" t="n">
        <f aca="false">SUM(H5:H300)</f>
        <v>5566.66666666667</v>
      </c>
      <c r="I1" s="14" t="n">
        <f aca="false">SUM(I5:I300)</f>
        <v>27833.3333333333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33400</v>
      </c>
      <c r="N1" s="18" t="n">
        <f aca="true">TODAY()</f>
        <v>46295</v>
      </c>
      <c r="O1" s="19"/>
      <c r="P1" s="14" t="n">
        <f aca="false">SUM(P5:P300)</f>
        <v>25333.3333333333</v>
      </c>
      <c r="Q1" s="14" t="n">
        <f aca="false">SUM(Q5:Q300)</f>
        <v>1800</v>
      </c>
      <c r="R1" s="14" t="n">
        <f aca="false">SUM(R5:R300)</f>
        <v>0</v>
      </c>
      <c r="S1" s="14" t="n">
        <f aca="false">SUM(S5:S300)</f>
        <v>700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</f>
        <v>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/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46113</v>
      </c>
      <c r="B5" s="2" t="s">
        <v>17</v>
      </c>
      <c r="C5" s="3" t="s">
        <v>40</v>
      </c>
      <c r="E5" s="36" t="s">
        <v>41</v>
      </c>
      <c r="F5" s="4" t="s">
        <v>42</v>
      </c>
      <c r="G5" s="2" t="n">
        <v>1200</v>
      </c>
      <c r="H5" s="2" t="n">
        <f aca="false">IF(H$4&gt;0,(IF(G5&lt;&gt;0,G5*H$4/100," ")),IF(G5&lt;&gt;0,G5*H$2/(100+H$2)," "))</f>
        <v>200</v>
      </c>
      <c r="I5" s="2" t="n">
        <f aca="false">IF((G5&lt;&gt;0),G5-H5," ")</f>
        <v>1000</v>
      </c>
      <c r="M5" s="7" t="n">
        <f aca="false">IF(G5&lt;&gt;0,G5-L5," ")</f>
        <v>1200</v>
      </c>
      <c r="N5" s="8" t="n">
        <f aca="false">IF((G5-L5)&lt;&gt;0,N$1-A5," ")</f>
        <v>182</v>
      </c>
      <c r="P5" s="2" t="str">
        <f aca="false">IF((F5="a"),I5," ")</f>
        <v> </v>
      </c>
      <c r="Q5" s="2" t="n">
        <f aca="false">IF((F5="b"),I5," ")</f>
        <v>1000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46115</v>
      </c>
      <c r="B6" s="2" t="s">
        <v>44</v>
      </c>
      <c r="C6" s="3" t="s">
        <v>45</v>
      </c>
      <c r="E6" s="36" t="s">
        <v>46</v>
      </c>
      <c r="F6" s="4" t="s">
        <v>42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180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46117</v>
      </c>
      <c r="B7" s="2" t="s">
        <v>47</v>
      </c>
      <c r="C7" s="3" t="s">
        <v>48</v>
      </c>
      <c r="E7" s="36" t="s">
        <v>49</v>
      </c>
      <c r="F7" s="4" t="s">
        <v>42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178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43</v>
      </c>
    </row>
    <row r="8" customFormat="false" ht="12" hidden="false" customHeight="false" outlineLevel="0" collapsed="false">
      <c r="A8" s="1" t="n">
        <v>46120</v>
      </c>
      <c r="B8" s="2" t="s">
        <v>50</v>
      </c>
      <c r="C8" s="3" t="s">
        <v>51</v>
      </c>
      <c r="E8" s="36" t="s">
        <v>52</v>
      </c>
      <c r="F8" s="4" t="s">
        <v>53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175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46122</v>
      </c>
      <c r="B9" s="2" t="s">
        <v>55</v>
      </c>
      <c r="C9" s="3" t="s">
        <v>56</v>
      </c>
      <c r="E9" s="36" t="s">
        <v>57</v>
      </c>
      <c r="F9" s="4" t="s">
        <v>53</v>
      </c>
      <c r="G9" s="2" t="n">
        <v>720</v>
      </c>
      <c r="H9" s="2" t="n">
        <f aca="false">IF(H$4&gt;0,(IF(G9&lt;&gt;0,G9*H$4/100," ")),IF(G9&lt;&gt;0,G9*H$2/(100+H$2)," "))</f>
        <v>120</v>
      </c>
      <c r="I9" s="2" t="n">
        <f aca="false">IF((G9&lt;&gt;0),G9-H9," ")</f>
        <v>600</v>
      </c>
      <c r="M9" s="7" t="n">
        <f aca="false">IF(G9&lt;&gt;0,G9-L9," ")</f>
        <v>720</v>
      </c>
      <c r="N9" s="8" t="n">
        <f aca="false">IF((G9-L9)&lt;&gt;0,N$1-A9," ")</f>
        <v>173</v>
      </c>
      <c r="P9" s="2" t="n">
        <f aca="false">IF((F9="a"),I9," ")</f>
        <v>600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46127</v>
      </c>
      <c r="B10" s="2" t="s">
        <v>15</v>
      </c>
      <c r="C10" s="3" t="s">
        <v>58</v>
      </c>
      <c r="E10" s="36" t="s">
        <v>59</v>
      </c>
      <c r="F10" s="4" t="s">
        <v>53</v>
      </c>
      <c r="G10" s="2" t="n">
        <v>25000</v>
      </c>
      <c r="H10" s="2" t="n">
        <f aca="false">IF(H$4&gt;0,(IF(G10&lt;&gt;0,G10*H$4/100," ")),IF(G10&lt;&gt;0,G10*H$2/(100+H$2)," "))</f>
        <v>4166.66666666667</v>
      </c>
      <c r="I10" s="2" t="n">
        <f aca="false">IF((G10&lt;&gt;0),G10-H10," ")</f>
        <v>20833.3333333333</v>
      </c>
      <c r="M10" s="7" t="n">
        <f aca="false">IF(G10&lt;&gt;0,G10-L10," ")</f>
        <v>25000</v>
      </c>
      <c r="N10" s="8" t="n">
        <f aca="false">IF((G10-L10)&lt;&gt;0,N$1-A10," ")</f>
        <v>168</v>
      </c>
      <c r="P10" s="2" t="n">
        <f aca="false">IF((F10="a"),I10," ")</f>
        <v>20833.3333333333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46130</v>
      </c>
      <c r="B11" s="2" t="s">
        <v>60</v>
      </c>
      <c r="C11" s="3" t="s">
        <v>61</v>
      </c>
      <c r="E11" s="36" t="s">
        <v>62</v>
      </c>
      <c r="F11" s="4" t="s">
        <v>53</v>
      </c>
      <c r="G11" s="2" t="n">
        <v>2400</v>
      </c>
      <c r="H11" s="2" t="n">
        <f aca="false">IF(H$4&gt;0,(IF(G11&lt;&gt;0,G11*H$4/100," ")),IF(G11&lt;&gt;0,G11*H$2/(100+H$2)," "))</f>
        <v>400</v>
      </c>
      <c r="I11" s="2" t="n">
        <f aca="false">IF((G11&lt;&gt;0),G11-H11," ")</f>
        <v>2000</v>
      </c>
      <c r="M11" s="7" t="n">
        <f aca="false">IF(G11&lt;&gt;0,G11-L11," ")</f>
        <v>2400</v>
      </c>
      <c r="N11" s="8" t="n">
        <f aca="false">IF((G11-L11)&lt;&gt;0,N$1-A11," ")</f>
        <v>165</v>
      </c>
      <c r="P11" s="2" t="n">
        <f aca="false">IF((F11="a"),I11," ")</f>
        <v>2000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46132</v>
      </c>
      <c r="B12" s="2" t="s">
        <v>63</v>
      </c>
      <c r="C12" s="3" t="s">
        <v>64</v>
      </c>
      <c r="E12" s="36" t="s">
        <v>65</v>
      </c>
      <c r="F12" s="4" t="s">
        <v>53</v>
      </c>
      <c r="G12" s="2" t="n">
        <v>1800</v>
      </c>
      <c r="H12" s="2" t="n">
        <f aca="false">IF(H$4&gt;0,(IF(G12&lt;&gt;0,G12*H$4/100," ")),IF(G12&lt;&gt;0,G12*H$2/(100+H$2)," "))</f>
        <v>300</v>
      </c>
      <c r="I12" s="2" t="n">
        <f aca="false">IF((G12&lt;&gt;0),G12-H12," ")</f>
        <v>1500</v>
      </c>
      <c r="M12" s="7" t="n">
        <f aca="false">IF(G12&lt;&gt;0,G12-L12," ")</f>
        <v>1800</v>
      </c>
      <c r="N12" s="8" t="n">
        <f aca="false">IF((G12-L12)&lt;&gt;0,N$1-A12," ")</f>
        <v>163</v>
      </c>
      <c r="P12" s="2" t="n">
        <f aca="false">IF((F12="a"),I12," ")</f>
        <v>1500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54</v>
      </c>
    </row>
    <row r="13" customFormat="false" ht="12" hidden="false" customHeight="false" outlineLevel="0" collapsed="false">
      <c r="A13" s="1" t="n">
        <v>46140</v>
      </c>
      <c r="B13" s="2" t="s">
        <v>66</v>
      </c>
      <c r="C13" s="3" t="s">
        <v>67</v>
      </c>
      <c r="E13" s="36" t="s">
        <v>68</v>
      </c>
      <c r="F13" s="4" t="s">
        <v>69</v>
      </c>
      <c r="G13" s="2" t="n">
        <v>840</v>
      </c>
      <c r="H13" s="2" t="n">
        <f aca="false">IF(H$4&gt;0,(IF(G13&lt;&gt;0,G13*H$4/100," ")),IF(G13&lt;&gt;0,G13*H$2/(100+H$2)," "))</f>
        <v>140</v>
      </c>
      <c r="I13" s="2" t="n">
        <f aca="false">IF((G13&lt;&gt;0),G13-H13," ")</f>
        <v>700</v>
      </c>
      <c r="M13" s="7" t="n">
        <f aca="false">IF(G13&lt;&gt;0,G13-L13," ")</f>
        <v>840</v>
      </c>
      <c r="N13" s="8" t="n">
        <f aca="false">IF((G13-L13)&lt;&gt;0,N$1-A13," ")</f>
        <v>155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n">
        <f aca="false">IF((F13="d"),I13," ")</f>
        <v>700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70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67" type="date">
      <formula1>38353</formula1>
      <formula2>53327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196527777777778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  <colBreaks count="1" manualBreakCount="1">
    <brk id="22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32920</v>
      </c>
      <c r="H1" s="14" t="n">
        <f aca="false">SUM(H5:H300)</f>
        <v>5486.66666666667</v>
      </c>
      <c r="I1" s="14" t="n">
        <f aca="false">SUM(I5:I300)</f>
        <v>27433.3333333333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32920</v>
      </c>
      <c r="N1" s="18" t="n">
        <f aca="true">TODAY()</f>
        <v>46295</v>
      </c>
      <c r="O1" s="19"/>
      <c r="P1" s="14" t="n">
        <f aca="false">SUM(P5:P300)</f>
        <v>25633.3333333333</v>
      </c>
      <c r="Q1" s="14" t="n">
        <f aca="false">SUM(Q5:Q300)</f>
        <v>800</v>
      </c>
      <c r="R1" s="14" t="n">
        <f aca="false">SUM(R5:R300)</f>
        <v>1000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W1+Apr!X1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Apr!H2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V1+Apr!V2</f>
        <v>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Apr!H4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46145</v>
      </c>
      <c r="B5" s="2" t="s">
        <v>44</v>
      </c>
      <c r="C5" s="3" t="s">
        <v>71</v>
      </c>
      <c r="E5" s="36" t="s">
        <v>46</v>
      </c>
      <c r="F5" s="4" t="s">
        <v>42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150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46147</v>
      </c>
      <c r="B6" s="2" t="s">
        <v>47</v>
      </c>
      <c r="C6" s="3" t="s">
        <v>72</v>
      </c>
      <c r="E6" s="36" t="s">
        <v>49</v>
      </c>
      <c r="F6" s="4" t="s">
        <v>42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148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46150</v>
      </c>
      <c r="B7" s="2" t="s">
        <v>50</v>
      </c>
      <c r="C7" s="3" t="s">
        <v>73</v>
      </c>
      <c r="E7" s="36" t="s">
        <v>52</v>
      </c>
      <c r="F7" s="4" t="s">
        <v>53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145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54</v>
      </c>
    </row>
    <row r="8" customFormat="false" ht="12" hidden="false" customHeight="false" outlineLevel="0" collapsed="false">
      <c r="A8" s="1" t="n">
        <v>46152</v>
      </c>
      <c r="B8" s="2" t="s">
        <v>55</v>
      </c>
      <c r="C8" s="3" t="s">
        <v>74</v>
      </c>
      <c r="E8" s="36" t="s">
        <v>57</v>
      </c>
      <c r="F8" s="4" t="s">
        <v>53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143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46154</v>
      </c>
      <c r="B9" s="2" t="s">
        <v>75</v>
      </c>
      <c r="C9" s="3" t="s">
        <v>76</v>
      </c>
      <c r="E9" s="36" t="s">
        <v>77</v>
      </c>
      <c r="F9" s="4" t="s">
        <v>53</v>
      </c>
      <c r="G9" s="2" t="n">
        <v>960</v>
      </c>
      <c r="H9" s="2" t="n">
        <f aca="false">IF(H$4&gt;0,(IF(G9&lt;&gt;0,G9*H$4/100," ")),IF(G9&lt;&gt;0,G9*H$2/(100+H$2)," "))</f>
        <v>160</v>
      </c>
      <c r="I9" s="2" t="n">
        <f aca="false">IF((G9&lt;&gt;0),G9-H9," ")</f>
        <v>800</v>
      </c>
      <c r="M9" s="7" t="n">
        <f aca="false">IF(G9&lt;&gt;0,G9-L9," ")</f>
        <v>960</v>
      </c>
      <c r="N9" s="8" t="n">
        <f aca="false">IF((G9-L9)&lt;&gt;0,N$1-A9," ")</f>
        <v>141</v>
      </c>
      <c r="P9" s="2" t="n">
        <f aca="false">IF((F9="a"),I9," ")</f>
        <v>800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46157</v>
      </c>
      <c r="B10" s="2" t="s">
        <v>15</v>
      </c>
      <c r="C10" s="3" t="s">
        <v>78</v>
      </c>
      <c r="E10" s="36" t="s">
        <v>59</v>
      </c>
      <c r="F10" s="4" t="s">
        <v>53</v>
      </c>
      <c r="G10" s="2" t="n">
        <v>25000</v>
      </c>
      <c r="H10" s="2" t="n">
        <f aca="false">IF(H$4&gt;0,(IF(G10&lt;&gt;0,G10*H$4/100," ")),IF(G10&lt;&gt;0,G10*H$2/(100+H$2)," "))</f>
        <v>4166.66666666667</v>
      </c>
      <c r="I10" s="2" t="n">
        <f aca="false">IF((G10&lt;&gt;0),G10-H10," ")</f>
        <v>20833.3333333333</v>
      </c>
      <c r="M10" s="7" t="n">
        <f aca="false">IF(G10&lt;&gt;0,G10-L10," ")</f>
        <v>25000</v>
      </c>
      <c r="N10" s="8" t="n">
        <f aca="false">IF((G10-L10)&lt;&gt;0,N$1-A10," ")</f>
        <v>138</v>
      </c>
      <c r="P10" s="2" t="n">
        <f aca="false">IF((F10="a"),I10," ")</f>
        <v>20833.3333333333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46158</v>
      </c>
      <c r="B11" s="2" t="s">
        <v>79</v>
      </c>
      <c r="C11" s="3" t="s">
        <v>80</v>
      </c>
      <c r="E11" s="36" t="s">
        <v>81</v>
      </c>
      <c r="F11" s="4" t="s">
        <v>82</v>
      </c>
      <c r="G11" s="2" t="n">
        <v>1200</v>
      </c>
      <c r="H11" s="2" t="n">
        <f aca="false">IF(H$4&gt;0,(IF(G11&lt;&gt;0,G11*H$4/100," ")),IF(G11&lt;&gt;0,G11*H$2/(100+H$2)," "))</f>
        <v>200</v>
      </c>
      <c r="I11" s="2" t="n">
        <f aca="false">IF((G11&lt;&gt;0),G11-H11," ")</f>
        <v>1000</v>
      </c>
      <c r="M11" s="7" t="n">
        <f aca="false">IF(G11&lt;&gt;0,G11-L11," ")</f>
        <v>1200</v>
      </c>
      <c r="N11" s="8" t="n">
        <f aca="false">IF((G11-L11)&lt;&gt;0,N$1-A11," ")</f>
        <v>137</v>
      </c>
      <c r="P11" s="2" t="str">
        <f aca="false">IF((F11="a"),I11," ")</f>
        <v> </v>
      </c>
      <c r="Q11" s="2" t="str">
        <f aca="false">IF((F11="b"),I11," ")</f>
        <v> </v>
      </c>
      <c r="R11" s="2" t="n">
        <f aca="false">IF((F11="c"),I11," ")</f>
        <v>1000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83</v>
      </c>
    </row>
    <row r="12" customFormat="false" ht="12" hidden="false" customHeight="false" outlineLevel="0" collapsed="false">
      <c r="A12" s="1" t="n">
        <v>46160</v>
      </c>
      <c r="B12" s="2" t="s">
        <v>60</v>
      </c>
      <c r="C12" s="3" t="s">
        <v>84</v>
      </c>
      <c r="E12" s="36" t="s">
        <v>62</v>
      </c>
      <c r="F12" s="4" t="s">
        <v>53</v>
      </c>
      <c r="G12" s="2" t="n">
        <v>2400</v>
      </c>
      <c r="H12" s="2" t="n">
        <f aca="false">IF(H$4&gt;0,(IF(G12&lt;&gt;0,G12*H$4/100," ")),IF(G12&lt;&gt;0,G12*H$2/(100+H$2)," "))</f>
        <v>400</v>
      </c>
      <c r="I12" s="2" t="n">
        <f aca="false">IF((G12&lt;&gt;0),G12-H12," ")</f>
        <v>2000</v>
      </c>
      <c r="M12" s="7" t="n">
        <f aca="false">IF(G12&lt;&gt;0,G12-L12," ")</f>
        <v>2400</v>
      </c>
      <c r="N12" s="8" t="n">
        <f aca="false">IF((G12-L12)&lt;&gt;0,N$1-A12," ")</f>
        <v>135</v>
      </c>
      <c r="P12" s="2" t="n">
        <f aca="false">IF((F12="a"),I12," ")</f>
        <v>2000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54</v>
      </c>
    </row>
    <row r="13" customFormat="false" ht="12" hidden="false" customHeight="false" outlineLevel="0" collapsed="false">
      <c r="A13" s="1" t="n">
        <v>46167</v>
      </c>
      <c r="B13" s="2" t="s">
        <v>85</v>
      </c>
      <c r="C13" s="3" t="s">
        <v>86</v>
      </c>
      <c r="E13" s="36" t="s">
        <v>87</v>
      </c>
      <c r="F13" s="4" t="s">
        <v>53</v>
      </c>
      <c r="G13" s="2" t="n">
        <v>1200</v>
      </c>
      <c r="H13" s="2" t="n">
        <f aca="false">IF(H$4&gt;0,(IF(G13&lt;&gt;0,G13*H$4/100," ")),IF(G13&lt;&gt;0,G13*H$2/(100+H$2)," "))</f>
        <v>200</v>
      </c>
      <c r="I13" s="2" t="n">
        <f aca="false">IF((G13&lt;&gt;0),G13-H13," ")</f>
        <v>1000</v>
      </c>
      <c r="M13" s="7" t="n">
        <f aca="false">IF(G13&lt;&gt;0,G13-L13," ")</f>
        <v>1200</v>
      </c>
      <c r="N13" s="8" t="n">
        <f aca="false">IF((G13-L13)&lt;&gt;0,N$1-A13," ")</f>
        <v>128</v>
      </c>
      <c r="P13" s="2" t="n">
        <f aca="false">IF((F13="a"),I13," ")</f>
        <v>1000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54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2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1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35200</v>
      </c>
      <c r="H1" s="14" t="n">
        <f aca="false">SUM(H5:H300)</f>
        <v>5866.66666666667</v>
      </c>
      <c r="I1" s="14" t="n">
        <f aca="false">SUM(I5:I300)</f>
        <v>29333.3333333333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35200</v>
      </c>
      <c r="N1" s="18" t="n">
        <f aca="true">TODAY()</f>
        <v>46295</v>
      </c>
      <c r="O1" s="19"/>
      <c r="P1" s="14" t="n">
        <f aca="false">SUM(P5:P300)</f>
        <v>26533.3333333333</v>
      </c>
      <c r="Q1" s="14" t="n">
        <f aca="false">SUM(Q5:Q300)</f>
        <v>800</v>
      </c>
      <c r="R1" s="14" t="n">
        <f aca="false">SUM(R5:R300)</f>
        <v>2000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W1+May!X1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May!H2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V1+May!V2</f>
        <v>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May!H4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46176</v>
      </c>
      <c r="B5" s="2" t="s">
        <v>44</v>
      </c>
      <c r="C5" s="3" t="s">
        <v>88</v>
      </c>
      <c r="E5" s="36" t="s">
        <v>46</v>
      </c>
      <c r="F5" s="4" t="s">
        <v>42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119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46178</v>
      </c>
      <c r="B6" s="2" t="s">
        <v>47</v>
      </c>
      <c r="C6" s="3" t="s">
        <v>89</v>
      </c>
      <c r="E6" s="36" t="s">
        <v>49</v>
      </c>
      <c r="F6" s="4" t="s">
        <v>42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117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46181</v>
      </c>
      <c r="B7" s="2" t="s">
        <v>50</v>
      </c>
      <c r="C7" s="3" t="s">
        <v>90</v>
      </c>
      <c r="E7" s="36" t="s">
        <v>52</v>
      </c>
      <c r="F7" s="4" t="s">
        <v>53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114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54</v>
      </c>
    </row>
    <row r="8" customFormat="false" ht="12" hidden="false" customHeight="false" outlineLevel="0" collapsed="false">
      <c r="A8" s="1" t="n">
        <v>46183</v>
      </c>
      <c r="B8" s="2" t="s">
        <v>55</v>
      </c>
      <c r="C8" s="3" t="s">
        <v>91</v>
      </c>
      <c r="E8" s="36" t="s">
        <v>57</v>
      </c>
      <c r="F8" s="4" t="s">
        <v>53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112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46188</v>
      </c>
      <c r="B9" s="2" t="s">
        <v>15</v>
      </c>
      <c r="C9" s="3" t="s">
        <v>92</v>
      </c>
      <c r="E9" s="36" t="s">
        <v>59</v>
      </c>
      <c r="F9" s="4" t="s">
        <v>53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107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46191</v>
      </c>
      <c r="B10" s="2" t="s">
        <v>60</v>
      </c>
      <c r="C10" s="3" t="s">
        <v>93</v>
      </c>
      <c r="E10" s="36" t="s">
        <v>62</v>
      </c>
      <c r="F10" s="4" t="s">
        <v>53</v>
      </c>
      <c r="G10" s="2" t="n">
        <v>2400</v>
      </c>
      <c r="H10" s="2" t="n">
        <f aca="false">IF(H$4&gt;0,(IF(G10&lt;&gt;0,G10*H$4/100," ")),IF(G10&lt;&gt;0,G10*H$2/(100+H$2)," "))</f>
        <v>400</v>
      </c>
      <c r="I10" s="2" t="n">
        <f aca="false">IF((G10&lt;&gt;0),G10-H10," ")</f>
        <v>2000</v>
      </c>
      <c r="M10" s="7" t="n">
        <f aca="false">IF(G10&lt;&gt;0,G10-L10," ")</f>
        <v>2400</v>
      </c>
      <c r="N10" s="8" t="n">
        <f aca="false">IF((G10-L10)&lt;&gt;0,N$1-A10," ")</f>
        <v>104</v>
      </c>
      <c r="P10" s="2" t="n">
        <f aca="false">IF((F10="a"),I10," ")</f>
        <v>2000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46193</v>
      </c>
      <c r="B11" s="2" t="s">
        <v>63</v>
      </c>
      <c r="C11" s="3" t="s">
        <v>94</v>
      </c>
      <c r="E11" s="36" t="s">
        <v>65</v>
      </c>
      <c r="F11" s="4" t="s">
        <v>53</v>
      </c>
      <c r="G11" s="2" t="n">
        <v>1800</v>
      </c>
      <c r="H11" s="2" t="n">
        <f aca="false">IF(H$4&gt;0,(IF(G11&lt;&gt;0,G11*H$4/100," ")),IF(G11&lt;&gt;0,G11*H$2/(100+H$2)," "))</f>
        <v>300</v>
      </c>
      <c r="I11" s="2" t="n">
        <f aca="false">IF((G11&lt;&gt;0),G11-H11," ")</f>
        <v>1500</v>
      </c>
      <c r="M11" s="7" t="n">
        <f aca="false">IF(G11&lt;&gt;0,G11-L11," ")</f>
        <v>1800</v>
      </c>
      <c r="N11" s="8" t="n">
        <f aca="false">IF((G11-L11)&lt;&gt;0,N$1-A11," ")</f>
        <v>102</v>
      </c>
      <c r="P11" s="2" t="n">
        <f aca="false">IF((F11="a"),I11," ")</f>
        <v>1500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46193</v>
      </c>
      <c r="B12" s="2" t="s">
        <v>19</v>
      </c>
      <c r="C12" s="3" t="s">
        <v>95</v>
      </c>
      <c r="E12" s="36" t="s">
        <v>96</v>
      </c>
      <c r="F12" s="4" t="s">
        <v>82</v>
      </c>
      <c r="G12" s="2" t="n">
        <v>2400</v>
      </c>
      <c r="H12" s="2" t="n">
        <f aca="false">IF(H$4&gt;0,(IF(G12&lt;&gt;0,G12*H$4/100," ")),IF(G12&lt;&gt;0,G12*H$2/(100+H$2)," "))</f>
        <v>400</v>
      </c>
      <c r="I12" s="2" t="n">
        <f aca="false">IF((G12&lt;&gt;0),G12-H12," ")</f>
        <v>2000</v>
      </c>
      <c r="M12" s="7" t="n">
        <f aca="false">IF(G12&lt;&gt;0,G12-L12," ")</f>
        <v>2400</v>
      </c>
      <c r="N12" s="8" t="n">
        <f aca="false">IF((G12-L12)&lt;&gt;0,N$1-A12," ")</f>
        <v>102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2000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83</v>
      </c>
    </row>
    <row r="13" customFormat="false" ht="12" hidden="false" customHeight="false" outlineLevel="0" collapsed="false">
      <c r="A13" s="1" t="n">
        <v>46195</v>
      </c>
      <c r="B13" s="2" t="s">
        <v>97</v>
      </c>
      <c r="C13" s="3" t="s">
        <v>98</v>
      </c>
      <c r="E13" s="36" t="s">
        <v>99</v>
      </c>
      <c r="F13" s="4" t="s">
        <v>53</v>
      </c>
      <c r="G13" s="2" t="n">
        <v>1440</v>
      </c>
      <c r="H13" s="2" t="n">
        <f aca="false">IF(H$4&gt;0,(IF(G13&lt;&gt;0,G13*H$4/100," ")),IF(G13&lt;&gt;0,G13*H$2/(100+H$2)," "))</f>
        <v>240</v>
      </c>
      <c r="I13" s="2" t="n">
        <f aca="false">IF((G13&lt;&gt;0),G13-H13," ")</f>
        <v>1200</v>
      </c>
      <c r="M13" s="7" t="n">
        <f aca="false">IF(G13&lt;&gt;0,G13-L13," ")</f>
        <v>1440</v>
      </c>
      <c r="N13" s="8" t="n">
        <f aca="false">IF((G13-L13)&lt;&gt;0,N$1-A13," ")</f>
        <v>100</v>
      </c>
      <c r="P13" s="2" t="n">
        <f aca="false">IF((F13="a"),I13," ")</f>
        <v>1200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54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33760</v>
      </c>
      <c r="H1" s="14" t="n">
        <f aca="false">SUM(H5:H300)</f>
        <v>5626.66666666667</v>
      </c>
      <c r="I1" s="14" t="n">
        <f aca="false">SUM(I5:I300)</f>
        <v>28133.3333333333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33760</v>
      </c>
      <c r="N1" s="18" t="n">
        <f aca="true">TODAY()</f>
        <v>46295</v>
      </c>
      <c r="O1" s="19"/>
      <c r="P1" s="14" t="n">
        <f aca="false">SUM(P5:P300)</f>
        <v>25633.3333333333</v>
      </c>
      <c r="Q1" s="14" t="n">
        <f aca="false">SUM(Q5:Q300)</f>
        <v>1800</v>
      </c>
      <c r="R1" s="14" t="n">
        <f aca="false">SUM(R5:R300)</f>
        <v>0</v>
      </c>
      <c r="S1" s="14" t="n">
        <f aca="false">SUM(S5:S300)</f>
        <v>700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W1+Jun!X1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Jun!H2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V1+Jun!V2</f>
        <v>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Jun!H4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46204</v>
      </c>
      <c r="B5" s="2" t="s">
        <v>17</v>
      </c>
      <c r="C5" s="3" t="s">
        <v>100</v>
      </c>
      <c r="E5" s="36" t="s">
        <v>41</v>
      </c>
      <c r="F5" s="4" t="s">
        <v>42</v>
      </c>
      <c r="G5" s="2" t="n">
        <v>1200</v>
      </c>
      <c r="H5" s="2" t="n">
        <f aca="false">IF(H$4&gt;0,(IF(G5&lt;&gt;0,G5*H$4/100," ")),IF(G5&lt;&gt;0,G5*H$2/(100+H$2)," "))</f>
        <v>200</v>
      </c>
      <c r="I5" s="2" t="n">
        <f aca="false">IF((G5&lt;&gt;0),G5-H5," ")</f>
        <v>1000</v>
      </c>
      <c r="M5" s="7" t="n">
        <f aca="false">IF(G5&lt;&gt;0,G5-L5," ")</f>
        <v>1200</v>
      </c>
      <c r="N5" s="8" t="n">
        <f aca="false">IF((G5-L5)&lt;&gt;0,N$1-A5," ")</f>
        <v>91</v>
      </c>
      <c r="P5" s="2" t="str">
        <f aca="false">IF((F5="a"),I5," ")</f>
        <v> </v>
      </c>
      <c r="Q5" s="2" t="n">
        <f aca="false">IF((F5="b"),I5," ")</f>
        <v>1000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46206</v>
      </c>
      <c r="B6" s="2" t="s">
        <v>44</v>
      </c>
      <c r="C6" s="3" t="s">
        <v>101</v>
      </c>
      <c r="E6" s="36" t="s">
        <v>46</v>
      </c>
      <c r="F6" s="4" t="s">
        <v>42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89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46208</v>
      </c>
      <c r="B7" s="2" t="s">
        <v>47</v>
      </c>
      <c r="C7" s="3" t="s">
        <v>102</v>
      </c>
      <c r="E7" s="36" t="s">
        <v>49</v>
      </c>
      <c r="F7" s="4" t="s">
        <v>42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87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43</v>
      </c>
    </row>
    <row r="8" customFormat="false" ht="12" hidden="false" customHeight="false" outlineLevel="0" collapsed="false">
      <c r="A8" s="1" t="n">
        <v>46211</v>
      </c>
      <c r="B8" s="2" t="s">
        <v>50</v>
      </c>
      <c r="C8" s="3" t="s">
        <v>103</v>
      </c>
      <c r="E8" s="36" t="s">
        <v>52</v>
      </c>
      <c r="F8" s="4" t="s">
        <v>53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84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46213</v>
      </c>
      <c r="B9" s="2" t="s">
        <v>55</v>
      </c>
      <c r="C9" s="3" t="s">
        <v>104</v>
      </c>
      <c r="E9" s="36" t="s">
        <v>57</v>
      </c>
      <c r="F9" s="4" t="s">
        <v>53</v>
      </c>
      <c r="G9" s="2" t="n">
        <v>720</v>
      </c>
      <c r="H9" s="2" t="n">
        <f aca="false">IF(H$4&gt;0,(IF(G9&lt;&gt;0,G9*H$4/100," ")),IF(G9&lt;&gt;0,G9*H$2/(100+H$2)," "))</f>
        <v>120</v>
      </c>
      <c r="I9" s="2" t="n">
        <f aca="false">IF((G9&lt;&gt;0),G9-H9," ")</f>
        <v>600</v>
      </c>
      <c r="M9" s="7" t="n">
        <f aca="false">IF(G9&lt;&gt;0,G9-L9," ")</f>
        <v>720</v>
      </c>
      <c r="N9" s="8" t="n">
        <f aca="false">IF((G9-L9)&lt;&gt;0,N$1-A9," ")</f>
        <v>82</v>
      </c>
      <c r="P9" s="2" t="n">
        <f aca="false">IF((F9="a"),I9," ")</f>
        <v>600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46217</v>
      </c>
      <c r="B10" s="2" t="s">
        <v>105</v>
      </c>
      <c r="C10" s="3" t="s">
        <v>106</v>
      </c>
      <c r="E10" s="36" t="s">
        <v>107</v>
      </c>
      <c r="F10" s="4" t="s">
        <v>53</v>
      </c>
      <c r="G10" s="2" t="n">
        <v>2160</v>
      </c>
      <c r="H10" s="2" t="n">
        <f aca="false">IF(H$4&gt;0,(IF(G10&lt;&gt;0,G10*H$4/100," ")),IF(G10&lt;&gt;0,G10*H$2/(100+H$2)," "))</f>
        <v>360</v>
      </c>
      <c r="I10" s="2" t="n">
        <f aca="false">IF((G10&lt;&gt;0),G10-H10," ")</f>
        <v>1800</v>
      </c>
      <c r="M10" s="7" t="n">
        <f aca="false">IF(G10&lt;&gt;0,G10-L10," ")</f>
        <v>2160</v>
      </c>
      <c r="N10" s="8" t="n">
        <f aca="false">IF((G10-L10)&lt;&gt;0,N$1-A10," ")</f>
        <v>78</v>
      </c>
      <c r="P10" s="2" t="n">
        <f aca="false">IF((F10="a"),I10," ")</f>
        <v>1800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46218</v>
      </c>
      <c r="B11" s="2" t="s">
        <v>15</v>
      </c>
      <c r="C11" s="3" t="s">
        <v>108</v>
      </c>
      <c r="E11" s="36" t="s">
        <v>59</v>
      </c>
      <c r="F11" s="4" t="s">
        <v>53</v>
      </c>
      <c r="G11" s="2" t="n">
        <v>25000</v>
      </c>
      <c r="H11" s="2" t="n">
        <f aca="false">IF(H$4&gt;0,(IF(G11&lt;&gt;0,G11*H$4/100," ")),IF(G11&lt;&gt;0,G11*H$2/(100+H$2)," "))</f>
        <v>4166.66666666667</v>
      </c>
      <c r="I11" s="2" t="n">
        <f aca="false">IF((G11&lt;&gt;0),G11-H11," ")</f>
        <v>20833.3333333333</v>
      </c>
      <c r="M11" s="7" t="n">
        <f aca="false">IF(G11&lt;&gt;0,G11-L11," ")</f>
        <v>25000</v>
      </c>
      <c r="N11" s="8" t="n">
        <f aca="false">IF((G11-L11)&lt;&gt;0,N$1-A11," ")</f>
        <v>77</v>
      </c>
      <c r="P11" s="2" t="n">
        <f aca="false">IF((F11="a"),I11," ")</f>
        <v>20833.3333333333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46221</v>
      </c>
      <c r="B12" s="2" t="s">
        <v>60</v>
      </c>
      <c r="C12" s="3" t="s">
        <v>109</v>
      </c>
      <c r="E12" s="36" t="s">
        <v>62</v>
      </c>
      <c r="F12" s="4" t="s">
        <v>53</v>
      </c>
      <c r="G12" s="2" t="n">
        <v>2400</v>
      </c>
      <c r="H12" s="2" t="n">
        <f aca="false">IF(H$4&gt;0,(IF(G12&lt;&gt;0,G12*H$4/100," ")),IF(G12&lt;&gt;0,G12*H$2/(100+H$2)," "))</f>
        <v>400</v>
      </c>
      <c r="I12" s="2" t="n">
        <f aca="false">IF((G12&lt;&gt;0),G12-H12," ")</f>
        <v>2000</v>
      </c>
      <c r="M12" s="7" t="n">
        <f aca="false">IF(G12&lt;&gt;0,G12-L12," ")</f>
        <v>2400</v>
      </c>
      <c r="N12" s="8" t="n">
        <f aca="false">IF((G12-L12)&lt;&gt;0,N$1-A12," ")</f>
        <v>74</v>
      </c>
      <c r="P12" s="2" t="n">
        <f aca="false">IF((F12="a"),I12," ")</f>
        <v>2000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54</v>
      </c>
    </row>
    <row r="13" customFormat="false" ht="12" hidden="false" customHeight="false" outlineLevel="0" collapsed="false">
      <c r="A13" s="1" t="n">
        <v>46231</v>
      </c>
      <c r="B13" s="2" t="s">
        <v>66</v>
      </c>
      <c r="C13" s="3" t="s">
        <v>110</v>
      </c>
      <c r="E13" s="36" t="s">
        <v>68</v>
      </c>
      <c r="F13" s="4" t="s">
        <v>69</v>
      </c>
      <c r="G13" s="2" t="n">
        <v>840</v>
      </c>
      <c r="H13" s="2" t="n">
        <f aca="false">IF(H$4&gt;0,(IF(G13&lt;&gt;0,G13*H$4/100," ")),IF(G13&lt;&gt;0,G13*H$2/(100+H$2)," "))</f>
        <v>140</v>
      </c>
      <c r="I13" s="2" t="n">
        <f aca="false">IF((G13&lt;&gt;0),G13-H13," ")</f>
        <v>700</v>
      </c>
      <c r="M13" s="7" t="n">
        <f aca="false">IF(G13&lt;&gt;0,G13-L13," ")</f>
        <v>840</v>
      </c>
      <c r="N13" s="8" t="n">
        <f aca="false">IF((G13-L13)&lt;&gt;0,N$1-A13," ")</f>
        <v>64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n">
        <f aca="false">IF((F13="d"),I13," ")</f>
        <v>700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70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F21" s="4" t="str">
        <f aca="false">IF((G21&lt;&gt;0),"Enter Letter"," ")</f>
        <v> </v>
      </c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F22" s="4" t="str">
        <f aca="false">IF((G22&lt;&gt;0),"Enter Letter"," ")</f>
        <v> </v>
      </c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4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36020</v>
      </c>
      <c r="H1" s="14" t="n">
        <f aca="false">SUM(H5:H300)</f>
        <v>6003.33333333333</v>
      </c>
      <c r="I1" s="14" t="n">
        <f aca="false">SUM(I5:I300)</f>
        <v>30016.6666666667</v>
      </c>
      <c r="J1" s="15"/>
      <c r="K1" s="16" t="s">
        <v>4</v>
      </c>
      <c r="L1" s="17" t="n">
        <f aca="false">SUM(L5:L300)</f>
        <v>0</v>
      </c>
      <c r="M1" s="41" t="n">
        <f aca="false">SUM(M5:M300)</f>
        <v>36020</v>
      </c>
      <c r="N1" s="18" t="n">
        <f aca="true">TODAY()</f>
        <v>46295</v>
      </c>
      <c r="O1" s="19"/>
      <c r="P1" s="14" t="n">
        <f aca="false">SUM(P5:P300)</f>
        <v>27133.3333333333</v>
      </c>
      <c r="Q1" s="14" t="n">
        <f aca="false">SUM(Q5:Q300)</f>
        <v>800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2083.33333333333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W1+Jul!X1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Jul!H2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V1+Jul!V2</f>
        <v>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Jul!H4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46235</v>
      </c>
      <c r="B5" s="2" t="s">
        <v>111</v>
      </c>
      <c r="C5" s="3" t="s">
        <v>112</v>
      </c>
      <c r="E5" s="36" t="s">
        <v>113</v>
      </c>
      <c r="F5" s="4" t="s">
        <v>114</v>
      </c>
      <c r="G5" s="2" t="n">
        <v>2500</v>
      </c>
      <c r="H5" s="2" t="n">
        <f aca="false">IF(H$4&gt;0,(IF(G5&lt;&gt;0,G5*H$4/100," ")),IF(G5&lt;&gt;0,G5*H$2/(100+H$2)," "))</f>
        <v>416.666666666667</v>
      </c>
      <c r="I5" s="2" t="n">
        <f aca="false">IF((G5&lt;&gt;0),G5-H5," ")</f>
        <v>2083.33333333333</v>
      </c>
      <c r="M5" s="7" t="n">
        <f aca="false">IF(G5&lt;&gt;0,G5-L5," ")</f>
        <v>2500</v>
      </c>
      <c r="N5" s="8" t="n">
        <f aca="false">IF((G5-L5)&lt;&gt;0,N$1-A5," ")</f>
        <v>60</v>
      </c>
      <c r="P5" s="2" t="str">
        <f aca="false">IF((F5="a"),I5," ")</f>
        <v> 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n">
        <f aca="false">IF((F5="g"),I5," ")</f>
        <v>2083.33333333333</v>
      </c>
      <c r="U5" s="2" t="str">
        <f aca="false">IF((F5="o"),I5," ")</f>
        <v> </v>
      </c>
      <c r="V5" s="2" t="str">
        <f aca="false">IF((F5="FS"),I5," ")</f>
        <v> </v>
      </c>
      <c r="BZ5" s="2" t="s">
        <v>115</v>
      </c>
    </row>
    <row r="6" customFormat="false" ht="12.75" hidden="false" customHeight="true" outlineLevel="0" collapsed="false">
      <c r="A6" s="1" t="n">
        <v>46237</v>
      </c>
      <c r="B6" s="2" t="s">
        <v>44</v>
      </c>
      <c r="C6" s="3" t="s">
        <v>116</v>
      </c>
      <c r="E6" s="36" t="s">
        <v>46</v>
      </c>
      <c r="F6" s="4" t="s">
        <v>42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58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46239</v>
      </c>
      <c r="B7" s="2" t="s">
        <v>47</v>
      </c>
      <c r="C7" s="3" t="s">
        <v>117</v>
      </c>
      <c r="E7" s="36" t="s">
        <v>49</v>
      </c>
      <c r="F7" s="4" t="s">
        <v>42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56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43</v>
      </c>
    </row>
    <row r="8" customFormat="false" ht="12" hidden="false" customHeight="false" outlineLevel="0" collapsed="false">
      <c r="A8" s="1" t="n">
        <v>46242</v>
      </c>
      <c r="B8" s="2" t="s">
        <v>50</v>
      </c>
      <c r="C8" s="3" t="s">
        <v>118</v>
      </c>
      <c r="E8" s="36" t="s">
        <v>52</v>
      </c>
      <c r="F8" s="4" t="s">
        <v>53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53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46244</v>
      </c>
      <c r="B9" s="2" t="s">
        <v>55</v>
      </c>
      <c r="C9" s="3" t="s">
        <v>119</v>
      </c>
      <c r="E9" s="36" t="s">
        <v>57</v>
      </c>
      <c r="F9" s="4" t="s">
        <v>53</v>
      </c>
      <c r="G9" s="2" t="n">
        <v>720</v>
      </c>
      <c r="H9" s="2" t="n">
        <f aca="false">IF(H$4&gt;0,(IF(G9&lt;&gt;0,G9*H$4/100," ")),IF(G9&lt;&gt;0,G9*H$2/(100+H$2)," "))</f>
        <v>120</v>
      </c>
      <c r="I9" s="2" t="n">
        <f aca="false">IF((G9&lt;&gt;0),G9-H9," ")</f>
        <v>600</v>
      </c>
      <c r="M9" s="7" t="n">
        <f aca="false">IF(G9&lt;&gt;0,G9-L9," ")</f>
        <v>720</v>
      </c>
      <c r="N9" s="8" t="n">
        <f aca="false">IF((G9-L9)&lt;&gt;0,N$1-A9," ")</f>
        <v>51</v>
      </c>
      <c r="P9" s="2" t="n">
        <f aca="false">IF((F9="a"),I9," ")</f>
        <v>600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46246</v>
      </c>
      <c r="B10" s="2" t="s">
        <v>75</v>
      </c>
      <c r="C10" s="3" t="s">
        <v>120</v>
      </c>
      <c r="E10" s="36" t="s">
        <v>77</v>
      </c>
      <c r="F10" s="4" t="s">
        <v>53</v>
      </c>
      <c r="G10" s="2" t="n">
        <v>960</v>
      </c>
      <c r="H10" s="2" t="n">
        <f aca="false">IF(H$4&gt;0,(IF(G10&lt;&gt;0,G10*H$4/100," ")),IF(G10&lt;&gt;0,G10*H$2/(100+H$2)," "))</f>
        <v>160</v>
      </c>
      <c r="I10" s="2" t="n">
        <f aca="false">IF((G10&lt;&gt;0),G10-H10," ")</f>
        <v>800</v>
      </c>
      <c r="M10" s="7" t="n">
        <f aca="false">IF(G10&lt;&gt;0,G10-L10," ")</f>
        <v>960</v>
      </c>
      <c r="N10" s="8" t="n">
        <f aca="false">IF((G10-L10)&lt;&gt;0,N$1-A10," ")</f>
        <v>49</v>
      </c>
      <c r="P10" s="2" t="n">
        <f aca="false">IF((F10="a"),I10," ")</f>
        <v>800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46249</v>
      </c>
      <c r="B11" s="2" t="s">
        <v>15</v>
      </c>
      <c r="C11" s="3" t="s">
        <v>121</v>
      </c>
      <c r="E11" s="36" t="s">
        <v>59</v>
      </c>
      <c r="F11" s="4" t="s">
        <v>53</v>
      </c>
      <c r="G11" s="2" t="n">
        <v>25000</v>
      </c>
      <c r="H11" s="2" t="n">
        <f aca="false">IF(H$4&gt;0,(IF(G11&lt;&gt;0,G11*H$4/100," ")),IF(G11&lt;&gt;0,G11*H$2/(100+H$2)," "))</f>
        <v>4166.66666666667</v>
      </c>
      <c r="I11" s="2" t="n">
        <f aca="false">IF((G11&lt;&gt;0),G11-H11," ")</f>
        <v>20833.3333333333</v>
      </c>
      <c r="M11" s="7" t="n">
        <f aca="false">IF(G11&lt;&gt;0,G11-L11," ")</f>
        <v>25000</v>
      </c>
      <c r="N11" s="8" t="n">
        <f aca="false">IF((G11-L11)&lt;&gt;0,N$1-A11," ")</f>
        <v>46</v>
      </c>
      <c r="P11" s="2" t="n">
        <f aca="false">IF((F11="a"),I11," ")</f>
        <v>20833.3333333333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46252</v>
      </c>
      <c r="B12" s="2" t="s">
        <v>60</v>
      </c>
      <c r="C12" s="3" t="s">
        <v>122</v>
      </c>
      <c r="E12" s="36" t="s">
        <v>62</v>
      </c>
      <c r="F12" s="4" t="s">
        <v>53</v>
      </c>
      <c r="G12" s="2" t="n">
        <v>2400</v>
      </c>
      <c r="H12" s="2" t="n">
        <f aca="false">IF(H$4&gt;0,(IF(G12&lt;&gt;0,G12*H$4/100," ")),IF(G12&lt;&gt;0,G12*H$2/(100+H$2)," "))</f>
        <v>400</v>
      </c>
      <c r="I12" s="2" t="n">
        <f aca="false">IF((G12&lt;&gt;0),G12-H12," ")</f>
        <v>2000</v>
      </c>
      <c r="M12" s="7" t="n">
        <f aca="false">IF(G12&lt;&gt;0,G12-L12," ")</f>
        <v>2400</v>
      </c>
      <c r="N12" s="8" t="n">
        <f aca="false">IF((G12-L12)&lt;&gt;0,N$1-A12," ")</f>
        <v>43</v>
      </c>
      <c r="P12" s="2" t="n">
        <f aca="false">IF((F12="a"),I12," ")</f>
        <v>2000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54</v>
      </c>
    </row>
    <row r="13" customFormat="false" ht="12" hidden="false" customHeight="false" outlineLevel="0" collapsed="false">
      <c r="A13" s="1" t="n">
        <v>46254</v>
      </c>
      <c r="B13" s="2" t="s">
        <v>63</v>
      </c>
      <c r="C13" s="3" t="s">
        <v>123</v>
      </c>
      <c r="E13" s="36" t="s">
        <v>65</v>
      </c>
      <c r="F13" s="4" t="s">
        <v>53</v>
      </c>
      <c r="G13" s="2" t="n">
        <v>1800</v>
      </c>
      <c r="H13" s="2" t="n">
        <f aca="false">IF(H$4&gt;0,(IF(G13&lt;&gt;0,G13*H$4/100," ")),IF(G13&lt;&gt;0,G13*H$2/(100+H$2)," "))</f>
        <v>300</v>
      </c>
      <c r="I13" s="2" t="n">
        <f aca="false">IF((G13&lt;&gt;0),G13-H13," ")</f>
        <v>1500</v>
      </c>
      <c r="M13" s="7" t="n">
        <f aca="false">IF(G13&lt;&gt;0,G13-L13," ")</f>
        <v>1800</v>
      </c>
      <c r="N13" s="8" t="n">
        <f aca="false">IF((G13-L13)&lt;&gt;0,N$1-A13," ")</f>
        <v>41</v>
      </c>
      <c r="P13" s="2" t="n">
        <f aca="false">IF((F13="a"),I13," ")</f>
        <v>1500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54</v>
      </c>
    </row>
    <row r="14" customFormat="false" ht="12" hidden="false" customHeight="false" outlineLevel="0" collapsed="false">
      <c r="A14" s="1" t="n">
        <v>46259</v>
      </c>
      <c r="B14" s="2" t="s">
        <v>85</v>
      </c>
      <c r="C14" s="3" t="s">
        <v>124</v>
      </c>
      <c r="E14" s="36" t="s">
        <v>87</v>
      </c>
      <c r="F14" s="4" t="s">
        <v>53</v>
      </c>
      <c r="G14" s="2" t="n">
        <v>1200</v>
      </c>
      <c r="H14" s="2" t="n">
        <f aca="false">IF(H$4&gt;0,(IF(G14&lt;&gt;0,G14*H$4/100," ")),IF(G14&lt;&gt;0,G14*H$2/(100+H$2)," "))</f>
        <v>200</v>
      </c>
      <c r="I14" s="2" t="n">
        <f aca="false">IF((G14&lt;&gt;0),G14-H14," ")</f>
        <v>1000</v>
      </c>
      <c r="M14" s="7" t="n">
        <f aca="false">IF(G14&lt;&gt;0,G14-L14," ")</f>
        <v>1200</v>
      </c>
      <c r="N14" s="8" t="n">
        <f aca="false">IF((G14-L14)&lt;&gt;0,N$1-A14," ")</f>
        <v>36</v>
      </c>
      <c r="P14" s="2" t="n">
        <f aca="false">IF((F14="a"),I14," ")</f>
        <v>1000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  <c r="BZ14" s="2" t="s">
        <v>54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33760</v>
      </c>
      <c r="H1" s="14" t="n">
        <f aca="false">SUM(H5:H300)</f>
        <v>5626.66666666667</v>
      </c>
      <c r="I1" s="14" t="n">
        <f aca="false">SUM(I5:I300)</f>
        <v>28133.3333333333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33760</v>
      </c>
      <c r="N1" s="18" t="n">
        <f aca="true">TODAY()</f>
        <v>46295</v>
      </c>
      <c r="O1" s="19"/>
      <c r="P1" s="14" t="n">
        <f aca="false">SUM(P5:P300)</f>
        <v>25033.3333333333</v>
      </c>
      <c r="Q1" s="14" t="n">
        <f aca="false">SUM(Q5:Q300)</f>
        <v>800</v>
      </c>
      <c r="R1" s="14" t="n">
        <f aca="false">SUM(R5:R300)</f>
        <v>1800</v>
      </c>
      <c r="S1" s="14" t="n">
        <f aca="false">SUM(S5:S300)</f>
        <v>500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W1+Aug!X1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Aug!H2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V1+Aug!V2</f>
        <v>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Aug!H4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46268</v>
      </c>
      <c r="B5" s="2" t="s">
        <v>44</v>
      </c>
      <c r="C5" s="3" t="s">
        <v>125</v>
      </c>
      <c r="E5" s="36" t="s">
        <v>46</v>
      </c>
      <c r="F5" s="4" t="s">
        <v>42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27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46270</v>
      </c>
      <c r="B6" s="2" t="s">
        <v>47</v>
      </c>
      <c r="C6" s="3" t="s">
        <v>126</v>
      </c>
      <c r="E6" s="36" t="s">
        <v>49</v>
      </c>
      <c r="F6" s="4" t="s">
        <v>42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25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46273</v>
      </c>
      <c r="B7" s="2" t="s">
        <v>50</v>
      </c>
      <c r="C7" s="3" t="s">
        <v>127</v>
      </c>
      <c r="E7" s="36" t="s">
        <v>52</v>
      </c>
      <c r="F7" s="4" t="s">
        <v>53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22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54</v>
      </c>
    </row>
    <row r="8" customFormat="false" ht="12" hidden="false" customHeight="false" outlineLevel="0" collapsed="false">
      <c r="A8" s="1" t="n">
        <v>46275</v>
      </c>
      <c r="B8" s="2" t="s">
        <v>55</v>
      </c>
      <c r="C8" s="3" t="s">
        <v>128</v>
      </c>
      <c r="E8" s="36" t="s">
        <v>57</v>
      </c>
      <c r="F8" s="4" t="s">
        <v>53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20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46280</v>
      </c>
      <c r="B9" s="2" t="s">
        <v>15</v>
      </c>
      <c r="C9" s="3" t="s">
        <v>129</v>
      </c>
      <c r="E9" s="36" t="s">
        <v>59</v>
      </c>
      <c r="F9" s="4" t="s">
        <v>53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15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46281</v>
      </c>
      <c r="B10" s="2" t="s">
        <v>79</v>
      </c>
      <c r="C10" s="3" t="s">
        <v>130</v>
      </c>
      <c r="E10" s="36" t="s">
        <v>81</v>
      </c>
      <c r="F10" s="4" t="s">
        <v>82</v>
      </c>
      <c r="G10" s="2" t="n">
        <v>1200</v>
      </c>
      <c r="H10" s="2" t="n">
        <f aca="false">IF(H$4&gt;0,(IF(G10&lt;&gt;0,G10*H$4/100," ")),IF(G10&lt;&gt;0,G10*H$2/(100+H$2)," "))</f>
        <v>200</v>
      </c>
      <c r="I10" s="2" t="n">
        <f aca="false">IF((G10&lt;&gt;0),G10-H10," ")</f>
        <v>1000</v>
      </c>
      <c r="M10" s="7" t="n">
        <f aca="false">IF(G10&lt;&gt;0,G10-L10," ")</f>
        <v>1200</v>
      </c>
      <c r="N10" s="8" t="n">
        <f aca="false">IF((G10-L10)&lt;&gt;0,N$1-A10," ")</f>
        <v>14</v>
      </c>
      <c r="P10" s="2" t="str">
        <f aca="false">IF((F10="a"),I10," ")</f>
        <v> </v>
      </c>
      <c r="Q10" s="2" t="str">
        <f aca="false">IF((F10="b"),I10," ")</f>
        <v> </v>
      </c>
      <c r="R10" s="2" t="n">
        <f aca="false">IF((F10="c"),I10," ")</f>
        <v>1000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83</v>
      </c>
    </row>
    <row r="11" customFormat="false" ht="12" hidden="false" customHeight="false" outlineLevel="0" collapsed="false">
      <c r="A11" s="1" t="n">
        <v>46283</v>
      </c>
      <c r="B11" s="2" t="s">
        <v>60</v>
      </c>
      <c r="C11" s="3" t="s">
        <v>131</v>
      </c>
      <c r="E11" s="36" t="s">
        <v>62</v>
      </c>
      <c r="F11" s="4" t="s">
        <v>53</v>
      </c>
      <c r="G11" s="2" t="n">
        <v>2400</v>
      </c>
      <c r="H11" s="2" t="n">
        <f aca="false">IF(H$4&gt;0,(IF(G11&lt;&gt;0,G11*H$4/100," ")),IF(G11&lt;&gt;0,G11*H$2/(100+H$2)," "))</f>
        <v>400</v>
      </c>
      <c r="I11" s="2" t="n">
        <f aca="false">IF((G11&lt;&gt;0),G11-H11," ")</f>
        <v>2000</v>
      </c>
      <c r="M11" s="7" t="n">
        <f aca="false">IF(G11&lt;&gt;0,G11-L11," ")</f>
        <v>2400</v>
      </c>
      <c r="N11" s="8" t="n">
        <f aca="false">IF((G11-L11)&lt;&gt;0,N$1-A11," ")</f>
        <v>12</v>
      </c>
      <c r="P11" s="2" t="n">
        <f aca="false">IF((F11="a"),I11," ")</f>
        <v>2000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46285</v>
      </c>
      <c r="B12" s="2" t="s">
        <v>132</v>
      </c>
      <c r="C12" s="3" t="s">
        <v>133</v>
      </c>
      <c r="E12" s="36" t="s">
        <v>134</v>
      </c>
      <c r="F12" s="4" t="s">
        <v>82</v>
      </c>
      <c r="G12" s="2" t="n">
        <v>960</v>
      </c>
      <c r="H12" s="2" t="n">
        <f aca="false">IF(H$4&gt;0,(IF(G12&lt;&gt;0,G12*H$4/100," ")),IF(G12&lt;&gt;0,G12*H$2/(100+H$2)," "))</f>
        <v>160</v>
      </c>
      <c r="I12" s="2" t="n">
        <f aca="false">IF((G12&lt;&gt;0),G12-H12," ")</f>
        <v>800</v>
      </c>
      <c r="M12" s="7" t="n">
        <f aca="false">IF(G12&lt;&gt;0,G12-L12," ")</f>
        <v>960</v>
      </c>
      <c r="N12" s="8" t="n">
        <f aca="false">IF((G12-L12)&lt;&gt;0,N$1-A12," ")</f>
        <v>10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800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83</v>
      </c>
    </row>
    <row r="13" customFormat="false" ht="12" hidden="false" customHeight="false" outlineLevel="0" collapsed="false">
      <c r="A13" s="1" t="n">
        <v>46287</v>
      </c>
      <c r="B13" s="2" t="s">
        <v>97</v>
      </c>
      <c r="C13" s="3" t="s">
        <v>135</v>
      </c>
      <c r="E13" s="36" t="s">
        <v>99</v>
      </c>
      <c r="F13" s="4" t="s">
        <v>53</v>
      </c>
      <c r="G13" s="2" t="n">
        <v>1440</v>
      </c>
      <c r="H13" s="2" t="n">
        <f aca="false">IF(H$4&gt;0,(IF(G13&lt;&gt;0,G13*H$4/100," ")),IF(G13&lt;&gt;0,G13*H$2/(100+H$2)," "))</f>
        <v>240</v>
      </c>
      <c r="I13" s="2" t="n">
        <f aca="false">IF((G13&lt;&gt;0),G13-H13," ")</f>
        <v>1200</v>
      </c>
      <c r="M13" s="7" t="n">
        <f aca="false">IF(G13&lt;&gt;0,G13-L13," ")</f>
        <v>1440</v>
      </c>
      <c r="N13" s="8" t="n">
        <f aca="false">IF((G13-L13)&lt;&gt;0,N$1-A13," ")</f>
        <v>8</v>
      </c>
      <c r="P13" s="2" t="n">
        <f aca="false">IF((F13="a"),I13," ")</f>
        <v>1200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54</v>
      </c>
    </row>
    <row r="14" customFormat="false" ht="12" hidden="false" customHeight="false" outlineLevel="0" collapsed="false">
      <c r="A14" s="1" t="n">
        <v>46290</v>
      </c>
      <c r="B14" s="2" t="s">
        <v>136</v>
      </c>
      <c r="C14" s="3" t="s">
        <v>137</v>
      </c>
      <c r="E14" s="36" t="s">
        <v>138</v>
      </c>
      <c r="F14" s="4" t="s">
        <v>69</v>
      </c>
      <c r="G14" s="2" t="n">
        <v>600</v>
      </c>
      <c r="H14" s="2" t="n">
        <f aca="false">IF(H$4&gt;0,(IF(G14&lt;&gt;0,G14*H$4/100," ")),IF(G14&lt;&gt;0,G14*H$2/(100+H$2)," "))</f>
        <v>100</v>
      </c>
      <c r="I14" s="2" t="n">
        <f aca="false">IF((G14&lt;&gt;0),G14-H14," ")</f>
        <v>500</v>
      </c>
      <c r="M14" s="7" t="n">
        <f aca="false">IF(G14&lt;&gt;0,G14-L14," ")</f>
        <v>600</v>
      </c>
      <c r="N14" s="8" t="n">
        <f aca="false">IF((G14-L14)&lt;&gt;0,N$1-A14," ")</f>
        <v>5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n">
        <f aca="false">IF((F14="d"),I14," ")</f>
        <v>500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  <c r="BZ14" s="2" t="s">
        <v>70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4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50560</v>
      </c>
      <c r="H1" s="14" t="n">
        <f aca="false">SUM(H5:H300)</f>
        <v>8426.66666666667</v>
      </c>
      <c r="I1" s="14" t="n">
        <f aca="false">SUM(I5:I300)</f>
        <v>42133.3333333333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50560</v>
      </c>
      <c r="N1" s="18" t="n">
        <f aca="true">TODAY()</f>
        <v>46295</v>
      </c>
      <c r="O1" s="19"/>
      <c r="P1" s="14" t="n">
        <f aca="false">SUM(P5:P300)</f>
        <v>27133.3333333333</v>
      </c>
      <c r="Q1" s="14" t="n">
        <f aca="false">SUM(Q5:Q300)</f>
        <v>1800</v>
      </c>
      <c r="R1" s="14" t="n">
        <f aca="false">SUM(R5:R300)</f>
        <v>0</v>
      </c>
      <c r="S1" s="14" t="n">
        <f aca="false">SUM(S5:S300)</f>
        <v>700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12500</v>
      </c>
      <c r="W1" s="14" t="n">
        <f aca="false">SUM(W5:W300)</f>
        <v>0</v>
      </c>
      <c r="X1" s="14" t="n">
        <f aca="false">W1+Sep!X1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Sep!H2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V1+Sep!V2</f>
        <v>12500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Sep!H4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46296</v>
      </c>
      <c r="B5" s="2" t="s">
        <v>17</v>
      </c>
      <c r="C5" s="3" t="s">
        <v>139</v>
      </c>
      <c r="E5" s="36" t="s">
        <v>41</v>
      </c>
      <c r="F5" s="4" t="s">
        <v>42</v>
      </c>
      <c r="G5" s="2" t="n">
        <v>1200</v>
      </c>
      <c r="H5" s="2" t="n">
        <f aca="false">IF(H$4&gt;0,(IF(G5&lt;&gt;0,G5*H$4/100," ")),IF(G5&lt;&gt;0,G5*H$2/(100+H$2)," "))</f>
        <v>200</v>
      </c>
      <c r="I5" s="2" t="n">
        <f aca="false">IF((G5&lt;&gt;0),G5-H5," ")</f>
        <v>1000</v>
      </c>
      <c r="M5" s="7" t="n">
        <f aca="false">IF(G5&lt;&gt;0,G5-L5," ")</f>
        <v>1200</v>
      </c>
      <c r="N5" s="8" t="n">
        <f aca="false">IF((G5-L5)&lt;&gt;0,N$1-A5," ")</f>
        <v>-1</v>
      </c>
      <c r="P5" s="2" t="str">
        <f aca="false">IF((F5="a"),I5," ")</f>
        <v> </v>
      </c>
      <c r="Q5" s="2" t="n">
        <f aca="false">IF((F5="b"),I5," ")</f>
        <v>1000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46298</v>
      </c>
      <c r="B6" s="2" t="s">
        <v>44</v>
      </c>
      <c r="C6" s="3" t="s">
        <v>140</v>
      </c>
      <c r="E6" s="36" t="s">
        <v>46</v>
      </c>
      <c r="F6" s="4" t="s">
        <v>42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-3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46300</v>
      </c>
      <c r="B7" s="2" t="s">
        <v>47</v>
      </c>
      <c r="C7" s="3" t="s">
        <v>141</v>
      </c>
      <c r="E7" s="36" t="s">
        <v>49</v>
      </c>
      <c r="F7" s="4" t="s">
        <v>42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-5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43</v>
      </c>
    </row>
    <row r="8" customFormat="false" ht="12" hidden="false" customHeight="false" outlineLevel="0" collapsed="false">
      <c r="A8" s="1" t="n">
        <v>46303</v>
      </c>
      <c r="B8" s="2" t="s">
        <v>50</v>
      </c>
      <c r="C8" s="3" t="s">
        <v>142</v>
      </c>
      <c r="E8" s="36" t="s">
        <v>52</v>
      </c>
      <c r="F8" s="4" t="s">
        <v>53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-8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46305</v>
      </c>
      <c r="B9" s="2" t="s">
        <v>143</v>
      </c>
      <c r="C9" s="3" t="s">
        <v>144</v>
      </c>
      <c r="E9" s="36" t="s">
        <v>145</v>
      </c>
      <c r="F9" s="4" t="s">
        <v>146</v>
      </c>
      <c r="G9" s="2" t="n">
        <v>15000</v>
      </c>
      <c r="H9" s="2" t="n">
        <f aca="false">IF(H$4&gt;0,(IF(G9&lt;&gt;0,G9*H$4/100," ")),IF(G9&lt;&gt;0,G9*H$2/(100+H$2)," "))</f>
        <v>2500</v>
      </c>
      <c r="I9" s="2" t="n">
        <f aca="false">IF((G9&lt;&gt;0),G9-H9," ")</f>
        <v>12500</v>
      </c>
      <c r="M9" s="7" t="n">
        <f aca="false">IF(G9&lt;&gt;0,G9-L9," ")</f>
        <v>15000</v>
      </c>
      <c r="N9" s="8" t="n">
        <f aca="false">IF((G9-L9)&lt;&gt;0,N$1-A9," ")</f>
        <v>-10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n">
        <f aca="false">IF((F9="FS"),I9," ")</f>
        <v>12500</v>
      </c>
      <c r="BZ9" s="2" t="s">
        <v>147</v>
      </c>
    </row>
    <row r="10" customFormat="false" ht="12" hidden="false" customHeight="false" outlineLevel="0" collapsed="false">
      <c r="A10" s="1" t="n">
        <v>46305</v>
      </c>
      <c r="B10" s="2" t="s">
        <v>55</v>
      </c>
      <c r="C10" s="3" t="s">
        <v>148</v>
      </c>
      <c r="E10" s="36" t="s">
        <v>57</v>
      </c>
      <c r="F10" s="4" t="s">
        <v>53</v>
      </c>
      <c r="G10" s="2" t="n">
        <v>720</v>
      </c>
      <c r="H10" s="2" t="n">
        <f aca="false">IF(H$4&gt;0,(IF(G10&lt;&gt;0,G10*H$4/100," ")),IF(G10&lt;&gt;0,G10*H$2/(100+H$2)," "))</f>
        <v>120</v>
      </c>
      <c r="I10" s="2" t="n">
        <f aca="false">IF((G10&lt;&gt;0),G10-H10," ")</f>
        <v>600</v>
      </c>
      <c r="M10" s="7" t="n">
        <f aca="false">IF(G10&lt;&gt;0,G10-L10," ")</f>
        <v>720</v>
      </c>
      <c r="N10" s="8" t="n">
        <f aca="false">IF((G10-L10)&lt;&gt;0,N$1-A10," ")</f>
        <v>-10</v>
      </c>
      <c r="P10" s="2" t="n">
        <f aca="false">IF((F10="a"),I10," ")</f>
        <v>600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46309</v>
      </c>
      <c r="B11" s="2" t="s">
        <v>105</v>
      </c>
      <c r="C11" s="3" t="s">
        <v>149</v>
      </c>
      <c r="E11" s="36" t="s">
        <v>107</v>
      </c>
      <c r="F11" s="4" t="s">
        <v>53</v>
      </c>
      <c r="G11" s="2" t="n">
        <v>2160</v>
      </c>
      <c r="H11" s="2" t="n">
        <f aca="false">IF(H$4&gt;0,(IF(G11&lt;&gt;0,G11*H$4/100," ")),IF(G11&lt;&gt;0,G11*H$2/(100+H$2)," "))</f>
        <v>360</v>
      </c>
      <c r="I11" s="2" t="n">
        <f aca="false">IF((G11&lt;&gt;0),G11-H11," ")</f>
        <v>1800</v>
      </c>
      <c r="M11" s="7" t="n">
        <f aca="false">IF(G11&lt;&gt;0,G11-L11," ")</f>
        <v>2160</v>
      </c>
      <c r="N11" s="8" t="n">
        <f aca="false">IF((G11-L11)&lt;&gt;0,N$1-A11," ")</f>
        <v>-14</v>
      </c>
      <c r="P11" s="2" t="n">
        <f aca="false">IF((F11="a"),I11," ")</f>
        <v>1800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46310</v>
      </c>
      <c r="B12" s="2" t="s">
        <v>15</v>
      </c>
      <c r="C12" s="3" t="s">
        <v>150</v>
      </c>
      <c r="E12" s="36" t="s">
        <v>59</v>
      </c>
      <c r="F12" s="4" t="s">
        <v>53</v>
      </c>
      <c r="G12" s="2" t="n">
        <v>25000</v>
      </c>
      <c r="H12" s="2" t="n">
        <f aca="false">IF(H$4&gt;0,(IF(G12&lt;&gt;0,G12*H$4/100," ")),IF(G12&lt;&gt;0,G12*H$2/(100+H$2)," "))</f>
        <v>4166.66666666667</v>
      </c>
      <c r="I12" s="2" t="n">
        <f aca="false">IF((G12&lt;&gt;0),G12-H12," ")</f>
        <v>20833.3333333333</v>
      </c>
      <c r="M12" s="7" t="n">
        <f aca="false">IF(G12&lt;&gt;0,G12-L12," ")</f>
        <v>25000</v>
      </c>
      <c r="N12" s="8" t="n">
        <f aca="false">IF((G12-L12)&lt;&gt;0,N$1-A12," ")</f>
        <v>-15</v>
      </c>
      <c r="P12" s="2" t="n">
        <f aca="false">IF((F12="a"),I12," ")</f>
        <v>20833.3333333333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54</v>
      </c>
    </row>
    <row r="13" customFormat="false" ht="12" hidden="false" customHeight="false" outlineLevel="0" collapsed="false">
      <c r="A13" s="1" t="n">
        <v>46313</v>
      </c>
      <c r="B13" s="2" t="s">
        <v>60</v>
      </c>
      <c r="C13" s="3" t="s">
        <v>151</v>
      </c>
      <c r="E13" s="36" t="s">
        <v>62</v>
      </c>
      <c r="F13" s="4" t="s">
        <v>53</v>
      </c>
      <c r="G13" s="2" t="n">
        <v>2400</v>
      </c>
      <c r="H13" s="2" t="n">
        <f aca="false">IF(H$4&gt;0,(IF(G13&lt;&gt;0,G13*H$4/100," ")),IF(G13&lt;&gt;0,G13*H$2/(100+H$2)," "))</f>
        <v>400</v>
      </c>
      <c r="I13" s="2" t="n">
        <f aca="false">IF((G13&lt;&gt;0),G13-H13," ")</f>
        <v>2000</v>
      </c>
      <c r="M13" s="7" t="n">
        <f aca="false">IF(G13&lt;&gt;0,G13-L13," ")</f>
        <v>2400</v>
      </c>
      <c r="N13" s="8" t="n">
        <f aca="false">IF((G13-L13)&lt;&gt;0,N$1-A13," ")</f>
        <v>-18</v>
      </c>
      <c r="P13" s="2" t="n">
        <f aca="false">IF((F13="a"),I13," ")</f>
        <v>2000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54</v>
      </c>
    </row>
    <row r="14" customFormat="false" ht="12" hidden="false" customHeight="false" outlineLevel="0" collapsed="false">
      <c r="A14" s="1" t="n">
        <v>46315</v>
      </c>
      <c r="B14" s="2" t="s">
        <v>63</v>
      </c>
      <c r="C14" s="3" t="s">
        <v>152</v>
      </c>
      <c r="E14" s="36" t="s">
        <v>65</v>
      </c>
      <c r="F14" s="4" t="s">
        <v>53</v>
      </c>
      <c r="G14" s="2" t="n">
        <v>1800</v>
      </c>
      <c r="H14" s="2" t="n">
        <f aca="false">IF(H$4&gt;0,(IF(G14&lt;&gt;0,G14*H$4/100," ")),IF(G14&lt;&gt;0,G14*H$2/(100+H$2)," "))</f>
        <v>300</v>
      </c>
      <c r="I14" s="2" t="n">
        <f aca="false">IF((G14&lt;&gt;0),G14-H14," ")</f>
        <v>1500</v>
      </c>
      <c r="M14" s="7" t="n">
        <f aca="false">IF(G14&lt;&gt;0,G14-L14," ")</f>
        <v>1800</v>
      </c>
      <c r="N14" s="8" t="n">
        <f aca="false">IF((G14-L14)&lt;&gt;0,N$1-A14," ")</f>
        <v>-20</v>
      </c>
      <c r="P14" s="2" t="n">
        <f aca="false">IF((F14="a"),I14," ")</f>
        <v>1500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  <c r="BZ14" s="2" t="s">
        <v>54</v>
      </c>
    </row>
    <row r="15" customFormat="false" ht="12" hidden="false" customHeight="false" outlineLevel="0" collapsed="false">
      <c r="A15" s="1" t="n">
        <v>46323</v>
      </c>
      <c r="B15" s="2" t="s">
        <v>66</v>
      </c>
      <c r="C15" s="3" t="s">
        <v>153</v>
      </c>
      <c r="E15" s="36" t="s">
        <v>68</v>
      </c>
      <c r="F15" s="4" t="s">
        <v>69</v>
      </c>
      <c r="G15" s="2" t="n">
        <v>840</v>
      </c>
      <c r="H15" s="2" t="n">
        <f aca="false">IF(H$4&gt;0,(IF(G15&lt;&gt;0,G15*H$4/100," ")),IF(G15&lt;&gt;0,G15*H$2/(100+H$2)," "))</f>
        <v>140</v>
      </c>
      <c r="I15" s="2" t="n">
        <f aca="false">IF((G15&lt;&gt;0),G15-H15," ")</f>
        <v>700</v>
      </c>
      <c r="M15" s="7" t="n">
        <f aca="false">IF(G15&lt;&gt;0,G15-L15," ")</f>
        <v>840</v>
      </c>
      <c r="N15" s="8" t="n">
        <f aca="false">IF((G15-L15)&lt;&gt;0,N$1-A15," ")</f>
        <v>-28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n">
        <f aca="false">IF((F15="d"),I15," ")</f>
        <v>700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  <c r="BZ15" s="2" t="s">
        <v>70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35320</v>
      </c>
      <c r="H1" s="14" t="n">
        <f aca="false">SUM(H5:H300)</f>
        <v>5886.66666666667</v>
      </c>
      <c r="I1" s="14" t="n">
        <f aca="false">SUM(I5:I300)</f>
        <v>29433.3333333333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35320</v>
      </c>
      <c r="N1" s="18" t="n">
        <f aca="true">TODAY()</f>
        <v>46295</v>
      </c>
      <c r="O1" s="19"/>
      <c r="P1" s="14" t="n">
        <f aca="false">SUM(P5:P300)</f>
        <v>25633.3333333333</v>
      </c>
      <c r="Q1" s="14" t="n">
        <f aca="false">SUM(Q5:Q300)</f>
        <v>800</v>
      </c>
      <c r="R1" s="14" t="n">
        <f aca="false">SUM(R5:R300)</f>
        <v>3000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W1+Oct!X1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Oct!H2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V1+Oct!V2</f>
        <v>12500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Oct!H4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46329</v>
      </c>
      <c r="B5" s="2" t="s">
        <v>44</v>
      </c>
      <c r="C5" s="3" t="s">
        <v>154</v>
      </c>
      <c r="E5" s="36" t="s">
        <v>46</v>
      </c>
      <c r="F5" s="4" t="s">
        <v>42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-34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46331</v>
      </c>
      <c r="B6" s="2" t="s">
        <v>47</v>
      </c>
      <c r="C6" s="3" t="s">
        <v>155</v>
      </c>
      <c r="E6" s="36" t="s">
        <v>49</v>
      </c>
      <c r="F6" s="4" t="s">
        <v>42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-36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46334</v>
      </c>
      <c r="B7" s="2" t="s">
        <v>50</v>
      </c>
      <c r="C7" s="3" t="s">
        <v>156</v>
      </c>
      <c r="E7" s="36" t="s">
        <v>52</v>
      </c>
      <c r="F7" s="4" t="s">
        <v>53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-39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54</v>
      </c>
    </row>
    <row r="8" customFormat="false" ht="12" hidden="false" customHeight="false" outlineLevel="0" collapsed="false">
      <c r="A8" s="1" t="n">
        <v>46336</v>
      </c>
      <c r="B8" s="2" t="s">
        <v>55</v>
      </c>
      <c r="C8" s="3" t="s">
        <v>157</v>
      </c>
      <c r="E8" s="36" t="s">
        <v>57</v>
      </c>
      <c r="F8" s="4" t="s">
        <v>53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-41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46338</v>
      </c>
      <c r="B9" s="2" t="s">
        <v>75</v>
      </c>
      <c r="C9" s="3" t="s">
        <v>158</v>
      </c>
      <c r="E9" s="36" t="s">
        <v>77</v>
      </c>
      <c r="F9" s="4" t="s">
        <v>53</v>
      </c>
      <c r="G9" s="2" t="n">
        <v>960</v>
      </c>
      <c r="H9" s="2" t="n">
        <f aca="false">IF(H$4&gt;0,(IF(G9&lt;&gt;0,G9*H$4/100," ")),IF(G9&lt;&gt;0,G9*H$2/(100+H$2)," "))</f>
        <v>160</v>
      </c>
      <c r="I9" s="2" t="n">
        <f aca="false">IF((G9&lt;&gt;0),G9-H9," ")</f>
        <v>800</v>
      </c>
      <c r="M9" s="7" t="n">
        <f aca="false">IF(G9&lt;&gt;0,G9-L9," ")</f>
        <v>960</v>
      </c>
      <c r="N9" s="8" t="n">
        <f aca="false">IF((G9-L9)&lt;&gt;0,N$1-A9," ")</f>
        <v>-43</v>
      </c>
      <c r="P9" s="2" t="n">
        <f aca="false">IF((F9="a"),I9," ")</f>
        <v>800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46341</v>
      </c>
      <c r="B10" s="2" t="s">
        <v>15</v>
      </c>
      <c r="C10" s="3" t="s">
        <v>159</v>
      </c>
      <c r="E10" s="36" t="s">
        <v>59</v>
      </c>
      <c r="F10" s="4" t="s">
        <v>53</v>
      </c>
      <c r="G10" s="2" t="n">
        <v>25000</v>
      </c>
      <c r="H10" s="2" t="n">
        <f aca="false">IF(H$4&gt;0,(IF(G10&lt;&gt;0,G10*H$4/100," ")),IF(G10&lt;&gt;0,G10*H$2/(100+H$2)," "))</f>
        <v>4166.66666666667</v>
      </c>
      <c r="I10" s="2" t="n">
        <f aca="false">IF((G10&lt;&gt;0),G10-H10," ")</f>
        <v>20833.3333333333</v>
      </c>
      <c r="M10" s="7" t="n">
        <f aca="false">IF(G10&lt;&gt;0,G10-L10," ")</f>
        <v>25000</v>
      </c>
      <c r="N10" s="8" t="n">
        <f aca="false">IF((G10-L10)&lt;&gt;0,N$1-A10," ")</f>
        <v>-46</v>
      </c>
      <c r="P10" s="2" t="n">
        <f aca="false">IF((F10="a"),I10," ")</f>
        <v>20833.3333333333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46344</v>
      </c>
      <c r="B11" s="2" t="s">
        <v>60</v>
      </c>
      <c r="C11" s="3" t="s">
        <v>160</v>
      </c>
      <c r="E11" s="36" t="s">
        <v>62</v>
      </c>
      <c r="F11" s="4" t="s">
        <v>53</v>
      </c>
      <c r="G11" s="2" t="n">
        <v>2400</v>
      </c>
      <c r="H11" s="2" t="n">
        <f aca="false">IF(H$4&gt;0,(IF(G11&lt;&gt;0,G11*H$4/100," ")),IF(G11&lt;&gt;0,G11*H$2/(100+H$2)," "))</f>
        <v>400</v>
      </c>
      <c r="I11" s="2" t="n">
        <f aca="false">IF((G11&lt;&gt;0),G11-H11," ")</f>
        <v>2000</v>
      </c>
      <c r="M11" s="7" t="n">
        <f aca="false">IF(G11&lt;&gt;0,G11-L11," ")</f>
        <v>2400</v>
      </c>
      <c r="N11" s="8" t="n">
        <f aca="false">IF((G11-L11)&lt;&gt;0,N$1-A11," ")</f>
        <v>-49</v>
      </c>
      <c r="P11" s="2" t="n">
        <f aca="false">IF((F11="a"),I11," ")</f>
        <v>2000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46346</v>
      </c>
      <c r="B12" s="2" t="s">
        <v>161</v>
      </c>
      <c r="C12" s="3" t="s">
        <v>162</v>
      </c>
      <c r="E12" s="36" t="s">
        <v>163</v>
      </c>
      <c r="F12" s="4" t="s">
        <v>82</v>
      </c>
      <c r="G12" s="2" t="n">
        <v>3600</v>
      </c>
      <c r="H12" s="2" t="n">
        <f aca="false">IF(H$4&gt;0,(IF(G12&lt;&gt;0,G12*H$4/100," ")),IF(G12&lt;&gt;0,G12*H$2/(100+H$2)," "))</f>
        <v>600</v>
      </c>
      <c r="I12" s="2" t="n">
        <f aca="false">IF((G12&lt;&gt;0),G12-H12," ")</f>
        <v>3000</v>
      </c>
      <c r="M12" s="7" t="n">
        <f aca="false">IF(G12&lt;&gt;0,G12-L12," ")</f>
        <v>3600</v>
      </c>
      <c r="N12" s="8" t="n">
        <f aca="false">IF((G12-L12)&lt;&gt;0,N$1-A12," ")</f>
        <v>-51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3000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83</v>
      </c>
    </row>
    <row r="13" customFormat="false" ht="12" hidden="false" customHeight="false" outlineLevel="0" collapsed="false">
      <c r="A13" s="1" t="n">
        <v>46351</v>
      </c>
      <c r="B13" s="2" t="s">
        <v>85</v>
      </c>
      <c r="C13" s="3" t="s">
        <v>164</v>
      </c>
      <c r="E13" s="36" t="s">
        <v>87</v>
      </c>
      <c r="F13" s="4" t="s">
        <v>53</v>
      </c>
      <c r="G13" s="2" t="n">
        <v>1200</v>
      </c>
      <c r="H13" s="2" t="n">
        <f aca="false">IF(H$4&gt;0,(IF(G13&lt;&gt;0,G13*H$4/100," ")),IF(G13&lt;&gt;0,G13*H$2/(100+H$2)," "))</f>
        <v>200</v>
      </c>
      <c r="I13" s="2" t="n">
        <f aca="false">IF((G13&lt;&gt;0),G13-H13," ")</f>
        <v>1000</v>
      </c>
      <c r="M13" s="7" t="n">
        <f aca="false">IF(G13&lt;&gt;0,G13-L13," ")</f>
        <v>1200</v>
      </c>
      <c r="N13" s="8" t="n">
        <f aca="false">IF((G13-L13)&lt;&gt;0,N$1-A13," ")</f>
        <v>-56</v>
      </c>
      <c r="P13" s="2" t="n">
        <f aca="false">IF((F13="a"),I13," ")</f>
        <v>1000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54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32800</v>
      </c>
      <c r="H1" s="14" t="n">
        <f aca="false">SUM(H5:H300)</f>
        <v>5466.66666666667</v>
      </c>
      <c r="I1" s="14" t="n">
        <f aca="false">SUM(I5:I300)</f>
        <v>27333.3333333333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32800</v>
      </c>
      <c r="N1" s="18" t="n">
        <f aca="true">TODAY()</f>
        <v>46295</v>
      </c>
      <c r="O1" s="19"/>
      <c r="P1" s="14" t="n">
        <f aca="false">SUM(P5:P300)</f>
        <v>26533.3333333333</v>
      </c>
      <c r="Q1" s="14" t="n">
        <f aca="false">SUM(Q5:Q300)</f>
        <v>800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W1+Nov!X1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Nov!H2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V1+Nov!V2</f>
        <v>12500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Nov!H4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46359</v>
      </c>
      <c r="B5" s="2" t="s">
        <v>44</v>
      </c>
      <c r="C5" s="3" t="s">
        <v>165</v>
      </c>
      <c r="E5" s="36" t="s">
        <v>46</v>
      </c>
      <c r="F5" s="4" t="s">
        <v>42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-64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46361</v>
      </c>
      <c r="B6" s="2" t="s">
        <v>47</v>
      </c>
      <c r="C6" s="3" t="s">
        <v>166</v>
      </c>
      <c r="E6" s="36" t="s">
        <v>49</v>
      </c>
      <c r="F6" s="4" t="s">
        <v>42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-66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46364</v>
      </c>
      <c r="B7" s="2" t="s">
        <v>50</v>
      </c>
      <c r="C7" s="3" t="s">
        <v>167</v>
      </c>
      <c r="E7" s="36" t="s">
        <v>52</v>
      </c>
      <c r="F7" s="4" t="s">
        <v>53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-69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54</v>
      </c>
    </row>
    <row r="8" customFormat="false" ht="12" hidden="false" customHeight="false" outlineLevel="0" collapsed="false">
      <c r="A8" s="1" t="n">
        <v>46366</v>
      </c>
      <c r="B8" s="2" t="s">
        <v>55</v>
      </c>
      <c r="C8" s="3" t="s">
        <v>168</v>
      </c>
      <c r="E8" s="36" t="s">
        <v>57</v>
      </c>
      <c r="F8" s="4" t="s">
        <v>53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-71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46371</v>
      </c>
      <c r="B9" s="2" t="s">
        <v>15</v>
      </c>
      <c r="C9" s="3" t="s">
        <v>169</v>
      </c>
      <c r="E9" s="36" t="s">
        <v>59</v>
      </c>
      <c r="F9" s="4" t="s">
        <v>53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-76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46374</v>
      </c>
      <c r="B10" s="2" t="s">
        <v>60</v>
      </c>
      <c r="C10" s="3" t="s">
        <v>170</v>
      </c>
      <c r="E10" s="36" t="s">
        <v>62</v>
      </c>
      <c r="F10" s="4" t="s">
        <v>53</v>
      </c>
      <c r="G10" s="2" t="n">
        <v>2400</v>
      </c>
      <c r="H10" s="2" t="n">
        <f aca="false">IF(H$4&gt;0,(IF(G10&lt;&gt;0,G10*H$4/100," ")),IF(G10&lt;&gt;0,G10*H$2/(100+H$2)," "))</f>
        <v>400</v>
      </c>
      <c r="I10" s="2" t="n">
        <f aca="false">IF((G10&lt;&gt;0),G10-H10," ")</f>
        <v>2000</v>
      </c>
      <c r="M10" s="7" t="n">
        <f aca="false">IF(G10&lt;&gt;0,G10-L10," ")</f>
        <v>2400</v>
      </c>
      <c r="N10" s="8" t="n">
        <f aca="false">IF((G10-L10)&lt;&gt;0,N$1-A10," ")</f>
        <v>-79</v>
      </c>
      <c r="P10" s="2" t="n">
        <f aca="false">IF((F10="a"),I10," ")</f>
        <v>2000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46376</v>
      </c>
      <c r="B11" s="2" t="s">
        <v>63</v>
      </c>
      <c r="C11" s="3" t="s">
        <v>171</v>
      </c>
      <c r="E11" s="36" t="s">
        <v>65</v>
      </c>
      <c r="F11" s="4" t="s">
        <v>53</v>
      </c>
      <c r="G11" s="2" t="n">
        <v>1800</v>
      </c>
      <c r="H11" s="2" t="n">
        <f aca="false">IF(H$4&gt;0,(IF(G11&lt;&gt;0,G11*H$4/100," ")),IF(G11&lt;&gt;0,G11*H$2/(100+H$2)," "))</f>
        <v>300</v>
      </c>
      <c r="I11" s="2" t="n">
        <f aca="false">IF((G11&lt;&gt;0),G11-H11," ")</f>
        <v>1500</v>
      </c>
      <c r="M11" s="7" t="n">
        <f aca="false">IF(G11&lt;&gt;0,G11-L11," ")</f>
        <v>1800</v>
      </c>
      <c r="N11" s="8" t="n">
        <f aca="false">IF((G11-L11)&lt;&gt;0,N$1-A11," ")</f>
        <v>-81</v>
      </c>
      <c r="P11" s="2" t="n">
        <f aca="false">IF((F11="a"),I11," ")</f>
        <v>1500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46378</v>
      </c>
      <c r="B12" s="2" t="s">
        <v>97</v>
      </c>
      <c r="C12" s="3" t="s">
        <v>172</v>
      </c>
      <c r="E12" s="36" t="s">
        <v>99</v>
      </c>
      <c r="F12" s="4" t="s">
        <v>53</v>
      </c>
      <c r="G12" s="2" t="n">
        <v>1440</v>
      </c>
      <c r="H12" s="2" t="n">
        <f aca="false">IF(H$4&gt;0,(IF(G12&lt;&gt;0,G12*H$4/100," ")),IF(G12&lt;&gt;0,G12*H$2/(100+H$2)," "))</f>
        <v>240</v>
      </c>
      <c r="I12" s="2" t="n">
        <f aca="false">IF((G12&lt;&gt;0),G12-H12," ")</f>
        <v>1200</v>
      </c>
      <c r="M12" s="7" t="n">
        <f aca="false">IF(G12&lt;&gt;0,G12-L12," ")</f>
        <v>1440</v>
      </c>
      <c r="N12" s="8" t="n">
        <f aca="false">IF((G12-L12)&lt;&gt;0,N$1-A12," ")</f>
        <v>-83</v>
      </c>
      <c r="P12" s="2" t="n">
        <f aca="false">IF((F12="a"),I12," ")</f>
        <v>1200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54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35440</v>
      </c>
      <c r="H1" s="14" t="n">
        <f aca="false">SUM(H5:H300)</f>
        <v>5906.66666666667</v>
      </c>
      <c r="I1" s="14" t="n">
        <f aca="false">SUM(I5:I300)</f>
        <v>29533.3333333333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35440</v>
      </c>
      <c r="N1" s="18" t="n">
        <f aca="true">TODAY()</f>
        <v>46295</v>
      </c>
      <c r="O1" s="19"/>
      <c r="P1" s="14" t="n">
        <f aca="false">SUM(P5:P300)</f>
        <v>25633.3333333333</v>
      </c>
      <c r="Q1" s="14" t="n">
        <f aca="false">SUM(Q5:Q300)</f>
        <v>1800</v>
      </c>
      <c r="R1" s="14" t="n">
        <f aca="false">SUM(R5:R300)</f>
        <v>1000</v>
      </c>
      <c r="S1" s="14" t="n">
        <f aca="false">SUM(S5:S300)</f>
        <v>1100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W1+Dec!X1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Dec!H2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V1+Dec!V2</f>
        <v>12500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Dec!H4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46388</v>
      </c>
      <c r="B5" s="2" t="s">
        <v>17</v>
      </c>
      <c r="C5" s="3" t="s">
        <v>173</v>
      </c>
      <c r="E5" s="36" t="s">
        <v>41</v>
      </c>
      <c r="F5" s="4" t="s">
        <v>42</v>
      </c>
      <c r="G5" s="2" t="n">
        <v>1200</v>
      </c>
      <c r="H5" s="2" t="n">
        <f aca="false">IF(H$4&gt;0,(IF(G5&lt;&gt;0,G5*H$4/100," ")),IF(G5&lt;&gt;0,G5*H$2/(100+H$2)," "))</f>
        <v>200</v>
      </c>
      <c r="I5" s="2" t="n">
        <f aca="false">IF((G5&lt;&gt;0),G5-H5," ")</f>
        <v>1000</v>
      </c>
      <c r="M5" s="7" t="n">
        <f aca="false">IF(G5&lt;&gt;0,G5-L5," ")</f>
        <v>1200</v>
      </c>
      <c r="N5" s="8" t="n">
        <f aca="false">IF((G5-L5)&lt;&gt;0,N$1-A5," ")</f>
        <v>-93</v>
      </c>
      <c r="P5" s="2" t="str">
        <f aca="false">IF((F5="a"),I5," ")</f>
        <v> </v>
      </c>
      <c r="Q5" s="2" t="n">
        <f aca="false">IF((F5="b"),I5," ")</f>
        <v>1000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46390</v>
      </c>
      <c r="B6" s="2" t="s">
        <v>44</v>
      </c>
      <c r="C6" s="3" t="s">
        <v>174</v>
      </c>
      <c r="E6" s="36" t="s">
        <v>46</v>
      </c>
      <c r="F6" s="4" t="s">
        <v>42</v>
      </c>
      <c r="G6" s="2" t="n">
        <v>360</v>
      </c>
      <c r="H6" s="2" t="n">
        <f aca="false">IF(H$4&gt;0,(IF(G6&lt;&gt;0,G6*H$4/100," ")),IF(G6&lt;&gt;0,G6*H$2/(100+H$2)," "))</f>
        <v>60</v>
      </c>
      <c r="I6" s="2" t="n">
        <f aca="false">IF((G6&lt;&gt;0),G6-H6," ")</f>
        <v>300</v>
      </c>
      <c r="M6" s="7" t="n">
        <f aca="false">IF(G6&lt;&gt;0,G6-L6," ")</f>
        <v>360</v>
      </c>
      <c r="N6" s="8" t="n">
        <f aca="false">IF((G6-L6)&lt;&gt;0,N$1-A6," ")</f>
        <v>-95</v>
      </c>
      <c r="P6" s="2" t="str">
        <f aca="false">IF((F6="a"),I6," ")</f>
        <v> </v>
      </c>
      <c r="Q6" s="2" t="n">
        <f aca="false">IF((F6="b"),I6," ")</f>
        <v>300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46392</v>
      </c>
      <c r="B7" s="2" t="s">
        <v>47</v>
      </c>
      <c r="C7" s="3" t="s">
        <v>175</v>
      </c>
      <c r="E7" s="36" t="s">
        <v>49</v>
      </c>
      <c r="F7" s="4" t="s">
        <v>42</v>
      </c>
      <c r="G7" s="2" t="n">
        <v>600</v>
      </c>
      <c r="H7" s="2" t="n">
        <f aca="false">IF(H$4&gt;0,(IF(G7&lt;&gt;0,G7*H$4/100," ")),IF(G7&lt;&gt;0,G7*H$2/(100+H$2)," "))</f>
        <v>100</v>
      </c>
      <c r="I7" s="2" t="n">
        <f aca="false">IF((G7&lt;&gt;0),G7-H7," ")</f>
        <v>500</v>
      </c>
      <c r="M7" s="7" t="n">
        <f aca="false">IF(G7&lt;&gt;0,G7-L7," ")</f>
        <v>600</v>
      </c>
      <c r="N7" s="8" t="n">
        <f aca="false">IF((G7-L7)&lt;&gt;0,N$1-A7," ")</f>
        <v>-97</v>
      </c>
      <c r="P7" s="2" t="str">
        <f aca="false">IF((F7="a"),I7," ")</f>
        <v> </v>
      </c>
      <c r="Q7" s="2" t="n">
        <f aca="false">IF((F7="b"),I7," ")</f>
        <v>500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43</v>
      </c>
    </row>
    <row r="8" customFormat="false" ht="12" hidden="false" customHeight="false" outlineLevel="0" collapsed="false">
      <c r="A8" s="1" t="n">
        <v>46395</v>
      </c>
      <c r="B8" s="2" t="s">
        <v>50</v>
      </c>
      <c r="C8" s="3" t="s">
        <v>176</v>
      </c>
      <c r="E8" s="36" t="s">
        <v>52</v>
      </c>
      <c r="F8" s="4" t="s">
        <v>53</v>
      </c>
      <c r="G8" s="2" t="n">
        <v>480</v>
      </c>
      <c r="H8" s="2" t="n">
        <f aca="false">IF(H$4&gt;0,(IF(G8&lt;&gt;0,G8*H$4/100," ")),IF(G8&lt;&gt;0,G8*H$2/(100+H$2)," "))</f>
        <v>80</v>
      </c>
      <c r="I8" s="2" t="n">
        <f aca="false">IF((G8&lt;&gt;0),G8-H8," ")</f>
        <v>400</v>
      </c>
      <c r="M8" s="7" t="n">
        <f aca="false">IF(G8&lt;&gt;0,G8-L8," ")</f>
        <v>480</v>
      </c>
      <c r="N8" s="8" t="n">
        <f aca="false">IF((G8-L8)&lt;&gt;0,N$1-A8," ")</f>
        <v>-100</v>
      </c>
      <c r="P8" s="2" t="n">
        <f aca="false">IF((F8="a"),I8," ")</f>
        <v>400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46397</v>
      </c>
      <c r="B9" s="2" t="s">
        <v>55</v>
      </c>
      <c r="C9" s="3" t="s">
        <v>177</v>
      </c>
      <c r="E9" s="36" t="s">
        <v>57</v>
      </c>
      <c r="F9" s="4" t="s">
        <v>53</v>
      </c>
      <c r="G9" s="2" t="n">
        <v>720</v>
      </c>
      <c r="H9" s="2" t="n">
        <f aca="false">IF(H$4&gt;0,(IF(G9&lt;&gt;0,G9*H$4/100," ")),IF(G9&lt;&gt;0,G9*H$2/(100+H$2)," "))</f>
        <v>120</v>
      </c>
      <c r="I9" s="2" t="n">
        <f aca="false">IF((G9&lt;&gt;0),G9-H9," ")</f>
        <v>600</v>
      </c>
      <c r="M9" s="7" t="n">
        <f aca="false">IF(G9&lt;&gt;0,G9-L9," ")</f>
        <v>720</v>
      </c>
      <c r="N9" s="8" t="n">
        <f aca="false">IF((G9-L9)&lt;&gt;0,N$1-A9," ")</f>
        <v>-102</v>
      </c>
      <c r="P9" s="2" t="n">
        <f aca="false">IF((F9="a"),I9," ")</f>
        <v>600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46401</v>
      </c>
      <c r="B10" s="2" t="s">
        <v>105</v>
      </c>
      <c r="C10" s="3" t="s">
        <v>178</v>
      </c>
      <c r="E10" s="36" t="s">
        <v>107</v>
      </c>
      <c r="F10" s="4" t="s">
        <v>53</v>
      </c>
      <c r="G10" s="2" t="n">
        <v>2160</v>
      </c>
      <c r="H10" s="2" t="n">
        <f aca="false">IF(H$4&gt;0,(IF(G10&lt;&gt;0,G10*H$4/100," ")),IF(G10&lt;&gt;0,G10*H$2/(100+H$2)," "))</f>
        <v>360</v>
      </c>
      <c r="I10" s="2" t="n">
        <f aca="false">IF((G10&lt;&gt;0),G10-H10," ")</f>
        <v>1800</v>
      </c>
      <c r="M10" s="7" t="n">
        <f aca="false">IF(G10&lt;&gt;0,G10-L10," ")</f>
        <v>2160</v>
      </c>
      <c r="N10" s="8" t="n">
        <f aca="false">IF((G10-L10)&lt;&gt;0,N$1-A10," ")</f>
        <v>-106</v>
      </c>
      <c r="P10" s="2" t="n">
        <f aca="false">IF((F10="a"),I10," ")</f>
        <v>1800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46402</v>
      </c>
      <c r="B11" s="2" t="s">
        <v>15</v>
      </c>
      <c r="C11" s="3" t="s">
        <v>179</v>
      </c>
      <c r="E11" s="36" t="s">
        <v>59</v>
      </c>
      <c r="F11" s="4" t="s">
        <v>53</v>
      </c>
      <c r="G11" s="2" t="n">
        <v>25000</v>
      </c>
      <c r="H11" s="2" t="n">
        <f aca="false">IF(H$4&gt;0,(IF(G11&lt;&gt;0,G11*H$4/100," ")),IF(G11&lt;&gt;0,G11*H$2/(100+H$2)," "))</f>
        <v>4166.66666666667</v>
      </c>
      <c r="I11" s="2" t="n">
        <f aca="false">IF((G11&lt;&gt;0),G11-H11," ")</f>
        <v>20833.3333333333</v>
      </c>
      <c r="M11" s="7" t="n">
        <f aca="false">IF(G11&lt;&gt;0,G11-L11," ")</f>
        <v>25000</v>
      </c>
      <c r="N11" s="8" t="n">
        <f aca="false">IF((G11-L11)&lt;&gt;0,N$1-A11," ")</f>
        <v>-107</v>
      </c>
      <c r="P11" s="2" t="n">
        <f aca="false">IF((F11="a"),I11," ")</f>
        <v>20833.3333333333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46403</v>
      </c>
      <c r="B12" s="2" t="s">
        <v>79</v>
      </c>
      <c r="C12" s="3" t="s">
        <v>180</v>
      </c>
      <c r="E12" s="36" t="s">
        <v>81</v>
      </c>
      <c r="F12" s="4" t="s">
        <v>82</v>
      </c>
      <c r="G12" s="2" t="n">
        <v>1200</v>
      </c>
      <c r="H12" s="2" t="n">
        <f aca="false">IF(H$4&gt;0,(IF(G12&lt;&gt;0,G12*H$4/100," ")),IF(G12&lt;&gt;0,G12*H$2/(100+H$2)," "))</f>
        <v>200</v>
      </c>
      <c r="I12" s="2" t="n">
        <f aca="false">IF((G12&lt;&gt;0),G12-H12," ")</f>
        <v>1000</v>
      </c>
      <c r="M12" s="7" t="n">
        <f aca="false">IF(G12&lt;&gt;0,G12-L12," ")</f>
        <v>1200</v>
      </c>
      <c r="N12" s="8" t="n">
        <f aca="false">IF((G12-L12)&lt;&gt;0,N$1-A12," ")</f>
        <v>-108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1000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83</v>
      </c>
    </row>
    <row r="13" customFormat="false" ht="12" hidden="false" customHeight="false" outlineLevel="0" collapsed="false">
      <c r="A13" s="1" t="n">
        <v>46405</v>
      </c>
      <c r="B13" s="2" t="s">
        <v>60</v>
      </c>
      <c r="C13" s="3" t="s">
        <v>181</v>
      </c>
      <c r="E13" s="36" t="s">
        <v>62</v>
      </c>
      <c r="F13" s="4" t="s">
        <v>53</v>
      </c>
      <c r="G13" s="2" t="n">
        <v>2400</v>
      </c>
      <c r="H13" s="2" t="n">
        <f aca="false">IF(H$4&gt;0,(IF(G13&lt;&gt;0,G13*H$4/100," ")),IF(G13&lt;&gt;0,G13*H$2/(100+H$2)," "))</f>
        <v>400</v>
      </c>
      <c r="I13" s="2" t="n">
        <f aca="false">IF((G13&lt;&gt;0),G13-H13," ")</f>
        <v>2000</v>
      </c>
      <c r="M13" s="7" t="n">
        <f aca="false">IF(G13&lt;&gt;0,G13-L13," ")</f>
        <v>2400</v>
      </c>
      <c r="N13" s="8" t="n">
        <f aca="false">IF((G13-L13)&lt;&gt;0,N$1-A13," ")</f>
        <v>-110</v>
      </c>
      <c r="P13" s="2" t="n">
        <f aca="false">IF((F13="a"),I13," ")</f>
        <v>2000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54</v>
      </c>
    </row>
    <row r="14" customFormat="false" ht="12" hidden="false" customHeight="false" outlineLevel="0" collapsed="false">
      <c r="A14" s="1" t="n">
        <v>46412</v>
      </c>
      <c r="B14" s="2" t="s">
        <v>182</v>
      </c>
      <c r="C14" s="3" t="s">
        <v>183</v>
      </c>
      <c r="E14" s="36" t="s">
        <v>138</v>
      </c>
      <c r="F14" s="4" t="s">
        <v>69</v>
      </c>
      <c r="G14" s="2" t="n">
        <v>480</v>
      </c>
      <c r="H14" s="2" t="n">
        <f aca="false">IF(H$4&gt;0,(IF(G14&lt;&gt;0,G14*H$4/100," ")),IF(G14&lt;&gt;0,G14*H$2/(100+H$2)," "))</f>
        <v>80</v>
      </c>
      <c r="I14" s="2" t="n">
        <f aca="false">IF((G14&lt;&gt;0),G14-H14," ")</f>
        <v>400</v>
      </c>
      <c r="M14" s="7" t="n">
        <f aca="false">IF(G14&lt;&gt;0,G14-L14," ")</f>
        <v>480</v>
      </c>
      <c r="N14" s="8" t="n">
        <f aca="false">IF((G14-L14)&lt;&gt;0,N$1-A14," ")</f>
        <v>-117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n">
        <f aca="false">IF((F14="d"),I14," ")</f>
        <v>400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  <c r="BZ14" s="2" t="s">
        <v>70</v>
      </c>
    </row>
    <row r="15" customFormat="false" ht="12" hidden="false" customHeight="false" outlineLevel="0" collapsed="false">
      <c r="A15" s="1" t="n">
        <v>46415</v>
      </c>
      <c r="B15" s="2" t="s">
        <v>66</v>
      </c>
      <c r="C15" s="3" t="s">
        <v>184</v>
      </c>
      <c r="E15" s="36" t="s">
        <v>68</v>
      </c>
      <c r="F15" s="4" t="s">
        <v>69</v>
      </c>
      <c r="G15" s="2" t="n">
        <v>840</v>
      </c>
      <c r="H15" s="2" t="n">
        <f aca="false">IF(H$4&gt;0,(IF(G15&lt;&gt;0,G15*H$4/100," ")),IF(G15&lt;&gt;0,G15*H$2/(100+H$2)," "))</f>
        <v>140</v>
      </c>
      <c r="I15" s="2" t="n">
        <f aca="false">IF((G15&lt;&gt;0),G15-H15," ")</f>
        <v>700</v>
      </c>
      <c r="M15" s="7" t="n">
        <f aca="false">IF(G15&lt;&gt;0,G15-L15," ")</f>
        <v>840</v>
      </c>
      <c r="N15" s="8" t="n">
        <f aca="false">IF((G15-L15)&lt;&gt;0,N$1-A15," ")</f>
        <v>-120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n">
        <f aca="false">IF((F15="d"),I15," ")</f>
        <v>700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  <c r="BZ15" s="2" t="s">
        <v>70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5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  <dataValidation allowBlank="true" errorStyle="stop" operator="between" prompt="To effect a change in the standard vat rate:&#10;&#10;ENTER NEW RATE IN THE MONTH THE RATE CHANGES&#10;PURCHASE AND SUCCEEDING MONTHS AUTOMATICALLY UPDATED" promptTitle="VAT CHANGE" showDropDown="false" showErrorMessage="true" showInputMessage="true" sqref="H2" type="none">
      <formula1>0</formula1>
      <formula2>0</formula2>
    </dataValidation>
    <dataValidation allowBlank="true" errorStyle="stop" operator="between" prompt="To effect a change in the FLAT RATE VAT PERCENTAGE&#10;&#10;ENTER NEW RATE IN THE MONTH THE RATE CHANGES&#10;PURCHASE AND SUCCEEDING MONTHS AUTOMATICALLY UPDATED" promptTitle="CHANGE TO FLAT RATE VAT" showDropDown="false" showErrorMessage="true" showInputMessage="true" sqref="H4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34360</v>
      </c>
      <c r="H1" s="14" t="n">
        <f aca="false">SUM(H5:H300)</f>
        <v>5726.66666666667</v>
      </c>
      <c r="I1" s="14" t="n">
        <f aca="false">SUM(I5:I300)</f>
        <v>28633.3333333333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34360</v>
      </c>
      <c r="N1" s="18" t="n">
        <f aca="true">TODAY()</f>
        <v>46295</v>
      </c>
      <c r="O1" s="19"/>
      <c r="P1" s="14" t="n">
        <f aca="false">SUM(P5:P300)</f>
        <v>26333.3333333333</v>
      </c>
      <c r="Q1" s="14" t="n">
        <f aca="false">SUM(Q5:Q300)</f>
        <v>800</v>
      </c>
      <c r="R1" s="14" t="n">
        <f aca="false">SUM(R5:R300)</f>
        <v>1500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W1+Jan!X1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Jan!H2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V1+Jan!V2</f>
        <v>12500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Jan!H4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46421</v>
      </c>
      <c r="B5" s="2" t="s">
        <v>44</v>
      </c>
      <c r="C5" s="3" t="s">
        <v>185</v>
      </c>
      <c r="E5" s="36" t="s">
        <v>46</v>
      </c>
      <c r="F5" s="4" t="s">
        <v>42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-126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46423</v>
      </c>
      <c r="B6" s="2" t="s">
        <v>47</v>
      </c>
      <c r="C6" s="3" t="s">
        <v>186</v>
      </c>
      <c r="E6" s="36" t="s">
        <v>49</v>
      </c>
      <c r="F6" s="4" t="s">
        <v>42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-128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46426</v>
      </c>
      <c r="B7" s="2" t="s">
        <v>50</v>
      </c>
      <c r="C7" s="3" t="s">
        <v>187</v>
      </c>
      <c r="E7" s="36" t="s">
        <v>52</v>
      </c>
      <c r="F7" s="4" t="s">
        <v>53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-131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54</v>
      </c>
    </row>
    <row r="8" customFormat="false" ht="12" hidden="false" customHeight="false" outlineLevel="0" collapsed="false">
      <c r="A8" s="1" t="n">
        <v>46428</v>
      </c>
      <c r="B8" s="2" t="s">
        <v>55</v>
      </c>
      <c r="C8" s="3" t="s">
        <v>188</v>
      </c>
      <c r="E8" s="36" t="s">
        <v>57</v>
      </c>
      <c r="F8" s="4" t="s">
        <v>53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-133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46433</v>
      </c>
      <c r="B9" s="2" t="s">
        <v>15</v>
      </c>
      <c r="C9" s="3" t="s">
        <v>189</v>
      </c>
      <c r="E9" s="36" t="s">
        <v>59</v>
      </c>
      <c r="F9" s="4" t="s">
        <v>53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-138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46436</v>
      </c>
      <c r="B10" s="2" t="s">
        <v>60</v>
      </c>
      <c r="C10" s="3" t="s">
        <v>190</v>
      </c>
      <c r="E10" s="36" t="s">
        <v>62</v>
      </c>
      <c r="F10" s="4" t="s">
        <v>53</v>
      </c>
      <c r="G10" s="2" t="n">
        <v>2400</v>
      </c>
      <c r="H10" s="2" t="n">
        <f aca="false">IF(H$4&gt;0,(IF(G10&lt;&gt;0,G10*H$4/100," ")),IF(G10&lt;&gt;0,G10*H$2/(100+H$2)," "))</f>
        <v>400</v>
      </c>
      <c r="I10" s="2" t="n">
        <f aca="false">IF((G10&lt;&gt;0),G10-H10," ")</f>
        <v>2000</v>
      </c>
      <c r="M10" s="7" t="n">
        <f aca="false">IF(G10&lt;&gt;0,G10-L10," ")</f>
        <v>2400</v>
      </c>
      <c r="N10" s="8" t="n">
        <f aca="false">IF((G10-L10)&lt;&gt;0,N$1-A10," ")</f>
        <v>-141</v>
      </c>
      <c r="P10" s="2" t="n">
        <f aca="false">IF((F10="a"),I10," ")</f>
        <v>2000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46438</v>
      </c>
      <c r="B11" s="2" t="s">
        <v>63</v>
      </c>
      <c r="C11" s="3" t="s">
        <v>191</v>
      </c>
      <c r="E11" s="36" t="s">
        <v>65</v>
      </c>
      <c r="F11" s="4" t="s">
        <v>53</v>
      </c>
      <c r="G11" s="2" t="n">
        <v>1800</v>
      </c>
      <c r="H11" s="2" t="n">
        <f aca="false">IF(H$4&gt;0,(IF(G11&lt;&gt;0,G11*H$4/100," ")),IF(G11&lt;&gt;0,G11*H$2/(100+H$2)," "))</f>
        <v>300</v>
      </c>
      <c r="I11" s="2" t="n">
        <f aca="false">IF((G11&lt;&gt;0),G11-H11," ")</f>
        <v>1500</v>
      </c>
      <c r="M11" s="7" t="n">
        <f aca="false">IF(G11&lt;&gt;0,G11-L11," ")</f>
        <v>1800</v>
      </c>
      <c r="N11" s="8" t="n">
        <f aca="false">IF((G11-L11)&lt;&gt;0,N$1-A11," ")</f>
        <v>-143</v>
      </c>
      <c r="P11" s="2" t="n">
        <f aca="false">IF((F11="a"),I11," ")</f>
        <v>1500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46438</v>
      </c>
      <c r="B12" s="2" t="s">
        <v>192</v>
      </c>
      <c r="C12" s="3" t="s">
        <v>193</v>
      </c>
      <c r="E12" s="36" t="s">
        <v>194</v>
      </c>
      <c r="F12" s="4" t="s">
        <v>82</v>
      </c>
      <c r="G12" s="2" t="n">
        <v>1800</v>
      </c>
      <c r="H12" s="2" t="n">
        <f aca="false">IF(H$4&gt;0,(IF(G12&lt;&gt;0,G12*H$4/100," ")),IF(G12&lt;&gt;0,G12*H$2/(100+H$2)," "))</f>
        <v>300</v>
      </c>
      <c r="I12" s="2" t="n">
        <f aca="false">IF((G12&lt;&gt;0),G12-H12," ")</f>
        <v>1500</v>
      </c>
      <c r="M12" s="7" t="n">
        <f aca="false">IF(G12&lt;&gt;0,G12-L12," ")</f>
        <v>1800</v>
      </c>
      <c r="N12" s="8" t="n">
        <f aca="false">IF((G12-L12)&lt;&gt;0,N$1-A12," ")</f>
        <v>-143</v>
      </c>
      <c r="P12" s="2" t="str">
        <f aca="false">IF((F12="a"),I12," ")</f>
        <v> </v>
      </c>
      <c r="Q12" s="2" t="str">
        <f aca="false">IF((F12="b"),I12," ")</f>
        <v> </v>
      </c>
      <c r="R12" s="2" t="n">
        <f aca="false">IF((F12="c"),I12," ")</f>
        <v>1500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  <c r="BZ12" s="2" t="s">
        <v>83</v>
      </c>
    </row>
    <row r="13" customFormat="false" ht="12" hidden="false" customHeight="false" outlineLevel="0" collapsed="false">
      <c r="A13" s="1" t="n">
        <v>46443</v>
      </c>
      <c r="B13" s="2" t="s">
        <v>85</v>
      </c>
      <c r="C13" s="3" t="s">
        <v>195</v>
      </c>
      <c r="E13" s="36" t="s">
        <v>87</v>
      </c>
      <c r="F13" s="4" t="s">
        <v>53</v>
      </c>
      <c r="G13" s="2" t="n">
        <v>1200</v>
      </c>
      <c r="H13" s="2" t="n">
        <f aca="false">IF(H$4&gt;0,(IF(G13&lt;&gt;0,G13*H$4/100," ")),IF(G13&lt;&gt;0,G13*H$2/(100+H$2)," "))</f>
        <v>200</v>
      </c>
      <c r="I13" s="2" t="n">
        <f aca="false">IF((G13&lt;&gt;0),G13-H13," ")</f>
        <v>1000</v>
      </c>
      <c r="M13" s="7" t="n">
        <f aca="false">IF(G13&lt;&gt;0,G13-L13," ")</f>
        <v>1200</v>
      </c>
      <c r="N13" s="8" t="n">
        <f aca="false">IF((G13-L13)&lt;&gt;0,N$1-A13," ")</f>
        <v>-148</v>
      </c>
      <c r="P13" s="2" t="n">
        <f aca="false">IF((F13="a"),I13," ")</f>
        <v>1000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  <c r="BZ13" s="2" t="s">
        <v>54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customFormat="false" ht="13.5" hidden="false" customHeight="true" outlineLevel="0" collapsed="false">
      <c r="A1" s="37" t="n">
        <f aca="false">G1-H1-SUM(P1:V1)</f>
        <v>0</v>
      </c>
      <c r="B1" s="38" t="s">
        <v>21</v>
      </c>
      <c r="C1" s="39" t="s">
        <v>22</v>
      </c>
      <c r="D1" s="40" t="n">
        <f aca="false">SUM(D5:D300)</f>
        <v>0</v>
      </c>
      <c r="E1" s="13" t="s">
        <v>3</v>
      </c>
      <c r="F1" s="12" t="s">
        <v>23</v>
      </c>
      <c r="G1" s="14" t="n">
        <f aca="false">SUM(G5:G300)</f>
        <v>31360</v>
      </c>
      <c r="H1" s="14" t="n">
        <f aca="false">SUM(H5:H300)</f>
        <v>5226.66666666667</v>
      </c>
      <c r="I1" s="14" t="n">
        <f aca="false">SUM(I5:I300)</f>
        <v>26133.3333333333</v>
      </c>
      <c r="J1" s="15"/>
      <c r="K1" s="16" t="s">
        <v>4</v>
      </c>
      <c r="L1" s="17" t="n">
        <f aca="false">SUM(L5:L300)</f>
        <v>0</v>
      </c>
      <c r="M1" s="41" t="n">
        <f aca="false">SUM(M5:M300)</f>
        <v>31360</v>
      </c>
      <c r="N1" s="18" t="n">
        <f aca="true">TODAY()</f>
        <v>46295</v>
      </c>
      <c r="O1" s="19"/>
      <c r="P1" s="14" t="n">
        <f aca="false">SUM(P5:P300)</f>
        <v>25033.3333333333</v>
      </c>
      <c r="Q1" s="14" t="n">
        <f aca="false">SUM(Q5:Q300)</f>
        <v>800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300</v>
      </c>
      <c r="V1" s="14" t="n">
        <f aca="false">SUM(V5:V300)</f>
        <v>0</v>
      </c>
      <c r="W1" s="14" t="n">
        <f aca="false">SUM(W5:W300)</f>
        <v>0</v>
      </c>
      <c r="X1" s="14" t="n">
        <f aca="false">W1+Feb!X1</f>
        <v>0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22</v>
      </c>
      <c r="E2" s="13"/>
      <c r="F2" s="13"/>
      <c r="G2" s="10" t="s">
        <v>5</v>
      </c>
      <c r="H2" s="21" t="n">
        <f aca="false">Feb!H2</f>
        <v>20</v>
      </c>
      <c r="I2" s="10" t="s">
        <v>24</v>
      </c>
      <c r="J2" s="15"/>
      <c r="K2" s="16"/>
      <c r="L2" s="22" t="s">
        <v>7</v>
      </c>
      <c r="M2" s="22"/>
      <c r="N2" s="22"/>
      <c r="O2" s="19"/>
      <c r="P2" s="10" t="s">
        <v>25</v>
      </c>
      <c r="Q2" s="10"/>
      <c r="R2" s="10"/>
      <c r="S2" s="10" t="s">
        <v>26</v>
      </c>
      <c r="T2" s="10" t="s">
        <v>27</v>
      </c>
      <c r="U2" s="10" t="s">
        <v>28</v>
      </c>
      <c r="V2" s="10" t="n">
        <f aca="false">V1+Feb!V2</f>
        <v>12500</v>
      </c>
      <c r="W2" s="10" t="s">
        <v>8</v>
      </c>
      <c r="X2" s="1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29</v>
      </c>
      <c r="Q3" s="42" t="s">
        <v>30</v>
      </c>
      <c r="R3" s="42" t="s">
        <v>31</v>
      </c>
      <c r="S3" s="10"/>
      <c r="T3" s="10"/>
      <c r="U3" s="10"/>
      <c r="V3" s="10" t="s">
        <v>32</v>
      </c>
      <c r="W3" s="10" t="s">
        <v>13</v>
      </c>
      <c r="X3" s="10" t="s">
        <v>14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Feb!H4</f>
        <v>0</v>
      </c>
      <c r="I4" s="10"/>
      <c r="J4" s="15"/>
      <c r="K4" s="16"/>
      <c r="L4" s="23"/>
      <c r="M4" s="24"/>
      <c r="N4" s="24"/>
      <c r="O4" s="19"/>
      <c r="P4" s="14" t="s">
        <v>33</v>
      </c>
      <c r="Q4" s="14" t="s">
        <v>34</v>
      </c>
      <c r="R4" s="14" t="s">
        <v>35</v>
      </c>
      <c r="S4" s="14" t="s">
        <v>36</v>
      </c>
      <c r="T4" s="14" t="s">
        <v>37</v>
      </c>
      <c r="U4" s="14" t="s">
        <v>38</v>
      </c>
      <c r="V4" s="14" t="s">
        <v>39</v>
      </c>
      <c r="W4" s="10"/>
      <c r="X4" s="10"/>
    </row>
    <row r="5" customFormat="false" ht="12.75" hidden="false" customHeight="true" outlineLevel="0" collapsed="false">
      <c r="A5" s="1" t="n">
        <v>46449</v>
      </c>
      <c r="B5" s="2" t="s">
        <v>44</v>
      </c>
      <c r="C5" s="3" t="s">
        <v>196</v>
      </c>
      <c r="E5" s="36" t="s">
        <v>46</v>
      </c>
      <c r="F5" s="4" t="s">
        <v>42</v>
      </c>
      <c r="G5" s="2" t="n">
        <v>360</v>
      </c>
      <c r="H5" s="2" t="n">
        <f aca="false">IF(H$4&gt;0,(IF(G5&lt;&gt;0,G5*H$4/100," ")),IF(G5&lt;&gt;0,G5*H$2/(100+H$2)," "))</f>
        <v>60</v>
      </c>
      <c r="I5" s="2" t="n">
        <f aca="false">IF((G5&lt;&gt;0),G5-H5," ")</f>
        <v>300</v>
      </c>
      <c r="M5" s="7" t="n">
        <f aca="false">IF(G5&lt;&gt;0,G5-L5," ")</f>
        <v>360</v>
      </c>
      <c r="N5" s="8" t="n">
        <f aca="false">IF((G5-L5)&lt;&gt;0,N$1-A5," ")</f>
        <v>-154</v>
      </c>
      <c r="P5" s="2" t="str">
        <f aca="false">IF((F5="a"),I5," ")</f>
        <v> </v>
      </c>
      <c r="Q5" s="2" t="n">
        <f aca="false">IF((F5="b"),I5," ")</f>
        <v>300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  <c r="BZ5" s="2" t="s">
        <v>43</v>
      </c>
    </row>
    <row r="6" customFormat="false" ht="12.75" hidden="false" customHeight="true" outlineLevel="0" collapsed="false">
      <c r="A6" s="1" t="n">
        <v>46451</v>
      </c>
      <c r="B6" s="2" t="s">
        <v>47</v>
      </c>
      <c r="C6" s="3" t="s">
        <v>197</v>
      </c>
      <c r="E6" s="36" t="s">
        <v>49</v>
      </c>
      <c r="F6" s="4" t="s">
        <v>42</v>
      </c>
      <c r="G6" s="2" t="n">
        <v>600</v>
      </c>
      <c r="H6" s="2" t="n">
        <f aca="false">IF(H$4&gt;0,(IF(G6&lt;&gt;0,G6*H$4/100," ")),IF(G6&lt;&gt;0,G6*H$2/(100+H$2)," "))</f>
        <v>100</v>
      </c>
      <c r="I6" s="2" t="n">
        <f aca="false">IF((G6&lt;&gt;0),G6-H6," ")</f>
        <v>500</v>
      </c>
      <c r="M6" s="7" t="n">
        <f aca="false">IF(G6&lt;&gt;0,G6-L6," ")</f>
        <v>600</v>
      </c>
      <c r="N6" s="8" t="n">
        <f aca="false">IF((G6-L6)&lt;&gt;0,N$1-A6," ")</f>
        <v>-156</v>
      </c>
      <c r="P6" s="2" t="str">
        <f aca="false">IF((F6="a"),I6," ")</f>
        <v> </v>
      </c>
      <c r="Q6" s="2" t="n">
        <f aca="false">IF((F6="b"),I6," ")</f>
        <v>500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  <c r="BZ6" s="2" t="s">
        <v>43</v>
      </c>
    </row>
    <row r="7" customFormat="false" ht="12" hidden="false" customHeight="false" outlineLevel="0" collapsed="false">
      <c r="A7" s="1" t="n">
        <v>46454</v>
      </c>
      <c r="B7" s="2" t="s">
        <v>50</v>
      </c>
      <c r="C7" s="3" t="s">
        <v>198</v>
      </c>
      <c r="E7" s="36" t="s">
        <v>52</v>
      </c>
      <c r="F7" s="4" t="s">
        <v>53</v>
      </c>
      <c r="G7" s="2" t="n">
        <v>480</v>
      </c>
      <c r="H7" s="2" t="n">
        <f aca="false">IF(H$4&gt;0,(IF(G7&lt;&gt;0,G7*H$4/100," ")),IF(G7&lt;&gt;0,G7*H$2/(100+H$2)," "))</f>
        <v>80</v>
      </c>
      <c r="I7" s="2" t="n">
        <f aca="false">IF((G7&lt;&gt;0),G7-H7," ")</f>
        <v>400</v>
      </c>
      <c r="M7" s="7" t="n">
        <f aca="false">IF(G7&lt;&gt;0,G7-L7," ")</f>
        <v>480</v>
      </c>
      <c r="N7" s="8" t="n">
        <f aca="false">IF((G7-L7)&lt;&gt;0,N$1-A7," ")</f>
        <v>-159</v>
      </c>
      <c r="P7" s="2" t="n">
        <f aca="false">IF((F7="a"),I7," ")</f>
        <v>400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  <c r="BZ7" s="2" t="s">
        <v>54</v>
      </c>
    </row>
    <row r="8" customFormat="false" ht="12" hidden="false" customHeight="false" outlineLevel="0" collapsed="false">
      <c r="A8" s="1" t="n">
        <v>46456</v>
      </c>
      <c r="B8" s="2" t="s">
        <v>55</v>
      </c>
      <c r="C8" s="3" t="s">
        <v>199</v>
      </c>
      <c r="E8" s="36" t="s">
        <v>57</v>
      </c>
      <c r="F8" s="4" t="s">
        <v>53</v>
      </c>
      <c r="G8" s="2" t="n">
        <v>720</v>
      </c>
      <c r="H8" s="2" t="n">
        <f aca="false">IF(H$4&gt;0,(IF(G8&lt;&gt;0,G8*H$4/100," ")),IF(G8&lt;&gt;0,G8*H$2/(100+H$2)," "))</f>
        <v>120</v>
      </c>
      <c r="I8" s="2" t="n">
        <f aca="false">IF((G8&lt;&gt;0),G8-H8," ")</f>
        <v>600</v>
      </c>
      <c r="M8" s="7" t="n">
        <f aca="false">IF(G8&lt;&gt;0,G8-L8," ")</f>
        <v>720</v>
      </c>
      <c r="N8" s="8" t="n">
        <f aca="false">IF((G8-L8)&lt;&gt;0,N$1-A8," ")</f>
        <v>-161</v>
      </c>
      <c r="P8" s="2" t="n">
        <f aca="false">IF((F8="a"),I8," ")</f>
        <v>600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  <c r="BZ8" s="2" t="s">
        <v>54</v>
      </c>
    </row>
    <row r="9" customFormat="false" ht="12" hidden="false" customHeight="false" outlineLevel="0" collapsed="false">
      <c r="A9" s="1" t="n">
        <v>46461</v>
      </c>
      <c r="B9" s="2" t="s">
        <v>15</v>
      </c>
      <c r="C9" s="3" t="s">
        <v>200</v>
      </c>
      <c r="E9" s="36" t="s">
        <v>59</v>
      </c>
      <c r="F9" s="4" t="s">
        <v>53</v>
      </c>
      <c r="G9" s="2" t="n">
        <v>25000</v>
      </c>
      <c r="H9" s="2" t="n">
        <f aca="false">IF(H$4&gt;0,(IF(G9&lt;&gt;0,G9*H$4/100," ")),IF(G9&lt;&gt;0,G9*H$2/(100+H$2)," "))</f>
        <v>4166.66666666667</v>
      </c>
      <c r="I9" s="2" t="n">
        <f aca="false">IF((G9&lt;&gt;0),G9-H9," ")</f>
        <v>20833.3333333333</v>
      </c>
      <c r="M9" s="7" t="n">
        <f aca="false">IF(G9&lt;&gt;0,G9-L9," ")</f>
        <v>25000</v>
      </c>
      <c r="N9" s="8" t="n">
        <f aca="false">IF((G9-L9)&lt;&gt;0,N$1-A9," ")</f>
        <v>-166</v>
      </c>
      <c r="P9" s="2" t="n">
        <f aca="false">IF((F9="a"),I9," ")</f>
        <v>20833.3333333333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  <c r="BZ9" s="2" t="s">
        <v>54</v>
      </c>
    </row>
    <row r="10" customFormat="false" ht="12" hidden="false" customHeight="false" outlineLevel="0" collapsed="false">
      <c r="A10" s="1" t="n">
        <v>46464</v>
      </c>
      <c r="B10" s="2" t="s">
        <v>60</v>
      </c>
      <c r="C10" s="3" t="s">
        <v>201</v>
      </c>
      <c r="E10" s="36" t="s">
        <v>62</v>
      </c>
      <c r="F10" s="4" t="s">
        <v>53</v>
      </c>
      <c r="G10" s="2" t="n">
        <v>2400</v>
      </c>
      <c r="H10" s="2" t="n">
        <f aca="false">IF(H$4&gt;0,(IF(G10&lt;&gt;0,G10*H$4/100," ")),IF(G10&lt;&gt;0,G10*H$2/(100+H$2)," "))</f>
        <v>400</v>
      </c>
      <c r="I10" s="2" t="n">
        <f aca="false">IF((G10&lt;&gt;0),G10-H10," ")</f>
        <v>2000</v>
      </c>
      <c r="M10" s="7" t="n">
        <f aca="false">IF(G10&lt;&gt;0,G10-L10," ")</f>
        <v>2400</v>
      </c>
      <c r="N10" s="8" t="n">
        <f aca="false">IF((G10-L10)&lt;&gt;0,N$1-A10," ")</f>
        <v>-169</v>
      </c>
      <c r="P10" s="2" t="n">
        <f aca="false">IF((F10="a"),I10," ")</f>
        <v>2000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  <c r="BZ10" s="2" t="s">
        <v>54</v>
      </c>
    </row>
    <row r="11" customFormat="false" ht="12" hidden="false" customHeight="false" outlineLevel="0" collapsed="false">
      <c r="A11" s="1" t="n">
        <v>46468</v>
      </c>
      <c r="B11" s="2" t="s">
        <v>97</v>
      </c>
      <c r="C11" s="3" t="s">
        <v>202</v>
      </c>
      <c r="E11" s="36" t="s">
        <v>99</v>
      </c>
      <c r="F11" s="4" t="s">
        <v>53</v>
      </c>
      <c r="G11" s="2" t="n">
        <v>1440</v>
      </c>
      <c r="H11" s="2" t="n">
        <f aca="false">IF(H$4&gt;0,(IF(G11&lt;&gt;0,G11*H$4/100," ")),IF(G11&lt;&gt;0,G11*H$2/(100+H$2)," "))</f>
        <v>240</v>
      </c>
      <c r="I11" s="2" t="n">
        <f aca="false">IF((G11&lt;&gt;0),G11-H11," ")</f>
        <v>1200</v>
      </c>
      <c r="M11" s="7" t="n">
        <f aca="false">IF(G11&lt;&gt;0,G11-L11," ")</f>
        <v>1440</v>
      </c>
      <c r="N11" s="8" t="n">
        <f aca="false">IF((G11-L11)&lt;&gt;0,N$1-A11," ")</f>
        <v>-173</v>
      </c>
      <c r="P11" s="2" t="n">
        <f aca="false">IF((F11="a"),I11," ")</f>
        <v>1200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  <c r="BZ11" s="2" t="s">
        <v>54</v>
      </c>
    </row>
    <row r="12" customFormat="false" ht="12" hidden="false" customHeight="false" outlineLevel="0" collapsed="false">
      <c r="A12" s="1" t="n">
        <v>46477</v>
      </c>
      <c r="B12" s="2" t="s">
        <v>203</v>
      </c>
      <c r="C12" s="3" t="s">
        <v>204</v>
      </c>
      <c r="E12" s="36" t="s">
        <v>205</v>
      </c>
      <c r="F12" s="4" t="s">
        <v>206</v>
      </c>
      <c r="G12" s="2" t="n">
        <v>360</v>
      </c>
      <c r="H12" s="2" t="n">
        <f aca="false">IF(H$4&gt;0,(IF(G12&lt;&gt;0,G12*H$4/100," ")),IF(G12&lt;&gt;0,G12*H$2/(100+H$2)," "))</f>
        <v>60</v>
      </c>
      <c r="I12" s="2" t="n">
        <f aca="false">IF((G12&lt;&gt;0),G12-H12," ")</f>
        <v>300</v>
      </c>
      <c r="M12" s="7" t="n">
        <f aca="false">IF(G12&lt;&gt;0,G12-L12," ")</f>
        <v>360</v>
      </c>
      <c r="N12" s="8" t="n">
        <f aca="false">IF((G12-L12)&lt;&gt;0,N$1-A12," ")</f>
        <v>-182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n">
        <f aca="false">IF((F12="o"),I12," ")</f>
        <v>300</v>
      </c>
      <c r="V12" s="2" t="str">
        <f aca="false">IF((F12="FS"),I12," ")</f>
        <v> </v>
      </c>
      <c r="BZ12" s="2" t="s">
        <v>207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7.66"/>
    <col collapsed="false" customWidth="true" hidden="false" outlineLevel="0" max="5" min="5" style="4" width="15.32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false" hidden="false" outlineLevel="0" max="257" min="16" style="2" width="9.15"/>
  </cols>
  <sheetData>
    <row r="1" customFormat="false" ht="13.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2"/>
      <c r="G1" s="14" t="n">
        <f aca="false">SUM(G5:G300)</f>
        <v>7900</v>
      </c>
      <c r="H1" s="14" t="n">
        <f aca="false">SUM(H5:H300)</f>
        <v>1316.66666666667</v>
      </c>
      <c r="I1" s="14" t="n">
        <f aca="false">SUM(I5:I300)</f>
        <v>6583.33333333333</v>
      </c>
      <c r="J1" s="15"/>
      <c r="K1" s="16" t="s">
        <v>4</v>
      </c>
      <c r="L1" s="17" t="n">
        <f aca="false">SUM(L5:L300)</f>
        <v>0</v>
      </c>
      <c r="M1" s="17" t="n">
        <f aca="false">SUM(M5:M300)</f>
        <v>7900</v>
      </c>
      <c r="N1" s="18" t="n">
        <f aca="true">TODAY()</f>
        <v>46295</v>
      </c>
      <c r="O1" s="19"/>
      <c r="P1" s="14" t="n">
        <f aca="false">SUM(P5:P300)</f>
        <v>0</v>
      </c>
      <c r="Q1" s="14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</row>
    <row r="2" customFormat="false" ht="12.75" hidden="false" customHeight="true" outlineLevel="0" collapsed="false">
      <c r="A2" s="9"/>
      <c r="B2" s="10"/>
      <c r="C2" s="10"/>
      <c r="D2" s="12"/>
      <c r="E2" s="12"/>
      <c r="F2" s="12"/>
      <c r="G2" s="10" t="s">
        <v>5</v>
      </c>
      <c r="H2" s="21" t="n">
        <f aca="false">Mar!H2</f>
        <v>20</v>
      </c>
      <c r="I2" s="10" t="s">
        <v>6</v>
      </c>
      <c r="J2" s="15"/>
      <c r="K2" s="16"/>
      <c r="L2" s="22" t="s">
        <v>7</v>
      </c>
      <c r="M2" s="22"/>
      <c r="N2" s="22"/>
      <c r="O2" s="19"/>
      <c r="P2" s="10" t="s">
        <v>8</v>
      </c>
      <c r="Q2" s="1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</row>
    <row r="3" customFormat="false" ht="34.5" hidden="false" customHeight="true" outlineLevel="0" collapsed="false">
      <c r="A3" s="9"/>
      <c r="B3" s="10"/>
      <c r="C3" s="10"/>
      <c r="D3" s="12"/>
      <c r="E3" s="12"/>
      <c r="F3" s="12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10" t="s">
        <v>13</v>
      </c>
      <c r="Q3" s="10" t="s">
        <v>14</v>
      </c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9"/>
      <c r="B4" s="10"/>
      <c r="C4" s="10"/>
      <c r="D4" s="12"/>
      <c r="E4" s="12"/>
      <c r="F4" s="12"/>
      <c r="G4" s="10"/>
      <c r="H4" s="27" t="n">
        <f aca="false">Mar!H4</f>
        <v>0</v>
      </c>
      <c r="I4" s="10"/>
      <c r="J4" s="15"/>
      <c r="K4" s="16"/>
      <c r="L4" s="23"/>
      <c r="M4" s="24"/>
      <c r="N4" s="24"/>
      <c r="O4" s="19"/>
      <c r="P4" s="10"/>
      <c r="Q4" s="10"/>
    </row>
    <row r="5" customFormat="false" ht="12.75" hidden="false" customHeight="true" outlineLevel="0" collapsed="false">
      <c r="B5" s="2" t="s">
        <v>15</v>
      </c>
      <c r="C5" s="3" t="s">
        <v>200</v>
      </c>
      <c r="G5" s="2" t="n">
        <v>6100</v>
      </c>
      <c r="H5" s="2" t="n">
        <f aca="false">IF(H$4&gt;0,(IF(G5&lt;&gt;0,G5*H$4/100," ")),IF(G5&lt;&gt;0,G5*H$2/(100+H$2)," "))</f>
        <v>1016.66666666667</v>
      </c>
      <c r="I5" s="2" t="n">
        <f aca="false">IF((G5&lt;&gt;0),G5-H5," ")</f>
        <v>5083.33333333333</v>
      </c>
      <c r="M5" s="7" t="n">
        <f aca="false">IF(G5&lt;&gt;0,G5-L5," ")</f>
        <v>6100</v>
      </c>
      <c r="N5" s="8" t="n">
        <f aca="false">IF((G5-L5)&lt;&gt;0,N$1-A5," ")</f>
        <v>46295</v>
      </c>
    </row>
    <row r="6" customFormat="false" ht="12.75" hidden="false" customHeight="true" outlineLevel="0" collapsed="false">
      <c r="B6" s="2" t="s">
        <v>97</v>
      </c>
      <c r="C6" s="3" t="s">
        <v>202</v>
      </c>
      <c r="G6" s="2" t="n">
        <v>1440</v>
      </c>
      <c r="H6" s="2" t="n">
        <f aca="false">IF(H$4&gt;0,(IF(G6&lt;&gt;0,G6*H$4/100," ")),IF(G6&lt;&gt;0,G6*H$2/(100+H$2)," "))</f>
        <v>240</v>
      </c>
      <c r="I6" s="2" t="n">
        <f aca="false">IF((G6&lt;&gt;0),G6-H6," ")</f>
        <v>1200</v>
      </c>
      <c r="M6" s="7" t="n">
        <f aca="false">IF(G6&lt;&gt;0,G6-L6," ")</f>
        <v>1440</v>
      </c>
      <c r="N6" s="8" t="n">
        <f aca="false">IF((G6-L6)&lt;&gt;0,N$1-A6," ")</f>
        <v>46295</v>
      </c>
    </row>
    <row r="7" customFormat="false" ht="12" hidden="false" customHeight="false" outlineLevel="0" collapsed="false">
      <c r="B7" s="2" t="s">
        <v>203</v>
      </c>
      <c r="C7" s="3" t="s">
        <v>204</v>
      </c>
      <c r="G7" s="2" t="n">
        <v>360</v>
      </c>
      <c r="H7" s="2" t="n">
        <f aca="false">IF(H$4&gt;0,(IF(G7&lt;&gt;0,G7*H$4/100," ")),IF(G7&lt;&gt;0,G7*H$2/(100+H$2)," "))</f>
        <v>60</v>
      </c>
      <c r="I7" s="2" t="n">
        <f aca="false">IF((G7&lt;&gt;0),G7-H7," ")</f>
        <v>300</v>
      </c>
      <c r="M7" s="7" t="n">
        <f aca="false">IF(G7&lt;&gt;0,G7-L7," ")</f>
        <v>360</v>
      </c>
      <c r="N7" s="8" t="n">
        <f aca="false">IF((G7-L7)&lt;&gt;0,N$1-A7," ")</f>
        <v>46295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31"/>
      <c r="F300" s="31"/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/>
      <c r="Q300" s="29"/>
    </row>
  </sheetData>
  <mergeCells count="18">
    <mergeCell ref="A1:A4"/>
    <mergeCell ref="B1:B4"/>
    <mergeCell ref="C1:C4"/>
    <mergeCell ref="D1:D4"/>
    <mergeCell ref="E1:E4"/>
    <mergeCell ref="F1:F4"/>
    <mergeCell ref="J1:J4"/>
    <mergeCell ref="K1:K4"/>
    <mergeCell ref="O1:O4"/>
    <mergeCell ref="G2:G4"/>
    <mergeCell ref="I2:I4"/>
    <mergeCell ref="L2:N2"/>
    <mergeCell ref="P2:Q2"/>
    <mergeCell ref="L3:L4"/>
    <mergeCell ref="M3:M4"/>
    <mergeCell ref="N3:N4"/>
    <mergeCell ref="P3:P4"/>
    <mergeCell ref="Q3:Q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" type="date">
      <formula1>38353</formula1>
      <formula2>53327</formula2>
    </dataValidation>
  </dataValidations>
  <printOptions headings="false" gridLines="false" gridLinesSet="true" horizontalCentered="true" verticalCentered="true"/>
  <pageMargins left="0.354166666666667" right="0.354166666666667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2007-03-02T22:25:05Z</cp:lastPrinted>
  <dcterms:modified xsi:type="dcterms:W3CDTF">2025-04-03T22:49:48Z</dcterms:modified>
  <cp:revision>0</cp:revision>
  <dc:subject/>
  <dc:title>Self Employed Sales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