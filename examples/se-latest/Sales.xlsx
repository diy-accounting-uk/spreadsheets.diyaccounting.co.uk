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<sst xmlns="http://schemas.openxmlformats.org/spreadsheetml/2006/main" count="672" uniqueCount="69">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</sst>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46261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16</v>
      </c>
      <c r="D5" s="4" t="n">
        <v>7200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17</v>
      </c>
      <c r="C6" s="3" t="s">
        <v>18</v>
      </c>
      <c r="D6" s="4" t="n">
        <v>1200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B7" s="2" t="s">
        <v>19</v>
      </c>
      <c r="C7" s="3" t="s">
        <v>20</v>
      </c>
      <c r="D7" s="4" t="n">
        <v>2400</v>
      </c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33400</v>
      </c>
      <c r="H1" s="14" t="n">
        <f aca="false">SUM(H5:H300)</f>
        <v>5566.66666666667</v>
      </c>
      <c r="I1" s="14" t="n">
        <f aca="false">SUM(I5:I300)</f>
        <v>27833.3333333333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33400</v>
      </c>
      <c r="N1" s="18" t="n">
        <f aca="true">TODAY()</f>
        <v>46261</v>
      </c>
      <c r="O1" s="19"/>
      <c r="P1" s="14" t="n">
        <f aca="false">SUM(P5:P300)</f>
        <v>25333.3333333333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45748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513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45750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511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45752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509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45755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506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45757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504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45762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499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45765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496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45767</v>
      </c>
      <c r="B12" s="2" t="s">
        <v>47</v>
      </c>
      <c r="F12" s="4" t="s">
        <v>44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494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45775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486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32920</v>
      </c>
      <c r="H1" s="14" t="n">
        <f aca="false">SUM(H5:H300)</f>
        <v>5486.66666666667</v>
      </c>
      <c r="I1" s="14" t="n">
        <f aca="false">SUM(I5:I300)</f>
        <v>27433.3333333333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32920</v>
      </c>
      <c r="N1" s="18" t="n">
        <f aca="true">TODAY()</f>
        <v>46261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Apr!H2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45780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481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45782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479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45785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476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45787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474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45789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472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45792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469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45793</v>
      </c>
      <c r="B11" s="2" t="s">
        <v>51</v>
      </c>
      <c r="F11" s="4" t="s">
        <v>52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468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45795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466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45802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459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35200</v>
      </c>
      <c r="H1" s="14" t="n">
        <f aca="false">SUM(H5:H300)</f>
        <v>5866.66666666667</v>
      </c>
      <c r="I1" s="14" t="n">
        <f aca="false">SUM(I5:I300)</f>
        <v>29333.3333333333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35200</v>
      </c>
      <c r="N1" s="18" t="n">
        <f aca="true">TODAY()</f>
        <v>46261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May!H2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45811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450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45813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448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45816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445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45818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443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45823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438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45826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435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45828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433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45828</v>
      </c>
      <c r="B12" s="2" t="s">
        <v>19</v>
      </c>
      <c r="F12" s="4" t="s">
        <v>52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433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45830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431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46261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45839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422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45841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420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45843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418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45846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415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45848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413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45852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409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45853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408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45856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405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45866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395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36020</v>
      </c>
      <c r="H1" s="14" t="n">
        <f aca="false">SUM(H5:H300)</f>
        <v>6003.33333333333</v>
      </c>
      <c r="I1" s="14" t="n">
        <f aca="false">SUM(I5:I300)</f>
        <v>30016.6666666667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36020</v>
      </c>
      <c r="N1" s="18" t="n">
        <f aca="true">TODAY()</f>
        <v>46261</v>
      </c>
      <c r="O1" s="19"/>
      <c r="P1" s="14" t="n">
        <f aca="false">SUM(P5:P300)</f>
        <v>27133.3333333333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Jul!H2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45870</v>
      </c>
      <c r="B5" s="2" t="s">
        <v>56</v>
      </c>
      <c r="F5" s="4" t="s">
        <v>57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391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45872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389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45874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387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45877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384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45879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382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45881</v>
      </c>
      <c r="B10" s="2" t="s">
        <v>50</v>
      </c>
      <c r="F10" s="4" t="s">
        <v>44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380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45884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377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45887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374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45889</v>
      </c>
      <c r="B13" s="2" t="s">
        <v>47</v>
      </c>
      <c r="F13" s="4" t="s">
        <v>44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372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45894</v>
      </c>
      <c r="B14" s="2" t="s">
        <v>53</v>
      </c>
      <c r="F14" s="4" t="s">
        <v>44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367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46261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Aug!H2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45903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358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45905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356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45908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353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45910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351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45915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346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45916</v>
      </c>
      <c r="B10" s="2" t="s">
        <v>51</v>
      </c>
      <c r="F10" s="4" t="s">
        <v>52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345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45918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343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45920</v>
      </c>
      <c r="B12" s="2" t="s">
        <v>58</v>
      </c>
      <c r="F12" s="4" t="s">
        <v>52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341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45922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339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45925</v>
      </c>
      <c r="B14" s="2" t="s">
        <v>59</v>
      </c>
      <c r="F14" s="4" t="s">
        <v>49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336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50560</v>
      </c>
      <c r="H1" s="14" t="n">
        <f aca="false">SUM(H5:H300)</f>
        <v>8426.66666666667</v>
      </c>
      <c r="I1" s="14" t="n">
        <f aca="false">SUM(I5:I300)</f>
        <v>42133.3333333333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50560</v>
      </c>
      <c r="N1" s="18" t="n">
        <f aca="true">TODAY()</f>
        <v>46261</v>
      </c>
      <c r="O1" s="19"/>
      <c r="P1" s="14" t="n">
        <f aca="false">SUM(P5:P300)</f>
        <v>27133.3333333333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Sep!H2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V1+Sep!V2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45931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330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45933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328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45935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326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45938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323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45940</v>
      </c>
      <c r="B9" s="2" t="s">
        <v>60</v>
      </c>
      <c r="F9" s="4" t="s">
        <v>61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321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</row>
    <row r="10" customFormat="false" ht="12" hidden="false" customHeight="false" outlineLevel="0" collapsed="false">
      <c r="A10" s="1" t="n">
        <v>45940</v>
      </c>
      <c r="B10" s="2" t="s">
        <v>45</v>
      </c>
      <c r="F10" s="4" t="s">
        <v>44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321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45944</v>
      </c>
      <c r="B11" s="2" t="s">
        <v>55</v>
      </c>
      <c r="F11" s="4" t="s">
        <v>44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317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45945</v>
      </c>
      <c r="B12" s="2" t="s">
        <v>15</v>
      </c>
      <c r="F12" s="4" t="s">
        <v>44</v>
      </c>
      <c r="G12" s="2" t="n">
        <v>25000</v>
      </c>
      <c r="H12" s="2" t="n">
        <f aca="false">IF(H$4&gt;0,(IF(G12&lt;&gt;0,G12*H$4/100," ")),IF(G12&lt;&gt;0,G12*H$2/(100+H$2)," "))</f>
        <v>4166.66666666667</v>
      </c>
      <c r="I12" s="2" t="n">
        <f aca="false">IF((G12&lt;&gt;0),G12-H12," ")</f>
        <v>20833.3333333333</v>
      </c>
      <c r="M12" s="7" t="n">
        <f aca="false">IF(G12&lt;&gt;0,G12-L12," ")</f>
        <v>25000</v>
      </c>
      <c r="N12" s="8" t="n">
        <f aca="false">IF((G12-L12)&lt;&gt;0,N$1-A12," ")</f>
        <v>316</v>
      </c>
      <c r="P12" s="2" t="n">
        <f aca="false">IF((F12="a"),I12," ")</f>
        <v>20833.3333333333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45948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313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45950</v>
      </c>
      <c r="B14" s="2" t="s">
        <v>47</v>
      </c>
      <c r="F14" s="4" t="s">
        <v>44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311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45958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303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35320</v>
      </c>
      <c r="H1" s="14" t="n">
        <f aca="false">SUM(H5:H300)</f>
        <v>5886.66666666667</v>
      </c>
      <c r="I1" s="14" t="n">
        <f aca="false">SUM(I5:I300)</f>
        <v>29433.3333333333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35320</v>
      </c>
      <c r="N1" s="18" t="n">
        <f aca="true">TODAY()</f>
        <v>46261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Oct!H2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V1+Oct!V2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45964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297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45966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295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45969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292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45971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290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45973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288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45976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285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45979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282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45981</v>
      </c>
      <c r="B12" s="2" t="s">
        <v>62</v>
      </c>
      <c r="F12" s="4" t="s">
        <v>52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280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45986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275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32800</v>
      </c>
      <c r="H1" s="14" t="n">
        <f aca="false">SUM(H5:H300)</f>
        <v>5466.66666666667</v>
      </c>
      <c r="I1" s="14" t="n">
        <f aca="false">SUM(I5:I300)</f>
        <v>27333.3333333333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32800</v>
      </c>
      <c r="N1" s="18" t="n">
        <f aca="true">TODAY()</f>
        <v>46261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Nov!H2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V1+Nov!V2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45994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267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45996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265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45999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262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46001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260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46006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255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46009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252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46011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250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46013</v>
      </c>
      <c r="B12" s="2" t="s">
        <v>54</v>
      </c>
      <c r="F12" s="4" t="s">
        <v>44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248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35440</v>
      </c>
      <c r="H1" s="14" t="n">
        <f aca="false">SUM(H5:H300)</f>
        <v>5906.66666666667</v>
      </c>
      <c r="I1" s="14" t="n">
        <f aca="false">SUM(I5:I300)</f>
        <v>29533.3333333333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35440</v>
      </c>
      <c r="N1" s="18" t="n">
        <f aca="true">TODAY()</f>
        <v>46261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Dec!H2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V1+Dec!V2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46023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238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46025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236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46027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234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46030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231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46032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229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46036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225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46037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224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46038</v>
      </c>
      <c r="B12" s="2" t="s">
        <v>51</v>
      </c>
      <c r="F12" s="4" t="s">
        <v>52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223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46040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221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46047</v>
      </c>
      <c r="B14" s="2" t="s">
        <v>63</v>
      </c>
      <c r="F14" s="4" t="s">
        <v>49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214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46050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211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34360</v>
      </c>
      <c r="H1" s="14" t="n">
        <f aca="false">SUM(H5:H300)</f>
        <v>5726.66666666667</v>
      </c>
      <c r="I1" s="14" t="n">
        <f aca="false">SUM(I5:I300)</f>
        <v>28633.3333333333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34360</v>
      </c>
      <c r="N1" s="18" t="n">
        <f aca="true">TODAY()</f>
        <v>46261</v>
      </c>
      <c r="O1" s="19"/>
      <c r="P1" s="14" t="n">
        <f aca="false">SUM(P5:P300)</f>
        <v>26333.3333333333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Jan!H2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V1+Jan!V2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46056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205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46058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203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46061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200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46063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198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46068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193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46071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190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46073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188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46073</v>
      </c>
      <c r="B12" s="2" t="s">
        <v>64</v>
      </c>
      <c r="F12" s="4" t="s">
        <v>52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188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46078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183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31360</v>
      </c>
      <c r="H1" s="14" t="n">
        <f aca="false">SUM(H5:H300)</f>
        <v>5226.66666666667</v>
      </c>
      <c r="I1" s="14" t="n">
        <f aca="false">SUM(I5:I300)</f>
        <v>26133.3333333333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31360</v>
      </c>
      <c r="N1" s="18" t="n">
        <f aca="true">TODAY()</f>
        <v>46261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Feb!H2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V1+Feb!V2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46084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177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46086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175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46089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172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46091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170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46096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165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46099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162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46103</v>
      </c>
      <c r="B11" s="2" t="s">
        <v>54</v>
      </c>
      <c r="F11" s="4" t="s">
        <v>44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158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46112</v>
      </c>
      <c r="B12" s="2" t="s">
        <v>65</v>
      </c>
      <c r="F12" s="4" t="s">
        <v>66</v>
      </c>
      <c r="G12" s="2" t="n">
        <v>360</v>
      </c>
      <c r="H12" s="2" t="n">
        <f aca="false">IF(H$4&gt;0,(IF(G12&lt;&gt;0,G12*H$4/100," ")),IF(G12&lt;&gt;0,G12*H$2/(100+H$2)," "))</f>
        <v>60</v>
      </c>
      <c r="I12" s="2" t="n">
        <f aca="false">IF((G12&lt;&gt;0),G12-H12," ")</f>
        <v>300</v>
      </c>
      <c r="M12" s="7" t="n">
        <f aca="false">IF(G12&lt;&gt;0,G12-L12," ")</f>
        <v>360</v>
      </c>
      <c r="N12" s="8" t="n">
        <f aca="false">IF((G12-L12)&lt;&gt;0,N$1-A12," ")</f>
        <v>149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300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46261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67</v>
      </c>
      <c r="D5" s="4" t="n">
        <v>8000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46</v>
      </c>
      <c r="C6" s="3" t="s">
        <v>68</v>
      </c>
      <c r="D6" s="4" t="n">
        <v>2400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