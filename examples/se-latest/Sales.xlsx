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<sst xmlns="http://schemas.openxmlformats.org/spreadsheetml/2006/main" count="672" uniqueCount="69">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</sst>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16400</v>
      </c>
      <c r="H1" s="14" t="n">
        <f aca="false">SUM(H5:H300)</f>
        <v>2733.33333333333</v>
      </c>
      <c r="I1" s="14" t="n">
        <f aca="false">SUM(I5:I300)</f>
        <v>13666.6666666667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16400</v>
      </c>
      <c r="N1" s="18" t="n">
        <f aca="true">TODAY()</f>
        <v>46116</v>
      </c>
      <c r="O1" s="19"/>
      <c r="P1" s="14" t="n">
        <f aca="false">SUM(P5:P300)</f>
        <v>11166.6666666667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368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359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354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349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15920</v>
      </c>
      <c r="H1" s="14" t="n">
        <f aca="false">SUM(H5:H300)</f>
        <v>2653.33333333333</v>
      </c>
      <c r="I1" s="14" t="n">
        <f aca="false">SUM(I5:I300)</f>
        <v>13266.6666666667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15920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324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18200</v>
      </c>
      <c r="H1" s="14" t="n">
        <f aca="false">SUM(H5:H300)</f>
        <v>3033.33333333333</v>
      </c>
      <c r="I1" s="14" t="n">
        <f aca="false">SUM(I5:I300)</f>
        <v>15166.6666666667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18200</v>
      </c>
      <c r="N1" s="18" t="n">
        <f aca="true">TODAY()</f>
        <v>46116</v>
      </c>
      <c r="O1" s="19"/>
      <c r="P1" s="14" t="n">
        <f aca="false">SUM(P5:P300)</f>
        <v>12366.6666666667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293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288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16760</v>
      </c>
      <c r="H1" s="14" t="n">
        <f aca="false">SUM(H5:H300)</f>
        <v>2793.33333333333</v>
      </c>
      <c r="I1" s="14" t="n">
        <f aca="false">SUM(I5:I300)</f>
        <v>13966.6666666667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16760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263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19020</v>
      </c>
      <c r="H1" s="14" t="n">
        <f aca="false">SUM(H5:H300)</f>
        <v>3170</v>
      </c>
      <c r="I1" s="14" t="n">
        <f aca="false">SUM(I5:I300)</f>
        <v>15850</v>
      </c>
      <c r="J1" s="15"/>
      <c r="K1" s="16" t="s">
        <v>4</v>
      </c>
      <c r="L1" s="17" t="n">
        <f aca="false">SUM(L5:L300)</f>
        <v>0</v>
      </c>
      <c r="M1" s="41" t="n">
        <f aca="false">SUM(M5:M300)</f>
        <v>19020</v>
      </c>
      <c r="N1" s="18" t="n">
        <f aca="true">TODAY()</f>
        <v>46116</v>
      </c>
      <c r="O1" s="19"/>
      <c r="P1" s="14" t="n">
        <f aca="false">SUM(P5:P300)</f>
        <v>12966.6666666667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232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229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16760</v>
      </c>
      <c r="H1" s="14" t="n">
        <f aca="false">SUM(H5:H300)</f>
        <v>2793.33333333333</v>
      </c>
      <c r="I1" s="14" t="n">
        <f aca="false">SUM(I5:I300)</f>
        <v>13966.6666666667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16760</v>
      </c>
      <c r="N1" s="18" t="n">
        <f aca="true">TODAY()</f>
        <v>46116</v>
      </c>
      <c r="O1" s="19"/>
      <c r="P1" s="14" t="n">
        <f aca="false">SUM(P5:P300)</f>
        <v>10866.6666666667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201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33560</v>
      </c>
      <c r="H1" s="14" t="n">
        <f aca="false">SUM(H5:H300)</f>
        <v>5593.33333333333</v>
      </c>
      <c r="I1" s="14" t="n">
        <f aca="false">SUM(I5:I300)</f>
        <v>27966.6666666667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33560</v>
      </c>
      <c r="N1" s="18" t="n">
        <f aca="true">TODAY()</f>
        <v>46116</v>
      </c>
      <c r="O1" s="19"/>
      <c r="P1" s="14" t="n">
        <f aca="false">SUM(P5:P300)</f>
        <v>12966.6666666667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178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8000</v>
      </c>
      <c r="H12" s="2" t="n">
        <f aca="false">IF(H$4&gt;0,(IF(G12&lt;&gt;0,G12*H$4/100," ")),IF(G12&lt;&gt;0,G12*H$2/(100+H$2)," "))</f>
        <v>1333.33333333333</v>
      </c>
      <c r="I12" s="2" t="n">
        <f aca="false">IF((G12&lt;&gt;0),G12-H12," ")</f>
        <v>6666.66666666667</v>
      </c>
      <c r="M12" s="7" t="n">
        <f aca="false">IF(G12&lt;&gt;0,G12-L12," ")</f>
        <v>8000</v>
      </c>
      <c r="N12" s="8" t="n">
        <f aca="false">IF((G12-L12)&lt;&gt;0,N$1-A12," ")</f>
        <v>171</v>
      </c>
      <c r="P12" s="2" t="n">
        <f aca="false">IF((F12="a"),I12," ")</f>
        <v>6666.66666666667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168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158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18320</v>
      </c>
      <c r="H1" s="14" t="n">
        <f aca="false">SUM(H5:H300)</f>
        <v>3053.33333333333</v>
      </c>
      <c r="I1" s="14" t="n">
        <f aca="false">SUM(I5:I300)</f>
        <v>15266.6666666667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18320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140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15800</v>
      </c>
      <c r="H1" s="14" t="n">
        <f aca="false">SUM(H5:H300)</f>
        <v>2633.33333333333</v>
      </c>
      <c r="I1" s="14" t="n">
        <f aca="false">SUM(I5:I300)</f>
        <v>13166.6666666667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15800</v>
      </c>
      <c r="N1" s="18" t="n">
        <f aca="true">TODAY()</f>
        <v>46116</v>
      </c>
      <c r="O1" s="19"/>
      <c r="P1" s="14" t="n">
        <f aca="false">SUM(P5:P300)</f>
        <v>12366.6666666667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110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103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18440</v>
      </c>
      <c r="H1" s="14" t="n">
        <f aca="false">SUM(H5:H300)</f>
        <v>3073.33333333333</v>
      </c>
      <c r="I1" s="14" t="n">
        <f aca="false">SUM(I5:I300)</f>
        <v>15366.6666666667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18440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79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78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69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17360</v>
      </c>
      <c r="H1" s="14" t="n">
        <f aca="false">SUM(H5:H300)</f>
        <v>2893.33333333333</v>
      </c>
      <c r="I1" s="14" t="n">
        <f aca="false">SUM(I5:I300)</f>
        <v>14466.6666666667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17360</v>
      </c>
      <c r="N1" s="18" t="n">
        <f aca="true">TODAY()</f>
        <v>46116</v>
      </c>
      <c r="O1" s="19"/>
      <c r="P1" s="14" t="n">
        <f aca="false">SUM(P5:P300)</f>
        <v>12166.6666666667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48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14360</v>
      </c>
      <c r="H1" s="14" t="n">
        <f aca="false">SUM(H5:H300)</f>
        <v>2393.33333333333</v>
      </c>
      <c r="I1" s="14" t="n">
        <f aca="false">SUM(I5:I300)</f>
        <v>11966.6666666667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14360</v>
      </c>
      <c r="N1" s="18" t="n">
        <f aca="true">TODAY()</f>
        <v>46116</v>
      </c>
      <c r="O1" s="19"/>
      <c r="P1" s="14" t="n">
        <f aca="false">SUM(P5:P300)</f>
        <v>10866.6666666667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20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13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4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