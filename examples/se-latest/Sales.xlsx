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<sst xmlns="http://schemas.openxmlformats.org/spreadsheetml/2006/main" count="480" uniqueCount="46">
  <si>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</si>
  <si>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</si>
  <si>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</si>
  <si>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</si>
  <si>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</si>
  <si>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</si>
  <si>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</si>
  <si>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</si>
  <si>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</si>
  <si>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</si>
  <si>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</si>
  <si>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</si>
  <si>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</si>
  <si>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</si>
  <si>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</si>
  <si>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</si>
  <si>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</si>
  <si>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</si>
  <si>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</si>
  <si>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</si>
  <si>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</si>
  <si>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</si>
  <si>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</si>
  <si>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</si>
  <si>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</si>
  <si>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</si>
  <si>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</si>
  <si>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</si>
  <si>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</si>
  <si>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</si>
  <si>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</si>
  <si>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</si>
  <si>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</si>
  <si>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</si>
  <si>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Acme Corp</t>
  </si>
  <si>
    <t xml:space="preserve">a</t>
  </si>
  <si>
    <t xml:space="preserve">Beta Systems</t>
  </si>
  <si>
    <t xml:space="preserve">b</t>
  </si>
  <si>
    <t xml:space="preserve">Gamma Ltd</t>
  </si>
  <si>
    <t xml:space="preserve">c</t>
  </si>
  <si>
    <t xml:space="preserve">Delta PLC</t>
  </si>
  <si>
    <t xml:space="preserve">d</t>
  </si>
  <si>
    <t xml:space="preserve">Innovate UK</t>
  </si>
  <si>
    <t xml:space="preserve">g</t>
  </si>
  <si>
    <t xml:space="preserve">Zeta Corp</t>
  </si>
  <si>
    <t xml:space="preserve">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</si>
</sst>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6200</v>
      </c>
      <c r="H1" s="14" t="n">
        <f aca="false">SUM(H5:H300)</f>
        <v>1033.33333333333</v>
      </c>
      <c r="I1" s="14" t="n">
        <f aca="false">SUM(I5:I300)</f>
        <v>5166.66666666667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6200</v>
      </c>
      <c r="N1" s="18" t="n">
        <f aca="true">TODAY()</f>
        <v>46116</v>
      </c>
      <c r="O1" s="19"/>
      <c r="P1" s="14" t="n">
        <f aca="false">SUM(P5:P300)</f>
        <v>4166.66666666667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45757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359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45772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344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F11" s="4" t="str">
        <f aca="false">IF((G11&lt;&gt;0),"Enter Letter"," ")</f>
        <v> </v>
      </c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F12" s="4" t="str">
        <f aca="false">IF((G12&lt;&gt;0),"Enter Letter"," ")</f>
        <v> </v>
      </c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F13" s="4" t="str">
        <f aca="false">IF((G13&lt;&gt;0),"Enter Letter"," ")</f>
        <v> </v>
      </c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F14" s="4" t="str">
        <f aca="false">IF((G14&lt;&gt;0),"Enter Letter"," ")</f>
        <v> </v>
      </c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7400</v>
      </c>
      <c r="H1" s="14" t="n">
        <f aca="false">SUM(H5:H300)</f>
        <v>1233.33333333333</v>
      </c>
      <c r="I1" s="14" t="n">
        <f aca="false">SUM(I5:I300)</f>
        <v>6166.66666666667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7400</v>
      </c>
      <c r="N1" s="18" t="n">
        <f aca="true">TODAY()</f>
        <v>46116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Apr!H2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45792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324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45805</v>
      </c>
      <c r="B6" s="2" t="s">
        <v>38</v>
      </c>
      <c r="F6" s="4" t="s">
        <v>39</v>
      </c>
      <c r="G6" s="2" t="n">
        <v>2400</v>
      </c>
      <c r="H6" s="2" t="n">
        <f aca="false">IF(H$4&gt;0,(IF(G6&lt;&gt;0,G6*H$4/100," ")),IF(G6&lt;&gt;0,G6*H$2/(100+H$2)," "))</f>
        <v>400</v>
      </c>
      <c r="I6" s="2" t="n">
        <f aca="false">IF((G6&lt;&gt;0),G6-H6," ")</f>
        <v>2000</v>
      </c>
      <c r="M6" s="7" t="n">
        <f aca="false">IF(G6&lt;&gt;0,G6-L6," ")</f>
        <v>2400</v>
      </c>
      <c r="N6" s="8" t="n">
        <f aca="false">IF((G6-L6)&lt;&gt;0,N$1-A6," ")</f>
        <v>311</v>
      </c>
      <c r="P6" s="2" t="str">
        <f aca="false">IF((F6="a"),I6," ")</f>
        <v> </v>
      </c>
      <c r="Q6" s="2" t="str">
        <f aca="false">IF((F6="b"),I6," ")</f>
        <v> </v>
      </c>
      <c r="R6" s="2" t="n">
        <f aca="false">IF((F6="c"),I6," ")</f>
        <v>2000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5600</v>
      </c>
      <c r="H1" s="14" t="n">
        <f aca="false">SUM(H5:H300)</f>
        <v>933.333333333333</v>
      </c>
      <c r="I1" s="14" t="n">
        <f aca="false">SUM(I5:I300)</f>
        <v>4666.66666666667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5600</v>
      </c>
      <c r="N1" s="18" t="n">
        <f aca="true">TODAY()</f>
        <v>46116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May!H2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45820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296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45828</v>
      </c>
      <c r="B6" s="2" t="s">
        <v>40</v>
      </c>
      <c r="F6" s="4" t="s">
        <v>41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288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n">
        <f aca="false">IF((F6="d"),I6," ")</f>
        <v>500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8200</v>
      </c>
      <c r="H1" s="14" t="n">
        <f aca="false">SUM(H5:H300)</f>
        <v>1366.66666666667</v>
      </c>
      <c r="I1" s="14" t="n">
        <f aca="false">SUM(I5:I300)</f>
        <v>6833.33333333333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8200</v>
      </c>
      <c r="N1" s="18" t="n">
        <f aca="true">TODAY()</f>
        <v>46116</v>
      </c>
      <c r="O1" s="19"/>
      <c r="P1" s="14" t="n">
        <f aca="false">SUM(P5:P300)</f>
        <v>5833.33333333333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45853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263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45866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250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9500</v>
      </c>
      <c r="H1" s="14" t="n">
        <f aca="false">SUM(H5:H300)</f>
        <v>1583.33333333333</v>
      </c>
      <c r="I1" s="14" t="n">
        <f aca="false">SUM(I5:I300)</f>
        <v>7916.66666666667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9500</v>
      </c>
      <c r="N1" s="18" t="n">
        <f aca="true">TODAY()</f>
        <v>46116</v>
      </c>
      <c r="O1" s="19"/>
      <c r="P1" s="14" t="n">
        <f aca="false">SUM(P5:P300)</f>
        <v>5833.33333333333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Jul!H2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45883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233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45889</v>
      </c>
      <c r="B6" s="2" t="s">
        <v>42</v>
      </c>
      <c r="F6" s="4" t="s">
        <v>43</v>
      </c>
      <c r="G6" s="2" t="n">
        <v>2500</v>
      </c>
      <c r="H6" s="2" t="n">
        <f aca="false">IF(H$4&gt;0,(IF(G6&lt;&gt;0,G6*H$4/100," ")),IF(G6&lt;&gt;0,G6*H$2/(100+H$2)," "))</f>
        <v>416.666666666667</v>
      </c>
      <c r="I6" s="2" t="n">
        <f aca="false">IF((G6&lt;&gt;0),G6-H6," ")</f>
        <v>2083.33333333333</v>
      </c>
      <c r="M6" s="7" t="n">
        <f aca="false">IF(G6&lt;&gt;0,G6-L6," ")</f>
        <v>2500</v>
      </c>
      <c r="N6" s="8" t="n">
        <f aca="false">IF((G6-L6)&lt;&gt;0,N$1-A6," ")</f>
        <v>227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n">
        <f aca="false">IF((F6="g"),I6," ")</f>
        <v>2083.33333333333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7000</v>
      </c>
      <c r="H1" s="14" t="n">
        <f aca="false">SUM(H5:H300)</f>
        <v>1166.66666666667</v>
      </c>
      <c r="I1" s="14" t="n">
        <f aca="false">SUM(I5:I300)</f>
        <v>5833.33333333333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7000</v>
      </c>
      <c r="N1" s="18" t="n">
        <f aca="true">TODAY()</f>
        <v>46116</v>
      </c>
      <c r="O1" s="19"/>
      <c r="P1" s="14" t="n">
        <f aca="false">SUM(P5:P300)</f>
        <v>5833.33333333333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Aug!H2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45915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201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8200</v>
      </c>
      <c r="H1" s="14" t="n">
        <f aca="false">SUM(H5:H300)</f>
        <v>1366.66666666667</v>
      </c>
      <c r="I1" s="14" t="n">
        <f aca="false">SUM(I5:I300)</f>
        <v>6833.33333333333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8200</v>
      </c>
      <c r="N1" s="18" t="n">
        <f aca="true">TODAY()</f>
        <v>46116</v>
      </c>
      <c r="O1" s="19"/>
      <c r="P1" s="14" t="n">
        <f aca="false">SUM(P5:P300)</f>
        <v>5833.33333333333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Sep!H2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V1+Sep!V2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45940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176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45952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164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6800</v>
      </c>
      <c r="H1" s="14" t="n">
        <f aca="false">SUM(H5:H300)</f>
        <v>1133.33333333333</v>
      </c>
      <c r="I1" s="14" t="n">
        <f aca="false">SUM(I5:I300)</f>
        <v>5666.66666666667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6800</v>
      </c>
      <c r="N1" s="18" t="n">
        <f aca="true">TODAY()</f>
        <v>46116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Oct!H2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V1+Oct!V2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45976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140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45989</v>
      </c>
      <c r="B6" s="2" t="s">
        <v>38</v>
      </c>
      <c r="F6" s="4" t="s">
        <v>39</v>
      </c>
      <c r="G6" s="2" t="n">
        <v>1800</v>
      </c>
      <c r="H6" s="2" t="n">
        <f aca="false">IF(H$4&gt;0,(IF(G6&lt;&gt;0,G6*H$4/100," ")),IF(G6&lt;&gt;0,G6*H$2/(100+H$2)," "))</f>
        <v>300</v>
      </c>
      <c r="I6" s="2" t="n">
        <f aca="false">IF((G6&lt;&gt;0),G6-H6," ")</f>
        <v>1500</v>
      </c>
      <c r="M6" s="7" t="n">
        <f aca="false">IF(G6&lt;&gt;0,G6-L6," ")</f>
        <v>1800</v>
      </c>
      <c r="N6" s="8" t="n">
        <f aca="false">IF((G6-L6)&lt;&gt;0,N$1-A6," ")</f>
        <v>127</v>
      </c>
      <c r="P6" s="2" t="str">
        <f aca="false">IF((F6="a"),I6," ")</f>
        <v> </v>
      </c>
      <c r="Q6" s="2" t="str">
        <f aca="false">IF((F6="b"),I6," ")</f>
        <v> </v>
      </c>
      <c r="R6" s="2" t="n">
        <f aca="false">IF((F6="c"),I6," ")</f>
        <v>1500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5000</v>
      </c>
      <c r="H1" s="14" t="n">
        <f aca="false">SUM(H5:H300)</f>
        <v>833.333333333333</v>
      </c>
      <c r="I1" s="14" t="n">
        <f aca="false">SUM(I5:I300)</f>
        <v>4166.66666666667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5000</v>
      </c>
      <c r="N1" s="18" t="n">
        <f aca="true">TODAY()</f>
        <v>46116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Nov!H2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V1+Nov!V2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46003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113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4200</v>
      </c>
      <c r="H1" s="14" t="n">
        <f aca="false">SUM(H5:H300)</f>
        <v>700</v>
      </c>
      <c r="I1" s="14" t="n">
        <f aca="false">SUM(I5:I300)</f>
        <v>3500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4200</v>
      </c>
      <c r="N1" s="18" t="n">
        <f aca="true">TODAY()</f>
        <v>46116</v>
      </c>
      <c r="O1" s="19"/>
      <c r="P1" s="14" t="n">
        <f aca="false">SUM(P5:P300)</f>
        <v>2500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Dec!H2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V1+Dec!V2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46037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79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46050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66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46116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Jan!H2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V1+Jan!V2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46068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48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1900</v>
      </c>
      <c r="H1" s="14" t="n">
        <f aca="false">SUM(H5:H300)</f>
        <v>316.666666666667</v>
      </c>
      <c r="I1" s="14" t="n">
        <f aca="false">SUM(I5:I300)</f>
        <v>1583.33333333333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1900</v>
      </c>
      <c r="N1" s="18" t="n">
        <f aca="true">TODAY()</f>
        <v>46116</v>
      </c>
      <c r="O1" s="19"/>
      <c r="P1" s="14" t="n">
        <f aca="false">SUM(P5:P300)</f>
        <v>1250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333.333333333333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Feb!H2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V1+Feb!V2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46096</v>
      </c>
      <c r="B5" s="2" t="s">
        <v>34</v>
      </c>
      <c r="F5" s="4" t="s">
        <v>35</v>
      </c>
      <c r="G5" s="2" t="n">
        <v>1500</v>
      </c>
      <c r="H5" s="2" t="n">
        <f aca="false">IF(H$4&gt;0,(IF(G5&lt;&gt;0,G5*H$4/100," ")),IF(G5&lt;&gt;0,G5*H$2/(100+H$2)," "))</f>
        <v>250</v>
      </c>
      <c r="I5" s="2" t="n">
        <f aca="false">IF((G5&lt;&gt;0),G5-H5," ")</f>
        <v>1250</v>
      </c>
      <c r="M5" s="7" t="n">
        <f aca="false">IF(G5&lt;&gt;0,G5-L5," ")</f>
        <v>1500</v>
      </c>
      <c r="N5" s="8" t="n">
        <f aca="false">IF((G5-L5)&lt;&gt;0,N$1-A5," ")</f>
        <v>20</v>
      </c>
      <c r="P5" s="2" t="n">
        <f aca="false">IF((F5="a"),I5," ")</f>
        <v>1250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46109</v>
      </c>
      <c r="B6" s="2" t="s">
        <v>44</v>
      </c>
      <c r="F6" s="4" t="s">
        <v>45</v>
      </c>
      <c r="G6" s="2" t="n">
        <v>400</v>
      </c>
      <c r="H6" s="2" t="n">
        <f aca="false">IF(H$4&gt;0,(IF(G6&lt;&gt;0,G6*H$4/100," ")),IF(G6&lt;&gt;0,G6*H$2/(100+H$2)," "))</f>
        <v>66.6666666666667</v>
      </c>
      <c r="I6" s="2" t="n">
        <f aca="false">IF((G6&lt;&gt;0),G6-H6," ")</f>
        <v>333.333333333333</v>
      </c>
      <c r="M6" s="7" t="n">
        <f aca="false">IF(G6&lt;&gt;0,G6-L6," ")</f>
        <v>400</v>
      </c>
      <c r="N6" s="8" t="n">
        <f aca="false">IF((G6-L6)&lt;&gt;0,N$1-A6," ")</f>
        <v>7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n">
        <f aca="false">IF((F6="o"),I6," ")</f>
        <v>333.333333333333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