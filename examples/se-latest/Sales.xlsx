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<sst xmlns="http://schemas.openxmlformats.org/spreadsheetml/2006/main" count="672" uniqueCount="69">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</sst>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46262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46262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46262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46262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46262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512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510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507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505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500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497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495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487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46262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482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480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477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475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473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470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469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467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460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46262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449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446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439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436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432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46262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423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419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416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410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409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406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396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46262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392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381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378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375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373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368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46262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359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347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346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342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340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337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46262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331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329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327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322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322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318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317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314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312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304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46262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298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296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289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286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283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281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276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46262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268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266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263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256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253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251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249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46262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239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237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235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226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225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222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215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212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46262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206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199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189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189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46262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166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163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159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150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10400</v>
      </c>
      <c r="H1" s="14" t="n">
        <f aca="false">SUM(H5:H300)</f>
        <v>1733.33333333333</v>
      </c>
      <c r="I1" s="14" t="n">
        <f aca="false">SUM(I5:I300)</f>
        <v>8666.66666666667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10400</v>
      </c>
      <c r="N1" s="18" t="n">
        <f aca="true">TODAY()</f>
        <v>46262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G5" s="2" t="n">
        <v>8000</v>
      </c>
      <c r="H5" s="2" t="n">
        <f aca="false">IF(H$4&gt;0,(IF(G5&lt;&gt;0,G5*H$4/100," ")),IF(G5&lt;&gt;0,G5*H$2/(100+H$2)," "))</f>
        <v>1333.33333333333</v>
      </c>
      <c r="I5" s="2" t="n">
        <f aca="false">IF((G5&lt;&gt;0),G5-H5," ")</f>
        <v>6666.66666666667</v>
      </c>
      <c r="M5" s="7" t="n">
        <f aca="false">IF(G5&lt;&gt;0,G5-L5," ")</f>
        <v>8000</v>
      </c>
      <c r="N5" s="8" t="n">
        <f aca="false">IF((G5-L5)&lt;&gt;0,N$1-A5," ")</f>
        <v>46262</v>
      </c>
    </row>
    <row r="6" customFormat="false" ht="12.75" hidden="false" customHeight="true" outlineLevel="0" collapsed="false">
      <c r="B6" s="2" t="s">
        <v>46</v>
      </c>
      <c r="C6" s="3" t="s">
        <v>68</v>
      </c>
      <c r="G6" s="2" t="n">
        <v>2400</v>
      </c>
      <c r="H6" s="2" t="n">
        <f aca="false">IF(H$4&gt;0,(IF(G6&lt;&gt;0,G6*H$4/100," ")),IF(G6&lt;&gt;0,G6*H$2/(100+H$2)," "))</f>
        <v>400</v>
      </c>
      <c r="I6" s="2" t="n">
        <f aca="false">IF((G6&lt;&gt;0),G6-H6," ")</f>
        <v>2000</v>
      </c>
      <c r="M6" s="7" t="n">
        <f aca="false">IF(G6&lt;&gt;0,G6-L6," ")</f>
        <v>2400</v>
      </c>
      <c r="N6" s="8" t="n">
        <f aca="false">IF((G6-L6)&lt;&gt;0,N$1-A6," ")</f>
        <v>46262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