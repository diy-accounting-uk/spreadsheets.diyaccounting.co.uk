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<sst xmlns="http://schemas.openxmlformats.org/spreadsheetml/2006/main" count="898" uniqueCount="186">
  <si>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</si>
  <si>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</si>
  <si>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</si>
  <si>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</si>
  <si>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</si>
  <si>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</si>
  <si>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</si>
  <si>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</si>
  <si>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</si>
  <si>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</si>
  <si>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</si>
  <si>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</si>
  <si>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</si>
  <si>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</si>
  <si>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</si>
  <si>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</si>
  <si>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</si>
  <si>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</si>
  <si>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</si>
  <si>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</si>
  <si>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</si>
  <si>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</si>
  <si>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</si>
  <si>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</si>
  <si>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</si>
  <si>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</si>
  <si>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</si>
  <si>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</si>
  <si>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</si>
  <si>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</si>
  <si>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</si>
  <si>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</si>
  <si>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</si>
  <si>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</si>
  <si>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</si>
  <si>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</si>
  <si>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</si>
  <si>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</si>
  <si>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</si>
  <si>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</si>
  <si>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INV-1301</t>
  </si>
  <si>
    <t xml:space="preserve">b</t>
  </si>
  <si>
    <t xml:space="preserve">4001</t>
  </si>
  <si>
    <t xml:space="preserve">FreshField Ltd</t>
  </si>
  <si>
    <t xml:space="preserve">INV-2601</t>
  </si>
  <si>
    <t xml:space="preserve">CloudNine Ltd</t>
  </si>
  <si>
    <t xml:space="preserve">INV-1401</t>
  </si>
  <si>
    <t xml:space="preserve">Cedar Systems</t>
  </si>
  <si>
    <t xml:space="preserve">INV-2401</t>
  </si>
  <si>
    <t xml:space="preserve">a</t>
  </si>
  <si>
    <t xml:space="preserve">4000</t>
  </si>
  <si>
    <t xml:space="preserve">Pinnacle Group</t>
  </si>
  <si>
    <t xml:space="preserve">INV-2201</t>
  </si>
  <si>
    <t xml:space="preserve">INV-1001</t>
  </si>
  <si>
    <t xml:space="preserve">TechStart Ltd</t>
  </si>
  <si>
    <t xml:space="preserve">INV-1101</t>
  </si>
  <si>
    <t xml:space="preserve">DataFlow Inc</t>
  </si>
  <si>
    <t xml:space="preserve">INV-1201</t>
  </si>
  <si>
    <t xml:space="preserve">Horizon Analytics</t>
  </si>
  <si>
    <t xml:space="preserve">INV-2701</t>
  </si>
  <si>
    <t xml:space="preserve">d</t>
  </si>
  <si>
    <t xml:space="preserve">4003</t>
  </si>
  <si>
    <t xml:space="preserve">INV-2602</t>
  </si>
  <si>
    <t xml:space="preserve">INV-1402</t>
  </si>
  <si>
    <t xml:space="preserve">INV-2402</t>
  </si>
  <si>
    <t xml:space="preserve">INV-2202</t>
  </si>
  <si>
    <t xml:space="preserve">QuickFix IT</t>
  </si>
  <si>
    <t xml:space="preserve">INV-2001</t>
  </si>
  <si>
    <t xml:space="preserve">INV-1002</t>
  </si>
  <si>
    <t xml:space="preserve">Summit Training</t>
  </si>
  <si>
    <t xml:space="preserve">INV-2801</t>
  </si>
  <si>
    <t xml:space="preserve">c</t>
  </si>
  <si>
    <t xml:space="preserve">4002</t>
  </si>
  <si>
    <t xml:space="preserve">INV-1102</t>
  </si>
  <si>
    <t xml:space="preserve">Oakridge Partners</t>
  </si>
  <si>
    <t xml:space="preserve">INV-2501</t>
  </si>
  <si>
    <t xml:space="preserve">INV-2603</t>
  </si>
  <si>
    <t xml:space="preserve">INV-1403</t>
  </si>
  <si>
    <t xml:space="preserve">INV-2403</t>
  </si>
  <si>
    <t xml:space="preserve">INV-2203</t>
  </si>
  <si>
    <t xml:space="preserve">INV-1003</t>
  </si>
  <si>
    <t xml:space="preserve">INV-1103</t>
  </si>
  <si>
    <t xml:space="preserve">INV-1202</t>
  </si>
  <si>
    <t xml:space="preserve">INV-1501</t>
  </si>
  <si>
    <t xml:space="preserve">WidgetWorks</t>
  </si>
  <si>
    <t xml:space="preserve">INV-2101</t>
  </si>
  <si>
    <t xml:space="preserve">INV-1302</t>
  </si>
  <si>
    <t xml:space="preserve">INV-2604</t>
  </si>
  <si>
    <t xml:space="preserve">INV-1404</t>
  </si>
  <si>
    <t xml:space="preserve">INV-2404</t>
  </si>
  <si>
    <t xml:space="preserve">INV-2204</t>
  </si>
  <si>
    <t xml:space="preserve">NorthStar Digital</t>
  </si>
  <si>
    <t xml:space="preserve">INV-2301</t>
  </si>
  <si>
    <t xml:space="preserve">INV-1004</t>
  </si>
  <si>
    <t xml:space="preserve">INV-1104</t>
  </si>
  <si>
    <t xml:space="preserve">INV-2702</t>
  </si>
  <si>
    <t xml:space="preserve">Innovate UK</t>
  </si>
  <si>
    <t xml:space="preserve">INV-1701</t>
  </si>
  <si>
    <t xml:space="preserve">g</t>
  </si>
  <si>
    <t xml:space="preserve">4004</t>
  </si>
  <si>
    <t xml:space="preserve">INV-2605</t>
  </si>
  <si>
    <t xml:space="preserve">INV-1405</t>
  </si>
  <si>
    <t xml:space="preserve">INV-2405</t>
  </si>
  <si>
    <t xml:space="preserve">INV-2205</t>
  </si>
  <si>
    <t xml:space="preserve">INV-2002</t>
  </si>
  <si>
    <t xml:space="preserve">INV-1005</t>
  </si>
  <si>
    <t xml:space="preserve">INV-1105</t>
  </si>
  <si>
    <t xml:space="preserve">INV-1203</t>
  </si>
  <si>
    <t xml:space="preserve">INV-2502</t>
  </si>
  <si>
    <t xml:space="preserve">INV-2606</t>
  </si>
  <si>
    <t xml:space="preserve">INV-1406</t>
  </si>
  <si>
    <t xml:space="preserve">INV-2406</t>
  </si>
  <si>
    <t xml:space="preserve">INV-2206</t>
  </si>
  <si>
    <t xml:space="preserve">INV-1006</t>
  </si>
  <si>
    <t xml:space="preserve">INV-2802</t>
  </si>
  <si>
    <t xml:space="preserve">INV-1106</t>
  </si>
  <si>
    <t xml:space="preserve">StartupHub</t>
  </si>
  <si>
    <t xml:space="preserve">INV-1504</t>
  </si>
  <si>
    <t xml:space="preserve">INV-2102</t>
  </si>
  <si>
    <t xml:space="preserve">Epsilon Partners</t>
  </si>
  <si>
    <t xml:space="preserve">INV-1601</t>
  </si>
  <si>
    <t xml:space="preserve">INV-1303</t>
  </si>
  <si>
    <t xml:space="preserve">INV-2607</t>
  </si>
  <si>
    <t xml:space="preserve">INV-1407</t>
  </si>
  <si>
    <t xml:space="preserve">INV-2407</t>
  </si>
  <si>
    <t xml:space="preserve">Private buyer</t>
  </si>
  <si>
    <t xml:space="preserve">INV-1901</t>
  </si>
  <si>
    <t xml:space="preserve">fs</t>
  </si>
  <si>
    <t xml:space="preserve">4006</t>
  </si>
  <si>
    <t xml:space="preserve">INV-2207</t>
  </si>
  <si>
    <t xml:space="preserve">INV-2302</t>
  </si>
  <si>
    <t xml:space="preserve">INV-1007</t>
  </si>
  <si>
    <t xml:space="preserve">INV-1107</t>
  </si>
  <si>
    <t xml:space="preserve">INV-1204</t>
  </si>
  <si>
    <t xml:space="preserve">INV-2703</t>
  </si>
  <si>
    <t xml:space="preserve">INV-2608</t>
  </si>
  <si>
    <t xml:space="preserve">INV-1408</t>
  </si>
  <si>
    <t xml:space="preserve">INV-2408</t>
  </si>
  <si>
    <t xml:space="preserve">INV-2208</t>
  </si>
  <si>
    <t xml:space="preserve">INV-2003</t>
  </si>
  <si>
    <t xml:space="preserve">INV-1008</t>
  </si>
  <si>
    <t xml:space="preserve">INV-1108</t>
  </si>
  <si>
    <t xml:space="preserve">Delta PLC</t>
  </si>
  <si>
    <t xml:space="preserve">INV-1502</t>
  </si>
  <si>
    <t xml:space="preserve">INV-2503</t>
  </si>
  <si>
    <t xml:space="preserve">INV-2609</t>
  </si>
  <si>
    <t xml:space="preserve">INV-1409</t>
  </si>
  <si>
    <t xml:space="preserve">INV-2409</t>
  </si>
  <si>
    <t xml:space="preserve">INV-2209</t>
  </si>
  <si>
    <t xml:space="preserve">INV-1009</t>
  </si>
  <si>
    <t xml:space="preserve">INV-1109</t>
  </si>
  <si>
    <t xml:space="preserve">INV-1205</t>
  </si>
  <si>
    <t xml:space="preserve">INV-2103</t>
  </si>
  <si>
    <t xml:space="preserve">INV-1304</t>
  </si>
  <si>
    <t xml:space="preserve">INV-2610</t>
  </si>
  <si>
    <t xml:space="preserve">INV-1410</t>
  </si>
  <si>
    <t xml:space="preserve">INV-2410</t>
  </si>
  <si>
    <t xml:space="preserve">INV-2210</t>
  </si>
  <si>
    <t xml:space="preserve">INV-2303</t>
  </si>
  <si>
    <t xml:space="preserve">INV-1010</t>
  </si>
  <si>
    <t xml:space="preserve">INV-2803</t>
  </si>
  <si>
    <t xml:space="preserve">INV-1110</t>
  </si>
  <si>
    <t xml:space="preserve">Lambda Corp</t>
  </si>
  <si>
    <t xml:space="preserve">INV-1602</t>
  </si>
  <si>
    <t xml:space="preserve">INV-2704</t>
  </si>
  <si>
    <t xml:space="preserve">INV-2611</t>
  </si>
  <si>
    <t xml:space="preserve">INV-1411</t>
  </si>
  <si>
    <t xml:space="preserve">INV-2411</t>
  </si>
  <si>
    <t xml:space="preserve">INV-2211</t>
  </si>
  <si>
    <t xml:space="preserve">INV-1011</t>
  </si>
  <si>
    <t xml:space="preserve">INV-1111</t>
  </si>
  <si>
    <t xml:space="preserve">INV-1206</t>
  </si>
  <si>
    <t xml:space="preserve">MegaCorp</t>
  </si>
  <si>
    <t xml:space="preserve">INV-1503</t>
  </si>
  <si>
    <t xml:space="preserve">INV-2504</t>
  </si>
  <si>
    <t xml:space="preserve">INV-2612</t>
  </si>
  <si>
    <t xml:space="preserve">INV-1412</t>
  </si>
  <si>
    <t xml:space="preserve">INV-2412</t>
  </si>
  <si>
    <t xml:space="preserve">INV-2212</t>
  </si>
  <si>
    <t xml:space="preserve">INV-1012</t>
  </si>
  <si>
    <t xml:space="preserve">INV-1112</t>
  </si>
  <si>
    <t xml:space="preserve">INV-2104</t>
  </si>
  <si>
    <t xml:space="preserve">Zeta Corp</t>
  </si>
  <si>
    <t xml:space="preserve">CN-1801</t>
  </si>
  <si>
    <t xml:space="preserve">o</t>
  </si>
  <si>
    <t xml:space="preserve">4005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</si>
</sst>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10800</v>
      </c>
      <c r="H1" s="14" t="n">
        <f aca="false">SUM(H5:H300)</f>
        <v>1800</v>
      </c>
      <c r="I1" s="14" t="n">
        <f aca="false">SUM(I5:I300)</f>
        <v>9000</v>
      </c>
      <c r="J1" s="15"/>
      <c r="K1" s="16" t="s">
        <v>4</v>
      </c>
      <c r="L1" s="17" t="n">
        <f aca="false">SUM(L5:L300)</f>
        <v>0</v>
      </c>
      <c r="M1" s="17" t="n">
        <f aca="false">SUM(M5:M300)</f>
        <v>10800</v>
      </c>
      <c r="N1" s="18" t="n">
        <f aca="true">TODAY()</f>
        <v>46264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G5" s="2" t="n">
        <v>7200</v>
      </c>
      <c r="H5" s="2" t="n">
        <f aca="false">IF(H$4&gt;0,(IF(G5&lt;&gt;0,G5*H$4/100," ")),IF(G5&lt;&gt;0,G5*H$2/(100+H$2)," "))</f>
        <v>1200</v>
      </c>
      <c r="I5" s="2" t="n">
        <f aca="false">IF((G5&lt;&gt;0),G5-H5," ")</f>
        <v>6000</v>
      </c>
      <c r="M5" s="7" t="n">
        <f aca="false">IF(G5&lt;&gt;0,G5-L5," ")</f>
        <v>7200</v>
      </c>
      <c r="N5" s="8" t="n">
        <f aca="false">IF((G5-L5)&lt;&gt;0,N$1-A5," ")</f>
        <v>46264</v>
      </c>
    </row>
    <row r="6" customFormat="false" ht="12.75" hidden="false" customHeight="true" outlineLevel="0" collapsed="false">
      <c r="B6" s="2" t="s">
        <v>17</v>
      </c>
      <c r="C6" s="3" t="s">
        <v>18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46264</v>
      </c>
    </row>
    <row r="7" customFormat="false" ht="12" hidden="false" customHeight="false" outlineLevel="0" collapsed="false">
      <c r="B7" s="2" t="s">
        <v>19</v>
      </c>
      <c r="C7" s="3" t="s">
        <v>20</v>
      </c>
      <c r="G7" s="2" t="n">
        <v>2400</v>
      </c>
      <c r="H7" s="2" t="n">
        <f aca="false">IF(H$4&gt;0,(IF(G7&lt;&gt;0,G7*H$4/100," ")),IF(G7&lt;&gt;0,G7*H$2/(100+H$2)," "))</f>
        <v>400</v>
      </c>
      <c r="I7" s="2" t="n">
        <f aca="false">IF((G7&lt;&gt;0),G7-H7," ")</f>
        <v>2000</v>
      </c>
      <c r="M7" s="7" t="n">
        <f aca="false">IF(G7&lt;&gt;0,G7-L7," ")</f>
        <v>2400</v>
      </c>
      <c r="N7" s="8" t="n">
        <f aca="false">IF((G7-L7)&lt;&gt;0,N$1-A7," ")</f>
        <v>46264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46264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C5" s="3" t="s">
        <v>40</v>
      </c>
      <c r="F5" s="4" t="s">
        <v>41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516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42</v>
      </c>
    </row>
    <row r="6" customFormat="false" ht="12.75" hidden="false" customHeight="true" outlineLevel="0" collapsed="false">
      <c r="A6" s="1" t="n">
        <v>45750</v>
      </c>
      <c r="B6" s="2" t="s">
        <v>43</v>
      </c>
      <c r="C6" s="3" t="s">
        <v>44</v>
      </c>
      <c r="F6" s="4" t="s">
        <v>41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514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42</v>
      </c>
    </row>
    <row r="7" customFormat="false" ht="12" hidden="false" customHeight="false" outlineLevel="0" collapsed="false">
      <c r="A7" s="1" t="n">
        <v>45752</v>
      </c>
      <c r="B7" s="2" t="s">
        <v>45</v>
      </c>
      <c r="C7" s="3" t="s">
        <v>46</v>
      </c>
      <c r="F7" s="4" t="s">
        <v>41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512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42</v>
      </c>
    </row>
    <row r="8" customFormat="false" ht="12" hidden="false" customHeight="false" outlineLevel="0" collapsed="false">
      <c r="A8" s="1" t="n">
        <v>45755</v>
      </c>
      <c r="B8" s="2" t="s">
        <v>47</v>
      </c>
      <c r="C8" s="3" t="s">
        <v>48</v>
      </c>
      <c r="F8" s="4" t="s">
        <v>49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509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50</v>
      </c>
    </row>
    <row r="9" customFormat="false" ht="12" hidden="false" customHeight="false" outlineLevel="0" collapsed="false">
      <c r="A9" s="1" t="n">
        <v>45757</v>
      </c>
      <c r="B9" s="2" t="s">
        <v>51</v>
      </c>
      <c r="C9" s="3" t="s">
        <v>52</v>
      </c>
      <c r="F9" s="4" t="s">
        <v>49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507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50</v>
      </c>
    </row>
    <row r="10" customFormat="false" ht="12" hidden="false" customHeight="false" outlineLevel="0" collapsed="false">
      <c r="A10" s="1" t="n">
        <v>45762</v>
      </c>
      <c r="B10" s="2" t="s">
        <v>15</v>
      </c>
      <c r="C10" s="3" t="s">
        <v>53</v>
      </c>
      <c r="F10" s="4" t="s">
        <v>49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502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50</v>
      </c>
    </row>
    <row r="11" customFormat="false" ht="12" hidden="false" customHeight="false" outlineLevel="0" collapsed="false">
      <c r="A11" s="1" t="n">
        <v>45765</v>
      </c>
      <c r="B11" s="2" t="s">
        <v>54</v>
      </c>
      <c r="C11" s="3" t="s">
        <v>55</v>
      </c>
      <c r="F11" s="4" t="s">
        <v>49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499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50</v>
      </c>
    </row>
    <row r="12" customFormat="false" ht="12" hidden="false" customHeight="false" outlineLevel="0" collapsed="false">
      <c r="A12" s="1" t="n">
        <v>45767</v>
      </c>
      <c r="B12" s="2" t="s">
        <v>56</v>
      </c>
      <c r="C12" s="3" t="s">
        <v>57</v>
      </c>
      <c r="F12" s="4" t="s">
        <v>49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497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50</v>
      </c>
    </row>
    <row r="13" customFormat="false" ht="12" hidden="false" customHeight="false" outlineLevel="0" collapsed="false">
      <c r="A13" s="1" t="n">
        <v>45775</v>
      </c>
      <c r="B13" s="2" t="s">
        <v>58</v>
      </c>
      <c r="C13" s="3" t="s">
        <v>59</v>
      </c>
      <c r="F13" s="4" t="s">
        <v>60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489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61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46264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43</v>
      </c>
      <c r="C5" s="3" t="s">
        <v>62</v>
      </c>
      <c r="F5" s="4" t="s">
        <v>41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484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42</v>
      </c>
    </row>
    <row r="6" customFormat="false" ht="12.75" hidden="false" customHeight="true" outlineLevel="0" collapsed="false">
      <c r="A6" s="1" t="n">
        <v>45782</v>
      </c>
      <c r="B6" s="2" t="s">
        <v>45</v>
      </c>
      <c r="C6" s="3" t="s">
        <v>63</v>
      </c>
      <c r="F6" s="4" t="s">
        <v>41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482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42</v>
      </c>
    </row>
    <row r="7" customFormat="false" ht="12" hidden="false" customHeight="false" outlineLevel="0" collapsed="false">
      <c r="A7" s="1" t="n">
        <v>45785</v>
      </c>
      <c r="B7" s="2" t="s">
        <v>47</v>
      </c>
      <c r="C7" s="3" t="s">
        <v>64</v>
      </c>
      <c r="F7" s="4" t="s">
        <v>49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479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50</v>
      </c>
    </row>
    <row r="8" customFormat="false" ht="12" hidden="false" customHeight="false" outlineLevel="0" collapsed="false">
      <c r="A8" s="1" t="n">
        <v>45787</v>
      </c>
      <c r="B8" s="2" t="s">
        <v>51</v>
      </c>
      <c r="C8" s="3" t="s">
        <v>65</v>
      </c>
      <c r="F8" s="4" t="s">
        <v>49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477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50</v>
      </c>
    </row>
    <row r="9" customFormat="false" ht="12" hidden="false" customHeight="false" outlineLevel="0" collapsed="false">
      <c r="A9" s="1" t="n">
        <v>45789</v>
      </c>
      <c r="B9" s="2" t="s">
        <v>66</v>
      </c>
      <c r="C9" s="3" t="s">
        <v>67</v>
      </c>
      <c r="F9" s="4" t="s">
        <v>49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475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50</v>
      </c>
    </row>
    <row r="10" customFormat="false" ht="12" hidden="false" customHeight="false" outlineLevel="0" collapsed="false">
      <c r="A10" s="1" t="n">
        <v>45792</v>
      </c>
      <c r="B10" s="2" t="s">
        <v>15</v>
      </c>
      <c r="C10" s="3" t="s">
        <v>68</v>
      </c>
      <c r="F10" s="4" t="s">
        <v>49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472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50</v>
      </c>
    </row>
    <row r="11" customFormat="false" ht="12" hidden="false" customHeight="false" outlineLevel="0" collapsed="false">
      <c r="A11" s="1" t="n">
        <v>45793</v>
      </c>
      <c r="B11" s="2" t="s">
        <v>69</v>
      </c>
      <c r="C11" s="3" t="s">
        <v>70</v>
      </c>
      <c r="F11" s="4" t="s">
        <v>71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471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72</v>
      </c>
    </row>
    <row r="12" customFormat="false" ht="12" hidden="false" customHeight="false" outlineLevel="0" collapsed="false">
      <c r="A12" s="1" t="n">
        <v>45795</v>
      </c>
      <c r="B12" s="2" t="s">
        <v>54</v>
      </c>
      <c r="C12" s="3" t="s">
        <v>73</v>
      </c>
      <c r="F12" s="4" t="s">
        <v>49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469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50</v>
      </c>
    </row>
    <row r="13" customFormat="false" ht="12" hidden="false" customHeight="false" outlineLevel="0" collapsed="false">
      <c r="A13" s="1" t="n">
        <v>45802</v>
      </c>
      <c r="B13" s="2" t="s">
        <v>74</v>
      </c>
      <c r="C13" s="3" t="s">
        <v>75</v>
      </c>
      <c r="F13" s="4" t="s">
        <v>49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462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50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46264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43</v>
      </c>
      <c r="C5" s="3" t="s">
        <v>76</v>
      </c>
      <c r="F5" s="4" t="s">
        <v>41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453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42</v>
      </c>
    </row>
    <row r="6" customFormat="false" ht="12.75" hidden="false" customHeight="true" outlineLevel="0" collapsed="false">
      <c r="A6" s="1" t="n">
        <v>45813</v>
      </c>
      <c r="B6" s="2" t="s">
        <v>45</v>
      </c>
      <c r="C6" s="3" t="s">
        <v>77</v>
      </c>
      <c r="F6" s="4" t="s">
        <v>41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451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42</v>
      </c>
    </row>
    <row r="7" customFormat="false" ht="12" hidden="false" customHeight="false" outlineLevel="0" collapsed="false">
      <c r="A7" s="1" t="n">
        <v>45816</v>
      </c>
      <c r="B7" s="2" t="s">
        <v>47</v>
      </c>
      <c r="C7" s="3" t="s">
        <v>78</v>
      </c>
      <c r="F7" s="4" t="s">
        <v>49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448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50</v>
      </c>
    </row>
    <row r="8" customFormat="false" ht="12" hidden="false" customHeight="false" outlineLevel="0" collapsed="false">
      <c r="A8" s="1" t="n">
        <v>45818</v>
      </c>
      <c r="B8" s="2" t="s">
        <v>51</v>
      </c>
      <c r="C8" s="3" t="s">
        <v>79</v>
      </c>
      <c r="F8" s="4" t="s">
        <v>49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446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50</v>
      </c>
    </row>
    <row r="9" customFormat="false" ht="12" hidden="false" customHeight="false" outlineLevel="0" collapsed="false">
      <c r="A9" s="1" t="n">
        <v>45823</v>
      </c>
      <c r="B9" s="2" t="s">
        <v>15</v>
      </c>
      <c r="C9" s="3" t="s">
        <v>80</v>
      </c>
      <c r="F9" s="4" t="s">
        <v>49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441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50</v>
      </c>
    </row>
    <row r="10" customFormat="false" ht="12" hidden="false" customHeight="false" outlineLevel="0" collapsed="false">
      <c r="A10" s="1" t="n">
        <v>45826</v>
      </c>
      <c r="B10" s="2" t="s">
        <v>54</v>
      </c>
      <c r="C10" s="3" t="s">
        <v>81</v>
      </c>
      <c r="F10" s="4" t="s">
        <v>49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438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50</v>
      </c>
    </row>
    <row r="11" customFormat="false" ht="12" hidden="false" customHeight="false" outlineLevel="0" collapsed="false">
      <c r="A11" s="1" t="n">
        <v>45828</v>
      </c>
      <c r="B11" s="2" t="s">
        <v>56</v>
      </c>
      <c r="C11" s="3" t="s">
        <v>82</v>
      </c>
      <c r="F11" s="4" t="s">
        <v>49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436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50</v>
      </c>
    </row>
    <row r="12" customFormat="false" ht="12" hidden="false" customHeight="false" outlineLevel="0" collapsed="false">
      <c r="A12" s="1" t="n">
        <v>45828</v>
      </c>
      <c r="B12" s="2" t="s">
        <v>19</v>
      </c>
      <c r="C12" s="3" t="s">
        <v>83</v>
      </c>
      <c r="F12" s="4" t="s">
        <v>71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436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72</v>
      </c>
    </row>
    <row r="13" customFormat="false" ht="12" hidden="false" customHeight="false" outlineLevel="0" collapsed="false">
      <c r="A13" s="1" t="n">
        <v>45830</v>
      </c>
      <c r="B13" s="2" t="s">
        <v>84</v>
      </c>
      <c r="C13" s="3" t="s">
        <v>85</v>
      </c>
      <c r="F13" s="4" t="s">
        <v>49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434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50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46264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C5" s="3" t="s">
        <v>86</v>
      </c>
      <c r="F5" s="4" t="s">
        <v>41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425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42</v>
      </c>
    </row>
    <row r="6" customFormat="false" ht="12.75" hidden="false" customHeight="true" outlineLevel="0" collapsed="false">
      <c r="A6" s="1" t="n">
        <v>45841</v>
      </c>
      <c r="B6" s="2" t="s">
        <v>43</v>
      </c>
      <c r="C6" s="3" t="s">
        <v>87</v>
      </c>
      <c r="F6" s="4" t="s">
        <v>41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423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42</v>
      </c>
    </row>
    <row r="7" customFormat="false" ht="12" hidden="false" customHeight="false" outlineLevel="0" collapsed="false">
      <c r="A7" s="1" t="n">
        <v>45843</v>
      </c>
      <c r="B7" s="2" t="s">
        <v>45</v>
      </c>
      <c r="C7" s="3" t="s">
        <v>88</v>
      </c>
      <c r="F7" s="4" t="s">
        <v>41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421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42</v>
      </c>
    </row>
    <row r="8" customFormat="false" ht="12" hidden="false" customHeight="false" outlineLevel="0" collapsed="false">
      <c r="A8" s="1" t="n">
        <v>45846</v>
      </c>
      <c r="B8" s="2" t="s">
        <v>47</v>
      </c>
      <c r="C8" s="3" t="s">
        <v>89</v>
      </c>
      <c r="F8" s="4" t="s">
        <v>49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418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50</v>
      </c>
    </row>
    <row r="9" customFormat="false" ht="12" hidden="false" customHeight="false" outlineLevel="0" collapsed="false">
      <c r="A9" s="1" t="n">
        <v>45848</v>
      </c>
      <c r="B9" s="2" t="s">
        <v>51</v>
      </c>
      <c r="C9" s="3" t="s">
        <v>90</v>
      </c>
      <c r="F9" s="4" t="s">
        <v>49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416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50</v>
      </c>
    </row>
    <row r="10" customFormat="false" ht="12" hidden="false" customHeight="false" outlineLevel="0" collapsed="false">
      <c r="A10" s="1" t="n">
        <v>45852</v>
      </c>
      <c r="B10" s="2" t="s">
        <v>91</v>
      </c>
      <c r="C10" s="3" t="s">
        <v>92</v>
      </c>
      <c r="F10" s="4" t="s">
        <v>49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412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50</v>
      </c>
    </row>
    <row r="11" customFormat="false" ht="12" hidden="false" customHeight="false" outlineLevel="0" collapsed="false">
      <c r="A11" s="1" t="n">
        <v>45853</v>
      </c>
      <c r="B11" s="2" t="s">
        <v>15</v>
      </c>
      <c r="C11" s="3" t="s">
        <v>93</v>
      </c>
      <c r="F11" s="4" t="s">
        <v>49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411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50</v>
      </c>
    </row>
    <row r="12" customFormat="false" ht="12" hidden="false" customHeight="false" outlineLevel="0" collapsed="false">
      <c r="A12" s="1" t="n">
        <v>45856</v>
      </c>
      <c r="B12" s="2" t="s">
        <v>54</v>
      </c>
      <c r="C12" s="3" t="s">
        <v>94</v>
      </c>
      <c r="F12" s="4" t="s">
        <v>49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408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50</v>
      </c>
    </row>
    <row r="13" customFormat="false" ht="12" hidden="false" customHeight="false" outlineLevel="0" collapsed="false">
      <c r="A13" s="1" t="n">
        <v>45866</v>
      </c>
      <c r="B13" s="2" t="s">
        <v>58</v>
      </c>
      <c r="C13" s="3" t="s">
        <v>95</v>
      </c>
      <c r="F13" s="4" t="s">
        <v>60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398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61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46264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96</v>
      </c>
      <c r="C5" s="3" t="s">
        <v>97</v>
      </c>
      <c r="F5" s="4" t="s">
        <v>98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394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  <c r="BZ5" s="2" t="s">
        <v>99</v>
      </c>
    </row>
    <row r="6" customFormat="false" ht="12.75" hidden="false" customHeight="true" outlineLevel="0" collapsed="false">
      <c r="A6" s="1" t="n">
        <v>45872</v>
      </c>
      <c r="B6" s="2" t="s">
        <v>43</v>
      </c>
      <c r="C6" s="3" t="s">
        <v>100</v>
      </c>
      <c r="F6" s="4" t="s">
        <v>41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392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42</v>
      </c>
    </row>
    <row r="7" customFormat="false" ht="12" hidden="false" customHeight="false" outlineLevel="0" collapsed="false">
      <c r="A7" s="1" t="n">
        <v>45874</v>
      </c>
      <c r="B7" s="2" t="s">
        <v>45</v>
      </c>
      <c r="C7" s="3" t="s">
        <v>101</v>
      </c>
      <c r="F7" s="4" t="s">
        <v>41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390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42</v>
      </c>
    </row>
    <row r="8" customFormat="false" ht="12" hidden="false" customHeight="false" outlineLevel="0" collapsed="false">
      <c r="A8" s="1" t="n">
        <v>45877</v>
      </c>
      <c r="B8" s="2" t="s">
        <v>47</v>
      </c>
      <c r="C8" s="3" t="s">
        <v>102</v>
      </c>
      <c r="F8" s="4" t="s">
        <v>49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387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50</v>
      </c>
    </row>
    <row r="9" customFormat="false" ht="12" hidden="false" customHeight="false" outlineLevel="0" collapsed="false">
      <c r="A9" s="1" t="n">
        <v>45879</v>
      </c>
      <c r="B9" s="2" t="s">
        <v>51</v>
      </c>
      <c r="C9" s="3" t="s">
        <v>103</v>
      </c>
      <c r="F9" s="4" t="s">
        <v>49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385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50</v>
      </c>
    </row>
    <row r="10" customFormat="false" ht="12" hidden="false" customHeight="false" outlineLevel="0" collapsed="false">
      <c r="A10" s="1" t="n">
        <v>45881</v>
      </c>
      <c r="B10" s="2" t="s">
        <v>66</v>
      </c>
      <c r="C10" s="3" t="s">
        <v>104</v>
      </c>
      <c r="F10" s="4" t="s">
        <v>49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383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50</v>
      </c>
    </row>
    <row r="11" customFormat="false" ht="12" hidden="false" customHeight="false" outlineLevel="0" collapsed="false">
      <c r="A11" s="1" t="n">
        <v>45884</v>
      </c>
      <c r="B11" s="2" t="s">
        <v>15</v>
      </c>
      <c r="C11" s="3" t="s">
        <v>105</v>
      </c>
      <c r="F11" s="4" t="s">
        <v>49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380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50</v>
      </c>
    </row>
    <row r="12" customFormat="false" ht="12" hidden="false" customHeight="false" outlineLevel="0" collapsed="false">
      <c r="A12" s="1" t="n">
        <v>45887</v>
      </c>
      <c r="B12" s="2" t="s">
        <v>54</v>
      </c>
      <c r="C12" s="3" t="s">
        <v>106</v>
      </c>
      <c r="F12" s="4" t="s">
        <v>49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377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50</v>
      </c>
    </row>
    <row r="13" customFormat="false" ht="12" hidden="false" customHeight="false" outlineLevel="0" collapsed="false">
      <c r="A13" s="1" t="n">
        <v>45889</v>
      </c>
      <c r="B13" s="2" t="s">
        <v>56</v>
      </c>
      <c r="C13" s="3" t="s">
        <v>107</v>
      </c>
      <c r="F13" s="4" t="s">
        <v>49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375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50</v>
      </c>
    </row>
    <row r="14" customFormat="false" ht="12" hidden="false" customHeight="false" outlineLevel="0" collapsed="false">
      <c r="A14" s="1" t="n">
        <v>45894</v>
      </c>
      <c r="B14" s="2" t="s">
        <v>74</v>
      </c>
      <c r="C14" s="3" t="s">
        <v>108</v>
      </c>
      <c r="F14" s="4" t="s">
        <v>49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370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50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46264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43</v>
      </c>
      <c r="C5" s="3" t="s">
        <v>109</v>
      </c>
      <c r="F5" s="4" t="s">
        <v>41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361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42</v>
      </c>
    </row>
    <row r="6" customFormat="false" ht="12.75" hidden="false" customHeight="true" outlineLevel="0" collapsed="false">
      <c r="A6" s="1" t="n">
        <v>45905</v>
      </c>
      <c r="B6" s="2" t="s">
        <v>45</v>
      </c>
      <c r="C6" s="3" t="s">
        <v>110</v>
      </c>
      <c r="F6" s="4" t="s">
        <v>41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359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42</v>
      </c>
    </row>
    <row r="7" customFormat="false" ht="12" hidden="false" customHeight="false" outlineLevel="0" collapsed="false">
      <c r="A7" s="1" t="n">
        <v>45908</v>
      </c>
      <c r="B7" s="2" t="s">
        <v>47</v>
      </c>
      <c r="C7" s="3" t="s">
        <v>111</v>
      </c>
      <c r="F7" s="4" t="s">
        <v>49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356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50</v>
      </c>
    </row>
    <row r="8" customFormat="false" ht="12" hidden="false" customHeight="false" outlineLevel="0" collapsed="false">
      <c r="A8" s="1" t="n">
        <v>45910</v>
      </c>
      <c r="B8" s="2" t="s">
        <v>51</v>
      </c>
      <c r="C8" s="3" t="s">
        <v>112</v>
      </c>
      <c r="F8" s="4" t="s">
        <v>49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354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50</v>
      </c>
    </row>
    <row r="9" customFormat="false" ht="12" hidden="false" customHeight="false" outlineLevel="0" collapsed="false">
      <c r="A9" s="1" t="n">
        <v>45915</v>
      </c>
      <c r="B9" s="2" t="s">
        <v>15</v>
      </c>
      <c r="C9" s="3" t="s">
        <v>113</v>
      </c>
      <c r="F9" s="4" t="s">
        <v>49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349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50</v>
      </c>
    </row>
    <row r="10" customFormat="false" ht="12" hidden="false" customHeight="false" outlineLevel="0" collapsed="false">
      <c r="A10" s="1" t="n">
        <v>45916</v>
      </c>
      <c r="B10" s="2" t="s">
        <v>69</v>
      </c>
      <c r="C10" s="3" t="s">
        <v>114</v>
      </c>
      <c r="F10" s="4" t="s">
        <v>71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348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72</v>
      </c>
    </row>
    <row r="11" customFormat="false" ht="12" hidden="false" customHeight="false" outlineLevel="0" collapsed="false">
      <c r="A11" s="1" t="n">
        <v>45918</v>
      </c>
      <c r="B11" s="2" t="s">
        <v>54</v>
      </c>
      <c r="C11" s="3" t="s">
        <v>115</v>
      </c>
      <c r="F11" s="4" t="s">
        <v>49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346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50</v>
      </c>
    </row>
    <row r="12" customFormat="false" ht="12" hidden="false" customHeight="false" outlineLevel="0" collapsed="false">
      <c r="A12" s="1" t="n">
        <v>45920</v>
      </c>
      <c r="B12" s="2" t="s">
        <v>116</v>
      </c>
      <c r="C12" s="3" t="s">
        <v>117</v>
      </c>
      <c r="F12" s="4" t="s">
        <v>71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344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72</v>
      </c>
    </row>
    <row r="13" customFormat="false" ht="12" hidden="false" customHeight="false" outlineLevel="0" collapsed="false">
      <c r="A13" s="1" t="n">
        <v>45922</v>
      </c>
      <c r="B13" s="2" t="s">
        <v>84</v>
      </c>
      <c r="C13" s="3" t="s">
        <v>118</v>
      </c>
      <c r="F13" s="4" t="s">
        <v>49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342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50</v>
      </c>
    </row>
    <row r="14" customFormat="false" ht="12" hidden="false" customHeight="false" outlineLevel="0" collapsed="false">
      <c r="A14" s="1" t="n">
        <v>45925</v>
      </c>
      <c r="B14" s="2" t="s">
        <v>119</v>
      </c>
      <c r="C14" s="3" t="s">
        <v>120</v>
      </c>
      <c r="F14" s="4" t="s">
        <v>60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339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61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46264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C5" s="3" t="s">
        <v>121</v>
      </c>
      <c r="F5" s="4" t="s">
        <v>41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333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42</v>
      </c>
    </row>
    <row r="6" customFormat="false" ht="12.75" hidden="false" customHeight="true" outlineLevel="0" collapsed="false">
      <c r="A6" s="1" t="n">
        <v>45933</v>
      </c>
      <c r="B6" s="2" t="s">
        <v>43</v>
      </c>
      <c r="C6" s="3" t="s">
        <v>122</v>
      </c>
      <c r="F6" s="4" t="s">
        <v>41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331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42</v>
      </c>
    </row>
    <row r="7" customFormat="false" ht="12" hidden="false" customHeight="false" outlineLevel="0" collapsed="false">
      <c r="A7" s="1" t="n">
        <v>45935</v>
      </c>
      <c r="B7" s="2" t="s">
        <v>45</v>
      </c>
      <c r="C7" s="3" t="s">
        <v>123</v>
      </c>
      <c r="F7" s="4" t="s">
        <v>41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329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42</v>
      </c>
    </row>
    <row r="8" customFormat="false" ht="12" hidden="false" customHeight="false" outlineLevel="0" collapsed="false">
      <c r="A8" s="1" t="n">
        <v>45938</v>
      </c>
      <c r="B8" s="2" t="s">
        <v>47</v>
      </c>
      <c r="C8" s="3" t="s">
        <v>124</v>
      </c>
      <c r="F8" s="4" t="s">
        <v>49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326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50</v>
      </c>
    </row>
    <row r="9" customFormat="false" ht="12" hidden="false" customHeight="false" outlineLevel="0" collapsed="false">
      <c r="A9" s="1" t="n">
        <v>45940</v>
      </c>
      <c r="B9" s="2" t="s">
        <v>125</v>
      </c>
      <c r="C9" s="3" t="s">
        <v>126</v>
      </c>
      <c r="F9" s="4" t="s">
        <v>127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324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  <c r="BZ9" s="2" t="s">
        <v>128</v>
      </c>
    </row>
    <row r="10" customFormat="false" ht="12" hidden="false" customHeight="false" outlineLevel="0" collapsed="false">
      <c r="A10" s="1" t="n">
        <v>45940</v>
      </c>
      <c r="B10" s="2" t="s">
        <v>51</v>
      </c>
      <c r="C10" s="3" t="s">
        <v>129</v>
      </c>
      <c r="F10" s="4" t="s">
        <v>49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324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50</v>
      </c>
    </row>
    <row r="11" customFormat="false" ht="12" hidden="false" customHeight="false" outlineLevel="0" collapsed="false">
      <c r="A11" s="1" t="n">
        <v>45944</v>
      </c>
      <c r="B11" s="2" t="s">
        <v>91</v>
      </c>
      <c r="C11" s="3" t="s">
        <v>130</v>
      </c>
      <c r="F11" s="4" t="s">
        <v>49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320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50</v>
      </c>
    </row>
    <row r="12" customFormat="false" ht="12" hidden="false" customHeight="false" outlineLevel="0" collapsed="false">
      <c r="A12" s="1" t="n">
        <v>45945</v>
      </c>
      <c r="B12" s="2" t="s">
        <v>15</v>
      </c>
      <c r="C12" s="3" t="s">
        <v>131</v>
      </c>
      <c r="F12" s="4" t="s">
        <v>49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319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50</v>
      </c>
    </row>
    <row r="13" customFormat="false" ht="12" hidden="false" customHeight="false" outlineLevel="0" collapsed="false">
      <c r="A13" s="1" t="n">
        <v>45948</v>
      </c>
      <c r="B13" s="2" t="s">
        <v>54</v>
      </c>
      <c r="C13" s="3" t="s">
        <v>132</v>
      </c>
      <c r="F13" s="4" t="s">
        <v>49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316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50</v>
      </c>
    </row>
    <row r="14" customFormat="false" ht="12" hidden="false" customHeight="false" outlineLevel="0" collapsed="false">
      <c r="A14" s="1" t="n">
        <v>45950</v>
      </c>
      <c r="B14" s="2" t="s">
        <v>56</v>
      </c>
      <c r="C14" s="3" t="s">
        <v>133</v>
      </c>
      <c r="F14" s="4" t="s">
        <v>49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314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50</v>
      </c>
    </row>
    <row r="15" customFormat="false" ht="12" hidden="false" customHeight="false" outlineLevel="0" collapsed="false">
      <c r="A15" s="1" t="n">
        <v>45958</v>
      </c>
      <c r="B15" s="2" t="s">
        <v>58</v>
      </c>
      <c r="C15" s="3" t="s">
        <v>134</v>
      </c>
      <c r="F15" s="4" t="s">
        <v>60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306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  <c r="BZ15" s="2" t="s">
        <v>61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46264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43</v>
      </c>
      <c r="C5" s="3" t="s">
        <v>135</v>
      </c>
      <c r="F5" s="4" t="s">
        <v>41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300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42</v>
      </c>
    </row>
    <row r="6" customFormat="false" ht="12.75" hidden="false" customHeight="true" outlineLevel="0" collapsed="false">
      <c r="A6" s="1" t="n">
        <v>45966</v>
      </c>
      <c r="B6" s="2" t="s">
        <v>45</v>
      </c>
      <c r="C6" s="3" t="s">
        <v>136</v>
      </c>
      <c r="F6" s="4" t="s">
        <v>41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298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42</v>
      </c>
    </row>
    <row r="7" customFormat="false" ht="12" hidden="false" customHeight="false" outlineLevel="0" collapsed="false">
      <c r="A7" s="1" t="n">
        <v>45969</v>
      </c>
      <c r="B7" s="2" t="s">
        <v>47</v>
      </c>
      <c r="C7" s="3" t="s">
        <v>137</v>
      </c>
      <c r="F7" s="4" t="s">
        <v>49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295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50</v>
      </c>
    </row>
    <row r="8" customFormat="false" ht="12" hidden="false" customHeight="false" outlineLevel="0" collapsed="false">
      <c r="A8" s="1" t="n">
        <v>45971</v>
      </c>
      <c r="B8" s="2" t="s">
        <v>51</v>
      </c>
      <c r="C8" s="3" t="s">
        <v>138</v>
      </c>
      <c r="F8" s="4" t="s">
        <v>49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293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50</v>
      </c>
    </row>
    <row r="9" customFormat="false" ht="12" hidden="false" customHeight="false" outlineLevel="0" collapsed="false">
      <c r="A9" s="1" t="n">
        <v>45973</v>
      </c>
      <c r="B9" s="2" t="s">
        <v>66</v>
      </c>
      <c r="C9" s="3" t="s">
        <v>139</v>
      </c>
      <c r="F9" s="4" t="s">
        <v>49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291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50</v>
      </c>
    </row>
    <row r="10" customFormat="false" ht="12" hidden="false" customHeight="false" outlineLevel="0" collapsed="false">
      <c r="A10" s="1" t="n">
        <v>45976</v>
      </c>
      <c r="B10" s="2" t="s">
        <v>15</v>
      </c>
      <c r="C10" s="3" t="s">
        <v>140</v>
      </c>
      <c r="F10" s="4" t="s">
        <v>49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288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50</v>
      </c>
    </row>
    <row r="11" customFormat="false" ht="12" hidden="false" customHeight="false" outlineLevel="0" collapsed="false">
      <c r="A11" s="1" t="n">
        <v>45979</v>
      </c>
      <c r="B11" s="2" t="s">
        <v>54</v>
      </c>
      <c r="C11" s="3" t="s">
        <v>141</v>
      </c>
      <c r="F11" s="4" t="s">
        <v>49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285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50</v>
      </c>
    </row>
    <row r="12" customFormat="false" ht="12" hidden="false" customHeight="false" outlineLevel="0" collapsed="false">
      <c r="A12" s="1" t="n">
        <v>45981</v>
      </c>
      <c r="B12" s="2" t="s">
        <v>142</v>
      </c>
      <c r="C12" s="3" t="s">
        <v>143</v>
      </c>
      <c r="F12" s="4" t="s">
        <v>71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283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72</v>
      </c>
    </row>
    <row r="13" customFormat="false" ht="12" hidden="false" customHeight="false" outlineLevel="0" collapsed="false">
      <c r="A13" s="1" t="n">
        <v>45986</v>
      </c>
      <c r="B13" s="2" t="s">
        <v>74</v>
      </c>
      <c r="C13" s="3" t="s">
        <v>144</v>
      </c>
      <c r="F13" s="4" t="s">
        <v>49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278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50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46264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43</v>
      </c>
      <c r="C5" s="3" t="s">
        <v>145</v>
      </c>
      <c r="F5" s="4" t="s">
        <v>41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270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42</v>
      </c>
    </row>
    <row r="6" customFormat="false" ht="12.75" hidden="false" customHeight="true" outlineLevel="0" collapsed="false">
      <c r="A6" s="1" t="n">
        <v>45996</v>
      </c>
      <c r="B6" s="2" t="s">
        <v>45</v>
      </c>
      <c r="C6" s="3" t="s">
        <v>146</v>
      </c>
      <c r="F6" s="4" t="s">
        <v>41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268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42</v>
      </c>
    </row>
    <row r="7" customFormat="false" ht="12" hidden="false" customHeight="false" outlineLevel="0" collapsed="false">
      <c r="A7" s="1" t="n">
        <v>45999</v>
      </c>
      <c r="B7" s="2" t="s">
        <v>47</v>
      </c>
      <c r="C7" s="3" t="s">
        <v>147</v>
      </c>
      <c r="F7" s="4" t="s">
        <v>49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265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50</v>
      </c>
    </row>
    <row r="8" customFormat="false" ht="12" hidden="false" customHeight="false" outlineLevel="0" collapsed="false">
      <c r="A8" s="1" t="n">
        <v>46001</v>
      </c>
      <c r="B8" s="2" t="s">
        <v>51</v>
      </c>
      <c r="C8" s="3" t="s">
        <v>148</v>
      </c>
      <c r="F8" s="4" t="s">
        <v>49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263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50</v>
      </c>
    </row>
    <row r="9" customFormat="false" ht="12" hidden="false" customHeight="false" outlineLevel="0" collapsed="false">
      <c r="A9" s="1" t="n">
        <v>46006</v>
      </c>
      <c r="B9" s="2" t="s">
        <v>15</v>
      </c>
      <c r="C9" s="3" t="s">
        <v>149</v>
      </c>
      <c r="F9" s="4" t="s">
        <v>49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258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50</v>
      </c>
    </row>
    <row r="10" customFormat="false" ht="12" hidden="false" customHeight="false" outlineLevel="0" collapsed="false">
      <c r="A10" s="1" t="n">
        <v>46009</v>
      </c>
      <c r="B10" s="2" t="s">
        <v>54</v>
      </c>
      <c r="C10" s="3" t="s">
        <v>150</v>
      </c>
      <c r="F10" s="4" t="s">
        <v>49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255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50</v>
      </c>
    </row>
    <row r="11" customFormat="false" ht="12" hidden="false" customHeight="false" outlineLevel="0" collapsed="false">
      <c r="A11" s="1" t="n">
        <v>46011</v>
      </c>
      <c r="B11" s="2" t="s">
        <v>56</v>
      </c>
      <c r="C11" s="3" t="s">
        <v>151</v>
      </c>
      <c r="F11" s="4" t="s">
        <v>49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253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50</v>
      </c>
    </row>
    <row r="12" customFormat="false" ht="12" hidden="false" customHeight="false" outlineLevel="0" collapsed="false">
      <c r="A12" s="1" t="n">
        <v>46013</v>
      </c>
      <c r="B12" s="2" t="s">
        <v>84</v>
      </c>
      <c r="C12" s="3" t="s">
        <v>152</v>
      </c>
      <c r="F12" s="4" t="s">
        <v>49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251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50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46264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C5" s="3" t="s">
        <v>153</v>
      </c>
      <c r="F5" s="4" t="s">
        <v>41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241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42</v>
      </c>
    </row>
    <row r="6" customFormat="false" ht="12.75" hidden="false" customHeight="true" outlineLevel="0" collapsed="false">
      <c r="A6" s="1" t="n">
        <v>46025</v>
      </c>
      <c r="B6" s="2" t="s">
        <v>43</v>
      </c>
      <c r="C6" s="3" t="s">
        <v>154</v>
      </c>
      <c r="F6" s="4" t="s">
        <v>41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239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42</v>
      </c>
    </row>
    <row r="7" customFormat="false" ht="12" hidden="false" customHeight="false" outlineLevel="0" collapsed="false">
      <c r="A7" s="1" t="n">
        <v>46027</v>
      </c>
      <c r="B7" s="2" t="s">
        <v>45</v>
      </c>
      <c r="C7" s="3" t="s">
        <v>155</v>
      </c>
      <c r="F7" s="4" t="s">
        <v>41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237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42</v>
      </c>
    </row>
    <row r="8" customFormat="false" ht="12" hidden="false" customHeight="false" outlineLevel="0" collapsed="false">
      <c r="A8" s="1" t="n">
        <v>46030</v>
      </c>
      <c r="B8" s="2" t="s">
        <v>47</v>
      </c>
      <c r="C8" s="3" t="s">
        <v>156</v>
      </c>
      <c r="F8" s="4" t="s">
        <v>49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234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50</v>
      </c>
    </row>
    <row r="9" customFormat="false" ht="12" hidden="false" customHeight="false" outlineLevel="0" collapsed="false">
      <c r="A9" s="1" t="n">
        <v>46032</v>
      </c>
      <c r="B9" s="2" t="s">
        <v>51</v>
      </c>
      <c r="C9" s="3" t="s">
        <v>157</v>
      </c>
      <c r="F9" s="4" t="s">
        <v>49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232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50</v>
      </c>
    </row>
    <row r="10" customFormat="false" ht="12" hidden="false" customHeight="false" outlineLevel="0" collapsed="false">
      <c r="A10" s="1" t="n">
        <v>46036</v>
      </c>
      <c r="B10" s="2" t="s">
        <v>91</v>
      </c>
      <c r="C10" s="3" t="s">
        <v>158</v>
      </c>
      <c r="F10" s="4" t="s">
        <v>49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228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50</v>
      </c>
    </row>
    <row r="11" customFormat="false" ht="12" hidden="false" customHeight="false" outlineLevel="0" collapsed="false">
      <c r="A11" s="1" t="n">
        <v>46037</v>
      </c>
      <c r="B11" s="2" t="s">
        <v>15</v>
      </c>
      <c r="C11" s="3" t="s">
        <v>159</v>
      </c>
      <c r="F11" s="4" t="s">
        <v>49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227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50</v>
      </c>
    </row>
    <row r="12" customFormat="false" ht="12" hidden="false" customHeight="false" outlineLevel="0" collapsed="false">
      <c r="A12" s="1" t="n">
        <v>46038</v>
      </c>
      <c r="B12" s="2" t="s">
        <v>69</v>
      </c>
      <c r="C12" s="3" t="s">
        <v>160</v>
      </c>
      <c r="F12" s="4" t="s">
        <v>71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226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72</v>
      </c>
    </row>
    <row r="13" customFormat="false" ht="12" hidden="false" customHeight="false" outlineLevel="0" collapsed="false">
      <c r="A13" s="1" t="n">
        <v>46040</v>
      </c>
      <c r="B13" s="2" t="s">
        <v>54</v>
      </c>
      <c r="C13" s="3" t="s">
        <v>161</v>
      </c>
      <c r="F13" s="4" t="s">
        <v>49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224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50</v>
      </c>
    </row>
    <row r="14" customFormat="false" ht="12" hidden="false" customHeight="false" outlineLevel="0" collapsed="false">
      <c r="A14" s="1" t="n">
        <v>46047</v>
      </c>
      <c r="B14" s="2" t="s">
        <v>162</v>
      </c>
      <c r="C14" s="3" t="s">
        <v>163</v>
      </c>
      <c r="F14" s="4" t="s">
        <v>60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217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61</v>
      </c>
    </row>
    <row r="15" customFormat="false" ht="12" hidden="false" customHeight="false" outlineLevel="0" collapsed="false">
      <c r="A15" s="1" t="n">
        <v>46050</v>
      </c>
      <c r="B15" s="2" t="s">
        <v>58</v>
      </c>
      <c r="C15" s="3" t="s">
        <v>164</v>
      </c>
      <c r="F15" s="4" t="s">
        <v>60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214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  <c r="BZ15" s="2" t="s">
        <v>61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46264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43</v>
      </c>
      <c r="C5" s="3" t="s">
        <v>165</v>
      </c>
      <c r="F5" s="4" t="s">
        <v>41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208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42</v>
      </c>
    </row>
    <row r="6" customFormat="false" ht="12.75" hidden="false" customHeight="true" outlineLevel="0" collapsed="false">
      <c r="A6" s="1" t="n">
        <v>46058</v>
      </c>
      <c r="B6" s="2" t="s">
        <v>45</v>
      </c>
      <c r="C6" s="3" t="s">
        <v>166</v>
      </c>
      <c r="F6" s="4" t="s">
        <v>41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206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42</v>
      </c>
    </row>
    <row r="7" customFormat="false" ht="12" hidden="false" customHeight="false" outlineLevel="0" collapsed="false">
      <c r="A7" s="1" t="n">
        <v>46061</v>
      </c>
      <c r="B7" s="2" t="s">
        <v>47</v>
      </c>
      <c r="C7" s="3" t="s">
        <v>167</v>
      </c>
      <c r="F7" s="4" t="s">
        <v>49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203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50</v>
      </c>
    </row>
    <row r="8" customFormat="false" ht="12" hidden="false" customHeight="false" outlineLevel="0" collapsed="false">
      <c r="A8" s="1" t="n">
        <v>46063</v>
      </c>
      <c r="B8" s="2" t="s">
        <v>51</v>
      </c>
      <c r="C8" s="3" t="s">
        <v>168</v>
      </c>
      <c r="F8" s="4" t="s">
        <v>49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201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50</v>
      </c>
    </row>
    <row r="9" customFormat="false" ht="12" hidden="false" customHeight="false" outlineLevel="0" collapsed="false">
      <c r="A9" s="1" t="n">
        <v>46068</v>
      </c>
      <c r="B9" s="2" t="s">
        <v>15</v>
      </c>
      <c r="C9" s="3" t="s">
        <v>169</v>
      </c>
      <c r="F9" s="4" t="s">
        <v>49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196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50</v>
      </c>
    </row>
    <row r="10" customFormat="false" ht="12" hidden="false" customHeight="false" outlineLevel="0" collapsed="false">
      <c r="A10" s="1" t="n">
        <v>46071</v>
      </c>
      <c r="B10" s="2" t="s">
        <v>54</v>
      </c>
      <c r="C10" s="3" t="s">
        <v>170</v>
      </c>
      <c r="F10" s="4" t="s">
        <v>49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193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50</v>
      </c>
    </row>
    <row r="11" customFormat="false" ht="12" hidden="false" customHeight="false" outlineLevel="0" collapsed="false">
      <c r="A11" s="1" t="n">
        <v>46073</v>
      </c>
      <c r="B11" s="2" t="s">
        <v>56</v>
      </c>
      <c r="C11" s="3" t="s">
        <v>171</v>
      </c>
      <c r="F11" s="4" t="s">
        <v>49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191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50</v>
      </c>
    </row>
    <row r="12" customFormat="false" ht="12" hidden="false" customHeight="false" outlineLevel="0" collapsed="false">
      <c r="A12" s="1" t="n">
        <v>46073</v>
      </c>
      <c r="B12" s="2" t="s">
        <v>172</v>
      </c>
      <c r="C12" s="3" t="s">
        <v>173</v>
      </c>
      <c r="F12" s="4" t="s">
        <v>71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191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72</v>
      </c>
    </row>
    <row r="13" customFormat="false" ht="12" hidden="false" customHeight="false" outlineLevel="0" collapsed="false">
      <c r="A13" s="1" t="n">
        <v>46078</v>
      </c>
      <c r="B13" s="2" t="s">
        <v>74</v>
      </c>
      <c r="C13" s="3" t="s">
        <v>174</v>
      </c>
      <c r="F13" s="4" t="s">
        <v>49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186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50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46264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43</v>
      </c>
      <c r="C5" s="3" t="s">
        <v>175</v>
      </c>
      <c r="F5" s="4" t="s">
        <v>41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180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42</v>
      </c>
    </row>
    <row r="6" customFormat="false" ht="12.75" hidden="false" customHeight="true" outlineLevel="0" collapsed="false">
      <c r="A6" s="1" t="n">
        <v>46086</v>
      </c>
      <c r="B6" s="2" t="s">
        <v>45</v>
      </c>
      <c r="C6" s="3" t="s">
        <v>176</v>
      </c>
      <c r="F6" s="4" t="s">
        <v>41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178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42</v>
      </c>
    </row>
    <row r="7" customFormat="false" ht="12" hidden="false" customHeight="false" outlineLevel="0" collapsed="false">
      <c r="A7" s="1" t="n">
        <v>46089</v>
      </c>
      <c r="B7" s="2" t="s">
        <v>47</v>
      </c>
      <c r="C7" s="3" t="s">
        <v>177</v>
      </c>
      <c r="F7" s="4" t="s">
        <v>49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175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50</v>
      </c>
    </row>
    <row r="8" customFormat="false" ht="12" hidden="false" customHeight="false" outlineLevel="0" collapsed="false">
      <c r="A8" s="1" t="n">
        <v>46091</v>
      </c>
      <c r="B8" s="2" t="s">
        <v>51</v>
      </c>
      <c r="C8" s="3" t="s">
        <v>178</v>
      </c>
      <c r="F8" s="4" t="s">
        <v>49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173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50</v>
      </c>
    </row>
    <row r="9" customFormat="false" ht="12" hidden="false" customHeight="false" outlineLevel="0" collapsed="false">
      <c r="A9" s="1" t="n">
        <v>46096</v>
      </c>
      <c r="B9" s="2" t="s">
        <v>15</v>
      </c>
      <c r="C9" s="3" t="s">
        <v>179</v>
      </c>
      <c r="F9" s="4" t="s">
        <v>49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168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50</v>
      </c>
    </row>
    <row r="10" customFormat="false" ht="12" hidden="false" customHeight="false" outlineLevel="0" collapsed="false">
      <c r="A10" s="1" t="n">
        <v>46099</v>
      </c>
      <c r="B10" s="2" t="s">
        <v>54</v>
      </c>
      <c r="C10" s="3" t="s">
        <v>180</v>
      </c>
      <c r="F10" s="4" t="s">
        <v>49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165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50</v>
      </c>
    </row>
    <row r="11" customFormat="false" ht="12" hidden="false" customHeight="false" outlineLevel="0" collapsed="false">
      <c r="A11" s="1" t="n">
        <v>46103</v>
      </c>
      <c r="B11" s="2" t="s">
        <v>84</v>
      </c>
      <c r="C11" s="3" t="s">
        <v>181</v>
      </c>
      <c r="F11" s="4" t="s">
        <v>49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161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50</v>
      </c>
    </row>
    <row r="12" customFormat="false" ht="12" hidden="false" customHeight="false" outlineLevel="0" collapsed="false">
      <c r="A12" s="1" t="n">
        <v>46112</v>
      </c>
      <c r="B12" s="2" t="s">
        <v>182</v>
      </c>
      <c r="C12" s="3" t="s">
        <v>183</v>
      </c>
      <c r="F12" s="4" t="s">
        <v>184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152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  <c r="BZ12" s="2" t="s">
        <v>185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7900</v>
      </c>
      <c r="H1" s="14" t="n">
        <f aca="false">SUM(H5:H300)</f>
        <v>1316.66666666667</v>
      </c>
      <c r="I1" s="14" t="n">
        <f aca="false">SUM(I5:I300)</f>
        <v>6583.33333333333</v>
      </c>
      <c r="J1" s="15"/>
      <c r="K1" s="16" t="s">
        <v>4</v>
      </c>
      <c r="L1" s="17" t="n">
        <f aca="false">SUM(L5:L300)</f>
        <v>0</v>
      </c>
      <c r="M1" s="17" t="n">
        <f aca="false">SUM(M5:M300)</f>
        <v>7900</v>
      </c>
      <c r="N1" s="18" t="n">
        <f aca="true">TODAY()</f>
        <v>46264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179</v>
      </c>
      <c r="G5" s="2" t="n">
        <v>6100</v>
      </c>
      <c r="H5" s="2" t="n">
        <f aca="false">IF(H$4&gt;0,(IF(G5&lt;&gt;0,G5*H$4/100," ")),IF(G5&lt;&gt;0,G5*H$2/(100+H$2)," "))</f>
        <v>1016.66666666667</v>
      </c>
      <c r="I5" s="2" t="n">
        <f aca="false">IF((G5&lt;&gt;0),G5-H5," ")</f>
        <v>5083.33333333333</v>
      </c>
      <c r="M5" s="7" t="n">
        <f aca="false">IF(G5&lt;&gt;0,G5-L5," ")</f>
        <v>6100</v>
      </c>
      <c r="N5" s="8" t="n">
        <f aca="false">IF((G5-L5)&lt;&gt;0,N$1-A5," ")</f>
        <v>46264</v>
      </c>
    </row>
    <row r="6" customFormat="false" ht="12.75" hidden="false" customHeight="true" outlineLevel="0" collapsed="false">
      <c r="B6" s="2" t="s">
        <v>84</v>
      </c>
      <c r="C6" s="3" t="s">
        <v>181</v>
      </c>
      <c r="G6" s="2" t="n">
        <v>1440</v>
      </c>
      <c r="H6" s="2" t="n">
        <f aca="false">IF(H$4&gt;0,(IF(G6&lt;&gt;0,G6*H$4/100," ")),IF(G6&lt;&gt;0,G6*H$2/(100+H$2)," "))</f>
        <v>240</v>
      </c>
      <c r="I6" s="2" t="n">
        <f aca="false">IF((G6&lt;&gt;0),G6-H6," ")</f>
        <v>1200</v>
      </c>
      <c r="M6" s="7" t="n">
        <f aca="false">IF(G6&lt;&gt;0,G6-L6," ")</f>
        <v>1440</v>
      </c>
      <c r="N6" s="8" t="n">
        <f aca="false">IF((G6-L6)&lt;&gt;0,N$1-A6," ")</f>
        <v>46264</v>
      </c>
    </row>
    <row r="7" customFormat="false" ht="12" hidden="false" customHeight="false" outlineLevel="0" collapsed="false">
      <c r="B7" s="2" t="s">
        <v>182</v>
      </c>
      <c r="C7" s="3" t="s">
        <v>183</v>
      </c>
      <c r="G7" s="2" t="n">
        <v>360</v>
      </c>
      <c r="H7" s="2" t="n">
        <f aca="false">IF(H$4&gt;0,(IF(G7&lt;&gt;0,G7*H$4/100," ")),IF(G7&lt;&gt;0,G7*H$2/(100+H$2)," "))</f>
        <v>60</v>
      </c>
      <c r="I7" s="2" t="n">
        <f aca="false">IF((G7&lt;&gt;0),G7-H7," ")</f>
        <v>300</v>
      </c>
      <c r="M7" s="7" t="n">
        <f aca="false">IF(G7&lt;&gt;0,G7-L7," ")</f>
        <v>360</v>
      </c>
      <c r="N7" s="8" t="n">
        <f aca="false">IF((G7-L7)&lt;&gt;0,N$1-A7," ")</f>
        <v>46264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