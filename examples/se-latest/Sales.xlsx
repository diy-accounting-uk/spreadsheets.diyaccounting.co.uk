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<sst xmlns="http://schemas.openxmlformats.org/spreadsheetml/2006/main" count="1010" uniqueCount="209">
  <si>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</si>
  <si>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</si>
  <si>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</si>
  <si>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</si>
  <si>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</si>
  <si>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</si>
  <si>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</si>
  <si>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</si>
  <si>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</si>
  <si>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</si>
  <si>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</si>
  <si>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</si>
  <si>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</si>
  <si>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</si>
  <si>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</si>
  <si>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</si>
  <si>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</si>
  <si>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</si>
  <si>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</si>
  <si>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</si>
  <si>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</si>
  <si>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Zeta Corp</t>
  </si>
  <si>
    <t xml:space="preserve">INV-0904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</si>
  <si>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</si>
  <si>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</si>
  <si>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</si>
  <si>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</si>
  <si>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</si>
  <si>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</si>
  <si>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</si>
  <si>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</si>
  <si>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</si>
  <si>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</si>
  <si>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</si>
  <si>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</si>
  <si>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</si>
  <si>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</si>
  <si>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</si>
  <si>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</si>
  <si>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</si>
  <si>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</si>
  <si>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</si>
  <si>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</si>
  <si>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</si>
  <si>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</si>
  <si>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</si>
  <si>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</si>
  <si>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</si>
  <si>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</si>
  <si>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</si>
  <si>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</si>
  <si>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</si>
  <si>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</si>
  <si>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</si>
  <si>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</si>
  <si>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</si>
  <si>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</si>
  <si>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</si>
  <si>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</si>
  <si>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</si>
  <si>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</si>
  <si>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</si>
  <si>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</si>
  <si>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</si>
  <si>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</si>
  <si>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</si>
  <si>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</si>
  <si>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</si>
  <si>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</si>
  <si>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</si>
  <si>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</si>
  <si>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</si>
  <si>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</si>
  <si>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</si>
  <si>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</si>
  <si>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</si>
  <si>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</si>
  <si>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</si>
  <si>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</si>
  <si>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</si>
  <si>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</si>
  <si>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</si>
  <si>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</si>
  <si>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</si>
  <si>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</si>
  <si>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</si>
  <si>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</si>
  <si>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</si>
  <si>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</si>
  <si>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</si>
  <si>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</si>
  <si>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</si>
  <si>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</si>
  <si>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</si>
  <si>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</si>
  <si>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</si>
  <si>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</si>
  <si>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</si>
  <si>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</si>
  <si>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</si>
  <si>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</si>
  <si>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</si>
  <si>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</si>
  <si>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</si>
  <si>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</si>
  <si>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</si>
  <si>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</si>
  <si>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</si>
  <si>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</si>
  <si>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</si>
  <si>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</si>
  <si>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</si>
  <si>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</si>
  <si>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</si>
  <si>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</si>
  <si>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</si>
  <si>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</si>
  <si>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</si>
  <si>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</si>
  <si>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</si>
  <si>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</si>
  <si>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</si>
  <si>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</si>
  <si>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</si>
  <si>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</si>
  <si>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</si>
  <si>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</si>
  <si>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</si>
  <si>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</si>
  <si>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</si>
  <si>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</si>
  <si>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</si>
  <si>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</si>
  <si>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</si>
  <si>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</si>
  <si>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</si>
  <si>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</si>
  <si>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</si>
  <si>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</si>
  <si>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</si>
  <si>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</si>
  <si>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</si>
  <si>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</si>
  <si>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</si>
  <si>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</si>
  <si>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</si>
  <si>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</si>
  <si>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</si>
  <si>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</si>
  <si>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</si>
  <si>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</si>
  <si>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</si>
  <si>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</si>
  <si>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</si>
  <si>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</si>
  <si>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</si>
  <si>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</si>
  <si>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</si>
  <si>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</si>
  <si>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</si>
  <si>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</si>
  <si>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</si>
  <si>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</si>
  <si>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</si>
  <si>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</si>
  <si>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</si>
  <si>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</si>
  <si>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</si>
  <si>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</si>
  <si>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</si>
  <si>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</si>
  <si>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</si>
  <si>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</si>
  <si>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</si>
  <si>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</si>
  <si>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</si>
  <si>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</si>
  <si>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</si>
  <si>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</si>
  <si>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</si>
  <si>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</si>
  <si>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</si>
  <si>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</si>
  <si>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</si>
  <si>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</si>
  <si>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</si>
  <si>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</si>
  <si>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</si>
  <si>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</si>
  <si>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</si>
  <si>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</si>
  <si>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</si>
  <si>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</si>
  <si>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</si>
  <si>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</si>
  <si>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</si>
  <si>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</si>
  <si>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</si>
  <si>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</si>
  <si>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</si>
  <si>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</si>
  <si>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</si>
  <si>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</si>
  <si>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</si>
  <si>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</si>
  <si>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CN-1801</t>
  </si>
  <si>
    <t xml:space="preserve">Bad debt written off (INV-0904)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</si>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</sst>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customFormat="fals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11160</v>
      </c>
      <c r="H1" s="14" t="n">
        <f aca="false">SUM(H5:H300)</f>
        <v>1860</v>
      </c>
      <c r="I1" s="14" t="n">
        <f aca="false">SUM(I5:I300)</f>
        <v>9300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11160</v>
      </c>
      <c r="N1" s="18" t="n">
        <f aca="true">TODAY()</f>
        <v>46299</v>
      </c>
      <c r="O1" s="19"/>
      <c r="P1" s="14" t="n">
        <f aca="false">SUM(P5:P300)</f>
        <v>0</v>
      </c>
      <c r="Q1" s="14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46299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46299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46299</v>
      </c>
    </row>
    <row r="8" customFormat="false" ht="12" hidden="false" customHeight="false" outlineLevel="0" collapsed="false">
      <c r="B8" s="2" t="s">
        <v>21</v>
      </c>
      <c r="C8" s="3" t="s">
        <v>22</v>
      </c>
      <c r="G8" s="2" t="n">
        <v>360</v>
      </c>
      <c r="H8" s="2" t="n">
        <f aca="false">IF(H$4&gt;0,(IF(G8&lt;&gt;0,G8*H$4/100," ")),IF(G8&lt;&gt;0,G8*H$2/(100+H$2)," "))</f>
        <v>60</v>
      </c>
      <c r="I8" s="2" t="n">
        <f aca="false">IF((G8&lt;&gt;0),G8-H8," ")</f>
        <v>300</v>
      </c>
      <c r="M8" s="7" t="n">
        <f aca="false">IF(G8&lt;&gt;0,G8-L8," ")</f>
        <v>360</v>
      </c>
      <c r="N8" s="8" t="n">
        <f aca="false">IF((G8-L8)&lt;&gt;0,N$1-A8," ")</f>
        <v>46299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46299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42</v>
      </c>
      <c r="E5" s="36" t="s">
        <v>43</v>
      </c>
      <c r="F5" s="4" t="s">
        <v>44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46115</v>
      </c>
      <c r="B6" s="2" t="s">
        <v>46</v>
      </c>
      <c r="C6" s="3" t="s">
        <v>47</v>
      </c>
      <c r="E6" s="36" t="s">
        <v>48</v>
      </c>
      <c r="F6" s="4" t="s">
        <v>44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46117</v>
      </c>
      <c r="B7" s="2" t="s">
        <v>49</v>
      </c>
      <c r="C7" s="3" t="s">
        <v>50</v>
      </c>
      <c r="E7" s="36" t="s">
        <v>51</v>
      </c>
      <c r="F7" s="4" t="s">
        <v>44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45</v>
      </c>
    </row>
    <row r="8" customFormat="false" ht="12" hidden="false" customHeight="false" outlineLevel="0" collapsed="false">
      <c r="A8" s="1" t="n">
        <v>46120</v>
      </c>
      <c r="B8" s="2" t="s">
        <v>52</v>
      </c>
      <c r="C8" s="3" t="s">
        <v>53</v>
      </c>
      <c r="E8" s="36" t="s">
        <v>54</v>
      </c>
      <c r="F8" s="4" t="s">
        <v>55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179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46122</v>
      </c>
      <c r="B9" s="2" t="s">
        <v>57</v>
      </c>
      <c r="C9" s="3" t="s">
        <v>58</v>
      </c>
      <c r="E9" s="36" t="s">
        <v>59</v>
      </c>
      <c r="F9" s="4" t="s">
        <v>55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177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60</v>
      </c>
      <c r="E10" s="36" t="s">
        <v>61</v>
      </c>
      <c r="F10" s="4" t="s">
        <v>55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172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46130</v>
      </c>
      <c r="B11" s="2" t="s">
        <v>62</v>
      </c>
      <c r="C11" s="3" t="s">
        <v>63</v>
      </c>
      <c r="E11" s="36" t="s">
        <v>64</v>
      </c>
      <c r="F11" s="4" t="s">
        <v>55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46132</v>
      </c>
      <c r="B12" s="2" t="s">
        <v>65</v>
      </c>
      <c r="C12" s="3" t="s">
        <v>66</v>
      </c>
      <c r="E12" s="36" t="s">
        <v>67</v>
      </c>
      <c r="F12" s="4" t="s">
        <v>55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167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56</v>
      </c>
    </row>
    <row r="13" customFormat="false" ht="12" hidden="false" customHeight="false" outlineLevel="0" collapsed="false">
      <c r="A13" s="1" t="n">
        <v>46140</v>
      </c>
      <c r="B13" s="2" t="s">
        <v>68</v>
      </c>
      <c r="C13" s="3" t="s">
        <v>69</v>
      </c>
      <c r="E13" s="36" t="s">
        <v>70</v>
      </c>
      <c r="F13" s="4" t="s">
        <v>71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159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72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46299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Apr!H2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V1+Apr!V2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46</v>
      </c>
      <c r="C5" s="3" t="s">
        <v>73</v>
      </c>
      <c r="E5" s="36" t="s">
        <v>48</v>
      </c>
      <c r="F5" s="4" t="s">
        <v>44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46147</v>
      </c>
      <c r="B6" s="2" t="s">
        <v>49</v>
      </c>
      <c r="C6" s="3" t="s">
        <v>74</v>
      </c>
      <c r="E6" s="36" t="s">
        <v>51</v>
      </c>
      <c r="F6" s="4" t="s">
        <v>44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46150</v>
      </c>
      <c r="B7" s="2" t="s">
        <v>52</v>
      </c>
      <c r="C7" s="3" t="s">
        <v>75</v>
      </c>
      <c r="E7" s="36" t="s">
        <v>54</v>
      </c>
      <c r="F7" s="4" t="s">
        <v>55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56</v>
      </c>
    </row>
    <row r="8" customFormat="false" ht="12" hidden="false" customHeight="false" outlineLevel="0" collapsed="false">
      <c r="A8" s="1" t="n">
        <v>46152</v>
      </c>
      <c r="B8" s="2" t="s">
        <v>57</v>
      </c>
      <c r="C8" s="3" t="s">
        <v>76</v>
      </c>
      <c r="E8" s="36" t="s">
        <v>59</v>
      </c>
      <c r="F8" s="4" t="s">
        <v>55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46154</v>
      </c>
      <c r="B9" s="2" t="s">
        <v>77</v>
      </c>
      <c r="C9" s="3" t="s">
        <v>78</v>
      </c>
      <c r="E9" s="36" t="s">
        <v>79</v>
      </c>
      <c r="F9" s="4" t="s">
        <v>55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80</v>
      </c>
      <c r="E10" s="36" t="s">
        <v>61</v>
      </c>
      <c r="F10" s="4" t="s">
        <v>55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46158</v>
      </c>
      <c r="B11" s="2" t="s">
        <v>81</v>
      </c>
      <c r="C11" s="3" t="s">
        <v>82</v>
      </c>
      <c r="E11" s="36" t="s">
        <v>83</v>
      </c>
      <c r="F11" s="4" t="s">
        <v>84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141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85</v>
      </c>
    </row>
    <row r="12" customFormat="false" ht="12" hidden="false" customHeight="false" outlineLevel="0" collapsed="false">
      <c r="A12" s="1" t="n">
        <v>46160</v>
      </c>
      <c r="B12" s="2" t="s">
        <v>62</v>
      </c>
      <c r="C12" s="3" t="s">
        <v>86</v>
      </c>
      <c r="E12" s="36" t="s">
        <v>64</v>
      </c>
      <c r="F12" s="4" t="s">
        <v>55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139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56</v>
      </c>
    </row>
    <row r="13" customFormat="false" ht="12" hidden="false" customHeight="false" outlineLevel="0" collapsed="false">
      <c r="A13" s="1" t="n">
        <v>46167</v>
      </c>
      <c r="B13" s="2" t="s">
        <v>87</v>
      </c>
      <c r="C13" s="3" t="s">
        <v>88</v>
      </c>
      <c r="E13" s="36" t="s">
        <v>89</v>
      </c>
      <c r="F13" s="4" t="s">
        <v>55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56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46299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May!H2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V1+May!V2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46</v>
      </c>
      <c r="C5" s="3" t="s">
        <v>90</v>
      </c>
      <c r="E5" s="36" t="s">
        <v>48</v>
      </c>
      <c r="F5" s="4" t="s">
        <v>44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46178</v>
      </c>
      <c r="B6" s="2" t="s">
        <v>49</v>
      </c>
      <c r="C6" s="3" t="s">
        <v>91</v>
      </c>
      <c r="E6" s="36" t="s">
        <v>51</v>
      </c>
      <c r="F6" s="4" t="s">
        <v>44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46181</v>
      </c>
      <c r="B7" s="2" t="s">
        <v>52</v>
      </c>
      <c r="C7" s="3" t="s">
        <v>92</v>
      </c>
      <c r="E7" s="36" t="s">
        <v>54</v>
      </c>
      <c r="F7" s="4" t="s">
        <v>55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56</v>
      </c>
    </row>
    <row r="8" customFormat="false" ht="12" hidden="false" customHeight="false" outlineLevel="0" collapsed="false">
      <c r="A8" s="1" t="n">
        <v>46183</v>
      </c>
      <c r="B8" s="2" t="s">
        <v>57</v>
      </c>
      <c r="C8" s="3" t="s">
        <v>93</v>
      </c>
      <c r="E8" s="36" t="s">
        <v>59</v>
      </c>
      <c r="F8" s="4" t="s">
        <v>55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94</v>
      </c>
      <c r="E9" s="36" t="s">
        <v>61</v>
      </c>
      <c r="F9" s="4" t="s">
        <v>55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46191</v>
      </c>
      <c r="B10" s="2" t="s">
        <v>62</v>
      </c>
      <c r="C10" s="3" t="s">
        <v>95</v>
      </c>
      <c r="E10" s="36" t="s">
        <v>64</v>
      </c>
      <c r="F10" s="4" t="s">
        <v>55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46193</v>
      </c>
      <c r="B11" s="2" t="s">
        <v>65</v>
      </c>
      <c r="C11" s="3" t="s">
        <v>96</v>
      </c>
      <c r="E11" s="36" t="s">
        <v>67</v>
      </c>
      <c r="F11" s="4" t="s">
        <v>55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97</v>
      </c>
      <c r="E12" s="36" t="s">
        <v>98</v>
      </c>
      <c r="F12" s="4" t="s">
        <v>84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106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85</v>
      </c>
    </row>
    <row r="13" customFormat="false" ht="12" hidden="false" customHeight="false" outlineLevel="0" collapsed="false">
      <c r="A13" s="1" t="n">
        <v>46195</v>
      </c>
      <c r="B13" s="2" t="s">
        <v>99</v>
      </c>
      <c r="C13" s="3" t="s">
        <v>100</v>
      </c>
      <c r="E13" s="36" t="s">
        <v>101</v>
      </c>
      <c r="F13" s="4" t="s">
        <v>55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104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56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46299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Jun!H2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V1+Jun!V2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102</v>
      </c>
      <c r="E5" s="36" t="s">
        <v>43</v>
      </c>
      <c r="F5" s="4" t="s">
        <v>44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46206</v>
      </c>
      <c r="B6" s="2" t="s">
        <v>46</v>
      </c>
      <c r="C6" s="3" t="s">
        <v>103</v>
      </c>
      <c r="E6" s="36" t="s">
        <v>48</v>
      </c>
      <c r="F6" s="4" t="s">
        <v>44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46208</v>
      </c>
      <c r="B7" s="2" t="s">
        <v>49</v>
      </c>
      <c r="C7" s="3" t="s">
        <v>104</v>
      </c>
      <c r="E7" s="36" t="s">
        <v>51</v>
      </c>
      <c r="F7" s="4" t="s">
        <v>44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45</v>
      </c>
    </row>
    <row r="8" customFormat="false" ht="12" hidden="false" customHeight="false" outlineLevel="0" collapsed="false">
      <c r="A8" s="1" t="n">
        <v>46211</v>
      </c>
      <c r="B8" s="2" t="s">
        <v>52</v>
      </c>
      <c r="C8" s="3" t="s">
        <v>105</v>
      </c>
      <c r="E8" s="36" t="s">
        <v>54</v>
      </c>
      <c r="F8" s="4" t="s">
        <v>55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46213</v>
      </c>
      <c r="B9" s="2" t="s">
        <v>57</v>
      </c>
      <c r="C9" s="3" t="s">
        <v>106</v>
      </c>
      <c r="E9" s="36" t="s">
        <v>59</v>
      </c>
      <c r="F9" s="4" t="s">
        <v>55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46217</v>
      </c>
      <c r="B10" s="2" t="s">
        <v>107</v>
      </c>
      <c r="C10" s="3" t="s">
        <v>108</v>
      </c>
      <c r="E10" s="36" t="s">
        <v>109</v>
      </c>
      <c r="F10" s="4" t="s">
        <v>55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110</v>
      </c>
      <c r="E11" s="36" t="s">
        <v>61</v>
      </c>
      <c r="F11" s="4" t="s">
        <v>55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46221</v>
      </c>
      <c r="B12" s="2" t="s">
        <v>62</v>
      </c>
      <c r="C12" s="3" t="s">
        <v>111</v>
      </c>
      <c r="E12" s="36" t="s">
        <v>64</v>
      </c>
      <c r="F12" s="4" t="s">
        <v>55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78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56</v>
      </c>
    </row>
    <row r="13" customFormat="false" ht="12" hidden="false" customHeight="false" outlineLevel="0" collapsed="false">
      <c r="A13" s="1" t="n">
        <v>46231</v>
      </c>
      <c r="B13" s="2" t="s">
        <v>68</v>
      </c>
      <c r="C13" s="3" t="s">
        <v>112</v>
      </c>
      <c r="E13" s="36" t="s">
        <v>70</v>
      </c>
      <c r="F13" s="4" t="s">
        <v>71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68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72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46299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Jul!H2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V1+Jul!V2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113</v>
      </c>
      <c r="C5" s="3" t="s">
        <v>114</v>
      </c>
      <c r="E5" s="36" t="s">
        <v>115</v>
      </c>
      <c r="F5" s="4" t="s">
        <v>116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64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117</v>
      </c>
    </row>
    <row r="6" customFormat="false" ht="12.75" hidden="false" customHeight="true" outlineLevel="0" collapsed="false">
      <c r="A6" s="1" t="n">
        <v>46237</v>
      </c>
      <c r="B6" s="2" t="s">
        <v>46</v>
      </c>
      <c r="C6" s="3" t="s">
        <v>118</v>
      </c>
      <c r="E6" s="36" t="s">
        <v>48</v>
      </c>
      <c r="F6" s="4" t="s">
        <v>44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62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46239</v>
      </c>
      <c r="B7" s="2" t="s">
        <v>49</v>
      </c>
      <c r="C7" s="3" t="s">
        <v>119</v>
      </c>
      <c r="E7" s="36" t="s">
        <v>51</v>
      </c>
      <c r="F7" s="4" t="s">
        <v>44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60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45</v>
      </c>
    </row>
    <row r="8" customFormat="false" ht="12" hidden="false" customHeight="false" outlineLevel="0" collapsed="false">
      <c r="A8" s="1" t="n">
        <v>46242</v>
      </c>
      <c r="B8" s="2" t="s">
        <v>52</v>
      </c>
      <c r="C8" s="3" t="s">
        <v>120</v>
      </c>
      <c r="E8" s="36" t="s">
        <v>54</v>
      </c>
      <c r="F8" s="4" t="s">
        <v>55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46244</v>
      </c>
      <c r="B9" s="2" t="s">
        <v>57</v>
      </c>
      <c r="C9" s="3" t="s">
        <v>121</v>
      </c>
      <c r="E9" s="36" t="s">
        <v>59</v>
      </c>
      <c r="F9" s="4" t="s">
        <v>55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46246</v>
      </c>
      <c r="B10" s="2" t="s">
        <v>77</v>
      </c>
      <c r="C10" s="3" t="s">
        <v>122</v>
      </c>
      <c r="E10" s="36" t="s">
        <v>79</v>
      </c>
      <c r="F10" s="4" t="s">
        <v>55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53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123</v>
      </c>
      <c r="E11" s="36" t="s">
        <v>61</v>
      </c>
      <c r="F11" s="4" t="s">
        <v>55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50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46252</v>
      </c>
      <c r="B12" s="2" t="s">
        <v>62</v>
      </c>
      <c r="C12" s="3" t="s">
        <v>124</v>
      </c>
      <c r="E12" s="36" t="s">
        <v>64</v>
      </c>
      <c r="F12" s="4" t="s">
        <v>55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56</v>
      </c>
    </row>
    <row r="13" customFormat="false" ht="12" hidden="false" customHeight="false" outlineLevel="0" collapsed="false">
      <c r="A13" s="1" t="n">
        <v>46254</v>
      </c>
      <c r="B13" s="2" t="s">
        <v>65</v>
      </c>
      <c r="C13" s="3" t="s">
        <v>125</v>
      </c>
      <c r="E13" s="36" t="s">
        <v>67</v>
      </c>
      <c r="F13" s="4" t="s">
        <v>55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45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56</v>
      </c>
    </row>
    <row r="14" customFormat="false" ht="12" hidden="false" customHeight="false" outlineLevel="0" collapsed="false">
      <c r="A14" s="1" t="n">
        <v>46259</v>
      </c>
      <c r="B14" s="2" t="s">
        <v>87</v>
      </c>
      <c r="C14" s="3" t="s">
        <v>126</v>
      </c>
      <c r="E14" s="36" t="s">
        <v>89</v>
      </c>
      <c r="F14" s="4" t="s">
        <v>55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40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56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46299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Aug!H2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V1+Aug!V2</f>
        <v>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46</v>
      </c>
      <c r="C5" s="3" t="s">
        <v>127</v>
      </c>
      <c r="E5" s="36" t="s">
        <v>48</v>
      </c>
      <c r="F5" s="4" t="s">
        <v>44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46270</v>
      </c>
      <c r="B6" s="2" t="s">
        <v>49</v>
      </c>
      <c r="C6" s="3" t="s">
        <v>128</v>
      </c>
      <c r="E6" s="36" t="s">
        <v>51</v>
      </c>
      <c r="F6" s="4" t="s">
        <v>44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46273</v>
      </c>
      <c r="B7" s="2" t="s">
        <v>52</v>
      </c>
      <c r="C7" s="3" t="s">
        <v>129</v>
      </c>
      <c r="E7" s="36" t="s">
        <v>54</v>
      </c>
      <c r="F7" s="4" t="s">
        <v>55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56</v>
      </c>
    </row>
    <row r="8" customFormat="false" ht="12" hidden="false" customHeight="false" outlineLevel="0" collapsed="false">
      <c r="A8" s="1" t="n">
        <v>46275</v>
      </c>
      <c r="B8" s="2" t="s">
        <v>57</v>
      </c>
      <c r="C8" s="3" t="s">
        <v>130</v>
      </c>
      <c r="E8" s="36" t="s">
        <v>59</v>
      </c>
      <c r="F8" s="4" t="s">
        <v>55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131</v>
      </c>
      <c r="E9" s="36" t="s">
        <v>61</v>
      </c>
      <c r="F9" s="4" t="s">
        <v>55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46281</v>
      </c>
      <c r="B10" s="2" t="s">
        <v>81</v>
      </c>
      <c r="C10" s="3" t="s">
        <v>132</v>
      </c>
      <c r="E10" s="36" t="s">
        <v>83</v>
      </c>
      <c r="F10" s="4" t="s">
        <v>84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18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85</v>
      </c>
    </row>
    <row r="11" customFormat="false" ht="12" hidden="false" customHeight="false" outlineLevel="0" collapsed="false">
      <c r="A11" s="1" t="n">
        <v>46283</v>
      </c>
      <c r="B11" s="2" t="s">
        <v>62</v>
      </c>
      <c r="C11" s="3" t="s">
        <v>133</v>
      </c>
      <c r="E11" s="36" t="s">
        <v>64</v>
      </c>
      <c r="F11" s="4" t="s">
        <v>55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46285</v>
      </c>
      <c r="B12" s="2" t="s">
        <v>134</v>
      </c>
      <c r="C12" s="3" t="s">
        <v>135</v>
      </c>
      <c r="E12" s="36" t="s">
        <v>136</v>
      </c>
      <c r="F12" s="4" t="s">
        <v>84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85</v>
      </c>
    </row>
    <row r="13" customFormat="false" ht="12" hidden="false" customHeight="false" outlineLevel="0" collapsed="false">
      <c r="A13" s="1" t="n">
        <v>46287</v>
      </c>
      <c r="B13" s="2" t="s">
        <v>99</v>
      </c>
      <c r="C13" s="3" t="s">
        <v>137</v>
      </c>
      <c r="E13" s="36" t="s">
        <v>101</v>
      </c>
      <c r="F13" s="4" t="s">
        <v>55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56</v>
      </c>
    </row>
    <row r="14" customFormat="false" ht="12" hidden="false" customHeight="false" outlineLevel="0" collapsed="false">
      <c r="A14" s="1" t="n">
        <v>46290</v>
      </c>
      <c r="B14" s="2" t="s">
        <v>138</v>
      </c>
      <c r="C14" s="3" t="s">
        <v>139</v>
      </c>
      <c r="E14" s="36" t="s">
        <v>140</v>
      </c>
      <c r="F14" s="4" t="s">
        <v>71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72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46299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Sep!H2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V1+Sep!V2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141</v>
      </c>
      <c r="E5" s="36" t="s">
        <v>43</v>
      </c>
      <c r="F5" s="4" t="s">
        <v>44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46298</v>
      </c>
      <c r="B6" s="2" t="s">
        <v>46</v>
      </c>
      <c r="C6" s="3" t="s">
        <v>142</v>
      </c>
      <c r="E6" s="36" t="s">
        <v>48</v>
      </c>
      <c r="F6" s="4" t="s">
        <v>44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46300</v>
      </c>
      <c r="B7" s="2" t="s">
        <v>49</v>
      </c>
      <c r="C7" s="3" t="s">
        <v>143</v>
      </c>
      <c r="E7" s="36" t="s">
        <v>51</v>
      </c>
      <c r="F7" s="4" t="s">
        <v>44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45</v>
      </c>
    </row>
    <row r="8" customFormat="false" ht="12" hidden="false" customHeight="false" outlineLevel="0" collapsed="false">
      <c r="A8" s="1" t="n">
        <v>46303</v>
      </c>
      <c r="B8" s="2" t="s">
        <v>52</v>
      </c>
      <c r="C8" s="3" t="s">
        <v>144</v>
      </c>
      <c r="E8" s="36" t="s">
        <v>54</v>
      </c>
      <c r="F8" s="4" t="s">
        <v>55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46305</v>
      </c>
      <c r="B9" s="2" t="s">
        <v>145</v>
      </c>
      <c r="C9" s="3" t="s">
        <v>146</v>
      </c>
      <c r="E9" s="36" t="s">
        <v>147</v>
      </c>
      <c r="F9" s="4" t="s">
        <v>148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149</v>
      </c>
    </row>
    <row r="10" customFormat="false" ht="12" hidden="false" customHeight="false" outlineLevel="0" collapsed="false">
      <c r="A10" s="1" t="n">
        <v>46305</v>
      </c>
      <c r="B10" s="2" t="s">
        <v>57</v>
      </c>
      <c r="C10" s="3" t="s">
        <v>150</v>
      </c>
      <c r="E10" s="36" t="s">
        <v>59</v>
      </c>
      <c r="F10" s="4" t="s">
        <v>55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46309</v>
      </c>
      <c r="B11" s="2" t="s">
        <v>107</v>
      </c>
      <c r="C11" s="3" t="s">
        <v>151</v>
      </c>
      <c r="E11" s="36" t="s">
        <v>109</v>
      </c>
      <c r="F11" s="4" t="s">
        <v>55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-10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152</v>
      </c>
      <c r="E12" s="36" t="s">
        <v>61</v>
      </c>
      <c r="F12" s="4" t="s">
        <v>55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-11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56</v>
      </c>
    </row>
    <row r="13" customFormat="false" ht="12" hidden="false" customHeight="false" outlineLevel="0" collapsed="false">
      <c r="A13" s="1" t="n">
        <v>46313</v>
      </c>
      <c r="B13" s="2" t="s">
        <v>62</v>
      </c>
      <c r="C13" s="3" t="s">
        <v>153</v>
      </c>
      <c r="E13" s="36" t="s">
        <v>64</v>
      </c>
      <c r="F13" s="4" t="s">
        <v>55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56</v>
      </c>
    </row>
    <row r="14" customFormat="false" ht="12" hidden="false" customHeight="false" outlineLevel="0" collapsed="false">
      <c r="A14" s="1" t="n">
        <v>46315</v>
      </c>
      <c r="B14" s="2" t="s">
        <v>65</v>
      </c>
      <c r="C14" s="3" t="s">
        <v>154</v>
      </c>
      <c r="E14" s="36" t="s">
        <v>67</v>
      </c>
      <c r="F14" s="4" t="s">
        <v>55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-16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56</v>
      </c>
    </row>
    <row r="15" customFormat="false" ht="12" hidden="false" customHeight="false" outlineLevel="0" collapsed="false">
      <c r="A15" s="1" t="n">
        <v>46323</v>
      </c>
      <c r="B15" s="2" t="s">
        <v>68</v>
      </c>
      <c r="C15" s="3" t="s">
        <v>155</v>
      </c>
      <c r="E15" s="36" t="s">
        <v>70</v>
      </c>
      <c r="F15" s="4" t="s">
        <v>71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-24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72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46299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Oct!H2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V1+Oct!V2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46</v>
      </c>
      <c r="C5" s="3" t="s">
        <v>156</v>
      </c>
      <c r="E5" s="36" t="s">
        <v>48</v>
      </c>
      <c r="F5" s="4" t="s">
        <v>44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-30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46331</v>
      </c>
      <c r="B6" s="2" t="s">
        <v>49</v>
      </c>
      <c r="C6" s="3" t="s">
        <v>157</v>
      </c>
      <c r="E6" s="36" t="s">
        <v>51</v>
      </c>
      <c r="F6" s="4" t="s">
        <v>44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-32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46334</v>
      </c>
      <c r="B7" s="2" t="s">
        <v>52</v>
      </c>
      <c r="C7" s="3" t="s">
        <v>158</v>
      </c>
      <c r="E7" s="36" t="s">
        <v>54</v>
      </c>
      <c r="F7" s="4" t="s">
        <v>55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-35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56</v>
      </c>
    </row>
    <row r="8" customFormat="false" ht="12" hidden="false" customHeight="false" outlineLevel="0" collapsed="false">
      <c r="A8" s="1" t="n">
        <v>46336</v>
      </c>
      <c r="B8" s="2" t="s">
        <v>57</v>
      </c>
      <c r="C8" s="3" t="s">
        <v>159</v>
      </c>
      <c r="E8" s="36" t="s">
        <v>59</v>
      </c>
      <c r="F8" s="4" t="s">
        <v>55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-37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46338</v>
      </c>
      <c r="B9" s="2" t="s">
        <v>77</v>
      </c>
      <c r="C9" s="3" t="s">
        <v>160</v>
      </c>
      <c r="E9" s="36" t="s">
        <v>79</v>
      </c>
      <c r="F9" s="4" t="s">
        <v>55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-39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161</v>
      </c>
      <c r="E10" s="36" t="s">
        <v>61</v>
      </c>
      <c r="F10" s="4" t="s">
        <v>55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-42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46344</v>
      </c>
      <c r="B11" s="2" t="s">
        <v>62</v>
      </c>
      <c r="C11" s="3" t="s">
        <v>162</v>
      </c>
      <c r="E11" s="36" t="s">
        <v>64</v>
      </c>
      <c r="F11" s="4" t="s">
        <v>55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-45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46346</v>
      </c>
      <c r="B12" s="2" t="s">
        <v>163</v>
      </c>
      <c r="C12" s="3" t="s">
        <v>164</v>
      </c>
      <c r="E12" s="36" t="s">
        <v>165</v>
      </c>
      <c r="F12" s="4" t="s">
        <v>84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-47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85</v>
      </c>
    </row>
    <row r="13" customFormat="false" ht="12" hidden="false" customHeight="false" outlineLevel="0" collapsed="false">
      <c r="A13" s="1" t="n">
        <v>46351</v>
      </c>
      <c r="B13" s="2" t="s">
        <v>87</v>
      </c>
      <c r="C13" s="3" t="s">
        <v>166</v>
      </c>
      <c r="E13" s="36" t="s">
        <v>89</v>
      </c>
      <c r="F13" s="4" t="s">
        <v>55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-52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56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46299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Nov!H2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V1+Nov!V2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46</v>
      </c>
      <c r="C5" s="3" t="s">
        <v>167</v>
      </c>
      <c r="E5" s="36" t="s">
        <v>48</v>
      </c>
      <c r="F5" s="4" t="s">
        <v>44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46361</v>
      </c>
      <c r="B6" s="2" t="s">
        <v>49</v>
      </c>
      <c r="C6" s="3" t="s">
        <v>168</v>
      </c>
      <c r="E6" s="36" t="s">
        <v>51</v>
      </c>
      <c r="F6" s="4" t="s">
        <v>44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46364</v>
      </c>
      <c r="B7" s="2" t="s">
        <v>52</v>
      </c>
      <c r="C7" s="3" t="s">
        <v>169</v>
      </c>
      <c r="E7" s="36" t="s">
        <v>54</v>
      </c>
      <c r="F7" s="4" t="s">
        <v>55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-65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56</v>
      </c>
    </row>
    <row r="8" customFormat="false" ht="12" hidden="false" customHeight="false" outlineLevel="0" collapsed="false">
      <c r="A8" s="1" t="n">
        <v>46366</v>
      </c>
      <c r="B8" s="2" t="s">
        <v>57</v>
      </c>
      <c r="C8" s="3" t="s">
        <v>170</v>
      </c>
      <c r="E8" s="36" t="s">
        <v>59</v>
      </c>
      <c r="F8" s="4" t="s">
        <v>55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-67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171</v>
      </c>
      <c r="E9" s="36" t="s">
        <v>61</v>
      </c>
      <c r="F9" s="4" t="s">
        <v>55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-72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46374</v>
      </c>
      <c r="B10" s="2" t="s">
        <v>62</v>
      </c>
      <c r="C10" s="3" t="s">
        <v>172</v>
      </c>
      <c r="E10" s="36" t="s">
        <v>64</v>
      </c>
      <c r="F10" s="4" t="s">
        <v>55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-75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46376</v>
      </c>
      <c r="B11" s="2" t="s">
        <v>65</v>
      </c>
      <c r="C11" s="3" t="s">
        <v>173</v>
      </c>
      <c r="E11" s="36" t="s">
        <v>67</v>
      </c>
      <c r="F11" s="4" t="s">
        <v>55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-77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46378</v>
      </c>
      <c r="B12" s="2" t="s">
        <v>99</v>
      </c>
      <c r="C12" s="3" t="s">
        <v>174</v>
      </c>
      <c r="E12" s="36" t="s">
        <v>101</v>
      </c>
      <c r="F12" s="4" t="s">
        <v>55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-79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56</v>
      </c>
    </row>
    <row r="13" customFormat="false" ht="12" hidden="false" customHeight="false" outlineLevel="0" collapsed="false">
      <c r="F13" s="4" t="str">
        <f aca="false">IF((G13&lt;&gt;0),"Enter Letter"," ")</f>
        <v> </v>
      </c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46299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Dec!H2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V1+Dec!V2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175</v>
      </c>
      <c r="E5" s="36" t="s">
        <v>43</v>
      </c>
      <c r="F5" s="4" t="s">
        <v>44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-89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46390</v>
      </c>
      <c r="B6" s="2" t="s">
        <v>46</v>
      </c>
      <c r="C6" s="3" t="s">
        <v>176</v>
      </c>
      <c r="E6" s="36" t="s">
        <v>48</v>
      </c>
      <c r="F6" s="4" t="s">
        <v>44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46392</v>
      </c>
      <c r="B7" s="2" t="s">
        <v>49</v>
      </c>
      <c r="C7" s="3" t="s">
        <v>177</v>
      </c>
      <c r="E7" s="36" t="s">
        <v>51</v>
      </c>
      <c r="F7" s="4" t="s">
        <v>44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-93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45</v>
      </c>
    </row>
    <row r="8" customFormat="false" ht="12" hidden="false" customHeight="false" outlineLevel="0" collapsed="false">
      <c r="A8" s="1" t="n">
        <v>46395</v>
      </c>
      <c r="B8" s="2" t="s">
        <v>52</v>
      </c>
      <c r="C8" s="3" t="s">
        <v>178</v>
      </c>
      <c r="E8" s="36" t="s">
        <v>54</v>
      </c>
      <c r="F8" s="4" t="s">
        <v>55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-96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46397</v>
      </c>
      <c r="B9" s="2" t="s">
        <v>57</v>
      </c>
      <c r="C9" s="3" t="s">
        <v>179</v>
      </c>
      <c r="E9" s="36" t="s">
        <v>59</v>
      </c>
      <c r="F9" s="4" t="s">
        <v>55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-98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46401</v>
      </c>
      <c r="B10" s="2" t="s">
        <v>107</v>
      </c>
      <c r="C10" s="3" t="s">
        <v>180</v>
      </c>
      <c r="E10" s="36" t="s">
        <v>109</v>
      </c>
      <c r="F10" s="4" t="s">
        <v>55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-102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181</v>
      </c>
      <c r="E11" s="36" t="s">
        <v>61</v>
      </c>
      <c r="F11" s="4" t="s">
        <v>55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-103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46403</v>
      </c>
      <c r="B12" s="2" t="s">
        <v>81</v>
      </c>
      <c r="C12" s="3" t="s">
        <v>182</v>
      </c>
      <c r="E12" s="36" t="s">
        <v>83</v>
      </c>
      <c r="F12" s="4" t="s">
        <v>84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-104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85</v>
      </c>
    </row>
    <row r="13" customFormat="false" ht="12" hidden="false" customHeight="false" outlineLevel="0" collapsed="false">
      <c r="A13" s="1" t="n">
        <v>46405</v>
      </c>
      <c r="B13" s="2" t="s">
        <v>62</v>
      </c>
      <c r="C13" s="3" t="s">
        <v>183</v>
      </c>
      <c r="E13" s="36" t="s">
        <v>64</v>
      </c>
      <c r="F13" s="4" t="s">
        <v>55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-106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56</v>
      </c>
    </row>
    <row r="14" customFormat="false" ht="12" hidden="false" customHeight="false" outlineLevel="0" collapsed="false">
      <c r="A14" s="1" t="n">
        <v>46412</v>
      </c>
      <c r="B14" s="2" t="s">
        <v>184</v>
      </c>
      <c r="C14" s="3" t="s">
        <v>185</v>
      </c>
      <c r="E14" s="36" t="s">
        <v>140</v>
      </c>
      <c r="F14" s="4" t="s">
        <v>71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-113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72</v>
      </c>
    </row>
    <row r="15" customFormat="false" ht="12" hidden="false" customHeight="false" outlineLevel="0" collapsed="false">
      <c r="A15" s="1" t="n">
        <v>46415</v>
      </c>
      <c r="B15" s="2" t="s">
        <v>68</v>
      </c>
      <c r="C15" s="3" t="s">
        <v>186</v>
      </c>
      <c r="E15" s="36" t="s">
        <v>70</v>
      </c>
      <c r="F15" s="4" t="s">
        <v>71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-116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72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46299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Jan!H2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V1+Jan!V2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46</v>
      </c>
      <c r="C5" s="3" t="s">
        <v>187</v>
      </c>
      <c r="E5" s="36" t="s">
        <v>48</v>
      </c>
      <c r="F5" s="4" t="s">
        <v>44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-122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46423</v>
      </c>
      <c r="B6" s="2" t="s">
        <v>49</v>
      </c>
      <c r="C6" s="3" t="s">
        <v>188</v>
      </c>
      <c r="E6" s="36" t="s">
        <v>51</v>
      </c>
      <c r="F6" s="4" t="s">
        <v>44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-124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46426</v>
      </c>
      <c r="B7" s="2" t="s">
        <v>52</v>
      </c>
      <c r="C7" s="3" t="s">
        <v>189</v>
      </c>
      <c r="E7" s="36" t="s">
        <v>54</v>
      </c>
      <c r="F7" s="4" t="s">
        <v>55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56</v>
      </c>
    </row>
    <row r="8" customFormat="false" ht="12" hidden="false" customHeight="false" outlineLevel="0" collapsed="false">
      <c r="A8" s="1" t="n">
        <v>46428</v>
      </c>
      <c r="B8" s="2" t="s">
        <v>57</v>
      </c>
      <c r="C8" s="3" t="s">
        <v>190</v>
      </c>
      <c r="E8" s="36" t="s">
        <v>59</v>
      </c>
      <c r="F8" s="4" t="s">
        <v>55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-129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191</v>
      </c>
      <c r="E9" s="36" t="s">
        <v>61</v>
      </c>
      <c r="F9" s="4" t="s">
        <v>55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-134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46436</v>
      </c>
      <c r="B10" s="2" t="s">
        <v>62</v>
      </c>
      <c r="C10" s="3" t="s">
        <v>192</v>
      </c>
      <c r="E10" s="36" t="s">
        <v>64</v>
      </c>
      <c r="F10" s="4" t="s">
        <v>55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-137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46438</v>
      </c>
      <c r="B11" s="2" t="s">
        <v>65</v>
      </c>
      <c r="C11" s="3" t="s">
        <v>193</v>
      </c>
      <c r="E11" s="36" t="s">
        <v>67</v>
      </c>
      <c r="F11" s="4" t="s">
        <v>55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-139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46438</v>
      </c>
      <c r="B12" s="2" t="s">
        <v>194</v>
      </c>
      <c r="C12" s="3" t="s">
        <v>195</v>
      </c>
      <c r="E12" s="36" t="s">
        <v>196</v>
      </c>
      <c r="F12" s="4" t="s">
        <v>84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-139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85</v>
      </c>
    </row>
    <row r="13" customFormat="false" ht="12" hidden="false" customHeight="false" outlineLevel="0" collapsed="false">
      <c r="A13" s="1" t="n">
        <v>46443</v>
      </c>
      <c r="B13" s="2" t="s">
        <v>87</v>
      </c>
      <c r="C13" s="3" t="s">
        <v>197</v>
      </c>
      <c r="E13" s="36" t="s">
        <v>89</v>
      </c>
      <c r="F13" s="4" t="s">
        <v>55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-144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56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customFormat="false" ht="13.5" hidden="false" customHeight="true" outlineLevel="0" collapsed="false">
      <c r="A1" s="37" t="n">
        <f aca="false">G1-H1-SUM(P1:V1)</f>
        <v>0</v>
      </c>
      <c r="B1" s="38" t="s">
        <v>23</v>
      </c>
      <c r="C1" s="39" t="s">
        <v>24</v>
      </c>
      <c r="D1" s="40" t="n">
        <f aca="false">SUM(D5:D300)</f>
        <v>0</v>
      </c>
      <c r="E1" s="13" t="s">
        <v>3</v>
      </c>
      <c r="F1" s="12" t="s">
        <v>25</v>
      </c>
      <c r="G1" s="14" t="n">
        <f aca="false">SUM(G5:G300)</f>
        <v>30640</v>
      </c>
      <c r="H1" s="14" t="n">
        <f aca="false">SUM(H5:H300)</f>
        <v>5106.66666666667</v>
      </c>
      <c r="I1" s="14" t="n">
        <f aca="false">SUM(I5:I300)</f>
        <v>25533.3333333333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30640</v>
      </c>
      <c r="N1" s="18" t="n">
        <f aca="true">TODAY()</f>
        <v>46299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-300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24</v>
      </c>
      <c r="E2" s="13"/>
      <c r="F2" s="13"/>
      <c r="G2" s="10" t="s">
        <v>5</v>
      </c>
      <c r="H2" s="21" t="n">
        <f aca="false">Feb!H2</f>
        <v>20</v>
      </c>
      <c r="I2" s="10" t="s">
        <v>26</v>
      </c>
      <c r="J2" s="15"/>
      <c r="K2" s="16"/>
      <c r="L2" s="22" t="s">
        <v>7</v>
      </c>
      <c r="M2" s="22"/>
      <c r="N2" s="22"/>
      <c r="O2" s="19"/>
      <c r="P2" s="10" t="s">
        <v>27</v>
      </c>
      <c r="Q2" s="10"/>
      <c r="R2" s="10"/>
      <c r="S2" s="10" t="s">
        <v>28</v>
      </c>
      <c r="T2" s="10" t="s">
        <v>29</v>
      </c>
      <c r="U2" s="10" t="s">
        <v>30</v>
      </c>
      <c r="V2" s="10" t="n">
        <f aca="false">V1+Feb!V2</f>
        <v>12500</v>
      </c>
      <c r="W2" s="10" t="s">
        <v>8</v>
      </c>
      <c r="X2" s="1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31</v>
      </c>
      <c r="Q3" s="42" t="s">
        <v>32</v>
      </c>
      <c r="R3" s="42" t="s">
        <v>33</v>
      </c>
      <c r="S3" s="10"/>
      <c r="T3" s="10"/>
      <c r="U3" s="10"/>
      <c r="V3" s="10" t="s">
        <v>34</v>
      </c>
      <c r="W3" s="10" t="s">
        <v>13</v>
      </c>
      <c r="X3" s="10" t="s">
        <v>14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35</v>
      </c>
      <c r="Q4" s="14" t="s">
        <v>36</v>
      </c>
      <c r="R4" s="14" t="s">
        <v>37</v>
      </c>
      <c r="S4" s="14" t="s">
        <v>38</v>
      </c>
      <c r="T4" s="14" t="s">
        <v>39</v>
      </c>
      <c r="U4" s="14" t="s">
        <v>40</v>
      </c>
      <c r="V4" s="14" t="s">
        <v>41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46</v>
      </c>
      <c r="C5" s="3" t="s">
        <v>198</v>
      </c>
      <c r="E5" s="36" t="s">
        <v>48</v>
      </c>
      <c r="F5" s="4" t="s">
        <v>44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-150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45</v>
      </c>
    </row>
    <row r="6" customFormat="false" ht="12.75" hidden="false" customHeight="true" outlineLevel="0" collapsed="false">
      <c r="A6" s="1" t="n">
        <v>46451</v>
      </c>
      <c r="B6" s="2" t="s">
        <v>49</v>
      </c>
      <c r="C6" s="3" t="s">
        <v>199</v>
      </c>
      <c r="E6" s="36" t="s">
        <v>51</v>
      </c>
      <c r="F6" s="4" t="s">
        <v>44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45</v>
      </c>
    </row>
    <row r="7" customFormat="false" ht="12" hidden="false" customHeight="false" outlineLevel="0" collapsed="false">
      <c r="A7" s="1" t="n">
        <v>46454</v>
      </c>
      <c r="B7" s="2" t="s">
        <v>52</v>
      </c>
      <c r="C7" s="3" t="s">
        <v>200</v>
      </c>
      <c r="E7" s="36" t="s">
        <v>54</v>
      </c>
      <c r="F7" s="4" t="s">
        <v>55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56</v>
      </c>
    </row>
    <row r="8" customFormat="false" ht="12" hidden="false" customHeight="false" outlineLevel="0" collapsed="false">
      <c r="A8" s="1" t="n">
        <v>46456</v>
      </c>
      <c r="B8" s="2" t="s">
        <v>57</v>
      </c>
      <c r="C8" s="3" t="s">
        <v>201</v>
      </c>
      <c r="E8" s="36" t="s">
        <v>59</v>
      </c>
      <c r="F8" s="4" t="s">
        <v>55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56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202</v>
      </c>
      <c r="E9" s="36" t="s">
        <v>61</v>
      </c>
      <c r="F9" s="4" t="s">
        <v>55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-162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56</v>
      </c>
    </row>
    <row r="10" customFormat="false" ht="12" hidden="false" customHeight="false" outlineLevel="0" collapsed="false">
      <c r="A10" s="1" t="n">
        <v>46464</v>
      </c>
      <c r="B10" s="2" t="s">
        <v>62</v>
      </c>
      <c r="C10" s="3" t="s">
        <v>203</v>
      </c>
      <c r="E10" s="36" t="s">
        <v>64</v>
      </c>
      <c r="F10" s="4" t="s">
        <v>55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-165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56</v>
      </c>
    </row>
    <row r="11" customFormat="false" ht="12" hidden="false" customHeight="false" outlineLevel="0" collapsed="false">
      <c r="A11" s="1" t="n">
        <v>46468</v>
      </c>
      <c r="B11" s="2" t="s">
        <v>99</v>
      </c>
      <c r="C11" s="3" t="s">
        <v>204</v>
      </c>
      <c r="E11" s="36" t="s">
        <v>101</v>
      </c>
      <c r="F11" s="4" t="s">
        <v>55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-169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56</v>
      </c>
    </row>
    <row r="12" customFormat="false" ht="12" hidden="false" customHeight="false" outlineLevel="0" collapsed="false">
      <c r="A12" s="1" t="n">
        <v>46477</v>
      </c>
      <c r="B12" s="2" t="s">
        <v>21</v>
      </c>
      <c r="C12" s="3" t="s">
        <v>205</v>
      </c>
      <c r="E12" s="36" t="s">
        <v>206</v>
      </c>
      <c r="F12" s="4" t="s">
        <v>207</v>
      </c>
      <c r="G12" s="2" t="n">
        <v>-360</v>
      </c>
      <c r="H12" s="2" t="n">
        <f aca="false">IF(H$4&gt;0,(IF(G12&lt;&gt;0,G12*H$4/100," ")),IF(G12&lt;&gt;0,G12*H$2/(100+H$2)," "))</f>
        <v>-60</v>
      </c>
      <c r="I12" s="2" t="n">
        <f aca="false">IF((G12&lt;&gt;0),G12-H12," ")</f>
        <v>-300</v>
      </c>
      <c r="M12" s="7" t="n">
        <f aca="false">IF(G12&lt;&gt;0,G12-L12," ")</f>
        <v>-360</v>
      </c>
      <c r="N12" s="8" t="n">
        <f aca="false">IF((G12-L12)&lt;&gt;0,N$1-A12," ")</f>
        <v>-178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-300</v>
      </c>
      <c r="V12" s="2" t="str">
        <f aca="false">IF((F12="FS"),I12," ")</f>
        <v> </v>
      </c>
      <c r="BZ12" s="2" t="s">
        <v>208</v>
      </c>
    </row>
    <row r="13" customFormat="false" ht="12" hidden="false" customHeight="false" outlineLevel="0" collapsed="false">
      <c r="F13" s="4" t="str">
        <f aca="false">IF((G13&lt;&gt;0),"Enter Letter"," ")</f>
        <v> </v>
      </c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F14" s="4" t="str">
        <f aca="false">IF((G14&lt;&gt;0),"Enter Letter"," ")</f>
        <v> </v>
      </c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F15" s="4" t="str">
        <f aca="false">IF((G15&lt;&gt;0),"Enter Letter"," ")</f>
        <v> </v>
      </c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F16" s="4" t="str">
        <f aca="false">IF((G16&lt;&gt;0),"Enter Letter"," ")</f>
        <v> </v>
      </c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F17" s="4" t="str">
        <f aca="false">IF((G17&lt;&gt;0),"Enter Letter"," ")</f>
        <v> </v>
      </c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F18" s="4" t="str">
        <f aca="false">IF((G18&lt;&gt;0),"Enter Letter"," ")</f>
        <v> </v>
      </c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F19" s="4" t="str">
        <f aca="false">IF((G19&lt;&gt;0),"Enter Letter"," ")</f>
        <v> </v>
      </c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F20" s="4" t="str">
        <f aca="false">IF((G20&lt;&gt;0),"Enter Letter"," ")</f>
        <v> </v>
      </c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F23" s="4" t="str">
        <f aca="false">IF((G23&lt;&gt;0),"Enter Letter"," ")</f>
        <v> </v>
      </c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F24" s="4" t="str">
        <f aca="false">IF((G24&lt;&gt;0),"Enter Letter"," ")</f>
        <v> </v>
      </c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F25" s="4" t="str">
        <f aca="false">IF((G25&lt;&gt;0),"Enter Letter"," ")</f>
        <v> </v>
      </c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F26" s="4" t="str">
        <f aca="false">IF((G26&lt;&gt;0),"Enter Letter"," ")</f>
        <v> </v>
      </c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F27" s="4" t="str">
        <f aca="false">IF((G27&lt;&gt;0),"Enter Letter"," ")</f>
        <v> </v>
      </c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F28" s="4" t="str">
        <f aca="false">IF((G28&lt;&gt;0),"Enter Letter"," ")</f>
        <v> </v>
      </c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F29" s="4" t="str">
        <f aca="false">IF((G29&lt;&gt;0),"Enter Letter"," ")</f>
        <v> </v>
      </c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F30" s="4" t="str">
        <f aca="false">IF((G30&lt;&gt;0),"Enter Letter"," ")</f>
        <v> </v>
      </c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F31" s="4" t="str">
        <f aca="false">IF((G31&lt;&gt;0),"Enter Letter"," ")</f>
        <v> </v>
      </c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F32" s="4" t="str">
        <f aca="false">IF((G32&lt;&gt;0),"Enter Letter"," ")</f>
        <v> </v>
      </c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F33" s="4" t="str">
        <f aca="false">IF((G33&lt;&gt;0),"Enter Letter"," ")</f>
        <v> </v>
      </c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F34" s="4" t="str">
        <f aca="false">IF((G34&lt;&gt;0),"Enter Letter"," ")</f>
        <v> </v>
      </c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F35" s="4" t="str">
        <f aca="false">IF((G35&lt;&gt;0),"Enter Letter"," ")</f>
        <v> </v>
      </c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F36" s="4" t="str">
        <f aca="false">IF((G36&lt;&gt;0),"Enter Letter"," ")</f>
        <v> </v>
      </c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F37" s="4" t="str">
        <f aca="false">IF((G37&lt;&gt;0),"Enter Letter"," ")</f>
        <v> </v>
      </c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F38" s="4" t="str">
        <f aca="false">IF((G38&lt;&gt;0),"Enter Letter"," ")</f>
        <v> </v>
      </c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F39" s="4" t="str">
        <f aca="false">IF((G39&lt;&gt;0),"Enter Letter"," ")</f>
        <v> </v>
      </c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F40" s="4" t="str">
        <f aca="false">IF((G40&lt;&gt;0),"Enter Letter"," ")</f>
        <v> </v>
      </c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F41" s="4" t="str">
        <f aca="false">IF((G41&lt;&gt;0),"Enter Letter"," ")</f>
        <v> </v>
      </c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F42" s="4" t="str">
        <f aca="false">IF((G42&lt;&gt;0),"Enter Letter"," ")</f>
        <v> </v>
      </c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F43" s="4" t="str">
        <f aca="false">IF((G43&lt;&gt;0),"Enter Letter"," ")</f>
        <v> </v>
      </c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F44" s="4" t="str">
        <f aca="false">IF((G44&lt;&gt;0),"Enter Letter"," ")</f>
        <v> </v>
      </c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F45" s="4" t="str">
        <f aca="false">IF((G45&lt;&gt;0),"Enter Letter"," ")</f>
        <v> </v>
      </c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F46" s="4" t="str">
        <f aca="false">IF((G46&lt;&gt;0),"Enter Letter"," ")</f>
        <v> </v>
      </c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F47" s="4" t="str">
        <f aca="false">IF((G47&lt;&gt;0),"Enter Letter"," ")</f>
        <v> </v>
      </c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F48" s="4" t="str">
        <f aca="false">IF((G48&lt;&gt;0),"Enter Letter"," ")</f>
        <v> </v>
      </c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F49" s="4" t="str">
        <f aca="false">IF((G49&lt;&gt;0),"Enter Letter"," ")</f>
        <v> </v>
      </c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F50" s="4" t="str">
        <f aca="false">IF((G50&lt;&gt;0),"Enter Letter"," ")</f>
        <v> </v>
      </c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F51" s="4" t="str">
        <f aca="false">IF((G51&lt;&gt;0),"Enter Letter"," ")</f>
        <v> </v>
      </c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F52" s="4" t="str">
        <f aca="false">IF((G52&lt;&gt;0),"Enter Letter"," ")</f>
        <v> </v>
      </c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F53" s="4" t="str">
        <f aca="false">IF((G53&lt;&gt;0),"Enter Letter"," ")</f>
        <v> </v>
      </c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F54" s="4" t="str">
        <f aca="false">IF((G54&lt;&gt;0),"Enter Letter"," ")</f>
        <v> </v>
      </c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F55" s="4" t="str">
        <f aca="false">IF((G55&lt;&gt;0),"Enter Letter"," ")</f>
        <v> </v>
      </c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F56" s="4" t="str">
        <f aca="false">IF((G56&lt;&gt;0),"Enter Letter"," ")</f>
        <v> </v>
      </c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F57" s="4" t="str">
        <f aca="false">IF((G57&lt;&gt;0),"Enter Letter"," ")</f>
        <v> </v>
      </c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F58" s="4" t="str">
        <f aca="false">IF((G58&lt;&gt;0),"Enter Letter"," ")</f>
        <v> </v>
      </c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F59" s="4" t="str">
        <f aca="false">IF((G59&lt;&gt;0),"Enter Letter"," ")</f>
        <v> </v>
      </c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F60" s="4" t="str">
        <f aca="false">IF((G60&lt;&gt;0),"Enter Letter"," ")</f>
        <v> </v>
      </c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F61" s="4" t="str">
        <f aca="false">IF((G61&lt;&gt;0),"Enter Letter"," ")</f>
        <v> </v>
      </c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F62" s="4" t="str">
        <f aca="false">IF((G62&lt;&gt;0),"Enter Letter"," ")</f>
        <v> </v>
      </c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F63" s="4" t="str">
        <f aca="false">IF((G63&lt;&gt;0),"Enter Letter"," ")</f>
        <v> </v>
      </c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F64" s="4" t="str">
        <f aca="false">IF((G64&lt;&gt;0),"Enter Letter"," ")</f>
        <v> </v>
      </c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F65" s="4" t="str">
        <f aca="false">IF((G65&lt;&gt;0),"Enter Letter"," ")</f>
        <v> </v>
      </c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F66" s="4" t="str">
        <f aca="false">IF((G66&lt;&gt;0),"Enter Letter"," ")</f>
        <v> </v>
      </c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F67" s="4" t="str">
        <f aca="false">IF((G67&lt;&gt;0),"Enter Letter"," ")</f>
        <v> </v>
      </c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F68" s="4" t="str">
        <f aca="false">IF((G68&lt;&gt;0),"Enter Letter"," ")</f>
        <v> </v>
      </c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customFormat="fals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7540</v>
      </c>
      <c r="H1" s="14" t="n">
        <f aca="false">SUM(H5:H300)</f>
        <v>1256.66666666667</v>
      </c>
      <c r="I1" s="14" t="n">
        <f aca="false">SUM(I5:I300)</f>
        <v>6283.33333333333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7540</v>
      </c>
      <c r="N1" s="18" t="n">
        <f aca="true">TODAY()</f>
        <v>46299</v>
      </c>
      <c r="O1" s="19"/>
      <c r="P1" s="14" t="n">
        <f aca="false">SUM(P5:P300)</f>
        <v>0</v>
      </c>
      <c r="Q1" s="14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CP1" s="20"/>
      <c r="CQ1" s="20"/>
      <c r="CR1" s="20"/>
      <c r="CS1" s="20"/>
      <c r="CT1" s="20"/>
      <c r="CU1" s="20"/>
      <c r="CV1" s="20"/>
      <c r="CW1" s="20"/>
      <c r="CX1" s="20"/>
      <c r="CY1" s="20"/>
      <c r="CZ1" s="20"/>
      <c r="DA1" s="20"/>
      <c r="DB1" s="20"/>
      <c r="DC1" s="20"/>
      <c r="DD1" s="20"/>
      <c r="DE1" s="20"/>
      <c r="DF1" s="20"/>
      <c r="DG1" s="20"/>
      <c r="DH1" s="20"/>
      <c r="DI1" s="20"/>
      <c r="DJ1" s="20"/>
      <c r="DK1" s="20"/>
      <c r="DL1" s="20"/>
      <c r="DM1" s="20"/>
      <c r="DN1" s="20"/>
      <c r="DO1" s="20"/>
      <c r="DP1" s="20"/>
      <c r="DQ1" s="20"/>
      <c r="DR1" s="20"/>
      <c r="DS1" s="20"/>
      <c r="DT1" s="20"/>
      <c r="DU1" s="20"/>
      <c r="DV1" s="20"/>
      <c r="DW1" s="20"/>
      <c r="DX1" s="20"/>
      <c r="DY1" s="20"/>
      <c r="DZ1" s="20"/>
      <c r="EA1" s="20"/>
      <c r="EB1" s="20"/>
      <c r="EC1" s="20"/>
      <c r="ED1" s="20"/>
      <c r="EE1" s="20"/>
      <c r="EF1" s="20"/>
      <c r="EG1" s="20"/>
      <c r="EH1" s="20"/>
      <c r="EI1" s="20"/>
      <c r="EJ1" s="20"/>
      <c r="EK1" s="20"/>
      <c r="EL1" s="20"/>
      <c r="EM1" s="20"/>
      <c r="EN1" s="20"/>
      <c r="EO1" s="20"/>
      <c r="EP1" s="20"/>
      <c r="EQ1" s="20"/>
      <c r="ER1" s="20"/>
      <c r="ES1" s="20"/>
      <c r="ET1" s="20"/>
      <c r="EU1" s="20"/>
      <c r="EV1" s="20"/>
      <c r="EW1" s="20"/>
      <c r="EX1" s="20"/>
      <c r="EY1" s="20"/>
      <c r="EZ1" s="20"/>
      <c r="FA1" s="20"/>
      <c r="FB1" s="20"/>
      <c r="FC1" s="20"/>
      <c r="FD1" s="20"/>
      <c r="FE1" s="20"/>
      <c r="FF1" s="20"/>
      <c r="FG1" s="20"/>
      <c r="FH1" s="20"/>
      <c r="FI1" s="20"/>
      <c r="FJ1" s="20"/>
      <c r="FK1" s="20"/>
      <c r="FL1" s="20"/>
      <c r="FM1" s="20"/>
      <c r="FN1" s="20"/>
      <c r="FO1" s="20"/>
      <c r="FP1" s="20"/>
      <c r="FQ1" s="20"/>
      <c r="FR1" s="20"/>
      <c r="FS1" s="20"/>
      <c r="FT1" s="20"/>
      <c r="FU1" s="20"/>
      <c r="FV1" s="20"/>
      <c r="FW1" s="20"/>
      <c r="FX1" s="20"/>
      <c r="FY1" s="20"/>
      <c r="FZ1" s="20"/>
      <c r="GA1" s="20"/>
      <c r="GB1" s="20"/>
      <c r="GC1" s="20"/>
      <c r="GD1" s="20"/>
      <c r="GE1" s="20"/>
      <c r="GF1" s="20"/>
      <c r="GG1" s="20"/>
      <c r="GH1" s="20"/>
      <c r="GI1" s="20"/>
      <c r="GJ1" s="20"/>
      <c r="GK1" s="20"/>
      <c r="GL1" s="20"/>
      <c r="GM1" s="20"/>
      <c r="GN1" s="20"/>
      <c r="GO1" s="20"/>
      <c r="GP1" s="20"/>
      <c r="GQ1" s="20"/>
      <c r="GR1" s="20"/>
      <c r="GS1" s="20"/>
      <c r="GT1" s="20"/>
      <c r="GU1" s="20"/>
      <c r="GV1" s="20"/>
      <c r="GW1" s="20"/>
      <c r="GX1" s="20"/>
      <c r="GY1" s="20"/>
      <c r="GZ1" s="20"/>
      <c r="HA1" s="20"/>
      <c r="HB1" s="20"/>
      <c r="HC1" s="20"/>
      <c r="HD1" s="20"/>
      <c r="HE1" s="20"/>
      <c r="HF1" s="20"/>
      <c r="HG1" s="20"/>
      <c r="HH1" s="20"/>
      <c r="HI1" s="20"/>
      <c r="HJ1" s="20"/>
      <c r="HK1" s="20"/>
      <c r="HL1" s="20"/>
      <c r="HM1" s="20"/>
      <c r="HN1" s="20"/>
      <c r="HO1" s="20"/>
      <c r="HP1" s="20"/>
      <c r="HQ1" s="20"/>
      <c r="HR1" s="20"/>
      <c r="HS1" s="20"/>
      <c r="HT1" s="20"/>
      <c r="HU1" s="20"/>
      <c r="HV1" s="20"/>
      <c r="HW1" s="20"/>
      <c r="HX1" s="20"/>
      <c r="HY1" s="20"/>
      <c r="HZ1" s="20"/>
      <c r="IA1" s="20"/>
      <c r="IB1" s="20"/>
      <c r="IC1" s="20"/>
      <c r="ID1" s="20"/>
      <c r="IE1" s="20"/>
      <c r="IF1" s="20"/>
      <c r="IG1" s="20"/>
      <c r="IH1" s="20"/>
      <c r="II1" s="20"/>
      <c r="IJ1" s="20"/>
      <c r="IK1" s="20"/>
      <c r="IL1" s="20"/>
      <c r="IM1" s="20"/>
      <c r="IN1" s="20"/>
      <c r="IO1" s="20"/>
      <c r="IP1" s="20"/>
      <c r="IQ1" s="20"/>
      <c r="IR1" s="20"/>
      <c r="IS1" s="20"/>
      <c r="IT1" s="20"/>
      <c r="IU1" s="20"/>
      <c r="IV1" s="20"/>
      <c r="IW1" s="20"/>
    </row>
    <row r="2" customFormat="fals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</row>
    <row r="3" customFormat="fals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202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46299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46299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