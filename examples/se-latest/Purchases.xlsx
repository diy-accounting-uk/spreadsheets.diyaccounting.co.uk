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<sst xmlns="http://schemas.openxmlformats.org/spreadsheetml/2006/main" count="2222" uniqueCount="235">
  <si>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</si>
  <si>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</si>
  <si>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</si>
  <si>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</si>
  <si>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</si>
  <si>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</si>
  <si>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</si>
  <si>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</si>
  <si>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</si>
  <si>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</si>
  <si>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</si>
  <si>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</si>
  <si>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</si>
  <si>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</si>
  <si>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</si>
  <si>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</si>
  <si>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</si>
  <si>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</si>
  <si>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</si>
  <si>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</si>
  <si>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</si>
  <si>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</si>
  <si>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</si>
  <si>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</si>
  <si>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</si>
  <si>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</si>
  <si>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</si>
  <si>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</si>
  <si>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</si>
  <si>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</si>
  <si>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</si>
  <si>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</si>
  <si>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</si>
  <si>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</si>
  <si>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</si>
  <si>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</si>
  <si>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</si>
  <si>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</si>
  <si>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</si>
  <si>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</si>
  <si>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</si>
  <si>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</si>
  <si>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</si>
  <si>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</si>
  <si>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</si>
  <si>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</si>
  <si>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</si>
  <si>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</si>
  <si>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</si>
  <si>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</si>
  <si>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</si>
  <si>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</si>
  <si>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</si>
  <si>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</si>
  <si>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</si>
  <si>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</si>
  <si>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</si>
  <si>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</si>
  <si>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</si>
  <si>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p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</si>
  <si>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</si>
  <si>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</si>
  <si>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</si>
  <si>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</si>
  <si>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</si>
  <si>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</si>
  <si>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</si>
  <si>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</si>
  <si>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</si>
  <si>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</si>
  <si>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</si>
  <si>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</si>
  <si>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</si>
  <si>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y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</si>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</sst>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46267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46267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46267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46267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845.5</v>
      </c>
      <c r="I1" s="13" t="n">
        <f aca="false">SUM(I2:I200)</f>
        <v>4265.75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5073</v>
      </c>
      <c r="N1" s="18" t="n">
        <f aca="true">TODAY()</f>
        <v>46267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508.25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38.25</v>
      </c>
      <c r="B2" s="44" t="s">
        <v>22</v>
      </c>
      <c r="C2" s="43" t="n">
        <f aca="false">0+D1+[1]Apr!$D$1</f>
        <v>85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38.25</v>
      </c>
      <c r="H2" s="21" t="n">
        <f aca="false">IF([1]Apr!$H$4&gt;0,0,[1]Apr!$H$2)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45748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45748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45748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45748</v>
      </c>
      <c r="B9" s="2" t="s">
        <v>71</v>
      </c>
      <c r="E9" s="2" t="s">
        <v>72</v>
      </c>
      <c r="F9" s="2" t="s">
        <v>73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45748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45748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45750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45750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45752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45752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45752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45755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512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45757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510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45757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510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45757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510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45759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45761</v>
      </c>
      <c r="B22" s="2" t="s">
        <v>106</v>
      </c>
      <c r="E22" s="2" t="s">
        <v>107</v>
      </c>
      <c r="F22" s="2" t="s">
        <v>73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  <c r="BZ22" s="2" t="s">
        <v>83</v>
      </c>
    </row>
    <row r="23" customFormat="false" ht="12" hidden="false" customHeight="false" outlineLevel="0" collapsed="false">
      <c r="A23" s="27" t="n">
        <v>45761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45761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45762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45762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45765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502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45767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500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45767</v>
      </c>
      <c r="B29" s="2" t="s">
        <v>117</v>
      </c>
      <c r="E29" s="2" t="s">
        <v>118</v>
      </c>
      <c r="F29" s="2" t="s">
        <v>119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500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120</v>
      </c>
    </row>
    <row r="30" customFormat="false" ht="12" hidden="false" customHeight="false" outlineLevel="0" collapsed="false">
      <c r="A30" s="27" t="n">
        <v>45768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45769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45772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45772</v>
      </c>
      <c r="B33" s="2" t="s">
        <v>127</v>
      </c>
      <c r="D33" s="4" t="n">
        <v>85</v>
      </c>
      <c r="E33" s="2" t="s">
        <v>128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45775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492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45777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490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120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1053.5</v>
      </c>
      <c r="I1" s="13" t="n">
        <f aca="false">SUM(I2:I200)</f>
        <v>5321.5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6321</v>
      </c>
      <c r="N1" s="18" t="n">
        <f aca="true">TODAY()</f>
        <v>46267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564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92.25</v>
      </c>
      <c r="B2" s="44" t="s">
        <v>22</v>
      </c>
      <c r="C2" s="43" t="n">
        <f aca="false">Apr!C2+D1+[1]May!$D$1</f>
        <v>205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54</v>
      </c>
      <c r="H2" s="21" t="n">
        <f aca="false">IF([1]May!$H$4&gt;0,0,[1]May!$H$2)</f>
        <v>20</v>
      </c>
      <c r="I2" s="47" t="n">
        <f aca="false">G2</f>
        <v>54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54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45778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45778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45778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45778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45778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45780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45780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45782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45782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45783</v>
      </c>
      <c r="B15" s="2" t="s">
        <v>133</v>
      </c>
      <c r="E15" s="2" t="s">
        <v>134</v>
      </c>
      <c r="F15" s="2" t="s">
        <v>93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484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45785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482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45785</v>
      </c>
      <c r="B17" s="2" t="s">
        <v>135</v>
      </c>
      <c r="E17" s="2" t="s">
        <v>136</v>
      </c>
      <c r="F17" s="2" t="s">
        <v>69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482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45787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480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45787</v>
      </c>
      <c r="B19" s="2" t="s">
        <v>138</v>
      </c>
      <c r="E19" s="2" t="s">
        <v>139</v>
      </c>
      <c r="F19" s="2" t="s">
        <v>140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141</v>
      </c>
    </row>
    <row r="20" customFormat="false" ht="12" hidden="false" customHeight="false" outlineLevel="0" collapsed="false">
      <c r="A20" s="27" t="n">
        <v>45789</v>
      </c>
      <c r="B20" s="2" t="s">
        <v>104</v>
      </c>
      <c r="E20" s="2" t="s">
        <v>105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88</v>
      </c>
    </row>
    <row r="21" customFormat="false" ht="12" hidden="false" customHeight="false" outlineLevel="0" collapsed="false">
      <c r="A21" s="27" t="n">
        <v>45791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45791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45792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45792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45792</v>
      </c>
      <c r="B25" s="2" t="s">
        <v>142</v>
      </c>
      <c r="E25" s="2" t="s">
        <v>143</v>
      </c>
      <c r="F25" s="2" t="s">
        <v>102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475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45792</v>
      </c>
      <c r="B26" s="2" t="s">
        <v>144</v>
      </c>
      <c r="C26" s="3" t="s">
        <v>145</v>
      </c>
      <c r="E26" s="2" t="s">
        <v>146</v>
      </c>
      <c r="F26" s="2" t="s">
        <v>147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  <c r="BZ26" s="2" t="s">
        <v>148</v>
      </c>
    </row>
    <row r="27" customFormat="false" ht="12" hidden="false" customHeight="false" outlineLevel="0" collapsed="false">
      <c r="A27" s="27" t="n">
        <v>45793</v>
      </c>
      <c r="B27" s="2" t="s">
        <v>149</v>
      </c>
      <c r="E27" s="2" t="s">
        <v>150</v>
      </c>
      <c r="F27" s="2" t="s">
        <v>63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474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45795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472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45797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470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45797</v>
      </c>
      <c r="B30" s="2" t="s">
        <v>151</v>
      </c>
      <c r="E30" s="2" t="s">
        <v>152</v>
      </c>
      <c r="F30" s="2" t="s">
        <v>63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470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153</v>
      </c>
    </row>
    <row r="31" customFormat="false" ht="12" hidden="false" customHeight="false" outlineLevel="0" collapsed="false">
      <c r="A31" s="27" t="n">
        <v>45797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470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45798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45799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45799</v>
      </c>
      <c r="B34" s="2" t="s">
        <v>156</v>
      </c>
      <c r="E34" s="2" t="s">
        <v>157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45802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45802</v>
      </c>
      <c r="B36" s="2" t="s">
        <v>127</v>
      </c>
      <c r="D36" s="4" t="n">
        <v>120</v>
      </c>
      <c r="E36" s="2" t="s">
        <v>158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45805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462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45808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200</v>
      </c>
      <c r="E1" s="13" t="s">
        <v>3</v>
      </c>
      <c r="F1" s="14"/>
      <c r="G1" s="13" t="n">
        <f aca="false">SUM(G2:G300)</f>
        <v>24657</v>
      </c>
      <c r="H1" s="13" t="n">
        <f aca="false">SUM(H5:H200)</f>
        <v>4094.5</v>
      </c>
      <c r="I1" s="13" t="n">
        <f aca="false">SUM(I2:I200)</f>
        <v>20562.5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24567</v>
      </c>
      <c r="N1" s="18" t="n">
        <f aca="true">TODAY()</f>
        <v>46267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560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13000</v>
      </c>
      <c r="AC1" s="41"/>
      <c r="AD1" s="13" t="n">
        <f aca="false">SUM(AD5:AD300)</f>
        <v>1000</v>
      </c>
      <c r="AE1" s="42"/>
    </row>
    <row r="2" s="19" customFormat="true" ht="13.5" hidden="false" customHeight="true" outlineLevel="0" collapsed="false">
      <c r="A2" s="43" t="n">
        <f aca="false">G2+May!A2</f>
        <v>182.25</v>
      </c>
      <c r="B2" s="44" t="s">
        <v>22</v>
      </c>
      <c r="C2" s="43" t="n">
        <f aca="false">May!C2+D1+[1]Jun!$D$1</f>
        <v>405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90</v>
      </c>
      <c r="H2" s="21" t="n">
        <f aca="false">IF([1]Jun!$H$4&gt;0,0,[1]Jun!$H$2)</f>
        <v>20</v>
      </c>
      <c r="I2" s="47" t="n">
        <f aca="false">G2</f>
        <v>90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90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14500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45809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45809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45809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45809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45809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45811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45811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45813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454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45813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454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45813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45816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451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45818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45818</v>
      </c>
      <c r="B18" s="2" t="s">
        <v>159</v>
      </c>
      <c r="E18" s="2" t="s">
        <v>160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45820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45822</v>
      </c>
      <c r="B20" s="2" t="s">
        <v>106</v>
      </c>
      <c r="E20" s="2" t="s">
        <v>107</v>
      </c>
      <c r="F20" s="2" t="s">
        <v>73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445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45822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45822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45823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444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45823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444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45823</v>
      </c>
      <c r="B25" s="2" t="s">
        <v>161</v>
      </c>
      <c r="C25" s="3" t="s">
        <v>162</v>
      </c>
      <c r="E25" s="2" t="s">
        <v>163</v>
      </c>
      <c r="F25" s="2" t="s">
        <v>164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444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AD25" s="19" t="n">
        <v>1000</v>
      </c>
      <c r="BZ25" s="2" t="s">
        <v>165</v>
      </c>
    </row>
    <row r="26" customFormat="false" ht="12" hidden="false" customHeight="false" outlineLevel="0" collapsed="false">
      <c r="A26" s="27" t="n">
        <v>45826</v>
      </c>
      <c r="B26" s="2" t="s">
        <v>166</v>
      </c>
      <c r="E26" s="2" t="s">
        <v>167</v>
      </c>
      <c r="F26" s="2" t="s">
        <v>93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441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94</v>
      </c>
    </row>
    <row r="27" customFormat="false" ht="12" hidden="false" customHeight="false" outlineLevel="0" collapsed="false">
      <c r="A27" s="27" t="n">
        <v>45826</v>
      </c>
      <c r="B27" s="2" t="s">
        <v>168</v>
      </c>
      <c r="E27" s="2" t="s">
        <v>169</v>
      </c>
      <c r="F27" s="2" t="s">
        <v>102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441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103</v>
      </c>
    </row>
    <row r="28" customFormat="false" ht="12" hidden="false" customHeight="false" outlineLevel="0" collapsed="false">
      <c r="A28" s="27" t="n">
        <v>45826</v>
      </c>
      <c r="B28" s="2" t="s">
        <v>114</v>
      </c>
      <c r="E28" s="2" t="s">
        <v>87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441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88</v>
      </c>
    </row>
    <row r="29" customFormat="false" ht="12" hidden="false" customHeight="false" outlineLevel="0" collapsed="false">
      <c r="A29" s="27" t="n">
        <v>45828</v>
      </c>
      <c r="B29" s="2" t="s">
        <v>115</v>
      </c>
      <c r="E29" s="2" t="s">
        <v>116</v>
      </c>
      <c r="F29" s="2" t="s">
        <v>63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64</v>
      </c>
    </row>
    <row r="30" customFormat="false" ht="12" hidden="false" customHeight="false" outlineLevel="0" collapsed="false">
      <c r="A30" s="27" t="n">
        <v>45829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45830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45833</v>
      </c>
      <c r="B32" s="2" t="s">
        <v>170</v>
      </c>
      <c r="E32" s="2" t="s">
        <v>171</v>
      </c>
      <c r="F32" s="2" t="s">
        <v>59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434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45833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434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45833</v>
      </c>
      <c r="B34" s="2" t="s">
        <v>127</v>
      </c>
      <c r="D34" s="4" t="n">
        <v>200</v>
      </c>
      <c r="E34" s="2" t="s">
        <v>173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45836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431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45838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45838</v>
      </c>
      <c r="B37" s="2" t="s">
        <v>174</v>
      </c>
      <c r="C37" s="3" t="s">
        <v>175</v>
      </c>
      <c r="E37" s="2" t="s">
        <v>176</v>
      </c>
      <c r="F37" s="2" t="s">
        <v>131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45809</v>
      </c>
      <c r="B38" s="2" t="s">
        <v>178</v>
      </c>
      <c r="C38" s="3" t="s">
        <v>179</v>
      </c>
      <c r="E38" s="2" t="s">
        <v>180</v>
      </c>
      <c r="F38" s="2" t="s">
        <v>147</v>
      </c>
      <c r="G38" s="29" t="n">
        <v>15600</v>
      </c>
      <c r="H38" s="6" t="n">
        <f aca="false">IF(G38&lt;&gt;0,G38*H$2/(100+H$2)," ")</f>
        <v>2600</v>
      </c>
      <c r="I38" s="6" t="n">
        <f aca="false">IF((G38&lt;&gt;0),G38-H38," ")</f>
        <v>13000</v>
      </c>
      <c r="J38" s="5"/>
      <c r="M38" s="7" t="n">
        <f aca="false">IF(G38&lt;&gt;0,G38-L38," ")</f>
        <v>15600</v>
      </c>
      <c r="N38" s="8" t="n">
        <f aca="false">IF((G38-L38)&lt;&gt;0,N$1-A38," ")</f>
        <v>458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13000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45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1506.5</v>
      </c>
      <c r="I1" s="13" t="n">
        <f aca="false">SUM(I2:I200)</f>
        <v>7552.75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9039</v>
      </c>
      <c r="N1" s="18" t="n">
        <f aca="true">TODAY()</f>
        <v>46267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490.25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202.5</v>
      </c>
      <c r="B2" s="44" t="s">
        <v>22</v>
      </c>
      <c r="C2" s="43" t="n">
        <f aca="false">Jun!C2+D1+[1]Jul!$D$1</f>
        <v>450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20.25</v>
      </c>
      <c r="H2" s="21" t="n">
        <f aca="false">IF([1]Jul!$H$4&gt;0,0,[1]Jul!$H$2)</f>
        <v>20</v>
      </c>
      <c r="I2" s="47" t="n">
        <f aca="false">G2</f>
        <v>20.25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20.25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45839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45839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45839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45839</v>
      </c>
      <c r="B9" s="2" t="s">
        <v>181</v>
      </c>
      <c r="E9" s="2" t="s">
        <v>182</v>
      </c>
      <c r="F9" s="2" t="s">
        <v>131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  <c r="BZ9" s="2" t="s">
        <v>183</v>
      </c>
    </row>
    <row r="10" customFormat="false" ht="12" hidden="false" customHeight="false" outlineLevel="0" collapsed="false">
      <c r="A10" s="27" t="n">
        <v>45839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45839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45841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45841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45843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424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45843</v>
      </c>
      <c r="B15" s="2" t="s">
        <v>184</v>
      </c>
      <c r="E15" s="2" t="s">
        <v>185</v>
      </c>
      <c r="F15" s="2" t="s">
        <v>140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424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141</v>
      </c>
    </row>
    <row r="16" customFormat="false" ht="12" hidden="false" customHeight="false" outlineLevel="0" collapsed="false">
      <c r="A16" s="27" t="n">
        <v>45843</v>
      </c>
      <c r="B16" s="2" t="s">
        <v>86</v>
      </c>
      <c r="E16" s="2" t="s">
        <v>87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424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88</v>
      </c>
    </row>
    <row r="17" customFormat="false" ht="12" hidden="false" customHeight="false" outlineLevel="0" collapsed="false">
      <c r="A17" s="27" t="n">
        <v>45846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421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45848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45848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45848</v>
      </c>
      <c r="B20" s="2" t="s">
        <v>100</v>
      </c>
      <c r="E20" s="2" t="s">
        <v>101</v>
      </c>
      <c r="F20" s="2" t="s">
        <v>102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45850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45850</v>
      </c>
      <c r="B22" s="2" t="s">
        <v>186</v>
      </c>
      <c r="E22" s="2" t="s">
        <v>187</v>
      </c>
      <c r="F22" s="2" t="s">
        <v>69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137</v>
      </c>
    </row>
    <row r="23" customFormat="false" ht="12" hidden="false" customHeight="false" outlineLevel="0" collapsed="false">
      <c r="A23" s="27" t="n">
        <v>45852</v>
      </c>
      <c r="B23" s="2" t="s">
        <v>108</v>
      </c>
      <c r="E23" s="2" t="s">
        <v>109</v>
      </c>
      <c r="F23" s="2" t="s">
        <v>93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45852</v>
      </c>
      <c r="B24" s="2" t="s">
        <v>110</v>
      </c>
      <c r="E24" s="2" t="s">
        <v>111</v>
      </c>
      <c r="F24" s="2" t="s">
        <v>93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45853</v>
      </c>
      <c r="B25" s="2" t="s">
        <v>19</v>
      </c>
      <c r="E25" s="2" t="s">
        <v>87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414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45853</v>
      </c>
      <c r="B26" s="2" t="s">
        <v>112</v>
      </c>
      <c r="E26" s="2" t="s">
        <v>113</v>
      </c>
      <c r="F26" s="2" t="s">
        <v>63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414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45853</v>
      </c>
      <c r="B27" s="2" t="s">
        <v>188</v>
      </c>
      <c r="C27" s="3" t="s">
        <v>189</v>
      </c>
      <c r="E27" s="2" t="s">
        <v>190</v>
      </c>
      <c r="F27" s="2" t="s">
        <v>147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414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  <c r="BZ27" s="2" t="s">
        <v>148</v>
      </c>
    </row>
    <row r="28" customFormat="false" ht="12" hidden="false" customHeight="false" outlineLevel="0" collapsed="false">
      <c r="A28" s="27" t="n">
        <v>45854</v>
      </c>
      <c r="B28" s="2" t="s">
        <v>149</v>
      </c>
      <c r="E28" s="2" t="s">
        <v>150</v>
      </c>
      <c r="F28" s="2" t="s">
        <v>63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413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45856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411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45858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45858</v>
      </c>
      <c r="B31" s="2" t="s">
        <v>191</v>
      </c>
      <c r="E31" s="2" t="s">
        <v>192</v>
      </c>
      <c r="F31" s="2" t="s">
        <v>63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153</v>
      </c>
    </row>
    <row r="32" customFormat="false" ht="12" hidden="false" customHeight="false" outlineLevel="0" collapsed="false">
      <c r="A32" s="27" t="n">
        <v>45858</v>
      </c>
      <c r="B32" s="2" t="s">
        <v>117</v>
      </c>
      <c r="E32" s="2" t="s">
        <v>118</v>
      </c>
      <c r="F32" s="2" t="s">
        <v>119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45859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45860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45863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404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45863</v>
      </c>
      <c r="B36" s="2" t="s">
        <v>127</v>
      </c>
      <c r="D36" s="4" t="n">
        <v>45</v>
      </c>
      <c r="E36" s="2" t="s">
        <v>193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45866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401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 t="n">
        <v>45869</v>
      </c>
      <c r="B38" s="2" t="s">
        <v>15</v>
      </c>
      <c r="E38" s="2" t="s">
        <v>130</v>
      </c>
      <c r="F38" s="2" t="s">
        <v>131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398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132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727.833333333333</v>
      </c>
      <c r="I1" s="13" t="n">
        <f aca="false">SUM(I2:I200)</f>
        <v>3677.41666666667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4367</v>
      </c>
      <c r="N1" s="18" t="n">
        <f aca="true">TODAY()</f>
        <v>46267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508.25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240.75</v>
      </c>
      <c r="B2" s="44" t="s">
        <v>22</v>
      </c>
      <c r="C2" s="43" t="n">
        <f aca="false">Jul!C2+D1+[1]Aug!$D$1</f>
        <v>535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38.25</v>
      </c>
      <c r="H2" s="21" t="n">
        <f aca="false">IF([1]Aug!$H$4&gt;0,0,[1]Aug!$H$2)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15500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45870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45870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45870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45870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45870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45872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45872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45874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393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45874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45874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45875</v>
      </c>
      <c r="B16" s="2" t="s">
        <v>133</v>
      </c>
      <c r="E16" s="2" t="s">
        <v>134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392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45877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390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45879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45881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45883</v>
      </c>
      <c r="B20" s="2" t="s">
        <v>106</v>
      </c>
      <c r="E20" s="2" t="s">
        <v>107</v>
      </c>
      <c r="F20" s="2" t="s">
        <v>73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384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45883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384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45883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384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45884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383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45884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383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45884</v>
      </c>
      <c r="B25" s="2" t="s">
        <v>142</v>
      </c>
      <c r="E25" s="2" t="s">
        <v>143</v>
      </c>
      <c r="F25" s="2" t="s">
        <v>102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383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103</v>
      </c>
    </row>
    <row r="26" customFormat="false" ht="12" hidden="false" customHeight="false" outlineLevel="0" collapsed="false">
      <c r="A26" s="27" t="n">
        <v>45887</v>
      </c>
      <c r="B26" s="2" t="s">
        <v>194</v>
      </c>
      <c r="E26" s="2" t="s">
        <v>195</v>
      </c>
      <c r="F26" s="2" t="s">
        <v>119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380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120</v>
      </c>
    </row>
    <row r="27" customFormat="false" ht="12" hidden="false" customHeight="false" outlineLevel="0" collapsed="false">
      <c r="A27" s="27" t="n">
        <v>45887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380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45889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45889</v>
      </c>
      <c r="B29" s="2" t="s">
        <v>196</v>
      </c>
      <c r="E29" s="2" t="s">
        <v>197</v>
      </c>
      <c r="F29" s="2" t="s">
        <v>198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199</v>
      </c>
    </row>
    <row r="30" customFormat="false" ht="12" hidden="false" customHeight="false" outlineLevel="0" collapsed="false">
      <c r="A30" s="27" t="n">
        <v>45889</v>
      </c>
      <c r="B30" s="2" t="s">
        <v>154</v>
      </c>
      <c r="E30" s="2" t="s">
        <v>155</v>
      </c>
      <c r="F30" s="2" t="s">
        <v>102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378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103</v>
      </c>
    </row>
    <row r="31" customFormat="false" ht="12" hidden="false" customHeight="false" outlineLevel="0" collapsed="false">
      <c r="A31" s="27" t="n">
        <v>45890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45891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45894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45894</v>
      </c>
      <c r="B34" s="2" t="s">
        <v>127</v>
      </c>
      <c r="D34" s="4" t="n">
        <v>85</v>
      </c>
      <c r="E34" s="2" t="s">
        <v>128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45897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370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45900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160</v>
      </c>
      <c r="E1" s="13" t="s">
        <v>3</v>
      </c>
      <c r="F1" s="14"/>
      <c r="G1" s="13" t="n">
        <f aca="false">SUM(G2:G300)</f>
        <v>13375</v>
      </c>
      <c r="H1" s="13" t="n">
        <f aca="false">SUM(H5:H200)</f>
        <v>2217.16666666667</v>
      </c>
      <c r="I1" s="13" t="n">
        <f aca="false">SUM(I2:I200)</f>
        <v>11157.8333333333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13303</v>
      </c>
      <c r="N1" s="18" t="n">
        <f aca="true">TODAY()</f>
        <v>46267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602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7000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312.75</v>
      </c>
      <c r="B2" s="44" t="s">
        <v>22</v>
      </c>
      <c r="C2" s="43" t="n">
        <f aca="false">Aug!C2+D1+[1]Sep!$D$1</f>
        <v>695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72</v>
      </c>
      <c r="H2" s="21" t="n">
        <f aca="false">IF([1]Sep!$H$4&gt;0,0,[1]Sep!$H$2)</f>
        <v>20</v>
      </c>
      <c r="I2" s="47" t="n">
        <f aca="false">G2</f>
        <v>72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72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45901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45901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45901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45901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45901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45903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364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45903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364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45905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362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45905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362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45908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45908</v>
      </c>
      <c r="B16" s="2" t="s">
        <v>135</v>
      </c>
      <c r="E16" s="2" t="s">
        <v>136</v>
      </c>
      <c r="F16" s="2" t="s">
        <v>69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137</v>
      </c>
    </row>
    <row r="17" customFormat="false" ht="12" hidden="false" customHeight="false" outlineLevel="0" collapsed="false">
      <c r="A17" s="27" t="n">
        <v>45910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45910</v>
      </c>
      <c r="B18" s="2" t="s">
        <v>112</v>
      </c>
      <c r="E18" s="2" t="s">
        <v>200</v>
      </c>
      <c r="F18" s="2" t="s">
        <v>63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153</v>
      </c>
    </row>
    <row r="19" customFormat="false" ht="12" hidden="false" customHeight="false" outlineLevel="0" collapsed="false">
      <c r="A19" s="27" t="n">
        <v>45912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45914</v>
      </c>
      <c r="B20" s="2" t="s">
        <v>108</v>
      </c>
      <c r="E20" s="2" t="s">
        <v>109</v>
      </c>
      <c r="F20" s="2" t="s">
        <v>93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353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45914</v>
      </c>
      <c r="B21" s="2" t="s">
        <v>110</v>
      </c>
      <c r="E21" s="2" t="s">
        <v>111</v>
      </c>
      <c r="F21" s="2" t="s">
        <v>93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353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45915</v>
      </c>
      <c r="B22" s="2" t="s">
        <v>19</v>
      </c>
      <c r="E22" s="2" t="s">
        <v>87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352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45915</v>
      </c>
      <c r="B23" s="2" t="s">
        <v>112</v>
      </c>
      <c r="E23" s="2" t="s">
        <v>113</v>
      </c>
      <c r="F23" s="2" t="s">
        <v>63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352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45915</v>
      </c>
      <c r="B24" s="2" t="s">
        <v>201</v>
      </c>
      <c r="E24" s="2" t="s">
        <v>202</v>
      </c>
      <c r="F24" s="2" t="s">
        <v>131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352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132</v>
      </c>
    </row>
    <row r="25" customFormat="false" ht="12" hidden="false" customHeight="false" outlineLevel="0" collapsed="false">
      <c r="A25" s="27" t="n">
        <v>45916</v>
      </c>
      <c r="B25" s="2" t="s">
        <v>149</v>
      </c>
      <c r="E25" s="2" t="s">
        <v>150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351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45918</v>
      </c>
      <c r="B26" s="2" t="s">
        <v>168</v>
      </c>
      <c r="E26" s="2" t="s">
        <v>169</v>
      </c>
      <c r="F26" s="2" t="s">
        <v>102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349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45918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45920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45921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45922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45922</v>
      </c>
      <c r="B31" s="2" t="s">
        <v>156</v>
      </c>
      <c r="E31" s="2" t="s">
        <v>157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88</v>
      </c>
    </row>
    <row r="32" customFormat="false" ht="12" hidden="false" customHeight="false" outlineLevel="0" collapsed="false">
      <c r="A32" s="27" t="n">
        <v>45925</v>
      </c>
      <c r="B32" s="2" t="s">
        <v>170</v>
      </c>
      <c r="E32" s="2" t="s">
        <v>171</v>
      </c>
      <c r="F32" s="2" t="s">
        <v>59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342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172</v>
      </c>
    </row>
    <row r="33" customFormat="false" ht="12" hidden="false" customHeight="false" outlineLevel="0" collapsed="false">
      <c r="A33" s="27" t="n">
        <v>45925</v>
      </c>
      <c r="B33" s="2" t="s">
        <v>125</v>
      </c>
      <c r="E33" s="2" t="s">
        <v>126</v>
      </c>
      <c r="F33" s="2" t="s">
        <v>73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45925</v>
      </c>
      <c r="B34" s="2" t="s">
        <v>127</v>
      </c>
      <c r="D34" s="4" t="n">
        <v>160</v>
      </c>
      <c r="E34" s="2" t="s">
        <v>203</v>
      </c>
      <c r="F34" s="2" t="s">
        <v>24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45928</v>
      </c>
      <c r="B35" s="2" t="s">
        <v>19</v>
      </c>
      <c r="E35" s="2" t="s">
        <v>129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45930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45930</v>
      </c>
      <c r="B37" s="2" t="s">
        <v>174</v>
      </c>
      <c r="C37" s="3" t="s">
        <v>204</v>
      </c>
      <c r="E37" s="2" t="s">
        <v>176</v>
      </c>
      <c r="F37" s="2" t="s">
        <v>131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 t="n">
        <v>45901</v>
      </c>
      <c r="B38" s="2" t="s">
        <v>178</v>
      </c>
      <c r="C38" s="3" t="s">
        <v>205</v>
      </c>
      <c r="E38" s="2" t="s">
        <v>206</v>
      </c>
      <c r="F38" s="2" t="s">
        <v>147</v>
      </c>
      <c r="G38" s="29" t="n">
        <v>8400</v>
      </c>
      <c r="H38" s="6" t="n">
        <f aca="false">IF(G38&lt;&gt;0,G38*H$2/(100+H$2)," ")</f>
        <v>1400</v>
      </c>
      <c r="I38" s="6" t="n">
        <f aca="false">IF((G38&lt;&gt;0),G38-H38," ")</f>
        <v>7000</v>
      </c>
      <c r="J38" s="5"/>
      <c r="M38" s="7" t="n">
        <f aca="false">IF(G38&lt;&gt;0,G38-L38," ")</f>
        <v>8400</v>
      </c>
      <c r="N38" s="8" t="n">
        <f aca="false">IF((G38-L38)&lt;&gt;0,N$1-A38," ")</f>
        <v>366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n">
        <f aca="false">IF((F38="fa"),I38," ")</f>
        <v>7000</v>
      </c>
      <c r="BZ38" s="2" t="s">
        <v>148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95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7160.5</v>
      </c>
      <c r="I1" s="13" t="n">
        <f aca="false">SUM(I2:I200)</f>
        <v>35845.25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42963</v>
      </c>
      <c r="N1" s="18" t="n">
        <f aca="true">TODAY()</f>
        <v>46267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512.75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355.5</v>
      </c>
      <c r="B2" s="44" t="s">
        <v>22</v>
      </c>
      <c r="C2" s="43" t="n">
        <f aca="false">Sep!C2+D1+[1]Oct!$D$1</f>
        <v>790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42.75</v>
      </c>
      <c r="H2" s="21" t="n">
        <f aca="false">IF([1]Oct!$H$4&gt;0,0,[1]Oct!$H$2)</f>
        <v>20</v>
      </c>
      <c r="I2" s="47" t="n">
        <f aca="false">G2</f>
        <v>42.75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42.75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45931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45931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45931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45931</v>
      </c>
      <c r="B9" s="2" t="s">
        <v>207</v>
      </c>
      <c r="E9" s="2" t="s">
        <v>208</v>
      </c>
      <c r="F9" s="2" t="s">
        <v>73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  <c r="BZ9" s="2" t="s">
        <v>74</v>
      </c>
    </row>
    <row r="10" customFormat="false" ht="12" hidden="false" customHeight="false" outlineLevel="0" collapsed="false">
      <c r="A10" s="27" t="n">
        <v>45931</v>
      </c>
      <c r="B10" s="2" t="s">
        <v>75</v>
      </c>
      <c r="E10" s="2" t="s">
        <v>76</v>
      </c>
      <c r="F10" s="2" t="s">
        <v>69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70</v>
      </c>
    </row>
    <row r="11" customFormat="false" ht="12" hidden="false" customHeight="false" outlineLevel="0" collapsed="false">
      <c r="A11" s="27" t="n">
        <v>45931</v>
      </c>
      <c r="B11" s="2" t="s">
        <v>77</v>
      </c>
      <c r="E11" s="2" t="s">
        <v>78</v>
      </c>
      <c r="F11" s="2" t="s">
        <v>63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64</v>
      </c>
    </row>
    <row r="12" customFormat="false" ht="12" hidden="false" customHeight="false" outlineLevel="0" collapsed="false">
      <c r="A12" s="27" t="n">
        <v>45933</v>
      </c>
      <c r="B12" s="2" t="s">
        <v>79</v>
      </c>
      <c r="E12" s="2" t="s">
        <v>80</v>
      </c>
      <c r="F12" s="2" t="s">
        <v>69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  <c r="BZ12" s="2" t="s">
        <v>70</v>
      </c>
    </row>
    <row r="13" customFormat="false" ht="12" hidden="false" customHeight="false" outlineLevel="0" collapsed="false">
      <c r="A13" s="27" t="n">
        <v>45933</v>
      </c>
      <c r="B13" s="2" t="s">
        <v>81</v>
      </c>
      <c r="E13" s="2" t="s">
        <v>82</v>
      </c>
      <c r="F13" s="2" t="s">
        <v>73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334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45935</v>
      </c>
      <c r="B14" s="2" t="s">
        <v>84</v>
      </c>
      <c r="E14" s="2" t="s">
        <v>85</v>
      </c>
      <c r="F14" s="2" t="s">
        <v>73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  <c r="BZ14" s="2" t="s">
        <v>83</v>
      </c>
    </row>
    <row r="15" customFormat="false" ht="12" hidden="false" customHeight="false" outlineLevel="0" collapsed="false">
      <c r="A15" s="27" t="n">
        <v>45935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45935</v>
      </c>
      <c r="B16" s="2" t="s">
        <v>89</v>
      </c>
      <c r="E16" s="2" t="s">
        <v>90</v>
      </c>
      <c r="F16" s="2" t="s">
        <v>69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70</v>
      </c>
    </row>
    <row r="17" customFormat="false" ht="12" hidden="false" customHeight="false" outlineLevel="0" collapsed="false">
      <c r="A17" s="27" t="n">
        <v>45938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45940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45940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45940</v>
      </c>
      <c r="B20" s="2" t="s">
        <v>100</v>
      </c>
      <c r="E20" s="2" t="s">
        <v>101</v>
      </c>
      <c r="F20" s="2" t="s">
        <v>102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327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45940</v>
      </c>
      <c r="B21" s="2" t="s">
        <v>138</v>
      </c>
      <c r="E21" s="2" t="s">
        <v>209</v>
      </c>
      <c r="F21" s="2" t="s">
        <v>140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141</v>
      </c>
    </row>
    <row r="22" customFormat="false" ht="12" hidden="false" customHeight="false" outlineLevel="0" collapsed="false">
      <c r="A22" s="27" t="n">
        <v>45942</v>
      </c>
      <c r="B22" s="2" t="s">
        <v>104</v>
      </c>
      <c r="E22" s="2" t="s">
        <v>105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88</v>
      </c>
    </row>
    <row r="23" customFormat="false" ht="12" hidden="false" customHeight="false" outlineLevel="0" collapsed="false">
      <c r="A23" s="27" t="n">
        <v>45944</v>
      </c>
      <c r="B23" s="2" t="s">
        <v>106</v>
      </c>
      <c r="E23" s="2" t="s">
        <v>107</v>
      </c>
      <c r="F23" s="2" t="s">
        <v>73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323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  <c r="BZ23" s="2" t="s">
        <v>83</v>
      </c>
    </row>
    <row r="24" customFormat="false" ht="12" hidden="false" customHeight="false" outlineLevel="0" collapsed="false">
      <c r="A24" s="27" t="n">
        <v>45944</v>
      </c>
      <c r="B24" s="2" t="s">
        <v>108</v>
      </c>
      <c r="E24" s="2" t="s">
        <v>109</v>
      </c>
      <c r="F24" s="2" t="s">
        <v>93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323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94</v>
      </c>
    </row>
    <row r="25" customFormat="false" ht="12" hidden="false" customHeight="false" outlineLevel="0" collapsed="false">
      <c r="A25" s="27" t="n">
        <v>45944</v>
      </c>
      <c r="B25" s="2" t="s">
        <v>110</v>
      </c>
      <c r="E25" s="2" t="s">
        <v>111</v>
      </c>
      <c r="F25" s="2" t="s">
        <v>93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323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94</v>
      </c>
    </row>
    <row r="26" customFormat="false" ht="12" hidden="false" customHeight="false" outlineLevel="0" collapsed="false">
      <c r="A26" s="27" t="n">
        <v>45945</v>
      </c>
      <c r="B26" s="2" t="s">
        <v>19</v>
      </c>
      <c r="E26" s="2" t="s">
        <v>87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322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45945</v>
      </c>
      <c r="B27" s="2" t="s">
        <v>112</v>
      </c>
      <c r="E27" s="2" t="s">
        <v>113</v>
      </c>
      <c r="F27" s="2" t="s">
        <v>63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45945</v>
      </c>
      <c r="B28" s="2" t="s">
        <v>210</v>
      </c>
      <c r="E28" s="2" t="s">
        <v>211</v>
      </c>
      <c r="F28" s="2" t="s">
        <v>140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322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141</v>
      </c>
    </row>
    <row r="29" customFormat="false" ht="12" hidden="false" customHeight="false" outlineLevel="0" collapsed="false">
      <c r="A29" s="27" t="n">
        <v>45948</v>
      </c>
      <c r="B29" s="2" t="s">
        <v>166</v>
      </c>
      <c r="E29" s="2" t="s">
        <v>212</v>
      </c>
      <c r="F29" s="2" t="s">
        <v>93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45948</v>
      </c>
      <c r="B30" s="2" t="s">
        <v>114</v>
      </c>
      <c r="E30" s="2" t="s">
        <v>87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88</v>
      </c>
    </row>
    <row r="31" customFormat="false" ht="12" hidden="false" customHeight="false" outlineLevel="0" collapsed="false">
      <c r="A31" s="27" t="n">
        <v>45950</v>
      </c>
      <c r="B31" s="2" t="s">
        <v>115</v>
      </c>
      <c r="E31" s="2" t="s">
        <v>116</v>
      </c>
      <c r="F31" s="2" t="s">
        <v>63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64</v>
      </c>
    </row>
    <row r="32" customFormat="false" ht="12" hidden="false" customHeight="false" outlineLevel="0" collapsed="false">
      <c r="A32" s="27" t="n">
        <v>45950</v>
      </c>
      <c r="B32" s="2" t="s">
        <v>117</v>
      </c>
      <c r="E32" s="2" t="s">
        <v>118</v>
      </c>
      <c r="F32" s="2" t="s">
        <v>119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120</v>
      </c>
    </row>
    <row r="33" customFormat="false" ht="12" hidden="false" customHeight="false" outlineLevel="0" collapsed="false">
      <c r="A33" s="27" t="n">
        <v>45951</v>
      </c>
      <c r="B33" s="2" t="s">
        <v>121</v>
      </c>
      <c r="E33" s="2" t="s">
        <v>122</v>
      </c>
      <c r="F33" s="2" t="s">
        <v>93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94</v>
      </c>
    </row>
    <row r="34" customFormat="false" ht="12" hidden="false" customHeight="false" outlineLevel="0" collapsed="false">
      <c r="A34" s="27" t="n">
        <v>45952</v>
      </c>
      <c r="B34" s="2" t="s">
        <v>123</v>
      </c>
      <c r="E34" s="2" t="s">
        <v>124</v>
      </c>
      <c r="F34" s="2" t="s">
        <v>73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45955</v>
      </c>
      <c r="B35" s="2" t="s">
        <v>125</v>
      </c>
      <c r="E35" s="2" t="s">
        <v>126</v>
      </c>
      <c r="F35" s="2" t="s">
        <v>73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312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  <c r="BZ35" s="2" t="s">
        <v>83</v>
      </c>
    </row>
    <row r="36" customFormat="false" ht="12" hidden="false" customHeight="false" outlineLevel="0" collapsed="false">
      <c r="A36" s="27" t="n">
        <v>45955</v>
      </c>
      <c r="B36" s="2" t="s">
        <v>127</v>
      </c>
      <c r="D36" s="4" t="n">
        <v>95</v>
      </c>
      <c r="E36" s="2" t="s">
        <v>213</v>
      </c>
      <c r="F36" s="2" t="s">
        <v>24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45955</v>
      </c>
      <c r="B37" s="2" t="s">
        <v>214</v>
      </c>
      <c r="C37" s="3" t="s">
        <v>215</v>
      </c>
      <c r="E37" s="2" t="s">
        <v>216</v>
      </c>
      <c r="F37" s="2" t="s">
        <v>147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312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  <c r="BZ37" s="2" t="s">
        <v>148</v>
      </c>
    </row>
    <row r="38" customFormat="false" ht="12" hidden="false" customHeight="false" outlineLevel="0" collapsed="false">
      <c r="A38" s="27" t="n">
        <v>45958</v>
      </c>
      <c r="B38" s="2" t="s">
        <v>19</v>
      </c>
      <c r="E38" s="2" t="s">
        <v>129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309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  <c r="BZ38" s="2" t="s">
        <v>88</v>
      </c>
    </row>
    <row r="39" customFormat="false" ht="12" hidden="false" customHeight="false" outlineLevel="0" collapsed="false">
      <c r="A39" s="27" t="n">
        <v>45961</v>
      </c>
      <c r="B39" s="2" t="s">
        <v>15</v>
      </c>
      <c r="E39" s="2" t="s">
        <v>130</v>
      </c>
      <c r="F39" s="2" t="s">
        <v>131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306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  <c r="BZ39" s="2" t="s">
        <v>132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180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1139.5</v>
      </c>
      <c r="I1" s="13" t="n">
        <f aca="false">SUM(I2:I200)</f>
        <v>5778.5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6837</v>
      </c>
      <c r="N1" s="18" t="n">
        <f aca="true">TODAY()</f>
        <v>46267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551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600</v>
      </c>
      <c r="AE1" s="42"/>
    </row>
    <row r="2" s="19" customFormat="true" ht="13.5" hidden="false" customHeight="true" outlineLevel="0" collapsed="false">
      <c r="A2" s="43" t="n">
        <f aca="false">G2+Oct!A2</f>
        <v>436.5</v>
      </c>
      <c r="B2" s="44" t="s">
        <v>22</v>
      </c>
      <c r="C2" s="43" t="n">
        <f aca="false">Oct!C2+D1+[1]Nov!$D$1</f>
        <v>970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81</v>
      </c>
      <c r="H2" s="21" t="n">
        <f aca="false">IF([1]Nov!$H$4&gt;0,0,[1]Nov!$H$2)</f>
        <v>20</v>
      </c>
      <c r="I2" s="47" t="n">
        <f aca="false">G2</f>
        <v>81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81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45962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45962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45962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45962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45962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45964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303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45964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303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45966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301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45966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301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45967</v>
      </c>
      <c r="B15" s="2" t="s">
        <v>133</v>
      </c>
      <c r="E15" s="2" t="s">
        <v>134</v>
      </c>
      <c r="F15" s="2" t="s">
        <v>93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300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45969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45971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45973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294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45975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292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45975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292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45976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45976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45976</v>
      </c>
      <c r="B23" s="2" t="s">
        <v>142</v>
      </c>
      <c r="E23" s="2" t="s">
        <v>143</v>
      </c>
      <c r="F23" s="2" t="s">
        <v>102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291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103</v>
      </c>
    </row>
    <row r="24" customFormat="false" ht="12" hidden="false" customHeight="false" outlineLevel="0" collapsed="false">
      <c r="A24" s="27" t="n">
        <v>45976</v>
      </c>
      <c r="B24" s="2" t="s">
        <v>161</v>
      </c>
      <c r="C24" s="3" t="s">
        <v>217</v>
      </c>
      <c r="E24" s="2" t="s">
        <v>218</v>
      </c>
      <c r="F24" s="2" t="s">
        <v>164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291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AD24" s="19" t="n">
        <v>600</v>
      </c>
      <c r="BZ24" s="2" t="s">
        <v>165</v>
      </c>
    </row>
    <row r="25" customFormat="false" ht="12" hidden="false" customHeight="false" outlineLevel="0" collapsed="false">
      <c r="A25" s="27" t="n">
        <v>45977</v>
      </c>
      <c r="B25" s="2" t="s">
        <v>149</v>
      </c>
      <c r="E25" s="2" t="s">
        <v>150</v>
      </c>
      <c r="F25" s="2" t="s">
        <v>63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290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45979</v>
      </c>
      <c r="B26" s="2" t="s">
        <v>114</v>
      </c>
      <c r="E26" s="2" t="s">
        <v>87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88</v>
      </c>
    </row>
    <row r="27" customFormat="false" ht="12" hidden="false" customHeight="false" outlineLevel="0" collapsed="false">
      <c r="A27" s="27" t="n">
        <v>45981</v>
      </c>
      <c r="B27" s="2" t="s">
        <v>115</v>
      </c>
      <c r="E27" s="2" t="s">
        <v>116</v>
      </c>
      <c r="F27" s="2" t="s">
        <v>63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64</v>
      </c>
    </row>
    <row r="28" customFormat="false" ht="12" hidden="false" customHeight="false" outlineLevel="0" collapsed="false">
      <c r="A28" s="27" t="n">
        <v>45981</v>
      </c>
      <c r="B28" s="2" t="s">
        <v>151</v>
      </c>
      <c r="E28" s="2" t="s">
        <v>152</v>
      </c>
      <c r="F28" s="2" t="s">
        <v>63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153</v>
      </c>
    </row>
    <row r="29" customFormat="false" ht="12" hidden="false" customHeight="false" outlineLevel="0" collapsed="false">
      <c r="A29" s="27" t="n">
        <v>45981</v>
      </c>
      <c r="B29" s="2" t="s">
        <v>154</v>
      </c>
      <c r="E29" s="2" t="s">
        <v>155</v>
      </c>
      <c r="F29" s="2" t="s">
        <v>102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286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103</v>
      </c>
    </row>
    <row r="30" customFormat="false" ht="12" hidden="false" customHeight="false" outlineLevel="0" collapsed="false">
      <c r="A30" s="27" t="n">
        <v>45982</v>
      </c>
      <c r="B30" s="2" t="s">
        <v>121</v>
      </c>
      <c r="E30" s="2" t="s">
        <v>122</v>
      </c>
      <c r="F30" s="2" t="s">
        <v>93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94</v>
      </c>
    </row>
    <row r="31" customFormat="false" ht="12" hidden="false" customHeight="false" outlineLevel="0" collapsed="false">
      <c r="A31" s="27" t="n">
        <v>45983</v>
      </c>
      <c r="B31" s="2" t="s">
        <v>123</v>
      </c>
      <c r="E31" s="2" t="s">
        <v>124</v>
      </c>
      <c r="F31" s="2" t="s">
        <v>73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284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45986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281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45986</v>
      </c>
      <c r="B33" s="2" t="s">
        <v>127</v>
      </c>
      <c r="D33" s="4" t="n">
        <v>180</v>
      </c>
      <c r="E33" s="2" t="s">
        <v>173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45989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45991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110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1567</v>
      </c>
      <c r="I1" s="13" t="n">
        <f aca="false">SUM(I2:I200)</f>
        <v>7884.5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9402</v>
      </c>
      <c r="N1" s="18" t="n">
        <f aca="true">TODAY()</f>
        <v>46267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519.5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486</v>
      </c>
      <c r="B2" s="44" t="s">
        <v>22</v>
      </c>
      <c r="C2" s="43" t="n">
        <f aca="false">Nov!C2+D1+[1]Dec!$D$1</f>
        <v>1080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49.5</v>
      </c>
      <c r="H2" s="21" t="n">
        <f aca="false">IF([1]Dec!$H$4&gt;0,0,[1]Dec!$H$2)</f>
        <v>20</v>
      </c>
      <c r="I2" s="47" t="n">
        <f aca="false">G2</f>
        <v>49.5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49.5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45992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45992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45992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45992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45992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45994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273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45994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45996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45996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45996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45999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46001</v>
      </c>
      <c r="B17" s="2" t="s">
        <v>95</v>
      </c>
      <c r="E17" s="2" t="s">
        <v>96</v>
      </c>
      <c r="F17" s="2" t="s">
        <v>73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  <c r="BZ17" s="2" t="s">
        <v>83</v>
      </c>
    </row>
    <row r="18" customFormat="false" ht="12" hidden="false" customHeight="false" outlineLevel="0" collapsed="false">
      <c r="A18" s="27" t="n">
        <v>46001</v>
      </c>
      <c r="B18" s="2" t="s">
        <v>159</v>
      </c>
      <c r="E18" s="2" t="s">
        <v>160</v>
      </c>
      <c r="F18" s="2" t="s">
        <v>63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64</v>
      </c>
    </row>
    <row r="19" customFormat="false" ht="12" hidden="false" customHeight="false" outlineLevel="0" collapsed="false">
      <c r="A19" s="27" t="n">
        <v>46003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264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46005</v>
      </c>
      <c r="B20" s="2" t="s">
        <v>106</v>
      </c>
      <c r="E20" s="2" t="s">
        <v>107</v>
      </c>
      <c r="F20" s="2" t="s">
        <v>73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262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  <c r="BZ20" s="2" t="s">
        <v>83</v>
      </c>
    </row>
    <row r="21" customFormat="false" ht="12" hidden="false" customHeight="false" outlineLevel="0" collapsed="false">
      <c r="A21" s="27" t="n">
        <v>46005</v>
      </c>
      <c r="B21" s="2" t="s">
        <v>108</v>
      </c>
      <c r="E21" s="2" t="s">
        <v>109</v>
      </c>
      <c r="F21" s="2" t="s">
        <v>93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94</v>
      </c>
    </row>
    <row r="22" customFormat="false" ht="12" hidden="false" customHeight="false" outlineLevel="0" collapsed="false">
      <c r="A22" s="27" t="n">
        <v>46005</v>
      </c>
      <c r="B22" s="2" t="s">
        <v>110</v>
      </c>
      <c r="E22" s="2" t="s">
        <v>111</v>
      </c>
      <c r="F22" s="2" t="s">
        <v>93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46006</v>
      </c>
      <c r="B23" s="2" t="s">
        <v>19</v>
      </c>
      <c r="E23" s="2" t="s">
        <v>87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88</v>
      </c>
    </row>
    <row r="24" customFormat="false" ht="12" hidden="false" customHeight="false" outlineLevel="0" collapsed="false">
      <c r="A24" s="27" t="n">
        <v>46006</v>
      </c>
      <c r="B24" s="2" t="s">
        <v>112</v>
      </c>
      <c r="E24" s="2" t="s">
        <v>113</v>
      </c>
      <c r="F24" s="2" t="s">
        <v>63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261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64</v>
      </c>
    </row>
    <row r="25" customFormat="false" ht="12" hidden="false" customHeight="false" outlineLevel="0" collapsed="false">
      <c r="A25" s="27" t="n">
        <v>46006</v>
      </c>
      <c r="B25" s="2" t="s">
        <v>219</v>
      </c>
      <c r="E25" s="2" t="s">
        <v>220</v>
      </c>
      <c r="F25" s="2" t="s">
        <v>73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261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  <c r="BZ25" s="2" t="s">
        <v>221</v>
      </c>
    </row>
    <row r="26" customFormat="false" ht="12" hidden="false" customHeight="false" outlineLevel="0" collapsed="false">
      <c r="A26" s="27" t="n">
        <v>46009</v>
      </c>
      <c r="B26" s="2" t="s">
        <v>168</v>
      </c>
      <c r="E26" s="2" t="s">
        <v>169</v>
      </c>
      <c r="F26" s="2" t="s">
        <v>102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258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46009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46011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46012</v>
      </c>
      <c r="B29" s="2" t="s">
        <v>121</v>
      </c>
      <c r="E29" s="2" t="s">
        <v>122</v>
      </c>
      <c r="F29" s="2" t="s">
        <v>93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94</v>
      </c>
    </row>
    <row r="30" customFormat="false" ht="12" hidden="false" customHeight="false" outlineLevel="0" collapsed="false">
      <c r="A30" s="27" t="n">
        <v>46013</v>
      </c>
      <c r="B30" s="2" t="s">
        <v>123</v>
      </c>
      <c r="E30" s="2" t="s">
        <v>124</v>
      </c>
      <c r="F30" s="2" t="s">
        <v>73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254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  <c r="BZ30" s="2" t="s">
        <v>83</v>
      </c>
    </row>
    <row r="31" customFormat="false" ht="12" hidden="false" customHeight="false" outlineLevel="0" collapsed="false">
      <c r="A31" s="27" t="n">
        <v>46016</v>
      </c>
      <c r="B31" s="2" t="s">
        <v>170</v>
      </c>
      <c r="E31" s="2" t="s">
        <v>171</v>
      </c>
      <c r="F31" s="2" t="s">
        <v>59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251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172</v>
      </c>
    </row>
    <row r="32" customFormat="false" ht="12" hidden="false" customHeight="false" outlineLevel="0" collapsed="false">
      <c r="A32" s="27" t="n">
        <v>46016</v>
      </c>
      <c r="B32" s="2" t="s">
        <v>125</v>
      </c>
      <c r="E32" s="2" t="s">
        <v>126</v>
      </c>
      <c r="F32" s="2" t="s">
        <v>73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251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46016</v>
      </c>
      <c r="B33" s="2" t="s">
        <v>127</v>
      </c>
      <c r="D33" s="4" t="n">
        <v>110</v>
      </c>
      <c r="E33" s="2" t="s">
        <v>222</v>
      </c>
      <c r="F33" s="2" t="s">
        <v>24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46019</v>
      </c>
      <c r="B34" s="2" t="s">
        <v>19</v>
      </c>
      <c r="E34" s="2" t="s">
        <v>129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88</v>
      </c>
    </row>
    <row r="35" customFormat="false" ht="12" hidden="false" customHeight="false" outlineLevel="0" collapsed="false">
      <c r="A35" s="27" t="n">
        <v>46022</v>
      </c>
      <c r="B35" s="2" t="s">
        <v>15</v>
      </c>
      <c r="E35" s="2" t="s">
        <v>130</v>
      </c>
      <c r="F35" s="2" t="s">
        <v>131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132</v>
      </c>
    </row>
    <row r="36" customFormat="false" ht="12" hidden="false" customHeight="false" outlineLevel="0" collapsed="false">
      <c r="A36" s="27" t="n">
        <v>46022</v>
      </c>
      <c r="B36" s="2" t="s">
        <v>223</v>
      </c>
      <c r="E36" s="2" t="s">
        <v>224</v>
      </c>
      <c r="F36" s="2" t="s">
        <v>198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225</v>
      </c>
    </row>
    <row r="37" customFormat="false" ht="12" hidden="false" customHeight="false" outlineLevel="0" collapsed="false">
      <c r="A37" s="27" t="n">
        <v>46022</v>
      </c>
      <c r="B37" s="2" t="s">
        <v>174</v>
      </c>
      <c r="C37" s="3" t="s">
        <v>226</v>
      </c>
      <c r="E37" s="2" t="s">
        <v>176</v>
      </c>
      <c r="F37" s="2" t="s">
        <v>131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177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85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745.5</v>
      </c>
      <c r="I1" s="13" t="n">
        <f aca="false">SUM(I2:I200)</f>
        <v>3765.75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4473</v>
      </c>
      <c r="N1" s="18" t="n">
        <f aca="true">TODAY()</f>
        <v>46267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538.25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524.25</v>
      </c>
      <c r="B2" s="44" t="s">
        <v>22</v>
      </c>
      <c r="C2" s="43" t="n">
        <f aca="false">Dec!C2+D1+[1]Jan!$D$1</f>
        <v>1165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38.25</v>
      </c>
      <c r="H2" s="21" t="n">
        <f aca="false">IF([1]Jan!$H$4&gt;0,0,[1]Jan!$H$2)</f>
        <v>20</v>
      </c>
      <c r="I2" s="47" t="n">
        <f aca="false">G2</f>
        <v>38.25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38.25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46023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244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46023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46023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244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46023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244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46023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244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46025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46025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46027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240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46027</v>
      </c>
      <c r="B14" s="2" t="s">
        <v>184</v>
      </c>
      <c r="E14" s="2" t="s">
        <v>185</v>
      </c>
      <c r="F14" s="2" t="s">
        <v>140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240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141</v>
      </c>
    </row>
    <row r="15" customFormat="false" ht="12" hidden="false" customHeight="false" outlineLevel="0" collapsed="false">
      <c r="A15" s="27" t="n">
        <v>46027</v>
      </c>
      <c r="B15" s="2" t="s">
        <v>86</v>
      </c>
      <c r="E15" s="2" t="s">
        <v>87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240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88</v>
      </c>
    </row>
    <row r="16" customFormat="false" ht="12" hidden="false" customHeight="false" outlineLevel="0" collapsed="false">
      <c r="A16" s="27" t="n">
        <v>46030</v>
      </c>
      <c r="B16" s="2" t="s">
        <v>91</v>
      </c>
      <c r="E16" s="2" t="s">
        <v>92</v>
      </c>
      <c r="F16" s="2" t="s">
        <v>93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46030</v>
      </c>
      <c r="B17" s="2" t="s">
        <v>135</v>
      </c>
      <c r="E17" s="2" t="s">
        <v>136</v>
      </c>
      <c r="F17" s="2" t="s">
        <v>69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137</v>
      </c>
    </row>
    <row r="18" customFormat="false" ht="12" hidden="false" customHeight="false" outlineLevel="0" collapsed="false">
      <c r="A18" s="27" t="n">
        <v>46032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46032</v>
      </c>
      <c r="B19" s="2" t="s">
        <v>97</v>
      </c>
      <c r="E19" s="2" t="s">
        <v>98</v>
      </c>
      <c r="F19" s="2" t="s">
        <v>63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99</v>
      </c>
    </row>
    <row r="20" customFormat="false" ht="12" hidden="false" customHeight="false" outlineLevel="0" collapsed="false">
      <c r="A20" s="27" t="n">
        <v>46032</v>
      </c>
      <c r="B20" s="2" t="s">
        <v>100</v>
      </c>
      <c r="E20" s="2" t="s">
        <v>101</v>
      </c>
      <c r="F20" s="2" t="s">
        <v>102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235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103</v>
      </c>
    </row>
    <row r="21" customFormat="false" ht="12" hidden="false" customHeight="false" outlineLevel="0" collapsed="false">
      <c r="A21" s="27" t="n">
        <v>46034</v>
      </c>
      <c r="B21" s="2" t="s">
        <v>104</v>
      </c>
      <c r="E21" s="2" t="s">
        <v>105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233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46036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231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46036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231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46037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46037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230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46038</v>
      </c>
      <c r="B26" s="2" t="s">
        <v>149</v>
      </c>
      <c r="E26" s="2" t="s">
        <v>150</v>
      </c>
      <c r="F26" s="2" t="s">
        <v>63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46040</v>
      </c>
      <c r="B27" s="2" t="s">
        <v>114</v>
      </c>
      <c r="E27" s="2" t="s">
        <v>87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88</v>
      </c>
    </row>
    <row r="28" customFormat="false" ht="12" hidden="false" customHeight="false" outlineLevel="0" collapsed="false">
      <c r="A28" s="27" t="n">
        <v>46042</v>
      </c>
      <c r="B28" s="2" t="s">
        <v>115</v>
      </c>
      <c r="E28" s="2" t="s">
        <v>116</v>
      </c>
      <c r="F28" s="2" t="s">
        <v>63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64</v>
      </c>
    </row>
    <row r="29" customFormat="false" ht="12" hidden="false" customHeight="false" outlineLevel="0" collapsed="false">
      <c r="A29" s="27" t="n">
        <v>46042</v>
      </c>
      <c r="B29" s="2" t="s">
        <v>191</v>
      </c>
      <c r="E29" s="2" t="s">
        <v>192</v>
      </c>
      <c r="F29" s="2" t="s">
        <v>63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153</v>
      </c>
    </row>
    <row r="30" customFormat="false" ht="12" hidden="false" customHeight="false" outlineLevel="0" collapsed="false">
      <c r="A30" s="27" t="n">
        <v>46042</v>
      </c>
      <c r="B30" s="2" t="s">
        <v>117</v>
      </c>
      <c r="E30" s="2" t="s">
        <v>118</v>
      </c>
      <c r="F30" s="2" t="s">
        <v>119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120</v>
      </c>
    </row>
    <row r="31" customFormat="false" ht="12" hidden="false" customHeight="false" outlineLevel="0" collapsed="false">
      <c r="A31" s="27" t="n">
        <v>46043</v>
      </c>
      <c r="B31" s="2" t="s">
        <v>121</v>
      </c>
      <c r="E31" s="2" t="s">
        <v>122</v>
      </c>
      <c r="F31" s="2" t="s">
        <v>93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224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94</v>
      </c>
    </row>
    <row r="32" customFormat="false" ht="12" hidden="false" customHeight="false" outlineLevel="0" collapsed="false">
      <c r="A32" s="27" t="n">
        <v>46044</v>
      </c>
      <c r="B32" s="2" t="s">
        <v>123</v>
      </c>
      <c r="E32" s="2" t="s">
        <v>124</v>
      </c>
      <c r="F32" s="2" t="s">
        <v>73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223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  <c r="BZ32" s="2" t="s">
        <v>83</v>
      </c>
    </row>
    <row r="33" customFormat="false" ht="12" hidden="false" customHeight="false" outlineLevel="0" collapsed="false">
      <c r="A33" s="27" t="n">
        <v>46044</v>
      </c>
      <c r="B33" s="2" t="s">
        <v>156</v>
      </c>
      <c r="E33" s="2" t="s">
        <v>157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223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46047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220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46047</v>
      </c>
      <c r="B35" s="2" t="s">
        <v>127</v>
      </c>
      <c r="D35" s="4" t="n">
        <v>85</v>
      </c>
      <c r="E35" s="2" t="s">
        <v>128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46050</v>
      </c>
      <c r="B36" s="2" t="s">
        <v>19</v>
      </c>
      <c r="E36" s="2" t="s">
        <v>129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88</v>
      </c>
    </row>
    <row r="37" customFormat="false" ht="12" hidden="false" customHeight="false" outlineLevel="0" collapsed="false">
      <c r="A37" s="27" t="n">
        <v>46053</v>
      </c>
      <c r="B37" s="2" t="s">
        <v>15</v>
      </c>
      <c r="E37" s="2" t="s">
        <v>130</v>
      </c>
      <c r="F37" s="2" t="s">
        <v>131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214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132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70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727.5</v>
      </c>
      <c r="I1" s="13" t="n">
        <f aca="false">SUM(I2:I200)</f>
        <v>3669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4365</v>
      </c>
      <c r="N1" s="18" t="n">
        <f aca="true">TODAY()</f>
        <v>46267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501.5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555.75</v>
      </c>
      <c r="B2" s="44" t="s">
        <v>22</v>
      </c>
      <c r="C2" s="43" t="n">
        <f aca="false">Jan!C2+D1+[1]Feb!$D$1</f>
        <v>1235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31.5</v>
      </c>
      <c r="H2" s="21" t="n">
        <f aca="false">IF([1]Feb!$H$4&gt;0,0,[1]Feb!$H$2)</f>
        <v>20</v>
      </c>
      <c r="I2" s="47" t="n">
        <f aca="false">G2</f>
        <v>31.5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31.5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46054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46054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46054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46054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46054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46056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46056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46058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46058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46058</v>
      </c>
      <c r="B15" s="2" t="s">
        <v>89</v>
      </c>
      <c r="E15" s="2" t="s">
        <v>90</v>
      </c>
      <c r="F15" s="2" t="s">
        <v>69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70</v>
      </c>
    </row>
    <row r="16" customFormat="false" ht="12" hidden="false" customHeight="false" outlineLevel="0" collapsed="false">
      <c r="A16" s="27" t="n">
        <v>46059</v>
      </c>
      <c r="B16" s="2" t="s">
        <v>133</v>
      </c>
      <c r="E16" s="2" t="s">
        <v>134</v>
      </c>
      <c r="F16" s="2" t="s">
        <v>93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  <c r="BZ16" s="2" t="s">
        <v>94</v>
      </c>
    </row>
    <row r="17" customFormat="false" ht="12" hidden="false" customHeight="false" outlineLevel="0" collapsed="false">
      <c r="A17" s="27" t="n">
        <v>46061</v>
      </c>
      <c r="B17" s="2" t="s">
        <v>91</v>
      </c>
      <c r="E17" s="2" t="s">
        <v>92</v>
      </c>
      <c r="F17" s="2" t="s">
        <v>93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94</v>
      </c>
    </row>
    <row r="18" customFormat="false" ht="12" hidden="false" customHeight="false" outlineLevel="0" collapsed="false">
      <c r="A18" s="27" t="n">
        <v>46063</v>
      </c>
      <c r="B18" s="2" t="s">
        <v>95</v>
      </c>
      <c r="E18" s="2" t="s">
        <v>96</v>
      </c>
      <c r="F18" s="2" t="s">
        <v>73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204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  <c r="BZ18" s="2" t="s">
        <v>83</v>
      </c>
    </row>
    <row r="19" customFormat="false" ht="12" hidden="false" customHeight="false" outlineLevel="0" collapsed="false">
      <c r="A19" s="27" t="n">
        <v>46065</v>
      </c>
      <c r="B19" s="2" t="s">
        <v>104</v>
      </c>
      <c r="E19" s="2" t="s">
        <v>105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202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88</v>
      </c>
    </row>
    <row r="20" customFormat="false" ht="12" hidden="false" customHeight="false" outlineLevel="0" collapsed="false">
      <c r="A20" s="27" t="n">
        <v>46065</v>
      </c>
      <c r="B20" s="2" t="s">
        <v>186</v>
      </c>
      <c r="E20" s="2" t="s">
        <v>187</v>
      </c>
      <c r="F20" s="2" t="s">
        <v>69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202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137</v>
      </c>
    </row>
    <row r="21" customFormat="false" ht="12" hidden="false" customHeight="false" outlineLevel="0" collapsed="false">
      <c r="A21" s="27" t="n">
        <v>46067</v>
      </c>
      <c r="B21" s="2" t="s">
        <v>106</v>
      </c>
      <c r="E21" s="2" t="s">
        <v>107</v>
      </c>
      <c r="F21" s="2" t="s">
        <v>73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200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  <c r="BZ21" s="2" t="s">
        <v>83</v>
      </c>
    </row>
    <row r="22" customFormat="false" ht="12" hidden="false" customHeight="false" outlineLevel="0" collapsed="false">
      <c r="A22" s="27" t="n">
        <v>46067</v>
      </c>
      <c r="B22" s="2" t="s">
        <v>108</v>
      </c>
      <c r="E22" s="2" t="s">
        <v>109</v>
      </c>
      <c r="F22" s="2" t="s">
        <v>93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200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94</v>
      </c>
    </row>
    <row r="23" customFormat="false" ht="12" hidden="false" customHeight="false" outlineLevel="0" collapsed="false">
      <c r="A23" s="27" t="n">
        <v>46067</v>
      </c>
      <c r="B23" s="2" t="s">
        <v>110</v>
      </c>
      <c r="E23" s="2" t="s">
        <v>111</v>
      </c>
      <c r="F23" s="2" t="s">
        <v>93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200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94</v>
      </c>
    </row>
    <row r="24" customFormat="false" ht="12" hidden="false" customHeight="false" outlineLevel="0" collapsed="false">
      <c r="A24" s="27" t="n">
        <v>46068</v>
      </c>
      <c r="B24" s="2" t="s">
        <v>19</v>
      </c>
      <c r="E24" s="2" t="s">
        <v>87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88</v>
      </c>
    </row>
    <row r="25" customFormat="false" ht="12" hidden="false" customHeight="false" outlineLevel="0" collapsed="false">
      <c r="A25" s="27" t="n">
        <v>46068</v>
      </c>
      <c r="B25" s="2" t="s">
        <v>112</v>
      </c>
      <c r="E25" s="2" t="s">
        <v>113</v>
      </c>
      <c r="F25" s="2" t="s">
        <v>63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64</v>
      </c>
    </row>
    <row r="26" customFormat="false" ht="12" hidden="false" customHeight="false" outlineLevel="0" collapsed="false">
      <c r="A26" s="27" t="n">
        <v>46068</v>
      </c>
      <c r="B26" s="2" t="s">
        <v>142</v>
      </c>
      <c r="E26" s="2" t="s">
        <v>143</v>
      </c>
      <c r="F26" s="2" t="s">
        <v>102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199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103</v>
      </c>
    </row>
    <row r="27" customFormat="false" ht="12" hidden="false" customHeight="false" outlineLevel="0" collapsed="false">
      <c r="A27" s="27" t="n">
        <v>46071</v>
      </c>
      <c r="B27" s="2" t="s">
        <v>194</v>
      </c>
      <c r="E27" s="2" t="s">
        <v>227</v>
      </c>
      <c r="F27" s="2" t="s">
        <v>119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120</v>
      </c>
    </row>
    <row r="28" customFormat="false" ht="12" hidden="false" customHeight="false" outlineLevel="0" collapsed="false">
      <c r="A28" s="27" t="n">
        <v>46071</v>
      </c>
      <c r="B28" s="2" t="s">
        <v>166</v>
      </c>
      <c r="E28" s="2" t="s">
        <v>228</v>
      </c>
      <c r="F28" s="2" t="s">
        <v>93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  <c r="BZ28" s="2" t="s">
        <v>94</v>
      </c>
    </row>
    <row r="29" customFormat="false" ht="12" hidden="false" customHeight="false" outlineLevel="0" collapsed="false">
      <c r="A29" s="27" t="n">
        <v>46071</v>
      </c>
      <c r="B29" s="2" t="s">
        <v>114</v>
      </c>
      <c r="E29" s="2" t="s">
        <v>87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46073</v>
      </c>
      <c r="B30" s="2" t="s">
        <v>115</v>
      </c>
      <c r="E30" s="2" t="s">
        <v>116</v>
      </c>
      <c r="F30" s="2" t="s">
        <v>63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64</v>
      </c>
    </row>
    <row r="31" customFormat="false" ht="12" hidden="false" customHeight="false" outlineLevel="0" collapsed="false">
      <c r="A31" s="27" t="n">
        <v>46073</v>
      </c>
      <c r="B31" s="2" t="s">
        <v>154</v>
      </c>
      <c r="E31" s="2" t="s">
        <v>155</v>
      </c>
      <c r="F31" s="2" t="s">
        <v>102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194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  <c r="BZ31" s="2" t="s">
        <v>103</v>
      </c>
    </row>
    <row r="32" customFormat="false" ht="12" hidden="false" customHeight="false" outlineLevel="0" collapsed="false">
      <c r="A32" s="27" t="n">
        <v>46074</v>
      </c>
      <c r="B32" s="2" t="s">
        <v>121</v>
      </c>
      <c r="E32" s="2" t="s">
        <v>122</v>
      </c>
      <c r="F32" s="2" t="s">
        <v>93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193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94</v>
      </c>
    </row>
    <row r="33" customFormat="false" ht="12" hidden="false" customHeight="false" outlineLevel="0" collapsed="false">
      <c r="A33" s="27" t="n">
        <v>46075</v>
      </c>
      <c r="B33" s="2" t="s">
        <v>123</v>
      </c>
      <c r="E33" s="2" t="s">
        <v>124</v>
      </c>
      <c r="F33" s="2" t="s">
        <v>73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192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  <c r="BZ33" s="2" t="s">
        <v>83</v>
      </c>
    </row>
    <row r="34" customFormat="false" ht="12" hidden="false" customHeight="false" outlineLevel="0" collapsed="false">
      <c r="A34" s="27" t="n">
        <v>46078</v>
      </c>
      <c r="B34" s="2" t="s">
        <v>125</v>
      </c>
      <c r="E34" s="2" t="s">
        <v>126</v>
      </c>
      <c r="F34" s="2" t="s">
        <v>73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  <c r="BZ34" s="2" t="s">
        <v>83</v>
      </c>
    </row>
    <row r="35" customFormat="false" ht="12" hidden="false" customHeight="false" outlineLevel="0" collapsed="false">
      <c r="A35" s="27" t="n">
        <v>46078</v>
      </c>
      <c r="B35" s="2" t="s">
        <v>127</v>
      </c>
      <c r="D35" s="4" t="n">
        <v>70</v>
      </c>
      <c r="E35" s="2" t="s">
        <v>229</v>
      </c>
      <c r="F35" s="2" t="s">
        <v>24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88</v>
      </c>
    </row>
    <row r="36" customFormat="false" ht="12" hidden="false" customHeight="false" outlineLevel="0" collapsed="false">
      <c r="A36" s="27" t="n">
        <v>46081</v>
      </c>
      <c r="B36" s="2" t="s">
        <v>15</v>
      </c>
      <c r="E36" s="2" t="s">
        <v>130</v>
      </c>
      <c r="F36" s="2" t="s">
        <v>131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  <c r="BZ36" s="2" t="s">
        <v>132</v>
      </c>
    </row>
    <row r="37" customFormat="false" ht="12" hidden="false" customHeight="false" outlineLevel="0" collapsed="false">
      <c r="A37" s="27" t="n">
        <v>46081</v>
      </c>
      <c r="B37" s="2" t="s">
        <v>19</v>
      </c>
      <c r="E37" s="2" t="s">
        <v>129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  <c r="BZ37" s="2" t="s">
        <v>88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130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611.333333333333</v>
      </c>
      <c r="I1" s="13" t="n">
        <f aca="false">SUM(I2:I200)</f>
        <v>3115.16666666667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3668</v>
      </c>
      <c r="N1" s="18" t="n">
        <f aca="true">TODAY()</f>
        <v>46267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578.5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614.25</v>
      </c>
      <c r="B2" s="44" t="s">
        <v>22</v>
      </c>
      <c r="C2" s="43" t="n">
        <f aca="false">Feb!C2+D1+[1]Mar!$D$1</f>
        <v>1365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58.5</v>
      </c>
      <c r="H2" s="21" t="n">
        <f aca="false">IF([1]Mar!$H$4&gt;0,0,[1]Mar!$H$2)</f>
        <v>20</v>
      </c>
      <c r="I2" s="47" t="n">
        <f aca="false">G2</f>
        <v>58.5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58.5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52500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 t="s">
        <v>58</v>
      </c>
      <c r="F5" s="2" t="s">
        <v>59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  <c r="BZ5" s="5" t="s">
        <v>60</v>
      </c>
    </row>
    <row r="6" customFormat="false" ht="12" hidden="false" customHeight="false" outlineLevel="0" collapsed="false">
      <c r="A6" s="27" t="n">
        <v>46082</v>
      </c>
      <c r="B6" s="2" t="s">
        <v>61</v>
      </c>
      <c r="E6" s="2" t="s">
        <v>62</v>
      </c>
      <c r="F6" s="2" t="s">
        <v>63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  <c r="BZ6" s="2" t="s">
        <v>64</v>
      </c>
    </row>
    <row r="7" customFormat="false" ht="12" hidden="false" customHeight="false" outlineLevel="0" collapsed="false">
      <c r="A7" s="27" t="n">
        <v>46082</v>
      </c>
      <c r="B7" s="2" t="s">
        <v>65</v>
      </c>
      <c r="E7" s="2" t="s">
        <v>66</v>
      </c>
      <c r="F7" s="2" t="s">
        <v>63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  <c r="BZ7" s="2" t="s">
        <v>64</v>
      </c>
    </row>
    <row r="8" customFormat="false" ht="12" hidden="false" customHeight="false" outlineLevel="0" collapsed="false">
      <c r="A8" s="27" t="n">
        <v>46082</v>
      </c>
      <c r="B8" s="2" t="s">
        <v>67</v>
      </c>
      <c r="E8" s="2" t="s">
        <v>68</v>
      </c>
      <c r="F8" s="2" t="s">
        <v>69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  <c r="BZ8" s="2" t="s">
        <v>70</v>
      </c>
    </row>
    <row r="9" customFormat="false" ht="12" hidden="false" customHeight="false" outlineLevel="0" collapsed="false">
      <c r="A9" s="27" t="n">
        <v>46082</v>
      </c>
      <c r="B9" s="2" t="s">
        <v>75</v>
      </c>
      <c r="E9" s="2" t="s">
        <v>76</v>
      </c>
      <c r="F9" s="2" t="s">
        <v>69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  <c r="BZ9" s="2" t="s">
        <v>70</v>
      </c>
    </row>
    <row r="10" customFormat="false" ht="12" hidden="false" customHeight="false" outlineLevel="0" collapsed="false">
      <c r="A10" s="27" t="n">
        <v>46082</v>
      </c>
      <c r="B10" s="2" t="s">
        <v>77</v>
      </c>
      <c r="E10" s="2" t="s">
        <v>78</v>
      </c>
      <c r="F10" s="2" t="s">
        <v>63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  <c r="BZ10" s="2" t="s">
        <v>64</v>
      </c>
    </row>
    <row r="11" customFormat="false" ht="12" hidden="false" customHeight="false" outlineLevel="0" collapsed="false">
      <c r="A11" s="27" t="n">
        <v>46084</v>
      </c>
      <c r="B11" s="2" t="s">
        <v>79</v>
      </c>
      <c r="E11" s="2" t="s">
        <v>80</v>
      </c>
      <c r="F11" s="2" t="s">
        <v>69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183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  <c r="BZ11" s="2" t="s">
        <v>70</v>
      </c>
    </row>
    <row r="12" customFormat="false" ht="12" hidden="false" customHeight="false" outlineLevel="0" collapsed="false">
      <c r="A12" s="27" t="n">
        <v>46084</v>
      </c>
      <c r="B12" s="2" t="s">
        <v>81</v>
      </c>
      <c r="E12" s="2" t="s">
        <v>82</v>
      </c>
      <c r="F12" s="2" t="s">
        <v>73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183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  <c r="BZ12" s="2" t="s">
        <v>83</v>
      </c>
    </row>
    <row r="13" customFormat="false" ht="12" hidden="false" customHeight="false" outlineLevel="0" collapsed="false">
      <c r="A13" s="27" t="n">
        <v>46086</v>
      </c>
      <c r="B13" s="2" t="s">
        <v>84</v>
      </c>
      <c r="E13" s="2" t="s">
        <v>85</v>
      </c>
      <c r="F13" s="2" t="s">
        <v>73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  <c r="BZ13" s="2" t="s">
        <v>83</v>
      </c>
    </row>
    <row r="14" customFormat="false" ht="12" hidden="false" customHeight="false" outlineLevel="0" collapsed="false">
      <c r="A14" s="27" t="n">
        <v>46086</v>
      </c>
      <c r="B14" s="2" t="s">
        <v>86</v>
      </c>
      <c r="E14" s="2" t="s">
        <v>87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181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  <c r="BZ14" s="2" t="s">
        <v>88</v>
      </c>
    </row>
    <row r="15" customFormat="false" ht="12" hidden="false" customHeight="false" outlineLevel="0" collapsed="false">
      <c r="A15" s="27" t="n">
        <v>46089</v>
      </c>
      <c r="B15" s="2" t="s">
        <v>91</v>
      </c>
      <c r="E15" s="2" t="s">
        <v>92</v>
      </c>
      <c r="F15" s="2" t="s">
        <v>93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  <c r="BZ15" s="2" t="s">
        <v>94</v>
      </c>
    </row>
    <row r="16" customFormat="false" ht="12" hidden="false" customHeight="false" outlineLevel="0" collapsed="false">
      <c r="A16" s="27" t="n">
        <v>46091</v>
      </c>
      <c r="B16" s="2" t="s">
        <v>95</v>
      </c>
      <c r="E16" s="2" t="s">
        <v>96</v>
      </c>
      <c r="F16" s="2" t="s">
        <v>73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  <c r="BZ16" s="2" t="s">
        <v>83</v>
      </c>
    </row>
    <row r="17" customFormat="false" ht="12" hidden="false" customHeight="false" outlineLevel="0" collapsed="false">
      <c r="A17" s="27" t="n">
        <v>46091</v>
      </c>
      <c r="B17" s="2" t="s">
        <v>112</v>
      </c>
      <c r="E17" s="2" t="s">
        <v>200</v>
      </c>
      <c r="F17" s="2" t="s">
        <v>63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  <c r="BZ17" s="2" t="s">
        <v>153</v>
      </c>
    </row>
    <row r="18" customFormat="false" ht="12" hidden="false" customHeight="false" outlineLevel="0" collapsed="false">
      <c r="A18" s="27" t="n">
        <v>46093</v>
      </c>
      <c r="B18" s="2" t="s">
        <v>104</v>
      </c>
      <c r="E18" s="2" t="s">
        <v>105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174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  <c r="BZ18" s="2" t="s">
        <v>88</v>
      </c>
    </row>
    <row r="19" customFormat="false" ht="12" hidden="false" customHeight="false" outlineLevel="0" collapsed="false">
      <c r="A19" s="27" t="n">
        <v>46095</v>
      </c>
      <c r="B19" s="2" t="s">
        <v>108</v>
      </c>
      <c r="E19" s="2" t="s">
        <v>109</v>
      </c>
      <c r="F19" s="2" t="s">
        <v>93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172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  <c r="BZ19" s="2" t="s">
        <v>94</v>
      </c>
    </row>
    <row r="20" customFormat="false" ht="12" hidden="false" customHeight="false" outlineLevel="0" collapsed="false">
      <c r="A20" s="27" t="n">
        <v>46095</v>
      </c>
      <c r="B20" s="2" t="s">
        <v>110</v>
      </c>
      <c r="E20" s="2" t="s">
        <v>111</v>
      </c>
      <c r="F20" s="2" t="s">
        <v>93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172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  <c r="BZ20" s="2" t="s">
        <v>94</v>
      </c>
    </row>
    <row r="21" customFormat="false" ht="12" hidden="false" customHeight="false" outlineLevel="0" collapsed="false">
      <c r="A21" s="27" t="n">
        <v>46096</v>
      </c>
      <c r="B21" s="2" t="s">
        <v>19</v>
      </c>
      <c r="E21" s="2" t="s">
        <v>87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171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  <c r="BZ21" s="2" t="s">
        <v>88</v>
      </c>
    </row>
    <row r="22" customFormat="false" ht="12" hidden="false" customHeight="false" outlineLevel="0" collapsed="false">
      <c r="A22" s="27" t="n">
        <v>46096</v>
      </c>
      <c r="B22" s="2" t="s">
        <v>112</v>
      </c>
      <c r="E22" s="2" t="s">
        <v>113</v>
      </c>
      <c r="F22" s="2" t="s">
        <v>63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171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  <c r="BZ22" s="2" t="s">
        <v>64</v>
      </c>
    </row>
    <row r="23" customFormat="false" ht="12" hidden="false" customHeight="false" outlineLevel="0" collapsed="false">
      <c r="A23" s="27" t="n">
        <v>46097</v>
      </c>
      <c r="B23" s="2" t="s">
        <v>149</v>
      </c>
      <c r="E23" s="2" t="s">
        <v>150</v>
      </c>
      <c r="F23" s="2" t="s">
        <v>63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170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  <c r="BZ23" s="2" t="s">
        <v>64</v>
      </c>
    </row>
    <row r="24" customFormat="false" ht="12" hidden="false" customHeight="false" outlineLevel="0" collapsed="false">
      <c r="A24" s="27" t="n">
        <v>46099</v>
      </c>
      <c r="B24" s="2" t="s">
        <v>168</v>
      </c>
      <c r="E24" s="2" t="s">
        <v>169</v>
      </c>
      <c r="F24" s="2" t="s">
        <v>102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168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  <c r="BZ24" s="2" t="s">
        <v>103</v>
      </c>
    </row>
    <row r="25" customFormat="false" ht="12" hidden="false" customHeight="false" outlineLevel="0" collapsed="false">
      <c r="A25" s="27" t="n">
        <v>46099</v>
      </c>
      <c r="B25" s="2" t="s">
        <v>114</v>
      </c>
      <c r="E25" s="2" t="s">
        <v>87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  <c r="BZ25" s="2" t="s">
        <v>88</v>
      </c>
    </row>
    <row r="26" customFormat="false" ht="12" hidden="false" customHeight="false" outlineLevel="0" collapsed="false">
      <c r="A26" s="27" t="n">
        <v>46101</v>
      </c>
      <c r="B26" s="2" t="s">
        <v>115</v>
      </c>
      <c r="E26" s="2" t="s">
        <v>116</v>
      </c>
      <c r="F26" s="2" t="s">
        <v>63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  <c r="BZ26" s="2" t="s">
        <v>64</v>
      </c>
    </row>
    <row r="27" customFormat="false" ht="12" hidden="false" customHeight="false" outlineLevel="0" collapsed="false">
      <c r="A27" s="27" t="n">
        <v>46102</v>
      </c>
      <c r="B27" s="2" t="s">
        <v>121</v>
      </c>
      <c r="E27" s="2" t="s">
        <v>122</v>
      </c>
      <c r="F27" s="2" t="s">
        <v>93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  <c r="BZ27" s="2" t="s">
        <v>94</v>
      </c>
    </row>
    <row r="28" customFormat="false" ht="12" hidden="false" customHeight="false" outlineLevel="0" collapsed="false">
      <c r="A28" s="27" t="n">
        <v>46103</v>
      </c>
      <c r="B28" s="2" t="s">
        <v>123</v>
      </c>
      <c r="E28" s="2" t="s">
        <v>124</v>
      </c>
      <c r="F28" s="2" t="s">
        <v>73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164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  <c r="BZ28" s="2" t="s">
        <v>83</v>
      </c>
    </row>
    <row r="29" customFormat="false" ht="12" hidden="false" customHeight="false" outlineLevel="0" collapsed="false">
      <c r="A29" s="27" t="n">
        <v>46103</v>
      </c>
      <c r="B29" s="2" t="s">
        <v>156</v>
      </c>
      <c r="E29" s="2" t="s">
        <v>157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164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  <c r="BZ29" s="2" t="s">
        <v>88</v>
      </c>
    </row>
    <row r="30" customFormat="false" ht="12" hidden="false" customHeight="false" outlineLevel="0" collapsed="false">
      <c r="A30" s="27" t="n">
        <v>46106</v>
      </c>
      <c r="B30" s="2" t="s">
        <v>170</v>
      </c>
      <c r="E30" s="2" t="s">
        <v>171</v>
      </c>
      <c r="F30" s="2" t="s">
        <v>59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161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  <c r="BZ30" s="2" t="s">
        <v>172</v>
      </c>
    </row>
    <row r="31" customFormat="false" ht="12" hidden="false" customHeight="false" outlineLevel="0" collapsed="false">
      <c r="A31" s="27" t="n">
        <v>46106</v>
      </c>
      <c r="B31" s="2" t="s">
        <v>125</v>
      </c>
      <c r="E31" s="2" t="s">
        <v>126</v>
      </c>
      <c r="F31" s="2" t="s">
        <v>73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161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  <c r="BZ31" s="2" t="s">
        <v>83</v>
      </c>
    </row>
    <row r="32" customFormat="false" ht="12" hidden="false" customHeight="false" outlineLevel="0" collapsed="false">
      <c r="A32" s="27" t="n">
        <v>46106</v>
      </c>
      <c r="B32" s="2" t="s">
        <v>127</v>
      </c>
      <c r="D32" s="4" t="n">
        <v>130</v>
      </c>
      <c r="E32" s="2" t="s">
        <v>222</v>
      </c>
      <c r="F32" s="2" t="s">
        <v>24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  <c r="BZ32" s="2" t="s">
        <v>88</v>
      </c>
    </row>
    <row r="33" customFormat="false" ht="12" hidden="false" customHeight="false" outlineLevel="0" collapsed="false">
      <c r="A33" s="27" t="n">
        <v>46109</v>
      </c>
      <c r="B33" s="2" t="s">
        <v>19</v>
      </c>
      <c r="E33" s="2" t="s">
        <v>129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  <c r="BZ33" s="2" t="s">
        <v>88</v>
      </c>
    </row>
    <row r="34" customFormat="false" ht="12" hidden="false" customHeight="false" outlineLevel="0" collapsed="false">
      <c r="A34" s="27" t="n">
        <v>46112</v>
      </c>
      <c r="B34" s="2" t="s">
        <v>15</v>
      </c>
      <c r="E34" s="2" t="s">
        <v>130</v>
      </c>
      <c r="F34" s="2" t="s">
        <v>131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  <c r="BZ34" s="2" t="s">
        <v>132</v>
      </c>
    </row>
    <row r="35" customFormat="false" ht="12" hidden="false" customHeight="false" outlineLevel="0" collapsed="false">
      <c r="A35" s="27" t="n">
        <v>46112</v>
      </c>
      <c r="B35" s="2" t="s">
        <v>174</v>
      </c>
      <c r="C35" s="3" t="s">
        <v>230</v>
      </c>
      <c r="E35" s="2" t="s">
        <v>176</v>
      </c>
      <c r="F35" s="2" t="s">
        <v>131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  <c r="BZ35" s="2" t="s">
        <v>177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46267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231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46267</v>
      </c>
    </row>
    <row r="6" customFormat="false" ht="12" hidden="false" customHeight="false" outlineLevel="0" collapsed="false">
      <c r="A6" s="27"/>
      <c r="B6" s="2" t="s">
        <v>15</v>
      </c>
      <c r="C6" s="3" t="s">
        <v>232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46267</v>
      </c>
    </row>
    <row r="7" customFormat="false" ht="12" hidden="false" customHeight="false" outlineLevel="0" collapsed="false">
      <c r="A7" s="27"/>
      <c r="B7" s="2" t="s">
        <v>115</v>
      </c>
      <c r="C7" s="3" t="s">
        <v>233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46267</v>
      </c>
    </row>
    <row r="8" customFormat="false" ht="12" hidden="false" customHeight="false" outlineLevel="0" collapsed="false">
      <c r="A8" s="27"/>
      <c r="B8" s="2" t="s">
        <v>19</v>
      </c>
      <c r="C8" s="3" t="s">
        <v>234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46267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