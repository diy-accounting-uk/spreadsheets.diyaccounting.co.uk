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<sst xmlns="http://schemas.openxmlformats.org/spreadsheetml/2006/main" count="2250" uniqueCount="241">
  <si>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</si>
  <si>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</si>
  <si>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</si>
  <si>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</si>
  <si>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</si>
  <si>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</si>
  <si>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</si>
  <si>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</si>
  <si>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</si>
  <si>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</si>
  <si>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</si>
  <si>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</si>
  <si>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</si>
  <si>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</si>
  <si>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</si>
  <si>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</si>
  <si>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</si>
  <si>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</si>
  <si>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</si>
  <si>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</si>
  <si>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</si>
  <si>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</si>
  <si>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</si>
  <si>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</si>
  <si>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</si>
  <si>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</si>
  <si>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</si>
  <si>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</si>
  <si>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</si>
  <si>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</si>
  <si>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</si>
  <si>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</si>
  <si>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</si>
  <si>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</si>
  <si>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Business Entertainment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</si>
  <si>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</si>
  <si>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</si>
  <si>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</si>
  <si>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</si>
  <si>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</si>
  <si>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</si>
  <si>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</si>
  <si>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</si>
  <si>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</si>
  <si>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</si>
  <si>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</si>
  <si>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</si>
  <si>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</si>
  <si>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</si>
  <si>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</si>
  <si>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</si>
  <si>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</si>
  <si>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</si>
  <si>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</si>
  <si>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</si>
  <si>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</si>
  <si>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</si>
  <si>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E</t>
  </si>
  <si>
    <t xml:space="preserve">Tax Paid</t>
  </si>
  <si>
    <t xml:space="preserve">Certificate No</t>
  </si>
  <si>
    <t xml:space="preserve">Monthly office rent</t>
  </si>
  <si>
    <t xml:space="preserve">p</t>
  </si>
  <si>
    <t xml:space="preserve">5200</t>
  </si>
  <si>
    <t xml:space="preserve">Microsoft</t>
  </si>
  <si>
    <t xml:space="preserve">Microsoft 365 subscription</t>
  </si>
  <si>
    <t xml:space="preserve">g</t>
  </si>
  <si>
    <t xml:space="preserve">5501</t>
  </si>
  <si>
    <t xml:space="preserve">Slack</t>
  </si>
  <si>
    <t xml:space="preserve">Slack team subscription</t>
  </si>
  <si>
    <t xml:space="preserve">GitHub</t>
  </si>
  <si>
    <t xml:space="preserve">GitHub Team subscription</t>
  </si>
  <si>
    <t xml:space="preserve">o</t>
  </si>
  <si>
    <t xml:space="preserve">5002</t>
  </si>
  <si>
    <t xml:space="preserve">Hiscox</t>
  </si>
  <si>
    <t xml:space="preserve">Professional indemnity insurance</t>
  </si>
  <si>
    <t xml:space="preserve">y</t>
  </si>
  <si>
    <t xml:space="preserve">5700</t>
  </si>
  <si>
    <t xml:space="preserve">Cloudflare</t>
  </si>
  <si>
    <t xml:space="preserve">CDN and DNS services</t>
  </si>
  <si>
    <t xml:space="preserve">Zoom</t>
  </si>
  <si>
    <t xml:space="preserve">Video conferencing subscription</t>
  </si>
  <si>
    <t xml:space="preserve">AWS</t>
  </si>
  <si>
    <t xml:space="preserve">Cloud hosting charges</t>
  </si>
  <si>
    <t xml:space="preserve">Argos</t>
  </si>
  <si>
    <t xml:space="preserve">Miscellaneous office items</t>
  </si>
  <si>
    <t xml:space="preserve">5401</t>
  </si>
  <si>
    <t xml:space="preserve">Ryman</t>
  </si>
  <si>
    <t xml:space="preserve">Stationery supplies</t>
  </si>
  <si>
    <t xml:space="preserve">BP</t>
  </si>
  <si>
    <t xml:space="preserve">Fuel for company vehicle</t>
  </si>
  <si>
    <t xml:space="preserve">5601</t>
  </si>
  <si>
    <t xml:space="preserve">DigitalOcean</t>
  </si>
  <si>
    <t xml:space="preserve">Cloud VPS hosting</t>
  </si>
  <si>
    <t xml:space="preserve">National Rail</t>
  </si>
  <si>
    <t xml:space="preserve">Train ticket client meeting</t>
  </si>
  <si>
    <t xml:space="preserve">h</t>
  </si>
  <si>
    <t xml:space="preserve">5600</t>
  </si>
  <si>
    <t xml:space="preserve">Amazon</t>
  </si>
  <si>
    <t xml:space="preserve">Office supplies</t>
  </si>
  <si>
    <t xml:space="preserve">Xerox</t>
  </si>
  <si>
    <t xml:space="preserve">Printer lease payment</t>
  </si>
  <si>
    <t xml:space="preserve">5701</t>
  </si>
  <si>
    <t xml:space="preserve">TechParts</t>
  </si>
  <si>
    <t xml:space="preserve">Hardware components for resale</t>
  </si>
  <si>
    <t xml:space="preserve">s</t>
  </si>
  <si>
    <t xml:space="preserve">5000</t>
  </si>
  <si>
    <t xml:space="preserve">NCP</t>
  </si>
  <si>
    <t xml:space="preserve">Parking charges</t>
  </si>
  <si>
    <t xml:space="preserve">Toolstation</t>
  </si>
  <si>
    <t xml:space="preserve">Assorted fixings and parts</t>
  </si>
  <si>
    <t xml:space="preserve">Uber</t>
  </si>
  <si>
    <t xml:space="preserve">Taxi to client site</t>
  </si>
  <si>
    <t xml:space="preserve">Costa Coffee</t>
  </si>
  <si>
    <t xml:space="preserve">Client meeting refreshments</t>
  </si>
  <si>
    <t xml:space="preserve">Royal Mail</t>
  </si>
  <si>
    <t xml:space="preserve">Postage</t>
  </si>
  <si>
    <t xml:space="preserve">Jet</t>
  </si>
  <si>
    <t xml:space="preserve">BT Business</t>
  </si>
  <si>
    <t xml:space="preserve">Telephone line rental</t>
  </si>
  <si>
    <t xml:space="preserve">Office Maintenance Ltd</t>
  </si>
  <si>
    <t xml:space="preserve">Premises maintenance and repairs</t>
  </si>
  <si>
    <t xml:space="preserve">m</t>
  </si>
  <si>
    <t xml:space="preserve">5400</t>
  </si>
  <si>
    <t xml:space="preserve">Greggs</t>
  </si>
  <si>
    <t xml:space="preserve">Working lunch</t>
  </si>
  <si>
    <t xml:space="preserve">Screwfix</t>
  </si>
  <si>
    <t xml:space="preserve">Miscellaneous supplies</t>
  </si>
  <si>
    <t xml:space="preserve">Wilko</t>
  </si>
  <si>
    <t xml:space="preserve">Cleaning and kitchen supplies</t>
  </si>
  <si>
    <t xml:space="preserve">Mileage claim</t>
  </si>
  <si>
    <t xml:space="preserve">Business mileage to Manchester</t>
  </si>
  <si>
    <t xml:space="preserve">Additional fuel purchase</t>
  </si>
  <si>
    <t xml:space="preserve">Monthly accountancy retainer</t>
  </si>
  <si>
    <t xml:space="preserve">l</t>
  </si>
  <si>
    <t xml:space="preserve">5800</t>
  </si>
  <si>
    <t xml:space="preserve">Trainline</t>
  </si>
  <si>
    <t xml:space="preserve">Advance train ticket</t>
  </si>
  <si>
    <t xml:space="preserve">Hilti</t>
  </si>
  <si>
    <t xml:space="preserve">Power tool hire</t>
  </si>
  <si>
    <t xml:space="preserve">5301</t>
  </si>
  <si>
    <t xml:space="preserve">Google Ads</t>
  </si>
  <si>
    <t xml:space="preserve">PPC advertising campaign</t>
  </si>
  <si>
    <t xml:space="preserve">a</t>
  </si>
  <si>
    <t xml:space="preserve">5500</t>
  </si>
  <si>
    <t xml:space="preserve">ComponentsDirect</t>
  </si>
  <si>
    <t xml:space="preserve">Electronic components</t>
  </si>
  <si>
    <t xml:space="preserve">Dell</t>
  </si>
  <si>
    <t xml:space="preserve">PUR-FA-001</t>
  </si>
  <si>
    <t xml:space="preserve">New laptop for development</t>
  </si>
  <si>
    <t xml:space="preserve">fa</t>
  </si>
  <si>
    <t xml:space="preserve">5900</t>
  </si>
  <si>
    <t xml:space="preserve">WHSmith</t>
  </si>
  <si>
    <t xml:space="preserve">Magazines and stationery</t>
  </si>
  <si>
    <t xml:space="preserve">ParcelForce</t>
  </si>
  <si>
    <t xml:space="preserve">Equipment delivery</t>
  </si>
  <si>
    <t xml:space="preserve">5300</t>
  </si>
  <si>
    <t xml:space="preserve">CableCo</t>
  </si>
  <si>
    <t xml:space="preserve">Cabling and connectors</t>
  </si>
  <si>
    <t xml:space="preserve">Halfords</t>
  </si>
  <si>
    <t xml:space="preserve">Vehicle maintenance supplies</t>
  </si>
  <si>
    <t xml:space="preserve">Business mileage to Birmingham</t>
  </si>
  <si>
    <t xml:space="preserve">Vistaprint</t>
  </si>
  <si>
    <t xml:space="preserve">Business cards and flyers</t>
  </si>
  <si>
    <t xml:space="preserve">BuildTech Solutions</t>
  </si>
  <si>
    <t xml:space="preserve">PUR-CIS-001</t>
  </si>
  <si>
    <t xml:space="preserve">Sub-contractor network installation</t>
  </si>
  <si>
    <t xml:space="preserve">c</t>
  </si>
  <si>
    <t xml:space="preserve">5001</t>
  </si>
  <si>
    <t xml:space="preserve">Premier Inn</t>
  </si>
  <si>
    <t xml:space="preserve">Hotel for London client meeting</t>
  </si>
  <si>
    <t xml:space="preserve">ElectroParts</t>
  </si>
  <si>
    <t xml:space="preserve">Specialist electronic components</t>
  </si>
  <si>
    <t xml:space="preserve">EnergySupply</t>
  </si>
  <si>
    <t xml:space="preserve">Quarterly utility bill</t>
  </si>
  <si>
    <t xml:space="preserve">5201</t>
  </si>
  <si>
    <t xml:space="preserve">Business mileage to London</t>
  </si>
  <si>
    <t xml:space="preserve">Directors loan</t>
  </si>
  <si>
    <t xml:space="preserve">PUR-INT-001</t>
  </si>
  <si>
    <t xml:space="preserve">Directors loan interest</t>
  </si>
  <si>
    <t xml:space="preserve">5803</t>
  </si>
  <si>
    <t xml:space="preserve">Precision Tooling Supplies</t>
  </si>
  <si>
    <t xml:space="preserve">PUR-FA-004</t>
  </si>
  <si>
    <t xml:space="preserve">Test rig bought under HP-2025-01</t>
  </si>
  <si>
    <t xml:space="preserve">J. Smith Consulting</t>
  </si>
  <si>
    <t xml:space="preserve">Goodwill amortisation</t>
  </si>
  <si>
    <t xml:space="preserve">5802</t>
  </si>
  <si>
    <t xml:space="preserve">LinkedIn</t>
  </si>
  <si>
    <t xml:space="preserve">Sponsored content campaign</t>
  </si>
  <si>
    <t xml:space="preserve">ToolHire</t>
  </si>
  <si>
    <t xml:space="preserve">Equipment hire for installation</t>
  </si>
  <si>
    <t xml:space="preserve">IKEA</t>
  </si>
  <si>
    <t xml:space="preserve">PUR-FA-003</t>
  </si>
  <si>
    <t xml:space="preserve">Office furniture</t>
  </si>
  <si>
    <t xml:space="preserve">DHL</t>
  </si>
  <si>
    <t xml:space="preserve">International courier</t>
  </si>
  <si>
    <t xml:space="preserve">Business mileage to Leeds</t>
  </si>
  <si>
    <t xml:space="preserve">PC Repair Shop</t>
  </si>
  <si>
    <t xml:space="preserve">Laptop screen repair</t>
  </si>
  <si>
    <t xml:space="preserve">Casual worker</t>
  </si>
  <si>
    <t xml:space="preserve">Temporary labour</t>
  </si>
  <si>
    <t xml:space="preserve">w</t>
  </si>
  <si>
    <t xml:space="preserve">5101</t>
  </si>
  <si>
    <t xml:space="preserve">The Ivy</t>
  </si>
  <si>
    <t xml:space="preserve">Client dinner, project kickoff</t>
  </si>
  <si>
    <t xml:space="preserve">e</t>
  </si>
  <si>
    <t xml:space="preserve">5502</t>
  </si>
  <si>
    <t xml:space="preserve">Special delivery courier</t>
  </si>
  <si>
    <t xml:space="preserve">Jones Solicitors</t>
  </si>
  <si>
    <t xml:space="preserve">Contract review and legal advice</t>
  </si>
  <si>
    <t xml:space="preserve">Business mileage to Bristol</t>
  </si>
  <si>
    <t xml:space="preserve">PUR-INT-002</t>
  </si>
  <si>
    <t xml:space="preserve">PUR-FA-005</t>
  </si>
  <si>
    <t xml:space="preserve">Bench calibration kit bought under HP-2025-02</t>
  </si>
  <si>
    <t xml:space="preserve">Simply Business</t>
  </si>
  <si>
    <t xml:space="preserve">Contents insurance renewal</t>
  </si>
  <si>
    <t xml:space="preserve">PPC advertising campaign Q3</t>
  </si>
  <si>
    <t xml:space="preserve">TechExpo</t>
  </si>
  <si>
    <t xml:space="preserve">Exhibition stand and materials</t>
  </si>
  <si>
    <t xml:space="preserve">Hotel for Birmingham meeting</t>
  </si>
  <si>
    <t xml:space="preserve">Business mileage to Sheffield</t>
  </si>
  <si>
    <t xml:space="preserve">Ford</t>
  </si>
  <si>
    <t xml:space="preserve">PUR-FA-002</t>
  </si>
  <si>
    <t xml:space="preserve">Ford Transit Custom van</t>
  </si>
  <si>
    <t xml:space="preserve">PUR-CIS-002</t>
  </si>
  <si>
    <t xml:space="preserve">Sub-contractor cabling works</t>
  </si>
  <si>
    <t xml:space="preserve">Code Club UK</t>
  </si>
  <si>
    <t xml:space="preserve">Charitable donation</t>
  </si>
  <si>
    <t xml:space="preserve">5801</t>
  </si>
  <si>
    <t xml:space="preserve">Business mileage to Various</t>
  </si>
  <si>
    <t xml:space="preserve">Director</t>
  </si>
  <si>
    <t xml:space="preserve">Director fees (non-PAYE)</t>
  </si>
  <si>
    <t xml:space="preserve">5100</t>
  </si>
  <si>
    <t xml:space="preserve">PUR-INT-003</t>
  </si>
  <si>
    <t xml:space="preserve">Desktop motherboard replacement</t>
  </si>
  <si>
    <t xml:space="preserve">Hotel for two-day workshop</t>
  </si>
  <si>
    <t xml:space="preserve">Business mileage to Nottingham</t>
  </si>
  <si>
    <t xml:space="preserve">PUR-INT-004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</si>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</sst>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36b0d490/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36b0d490/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customFormat="fals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2220</v>
      </c>
      <c r="H1" s="13" t="n">
        <f aca="false">SUM(H5:H300)</f>
        <v>370</v>
      </c>
      <c r="I1" s="13" t="n">
        <f aca="false">SUM(I5:I300)</f>
        <v>1850</v>
      </c>
      <c r="J1" s="15"/>
      <c r="K1" s="16" t="s">
        <v>4</v>
      </c>
      <c r="L1" s="17" t="n">
        <f aca="false">SUM(L5:L300)</f>
        <v>0</v>
      </c>
      <c r="M1" s="17" t="n">
        <f aca="false">SUM(M5:M300)</f>
        <v>2220</v>
      </c>
      <c r="N1" s="18" t="n">
        <f aca="true">TODAY()</f>
        <v>46278</v>
      </c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/>
      <c r="B5" s="5" t="s">
        <v>13</v>
      </c>
      <c r="C5" s="28" t="s">
        <v>14</v>
      </c>
      <c r="F5" s="2"/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46278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F6" s="2"/>
      <c r="G6" s="6" t="n">
        <v>300</v>
      </c>
      <c r="H6" s="6" t="n">
        <f aca="false">IF(G6&lt;&gt;0,G6*H$2/(100+H$2)," ")</f>
        <v>50</v>
      </c>
      <c r="I6" s="6" t="n">
        <f aca="false">IF((G6&lt;&gt;0),G6-H6," ")</f>
        <v>250</v>
      </c>
      <c r="M6" s="7" t="n">
        <f aca="false">IF(G6&lt;&gt;0,G6-L6," ")</f>
        <v>300</v>
      </c>
      <c r="N6" s="8" t="n">
        <f aca="false">IF((G6-L6)&lt;&gt;0,N$1-A6," ")</f>
        <v>46278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F7" s="2"/>
      <c r="G7" s="6" t="n">
        <v>600</v>
      </c>
      <c r="H7" s="6" t="n">
        <f aca="false">IF(G7&lt;&gt;0,G7*H$2/(100+H$2)," ")</f>
        <v>100</v>
      </c>
      <c r="I7" s="6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46278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F8" s="2"/>
      <c r="G8" s="6" t="n">
        <v>120</v>
      </c>
      <c r="H8" s="6" t="n">
        <f aca="false">IF(G8&lt;&gt;0,G8*H$2/(100+H$2)," ")</f>
        <v>20</v>
      </c>
      <c r="I8" s="6" t="n">
        <f aca="false">IF((G8&lt;&gt;0),G8-H8," ")</f>
        <v>100</v>
      </c>
      <c r="M8" s="7" t="n">
        <f aca="false">IF(G8&lt;&gt;0,G8-L8," ")</f>
        <v>120</v>
      </c>
      <c r="N8" s="8" t="n">
        <f aca="false">IF((G8-L8)&lt;&gt;0,N$1-A8," ")</f>
        <v>46278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845.5</v>
      </c>
      <c r="I1" s="13" t="n">
        <f aca="false">SUM(I2:I200)</f>
        <v>4265.75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5073</v>
      </c>
      <c r="N1" s="18" t="n">
        <f aca="true">TODAY()</f>
        <v>46278</v>
      </c>
      <c r="O1" s="15"/>
      <c r="P1" s="13" t="n">
        <f aca="false">SUM(P5:P300)</f>
        <v>500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100</v>
      </c>
      <c r="V1" s="13" t="n">
        <f aca="false">SUM(V5:V300)</f>
        <v>262.5</v>
      </c>
      <c r="W1" s="13" t="n">
        <f aca="false">SUM(W2:W300)</f>
        <v>508.25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1330.83333333333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</f>
        <v>38.25</v>
      </c>
      <c r="B2" s="44" t="s">
        <v>22</v>
      </c>
      <c r="C2" s="43" t="n">
        <f aca="false">0+D1+[1]Apr!$D$1</f>
        <v>85</v>
      </c>
      <c r="D2" s="45" t="s">
        <v>23</v>
      </c>
      <c r="E2" s="20" t="s">
        <v>5</v>
      </c>
      <c r="F2" s="44" t="s">
        <v>24</v>
      </c>
      <c r="G2" s="46" t="n">
        <f aca="false">IF(C2&lt;[2]Admin!$F$22,(C2-0)*[2]Admin!$G$21,(C2*[2]Admin!$G$21-(C2-[2]Admin!$F$21)*([2]Admin!$G$21-[2]Admin!$G$22)-0))</f>
        <v>38.25</v>
      </c>
      <c r="H2" s="21" t="n">
        <f aca="false">IF([1]Apr!$H$4&gt;0,0,[1]Apr!$H$2)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</f>
        <v>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5" t="n">
        <v>46113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IF((G5-L5)&lt;&gt;0,N$1-A22," ")</f>
        <v>152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46113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165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46113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165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46113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165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46113</v>
      </c>
      <c r="B9" s="2" t="s">
        <v>73</v>
      </c>
      <c r="E9" s="2" t="s">
        <v>74</v>
      </c>
      <c r="F9" s="2" t="s">
        <v>75</v>
      </c>
      <c r="G9" s="29" t="n">
        <v>1440</v>
      </c>
      <c r="H9" s="6" t="n">
        <f aca="false">IF(G9&lt;&gt;0,G9*H$2/(100+H$2)," ")</f>
        <v>240</v>
      </c>
      <c r="I9" s="6" t="n">
        <f aca="false">IF((G9&lt;&gt;0),G9-H9," ")</f>
        <v>1200</v>
      </c>
      <c r="J9" s="5"/>
      <c r="M9" s="7" t="n">
        <f aca="false">IF(G9&lt;&gt;0,G9-L9," ")</f>
        <v>1440</v>
      </c>
      <c r="N9" s="8" t="n">
        <f aca="false">IF((G9-L9)&lt;&gt;0,N$1-A9," ")</f>
        <v>165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n">
        <f aca="false">IF((F9="y"),I9," ")</f>
        <v>1200</v>
      </c>
      <c r="AB9" s="19" t="str">
        <f aca="false">IF((F9="fa"),I9," ")</f>
        <v> </v>
      </c>
      <c r="AC9" s="19" t="str">
        <f aca="false">IF((F9="e"),I9," ")</f>
        <v> </v>
      </c>
      <c r="BZ9" s="2" t="s">
        <v>76</v>
      </c>
    </row>
    <row r="10" customFormat="false" ht="12" hidden="false" customHeight="false" outlineLevel="0" collapsed="false">
      <c r="A10" s="27" t="n">
        <v>46113</v>
      </c>
      <c r="B10" s="2" t="s">
        <v>77</v>
      </c>
      <c r="E10" s="2" t="s">
        <v>78</v>
      </c>
      <c r="F10" s="2" t="s">
        <v>71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165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72</v>
      </c>
    </row>
    <row r="11" customFormat="false" ht="12" hidden="false" customHeight="false" outlineLevel="0" collapsed="false">
      <c r="A11" s="27" t="n">
        <v>46113</v>
      </c>
      <c r="B11" s="2" t="s">
        <v>79</v>
      </c>
      <c r="E11" s="2" t="s">
        <v>80</v>
      </c>
      <c r="F11" s="2" t="s">
        <v>65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165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66</v>
      </c>
    </row>
    <row r="12" customFormat="false" ht="12" hidden="false" customHeight="false" outlineLevel="0" collapsed="false">
      <c r="A12" s="27" t="n">
        <v>46115</v>
      </c>
      <c r="B12" s="2" t="s">
        <v>81</v>
      </c>
      <c r="E12" s="2" t="s">
        <v>82</v>
      </c>
      <c r="F12" s="2" t="s">
        <v>71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163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72</v>
      </c>
    </row>
    <row r="13" customFormat="false" ht="12" hidden="false" customHeight="false" outlineLevel="0" collapsed="false">
      <c r="A13" s="27" t="n">
        <v>46115</v>
      </c>
      <c r="B13" s="2" t="s">
        <v>83</v>
      </c>
      <c r="E13" s="2" t="s">
        <v>84</v>
      </c>
      <c r="F13" s="2" t="s">
        <v>75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163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46117</v>
      </c>
      <c r="B14" s="2" t="s">
        <v>86</v>
      </c>
      <c r="E14" s="2" t="s">
        <v>87</v>
      </c>
      <c r="F14" s="2" t="s">
        <v>75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161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85</v>
      </c>
    </row>
    <row r="15" customFormat="false" ht="12" hidden="false" customHeight="false" outlineLevel="0" collapsed="false">
      <c r="A15" s="27" t="n">
        <v>46117</v>
      </c>
      <c r="B15" s="2" t="s">
        <v>88</v>
      </c>
      <c r="E15" s="2" t="s">
        <v>89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161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90</v>
      </c>
    </row>
    <row r="16" customFormat="false" ht="12" hidden="false" customHeight="false" outlineLevel="0" collapsed="false">
      <c r="A16" s="27" t="n">
        <v>46117</v>
      </c>
      <c r="B16" s="2" t="s">
        <v>91</v>
      </c>
      <c r="E16" s="2" t="s">
        <v>92</v>
      </c>
      <c r="F16" s="2" t="s">
        <v>71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161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72</v>
      </c>
    </row>
    <row r="17" customFormat="false" ht="12" hidden="false" customHeight="false" outlineLevel="0" collapsed="false">
      <c r="A17" s="27" t="n">
        <v>46120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158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46122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156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46122</v>
      </c>
      <c r="B19" s="2" t="s">
        <v>99</v>
      </c>
      <c r="E19" s="2" t="s">
        <v>100</v>
      </c>
      <c r="F19" s="2" t="s">
        <v>65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156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101</v>
      </c>
    </row>
    <row r="20" customFormat="false" ht="12" hidden="false" customHeight="false" outlineLevel="0" collapsed="false">
      <c r="A20" s="27" t="n">
        <v>46122</v>
      </c>
      <c r="B20" s="2" t="s">
        <v>102</v>
      </c>
      <c r="E20" s="2" t="s">
        <v>103</v>
      </c>
      <c r="F20" s="2" t="s">
        <v>104</v>
      </c>
      <c r="G20" s="29" t="n">
        <v>600</v>
      </c>
      <c r="H20" s="6" t="n">
        <f aca="false">IF(G20&lt;&gt;0,G20*H$2/(100+H$2)," ")</f>
        <v>100</v>
      </c>
      <c r="I20" s="6" t="n">
        <f aca="false">IF((G20&lt;&gt;0),G20-H20," ")</f>
        <v>500</v>
      </c>
      <c r="J20" s="5"/>
      <c r="M20" s="7" t="n">
        <f aca="false">IF(G20&lt;&gt;0,G20-L20," ")</f>
        <v>600</v>
      </c>
      <c r="N20" s="8" t="n">
        <f aca="false">IF((G20-L20)&lt;&gt;0,N$1-A20," ")</f>
        <v>156</v>
      </c>
      <c r="O20" s="5"/>
      <c r="P20" s="19" t="n">
        <f aca="false">IF((F20="s"),I20," ")</f>
        <v>500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105</v>
      </c>
    </row>
    <row r="21" customFormat="false" ht="12" hidden="false" customHeight="false" outlineLevel="0" collapsed="false">
      <c r="A21" s="27" t="n">
        <v>46124</v>
      </c>
      <c r="B21" s="2" t="s">
        <v>106</v>
      </c>
      <c r="E21" s="2" t="s">
        <v>107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154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46126</v>
      </c>
      <c r="B22" s="2" t="s">
        <v>108</v>
      </c>
      <c r="E22" s="2" t="s">
        <v>109</v>
      </c>
      <c r="F22" s="2" t="s">
        <v>75</v>
      </c>
      <c r="G22" s="29" t="n">
        <v>42</v>
      </c>
      <c r="H22" s="6" t="n">
        <f aca="false">IF(G22&lt;&gt;0,G22*H$2/(100+H$2)," ")</f>
        <v>7</v>
      </c>
      <c r="I22" s="6" t="n">
        <f aca="false">IF((G22&lt;&gt;0),G22-H22," ")</f>
        <v>35</v>
      </c>
      <c r="J22" s="5"/>
      <c r="M22" s="7" t="n">
        <f aca="false">IF(G22&lt;&gt;0,G22-L22," ")</f>
        <v>42</v>
      </c>
      <c r="N22" s="8" t="n">
        <f aca="false">IF((G22-L22)&lt;&gt;0,N$1-A22," ")</f>
        <v>152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n">
        <f aca="false">IF((F22="y"),I22," ")</f>
        <v>35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85</v>
      </c>
    </row>
    <row r="23" customFormat="false" ht="12" hidden="false" customHeight="false" outlineLevel="0" collapsed="false">
      <c r="A23" s="27" t="n">
        <v>46126</v>
      </c>
      <c r="B23" s="2" t="s">
        <v>110</v>
      </c>
      <c r="E23" s="2" t="s">
        <v>111</v>
      </c>
      <c r="F23" s="2" t="s">
        <v>95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152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96</v>
      </c>
    </row>
    <row r="24" customFormat="false" ht="12" hidden="false" customHeight="false" outlineLevel="0" collapsed="false">
      <c r="A24" s="27" t="n">
        <v>46126</v>
      </c>
      <c r="B24" s="2" t="s">
        <v>112</v>
      </c>
      <c r="E24" s="2" t="s">
        <v>113</v>
      </c>
      <c r="F24" s="2" t="s">
        <v>95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152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96</v>
      </c>
    </row>
    <row r="25" customFormat="false" ht="12" hidden="false" customHeight="false" outlineLevel="0" collapsed="false">
      <c r="A25" s="27" t="n">
        <v>46127</v>
      </c>
      <c r="B25" s="2" t="s">
        <v>19</v>
      </c>
      <c r="E25" s="2" t="s">
        <v>89</v>
      </c>
      <c r="F25" s="2" t="s">
        <v>24</v>
      </c>
      <c r="G25" s="29" t="n">
        <v>150</v>
      </c>
      <c r="H25" s="6" t="n">
        <f aca="false">IF(G25&lt;&gt;0,G25*H$2/(100+H$2)," ")</f>
        <v>25</v>
      </c>
      <c r="I25" s="6" t="n">
        <f aca="false">IF((G25&lt;&gt;0),G25-H25," ")</f>
        <v>125</v>
      </c>
      <c r="J25" s="5"/>
      <c r="M25" s="7" t="n">
        <f aca="false">IF(G25&lt;&gt;0,G25-L25," ")</f>
        <v>150</v>
      </c>
      <c r="N25" s="8" t="n">
        <f aca="false">IF((G25-L25)&lt;&gt;0,N$1-A25," ")</f>
        <v>151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125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90</v>
      </c>
    </row>
    <row r="26" customFormat="false" ht="12" hidden="false" customHeight="false" outlineLevel="0" collapsed="false">
      <c r="A26" s="27" t="n">
        <v>46127</v>
      </c>
      <c r="B26" s="2" t="s">
        <v>114</v>
      </c>
      <c r="E26" s="2" t="s">
        <v>115</v>
      </c>
      <c r="F26" s="2" t="s">
        <v>65</v>
      </c>
      <c r="G26" s="29" t="n">
        <v>12</v>
      </c>
      <c r="H26" s="6" t="n">
        <f aca="false">IF(G26&lt;&gt;0,G26*H$2/(100+H$2)," ")</f>
        <v>2</v>
      </c>
      <c r="I26" s="6" t="n">
        <f aca="false">IF((G26&lt;&gt;0),G26-H26," ")</f>
        <v>10</v>
      </c>
      <c r="J26" s="5"/>
      <c r="M26" s="7" t="n">
        <f aca="false">IF(G26&lt;&gt;0,G26-L26," ")</f>
        <v>12</v>
      </c>
      <c r="N26" s="8" t="n">
        <f aca="false">IF((G26-L26)&lt;&gt;0,N$1-A26," ")</f>
        <v>151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66</v>
      </c>
    </row>
    <row r="27" customFormat="false" ht="12" hidden="false" customHeight="false" outlineLevel="0" collapsed="false">
      <c r="A27" s="27" t="n">
        <v>46130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148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46132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146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46132</v>
      </c>
      <c r="B29" s="2" t="s">
        <v>119</v>
      </c>
      <c r="E29" s="2" t="s">
        <v>120</v>
      </c>
      <c r="F29" s="2" t="s">
        <v>121</v>
      </c>
      <c r="G29" s="29" t="n">
        <v>120</v>
      </c>
      <c r="H29" s="6" t="n">
        <f aca="false">IF(G29&lt;&gt;0,G29*H$2/(100+H$2)," ")</f>
        <v>20</v>
      </c>
      <c r="I29" s="6" t="n">
        <f aca="false">IF((G29&lt;&gt;0),G29-H29," ")</f>
        <v>100</v>
      </c>
      <c r="J29" s="5"/>
      <c r="M29" s="7" t="n">
        <f aca="false">IF(G29&lt;&gt;0,G29-L29," ")</f>
        <v>120</v>
      </c>
      <c r="N29" s="8" t="n">
        <f aca="false">IF((G29-L29)&lt;&gt;0,N$1-A29," ")</f>
        <v>146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100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122</v>
      </c>
    </row>
    <row r="30" customFormat="false" ht="12" hidden="false" customHeight="false" outlineLevel="0" collapsed="false">
      <c r="A30" s="27" t="n">
        <v>46133</v>
      </c>
      <c r="B30" s="2" t="s">
        <v>123</v>
      </c>
      <c r="E30" s="2" t="s">
        <v>124</v>
      </c>
      <c r="F30" s="2" t="s">
        <v>95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145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96</v>
      </c>
    </row>
    <row r="31" customFormat="false" ht="12" hidden="false" customHeight="false" outlineLevel="0" collapsed="false">
      <c r="A31" s="27" t="n">
        <v>46134</v>
      </c>
      <c r="B31" s="2" t="s">
        <v>125</v>
      </c>
      <c r="E31" s="2" t="s">
        <v>126</v>
      </c>
      <c r="F31" s="2" t="s">
        <v>75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144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85</v>
      </c>
    </row>
    <row r="32" customFormat="false" ht="12" hidden="false" customHeight="false" outlineLevel="0" collapsed="false">
      <c r="A32" s="27" t="n">
        <v>46137</v>
      </c>
      <c r="B32" s="2" t="s">
        <v>127</v>
      </c>
      <c r="E32" s="2" t="s">
        <v>128</v>
      </c>
      <c r="F32" s="2" t="s">
        <v>75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141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46137</v>
      </c>
      <c r="B33" s="2" t="s">
        <v>129</v>
      </c>
      <c r="D33" s="4" t="n">
        <v>85</v>
      </c>
      <c r="E33" s="2" t="s">
        <v>130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46140</v>
      </c>
      <c r="B34" s="2" t="s">
        <v>19</v>
      </c>
      <c r="E34" s="2" t="s">
        <v>131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138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46142</v>
      </c>
      <c r="B35" s="2" t="s">
        <v>15</v>
      </c>
      <c r="E35" s="2" t="s">
        <v>132</v>
      </c>
      <c r="F35" s="2" t="s">
        <v>133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136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134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120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1053.5</v>
      </c>
      <c r="I1" s="13" t="n">
        <f aca="false">SUM(I2:I200)</f>
        <v>5321.5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6321</v>
      </c>
      <c r="N1" s="18" t="n">
        <f aca="true">TODAY()</f>
        <v>46278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407.5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0</v>
      </c>
      <c r="V1" s="13" t="n">
        <f aca="false">SUM(V5:V300)</f>
        <v>277.5</v>
      </c>
      <c r="W1" s="13" t="n">
        <f aca="false">SUM(W2:W300)</f>
        <v>564</v>
      </c>
      <c r="X1" s="13" t="n">
        <f aca="false">SUM(X5:X300)</f>
        <v>126.666666666667</v>
      </c>
      <c r="Y1" s="13" t="n">
        <f aca="false">SUM(Y5:Y300)</f>
        <v>500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1500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G2+Apr!A2</f>
        <v>92.25</v>
      </c>
      <c r="B2" s="44" t="s">
        <v>22</v>
      </c>
      <c r="C2" s="43" t="n">
        <f aca="false">Apr!C2+D1+[1]May!$D$1</f>
        <v>205</v>
      </c>
      <c r="D2" s="45" t="s">
        <v>23</v>
      </c>
      <c r="E2" s="20" t="s">
        <v>5</v>
      </c>
      <c r="F2" s="44" t="str">
        <f aca="false">Apr!F2</f>
        <v>v</v>
      </c>
      <c r="G2" s="46" t="n">
        <f aca="false">IF(C2&lt;[2]Admin!$F$22,(C2-Apr!C2)*[2]Admin!$G$21,C2*[2]Admin!$G$21-(C2-[2]Admin!$F$21)*([2]Admin!$G$21-[2]Admin!$G$22)-Apr!G2)</f>
        <v>54</v>
      </c>
      <c r="H2" s="21" t="n">
        <f aca="false">IF([1]May!$H$4&gt;0,0,[1]May!$H$2)</f>
        <v>20</v>
      </c>
      <c r="I2" s="47" t="n">
        <f aca="false">G2</f>
        <v>54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54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AB1+Apr!AB2</f>
        <v>1500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46143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135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46143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135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46143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135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46143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135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46143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135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46143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135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46145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133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46145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133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46147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131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46147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131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46148</v>
      </c>
      <c r="B15" s="2" t="s">
        <v>135</v>
      </c>
      <c r="E15" s="2" t="s">
        <v>136</v>
      </c>
      <c r="F15" s="2" t="s">
        <v>95</v>
      </c>
      <c r="G15" s="29" t="n">
        <v>60</v>
      </c>
      <c r="H15" s="6" t="n">
        <f aca="false">IF(G15&lt;&gt;0,G15*H$2/(100+H$2)," ")</f>
        <v>10</v>
      </c>
      <c r="I15" s="6" t="n">
        <f aca="false">IF((G15&lt;&gt;0),G15-H15," ")</f>
        <v>50</v>
      </c>
      <c r="J15" s="5"/>
      <c r="M15" s="7" t="n">
        <f aca="false">IF(G15&lt;&gt;0,G15-L15," ")</f>
        <v>60</v>
      </c>
      <c r="N15" s="8" t="n">
        <f aca="false">IF((G15-L15)&lt;&gt;0,N$1-A15," ")</f>
        <v>130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50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96</v>
      </c>
    </row>
    <row r="16" customFormat="false" ht="12" hidden="false" customHeight="false" outlineLevel="0" collapsed="false">
      <c r="A16" s="27" t="n">
        <v>46150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128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46150</v>
      </c>
      <c r="B17" s="2" t="s">
        <v>137</v>
      </c>
      <c r="E17" s="2" t="s">
        <v>138</v>
      </c>
      <c r="F17" s="2" t="s">
        <v>71</v>
      </c>
      <c r="G17" s="29" t="n">
        <v>240</v>
      </c>
      <c r="H17" s="6" t="n">
        <f aca="false">IF(G17&lt;&gt;0,G17*H$2/(100+H$2)," ")</f>
        <v>40</v>
      </c>
      <c r="I17" s="6" t="n">
        <f aca="false">IF((G17&lt;&gt;0),G17-H17," ")</f>
        <v>200</v>
      </c>
      <c r="J17" s="5"/>
      <c r="M17" s="7" t="n">
        <f aca="false">IF(G17&lt;&gt;0,G17-L17," ")</f>
        <v>240</v>
      </c>
      <c r="N17" s="8" t="n">
        <f aca="false">IF((G17-L17)&lt;&gt;0,N$1-A17," ")</f>
        <v>128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n">
        <f aca="false">IF((F17="o"),I17," ")</f>
        <v>200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139</v>
      </c>
    </row>
    <row r="18" customFormat="false" ht="12" hidden="false" customHeight="false" outlineLevel="0" collapsed="false">
      <c r="A18" s="27" t="n">
        <v>46152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126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46152</v>
      </c>
      <c r="B19" s="2" t="s">
        <v>140</v>
      </c>
      <c r="E19" s="2" t="s">
        <v>141</v>
      </c>
      <c r="F19" s="2" t="s">
        <v>142</v>
      </c>
      <c r="G19" s="29" t="n">
        <v>600</v>
      </c>
      <c r="H19" s="6" t="n">
        <f aca="false">IF(G19&lt;&gt;0,G19*H$2/(100+H$2)," ")</f>
        <v>100</v>
      </c>
      <c r="I19" s="6" t="n">
        <f aca="false">IF((G19&lt;&gt;0),G19-H19," ")</f>
        <v>500</v>
      </c>
      <c r="J19" s="5"/>
      <c r="M19" s="7" t="n">
        <f aca="false">IF(G19&lt;&gt;0,G19-L19," ")</f>
        <v>600</v>
      </c>
      <c r="N19" s="8" t="n">
        <f aca="false">IF((G19-L19)&lt;&gt;0,N$1-A19," ")</f>
        <v>126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500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143</v>
      </c>
    </row>
    <row r="20" customFormat="false" ht="12" hidden="false" customHeight="false" outlineLevel="0" collapsed="false">
      <c r="A20" s="27" t="n">
        <v>46154</v>
      </c>
      <c r="B20" s="2" t="s">
        <v>106</v>
      </c>
      <c r="E20" s="2" t="s">
        <v>107</v>
      </c>
      <c r="F20" s="2" t="s">
        <v>24</v>
      </c>
      <c r="G20" s="29" t="n">
        <v>18</v>
      </c>
      <c r="H20" s="6" t="n">
        <f aca="false">IF(G20&lt;&gt;0,G20*H$2/(100+H$2)," ")</f>
        <v>3</v>
      </c>
      <c r="I20" s="6" t="n">
        <f aca="false">IF((G20&lt;&gt;0),G20-H20," ")</f>
        <v>15</v>
      </c>
      <c r="J20" s="5"/>
      <c r="M20" s="7" t="n">
        <f aca="false">IF(G20&lt;&gt;0,G20-L20," ")</f>
        <v>18</v>
      </c>
      <c r="N20" s="8" t="n">
        <f aca="false">IF((G20-L20)&lt;&gt;0,N$1-A20," ")</f>
        <v>124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n">
        <f aca="false">IF((F20="v"),I20," ")</f>
        <v>15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90</v>
      </c>
    </row>
    <row r="21" customFormat="false" ht="12" hidden="false" customHeight="false" outlineLevel="0" collapsed="false">
      <c r="A21" s="27" t="n">
        <v>46156</v>
      </c>
      <c r="B21" s="2" t="s">
        <v>110</v>
      </c>
      <c r="E21" s="2" t="s">
        <v>111</v>
      </c>
      <c r="F21" s="2" t="s">
        <v>95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122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46156</v>
      </c>
      <c r="B22" s="2" t="s">
        <v>112</v>
      </c>
      <c r="E22" s="2" t="s">
        <v>113</v>
      </c>
      <c r="F22" s="2" t="s">
        <v>95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122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46157</v>
      </c>
      <c r="B23" s="2" t="s">
        <v>19</v>
      </c>
      <c r="E23" s="2" t="s">
        <v>89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121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90</v>
      </c>
    </row>
    <row r="24" customFormat="false" ht="12" hidden="false" customHeight="false" outlineLevel="0" collapsed="false">
      <c r="A24" s="27" t="n">
        <v>46157</v>
      </c>
      <c r="B24" s="2" t="s">
        <v>114</v>
      </c>
      <c r="E24" s="2" t="s">
        <v>115</v>
      </c>
      <c r="F24" s="2" t="s">
        <v>65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121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66</v>
      </c>
    </row>
    <row r="25" customFormat="false" ht="12" hidden="false" customHeight="false" outlineLevel="0" collapsed="false">
      <c r="A25" s="27" t="n">
        <v>46157</v>
      </c>
      <c r="B25" s="2" t="s">
        <v>144</v>
      </c>
      <c r="E25" s="2" t="s">
        <v>145</v>
      </c>
      <c r="F25" s="2" t="s">
        <v>104</v>
      </c>
      <c r="G25" s="29" t="n">
        <v>480</v>
      </c>
      <c r="H25" s="6" t="n">
        <f aca="false">IF(G25&lt;&gt;0,G25*H$2/(100+H$2)," ")</f>
        <v>80</v>
      </c>
      <c r="I25" s="6" t="n">
        <f aca="false">IF((G25&lt;&gt;0),G25-H25," ")</f>
        <v>400</v>
      </c>
      <c r="J25" s="5"/>
      <c r="M25" s="7" t="n">
        <f aca="false">IF(G25&lt;&gt;0,G25-L25," ")</f>
        <v>480</v>
      </c>
      <c r="N25" s="8" t="n">
        <f aca="false">IF((G25-L25)&lt;&gt;0,N$1-A25," ")</f>
        <v>121</v>
      </c>
      <c r="O25" s="5"/>
      <c r="P25" s="19" t="n">
        <f aca="false">IF((F25="s"),I25," ")</f>
        <v>400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105</v>
      </c>
    </row>
    <row r="26" customFormat="false" ht="12" hidden="false" customHeight="false" outlineLevel="0" collapsed="false">
      <c r="A26" s="27" t="n">
        <v>46157</v>
      </c>
      <c r="B26" s="2" t="s">
        <v>146</v>
      </c>
      <c r="C26" s="3" t="s">
        <v>147</v>
      </c>
      <c r="E26" s="2" t="s">
        <v>148</v>
      </c>
      <c r="F26" s="2" t="s">
        <v>149</v>
      </c>
      <c r="G26" s="29" t="n">
        <v>1800</v>
      </c>
      <c r="H26" s="6" t="n">
        <f aca="false">IF(G26&lt;&gt;0,G26*H$2/(100+H$2)," ")</f>
        <v>300</v>
      </c>
      <c r="I26" s="6" t="n">
        <f aca="false">IF((G26&lt;&gt;0),G26-H26," ")</f>
        <v>1500</v>
      </c>
      <c r="J26" s="5"/>
      <c r="M26" s="7" t="n">
        <f aca="false">IF(G26&lt;&gt;0,G26-L26," ")</f>
        <v>1800</v>
      </c>
      <c r="N26" s="8" t="n">
        <f aca="false">IF((G26-L26)&lt;&gt;0,N$1-A26," ")</f>
        <v>121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1500</v>
      </c>
      <c r="AC26" s="19" t="str">
        <f aca="false">IF((F26="e"),I26," ")</f>
        <v> </v>
      </c>
      <c r="BZ26" s="2" t="s">
        <v>150</v>
      </c>
    </row>
    <row r="27" customFormat="false" ht="12" hidden="false" customHeight="false" outlineLevel="0" collapsed="false">
      <c r="A27" s="27" t="n">
        <v>46158</v>
      </c>
      <c r="B27" s="2" t="s">
        <v>151</v>
      </c>
      <c r="E27" s="2" t="s">
        <v>152</v>
      </c>
      <c r="F27" s="2" t="s">
        <v>65</v>
      </c>
      <c r="G27" s="29" t="n">
        <v>18</v>
      </c>
      <c r="H27" s="6" t="n">
        <f aca="false">IF(G27&lt;&gt;0,G27*H$2/(100+H$2)," ")</f>
        <v>3</v>
      </c>
      <c r="I27" s="6" t="n">
        <f aca="false">IF((G27&lt;&gt;0),G27-H27," ")</f>
        <v>15</v>
      </c>
      <c r="J27" s="5"/>
      <c r="M27" s="7" t="n">
        <f aca="false">IF(G27&lt;&gt;0,G27-L27," ")</f>
        <v>18</v>
      </c>
      <c r="N27" s="8" t="n">
        <f aca="false">IF((G27-L27)&lt;&gt;0,N$1-A27," ")</f>
        <v>120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15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66</v>
      </c>
    </row>
    <row r="28" customFormat="false" ht="12" hidden="false" customHeight="false" outlineLevel="0" collapsed="false">
      <c r="A28" s="27" t="n">
        <v>46160</v>
      </c>
      <c r="B28" s="2" t="s">
        <v>116</v>
      </c>
      <c r="E28" s="2" t="s">
        <v>89</v>
      </c>
      <c r="F28" s="2" t="s">
        <v>24</v>
      </c>
      <c r="G28" s="29" t="n">
        <v>96</v>
      </c>
      <c r="H28" s="6" t="n">
        <f aca="false">IF(G28&lt;&gt;0,G28*H$2/(100+H$2)," ")</f>
        <v>16</v>
      </c>
      <c r="I28" s="6" t="n">
        <f aca="false">IF((G28&lt;&gt;0),G28-H28," ")</f>
        <v>80</v>
      </c>
      <c r="J28" s="5"/>
      <c r="M28" s="7" t="n">
        <f aca="false">IF(G28&lt;&gt;0,G28-L28," ")</f>
        <v>96</v>
      </c>
      <c r="N28" s="8" t="n">
        <f aca="false">IF((G28-L28)&lt;&gt;0,N$1-A28," ")</f>
        <v>118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80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90</v>
      </c>
    </row>
    <row r="29" customFormat="false" ht="12" hidden="false" customHeight="false" outlineLevel="0" collapsed="false">
      <c r="A29" s="27" t="n">
        <v>46162</v>
      </c>
      <c r="B29" s="2" t="s">
        <v>117</v>
      </c>
      <c r="E29" s="2" t="s">
        <v>118</v>
      </c>
      <c r="F29" s="2" t="s">
        <v>65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116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66</v>
      </c>
    </row>
    <row r="30" customFormat="false" ht="12" hidden="false" customHeight="false" outlineLevel="0" collapsed="false">
      <c r="A30" s="27" t="n">
        <v>46162</v>
      </c>
      <c r="B30" s="2" t="s">
        <v>153</v>
      </c>
      <c r="E30" s="2" t="s">
        <v>154</v>
      </c>
      <c r="F30" s="2" t="s">
        <v>65</v>
      </c>
      <c r="G30" s="29" t="n">
        <v>180</v>
      </c>
      <c r="H30" s="6" t="n">
        <f aca="false">IF(G30&lt;&gt;0,G30*H$2/(100+H$2)," ")</f>
        <v>30</v>
      </c>
      <c r="I30" s="6" t="n">
        <f aca="false">IF((G30&lt;&gt;0),G30-H30," ")</f>
        <v>150</v>
      </c>
      <c r="J30" s="5"/>
      <c r="M30" s="7" t="n">
        <f aca="false">IF(G30&lt;&gt;0,G30-L30," ")</f>
        <v>180</v>
      </c>
      <c r="N30" s="8" t="n">
        <f aca="false">IF((G30-L30)&lt;&gt;0,N$1-A30," ")</f>
        <v>116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150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155</v>
      </c>
    </row>
    <row r="31" customFormat="false" ht="12" hidden="false" customHeight="false" outlineLevel="0" collapsed="false">
      <c r="A31" s="27" t="n">
        <v>46162</v>
      </c>
      <c r="B31" s="2" t="s">
        <v>156</v>
      </c>
      <c r="E31" s="2" t="s">
        <v>157</v>
      </c>
      <c r="F31" s="2" t="s">
        <v>104</v>
      </c>
      <c r="G31" s="29" t="n">
        <v>240</v>
      </c>
      <c r="H31" s="6" t="n">
        <f aca="false">IF(G31&lt;&gt;0,G31*H$2/(100+H$2)," ")</f>
        <v>40</v>
      </c>
      <c r="I31" s="6" t="n">
        <f aca="false">IF((G31&lt;&gt;0),G31-H31," ")</f>
        <v>200</v>
      </c>
      <c r="J31" s="5"/>
      <c r="M31" s="7" t="n">
        <f aca="false">IF(G31&lt;&gt;0,G31-L31," ")</f>
        <v>240</v>
      </c>
      <c r="N31" s="8" t="n">
        <f aca="false">IF((G31-L31)&lt;&gt;0,N$1-A31," ")</f>
        <v>116</v>
      </c>
      <c r="O31" s="5"/>
      <c r="P31" s="19" t="n">
        <f aca="false">IF((F31="s"),I31," ")</f>
        <v>200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105</v>
      </c>
    </row>
    <row r="32" customFormat="false" ht="12" hidden="false" customHeight="false" outlineLevel="0" collapsed="false">
      <c r="A32" s="27" t="n">
        <v>46163</v>
      </c>
      <c r="B32" s="2" t="s">
        <v>123</v>
      </c>
      <c r="E32" s="2" t="s">
        <v>124</v>
      </c>
      <c r="F32" s="2" t="s">
        <v>95</v>
      </c>
      <c r="G32" s="29" t="n">
        <v>8</v>
      </c>
      <c r="H32" s="6" t="n">
        <f aca="false">IF(G32&lt;&gt;0,G32*H$2/(100+H$2)," ")</f>
        <v>1.33333333333333</v>
      </c>
      <c r="I32" s="6" t="n">
        <f aca="false">IF((G32&lt;&gt;0),G32-H32," ")</f>
        <v>6.66666666666667</v>
      </c>
      <c r="J32" s="5"/>
      <c r="M32" s="7" t="n">
        <f aca="false">IF(G32&lt;&gt;0,G32-L32," ")</f>
        <v>8</v>
      </c>
      <c r="N32" s="8" t="n">
        <f aca="false">IF((G32-L32)&lt;&gt;0,N$1-A32," ")</f>
        <v>115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6.66666666666667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96</v>
      </c>
    </row>
    <row r="33" customFormat="false" ht="12" hidden="false" customHeight="false" outlineLevel="0" collapsed="false">
      <c r="A33" s="27" t="n">
        <v>46164</v>
      </c>
      <c r="B33" s="2" t="s">
        <v>125</v>
      </c>
      <c r="E33" s="2" t="s">
        <v>126</v>
      </c>
      <c r="F33" s="2" t="s">
        <v>75</v>
      </c>
      <c r="G33" s="29" t="n">
        <v>18</v>
      </c>
      <c r="H33" s="6" t="n">
        <f aca="false">IF(G33&lt;&gt;0,G33*H$2/(100+H$2)," ")</f>
        <v>3</v>
      </c>
      <c r="I33" s="6" t="n">
        <f aca="false">IF((G33&lt;&gt;0),G33-H33," ")</f>
        <v>15</v>
      </c>
      <c r="J33" s="5"/>
      <c r="M33" s="7" t="n">
        <f aca="false">IF(G33&lt;&gt;0,G33-L33," ")</f>
        <v>18</v>
      </c>
      <c r="N33" s="8" t="n">
        <f aca="false">IF((G33-L33)&lt;&gt;0,N$1-A33," ")</f>
        <v>114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46164</v>
      </c>
      <c r="B34" s="2" t="s">
        <v>158</v>
      </c>
      <c r="E34" s="2" t="s">
        <v>159</v>
      </c>
      <c r="F34" s="2" t="s">
        <v>24</v>
      </c>
      <c r="G34" s="29" t="n">
        <v>48</v>
      </c>
      <c r="H34" s="6" t="n">
        <f aca="false">IF(G34&lt;&gt;0,G34*H$2/(100+H$2)," ")</f>
        <v>8</v>
      </c>
      <c r="I34" s="6" t="n">
        <f aca="false">IF((G34&lt;&gt;0),G34-H34," ")</f>
        <v>40</v>
      </c>
      <c r="J34" s="5"/>
      <c r="M34" s="7" t="n">
        <f aca="false">IF(G34&lt;&gt;0,G34-L34," ")</f>
        <v>48</v>
      </c>
      <c r="N34" s="8" t="n">
        <f aca="false">IF((G34-L34)&lt;&gt;0,N$1-A34," ")</f>
        <v>114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40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46167</v>
      </c>
      <c r="B35" s="2" t="s">
        <v>127</v>
      </c>
      <c r="E35" s="2" t="s">
        <v>128</v>
      </c>
      <c r="F35" s="2" t="s">
        <v>75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111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85</v>
      </c>
    </row>
    <row r="36" customFormat="false" ht="12" hidden="false" customHeight="false" outlineLevel="0" collapsed="false">
      <c r="A36" s="27" t="n">
        <v>46167</v>
      </c>
      <c r="B36" s="2" t="s">
        <v>129</v>
      </c>
      <c r="D36" s="4" t="n">
        <v>120</v>
      </c>
      <c r="E36" s="2" t="s">
        <v>160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90</v>
      </c>
    </row>
    <row r="37" customFormat="false" ht="12" hidden="false" customHeight="false" outlineLevel="0" collapsed="false">
      <c r="A37" s="27" t="n">
        <v>46170</v>
      </c>
      <c r="B37" s="2" t="s">
        <v>19</v>
      </c>
      <c r="E37" s="2" t="s">
        <v>131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108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90</v>
      </c>
    </row>
    <row r="38" customFormat="false" ht="12" hidden="false" customHeight="false" outlineLevel="0" collapsed="false">
      <c r="A38" s="27" t="n">
        <v>46173</v>
      </c>
      <c r="B38" s="2" t="s">
        <v>15</v>
      </c>
      <c r="E38" s="2" t="s">
        <v>132</v>
      </c>
      <c r="F38" s="2" t="s">
        <v>133</v>
      </c>
      <c r="G38" s="29" t="n">
        <v>300</v>
      </c>
      <c r="H38" s="6" t="n">
        <f aca="false">IF(G38&lt;&gt;0,G38*H$2/(100+H$2)," ")</f>
        <v>50</v>
      </c>
      <c r="I38" s="6" t="n">
        <f aca="false">IF((G38&lt;&gt;0),G38-H38," ")</f>
        <v>250</v>
      </c>
      <c r="J38" s="5"/>
      <c r="M38" s="7" t="n">
        <f aca="false">IF(G38&lt;&gt;0,G38-L38," ")</f>
        <v>300</v>
      </c>
      <c r="N38" s="8" t="n">
        <f aca="false">IF((G38-L38)&lt;&gt;0,N$1-A38," ")</f>
        <v>105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250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  <c r="BZ38" s="2" t="s">
        <v>134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200</v>
      </c>
      <c r="E1" s="13" t="s">
        <v>3</v>
      </c>
      <c r="F1" s="14"/>
      <c r="G1" s="13" t="n">
        <f aca="false">SUM(G2:G300)</f>
        <v>24657</v>
      </c>
      <c r="H1" s="13" t="n">
        <f aca="false">SUM(H5:H200)</f>
        <v>4094.5</v>
      </c>
      <c r="I1" s="13" t="n">
        <f aca="false">SUM(I2:I200)</f>
        <v>20562.5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24567</v>
      </c>
      <c r="N1" s="18" t="n">
        <f aca="true">TODAY()</f>
        <v>46278</v>
      </c>
      <c r="O1" s="15"/>
      <c r="P1" s="13" t="n">
        <f aca="false">SUM(P5:P300)</f>
        <v>300</v>
      </c>
      <c r="Q1" s="13" t="n">
        <f aca="false">SUM(Q5:Q300)</f>
        <v>4166.66666666667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1300</v>
      </c>
      <c r="U1" s="13" t="n">
        <f aca="false">SUM(U5:U300)</f>
        <v>0</v>
      </c>
      <c r="V1" s="13" t="n">
        <f aca="false">SUM(V5:V300)</f>
        <v>192.5</v>
      </c>
      <c r="W1" s="13" t="n">
        <f aca="false">SUM(W2:W300)</f>
        <v>560</v>
      </c>
      <c r="X1" s="13" t="n">
        <f aca="false">SUM(X5:X300)</f>
        <v>226.666666666667</v>
      </c>
      <c r="Y1" s="13" t="n">
        <f aca="false">SUM(Y5:Y300)</f>
        <v>0</v>
      </c>
      <c r="Z1" s="13" t="n">
        <f aca="false">SUM(Z5:Z300)</f>
        <v>458.333333333333</v>
      </c>
      <c r="AA1" s="13" t="n">
        <f aca="false">SUM(AA5:AA300)</f>
        <v>120.833333333333</v>
      </c>
      <c r="AB1" s="13" t="n">
        <f aca="false">SUM(AB5:AB300)</f>
        <v>13000</v>
      </c>
      <c r="AC1" s="41" t="n">
        <f aca="false">SUM(AC5:AC300)</f>
        <v>0</v>
      </c>
      <c r="AD1" s="13" t="n">
        <f aca="false">SUM(AD5:AD300)</f>
        <v>1000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G2+May!A2</f>
        <v>182.25</v>
      </c>
      <c r="B2" s="44" t="s">
        <v>22</v>
      </c>
      <c r="C2" s="43" t="n">
        <f aca="false">May!C2+D1+[1]Jun!$D$1</f>
        <v>405</v>
      </c>
      <c r="D2" s="45" t="s">
        <v>23</v>
      </c>
      <c r="E2" s="20" t="s">
        <v>5</v>
      </c>
      <c r="F2" s="44" t="str">
        <f aca="false">May!F2</f>
        <v>v</v>
      </c>
      <c r="G2" s="46" t="n">
        <f aca="false">IF(C2&lt;[2]Admin!$F$22,(C2-May!C2)*[2]Admin!$G$21,C2*[2]Admin!$G$21-(C2-[2]Admin!$F$21)*([2]Admin!$G$21-[2]Admin!$G$22)-May!A2)</f>
        <v>90</v>
      </c>
      <c r="H2" s="21" t="n">
        <f aca="false">IF([1]Jun!$H$4&gt;0,0,[1]Jun!$H$2)</f>
        <v>20</v>
      </c>
      <c r="I2" s="47" t="n">
        <f aca="false">G2</f>
        <v>90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90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AB1+May!AB2</f>
        <v>14500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46174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104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46174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104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46174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104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46174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104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46174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104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46174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104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46176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102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46176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102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46178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100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46178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100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46178</v>
      </c>
      <c r="B15" s="2" t="s">
        <v>91</v>
      </c>
      <c r="E15" s="2" t="s">
        <v>92</v>
      </c>
      <c r="F15" s="2" t="s">
        <v>71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100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72</v>
      </c>
    </row>
    <row r="16" customFormat="false" ht="12" hidden="false" customHeight="false" outlineLevel="0" collapsed="false">
      <c r="A16" s="27" t="n">
        <v>46181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97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46183</v>
      </c>
      <c r="B17" s="2" t="s">
        <v>97</v>
      </c>
      <c r="E17" s="2" t="s">
        <v>98</v>
      </c>
      <c r="F17" s="2" t="s">
        <v>75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95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85</v>
      </c>
    </row>
    <row r="18" customFormat="false" ht="12" hidden="false" customHeight="false" outlineLevel="0" collapsed="false">
      <c r="A18" s="27" t="n">
        <v>46183</v>
      </c>
      <c r="B18" s="2" t="s">
        <v>161</v>
      </c>
      <c r="E18" s="2" t="s">
        <v>162</v>
      </c>
      <c r="F18" s="2" t="s">
        <v>65</v>
      </c>
      <c r="G18" s="29" t="n">
        <v>96</v>
      </c>
      <c r="H18" s="6" t="n">
        <f aca="false">IF(G18&lt;&gt;0,G18*H$2/(100+H$2)," ")</f>
        <v>16</v>
      </c>
      <c r="I18" s="6" t="n">
        <f aca="false">IF((G18&lt;&gt;0),G18-H18," ")</f>
        <v>80</v>
      </c>
      <c r="J18" s="5"/>
      <c r="M18" s="7" t="n">
        <f aca="false">IF(G18&lt;&gt;0,G18-L18," ")</f>
        <v>96</v>
      </c>
      <c r="N18" s="8" t="n">
        <f aca="false">IF((G18-L18)&lt;&gt;0,N$1-A18," ")</f>
        <v>95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80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66</v>
      </c>
    </row>
    <row r="19" customFormat="false" ht="12" hidden="false" customHeight="false" outlineLevel="0" collapsed="false">
      <c r="A19" s="27" t="n">
        <v>46185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93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46187</v>
      </c>
      <c r="B20" s="2" t="s">
        <v>108</v>
      </c>
      <c r="E20" s="2" t="s">
        <v>109</v>
      </c>
      <c r="F20" s="2" t="s">
        <v>75</v>
      </c>
      <c r="G20" s="29" t="n">
        <v>30</v>
      </c>
      <c r="H20" s="6" t="n">
        <f aca="false">IF(G20&lt;&gt;0,G20*H$2/(100+H$2)," ")</f>
        <v>5</v>
      </c>
      <c r="I20" s="6" t="n">
        <f aca="false">IF((G20&lt;&gt;0),G20-H20," ")</f>
        <v>25</v>
      </c>
      <c r="J20" s="5"/>
      <c r="M20" s="7" t="n">
        <f aca="false">IF(G20&lt;&gt;0,G20-L20," ")</f>
        <v>30</v>
      </c>
      <c r="N20" s="8" t="n">
        <f aca="false">IF((G20-L20)&lt;&gt;0,N$1-A20," ")</f>
        <v>91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25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85</v>
      </c>
    </row>
    <row r="21" customFormat="false" ht="12" hidden="false" customHeight="false" outlineLevel="0" collapsed="false">
      <c r="A21" s="27" t="n">
        <v>46187</v>
      </c>
      <c r="B21" s="2" t="s">
        <v>110</v>
      </c>
      <c r="E21" s="2" t="s">
        <v>111</v>
      </c>
      <c r="F21" s="2" t="s">
        <v>95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91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46187</v>
      </c>
      <c r="B22" s="2" t="s">
        <v>112</v>
      </c>
      <c r="E22" s="2" t="s">
        <v>113</v>
      </c>
      <c r="F22" s="2" t="s">
        <v>95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91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46188</v>
      </c>
      <c r="B23" s="2" t="s">
        <v>19</v>
      </c>
      <c r="E23" s="2" t="s">
        <v>89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90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90</v>
      </c>
    </row>
    <row r="24" customFormat="false" ht="12" hidden="false" customHeight="false" outlineLevel="0" collapsed="false">
      <c r="A24" s="27" t="n">
        <v>46188</v>
      </c>
      <c r="B24" s="2" t="s">
        <v>114</v>
      </c>
      <c r="E24" s="2" t="s">
        <v>115</v>
      </c>
      <c r="F24" s="2" t="s">
        <v>65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90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66</v>
      </c>
    </row>
    <row r="25" customFormat="false" ht="12" hidden="false" customHeight="false" outlineLevel="0" collapsed="false">
      <c r="A25" s="27" t="n">
        <v>46188</v>
      </c>
      <c r="B25" s="2" t="s">
        <v>163</v>
      </c>
      <c r="C25" s="3" t="s">
        <v>164</v>
      </c>
      <c r="E25" s="2" t="s">
        <v>165</v>
      </c>
      <c r="F25" s="2" t="s">
        <v>166</v>
      </c>
      <c r="G25" s="29" t="n">
        <v>5000</v>
      </c>
      <c r="H25" s="6" t="n">
        <f aca="false">IF(G25&lt;&gt;0,G25*H$2/(100+H$2)," ")</f>
        <v>833.333333333333</v>
      </c>
      <c r="I25" s="6" t="n">
        <f aca="false">IF((G25&lt;&gt;0),G25-H25," ")</f>
        <v>4166.66666666667</v>
      </c>
      <c r="J25" s="5"/>
      <c r="M25" s="7" t="n">
        <f aca="false">IF(G25&lt;&gt;0,G25-L25," ")</f>
        <v>5000</v>
      </c>
      <c r="N25" s="8" t="n">
        <f aca="false">IF((G25-L25)&lt;&gt;0,N$1-A25," ")</f>
        <v>90</v>
      </c>
      <c r="O25" s="5"/>
      <c r="P25" s="19" t="str">
        <f aca="false">IF((F25="s"),I25," ")</f>
        <v> </v>
      </c>
      <c r="Q25" s="19" t="n">
        <f aca="false">IF((F25="c"),I25," ")</f>
        <v>4166.66666666667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AD25" s="19" t="n">
        <v>1000</v>
      </c>
      <c r="BZ25" s="2" t="s">
        <v>167</v>
      </c>
    </row>
    <row r="26" customFormat="false" ht="12" hidden="false" customHeight="false" outlineLevel="0" collapsed="false">
      <c r="A26" s="27" t="n">
        <v>46191</v>
      </c>
      <c r="B26" s="2" t="s">
        <v>168</v>
      </c>
      <c r="E26" s="2" t="s">
        <v>169</v>
      </c>
      <c r="F26" s="2" t="s">
        <v>95</v>
      </c>
      <c r="G26" s="29" t="n">
        <v>180</v>
      </c>
      <c r="H26" s="6" t="n">
        <f aca="false">IF(G26&lt;&gt;0,G26*H$2/(100+H$2)," ")</f>
        <v>30</v>
      </c>
      <c r="I26" s="6" t="n">
        <f aca="false">IF((G26&lt;&gt;0),G26-H26," ")</f>
        <v>150</v>
      </c>
      <c r="J26" s="5"/>
      <c r="M26" s="7" t="n">
        <f aca="false">IF(G26&lt;&gt;0,G26-L26," ")</f>
        <v>180</v>
      </c>
      <c r="N26" s="8" t="n">
        <f aca="false">IF((G26-L26)&lt;&gt;0,N$1-A26," ")</f>
        <v>87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n">
        <f aca="false">IF((F26="h"),I26," ")</f>
        <v>150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96</v>
      </c>
    </row>
    <row r="27" customFormat="false" ht="12" hidden="false" customHeight="false" outlineLevel="0" collapsed="false">
      <c r="A27" s="27" t="n">
        <v>46191</v>
      </c>
      <c r="B27" s="2" t="s">
        <v>170</v>
      </c>
      <c r="E27" s="2" t="s">
        <v>171</v>
      </c>
      <c r="F27" s="2" t="s">
        <v>104</v>
      </c>
      <c r="G27" s="29" t="n">
        <v>360</v>
      </c>
      <c r="H27" s="6" t="n">
        <f aca="false">IF(G27&lt;&gt;0,G27*H$2/(100+H$2)," ")</f>
        <v>60</v>
      </c>
      <c r="I27" s="6" t="n">
        <f aca="false">IF((G27&lt;&gt;0),G27-H27," ")</f>
        <v>300</v>
      </c>
      <c r="J27" s="5"/>
      <c r="M27" s="7" t="n">
        <f aca="false">IF(G27&lt;&gt;0,G27-L27," ")</f>
        <v>360</v>
      </c>
      <c r="N27" s="8" t="n">
        <f aca="false">IF((G27-L27)&lt;&gt;0,N$1-A27," ")</f>
        <v>87</v>
      </c>
      <c r="O27" s="5"/>
      <c r="P27" s="19" t="n">
        <f aca="false">IF((F27="s"),I27," ")</f>
        <v>300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105</v>
      </c>
    </row>
    <row r="28" customFormat="false" ht="12" hidden="false" customHeight="false" outlineLevel="0" collapsed="false">
      <c r="A28" s="27" t="n">
        <v>46191</v>
      </c>
      <c r="B28" s="2" t="s">
        <v>116</v>
      </c>
      <c r="E28" s="2" t="s">
        <v>89</v>
      </c>
      <c r="F28" s="2" t="s">
        <v>24</v>
      </c>
      <c r="G28" s="29" t="n">
        <v>96</v>
      </c>
      <c r="H28" s="6" t="n">
        <f aca="false">IF(G28&lt;&gt;0,G28*H$2/(100+H$2)," ")</f>
        <v>16</v>
      </c>
      <c r="I28" s="6" t="n">
        <f aca="false">IF((G28&lt;&gt;0),G28-H28," ")</f>
        <v>80</v>
      </c>
      <c r="J28" s="5"/>
      <c r="M28" s="7" t="n">
        <f aca="false">IF(G28&lt;&gt;0,G28-L28," ")</f>
        <v>96</v>
      </c>
      <c r="N28" s="8" t="n">
        <f aca="false">IF((G28-L28)&lt;&gt;0,N$1-A28," ")</f>
        <v>87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80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90</v>
      </c>
    </row>
    <row r="29" customFormat="false" ht="12" hidden="false" customHeight="false" outlineLevel="0" collapsed="false">
      <c r="A29" s="27" t="n">
        <v>46193</v>
      </c>
      <c r="B29" s="2" t="s">
        <v>117</v>
      </c>
      <c r="E29" s="2" t="s">
        <v>118</v>
      </c>
      <c r="F29" s="2" t="s">
        <v>65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85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66</v>
      </c>
    </row>
    <row r="30" customFormat="false" ht="12" hidden="false" customHeight="false" outlineLevel="0" collapsed="false">
      <c r="A30" s="27" t="n">
        <v>46194</v>
      </c>
      <c r="B30" s="2" t="s">
        <v>123</v>
      </c>
      <c r="E30" s="2" t="s">
        <v>124</v>
      </c>
      <c r="F30" s="2" t="s">
        <v>95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84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96</v>
      </c>
    </row>
    <row r="31" customFormat="false" ht="12" hidden="false" customHeight="false" outlineLevel="0" collapsed="false">
      <c r="A31" s="27" t="n">
        <v>46195</v>
      </c>
      <c r="B31" s="2" t="s">
        <v>125</v>
      </c>
      <c r="E31" s="2" t="s">
        <v>126</v>
      </c>
      <c r="F31" s="2" t="s">
        <v>75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83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85</v>
      </c>
    </row>
    <row r="32" customFormat="false" ht="12" hidden="false" customHeight="false" outlineLevel="0" collapsed="false">
      <c r="A32" s="27" t="n">
        <v>46198</v>
      </c>
      <c r="B32" s="2" t="s">
        <v>172</v>
      </c>
      <c r="E32" s="2" t="s">
        <v>173</v>
      </c>
      <c r="F32" s="2" t="s">
        <v>61</v>
      </c>
      <c r="G32" s="29" t="n">
        <v>360</v>
      </c>
      <c r="H32" s="6" t="n">
        <f aca="false">IF(G32&lt;&gt;0,G32*H$2/(100+H$2)," ")</f>
        <v>60</v>
      </c>
      <c r="I32" s="6" t="n">
        <f aca="false">IF((G32&lt;&gt;0),G32-H32," ")</f>
        <v>300</v>
      </c>
      <c r="J32" s="5"/>
      <c r="M32" s="7" t="n">
        <f aca="false">IF(G32&lt;&gt;0,G32-L32," ")</f>
        <v>360</v>
      </c>
      <c r="N32" s="8" t="n">
        <f aca="false">IF((G32-L32)&lt;&gt;0,N$1-A32," ")</f>
        <v>80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174</v>
      </c>
    </row>
    <row r="33" customFormat="false" ht="12" hidden="false" customHeight="false" outlineLevel="0" collapsed="false">
      <c r="A33" s="27" t="n">
        <v>46198</v>
      </c>
      <c r="B33" s="2" t="s">
        <v>127</v>
      </c>
      <c r="E33" s="2" t="s">
        <v>128</v>
      </c>
      <c r="F33" s="2" t="s">
        <v>75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80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46198</v>
      </c>
      <c r="B34" s="2" t="s">
        <v>129</v>
      </c>
      <c r="D34" s="4" t="n">
        <v>200</v>
      </c>
      <c r="E34" s="2" t="s">
        <v>175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46201</v>
      </c>
      <c r="B35" s="2" t="s">
        <v>19</v>
      </c>
      <c r="E35" s="2" t="s">
        <v>131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77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46203</v>
      </c>
      <c r="B36" s="2" t="s">
        <v>15</v>
      </c>
      <c r="E36" s="2" t="s">
        <v>132</v>
      </c>
      <c r="F36" s="2" t="s">
        <v>133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75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134</v>
      </c>
    </row>
    <row r="37" customFormat="false" ht="12" hidden="false" customHeight="false" outlineLevel="0" collapsed="false">
      <c r="A37" s="27" t="n">
        <v>46203</v>
      </c>
      <c r="B37" s="2" t="s">
        <v>176</v>
      </c>
      <c r="C37" s="3" t="s">
        <v>177</v>
      </c>
      <c r="E37" s="2" t="s">
        <v>178</v>
      </c>
      <c r="F37" s="2" t="s">
        <v>133</v>
      </c>
      <c r="G37" s="29" t="n">
        <v>250</v>
      </c>
      <c r="H37" s="6" t="n">
        <f aca="false">IF(G37&lt;&gt;0,G37*H$2/(100+H$2)," ")</f>
        <v>41.6666666666667</v>
      </c>
      <c r="I37" s="6" t="n">
        <f aca="false">IF((G37&lt;&gt;0),G37-H37," ")</f>
        <v>208.333333333333</v>
      </c>
      <c r="J37" s="5"/>
      <c r="M37" s="7" t="n">
        <f aca="false">IF(G37&lt;&gt;0,G37-L37," ")</f>
        <v>250</v>
      </c>
      <c r="N37" s="8" t="n">
        <f aca="false">IF((G37-L37)&lt;&gt;0,N$1-A37," ")</f>
        <v>75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208.333333333333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179</v>
      </c>
    </row>
    <row r="38" customFormat="false" ht="12" hidden="false" customHeight="false" outlineLevel="0" collapsed="false">
      <c r="A38" s="27" t="n">
        <v>46174</v>
      </c>
      <c r="B38" s="2" t="s">
        <v>180</v>
      </c>
      <c r="C38" s="3" t="s">
        <v>181</v>
      </c>
      <c r="E38" s="2" t="s">
        <v>182</v>
      </c>
      <c r="F38" s="2" t="s">
        <v>149</v>
      </c>
      <c r="G38" s="29" t="n">
        <v>15600</v>
      </c>
      <c r="H38" s="6" t="n">
        <f aca="false">IF(G38&lt;&gt;0,G38*H$2/(100+H$2)," ")</f>
        <v>2600</v>
      </c>
      <c r="I38" s="6" t="n">
        <f aca="false">IF((G38&lt;&gt;0),G38-H38," ")</f>
        <v>13000</v>
      </c>
      <c r="J38" s="5"/>
      <c r="M38" s="7" t="n">
        <f aca="false">IF(G38&lt;&gt;0,G38-L38," ")</f>
        <v>15600</v>
      </c>
      <c r="N38" s="8" t="n">
        <f aca="false">IF((G38-L38)&lt;&gt;0,N$1-A38," ")</f>
        <v>104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n">
        <f aca="false">IF((F38="fa"),I38," ")</f>
        <v>13000</v>
      </c>
      <c r="AC38" s="19" t="str">
        <f aca="false">IF((F38="e"),I38," ")</f>
        <v> </v>
      </c>
      <c r="BZ38" s="2" t="s">
        <v>150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45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1506.5</v>
      </c>
      <c r="I1" s="13" t="n">
        <f aca="false">SUM(I2:I200)</f>
        <v>7552.75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9039</v>
      </c>
      <c r="N1" s="18" t="n">
        <f aca="true">TODAY()</f>
        <v>46278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607.5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150</v>
      </c>
      <c r="V1" s="13" t="n">
        <f aca="false">SUM(V5:V300)</f>
        <v>382.5</v>
      </c>
      <c r="W1" s="13" t="n">
        <f aca="false">SUM(W2:W300)</f>
        <v>490.25</v>
      </c>
      <c r="X1" s="13" t="n">
        <f aca="false">SUM(X5:X300)</f>
        <v>76.6666666666667</v>
      </c>
      <c r="Y1" s="13" t="n">
        <f aca="false">SUM(Y5:Y300)</f>
        <v>400</v>
      </c>
      <c r="Z1" s="13" t="n">
        <f aca="false">SUM(Z5:Z300)</f>
        <v>2750</v>
      </c>
      <c r="AA1" s="13" t="n">
        <f aca="false">SUM(AA5:AA300)</f>
        <v>95.8333333333333</v>
      </c>
      <c r="AB1" s="13" t="n">
        <f aca="false">SUM(AB5:AB300)</f>
        <v>1000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G2+Jun!A2</f>
        <v>202.5</v>
      </c>
      <c r="B2" s="44" t="s">
        <v>22</v>
      </c>
      <c r="C2" s="43" t="n">
        <f aca="false">Jun!C2+D1+[1]Jul!$D$1</f>
        <v>450</v>
      </c>
      <c r="D2" s="45" t="s">
        <v>23</v>
      </c>
      <c r="E2" s="20" t="s">
        <v>5</v>
      </c>
      <c r="F2" s="44" t="str">
        <f aca="false">Jun!F2</f>
        <v>v</v>
      </c>
      <c r="G2" s="46" t="n">
        <f aca="false">IF(C2&lt;[2]Admin!$F$22,(C2-Jun!C2)*[2]Admin!$G$21,C2*[2]Admin!$G$21-(C2-[2]Admin!$F$21)*([2]Admin!$G$21-[2]Admin!$G$22)-Jun!A2)</f>
        <v>20.25</v>
      </c>
      <c r="H2" s="21" t="n">
        <f aca="false">IF([1]Jul!$H$4&gt;0,0,[1]Jul!$H$2)</f>
        <v>20</v>
      </c>
      <c r="I2" s="47" t="n">
        <f aca="false">G2</f>
        <v>20.25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20.25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AB1+Jun!AB2</f>
        <v>15500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46204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74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46204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74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46204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74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46204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74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46204</v>
      </c>
      <c r="B9" s="2" t="s">
        <v>183</v>
      </c>
      <c r="E9" s="2" t="s">
        <v>184</v>
      </c>
      <c r="F9" s="2" t="s">
        <v>133</v>
      </c>
      <c r="G9" s="29" t="n">
        <v>3000</v>
      </c>
      <c r="H9" s="6" t="n">
        <f aca="false">IF(G9&lt;&gt;0,G9*H$2/(100+H$2)," ")</f>
        <v>500</v>
      </c>
      <c r="I9" s="6" t="n">
        <f aca="false">IF((G9&lt;&gt;0),G9-H9," ")</f>
        <v>2500</v>
      </c>
      <c r="J9" s="5"/>
      <c r="M9" s="7" t="n">
        <f aca="false">IF(G9&lt;&gt;0,G9-L9," ")</f>
        <v>3000</v>
      </c>
      <c r="N9" s="8" t="n">
        <f aca="false">IF((G9-L9)&lt;&gt;0,N$1-A9," ")</f>
        <v>74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n">
        <f aca="false">IF((F9="l"),I9," ")</f>
        <v>2500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185</v>
      </c>
    </row>
    <row r="10" customFormat="false" ht="12" hidden="false" customHeight="false" outlineLevel="0" collapsed="false">
      <c r="A10" s="27" t="n">
        <v>46204</v>
      </c>
      <c r="B10" s="2" t="s">
        <v>77</v>
      </c>
      <c r="E10" s="2" t="s">
        <v>78</v>
      </c>
      <c r="F10" s="2" t="s">
        <v>71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74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72</v>
      </c>
    </row>
    <row r="11" customFormat="false" ht="12" hidden="false" customHeight="false" outlineLevel="0" collapsed="false">
      <c r="A11" s="27" t="n">
        <v>46204</v>
      </c>
      <c r="B11" s="2" t="s">
        <v>79</v>
      </c>
      <c r="E11" s="2" t="s">
        <v>80</v>
      </c>
      <c r="F11" s="2" t="s">
        <v>65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74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66</v>
      </c>
    </row>
    <row r="12" customFormat="false" ht="12" hidden="false" customHeight="false" outlineLevel="0" collapsed="false">
      <c r="A12" s="27" t="n">
        <v>46206</v>
      </c>
      <c r="B12" s="2" t="s">
        <v>81</v>
      </c>
      <c r="E12" s="2" t="s">
        <v>82</v>
      </c>
      <c r="F12" s="2" t="s">
        <v>71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72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72</v>
      </c>
    </row>
    <row r="13" customFormat="false" ht="12" hidden="false" customHeight="false" outlineLevel="0" collapsed="false">
      <c r="A13" s="27" t="n">
        <v>46206</v>
      </c>
      <c r="B13" s="2" t="s">
        <v>83</v>
      </c>
      <c r="E13" s="2" t="s">
        <v>84</v>
      </c>
      <c r="F13" s="2" t="s">
        <v>75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72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46208</v>
      </c>
      <c r="B14" s="2" t="s">
        <v>86</v>
      </c>
      <c r="E14" s="2" t="s">
        <v>87</v>
      </c>
      <c r="F14" s="2" t="s">
        <v>75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70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85</v>
      </c>
    </row>
    <row r="15" customFormat="false" ht="12" hidden="false" customHeight="false" outlineLevel="0" collapsed="false">
      <c r="A15" s="27" t="n">
        <v>46208</v>
      </c>
      <c r="B15" s="2" t="s">
        <v>186</v>
      </c>
      <c r="E15" s="2" t="s">
        <v>187</v>
      </c>
      <c r="F15" s="2" t="s">
        <v>142</v>
      </c>
      <c r="G15" s="29" t="n">
        <v>480</v>
      </c>
      <c r="H15" s="6" t="n">
        <f aca="false">IF(G15&lt;&gt;0,G15*H$2/(100+H$2)," ")</f>
        <v>80</v>
      </c>
      <c r="I15" s="6" t="n">
        <f aca="false">IF((G15&lt;&gt;0),G15-H15," ")</f>
        <v>400</v>
      </c>
      <c r="J15" s="5"/>
      <c r="M15" s="7" t="n">
        <f aca="false">IF(G15&lt;&gt;0,G15-L15," ")</f>
        <v>480</v>
      </c>
      <c r="N15" s="8" t="n">
        <f aca="false">IF((G15-L15)&lt;&gt;0,N$1-A15," ")</f>
        <v>70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400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143</v>
      </c>
    </row>
    <row r="16" customFormat="false" ht="12" hidden="false" customHeight="false" outlineLevel="0" collapsed="false">
      <c r="A16" s="27" t="n">
        <v>46208</v>
      </c>
      <c r="B16" s="2" t="s">
        <v>88</v>
      </c>
      <c r="E16" s="2" t="s">
        <v>89</v>
      </c>
      <c r="F16" s="2" t="s">
        <v>24</v>
      </c>
      <c r="G16" s="29" t="n">
        <v>180</v>
      </c>
      <c r="H16" s="6" t="n">
        <f aca="false">IF(G16&lt;&gt;0,G16*H$2/(100+H$2)," ")</f>
        <v>30</v>
      </c>
      <c r="I16" s="6" t="n">
        <f aca="false">IF((G16&lt;&gt;0),G16-H16," ")</f>
        <v>150</v>
      </c>
      <c r="J16" s="5"/>
      <c r="M16" s="7" t="n">
        <f aca="false">IF(G16&lt;&gt;0,G16-L16," ")</f>
        <v>180</v>
      </c>
      <c r="N16" s="8" t="n">
        <f aca="false">IF((G16-L16)&lt;&gt;0,N$1-A16," ")</f>
        <v>70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n">
        <f aca="false">IF((F16="v"),I16," ")</f>
        <v>150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90</v>
      </c>
    </row>
    <row r="17" customFormat="false" ht="12" hidden="false" customHeight="false" outlineLevel="0" collapsed="false">
      <c r="A17" s="27" t="n">
        <v>46211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67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46213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65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46213</v>
      </c>
      <c r="B19" s="2" t="s">
        <v>99</v>
      </c>
      <c r="E19" s="2" t="s">
        <v>100</v>
      </c>
      <c r="F19" s="2" t="s">
        <v>65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65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101</v>
      </c>
    </row>
    <row r="20" customFormat="false" ht="12" hidden="false" customHeight="false" outlineLevel="0" collapsed="false">
      <c r="A20" s="27" t="n">
        <v>46213</v>
      </c>
      <c r="B20" s="2" t="s">
        <v>102</v>
      </c>
      <c r="E20" s="2" t="s">
        <v>103</v>
      </c>
      <c r="F20" s="2" t="s">
        <v>104</v>
      </c>
      <c r="G20" s="29" t="n">
        <v>720</v>
      </c>
      <c r="H20" s="6" t="n">
        <f aca="false">IF(G20&lt;&gt;0,G20*H$2/(100+H$2)," ")</f>
        <v>120</v>
      </c>
      <c r="I20" s="6" t="n">
        <f aca="false">IF((G20&lt;&gt;0),G20-H20," ")</f>
        <v>600</v>
      </c>
      <c r="J20" s="5"/>
      <c r="M20" s="7" t="n">
        <f aca="false">IF(G20&lt;&gt;0,G20-L20," ")</f>
        <v>720</v>
      </c>
      <c r="N20" s="8" t="n">
        <f aca="false">IF((G20-L20)&lt;&gt;0,N$1-A20," ")</f>
        <v>65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105</v>
      </c>
    </row>
    <row r="21" customFormat="false" ht="12" hidden="false" customHeight="false" outlineLevel="0" collapsed="false">
      <c r="A21" s="27" t="n">
        <v>46215</v>
      </c>
      <c r="B21" s="2" t="s">
        <v>106</v>
      </c>
      <c r="E21" s="2" t="s">
        <v>107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63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46215</v>
      </c>
      <c r="B22" s="2" t="s">
        <v>188</v>
      </c>
      <c r="E22" s="2" t="s">
        <v>189</v>
      </c>
      <c r="F22" s="2" t="s">
        <v>71</v>
      </c>
      <c r="G22" s="29" t="n">
        <v>480</v>
      </c>
      <c r="H22" s="6" t="n">
        <f aca="false">IF(G22&lt;&gt;0,G22*H$2/(100+H$2)," ")</f>
        <v>80</v>
      </c>
      <c r="I22" s="6" t="n">
        <f aca="false">IF((G22&lt;&gt;0),G22-H22," ")</f>
        <v>400</v>
      </c>
      <c r="J22" s="5"/>
      <c r="M22" s="7" t="n">
        <f aca="false">IF(G22&lt;&gt;0,G22-L22," ")</f>
        <v>480</v>
      </c>
      <c r="N22" s="8" t="n">
        <f aca="false">IF((G22-L22)&lt;&gt;0,N$1-A22," ")</f>
        <v>63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n">
        <f aca="false">IF((F22="o"),I22," ")</f>
        <v>400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139</v>
      </c>
    </row>
    <row r="23" customFormat="false" ht="12" hidden="false" customHeight="false" outlineLevel="0" collapsed="false">
      <c r="A23" s="27" t="n">
        <v>46217</v>
      </c>
      <c r="B23" s="2" t="s">
        <v>110</v>
      </c>
      <c r="E23" s="2" t="s">
        <v>111</v>
      </c>
      <c r="F23" s="2" t="s">
        <v>95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61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96</v>
      </c>
    </row>
    <row r="24" customFormat="false" ht="12" hidden="false" customHeight="false" outlineLevel="0" collapsed="false">
      <c r="A24" s="27" t="n">
        <v>46217</v>
      </c>
      <c r="B24" s="2" t="s">
        <v>112</v>
      </c>
      <c r="E24" s="2" t="s">
        <v>113</v>
      </c>
      <c r="F24" s="2" t="s">
        <v>95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61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96</v>
      </c>
    </row>
    <row r="25" customFormat="false" ht="12" hidden="false" customHeight="false" outlineLevel="0" collapsed="false">
      <c r="A25" s="27" t="n">
        <v>46218</v>
      </c>
      <c r="B25" s="2" t="s">
        <v>19</v>
      </c>
      <c r="E25" s="2" t="s">
        <v>89</v>
      </c>
      <c r="F25" s="2" t="s">
        <v>24</v>
      </c>
      <c r="G25" s="29" t="n">
        <v>150</v>
      </c>
      <c r="H25" s="6" t="n">
        <f aca="false">IF(G25&lt;&gt;0,G25*H$2/(100+H$2)," ")</f>
        <v>25</v>
      </c>
      <c r="I25" s="6" t="n">
        <f aca="false">IF((G25&lt;&gt;0),G25-H25," ")</f>
        <v>125</v>
      </c>
      <c r="J25" s="5"/>
      <c r="M25" s="7" t="n">
        <f aca="false">IF(G25&lt;&gt;0,G25-L25," ")</f>
        <v>150</v>
      </c>
      <c r="N25" s="8" t="n">
        <f aca="false">IF((G25-L25)&lt;&gt;0,N$1-A25," ")</f>
        <v>60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125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90</v>
      </c>
    </row>
    <row r="26" customFormat="false" ht="12" hidden="false" customHeight="false" outlineLevel="0" collapsed="false">
      <c r="A26" s="27" t="n">
        <v>46218</v>
      </c>
      <c r="B26" s="2" t="s">
        <v>114</v>
      </c>
      <c r="E26" s="2" t="s">
        <v>115</v>
      </c>
      <c r="F26" s="2" t="s">
        <v>65</v>
      </c>
      <c r="G26" s="29" t="n">
        <v>12</v>
      </c>
      <c r="H26" s="6" t="n">
        <f aca="false">IF(G26&lt;&gt;0,G26*H$2/(100+H$2)," ")</f>
        <v>2</v>
      </c>
      <c r="I26" s="6" t="n">
        <f aca="false">IF((G26&lt;&gt;0),G26-H26," ")</f>
        <v>10</v>
      </c>
      <c r="J26" s="5"/>
      <c r="M26" s="7" t="n">
        <f aca="false">IF(G26&lt;&gt;0,G26-L26," ")</f>
        <v>12</v>
      </c>
      <c r="N26" s="8" t="n">
        <f aca="false">IF((G26-L26)&lt;&gt;0,N$1-A26," ")</f>
        <v>60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66</v>
      </c>
    </row>
    <row r="27" customFormat="false" ht="12" hidden="false" customHeight="false" outlineLevel="0" collapsed="false">
      <c r="A27" s="27" t="n">
        <v>46218</v>
      </c>
      <c r="B27" s="2" t="s">
        <v>190</v>
      </c>
      <c r="C27" s="3" t="s">
        <v>191</v>
      </c>
      <c r="E27" s="2" t="s">
        <v>192</v>
      </c>
      <c r="F27" s="2" t="s">
        <v>149</v>
      </c>
      <c r="G27" s="29" t="n">
        <v>1200</v>
      </c>
      <c r="H27" s="6" t="n">
        <f aca="false">IF(G27&lt;&gt;0,G27*H$2/(100+H$2)," ")</f>
        <v>200</v>
      </c>
      <c r="I27" s="6" t="n">
        <f aca="false">IF((G27&lt;&gt;0),G27-H27," ")</f>
        <v>1000</v>
      </c>
      <c r="J27" s="5"/>
      <c r="M27" s="7" t="n">
        <f aca="false">IF(G27&lt;&gt;0,G27-L27," ")</f>
        <v>1200</v>
      </c>
      <c r="N27" s="8" t="n">
        <f aca="false">IF((G27-L27)&lt;&gt;0,N$1-A27," ")</f>
        <v>60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1000</v>
      </c>
      <c r="AC27" s="19" t="str">
        <f aca="false">IF((F27="e"),I27," ")</f>
        <v> </v>
      </c>
      <c r="BZ27" s="2" t="s">
        <v>150</v>
      </c>
    </row>
    <row r="28" customFormat="false" ht="12" hidden="false" customHeight="false" outlineLevel="0" collapsed="false">
      <c r="A28" s="27" t="n">
        <v>46219</v>
      </c>
      <c r="B28" s="2" t="s">
        <v>151</v>
      </c>
      <c r="E28" s="2" t="s">
        <v>152</v>
      </c>
      <c r="F28" s="2" t="s">
        <v>65</v>
      </c>
      <c r="G28" s="29" t="n">
        <v>24</v>
      </c>
      <c r="H28" s="6" t="n">
        <f aca="false">IF(G28&lt;&gt;0,G28*H$2/(100+H$2)," ")</f>
        <v>4</v>
      </c>
      <c r="I28" s="6" t="n">
        <f aca="false">IF((G28&lt;&gt;0),G28-H28," ")</f>
        <v>20</v>
      </c>
      <c r="J28" s="5"/>
      <c r="M28" s="7" t="n">
        <f aca="false">IF(G28&lt;&gt;0,G28-L28," ")</f>
        <v>24</v>
      </c>
      <c r="N28" s="8" t="n">
        <f aca="false">IF((G28-L28)&lt;&gt;0,N$1-A28," ")</f>
        <v>59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46221</v>
      </c>
      <c r="B29" s="2" t="s">
        <v>116</v>
      </c>
      <c r="E29" s="2" t="s">
        <v>89</v>
      </c>
      <c r="F29" s="2" t="s">
        <v>24</v>
      </c>
      <c r="G29" s="29" t="n">
        <v>96</v>
      </c>
      <c r="H29" s="6" t="n">
        <f aca="false">IF(G29&lt;&gt;0,G29*H$2/(100+H$2)," ")</f>
        <v>16</v>
      </c>
      <c r="I29" s="6" t="n">
        <f aca="false">IF((G29&lt;&gt;0),G29-H29," ")</f>
        <v>80</v>
      </c>
      <c r="J29" s="5"/>
      <c r="M29" s="7" t="n">
        <f aca="false">IF(G29&lt;&gt;0,G29-L29," ")</f>
        <v>96</v>
      </c>
      <c r="N29" s="8" t="n">
        <f aca="false">IF((G29-L29)&lt;&gt;0,N$1-A29," ")</f>
        <v>57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80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90</v>
      </c>
    </row>
    <row r="30" customFormat="false" ht="12" hidden="false" customHeight="false" outlineLevel="0" collapsed="false">
      <c r="A30" s="27" t="n">
        <v>46223</v>
      </c>
      <c r="B30" s="2" t="s">
        <v>117</v>
      </c>
      <c r="E30" s="2" t="s">
        <v>118</v>
      </c>
      <c r="F30" s="2" t="s">
        <v>65</v>
      </c>
      <c r="G30" s="29" t="n">
        <v>60</v>
      </c>
      <c r="H30" s="6" t="n">
        <f aca="false">IF(G30&lt;&gt;0,G30*H$2/(100+H$2)," ")</f>
        <v>10</v>
      </c>
      <c r="I30" s="6" t="n">
        <f aca="false">IF((G30&lt;&gt;0),G30-H30," ")</f>
        <v>50</v>
      </c>
      <c r="J30" s="5"/>
      <c r="M30" s="7" t="n">
        <f aca="false">IF(G30&lt;&gt;0,G30-L30," ")</f>
        <v>60</v>
      </c>
      <c r="N30" s="8" t="n">
        <f aca="false">IF((G30-L30)&lt;&gt;0,N$1-A30," ")</f>
        <v>55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66</v>
      </c>
    </row>
    <row r="31" customFormat="false" ht="12" hidden="false" customHeight="false" outlineLevel="0" collapsed="false">
      <c r="A31" s="27" t="n">
        <v>46223</v>
      </c>
      <c r="B31" s="2" t="s">
        <v>193</v>
      </c>
      <c r="E31" s="2" t="s">
        <v>194</v>
      </c>
      <c r="F31" s="2" t="s">
        <v>65</v>
      </c>
      <c r="G31" s="29" t="n">
        <v>120</v>
      </c>
      <c r="H31" s="6" t="n">
        <f aca="false">IF(G31&lt;&gt;0,G31*H$2/(100+H$2)," ")</f>
        <v>20</v>
      </c>
      <c r="I31" s="6" t="n">
        <f aca="false">IF((G31&lt;&gt;0),G31-H31," ")</f>
        <v>100</v>
      </c>
      <c r="J31" s="5"/>
      <c r="M31" s="7" t="n">
        <f aca="false">IF(G31&lt;&gt;0,G31-L31," ")</f>
        <v>120</v>
      </c>
      <c r="N31" s="8" t="n">
        <f aca="false">IF((G31-L31)&lt;&gt;0,N$1-A31," ")</f>
        <v>55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100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155</v>
      </c>
    </row>
    <row r="32" customFormat="false" ht="12" hidden="false" customHeight="false" outlineLevel="0" collapsed="false">
      <c r="A32" s="27" t="n">
        <v>46223</v>
      </c>
      <c r="B32" s="2" t="s">
        <v>119</v>
      </c>
      <c r="E32" s="2" t="s">
        <v>120</v>
      </c>
      <c r="F32" s="2" t="s">
        <v>121</v>
      </c>
      <c r="G32" s="29" t="n">
        <v>180</v>
      </c>
      <c r="H32" s="6" t="n">
        <f aca="false">IF(G32&lt;&gt;0,G32*H$2/(100+H$2)," ")</f>
        <v>30</v>
      </c>
      <c r="I32" s="6" t="n">
        <f aca="false">IF((G32&lt;&gt;0),G32-H32," ")</f>
        <v>150</v>
      </c>
      <c r="J32" s="5"/>
      <c r="M32" s="7" t="n">
        <f aca="false">IF(G32&lt;&gt;0,G32-L32," ")</f>
        <v>180</v>
      </c>
      <c r="N32" s="8" t="n">
        <f aca="false">IF((G32-L32)&lt;&gt;0,N$1-A32," ")</f>
        <v>55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150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122</v>
      </c>
    </row>
    <row r="33" customFormat="false" ht="12" hidden="false" customHeight="false" outlineLevel="0" collapsed="false">
      <c r="A33" s="27" t="n">
        <v>46224</v>
      </c>
      <c r="B33" s="2" t="s">
        <v>123</v>
      </c>
      <c r="E33" s="2" t="s">
        <v>124</v>
      </c>
      <c r="F33" s="2" t="s">
        <v>95</v>
      </c>
      <c r="G33" s="29" t="n">
        <v>8</v>
      </c>
      <c r="H33" s="6" t="n">
        <f aca="false">IF(G33&lt;&gt;0,G33*H$2/(100+H$2)," ")</f>
        <v>1.33333333333333</v>
      </c>
      <c r="I33" s="6" t="n">
        <f aca="false">IF((G33&lt;&gt;0),G33-H33," ")</f>
        <v>6.66666666666667</v>
      </c>
      <c r="J33" s="5"/>
      <c r="M33" s="7" t="n">
        <f aca="false">IF(G33&lt;&gt;0,G33-L33," ")</f>
        <v>8</v>
      </c>
      <c r="N33" s="8" t="n">
        <f aca="false">IF((G33-L33)&lt;&gt;0,N$1-A33," ")</f>
        <v>54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6.66666666666667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96</v>
      </c>
    </row>
    <row r="34" customFormat="false" ht="12" hidden="false" customHeight="false" outlineLevel="0" collapsed="false">
      <c r="A34" s="27" t="n">
        <v>46225</v>
      </c>
      <c r="B34" s="2" t="s">
        <v>125</v>
      </c>
      <c r="E34" s="2" t="s">
        <v>126</v>
      </c>
      <c r="F34" s="2" t="s">
        <v>75</v>
      </c>
      <c r="G34" s="29" t="n">
        <v>18</v>
      </c>
      <c r="H34" s="6" t="n">
        <f aca="false">IF(G34&lt;&gt;0,G34*H$2/(100+H$2)," ")</f>
        <v>3</v>
      </c>
      <c r="I34" s="6" t="n">
        <f aca="false">IF((G34&lt;&gt;0),G34-H34," ")</f>
        <v>15</v>
      </c>
      <c r="J34" s="5"/>
      <c r="M34" s="7" t="n">
        <f aca="false">IF(G34&lt;&gt;0,G34-L34," ")</f>
        <v>18</v>
      </c>
      <c r="N34" s="8" t="n">
        <f aca="false">IF((G34-L34)&lt;&gt;0,N$1-A34," ")</f>
        <v>53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15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85</v>
      </c>
    </row>
    <row r="35" customFormat="false" ht="12" hidden="false" customHeight="false" outlineLevel="0" collapsed="false">
      <c r="A35" s="27" t="n">
        <v>46228</v>
      </c>
      <c r="B35" s="2" t="s">
        <v>127</v>
      </c>
      <c r="E35" s="2" t="s">
        <v>128</v>
      </c>
      <c r="F35" s="2" t="s">
        <v>75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50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85</v>
      </c>
    </row>
    <row r="36" customFormat="false" ht="12" hidden="false" customHeight="false" outlineLevel="0" collapsed="false">
      <c r="A36" s="27" t="n">
        <v>46228</v>
      </c>
      <c r="B36" s="2" t="s">
        <v>129</v>
      </c>
      <c r="D36" s="4" t="n">
        <v>45</v>
      </c>
      <c r="E36" s="2" t="s">
        <v>195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90</v>
      </c>
    </row>
    <row r="37" customFormat="false" ht="12" hidden="false" customHeight="false" outlineLevel="0" collapsed="false">
      <c r="A37" s="27" t="n">
        <v>46231</v>
      </c>
      <c r="B37" s="2" t="s">
        <v>19</v>
      </c>
      <c r="E37" s="2" t="s">
        <v>131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47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90</v>
      </c>
    </row>
    <row r="38" customFormat="false" ht="12" hidden="false" customHeight="false" outlineLevel="0" collapsed="false">
      <c r="A38" s="27" t="n">
        <v>46234</v>
      </c>
      <c r="B38" s="2" t="s">
        <v>15</v>
      </c>
      <c r="E38" s="2" t="s">
        <v>132</v>
      </c>
      <c r="F38" s="2" t="s">
        <v>133</v>
      </c>
      <c r="G38" s="29" t="n">
        <v>300</v>
      </c>
      <c r="H38" s="6" t="n">
        <f aca="false">IF(G38&lt;&gt;0,G38*H$2/(100+H$2)," ")</f>
        <v>50</v>
      </c>
      <c r="I38" s="6" t="n">
        <f aca="false">IF((G38&lt;&gt;0),G38-H38," ")</f>
        <v>250</v>
      </c>
      <c r="J38" s="5"/>
      <c r="M38" s="7" t="n">
        <f aca="false">IF(G38&lt;&gt;0,G38-L38," ")</f>
        <v>300</v>
      </c>
      <c r="N38" s="8" t="n">
        <f aca="false">IF((G38-L38)&lt;&gt;0,N$1-A38," ")</f>
        <v>44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250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  <c r="BZ38" s="2" t="s">
        <v>134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4755.25</v>
      </c>
      <c r="H1" s="13" t="n">
        <f aca="false">SUM(H5:H200)</f>
        <v>786.166666666667</v>
      </c>
      <c r="I1" s="13" t="n">
        <f aca="false">SUM(I2:I200)</f>
        <v>3969.08333333333</v>
      </c>
      <c r="J1" s="15"/>
      <c r="K1" s="16" t="s">
        <v>4</v>
      </c>
      <c r="L1" s="17" t="n">
        <f aca="false">SUM(L5:L300)</f>
        <v>0</v>
      </c>
      <c r="M1" s="17" t="n">
        <f aca="false">SUM(M5:M200)</f>
        <v>4717</v>
      </c>
      <c r="N1" s="18" t="n">
        <f aca="true">TODAY()</f>
        <v>46278</v>
      </c>
      <c r="O1" s="15"/>
      <c r="P1" s="13" t="n">
        <f aca="false">SUM(P5:P300)</f>
        <v>450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666.666666666667</v>
      </c>
      <c r="T1" s="13" t="n">
        <f aca="false">SUM(T5:T300)</f>
        <v>1000</v>
      </c>
      <c r="U1" s="13" t="n">
        <f aca="false">SUM(U5:U300)</f>
        <v>200</v>
      </c>
      <c r="V1" s="13" t="n">
        <f aca="false">SUM(V5:V300)</f>
        <v>112.5</v>
      </c>
      <c r="W1" s="13" t="n">
        <f aca="false">SUM(W2:W300)</f>
        <v>508.25</v>
      </c>
      <c r="X1" s="13" t="n">
        <f aca="false">SUM(X5:X300)</f>
        <v>116.666666666667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135.833333333333</v>
      </c>
      <c r="AB1" s="13" t="n">
        <f aca="false">SUM(AB5:AB300)</f>
        <v>0</v>
      </c>
      <c r="AC1" s="41" t="n">
        <f aca="false">SUM(AC5:AC300)</f>
        <v>291.666666666667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G2+Jul!A2</f>
        <v>240.75</v>
      </c>
      <c r="B2" s="44" t="s">
        <v>22</v>
      </c>
      <c r="C2" s="43" t="n">
        <f aca="false">Jul!C2+D1+[1]Aug!$D$1</f>
        <v>535</v>
      </c>
      <c r="D2" s="45" t="s">
        <v>23</v>
      </c>
      <c r="E2" s="20" t="s">
        <v>5</v>
      </c>
      <c r="F2" s="44" t="str">
        <f aca="false">Jul!F2</f>
        <v>v</v>
      </c>
      <c r="G2" s="46" t="n">
        <f aca="false">IF(C2&lt;[2]Admin!$F$22,(C2-Jul!C2)*[2]Admin!$G$21,C2*[2]Admin!$G$21-(C2-[2]Admin!$F$21)*([2]Admin!$G$21-[2]Admin!$G$22)-Jul!A2)</f>
        <v>38.25</v>
      </c>
      <c r="H2" s="21" t="n">
        <f aca="false">IF([1]Aug!$H$4&gt;0,0,[1]Aug!$H$2)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AB1+Jul!AB2</f>
        <v>15500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46235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43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46235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43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46235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43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46235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43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46235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43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46235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43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46237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41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46237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41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46239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39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46239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39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46239</v>
      </c>
      <c r="B15" s="2" t="s">
        <v>91</v>
      </c>
      <c r="E15" s="2" t="s">
        <v>92</v>
      </c>
      <c r="F15" s="2" t="s">
        <v>71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39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72</v>
      </c>
    </row>
    <row r="16" customFormat="false" ht="12" hidden="false" customHeight="false" outlineLevel="0" collapsed="false">
      <c r="A16" s="27" t="n">
        <v>46240</v>
      </c>
      <c r="B16" s="2" t="s">
        <v>135</v>
      </c>
      <c r="E16" s="2" t="s">
        <v>136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38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46242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36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46244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34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46246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32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46248</v>
      </c>
      <c r="B20" s="2" t="s">
        <v>108</v>
      </c>
      <c r="E20" s="2" t="s">
        <v>109</v>
      </c>
      <c r="F20" s="2" t="s">
        <v>75</v>
      </c>
      <c r="G20" s="29" t="n">
        <v>48</v>
      </c>
      <c r="H20" s="6" t="n">
        <f aca="false">IF(G20&lt;&gt;0,G20*H$2/(100+H$2)," ")</f>
        <v>8</v>
      </c>
      <c r="I20" s="6" t="n">
        <f aca="false">IF((G20&lt;&gt;0),G20-H20," ")</f>
        <v>40</v>
      </c>
      <c r="J20" s="5"/>
      <c r="M20" s="7" t="n">
        <f aca="false">IF(G20&lt;&gt;0,G20-L20," ")</f>
        <v>48</v>
      </c>
      <c r="N20" s="8" t="n">
        <f aca="false">IF((G20-L20)&lt;&gt;0,N$1-A20," ")</f>
        <v>30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40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85</v>
      </c>
    </row>
    <row r="21" customFormat="false" ht="12" hidden="false" customHeight="false" outlineLevel="0" collapsed="false">
      <c r="A21" s="27" t="n">
        <v>46248</v>
      </c>
      <c r="B21" s="2" t="s">
        <v>110</v>
      </c>
      <c r="E21" s="2" t="s">
        <v>111</v>
      </c>
      <c r="F21" s="2" t="s">
        <v>95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30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46248</v>
      </c>
      <c r="B22" s="2" t="s">
        <v>112</v>
      </c>
      <c r="E22" s="2" t="s">
        <v>113</v>
      </c>
      <c r="F22" s="2" t="s">
        <v>95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30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46249</v>
      </c>
      <c r="B23" s="2" t="s">
        <v>19</v>
      </c>
      <c r="E23" s="2" t="s">
        <v>89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29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90</v>
      </c>
    </row>
    <row r="24" customFormat="false" ht="12" hidden="false" customHeight="false" outlineLevel="0" collapsed="false">
      <c r="A24" s="27" t="n">
        <v>46249</v>
      </c>
      <c r="B24" s="2" t="s">
        <v>114</v>
      </c>
      <c r="E24" s="2" t="s">
        <v>115</v>
      </c>
      <c r="F24" s="2" t="s">
        <v>65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29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66</v>
      </c>
    </row>
    <row r="25" customFormat="false" ht="12" hidden="false" customHeight="false" outlineLevel="0" collapsed="false">
      <c r="A25" s="27" t="n">
        <v>46249</v>
      </c>
      <c r="B25" s="2" t="s">
        <v>144</v>
      </c>
      <c r="E25" s="2" t="s">
        <v>145</v>
      </c>
      <c r="F25" s="2" t="s">
        <v>104</v>
      </c>
      <c r="G25" s="29" t="n">
        <v>360</v>
      </c>
      <c r="H25" s="6" t="n">
        <f aca="false">IF(G25&lt;&gt;0,G25*H$2/(100+H$2)," ")</f>
        <v>60</v>
      </c>
      <c r="I25" s="6" t="n">
        <f aca="false">IF((G25&lt;&gt;0),G25-H25," ")</f>
        <v>300</v>
      </c>
      <c r="J25" s="5"/>
      <c r="M25" s="7" t="n">
        <f aca="false">IF(G25&lt;&gt;0,G25-L25," ")</f>
        <v>360</v>
      </c>
      <c r="N25" s="8" t="n">
        <f aca="false">IF((G25-L25)&lt;&gt;0,N$1-A25," ")</f>
        <v>29</v>
      </c>
      <c r="O25" s="5"/>
      <c r="P25" s="19" t="n">
        <f aca="false">IF((F25="s"),I25," ")</f>
        <v>300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105</v>
      </c>
    </row>
    <row r="26" customFormat="false" ht="12" hidden="false" customHeight="false" outlineLevel="0" collapsed="false">
      <c r="A26" s="27" t="n">
        <v>46252</v>
      </c>
      <c r="B26" s="2" t="s">
        <v>196</v>
      </c>
      <c r="E26" s="2" t="s">
        <v>197</v>
      </c>
      <c r="F26" s="2" t="s">
        <v>121</v>
      </c>
      <c r="G26" s="29" t="n">
        <v>240</v>
      </c>
      <c r="H26" s="6" t="n">
        <f aca="false">IF(G26&lt;&gt;0,G26*H$2/(100+H$2)," ")</f>
        <v>40</v>
      </c>
      <c r="I26" s="6" t="n">
        <f aca="false">IF((G26&lt;&gt;0),G26-H26," ")</f>
        <v>200</v>
      </c>
      <c r="J26" s="5"/>
      <c r="M26" s="7" t="n">
        <f aca="false">IF(G26&lt;&gt;0,G26-L26," ")</f>
        <v>240</v>
      </c>
      <c r="N26" s="8" t="n">
        <f aca="false">IF((G26-L26)&lt;&gt;0,N$1-A26," ")</f>
        <v>26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200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122</v>
      </c>
    </row>
    <row r="27" customFormat="false" ht="12" hidden="false" customHeight="false" outlineLevel="0" collapsed="false">
      <c r="A27" s="27" t="n">
        <v>46252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26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46254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24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46254</v>
      </c>
      <c r="B29" s="2" t="s">
        <v>198</v>
      </c>
      <c r="E29" s="2" t="s">
        <v>199</v>
      </c>
      <c r="F29" s="2" t="s">
        <v>200</v>
      </c>
      <c r="G29" s="29" t="n">
        <v>800</v>
      </c>
      <c r="H29" s="6" t="n">
        <f aca="false">IF(G29&lt;&gt;0,G29*H$2/(100+H$2)," ")</f>
        <v>133.333333333333</v>
      </c>
      <c r="I29" s="6" t="n">
        <f aca="false">IF((G29&lt;&gt;0),G29-H29," ")</f>
        <v>666.666666666667</v>
      </c>
      <c r="J29" s="5"/>
      <c r="M29" s="7" t="n">
        <f aca="false">IF(G29&lt;&gt;0,G29-L29," ")</f>
        <v>800</v>
      </c>
      <c r="N29" s="8" t="n">
        <f aca="false">IF((G29-L29)&lt;&gt;0,N$1-A29," ")</f>
        <v>24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666.666666666667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201</v>
      </c>
    </row>
    <row r="30" customFormat="false" ht="12" hidden="false" customHeight="false" outlineLevel="0" collapsed="false">
      <c r="A30" s="27" t="n">
        <v>46254</v>
      </c>
      <c r="B30" s="2" t="s">
        <v>156</v>
      </c>
      <c r="E30" s="2" t="s">
        <v>157</v>
      </c>
      <c r="F30" s="2" t="s">
        <v>104</v>
      </c>
      <c r="G30" s="29" t="n">
        <v>180</v>
      </c>
      <c r="H30" s="6" t="n">
        <f aca="false">IF(G30&lt;&gt;0,G30*H$2/(100+H$2)," ")</f>
        <v>30</v>
      </c>
      <c r="I30" s="6" t="n">
        <f aca="false">IF((G30&lt;&gt;0),G30-H30," ")</f>
        <v>150</v>
      </c>
      <c r="J30" s="5"/>
      <c r="M30" s="7" t="n">
        <f aca="false">IF(G30&lt;&gt;0,G30-L30," ")</f>
        <v>180</v>
      </c>
      <c r="N30" s="8" t="n">
        <f aca="false">IF((G30-L30)&lt;&gt;0,N$1-A30," ")</f>
        <v>24</v>
      </c>
      <c r="O30" s="5"/>
      <c r="P30" s="19" t="n">
        <f aca="false">IF((F30="s"),I30," ")</f>
        <v>150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105</v>
      </c>
    </row>
    <row r="31" customFormat="false" ht="12" hidden="false" customHeight="false" outlineLevel="0" collapsed="false">
      <c r="A31" s="27" t="n">
        <v>46255</v>
      </c>
      <c r="B31" s="2" t="s">
        <v>123</v>
      </c>
      <c r="E31" s="2" t="s">
        <v>124</v>
      </c>
      <c r="F31" s="2" t="s">
        <v>95</v>
      </c>
      <c r="G31" s="29" t="n">
        <v>8</v>
      </c>
      <c r="H31" s="6" t="n">
        <f aca="false">IF(G31&lt;&gt;0,G31*H$2/(100+H$2)," ")</f>
        <v>1.33333333333333</v>
      </c>
      <c r="I31" s="6" t="n">
        <f aca="false">IF((G31&lt;&gt;0),G31-H31," ")</f>
        <v>6.66666666666667</v>
      </c>
      <c r="J31" s="5"/>
      <c r="M31" s="7" t="n">
        <f aca="false">IF(G31&lt;&gt;0,G31-L31," ")</f>
        <v>8</v>
      </c>
      <c r="N31" s="8" t="n">
        <f aca="false">IF((G31-L31)&lt;&gt;0,N$1-A31," ")</f>
        <v>23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6.66666666666667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96</v>
      </c>
    </row>
    <row r="32" customFormat="false" ht="12" hidden="false" customHeight="false" outlineLevel="0" collapsed="false">
      <c r="A32" s="27" t="n">
        <v>46256</v>
      </c>
      <c r="B32" s="2" t="s">
        <v>125</v>
      </c>
      <c r="E32" s="2" t="s">
        <v>126</v>
      </c>
      <c r="F32" s="2" t="s">
        <v>75</v>
      </c>
      <c r="G32" s="29" t="n">
        <v>18</v>
      </c>
      <c r="H32" s="6" t="n">
        <f aca="false">IF(G32&lt;&gt;0,G32*H$2/(100+H$2)," ")</f>
        <v>3</v>
      </c>
      <c r="I32" s="6" t="n">
        <f aca="false">IF((G32&lt;&gt;0),G32-H32," ")</f>
        <v>15</v>
      </c>
      <c r="J32" s="5"/>
      <c r="M32" s="7" t="n">
        <f aca="false">IF(G32&lt;&gt;0,G32-L32," ")</f>
        <v>18</v>
      </c>
      <c r="N32" s="8" t="n">
        <f aca="false">IF((G32-L32)&lt;&gt;0,N$1-A32," ")</f>
        <v>22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46259</v>
      </c>
      <c r="B33" s="2" t="s">
        <v>127</v>
      </c>
      <c r="E33" s="2" t="s">
        <v>128</v>
      </c>
      <c r="F33" s="2" t="s">
        <v>75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19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46259</v>
      </c>
      <c r="B34" s="2" t="s">
        <v>129</v>
      </c>
      <c r="D34" s="4" t="n">
        <v>85</v>
      </c>
      <c r="E34" s="2" t="s">
        <v>130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46262</v>
      </c>
      <c r="B35" s="2" t="s">
        <v>19</v>
      </c>
      <c r="E35" s="2" t="s">
        <v>131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16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46265</v>
      </c>
      <c r="B36" s="2" t="s">
        <v>15</v>
      </c>
      <c r="E36" s="2" t="s">
        <v>132</v>
      </c>
      <c r="F36" s="2" t="s">
        <v>133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13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134</v>
      </c>
    </row>
    <row r="37" customFormat="false" ht="12" hidden="false" customHeight="false" outlineLevel="0" collapsed="false">
      <c r="A37" s="27" t="n">
        <v>46246</v>
      </c>
      <c r="B37" s="2" t="s">
        <v>202</v>
      </c>
      <c r="E37" s="2" t="s">
        <v>203</v>
      </c>
      <c r="F37" s="2" t="s">
        <v>204</v>
      </c>
      <c r="G37" s="29" t="n">
        <v>350</v>
      </c>
      <c r="H37" s="6" t="n">
        <f aca="false">IF(G37&lt;&gt;0,G37*H$2/(100+H$2)," ")</f>
        <v>58.3333333333333</v>
      </c>
      <c r="I37" s="6" t="n">
        <f aca="false">IF((G37&lt;&gt;0),G37-H37," ")</f>
        <v>291.666666666667</v>
      </c>
      <c r="J37" s="5"/>
      <c r="M37" s="7" t="n">
        <f aca="false">IF(G37&lt;&gt;0,G37-L37," ")</f>
        <v>350</v>
      </c>
      <c r="N37" s="8" t="n">
        <f aca="false">IF((G37-L37)&lt;&gt;0,N$1-A37," ")</f>
        <v>32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n">
        <f aca="false">IF((F37="e"),I37," ")</f>
        <v>291.666666666667</v>
      </c>
      <c r="BZ37" s="2" t="s">
        <v>205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160</v>
      </c>
      <c r="E1" s="13" t="s">
        <v>3</v>
      </c>
      <c r="F1" s="14"/>
      <c r="G1" s="13" t="n">
        <f aca="false">SUM(G2:G300)</f>
        <v>13375</v>
      </c>
      <c r="H1" s="13" t="n">
        <f aca="false">SUM(H5:H200)</f>
        <v>2217.16666666667</v>
      </c>
      <c r="I1" s="13" t="n">
        <f aca="false">SUM(I2:I200)</f>
        <v>11157.8333333333</v>
      </c>
      <c r="J1" s="15"/>
      <c r="K1" s="16" t="s">
        <v>4</v>
      </c>
      <c r="L1" s="17" t="n">
        <f aca="false">SUM(L5:L300)</f>
        <v>0</v>
      </c>
      <c r="M1" s="17" t="n">
        <f aca="false">SUM(M5:M200)</f>
        <v>13303</v>
      </c>
      <c r="N1" s="18" t="n">
        <f aca="true">TODAY()</f>
        <v>46278</v>
      </c>
      <c r="O1" s="15"/>
      <c r="P1" s="13" t="n">
        <f aca="false">SUM(P5:P300)</f>
        <v>200</v>
      </c>
      <c r="Q1" s="13" t="n">
        <f aca="false">SUM(Q5:Q300)</f>
        <v>0</v>
      </c>
      <c r="R1" s="13" t="n">
        <f aca="false">SUM(R5:R300)</f>
        <v>507.5</v>
      </c>
      <c r="S1" s="13" t="n">
        <f aca="false">SUM(S5:S300)</f>
        <v>0</v>
      </c>
      <c r="T1" s="13" t="n">
        <f aca="false">SUM(T5:T300)</f>
        <v>1250</v>
      </c>
      <c r="U1" s="13" t="n">
        <f aca="false">SUM(U5:U300)</f>
        <v>0</v>
      </c>
      <c r="V1" s="13" t="n">
        <f aca="false">SUM(V5:V300)</f>
        <v>202.5</v>
      </c>
      <c r="W1" s="13" t="n">
        <f aca="false">SUM(W2:W300)</f>
        <v>602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1223.33333333333</v>
      </c>
      <c r="AA1" s="13" t="n">
        <f aca="false">SUM(AA5:AA300)</f>
        <v>95.8333333333333</v>
      </c>
      <c r="AB1" s="13" t="n">
        <f aca="false">SUM(AB5:AB300)</f>
        <v>7000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G2+Aug!A2</f>
        <v>312.75</v>
      </c>
      <c r="B2" s="44" t="s">
        <v>22</v>
      </c>
      <c r="C2" s="43" t="n">
        <f aca="false">Aug!C2+D1+[1]Sep!$D$1</f>
        <v>695</v>
      </c>
      <c r="D2" s="45" t="s">
        <v>23</v>
      </c>
      <c r="E2" s="20" t="s">
        <v>5</v>
      </c>
      <c r="F2" s="44" t="str">
        <f aca="false">Aug!F2</f>
        <v>v</v>
      </c>
      <c r="G2" s="46" t="n">
        <f aca="false">IF(C2&lt;[2]Admin!$F$22,(C2-Aug!C2)*[2]Admin!$G$21,C2*[2]Admin!$G$21-(C2-[2]Admin!$F$21)*([2]Admin!$G$21-[2]Admin!$G$22)-Aug!A2)</f>
        <v>72</v>
      </c>
      <c r="H2" s="21" t="n">
        <f aca="false">IF([1]Sep!$H$4&gt;0,0,[1]Sep!$H$2)</f>
        <v>20</v>
      </c>
      <c r="I2" s="47" t="n">
        <f aca="false">G2</f>
        <v>72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72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AB1+Aug!AB2</f>
        <v>22500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46266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12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46266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46266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46266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46266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12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46266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12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46268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10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46268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10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46270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46270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46273</v>
      </c>
      <c r="B15" s="2" t="s">
        <v>93</v>
      </c>
      <c r="E15" s="2" t="s">
        <v>94</v>
      </c>
      <c r="F15" s="2" t="s">
        <v>95</v>
      </c>
      <c r="G15" s="29" t="n">
        <v>48</v>
      </c>
      <c r="H15" s="6" t="n">
        <f aca="false">IF(G15&lt;&gt;0,G15*H$2/(100+H$2)," ")</f>
        <v>8</v>
      </c>
      <c r="I15" s="6" t="n">
        <f aca="false">IF((G15&lt;&gt;0),G15-H15," ")</f>
        <v>40</v>
      </c>
      <c r="J15" s="5"/>
      <c r="M15" s="7" t="n">
        <f aca="false">IF(G15&lt;&gt;0,G15-L15," ")</f>
        <v>48</v>
      </c>
      <c r="N15" s="8" t="n">
        <f aca="false">IF((G15-L15)&lt;&gt;0,N$1-A15," ")</f>
        <v>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96</v>
      </c>
    </row>
    <row r="16" customFormat="false" ht="12" hidden="false" customHeight="false" outlineLevel="0" collapsed="false">
      <c r="A16" s="27" t="n">
        <v>46273</v>
      </c>
      <c r="B16" s="2" t="s">
        <v>137</v>
      </c>
      <c r="E16" s="2" t="s">
        <v>138</v>
      </c>
      <c r="F16" s="2" t="s">
        <v>71</v>
      </c>
      <c r="G16" s="29" t="n">
        <v>360</v>
      </c>
      <c r="H16" s="6" t="n">
        <f aca="false">IF(G16&lt;&gt;0,G16*H$2/(100+H$2)," ")</f>
        <v>60</v>
      </c>
      <c r="I16" s="6" t="n">
        <f aca="false">IF((G16&lt;&gt;0),G16-H16," ")</f>
        <v>300</v>
      </c>
      <c r="J16" s="5"/>
      <c r="M16" s="7" t="n">
        <f aca="false">IF(G16&lt;&gt;0,G16-L16," ")</f>
        <v>360</v>
      </c>
      <c r="N16" s="8" t="n">
        <f aca="false">IF((G16-L16)&lt;&gt;0,N$1-A16," ")</f>
        <v>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139</v>
      </c>
    </row>
    <row r="17" customFormat="false" ht="12" hidden="false" customHeight="false" outlineLevel="0" collapsed="false">
      <c r="A17" s="27" t="n">
        <v>46275</v>
      </c>
      <c r="B17" s="2" t="s">
        <v>97</v>
      </c>
      <c r="E17" s="2" t="s">
        <v>98</v>
      </c>
      <c r="F17" s="2" t="s">
        <v>75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85</v>
      </c>
    </row>
    <row r="18" customFormat="false" ht="12" hidden="false" customHeight="false" outlineLevel="0" collapsed="false">
      <c r="A18" s="27" t="n">
        <v>46275</v>
      </c>
      <c r="B18" s="2" t="s">
        <v>114</v>
      </c>
      <c r="E18" s="2" t="s">
        <v>206</v>
      </c>
      <c r="F18" s="2" t="s">
        <v>65</v>
      </c>
      <c r="G18" s="29" t="n">
        <v>96</v>
      </c>
      <c r="H18" s="6" t="n">
        <f aca="false">IF(G18&lt;&gt;0,G18*H$2/(100+H$2)," ")</f>
        <v>16</v>
      </c>
      <c r="I18" s="6" t="n">
        <f aca="false">IF((G18&lt;&gt;0),G18-H18," ")</f>
        <v>80</v>
      </c>
      <c r="J18" s="5"/>
      <c r="M18" s="7" t="n">
        <f aca="false">IF(G18&lt;&gt;0,G18-L18," ")</f>
        <v>96</v>
      </c>
      <c r="N18" s="8" t="n">
        <f aca="false">IF((G18-L18)&lt;&gt;0,N$1-A18," ")</f>
        <v>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80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155</v>
      </c>
    </row>
    <row r="19" customFormat="false" ht="12" hidden="false" customHeight="false" outlineLevel="0" collapsed="false">
      <c r="A19" s="27" t="n">
        <v>46277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46279</v>
      </c>
      <c r="B20" s="2" t="s">
        <v>110</v>
      </c>
      <c r="E20" s="2" t="s">
        <v>111</v>
      </c>
      <c r="F20" s="2" t="s">
        <v>95</v>
      </c>
      <c r="G20" s="29" t="n">
        <v>24</v>
      </c>
      <c r="H20" s="6" t="n">
        <f aca="false">IF(G20&lt;&gt;0,G20*H$2/(100+H$2)," ")</f>
        <v>4</v>
      </c>
      <c r="I20" s="6" t="n">
        <f aca="false">IF((G20&lt;&gt;0),G20-H20," ")</f>
        <v>20</v>
      </c>
      <c r="J20" s="5"/>
      <c r="M20" s="7" t="n">
        <f aca="false">IF(G20&lt;&gt;0,G20-L20," ")</f>
        <v>24</v>
      </c>
      <c r="N20" s="8" t="n">
        <f aca="false">IF((G20-L20)&lt;&gt;0,N$1-A20," ")</f>
        <v>-1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20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96</v>
      </c>
    </row>
    <row r="21" customFormat="false" ht="12" hidden="false" customHeight="false" outlineLevel="0" collapsed="false">
      <c r="A21" s="27" t="n">
        <v>46279</v>
      </c>
      <c r="B21" s="2" t="s">
        <v>112</v>
      </c>
      <c r="E21" s="2" t="s">
        <v>113</v>
      </c>
      <c r="F21" s="2" t="s">
        <v>95</v>
      </c>
      <c r="G21" s="29" t="n">
        <v>12</v>
      </c>
      <c r="H21" s="6" t="n">
        <f aca="false">IF(G21&lt;&gt;0,G21*H$2/(100+H$2)," ")</f>
        <v>2</v>
      </c>
      <c r="I21" s="6" t="n">
        <f aca="false">IF((G21&lt;&gt;0),G21-H21," ")</f>
        <v>10</v>
      </c>
      <c r="J21" s="5"/>
      <c r="M21" s="7" t="n">
        <f aca="false">IF(G21&lt;&gt;0,G21-L21," ")</f>
        <v>12</v>
      </c>
      <c r="N21" s="8" t="n">
        <f aca="false">IF((G21-L21)&lt;&gt;0,N$1-A21," ")</f>
        <v>-1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10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46280</v>
      </c>
      <c r="B22" s="2" t="s">
        <v>19</v>
      </c>
      <c r="E22" s="2" t="s">
        <v>89</v>
      </c>
      <c r="F22" s="2" t="s">
        <v>24</v>
      </c>
      <c r="G22" s="29" t="n">
        <v>150</v>
      </c>
      <c r="H22" s="6" t="n">
        <f aca="false">IF(G22&lt;&gt;0,G22*H$2/(100+H$2)," ")</f>
        <v>25</v>
      </c>
      <c r="I22" s="6" t="n">
        <f aca="false">IF((G22&lt;&gt;0),G22-H22," ")</f>
        <v>125</v>
      </c>
      <c r="J22" s="5"/>
      <c r="M22" s="7" t="n">
        <f aca="false">IF(G22&lt;&gt;0,G22-L22," ")</f>
        <v>150</v>
      </c>
      <c r="N22" s="8" t="n">
        <f aca="false">IF((G22-L22)&lt;&gt;0,N$1-A22," ")</f>
        <v>-2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125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90</v>
      </c>
    </row>
    <row r="23" customFormat="false" ht="12" hidden="false" customHeight="false" outlineLevel="0" collapsed="false">
      <c r="A23" s="27" t="n">
        <v>46280</v>
      </c>
      <c r="B23" s="2" t="s">
        <v>114</v>
      </c>
      <c r="E23" s="2" t="s">
        <v>115</v>
      </c>
      <c r="F23" s="2" t="s">
        <v>65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-2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10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66</v>
      </c>
    </row>
    <row r="24" customFormat="false" ht="12" hidden="false" customHeight="false" outlineLevel="0" collapsed="false">
      <c r="A24" s="27" t="n">
        <v>46280</v>
      </c>
      <c r="B24" s="2" t="s">
        <v>207</v>
      </c>
      <c r="E24" s="2" t="s">
        <v>208</v>
      </c>
      <c r="F24" s="2" t="s">
        <v>133</v>
      </c>
      <c r="G24" s="29" t="n">
        <v>960</v>
      </c>
      <c r="H24" s="6" t="n">
        <f aca="false">IF(G24&lt;&gt;0,G24*H$2/(100+H$2)," ")</f>
        <v>160</v>
      </c>
      <c r="I24" s="6" t="n">
        <f aca="false">IF((G24&lt;&gt;0),G24-H24," ")</f>
        <v>800</v>
      </c>
      <c r="J24" s="5"/>
      <c r="M24" s="7" t="n">
        <f aca="false">IF(G24&lt;&gt;0,G24-L24," ")</f>
        <v>960</v>
      </c>
      <c r="N24" s="8" t="n">
        <f aca="false">IF((G24-L24)&lt;&gt;0,N$1-A24," ")</f>
        <v>-2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800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134</v>
      </c>
    </row>
    <row r="25" customFormat="false" ht="12" hidden="false" customHeight="false" outlineLevel="0" collapsed="false">
      <c r="A25" s="27" t="n">
        <v>46281</v>
      </c>
      <c r="B25" s="2" t="s">
        <v>151</v>
      </c>
      <c r="E25" s="2" t="s">
        <v>152</v>
      </c>
      <c r="F25" s="2" t="s">
        <v>65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-3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66</v>
      </c>
    </row>
    <row r="26" customFormat="false" ht="12" hidden="false" customHeight="false" outlineLevel="0" collapsed="false">
      <c r="A26" s="27" t="n">
        <v>46283</v>
      </c>
      <c r="B26" s="2" t="s">
        <v>170</v>
      </c>
      <c r="E26" s="2" t="s">
        <v>171</v>
      </c>
      <c r="F26" s="2" t="s">
        <v>104</v>
      </c>
      <c r="G26" s="29" t="n">
        <v>240</v>
      </c>
      <c r="H26" s="6" t="n">
        <f aca="false">IF(G26&lt;&gt;0,G26*H$2/(100+H$2)," ")</f>
        <v>40</v>
      </c>
      <c r="I26" s="6" t="n">
        <f aca="false">IF((G26&lt;&gt;0),G26-H26," ")</f>
        <v>200</v>
      </c>
      <c r="J26" s="5"/>
      <c r="M26" s="7" t="n">
        <f aca="false">IF(G26&lt;&gt;0,G26-L26," ")</f>
        <v>240</v>
      </c>
      <c r="N26" s="8" t="n">
        <f aca="false">IF((G26-L26)&lt;&gt;0,N$1-A26," ")</f>
        <v>-5</v>
      </c>
      <c r="O26" s="5"/>
      <c r="P26" s="19" t="n">
        <f aca="false">IF((F26="s"),I26," ")</f>
        <v>200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105</v>
      </c>
    </row>
    <row r="27" customFormat="false" ht="12" hidden="false" customHeight="false" outlineLevel="0" collapsed="false">
      <c r="A27" s="27" t="n">
        <v>46283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-5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46285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-7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46286</v>
      </c>
      <c r="B29" s="2" t="s">
        <v>123</v>
      </c>
      <c r="E29" s="2" t="s">
        <v>124</v>
      </c>
      <c r="F29" s="2" t="s">
        <v>95</v>
      </c>
      <c r="G29" s="29" t="n">
        <v>8</v>
      </c>
      <c r="H29" s="6" t="n">
        <f aca="false">IF(G29&lt;&gt;0,G29*H$2/(100+H$2)," ")</f>
        <v>1.33333333333333</v>
      </c>
      <c r="I29" s="6" t="n">
        <f aca="false">IF((G29&lt;&gt;0),G29-H29," ")</f>
        <v>6.66666666666667</v>
      </c>
      <c r="J29" s="5"/>
      <c r="M29" s="7" t="n">
        <f aca="false">IF(G29&lt;&gt;0,G29-L29," ")</f>
        <v>8</v>
      </c>
      <c r="N29" s="8" t="n">
        <f aca="false">IF((G29-L29)&lt;&gt;0,N$1-A29," ")</f>
        <v>-8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6.66666666666667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96</v>
      </c>
    </row>
    <row r="30" customFormat="false" ht="12" hidden="false" customHeight="false" outlineLevel="0" collapsed="false">
      <c r="A30" s="27" t="n">
        <v>46287</v>
      </c>
      <c r="B30" s="2" t="s">
        <v>125</v>
      </c>
      <c r="E30" s="2" t="s">
        <v>126</v>
      </c>
      <c r="F30" s="2" t="s">
        <v>75</v>
      </c>
      <c r="G30" s="29" t="n">
        <v>18</v>
      </c>
      <c r="H30" s="6" t="n">
        <f aca="false">IF(G30&lt;&gt;0,G30*H$2/(100+H$2)," ")</f>
        <v>3</v>
      </c>
      <c r="I30" s="6" t="n">
        <f aca="false">IF((G30&lt;&gt;0),G30-H30," ")</f>
        <v>15</v>
      </c>
      <c r="J30" s="5"/>
      <c r="M30" s="7" t="n">
        <f aca="false">IF(G30&lt;&gt;0,G30-L30," ")</f>
        <v>18</v>
      </c>
      <c r="N30" s="8" t="n">
        <f aca="false">IF((G30-L30)&lt;&gt;0,N$1-A30," ")</f>
        <v>-9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n">
        <f aca="false">IF((F30="y"),I30," ")</f>
        <v>15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85</v>
      </c>
    </row>
    <row r="31" customFormat="false" ht="12" hidden="false" customHeight="false" outlineLevel="0" collapsed="false">
      <c r="A31" s="27" t="n">
        <v>46287</v>
      </c>
      <c r="B31" s="2" t="s">
        <v>158</v>
      </c>
      <c r="E31" s="2" t="s">
        <v>159</v>
      </c>
      <c r="F31" s="2" t="s">
        <v>24</v>
      </c>
      <c r="G31" s="29" t="n">
        <v>72</v>
      </c>
      <c r="H31" s="6" t="n">
        <f aca="false">IF(G31&lt;&gt;0,G31*H$2/(100+H$2)," ")</f>
        <v>12</v>
      </c>
      <c r="I31" s="6" t="n">
        <f aca="false">IF((G31&lt;&gt;0),G31-H31," ")</f>
        <v>60</v>
      </c>
      <c r="J31" s="5"/>
      <c r="M31" s="7" t="n">
        <f aca="false">IF(G31&lt;&gt;0,G31-L31," ")</f>
        <v>72</v>
      </c>
      <c r="N31" s="8" t="n">
        <f aca="false">IF((G31-L31)&lt;&gt;0,N$1-A31," ")</f>
        <v>-9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n">
        <f aca="false">IF((F31="v"),I31," ")</f>
        <v>60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90</v>
      </c>
    </row>
    <row r="32" customFormat="false" ht="12" hidden="false" customHeight="false" outlineLevel="0" collapsed="false">
      <c r="A32" s="27" t="n">
        <v>46290</v>
      </c>
      <c r="B32" s="2" t="s">
        <v>172</v>
      </c>
      <c r="E32" s="2" t="s">
        <v>173</v>
      </c>
      <c r="F32" s="2" t="s">
        <v>61</v>
      </c>
      <c r="G32" s="29" t="n">
        <v>300</v>
      </c>
      <c r="H32" s="6" t="n">
        <f aca="false">IF(G32&lt;&gt;0,G32*H$2/(100+H$2)," ")</f>
        <v>50</v>
      </c>
      <c r="I32" s="6" t="n">
        <f aca="false">IF((G32&lt;&gt;0),G32-H32," ")</f>
        <v>250</v>
      </c>
      <c r="J32" s="5"/>
      <c r="M32" s="7" t="n">
        <f aca="false">IF(G32&lt;&gt;0,G32-L32," ")</f>
        <v>300</v>
      </c>
      <c r="N32" s="8" t="n">
        <f aca="false">IF((G32-L32)&lt;&gt;0,N$1-A32," ")</f>
        <v>-12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250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174</v>
      </c>
    </row>
    <row r="33" customFormat="false" ht="12" hidden="false" customHeight="false" outlineLevel="0" collapsed="false">
      <c r="A33" s="27" t="n">
        <v>46290</v>
      </c>
      <c r="B33" s="2" t="s">
        <v>127</v>
      </c>
      <c r="E33" s="2" t="s">
        <v>128</v>
      </c>
      <c r="F33" s="2" t="s">
        <v>75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-12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46290</v>
      </c>
      <c r="B34" s="2" t="s">
        <v>129</v>
      </c>
      <c r="D34" s="4" t="n">
        <v>160</v>
      </c>
      <c r="E34" s="2" t="s">
        <v>209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46293</v>
      </c>
      <c r="B35" s="2" t="s">
        <v>19</v>
      </c>
      <c r="E35" s="2" t="s">
        <v>131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-15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46295</v>
      </c>
      <c r="B36" s="2" t="s">
        <v>15</v>
      </c>
      <c r="E36" s="2" t="s">
        <v>132</v>
      </c>
      <c r="F36" s="2" t="s">
        <v>133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-17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134</v>
      </c>
    </row>
    <row r="37" customFormat="false" ht="12" hidden="false" customHeight="false" outlineLevel="0" collapsed="false">
      <c r="A37" s="27" t="n">
        <v>46295</v>
      </c>
      <c r="B37" s="2" t="s">
        <v>176</v>
      </c>
      <c r="C37" s="3" t="s">
        <v>210</v>
      </c>
      <c r="E37" s="2" t="s">
        <v>178</v>
      </c>
      <c r="F37" s="2" t="s">
        <v>133</v>
      </c>
      <c r="G37" s="29" t="n">
        <v>208</v>
      </c>
      <c r="H37" s="6" t="n">
        <f aca="false">IF(G37&lt;&gt;0,G37*H$2/(100+H$2)," ")</f>
        <v>34.6666666666667</v>
      </c>
      <c r="I37" s="6" t="n">
        <f aca="false">IF((G37&lt;&gt;0),G37-H37," ")</f>
        <v>173.333333333333</v>
      </c>
      <c r="J37" s="5"/>
      <c r="M37" s="7" t="n">
        <f aca="false">IF(G37&lt;&gt;0,G37-L37," ")</f>
        <v>208</v>
      </c>
      <c r="N37" s="8" t="n">
        <f aca="false">IF((G37-L37)&lt;&gt;0,N$1-A37," ")</f>
        <v>-17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173.333333333333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179</v>
      </c>
    </row>
    <row r="38" customFormat="false" ht="12" hidden="false" customHeight="false" outlineLevel="0" collapsed="false">
      <c r="A38" s="27" t="n">
        <v>46266</v>
      </c>
      <c r="B38" s="2" t="s">
        <v>180</v>
      </c>
      <c r="C38" s="3" t="s">
        <v>211</v>
      </c>
      <c r="E38" s="2" t="s">
        <v>212</v>
      </c>
      <c r="F38" s="2" t="s">
        <v>149</v>
      </c>
      <c r="G38" s="29" t="n">
        <v>8400</v>
      </c>
      <c r="H38" s="6" t="n">
        <f aca="false">IF(G38&lt;&gt;0,G38*H$2/(100+H$2)," ")</f>
        <v>1400</v>
      </c>
      <c r="I38" s="6" t="n">
        <f aca="false">IF((G38&lt;&gt;0),G38-H38," ")</f>
        <v>7000</v>
      </c>
      <c r="J38" s="5"/>
      <c r="M38" s="7" t="n">
        <f aca="false">IF(G38&lt;&gt;0,G38-L38," ")</f>
        <v>8400</v>
      </c>
      <c r="N38" s="8" t="n">
        <f aca="false">IF((G38-L38)&lt;&gt;0,N$1-A38," ")</f>
        <v>12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n">
        <f aca="false">IF((F38="fa"),I38," ")</f>
        <v>7000</v>
      </c>
      <c r="AC38" s="19" t="str">
        <f aca="false">IF((F38="e"),I38," ")</f>
        <v> </v>
      </c>
      <c r="BZ38" s="2" t="s">
        <v>150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95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7160.5</v>
      </c>
      <c r="I1" s="13" t="n">
        <f aca="false">SUM(I2:I200)</f>
        <v>35845.25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42963</v>
      </c>
      <c r="N1" s="18" t="n">
        <f aca="true">TODAY()</f>
        <v>46278</v>
      </c>
      <c r="O1" s="15"/>
      <c r="P1" s="13" t="n">
        <f aca="false">SUM(P5:P300)</f>
        <v>400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80</v>
      </c>
      <c r="V1" s="13" t="n">
        <f aca="false">SUM(V5:V300)</f>
        <v>262.5</v>
      </c>
      <c r="W1" s="13" t="n">
        <f aca="false">SUM(W2:W300)</f>
        <v>512.75</v>
      </c>
      <c r="X1" s="13" t="n">
        <f aca="false">SUM(X5:X300)</f>
        <v>176.666666666667</v>
      </c>
      <c r="Y1" s="13" t="n">
        <f aca="false">SUM(Y5:Y300)</f>
        <v>2500</v>
      </c>
      <c r="Z1" s="13" t="n">
        <f aca="false">SUM(Z5:Z300)</f>
        <v>250</v>
      </c>
      <c r="AA1" s="13" t="n">
        <f aca="false">SUM(AA5:AA300)</f>
        <v>425.833333333333</v>
      </c>
      <c r="AB1" s="13" t="n">
        <f aca="false">SUM(AB5:AB300)</f>
        <v>30000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G2+Sep!A2</f>
        <v>355.5</v>
      </c>
      <c r="B2" s="44" t="s">
        <v>22</v>
      </c>
      <c r="C2" s="43" t="n">
        <f aca="false">Sep!C2+D1+[1]Oct!$D$1</f>
        <v>790</v>
      </c>
      <c r="D2" s="45" t="s">
        <v>23</v>
      </c>
      <c r="E2" s="20" t="s">
        <v>5</v>
      </c>
      <c r="F2" s="44" t="str">
        <f aca="false">Sep!F2</f>
        <v>v</v>
      </c>
      <c r="G2" s="46" t="n">
        <f aca="false">IF(C2&lt;[2]Admin!$F$22,(C2-Sep!C2)*[2]Admin!$G$21,C2*[2]Admin!$G$21-(C2-[2]Admin!$F$21)*([2]Admin!$G$21-[2]Admin!$G$22)-Sep!A2)</f>
        <v>42.75</v>
      </c>
      <c r="H2" s="21" t="n">
        <f aca="false">IF([1]Oct!$H$4&gt;0,0,[1]Oct!$H$2)</f>
        <v>20</v>
      </c>
      <c r="I2" s="47" t="n">
        <f aca="false">G2</f>
        <v>42.75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42.75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AB1+Sep!AB2</f>
        <v>52500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46296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-18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46296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-18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46296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-18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46296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-18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46296</v>
      </c>
      <c r="B9" s="2" t="s">
        <v>213</v>
      </c>
      <c r="E9" s="2" t="s">
        <v>214</v>
      </c>
      <c r="F9" s="2" t="s">
        <v>75</v>
      </c>
      <c r="G9" s="29" t="n">
        <v>360</v>
      </c>
      <c r="H9" s="6" t="n">
        <f aca="false">IF(G9&lt;&gt;0,G9*H$2/(100+H$2)," ")</f>
        <v>60</v>
      </c>
      <c r="I9" s="6" t="n">
        <f aca="false">IF((G9&lt;&gt;0),G9-H9," ")</f>
        <v>300</v>
      </c>
      <c r="J9" s="5"/>
      <c r="M9" s="7" t="n">
        <f aca="false">IF(G9&lt;&gt;0,G9-L9," ")</f>
        <v>360</v>
      </c>
      <c r="N9" s="8" t="n">
        <f aca="false">IF((G9-L9)&lt;&gt;0,N$1-A9," ")</f>
        <v>-18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n">
        <f aca="false">IF((F9="y"),I9," ")</f>
        <v>300</v>
      </c>
      <c r="AB9" s="19" t="str">
        <f aca="false">IF((F9="fa"),I9," ")</f>
        <v> </v>
      </c>
      <c r="AC9" s="19" t="str">
        <f aca="false">IF((F9="e"),I9," ")</f>
        <v> </v>
      </c>
      <c r="BZ9" s="2" t="s">
        <v>76</v>
      </c>
    </row>
    <row r="10" customFormat="false" ht="12" hidden="false" customHeight="false" outlineLevel="0" collapsed="false">
      <c r="A10" s="27" t="n">
        <v>46296</v>
      </c>
      <c r="B10" s="2" t="s">
        <v>77</v>
      </c>
      <c r="E10" s="2" t="s">
        <v>78</v>
      </c>
      <c r="F10" s="2" t="s">
        <v>71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-18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72</v>
      </c>
    </row>
    <row r="11" customFormat="false" ht="12" hidden="false" customHeight="false" outlineLevel="0" collapsed="false">
      <c r="A11" s="27" t="n">
        <v>46296</v>
      </c>
      <c r="B11" s="2" t="s">
        <v>79</v>
      </c>
      <c r="E11" s="2" t="s">
        <v>80</v>
      </c>
      <c r="F11" s="2" t="s">
        <v>65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-18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66</v>
      </c>
    </row>
    <row r="12" customFormat="false" ht="12" hidden="false" customHeight="false" outlineLevel="0" collapsed="false">
      <c r="A12" s="27" t="n">
        <v>46298</v>
      </c>
      <c r="B12" s="2" t="s">
        <v>81</v>
      </c>
      <c r="E12" s="2" t="s">
        <v>82</v>
      </c>
      <c r="F12" s="2" t="s">
        <v>71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-20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72</v>
      </c>
    </row>
    <row r="13" customFormat="false" ht="12" hidden="false" customHeight="false" outlineLevel="0" collapsed="false">
      <c r="A13" s="27" t="n">
        <v>46298</v>
      </c>
      <c r="B13" s="2" t="s">
        <v>83</v>
      </c>
      <c r="E13" s="2" t="s">
        <v>84</v>
      </c>
      <c r="F13" s="2" t="s">
        <v>75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-20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46300</v>
      </c>
      <c r="B14" s="2" t="s">
        <v>86</v>
      </c>
      <c r="E14" s="2" t="s">
        <v>87</v>
      </c>
      <c r="F14" s="2" t="s">
        <v>75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-22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85</v>
      </c>
    </row>
    <row r="15" customFormat="false" ht="12" hidden="false" customHeight="false" outlineLevel="0" collapsed="false">
      <c r="A15" s="27" t="n">
        <v>46300</v>
      </c>
      <c r="B15" s="2" t="s">
        <v>88</v>
      </c>
      <c r="E15" s="2" t="s">
        <v>89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-22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90</v>
      </c>
    </row>
    <row r="16" customFormat="false" ht="12" hidden="false" customHeight="false" outlineLevel="0" collapsed="false">
      <c r="A16" s="27" t="n">
        <v>46300</v>
      </c>
      <c r="B16" s="2" t="s">
        <v>91</v>
      </c>
      <c r="E16" s="2" t="s">
        <v>92</v>
      </c>
      <c r="F16" s="2" t="s">
        <v>71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-22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72</v>
      </c>
    </row>
    <row r="17" customFormat="false" ht="12" hidden="false" customHeight="false" outlineLevel="0" collapsed="false">
      <c r="A17" s="27" t="n">
        <v>46303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-25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46305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-27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46305</v>
      </c>
      <c r="B19" s="2" t="s">
        <v>99</v>
      </c>
      <c r="E19" s="2" t="s">
        <v>100</v>
      </c>
      <c r="F19" s="2" t="s">
        <v>65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-27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101</v>
      </c>
    </row>
    <row r="20" customFormat="false" ht="12" hidden="false" customHeight="false" outlineLevel="0" collapsed="false">
      <c r="A20" s="27" t="n">
        <v>46305</v>
      </c>
      <c r="B20" s="2" t="s">
        <v>102</v>
      </c>
      <c r="E20" s="2" t="s">
        <v>103</v>
      </c>
      <c r="F20" s="2" t="s">
        <v>104</v>
      </c>
      <c r="G20" s="29" t="n">
        <v>480</v>
      </c>
      <c r="H20" s="6" t="n">
        <f aca="false">IF(G20&lt;&gt;0,G20*H$2/(100+H$2)," ")</f>
        <v>80</v>
      </c>
      <c r="I20" s="6" t="n">
        <f aca="false">IF((G20&lt;&gt;0),G20-H20," ")</f>
        <v>400</v>
      </c>
      <c r="J20" s="5"/>
      <c r="M20" s="7" t="n">
        <f aca="false">IF(G20&lt;&gt;0,G20-L20," ")</f>
        <v>480</v>
      </c>
      <c r="N20" s="8" t="n">
        <f aca="false">IF((G20-L20)&lt;&gt;0,N$1-A20," ")</f>
        <v>-27</v>
      </c>
      <c r="O20" s="5"/>
      <c r="P20" s="19" t="n">
        <f aca="false">IF((F20="s"),I20," ")</f>
        <v>400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105</v>
      </c>
    </row>
    <row r="21" customFormat="false" ht="12" hidden="false" customHeight="false" outlineLevel="0" collapsed="false">
      <c r="A21" s="27" t="n">
        <v>46305</v>
      </c>
      <c r="B21" s="2" t="s">
        <v>140</v>
      </c>
      <c r="E21" s="2" t="s">
        <v>215</v>
      </c>
      <c r="F21" s="2" t="s">
        <v>142</v>
      </c>
      <c r="G21" s="29" t="n">
        <v>1800</v>
      </c>
      <c r="H21" s="6" t="n">
        <f aca="false">IF(G21&lt;&gt;0,G21*H$2/(100+H$2)," ")</f>
        <v>300</v>
      </c>
      <c r="I21" s="6" t="n">
        <f aca="false">IF((G21&lt;&gt;0),G21-H21," ")</f>
        <v>1500</v>
      </c>
      <c r="J21" s="5"/>
      <c r="M21" s="7" t="n">
        <f aca="false">IF(G21&lt;&gt;0,G21-L21," ")</f>
        <v>1800</v>
      </c>
      <c r="N21" s="8" t="n">
        <f aca="false">IF((G21-L21)&lt;&gt;0,N$1-A21," ")</f>
        <v>-27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1500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143</v>
      </c>
    </row>
    <row r="22" customFormat="false" ht="12" hidden="false" customHeight="false" outlineLevel="0" collapsed="false">
      <c r="A22" s="27" t="n">
        <v>46307</v>
      </c>
      <c r="B22" s="2" t="s">
        <v>106</v>
      </c>
      <c r="E22" s="2" t="s">
        <v>107</v>
      </c>
      <c r="F22" s="2" t="s">
        <v>24</v>
      </c>
      <c r="G22" s="29" t="n">
        <v>18</v>
      </c>
      <c r="H22" s="6" t="n">
        <f aca="false">IF(G22&lt;&gt;0,G22*H$2/(100+H$2)," ")</f>
        <v>3</v>
      </c>
      <c r="I22" s="6" t="n">
        <f aca="false">IF((G22&lt;&gt;0),G22-H22," ")</f>
        <v>15</v>
      </c>
      <c r="J22" s="5"/>
      <c r="M22" s="7" t="n">
        <f aca="false">IF(G22&lt;&gt;0,G22-L22," ")</f>
        <v>18</v>
      </c>
      <c r="N22" s="8" t="n">
        <f aca="false">IF((G22-L22)&lt;&gt;0,N$1-A22," ")</f>
        <v>-29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15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90</v>
      </c>
    </row>
    <row r="23" customFormat="false" ht="12" hidden="false" customHeight="false" outlineLevel="0" collapsed="false">
      <c r="A23" s="27" t="n">
        <v>46309</v>
      </c>
      <c r="B23" s="2" t="s">
        <v>108</v>
      </c>
      <c r="E23" s="2" t="s">
        <v>109</v>
      </c>
      <c r="F23" s="2" t="s">
        <v>75</v>
      </c>
      <c r="G23" s="29" t="n">
        <v>36</v>
      </c>
      <c r="H23" s="6" t="n">
        <f aca="false">IF(G23&lt;&gt;0,G23*H$2/(100+H$2)," ")</f>
        <v>6</v>
      </c>
      <c r="I23" s="6" t="n">
        <f aca="false">IF((G23&lt;&gt;0),G23-H23," ")</f>
        <v>30</v>
      </c>
      <c r="J23" s="5"/>
      <c r="M23" s="7" t="n">
        <f aca="false">IF(G23&lt;&gt;0,G23-L23," ")</f>
        <v>36</v>
      </c>
      <c r="N23" s="8" t="n">
        <f aca="false">IF((G23-L23)&lt;&gt;0,N$1-A23," ")</f>
        <v>-31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n">
        <f aca="false">IF((F23="y"),I23," ")</f>
        <v>30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85</v>
      </c>
    </row>
    <row r="24" customFormat="false" ht="12" hidden="false" customHeight="false" outlineLevel="0" collapsed="false">
      <c r="A24" s="27" t="n">
        <v>46309</v>
      </c>
      <c r="B24" s="2" t="s">
        <v>110</v>
      </c>
      <c r="E24" s="2" t="s">
        <v>111</v>
      </c>
      <c r="F24" s="2" t="s">
        <v>95</v>
      </c>
      <c r="G24" s="29" t="n">
        <v>24</v>
      </c>
      <c r="H24" s="6" t="n">
        <f aca="false">IF(G24&lt;&gt;0,G24*H$2/(100+H$2)," ")</f>
        <v>4</v>
      </c>
      <c r="I24" s="6" t="n">
        <f aca="false">IF((G24&lt;&gt;0),G24-H24," ")</f>
        <v>20</v>
      </c>
      <c r="J24" s="5"/>
      <c r="M24" s="7" t="n">
        <f aca="false">IF(G24&lt;&gt;0,G24-L24," ")</f>
        <v>24</v>
      </c>
      <c r="N24" s="8" t="n">
        <f aca="false">IF((G24-L24)&lt;&gt;0,N$1-A24," ")</f>
        <v>-31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20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96</v>
      </c>
    </row>
    <row r="25" customFormat="false" ht="12" hidden="false" customHeight="false" outlineLevel="0" collapsed="false">
      <c r="A25" s="27" t="n">
        <v>46309</v>
      </c>
      <c r="B25" s="2" t="s">
        <v>112</v>
      </c>
      <c r="E25" s="2" t="s">
        <v>113</v>
      </c>
      <c r="F25" s="2" t="s">
        <v>95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-31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n">
        <f aca="false">IF((F25="h"),I25," ")</f>
        <v>10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96</v>
      </c>
    </row>
    <row r="26" customFormat="false" ht="12" hidden="false" customHeight="false" outlineLevel="0" collapsed="false">
      <c r="A26" s="27" t="n">
        <v>46310</v>
      </c>
      <c r="B26" s="2" t="s">
        <v>19</v>
      </c>
      <c r="E26" s="2" t="s">
        <v>89</v>
      </c>
      <c r="F26" s="2" t="s">
        <v>24</v>
      </c>
      <c r="G26" s="29" t="n">
        <v>150</v>
      </c>
      <c r="H26" s="6" t="n">
        <f aca="false">IF(G26&lt;&gt;0,G26*H$2/(100+H$2)," ")</f>
        <v>25</v>
      </c>
      <c r="I26" s="6" t="n">
        <f aca="false">IF((G26&lt;&gt;0),G26-H26," ")</f>
        <v>125</v>
      </c>
      <c r="J26" s="5"/>
      <c r="M26" s="7" t="n">
        <f aca="false">IF(G26&lt;&gt;0,G26-L26," ")</f>
        <v>150</v>
      </c>
      <c r="N26" s="8" t="n">
        <f aca="false">IF((G26-L26)&lt;&gt;0,N$1-A26," ")</f>
        <v>-32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125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90</v>
      </c>
    </row>
    <row r="27" customFormat="false" ht="12" hidden="false" customHeight="false" outlineLevel="0" collapsed="false">
      <c r="A27" s="27" t="n">
        <v>46310</v>
      </c>
      <c r="B27" s="2" t="s">
        <v>114</v>
      </c>
      <c r="E27" s="2" t="s">
        <v>115</v>
      </c>
      <c r="F27" s="2" t="s">
        <v>65</v>
      </c>
      <c r="G27" s="29" t="n">
        <v>12</v>
      </c>
      <c r="H27" s="6" t="n">
        <f aca="false">IF(G27&lt;&gt;0,G27*H$2/(100+H$2)," ")</f>
        <v>2</v>
      </c>
      <c r="I27" s="6" t="n">
        <f aca="false">IF((G27&lt;&gt;0),G27-H27," ")</f>
        <v>10</v>
      </c>
      <c r="J27" s="5"/>
      <c r="M27" s="7" t="n">
        <f aca="false">IF(G27&lt;&gt;0,G27-L27," ")</f>
        <v>12</v>
      </c>
      <c r="N27" s="8" t="n">
        <f aca="false">IF((G27-L27)&lt;&gt;0,N$1-A27," ")</f>
        <v>-32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10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66</v>
      </c>
    </row>
    <row r="28" customFormat="false" ht="12" hidden="false" customHeight="false" outlineLevel="0" collapsed="false">
      <c r="A28" s="27" t="n">
        <v>46310</v>
      </c>
      <c r="B28" s="2" t="s">
        <v>216</v>
      </c>
      <c r="E28" s="2" t="s">
        <v>217</v>
      </c>
      <c r="F28" s="2" t="s">
        <v>142</v>
      </c>
      <c r="G28" s="29" t="n">
        <v>1200</v>
      </c>
      <c r="H28" s="6" t="n">
        <f aca="false">IF(G28&lt;&gt;0,G28*H$2/(100+H$2)," ")</f>
        <v>200</v>
      </c>
      <c r="I28" s="6" t="n">
        <f aca="false">IF((G28&lt;&gt;0),G28-H28," ")</f>
        <v>1000</v>
      </c>
      <c r="J28" s="5"/>
      <c r="M28" s="7" t="n">
        <f aca="false">IF(G28&lt;&gt;0,G28-L28," ")</f>
        <v>1200</v>
      </c>
      <c r="N28" s="8" t="n">
        <f aca="false">IF((G28-L28)&lt;&gt;0,N$1-A28," ")</f>
        <v>-32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1000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143</v>
      </c>
    </row>
    <row r="29" customFormat="false" ht="12" hidden="false" customHeight="false" outlineLevel="0" collapsed="false">
      <c r="A29" s="27" t="n">
        <v>46313</v>
      </c>
      <c r="B29" s="2" t="s">
        <v>168</v>
      </c>
      <c r="E29" s="2" t="s">
        <v>218</v>
      </c>
      <c r="F29" s="2" t="s">
        <v>95</v>
      </c>
      <c r="G29" s="29" t="n">
        <v>120</v>
      </c>
      <c r="H29" s="6" t="n">
        <f aca="false">IF(G29&lt;&gt;0,G29*H$2/(100+H$2)," ")</f>
        <v>20</v>
      </c>
      <c r="I29" s="6" t="n">
        <f aca="false">IF((G29&lt;&gt;0),G29-H29," ")</f>
        <v>100</v>
      </c>
      <c r="J29" s="5"/>
      <c r="M29" s="7" t="n">
        <f aca="false">IF(G29&lt;&gt;0,G29-L29," ")</f>
        <v>120</v>
      </c>
      <c r="N29" s="8" t="n">
        <f aca="false">IF((G29-L29)&lt;&gt;0,N$1-A29," ")</f>
        <v>-35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100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96</v>
      </c>
    </row>
    <row r="30" customFormat="false" ht="12" hidden="false" customHeight="false" outlineLevel="0" collapsed="false">
      <c r="A30" s="27" t="n">
        <v>46313</v>
      </c>
      <c r="B30" s="2" t="s">
        <v>116</v>
      </c>
      <c r="E30" s="2" t="s">
        <v>89</v>
      </c>
      <c r="F30" s="2" t="s">
        <v>24</v>
      </c>
      <c r="G30" s="29" t="n">
        <v>96</v>
      </c>
      <c r="H30" s="6" t="n">
        <f aca="false">IF(G30&lt;&gt;0,G30*H$2/(100+H$2)," ")</f>
        <v>16</v>
      </c>
      <c r="I30" s="6" t="n">
        <f aca="false">IF((G30&lt;&gt;0),G30-H30," ")</f>
        <v>80</v>
      </c>
      <c r="J30" s="5"/>
      <c r="M30" s="7" t="n">
        <f aca="false">IF(G30&lt;&gt;0,G30-L30," ")</f>
        <v>96</v>
      </c>
      <c r="N30" s="8" t="n">
        <f aca="false">IF((G30-L30)&lt;&gt;0,N$1-A30," ")</f>
        <v>-35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n">
        <f aca="false">IF((F30="v"),I30," ")</f>
        <v>80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90</v>
      </c>
    </row>
    <row r="31" customFormat="false" ht="12" hidden="false" customHeight="false" outlineLevel="0" collapsed="false">
      <c r="A31" s="27" t="n">
        <v>46315</v>
      </c>
      <c r="B31" s="2" t="s">
        <v>117</v>
      </c>
      <c r="E31" s="2" t="s">
        <v>118</v>
      </c>
      <c r="F31" s="2" t="s">
        <v>65</v>
      </c>
      <c r="G31" s="29" t="n">
        <v>60</v>
      </c>
      <c r="H31" s="6" t="n">
        <f aca="false">IF(G31&lt;&gt;0,G31*H$2/(100+H$2)," ")</f>
        <v>10</v>
      </c>
      <c r="I31" s="6" t="n">
        <f aca="false">IF((G31&lt;&gt;0),G31-H31," ")</f>
        <v>50</v>
      </c>
      <c r="J31" s="5"/>
      <c r="M31" s="7" t="n">
        <f aca="false">IF(G31&lt;&gt;0,G31-L31," ")</f>
        <v>60</v>
      </c>
      <c r="N31" s="8" t="n">
        <f aca="false">IF((G31-L31)&lt;&gt;0,N$1-A31," ")</f>
        <v>-37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50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66</v>
      </c>
    </row>
    <row r="32" customFormat="false" ht="12" hidden="false" customHeight="false" outlineLevel="0" collapsed="false">
      <c r="A32" s="27" t="n">
        <v>46315</v>
      </c>
      <c r="B32" s="2" t="s">
        <v>119</v>
      </c>
      <c r="E32" s="2" t="s">
        <v>120</v>
      </c>
      <c r="F32" s="2" t="s">
        <v>121</v>
      </c>
      <c r="G32" s="29" t="n">
        <v>96</v>
      </c>
      <c r="H32" s="6" t="n">
        <f aca="false">IF(G32&lt;&gt;0,G32*H$2/(100+H$2)," ")</f>
        <v>16</v>
      </c>
      <c r="I32" s="6" t="n">
        <f aca="false">IF((G32&lt;&gt;0),G32-H32," ")</f>
        <v>80</v>
      </c>
      <c r="J32" s="5"/>
      <c r="M32" s="7" t="n">
        <f aca="false">IF(G32&lt;&gt;0,G32-L32," ")</f>
        <v>96</v>
      </c>
      <c r="N32" s="8" t="n">
        <f aca="false">IF((G32-L32)&lt;&gt;0,N$1-A32," ")</f>
        <v>-37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80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122</v>
      </c>
    </row>
    <row r="33" customFormat="false" ht="12" hidden="false" customHeight="false" outlineLevel="0" collapsed="false">
      <c r="A33" s="27" t="n">
        <v>46316</v>
      </c>
      <c r="B33" s="2" t="s">
        <v>123</v>
      </c>
      <c r="E33" s="2" t="s">
        <v>124</v>
      </c>
      <c r="F33" s="2" t="s">
        <v>95</v>
      </c>
      <c r="G33" s="29" t="n">
        <v>8</v>
      </c>
      <c r="H33" s="6" t="n">
        <f aca="false">IF(G33&lt;&gt;0,G33*H$2/(100+H$2)," ")</f>
        <v>1.33333333333333</v>
      </c>
      <c r="I33" s="6" t="n">
        <f aca="false">IF((G33&lt;&gt;0),G33-H33," ")</f>
        <v>6.66666666666667</v>
      </c>
      <c r="J33" s="5"/>
      <c r="M33" s="7" t="n">
        <f aca="false">IF(G33&lt;&gt;0,G33-L33," ")</f>
        <v>8</v>
      </c>
      <c r="N33" s="8" t="n">
        <f aca="false">IF((G33-L33)&lt;&gt;0,N$1-A33," ")</f>
        <v>-38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6.66666666666667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96</v>
      </c>
    </row>
    <row r="34" customFormat="false" ht="12" hidden="false" customHeight="false" outlineLevel="0" collapsed="false">
      <c r="A34" s="27" t="n">
        <v>46317</v>
      </c>
      <c r="B34" s="2" t="s">
        <v>125</v>
      </c>
      <c r="E34" s="2" t="s">
        <v>126</v>
      </c>
      <c r="F34" s="2" t="s">
        <v>75</v>
      </c>
      <c r="G34" s="29" t="n">
        <v>18</v>
      </c>
      <c r="H34" s="6" t="n">
        <f aca="false">IF(G34&lt;&gt;0,G34*H$2/(100+H$2)," ")</f>
        <v>3</v>
      </c>
      <c r="I34" s="6" t="n">
        <f aca="false">IF((G34&lt;&gt;0),G34-H34," ")</f>
        <v>15</v>
      </c>
      <c r="J34" s="5"/>
      <c r="M34" s="7" t="n">
        <f aca="false">IF(G34&lt;&gt;0,G34-L34," ")</f>
        <v>18</v>
      </c>
      <c r="N34" s="8" t="n">
        <f aca="false">IF((G34-L34)&lt;&gt;0,N$1-A34," ")</f>
        <v>-39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15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85</v>
      </c>
    </row>
    <row r="35" customFormat="false" ht="12" hidden="false" customHeight="false" outlineLevel="0" collapsed="false">
      <c r="A35" s="27" t="n">
        <v>46320</v>
      </c>
      <c r="B35" s="2" t="s">
        <v>127</v>
      </c>
      <c r="E35" s="2" t="s">
        <v>128</v>
      </c>
      <c r="F35" s="2" t="s">
        <v>75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-42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85</v>
      </c>
    </row>
    <row r="36" customFormat="false" ht="12" hidden="false" customHeight="false" outlineLevel="0" collapsed="false">
      <c r="A36" s="27" t="n">
        <v>46320</v>
      </c>
      <c r="B36" s="2" t="s">
        <v>129</v>
      </c>
      <c r="D36" s="4" t="n">
        <v>95</v>
      </c>
      <c r="E36" s="2" t="s">
        <v>219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90</v>
      </c>
    </row>
    <row r="37" customFormat="false" ht="12" hidden="false" customHeight="false" outlineLevel="0" collapsed="false">
      <c r="A37" s="27" t="n">
        <v>46320</v>
      </c>
      <c r="B37" s="2" t="s">
        <v>220</v>
      </c>
      <c r="C37" s="3" t="s">
        <v>221</v>
      </c>
      <c r="E37" s="2" t="s">
        <v>222</v>
      </c>
      <c r="F37" s="2" t="s">
        <v>149</v>
      </c>
      <c r="G37" s="29" t="n">
        <v>36000</v>
      </c>
      <c r="H37" s="6" t="n">
        <f aca="false">IF(G37&lt;&gt;0,G37*H$2/(100+H$2)," ")</f>
        <v>6000</v>
      </c>
      <c r="I37" s="6" t="n">
        <f aca="false">IF((G37&lt;&gt;0),G37-H37," ")</f>
        <v>30000</v>
      </c>
      <c r="J37" s="5"/>
      <c r="M37" s="7" t="n">
        <f aca="false">IF(G37&lt;&gt;0,G37-L37," ")</f>
        <v>36000</v>
      </c>
      <c r="N37" s="8" t="n">
        <f aca="false">IF((G37-L37)&lt;&gt;0,N$1-A37," ")</f>
        <v>-42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30000</v>
      </c>
      <c r="AC37" s="19" t="str">
        <f aca="false">IF((F37="e"),I37," ")</f>
        <v> </v>
      </c>
      <c r="BZ37" s="2" t="s">
        <v>150</v>
      </c>
    </row>
    <row r="38" customFormat="false" ht="12" hidden="false" customHeight="false" outlineLevel="0" collapsed="false">
      <c r="A38" s="27" t="n">
        <v>46323</v>
      </c>
      <c r="B38" s="2" t="s">
        <v>19</v>
      </c>
      <c r="E38" s="2" t="s">
        <v>131</v>
      </c>
      <c r="F38" s="2" t="s">
        <v>24</v>
      </c>
      <c r="G38" s="29" t="n">
        <v>120</v>
      </c>
      <c r="H38" s="6" t="n">
        <f aca="false">IF(G38&lt;&gt;0,G38*H$2/(100+H$2)," ")</f>
        <v>20</v>
      </c>
      <c r="I38" s="6" t="n">
        <f aca="false">IF((G38&lt;&gt;0),G38-H38," ")</f>
        <v>100</v>
      </c>
      <c r="J38" s="5"/>
      <c r="M38" s="7" t="n">
        <f aca="false">IF(G38&lt;&gt;0,G38-L38," ")</f>
        <v>120</v>
      </c>
      <c r="N38" s="8" t="n">
        <f aca="false">IF((G38-L38)&lt;&gt;0,N$1-A38," ")</f>
        <v>-45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n">
        <f aca="false">IF((F38="v"),I38," ")</f>
        <v>100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  <c r="BZ38" s="2" t="s">
        <v>90</v>
      </c>
    </row>
    <row r="39" customFormat="false" ht="12" hidden="false" customHeight="false" outlineLevel="0" collapsed="false">
      <c r="A39" s="27" t="n">
        <v>46326</v>
      </c>
      <c r="B39" s="2" t="s">
        <v>15</v>
      </c>
      <c r="E39" s="2" t="s">
        <v>132</v>
      </c>
      <c r="F39" s="2" t="s">
        <v>133</v>
      </c>
      <c r="G39" s="29" t="n">
        <v>300</v>
      </c>
      <c r="H39" s="6" t="n">
        <f aca="false">IF(G39&lt;&gt;0,G39*H$2/(100+H$2)," ")</f>
        <v>50</v>
      </c>
      <c r="I39" s="6" t="n">
        <f aca="false">IF((G39&lt;&gt;0),G39-H39," ")</f>
        <v>250</v>
      </c>
      <c r="J39" s="5"/>
      <c r="M39" s="7" t="n">
        <f aca="false">IF(G39&lt;&gt;0,G39-L39," ")</f>
        <v>300</v>
      </c>
      <c r="N39" s="8" t="n">
        <f aca="false">IF((G39-L39)&lt;&gt;0,N$1-A39," ")</f>
        <v>-48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250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  <c r="BZ39" s="2" t="s">
        <v>134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180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1139.5</v>
      </c>
      <c r="I1" s="13" t="n">
        <f aca="false">SUM(I2:I200)</f>
        <v>5778.5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6837</v>
      </c>
      <c r="N1" s="18" t="n">
        <f aca="true">TODAY()</f>
        <v>46278</v>
      </c>
      <c r="O1" s="15"/>
      <c r="P1" s="13" t="n">
        <f aca="false">SUM(P5:P300)</f>
        <v>700</v>
      </c>
      <c r="Q1" s="13" t="n">
        <f aca="false">SUM(Q5:Q300)</f>
        <v>2500</v>
      </c>
      <c r="R1" s="13" t="n">
        <f aca="false">SUM(R5:R300)</f>
        <v>207.5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0</v>
      </c>
      <c r="V1" s="13" t="n">
        <f aca="false">SUM(V5:V300)</f>
        <v>337.5</v>
      </c>
      <c r="W1" s="13" t="n">
        <f aca="false">SUM(W2:W300)</f>
        <v>551</v>
      </c>
      <c r="X1" s="13" t="n">
        <f aca="false">SUM(X5:X300)</f>
        <v>136.666666666667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600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G2+Oct!A2</f>
        <v>436.5</v>
      </c>
      <c r="B2" s="44" t="s">
        <v>22</v>
      </c>
      <c r="C2" s="43" t="n">
        <f aca="false">Oct!C2+D1+[1]Nov!$D$1</f>
        <v>970</v>
      </c>
      <c r="D2" s="45" t="s">
        <v>23</v>
      </c>
      <c r="E2" s="20" t="s">
        <v>5</v>
      </c>
      <c r="F2" s="44" t="str">
        <f aca="false">Oct!F2</f>
        <v>v</v>
      </c>
      <c r="G2" s="46" t="n">
        <f aca="false">IF(C2&lt;[2]Admin!$F$22,(C2-Oct!C2)*[2]Admin!$G$21,C2*[2]Admin!$G$21-(C2-[2]Admin!$F$21)*([2]Admin!$G$21-[2]Admin!$G$22)-Oct!A2)</f>
        <v>81</v>
      </c>
      <c r="H2" s="21" t="n">
        <f aca="false">IF([1]Nov!$H$4&gt;0,0,[1]Nov!$H$2)</f>
        <v>20</v>
      </c>
      <c r="I2" s="47" t="n">
        <f aca="false">G2</f>
        <v>81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81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AB1+Oct!AB2</f>
        <v>52500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46327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-49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46327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-49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46327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-49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46327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-49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46327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-49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46327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-49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46329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-51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46329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-51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46331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-53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46331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-53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46332</v>
      </c>
      <c r="B15" s="2" t="s">
        <v>135</v>
      </c>
      <c r="E15" s="2" t="s">
        <v>136</v>
      </c>
      <c r="F15" s="2" t="s">
        <v>95</v>
      </c>
      <c r="G15" s="29" t="n">
        <v>72</v>
      </c>
      <c r="H15" s="6" t="n">
        <f aca="false">IF(G15&lt;&gt;0,G15*H$2/(100+H$2)," ")</f>
        <v>12</v>
      </c>
      <c r="I15" s="6" t="n">
        <f aca="false">IF((G15&lt;&gt;0),G15-H15," ")</f>
        <v>60</v>
      </c>
      <c r="J15" s="5"/>
      <c r="M15" s="7" t="n">
        <f aca="false">IF(G15&lt;&gt;0,G15-L15," ")</f>
        <v>72</v>
      </c>
      <c r="N15" s="8" t="n">
        <f aca="false">IF((G15-L15)&lt;&gt;0,N$1-A15," ")</f>
        <v>-54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96</v>
      </c>
    </row>
    <row r="16" customFormat="false" ht="12" hidden="false" customHeight="false" outlineLevel="0" collapsed="false">
      <c r="A16" s="27" t="n">
        <v>46334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-56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46336</v>
      </c>
      <c r="B17" s="2" t="s">
        <v>97</v>
      </c>
      <c r="E17" s="2" t="s">
        <v>98</v>
      </c>
      <c r="F17" s="2" t="s">
        <v>75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-58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85</v>
      </c>
    </row>
    <row r="18" customFormat="false" ht="12" hidden="false" customHeight="false" outlineLevel="0" collapsed="false">
      <c r="A18" s="27" t="n">
        <v>46338</v>
      </c>
      <c r="B18" s="2" t="s">
        <v>106</v>
      </c>
      <c r="E18" s="2" t="s">
        <v>107</v>
      </c>
      <c r="F18" s="2" t="s">
        <v>24</v>
      </c>
      <c r="G18" s="29" t="n">
        <v>18</v>
      </c>
      <c r="H18" s="6" t="n">
        <f aca="false">IF(G18&lt;&gt;0,G18*H$2/(100+H$2)," ")</f>
        <v>3</v>
      </c>
      <c r="I18" s="6" t="n">
        <f aca="false">IF((G18&lt;&gt;0),G18-H18," ")</f>
        <v>15</v>
      </c>
      <c r="J18" s="5"/>
      <c r="M18" s="7" t="n">
        <f aca="false">IF(G18&lt;&gt;0,G18-L18," ")</f>
        <v>18</v>
      </c>
      <c r="N18" s="8" t="n">
        <f aca="false">IF((G18-L18)&lt;&gt;0,N$1-A18," ")</f>
        <v>-60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15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90</v>
      </c>
    </row>
    <row r="19" customFormat="false" ht="12" hidden="false" customHeight="false" outlineLevel="0" collapsed="false">
      <c r="A19" s="27" t="n">
        <v>46340</v>
      </c>
      <c r="B19" s="2" t="s">
        <v>110</v>
      </c>
      <c r="E19" s="2" t="s">
        <v>111</v>
      </c>
      <c r="F19" s="2" t="s">
        <v>95</v>
      </c>
      <c r="G19" s="29" t="n">
        <v>24</v>
      </c>
      <c r="H19" s="6" t="n">
        <f aca="false">IF(G19&lt;&gt;0,G19*H$2/(100+H$2)," ")</f>
        <v>4</v>
      </c>
      <c r="I19" s="6" t="n">
        <f aca="false">IF((G19&lt;&gt;0),G19-H19," ")</f>
        <v>20</v>
      </c>
      <c r="J19" s="5"/>
      <c r="M19" s="7" t="n">
        <f aca="false">IF(G19&lt;&gt;0,G19-L19," ")</f>
        <v>24</v>
      </c>
      <c r="N19" s="8" t="n">
        <f aca="false">IF((G19-L19)&lt;&gt;0,N$1-A19," ")</f>
        <v>-62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20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96</v>
      </c>
    </row>
    <row r="20" customFormat="false" ht="12" hidden="false" customHeight="false" outlineLevel="0" collapsed="false">
      <c r="A20" s="27" t="n">
        <v>46340</v>
      </c>
      <c r="B20" s="2" t="s">
        <v>112</v>
      </c>
      <c r="E20" s="2" t="s">
        <v>113</v>
      </c>
      <c r="F20" s="2" t="s">
        <v>95</v>
      </c>
      <c r="G20" s="29" t="n">
        <v>12</v>
      </c>
      <c r="H20" s="6" t="n">
        <f aca="false">IF(G20&lt;&gt;0,G20*H$2/(100+H$2)," ")</f>
        <v>2</v>
      </c>
      <c r="I20" s="6" t="n">
        <f aca="false">IF((G20&lt;&gt;0),G20-H20," ")</f>
        <v>10</v>
      </c>
      <c r="J20" s="5"/>
      <c r="M20" s="7" t="n">
        <f aca="false">IF(G20&lt;&gt;0,G20-L20," ")</f>
        <v>12</v>
      </c>
      <c r="N20" s="8" t="n">
        <f aca="false">IF((G20-L20)&lt;&gt;0,N$1-A20," ")</f>
        <v>-62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96</v>
      </c>
    </row>
    <row r="21" customFormat="false" ht="12" hidden="false" customHeight="false" outlineLevel="0" collapsed="false">
      <c r="A21" s="27" t="n">
        <v>46341</v>
      </c>
      <c r="B21" s="2" t="s">
        <v>19</v>
      </c>
      <c r="E21" s="2" t="s">
        <v>89</v>
      </c>
      <c r="F21" s="2" t="s">
        <v>24</v>
      </c>
      <c r="G21" s="29" t="n">
        <v>150</v>
      </c>
      <c r="H21" s="6" t="n">
        <f aca="false">IF(G21&lt;&gt;0,G21*H$2/(100+H$2)," ")</f>
        <v>25</v>
      </c>
      <c r="I21" s="6" t="n">
        <f aca="false">IF((G21&lt;&gt;0),G21-H21," ")</f>
        <v>125</v>
      </c>
      <c r="J21" s="5"/>
      <c r="M21" s="7" t="n">
        <f aca="false">IF(G21&lt;&gt;0,G21-L21," ")</f>
        <v>150</v>
      </c>
      <c r="N21" s="8" t="n">
        <f aca="false">IF((G21-L21)&lt;&gt;0,N$1-A21," ")</f>
        <v>-63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125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46341</v>
      </c>
      <c r="B22" s="2" t="s">
        <v>114</v>
      </c>
      <c r="E22" s="2" t="s">
        <v>115</v>
      </c>
      <c r="F22" s="2" t="s">
        <v>65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-63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10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66</v>
      </c>
    </row>
    <row r="23" customFormat="false" ht="12" hidden="false" customHeight="false" outlineLevel="0" collapsed="false">
      <c r="A23" s="27" t="n">
        <v>46341</v>
      </c>
      <c r="B23" s="2" t="s">
        <v>144</v>
      </c>
      <c r="E23" s="2" t="s">
        <v>145</v>
      </c>
      <c r="F23" s="2" t="s">
        <v>104</v>
      </c>
      <c r="G23" s="29" t="n">
        <v>540</v>
      </c>
      <c r="H23" s="6" t="n">
        <f aca="false">IF(G23&lt;&gt;0,G23*H$2/(100+H$2)," ")</f>
        <v>90</v>
      </c>
      <c r="I23" s="6" t="n">
        <f aca="false">IF((G23&lt;&gt;0),G23-H23," ")</f>
        <v>450</v>
      </c>
      <c r="J23" s="5"/>
      <c r="M23" s="7" t="n">
        <f aca="false">IF(G23&lt;&gt;0,G23-L23," ")</f>
        <v>540</v>
      </c>
      <c r="N23" s="8" t="n">
        <f aca="false">IF((G23-L23)&lt;&gt;0,N$1-A23," ")</f>
        <v>-63</v>
      </c>
      <c r="O23" s="5"/>
      <c r="P23" s="19" t="n">
        <f aca="false">IF((F23="s"),I23," ")</f>
        <v>450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105</v>
      </c>
    </row>
    <row r="24" customFormat="false" ht="12" hidden="false" customHeight="false" outlineLevel="0" collapsed="false">
      <c r="A24" s="27" t="n">
        <v>46341</v>
      </c>
      <c r="B24" s="2" t="s">
        <v>163</v>
      </c>
      <c r="C24" s="3" t="s">
        <v>223</v>
      </c>
      <c r="E24" s="2" t="s">
        <v>224</v>
      </c>
      <c r="F24" s="2" t="s">
        <v>166</v>
      </c>
      <c r="G24" s="29" t="n">
        <v>3000</v>
      </c>
      <c r="H24" s="6" t="n">
        <f aca="false">IF(G24&lt;&gt;0,G24*H$2/(100+H$2)," ")</f>
        <v>500</v>
      </c>
      <c r="I24" s="6" t="n">
        <f aca="false">IF((G24&lt;&gt;0),G24-H24," ")</f>
        <v>2500</v>
      </c>
      <c r="J24" s="5"/>
      <c r="M24" s="7" t="n">
        <f aca="false">IF(G24&lt;&gt;0,G24-L24," ")</f>
        <v>3000</v>
      </c>
      <c r="N24" s="8" t="n">
        <f aca="false">IF((G24-L24)&lt;&gt;0,N$1-A24," ")</f>
        <v>-63</v>
      </c>
      <c r="O24" s="5"/>
      <c r="P24" s="19" t="str">
        <f aca="false">IF((F24="s"),I24," ")</f>
        <v> </v>
      </c>
      <c r="Q24" s="19" t="n">
        <f aca="false">IF((F24="c"),I24," ")</f>
        <v>2500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AD24" s="19" t="n">
        <v>600</v>
      </c>
      <c r="BZ24" s="2" t="s">
        <v>167</v>
      </c>
    </row>
    <row r="25" customFormat="false" ht="12" hidden="false" customHeight="false" outlineLevel="0" collapsed="false">
      <c r="A25" s="27" t="n">
        <v>46342</v>
      </c>
      <c r="B25" s="2" t="s">
        <v>151</v>
      </c>
      <c r="E25" s="2" t="s">
        <v>152</v>
      </c>
      <c r="F25" s="2" t="s">
        <v>65</v>
      </c>
      <c r="G25" s="29" t="n">
        <v>30</v>
      </c>
      <c r="H25" s="6" t="n">
        <f aca="false">IF(G25&lt;&gt;0,G25*H$2/(100+H$2)," ")</f>
        <v>5</v>
      </c>
      <c r="I25" s="6" t="n">
        <f aca="false">IF((G25&lt;&gt;0),G25-H25," ")</f>
        <v>25</v>
      </c>
      <c r="J25" s="5"/>
      <c r="M25" s="7" t="n">
        <f aca="false">IF(G25&lt;&gt;0,G25-L25," ")</f>
        <v>30</v>
      </c>
      <c r="N25" s="8" t="n">
        <f aca="false">IF((G25-L25)&lt;&gt;0,N$1-A25," ")</f>
        <v>-64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25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66</v>
      </c>
    </row>
    <row r="26" customFormat="false" ht="12" hidden="false" customHeight="false" outlineLevel="0" collapsed="false">
      <c r="A26" s="27" t="n">
        <v>46344</v>
      </c>
      <c r="B26" s="2" t="s">
        <v>116</v>
      </c>
      <c r="E26" s="2" t="s">
        <v>89</v>
      </c>
      <c r="F26" s="2" t="s">
        <v>24</v>
      </c>
      <c r="G26" s="29" t="n">
        <v>96</v>
      </c>
      <c r="H26" s="6" t="n">
        <f aca="false">IF(G26&lt;&gt;0,G26*H$2/(100+H$2)," ")</f>
        <v>16</v>
      </c>
      <c r="I26" s="6" t="n">
        <f aca="false">IF((G26&lt;&gt;0),G26-H26," ")</f>
        <v>80</v>
      </c>
      <c r="J26" s="5"/>
      <c r="M26" s="7" t="n">
        <f aca="false">IF(G26&lt;&gt;0,G26-L26," ")</f>
        <v>96</v>
      </c>
      <c r="N26" s="8" t="n">
        <f aca="false">IF((G26-L26)&lt;&gt;0,N$1-A26," ")</f>
        <v>-66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80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90</v>
      </c>
    </row>
    <row r="27" customFormat="false" ht="12" hidden="false" customHeight="false" outlineLevel="0" collapsed="false">
      <c r="A27" s="27" t="n">
        <v>46346</v>
      </c>
      <c r="B27" s="2" t="s">
        <v>117</v>
      </c>
      <c r="E27" s="2" t="s">
        <v>118</v>
      </c>
      <c r="F27" s="2" t="s">
        <v>65</v>
      </c>
      <c r="G27" s="29" t="n">
        <v>60</v>
      </c>
      <c r="H27" s="6" t="n">
        <f aca="false">IF(G27&lt;&gt;0,G27*H$2/(100+H$2)," ")</f>
        <v>10</v>
      </c>
      <c r="I27" s="6" t="n">
        <f aca="false">IF((G27&lt;&gt;0),G27-H27," ")</f>
        <v>50</v>
      </c>
      <c r="J27" s="5"/>
      <c r="M27" s="7" t="n">
        <f aca="false">IF(G27&lt;&gt;0,G27-L27," ")</f>
        <v>60</v>
      </c>
      <c r="N27" s="8" t="n">
        <f aca="false">IF((G27-L27)&lt;&gt;0,N$1-A27," ")</f>
        <v>-68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50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66</v>
      </c>
    </row>
    <row r="28" customFormat="false" ht="12" hidden="false" customHeight="false" outlineLevel="0" collapsed="false">
      <c r="A28" s="27" t="n">
        <v>46346</v>
      </c>
      <c r="B28" s="2" t="s">
        <v>153</v>
      </c>
      <c r="E28" s="2" t="s">
        <v>154</v>
      </c>
      <c r="F28" s="2" t="s">
        <v>65</v>
      </c>
      <c r="G28" s="29" t="n">
        <v>240</v>
      </c>
      <c r="H28" s="6" t="n">
        <f aca="false">IF(G28&lt;&gt;0,G28*H$2/(100+H$2)," ")</f>
        <v>40</v>
      </c>
      <c r="I28" s="6" t="n">
        <f aca="false">IF((G28&lt;&gt;0),G28-H28," ")</f>
        <v>200</v>
      </c>
      <c r="J28" s="5"/>
      <c r="M28" s="7" t="n">
        <f aca="false">IF(G28&lt;&gt;0,G28-L28," ")</f>
        <v>240</v>
      </c>
      <c r="N28" s="8" t="n">
        <f aca="false">IF((G28-L28)&lt;&gt;0,N$1-A28," ")</f>
        <v>-68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200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155</v>
      </c>
    </row>
    <row r="29" customFormat="false" ht="12" hidden="false" customHeight="false" outlineLevel="0" collapsed="false">
      <c r="A29" s="27" t="n">
        <v>46346</v>
      </c>
      <c r="B29" s="2" t="s">
        <v>156</v>
      </c>
      <c r="E29" s="2" t="s">
        <v>157</v>
      </c>
      <c r="F29" s="2" t="s">
        <v>104</v>
      </c>
      <c r="G29" s="29" t="n">
        <v>300</v>
      </c>
      <c r="H29" s="6" t="n">
        <f aca="false">IF(G29&lt;&gt;0,G29*H$2/(100+H$2)," ")</f>
        <v>50</v>
      </c>
      <c r="I29" s="6" t="n">
        <f aca="false">IF((G29&lt;&gt;0),G29-H29," ")</f>
        <v>250</v>
      </c>
      <c r="J29" s="5"/>
      <c r="M29" s="7" t="n">
        <f aca="false">IF(G29&lt;&gt;0,G29-L29," ")</f>
        <v>300</v>
      </c>
      <c r="N29" s="8" t="n">
        <f aca="false">IF((G29-L29)&lt;&gt;0,N$1-A29," ")</f>
        <v>-68</v>
      </c>
      <c r="O29" s="5"/>
      <c r="P29" s="19" t="n">
        <f aca="false">IF((F29="s"),I29," ")</f>
        <v>250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105</v>
      </c>
    </row>
    <row r="30" customFormat="false" ht="12" hidden="false" customHeight="false" outlineLevel="0" collapsed="false">
      <c r="A30" s="27" t="n">
        <v>46347</v>
      </c>
      <c r="B30" s="2" t="s">
        <v>123</v>
      </c>
      <c r="E30" s="2" t="s">
        <v>124</v>
      </c>
      <c r="F30" s="2" t="s">
        <v>95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-69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96</v>
      </c>
    </row>
    <row r="31" customFormat="false" ht="12" hidden="false" customHeight="false" outlineLevel="0" collapsed="false">
      <c r="A31" s="27" t="n">
        <v>46348</v>
      </c>
      <c r="B31" s="2" t="s">
        <v>125</v>
      </c>
      <c r="E31" s="2" t="s">
        <v>126</v>
      </c>
      <c r="F31" s="2" t="s">
        <v>75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-70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85</v>
      </c>
    </row>
    <row r="32" customFormat="false" ht="12" hidden="false" customHeight="false" outlineLevel="0" collapsed="false">
      <c r="A32" s="27" t="n">
        <v>46351</v>
      </c>
      <c r="B32" s="2" t="s">
        <v>127</v>
      </c>
      <c r="E32" s="2" t="s">
        <v>128</v>
      </c>
      <c r="F32" s="2" t="s">
        <v>75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-73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46351</v>
      </c>
      <c r="B33" s="2" t="s">
        <v>129</v>
      </c>
      <c r="D33" s="4" t="n">
        <v>180</v>
      </c>
      <c r="E33" s="2" t="s">
        <v>175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46354</v>
      </c>
      <c r="B34" s="2" t="s">
        <v>19</v>
      </c>
      <c r="E34" s="2" t="s">
        <v>131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-76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46356</v>
      </c>
      <c r="B35" s="2" t="s">
        <v>15</v>
      </c>
      <c r="E35" s="2" t="s">
        <v>132</v>
      </c>
      <c r="F35" s="2" t="s">
        <v>133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-78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134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110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1567</v>
      </c>
      <c r="I1" s="13" t="n">
        <f aca="false">SUM(I2:I200)</f>
        <v>7884.5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9402</v>
      </c>
      <c r="N1" s="18" t="n">
        <f aca="true">TODAY()</f>
        <v>46278</v>
      </c>
      <c r="O1" s="15"/>
      <c r="P1" s="13" t="n">
        <f aca="false">SUM(P5:P300)</f>
        <v>400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4166.66666666667</v>
      </c>
      <c r="T1" s="13" t="n">
        <f aca="false">SUM(T5:T300)</f>
        <v>1350</v>
      </c>
      <c r="U1" s="13" t="n">
        <f aca="false">SUM(U5:U300)</f>
        <v>0</v>
      </c>
      <c r="V1" s="13" t="n">
        <f aca="false">SUM(V5:V300)</f>
        <v>212.5</v>
      </c>
      <c r="W1" s="13" t="n">
        <f aca="false">SUM(W2:W300)</f>
        <v>519.5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389.166666666667</v>
      </c>
      <c r="AA1" s="13" t="n">
        <f aca="false">SUM(AA5:AA300)</f>
        <v>532.5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G2+Nov!A2</f>
        <v>486</v>
      </c>
      <c r="B2" s="44" t="s">
        <v>22</v>
      </c>
      <c r="C2" s="43" t="n">
        <f aca="false">Nov!C2+D1+[1]Dec!$D$1</f>
        <v>1080</v>
      </c>
      <c r="D2" s="45" t="s">
        <v>23</v>
      </c>
      <c r="E2" s="20" t="s">
        <v>5</v>
      </c>
      <c r="F2" s="44" t="str">
        <f aca="false">Nov!F2</f>
        <v>v</v>
      </c>
      <c r="G2" s="46" t="n">
        <f aca="false">IF(C2&lt;[2]Admin!$F$22,(C2-Nov!C2)*[2]Admin!$G$21,C2*[2]Admin!$G$21-(C2-[2]Admin!$F$21)*([2]Admin!$G$21-[2]Admin!$G$22)-Nov!A2)</f>
        <v>49.5</v>
      </c>
      <c r="H2" s="21" t="n">
        <f aca="false">IF([1]Dec!$H$4&gt;0,0,[1]Dec!$H$2)</f>
        <v>20</v>
      </c>
      <c r="I2" s="47" t="n">
        <f aca="false">G2</f>
        <v>49.5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49.5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AB1+Nov!AB2</f>
        <v>52500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46357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-79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46357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-79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46357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-79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46357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-79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46357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-79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46357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-79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46359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-81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46359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-81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46361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-83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46361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-83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46361</v>
      </c>
      <c r="B15" s="2" t="s">
        <v>91</v>
      </c>
      <c r="E15" s="2" t="s">
        <v>92</v>
      </c>
      <c r="F15" s="2" t="s">
        <v>71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-83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72</v>
      </c>
    </row>
    <row r="16" customFormat="false" ht="12" hidden="false" customHeight="false" outlineLevel="0" collapsed="false">
      <c r="A16" s="27" t="n">
        <v>46364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-86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46366</v>
      </c>
      <c r="B17" s="2" t="s">
        <v>97</v>
      </c>
      <c r="E17" s="2" t="s">
        <v>98</v>
      </c>
      <c r="F17" s="2" t="s">
        <v>75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-88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85</v>
      </c>
    </row>
    <row r="18" customFormat="false" ht="12" hidden="false" customHeight="false" outlineLevel="0" collapsed="false">
      <c r="A18" s="27" t="n">
        <v>46366</v>
      </c>
      <c r="B18" s="2" t="s">
        <v>161</v>
      </c>
      <c r="E18" s="2" t="s">
        <v>162</v>
      </c>
      <c r="F18" s="2" t="s">
        <v>65</v>
      </c>
      <c r="G18" s="29" t="n">
        <v>120</v>
      </c>
      <c r="H18" s="6" t="n">
        <f aca="false">IF(G18&lt;&gt;0,G18*H$2/(100+H$2)," ")</f>
        <v>20</v>
      </c>
      <c r="I18" s="6" t="n">
        <f aca="false">IF((G18&lt;&gt;0),G18-H18," ")</f>
        <v>100</v>
      </c>
      <c r="J18" s="5"/>
      <c r="M18" s="7" t="n">
        <f aca="false">IF(G18&lt;&gt;0,G18-L18," ")</f>
        <v>120</v>
      </c>
      <c r="N18" s="8" t="n">
        <f aca="false">IF((G18-L18)&lt;&gt;0,N$1-A18," ")</f>
        <v>-88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100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66</v>
      </c>
    </row>
    <row r="19" customFormat="false" ht="12" hidden="false" customHeight="false" outlineLevel="0" collapsed="false">
      <c r="A19" s="27" t="n">
        <v>46368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-90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46370</v>
      </c>
      <c r="B20" s="2" t="s">
        <v>108</v>
      </c>
      <c r="E20" s="2" t="s">
        <v>109</v>
      </c>
      <c r="F20" s="2" t="s">
        <v>75</v>
      </c>
      <c r="G20" s="29" t="n">
        <v>24</v>
      </c>
      <c r="H20" s="6" t="n">
        <f aca="false">IF(G20&lt;&gt;0,G20*H$2/(100+H$2)," ")</f>
        <v>4</v>
      </c>
      <c r="I20" s="6" t="n">
        <f aca="false">IF((G20&lt;&gt;0),G20-H20," ")</f>
        <v>20</v>
      </c>
      <c r="J20" s="5"/>
      <c r="M20" s="7" t="n">
        <f aca="false">IF(G20&lt;&gt;0,G20-L20," ")</f>
        <v>24</v>
      </c>
      <c r="N20" s="8" t="n">
        <f aca="false">IF((G20-L20)&lt;&gt;0,N$1-A20," ")</f>
        <v>-92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20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85</v>
      </c>
    </row>
    <row r="21" customFormat="false" ht="12" hidden="false" customHeight="false" outlineLevel="0" collapsed="false">
      <c r="A21" s="27" t="n">
        <v>46370</v>
      </c>
      <c r="B21" s="2" t="s">
        <v>110</v>
      </c>
      <c r="E21" s="2" t="s">
        <v>111</v>
      </c>
      <c r="F21" s="2" t="s">
        <v>95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-92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46370</v>
      </c>
      <c r="B22" s="2" t="s">
        <v>112</v>
      </c>
      <c r="E22" s="2" t="s">
        <v>113</v>
      </c>
      <c r="F22" s="2" t="s">
        <v>95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-92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46371</v>
      </c>
      <c r="B23" s="2" t="s">
        <v>19</v>
      </c>
      <c r="E23" s="2" t="s">
        <v>89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-93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90</v>
      </c>
    </row>
    <row r="24" customFormat="false" ht="12" hidden="false" customHeight="false" outlineLevel="0" collapsed="false">
      <c r="A24" s="27" t="n">
        <v>46371</v>
      </c>
      <c r="B24" s="2" t="s">
        <v>114</v>
      </c>
      <c r="E24" s="2" t="s">
        <v>115</v>
      </c>
      <c r="F24" s="2" t="s">
        <v>65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-93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66</v>
      </c>
    </row>
    <row r="25" customFormat="false" ht="12" hidden="false" customHeight="false" outlineLevel="0" collapsed="false">
      <c r="A25" s="27" t="n">
        <v>46371</v>
      </c>
      <c r="B25" s="2" t="s">
        <v>225</v>
      </c>
      <c r="E25" s="2" t="s">
        <v>226</v>
      </c>
      <c r="F25" s="2" t="s">
        <v>75</v>
      </c>
      <c r="G25" s="29" t="n">
        <v>500</v>
      </c>
      <c r="H25" s="6" t="n">
        <f aca="false">IF(G25&lt;&gt;0,G25*H$2/(100+H$2)," ")</f>
        <v>83.3333333333333</v>
      </c>
      <c r="I25" s="6" t="n">
        <f aca="false">IF((G25&lt;&gt;0),G25-H25," ")</f>
        <v>416.666666666667</v>
      </c>
      <c r="J25" s="5"/>
      <c r="M25" s="7" t="n">
        <f aca="false">IF(G25&lt;&gt;0,G25-L25," ")</f>
        <v>500</v>
      </c>
      <c r="N25" s="8" t="n">
        <f aca="false">IF((G25-L25)&lt;&gt;0,N$1-A25," ")</f>
        <v>-93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416.666666666667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227</v>
      </c>
    </row>
    <row r="26" customFormat="false" ht="12" hidden="false" customHeight="false" outlineLevel="0" collapsed="false">
      <c r="A26" s="27" t="n">
        <v>46374</v>
      </c>
      <c r="B26" s="2" t="s">
        <v>170</v>
      </c>
      <c r="E26" s="2" t="s">
        <v>171</v>
      </c>
      <c r="F26" s="2" t="s">
        <v>104</v>
      </c>
      <c r="G26" s="29" t="n">
        <v>480</v>
      </c>
      <c r="H26" s="6" t="n">
        <f aca="false">IF(G26&lt;&gt;0,G26*H$2/(100+H$2)," ")</f>
        <v>80</v>
      </c>
      <c r="I26" s="6" t="n">
        <f aca="false">IF((G26&lt;&gt;0),G26-H26," ")</f>
        <v>400</v>
      </c>
      <c r="J26" s="5"/>
      <c r="M26" s="7" t="n">
        <f aca="false">IF(G26&lt;&gt;0,G26-L26," ")</f>
        <v>480</v>
      </c>
      <c r="N26" s="8" t="n">
        <f aca="false">IF((G26-L26)&lt;&gt;0,N$1-A26," ")</f>
        <v>-96</v>
      </c>
      <c r="O26" s="5"/>
      <c r="P26" s="19" t="n">
        <f aca="false">IF((F26="s"),I26," ")</f>
        <v>400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105</v>
      </c>
    </row>
    <row r="27" customFormat="false" ht="12" hidden="false" customHeight="false" outlineLevel="0" collapsed="false">
      <c r="A27" s="27" t="n">
        <v>46374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-96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46376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-98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46377</v>
      </c>
      <c r="B29" s="2" t="s">
        <v>123</v>
      </c>
      <c r="E29" s="2" t="s">
        <v>124</v>
      </c>
      <c r="F29" s="2" t="s">
        <v>95</v>
      </c>
      <c r="G29" s="29" t="n">
        <v>8</v>
      </c>
      <c r="H29" s="6" t="n">
        <f aca="false">IF(G29&lt;&gt;0,G29*H$2/(100+H$2)," ")</f>
        <v>1.33333333333333</v>
      </c>
      <c r="I29" s="6" t="n">
        <f aca="false">IF((G29&lt;&gt;0),G29-H29," ")</f>
        <v>6.66666666666667</v>
      </c>
      <c r="J29" s="5"/>
      <c r="M29" s="7" t="n">
        <f aca="false">IF(G29&lt;&gt;0,G29-L29," ")</f>
        <v>8</v>
      </c>
      <c r="N29" s="8" t="n">
        <f aca="false">IF((G29-L29)&lt;&gt;0,N$1-A29," ")</f>
        <v>-99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6.66666666666667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96</v>
      </c>
    </row>
    <row r="30" customFormat="false" ht="12" hidden="false" customHeight="false" outlineLevel="0" collapsed="false">
      <c r="A30" s="27" t="n">
        <v>46378</v>
      </c>
      <c r="B30" s="2" t="s">
        <v>125</v>
      </c>
      <c r="E30" s="2" t="s">
        <v>126</v>
      </c>
      <c r="F30" s="2" t="s">
        <v>75</v>
      </c>
      <c r="G30" s="29" t="n">
        <v>18</v>
      </c>
      <c r="H30" s="6" t="n">
        <f aca="false">IF(G30&lt;&gt;0,G30*H$2/(100+H$2)," ")</f>
        <v>3</v>
      </c>
      <c r="I30" s="6" t="n">
        <f aca="false">IF((G30&lt;&gt;0),G30-H30," ")</f>
        <v>15</v>
      </c>
      <c r="J30" s="5"/>
      <c r="M30" s="7" t="n">
        <f aca="false">IF(G30&lt;&gt;0,G30-L30," ")</f>
        <v>18</v>
      </c>
      <c r="N30" s="8" t="n">
        <f aca="false">IF((G30-L30)&lt;&gt;0,N$1-A30," ")</f>
        <v>-100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n">
        <f aca="false">IF((F30="y"),I30," ")</f>
        <v>15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85</v>
      </c>
    </row>
    <row r="31" customFormat="false" ht="12" hidden="false" customHeight="false" outlineLevel="0" collapsed="false">
      <c r="A31" s="27" t="n">
        <v>46381</v>
      </c>
      <c r="B31" s="2" t="s">
        <v>172</v>
      </c>
      <c r="E31" s="2" t="s">
        <v>173</v>
      </c>
      <c r="F31" s="2" t="s">
        <v>61</v>
      </c>
      <c r="G31" s="29" t="n">
        <v>420</v>
      </c>
      <c r="H31" s="6" t="n">
        <f aca="false">IF(G31&lt;&gt;0,G31*H$2/(100+H$2)," ")</f>
        <v>70</v>
      </c>
      <c r="I31" s="6" t="n">
        <f aca="false">IF((G31&lt;&gt;0),G31-H31," ")</f>
        <v>350</v>
      </c>
      <c r="J31" s="5"/>
      <c r="M31" s="7" t="n">
        <f aca="false">IF(G31&lt;&gt;0,G31-L31," ")</f>
        <v>420</v>
      </c>
      <c r="N31" s="8" t="n">
        <f aca="false">IF((G31-L31)&lt;&gt;0,N$1-A31," ")</f>
        <v>-103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350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174</v>
      </c>
    </row>
    <row r="32" customFormat="false" ht="12" hidden="false" customHeight="false" outlineLevel="0" collapsed="false">
      <c r="A32" s="27" t="n">
        <v>46381</v>
      </c>
      <c r="B32" s="2" t="s">
        <v>127</v>
      </c>
      <c r="E32" s="2" t="s">
        <v>128</v>
      </c>
      <c r="F32" s="2" t="s">
        <v>75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-103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46381</v>
      </c>
      <c r="B33" s="2" t="s">
        <v>129</v>
      </c>
      <c r="D33" s="4" t="n">
        <v>110</v>
      </c>
      <c r="E33" s="2" t="s">
        <v>228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46384</v>
      </c>
      <c r="B34" s="2" t="s">
        <v>19</v>
      </c>
      <c r="E34" s="2" t="s">
        <v>131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-106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46387</v>
      </c>
      <c r="B35" s="2" t="s">
        <v>15</v>
      </c>
      <c r="E35" s="2" t="s">
        <v>132</v>
      </c>
      <c r="F35" s="2" t="s">
        <v>133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-109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134</v>
      </c>
    </row>
    <row r="36" customFormat="false" ht="12" hidden="false" customHeight="false" outlineLevel="0" collapsed="false">
      <c r="A36" s="27" t="n">
        <v>46387</v>
      </c>
      <c r="B36" s="2" t="s">
        <v>229</v>
      </c>
      <c r="E36" s="2" t="s">
        <v>230</v>
      </c>
      <c r="F36" s="2" t="s">
        <v>200</v>
      </c>
      <c r="G36" s="29" t="n">
        <v>5000</v>
      </c>
      <c r="H36" s="6" t="n">
        <f aca="false">IF(G36&lt;&gt;0,G36*H$2/(100+H$2)," ")</f>
        <v>833.333333333333</v>
      </c>
      <c r="I36" s="6" t="n">
        <f aca="false">IF((G36&lt;&gt;0),G36-H36," ")</f>
        <v>4166.66666666667</v>
      </c>
      <c r="J36" s="5"/>
      <c r="M36" s="7" t="n">
        <f aca="false">IF(G36&lt;&gt;0,G36-L36," ")</f>
        <v>5000</v>
      </c>
      <c r="N36" s="8" t="n">
        <f aca="false">IF((G36-L36)&lt;&gt;0,N$1-A36," ")</f>
        <v>-109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4166.66666666667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231</v>
      </c>
    </row>
    <row r="37" customFormat="false" ht="12" hidden="false" customHeight="false" outlineLevel="0" collapsed="false">
      <c r="A37" s="27" t="n">
        <v>46387</v>
      </c>
      <c r="B37" s="2" t="s">
        <v>176</v>
      </c>
      <c r="C37" s="3" t="s">
        <v>232</v>
      </c>
      <c r="E37" s="2" t="s">
        <v>178</v>
      </c>
      <c r="F37" s="2" t="s">
        <v>133</v>
      </c>
      <c r="G37" s="29" t="n">
        <v>167</v>
      </c>
      <c r="H37" s="6" t="n">
        <f aca="false">IF(G37&lt;&gt;0,G37*H$2/(100+H$2)," ")</f>
        <v>27.8333333333333</v>
      </c>
      <c r="I37" s="6" t="n">
        <f aca="false">IF((G37&lt;&gt;0),G37-H37," ")</f>
        <v>139.166666666667</v>
      </c>
      <c r="J37" s="5"/>
      <c r="M37" s="7" t="n">
        <f aca="false">IF(G37&lt;&gt;0,G37-L37," ")</f>
        <v>167</v>
      </c>
      <c r="N37" s="8" t="n">
        <f aca="false">IF((G37-L37)&lt;&gt;0,N$1-A37," ")</f>
        <v>-109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139.166666666667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179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745.5</v>
      </c>
      <c r="I1" s="13" t="n">
        <f aca="false">SUM(I2:I200)</f>
        <v>3765.75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4473</v>
      </c>
      <c r="N1" s="18" t="n">
        <f aca="true">TODAY()</f>
        <v>46278</v>
      </c>
      <c r="O1" s="15"/>
      <c r="P1" s="13" t="n">
        <f aca="false">SUM(P5:P300)</f>
        <v>500</v>
      </c>
      <c r="Q1" s="13" t="n">
        <f aca="false">SUM(Q5:Q300)</f>
        <v>0</v>
      </c>
      <c r="R1" s="13" t="n">
        <f aca="false">SUM(R5:R300)</f>
        <v>357.5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120</v>
      </c>
      <c r="V1" s="13" t="n">
        <f aca="false">SUM(V5:V300)</f>
        <v>427.5</v>
      </c>
      <c r="W1" s="13" t="n">
        <f aca="false">SUM(W2:W300)</f>
        <v>538.25</v>
      </c>
      <c r="X1" s="13" t="n">
        <f aca="false">SUM(X5:X300)</f>
        <v>76.6666666666667</v>
      </c>
      <c r="Y1" s="13" t="n">
        <f aca="false">SUM(Y5:Y300)</f>
        <v>400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G2+Dec!A2</f>
        <v>524.25</v>
      </c>
      <c r="B2" s="44" t="s">
        <v>22</v>
      </c>
      <c r="C2" s="43" t="n">
        <f aca="false">Dec!C2+D1+[1]Jan!$D$1</f>
        <v>1165</v>
      </c>
      <c r="D2" s="45" t="s">
        <v>23</v>
      </c>
      <c r="E2" s="20" t="s">
        <v>5</v>
      </c>
      <c r="F2" s="44" t="str">
        <f aca="false">Dec!F2</f>
        <v>v</v>
      </c>
      <c r="G2" s="46" t="n">
        <f aca="false">IF(C2&lt;[2]Admin!$F$22,(C2-Dec!C2)*[2]Admin!$G$21,C2*[2]Admin!$G$21-(C2-[2]Admin!$F$21)*([2]Admin!$G$21-[2]Admin!$G$22)-Dec!A2)</f>
        <v>38.25</v>
      </c>
      <c r="H2" s="21" t="n">
        <f aca="false">IF([1]Jan!$H$4&gt;0,0,[1]Jan!$H$2)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AB1+Dec!AB2</f>
        <v>52500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46388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-110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46388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-110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46388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-110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46388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-110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46388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-110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46388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-110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46390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-112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46390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-112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46392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-114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46392</v>
      </c>
      <c r="B14" s="2" t="s">
        <v>186</v>
      </c>
      <c r="E14" s="2" t="s">
        <v>187</v>
      </c>
      <c r="F14" s="2" t="s">
        <v>142</v>
      </c>
      <c r="G14" s="29" t="n">
        <v>480</v>
      </c>
      <c r="H14" s="6" t="n">
        <f aca="false">IF(G14&lt;&gt;0,G14*H$2/(100+H$2)," ")</f>
        <v>80</v>
      </c>
      <c r="I14" s="6" t="n">
        <f aca="false">IF((G14&lt;&gt;0),G14-H14," ")</f>
        <v>400</v>
      </c>
      <c r="J14" s="5"/>
      <c r="M14" s="7" t="n">
        <f aca="false">IF(G14&lt;&gt;0,G14-L14," ")</f>
        <v>480</v>
      </c>
      <c r="N14" s="8" t="n">
        <f aca="false">IF((G14-L14)&lt;&gt;0,N$1-A14," ")</f>
        <v>-114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400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143</v>
      </c>
    </row>
    <row r="15" customFormat="false" ht="12" hidden="false" customHeight="false" outlineLevel="0" collapsed="false">
      <c r="A15" s="27" t="n">
        <v>46392</v>
      </c>
      <c r="B15" s="2" t="s">
        <v>88</v>
      </c>
      <c r="E15" s="2" t="s">
        <v>89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-114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90</v>
      </c>
    </row>
    <row r="16" customFormat="false" ht="12" hidden="false" customHeight="false" outlineLevel="0" collapsed="false">
      <c r="A16" s="27" t="n">
        <v>46395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-117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46395</v>
      </c>
      <c r="B17" s="2" t="s">
        <v>137</v>
      </c>
      <c r="E17" s="2" t="s">
        <v>138</v>
      </c>
      <c r="F17" s="2" t="s">
        <v>71</v>
      </c>
      <c r="G17" s="29" t="n">
        <v>180</v>
      </c>
      <c r="H17" s="6" t="n">
        <f aca="false">IF(G17&lt;&gt;0,G17*H$2/(100+H$2)," ")</f>
        <v>30</v>
      </c>
      <c r="I17" s="6" t="n">
        <f aca="false">IF((G17&lt;&gt;0),G17-H17," ")</f>
        <v>150</v>
      </c>
      <c r="J17" s="5"/>
      <c r="M17" s="7" t="n">
        <f aca="false">IF(G17&lt;&gt;0,G17-L17," ")</f>
        <v>180</v>
      </c>
      <c r="N17" s="8" t="n">
        <f aca="false">IF((G17-L17)&lt;&gt;0,N$1-A17," ")</f>
        <v>-117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n">
        <f aca="false">IF((F17="o"),I17," ")</f>
        <v>150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139</v>
      </c>
    </row>
    <row r="18" customFormat="false" ht="12" hidden="false" customHeight="false" outlineLevel="0" collapsed="false">
      <c r="A18" s="27" t="n">
        <v>46397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-119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46397</v>
      </c>
      <c r="B19" s="2" t="s">
        <v>99</v>
      </c>
      <c r="E19" s="2" t="s">
        <v>100</v>
      </c>
      <c r="F19" s="2" t="s">
        <v>65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-119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101</v>
      </c>
    </row>
    <row r="20" customFormat="false" ht="12" hidden="false" customHeight="false" outlineLevel="0" collapsed="false">
      <c r="A20" s="27" t="n">
        <v>46397</v>
      </c>
      <c r="B20" s="2" t="s">
        <v>102</v>
      </c>
      <c r="E20" s="2" t="s">
        <v>103</v>
      </c>
      <c r="F20" s="2" t="s">
        <v>104</v>
      </c>
      <c r="G20" s="29" t="n">
        <v>600</v>
      </c>
      <c r="H20" s="6" t="n">
        <f aca="false">IF(G20&lt;&gt;0,G20*H$2/(100+H$2)," ")</f>
        <v>100</v>
      </c>
      <c r="I20" s="6" t="n">
        <f aca="false">IF((G20&lt;&gt;0),G20-H20," ")</f>
        <v>500</v>
      </c>
      <c r="J20" s="5"/>
      <c r="M20" s="7" t="n">
        <f aca="false">IF(G20&lt;&gt;0,G20-L20," ")</f>
        <v>600</v>
      </c>
      <c r="N20" s="8" t="n">
        <f aca="false">IF((G20-L20)&lt;&gt;0,N$1-A20," ")</f>
        <v>-119</v>
      </c>
      <c r="O20" s="5"/>
      <c r="P20" s="19" t="n">
        <f aca="false">IF((F20="s"),I20," ")</f>
        <v>500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105</v>
      </c>
    </row>
    <row r="21" customFormat="false" ht="12" hidden="false" customHeight="false" outlineLevel="0" collapsed="false">
      <c r="A21" s="27" t="n">
        <v>46399</v>
      </c>
      <c r="B21" s="2" t="s">
        <v>106</v>
      </c>
      <c r="E21" s="2" t="s">
        <v>107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-121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46401</v>
      </c>
      <c r="B22" s="2" t="s">
        <v>110</v>
      </c>
      <c r="E22" s="2" t="s">
        <v>111</v>
      </c>
      <c r="F22" s="2" t="s">
        <v>95</v>
      </c>
      <c r="G22" s="29" t="n">
        <v>24</v>
      </c>
      <c r="H22" s="6" t="n">
        <f aca="false">IF(G22&lt;&gt;0,G22*H$2/(100+H$2)," ")</f>
        <v>4</v>
      </c>
      <c r="I22" s="6" t="n">
        <f aca="false">IF((G22&lt;&gt;0),G22-H22," ")</f>
        <v>20</v>
      </c>
      <c r="J22" s="5"/>
      <c r="M22" s="7" t="n">
        <f aca="false">IF(G22&lt;&gt;0,G22-L22," ")</f>
        <v>24</v>
      </c>
      <c r="N22" s="8" t="n">
        <f aca="false">IF((G22-L22)&lt;&gt;0,N$1-A22," ")</f>
        <v>-123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46401</v>
      </c>
      <c r="B23" s="2" t="s">
        <v>112</v>
      </c>
      <c r="E23" s="2" t="s">
        <v>113</v>
      </c>
      <c r="F23" s="2" t="s">
        <v>95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-123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96</v>
      </c>
    </row>
    <row r="24" customFormat="false" ht="12" hidden="false" customHeight="false" outlineLevel="0" collapsed="false">
      <c r="A24" s="27" t="n">
        <v>46402</v>
      </c>
      <c r="B24" s="2" t="s">
        <v>19</v>
      </c>
      <c r="E24" s="2" t="s">
        <v>89</v>
      </c>
      <c r="F24" s="2" t="s">
        <v>24</v>
      </c>
      <c r="G24" s="29" t="n">
        <v>150</v>
      </c>
      <c r="H24" s="6" t="n">
        <f aca="false">IF(G24&lt;&gt;0,G24*H$2/(100+H$2)," ")</f>
        <v>25</v>
      </c>
      <c r="I24" s="6" t="n">
        <f aca="false">IF((G24&lt;&gt;0),G24-H24," ")</f>
        <v>125</v>
      </c>
      <c r="J24" s="5"/>
      <c r="M24" s="7" t="n">
        <f aca="false">IF(G24&lt;&gt;0,G24-L24," ")</f>
        <v>150</v>
      </c>
      <c r="N24" s="8" t="n">
        <f aca="false">IF((G24-L24)&lt;&gt;0,N$1-A24," ")</f>
        <v>-124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125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90</v>
      </c>
    </row>
    <row r="25" customFormat="false" ht="12" hidden="false" customHeight="false" outlineLevel="0" collapsed="false">
      <c r="A25" s="27" t="n">
        <v>46402</v>
      </c>
      <c r="B25" s="2" t="s">
        <v>114</v>
      </c>
      <c r="E25" s="2" t="s">
        <v>115</v>
      </c>
      <c r="F25" s="2" t="s">
        <v>65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-124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66</v>
      </c>
    </row>
    <row r="26" customFormat="false" ht="12" hidden="false" customHeight="false" outlineLevel="0" collapsed="false">
      <c r="A26" s="27" t="n">
        <v>46403</v>
      </c>
      <c r="B26" s="2" t="s">
        <v>151</v>
      </c>
      <c r="E26" s="2" t="s">
        <v>152</v>
      </c>
      <c r="F26" s="2" t="s">
        <v>65</v>
      </c>
      <c r="G26" s="29" t="n">
        <v>18</v>
      </c>
      <c r="H26" s="6" t="n">
        <f aca="false">IF(G26&lt;&gt;0,G26*H$2/(100+H$2)," ")</f>
        <v>3</v>
      </c>
      <c r="I26" s="6" t="n">
        <f aca="false">IF((G26&lt;&gt;0),G26-H26," ")</f>
        <v>15</v>
      </c>
      <c r="J26" s="5"/>
      <c r="M26" s="7" t="n">
        <f aca="false">IF(G26&lt;&gt;0,G26-L26," ")</f>
        <v>18</v>
      </c>
      <c r="N26" s="8" t="n">
        <f aca="false">IF((G26-L26)&lt;&gt;0,N$1-A26," ")</f>
        <v>-125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15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66</v>
      </c>
    </row>
    <row r="27" customFormat="false" ht="12" hidden="false" customHeight="false" outlineLevel="0" collapsed="false">
      <c r="A27" s="27" t="n">
        <v>46405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-127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46407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-129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46407</v>
      </c>
      <c r="B29" s="2" t="s">
        <v>193</v>
      </c>
      <c r="E29" s="2" t="s">
        <v>194</v>
      </c>
      <c r="F29" s="2" t="s">
        <v>65</v>
      </c>
      <c r="G29" s="29" t="n">
        <v>180</v>
      </c>
      <c r="H29" s="6" t="n">
        <f aca="false">IF(G29&lt;&gt;0,G29*H$2/(100+H$2)," ")</f>
        <v>30</v>
      </c>
      <c r="I29" s="6" t="n">
        <f aca="false">IF((G29&lt;&gt;0),G29-H29," ")</f>
        <v>150</v>
      </c>
      <c r="J29" s="5"/>
      <c r="M29" s="7" t="n">
        <f aca="false">IF(G29&lt;&gt;0,G29-L29," ")</f>
        <v>180</v>
      </c>
      <c r="N29" s="8" t="n">
        <f aca="false">IF((G29-L29)&lt;&gt;0,N$1-A29," ")</f>
        <v>-129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150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155</v>
      </c>
    </row>
    <row r="30" customFormat="false" ht="12" hidden="false" customHeight="false" outlineLevel="0" collapsed="false">
      <c r="A30" s="27" t="n">
        <v>46407</v>
      </c>
      <c r="B30" s="2" t="s">
        <v>119</v>
      </c>
      <c r="E30" s="2" t="s">
        <v>120</v>
      </c>
      <c r="F30" s="2" t="s">
        <v>121</v>
      </c>
      <c r="G30" s="29" t="n">
        <v>144</v>
      </c>
      <c r="H30" s="6" t="n">
        <f aca="false">IF(G30&lt;&gt;0,G30*H$2/(100+H$2)," ")</f>
        <v>24</v>
      </c>
      <c r="I30" s="6" t="n">
        <f aca="false">IF((G30&lt;&gt;0),G30-H30," ")</f>
        <v>120</v>
      </c>
      <c r="J30" s="5"/>
      <c r="M30" s="7" t="n">
        <f aca="false">IF(G30&lt;&gt;0,G30-L30," ")</f>
        <v>144</v>
      </c>
      <c r="N30" s="8" t="n">
        <f aca="false">IF((G30-L30)&lt;&gt;0,N$1-A30," ")</f>
        <v>-129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120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122</v>
      </c>
    </row>
    <row r="31" customFormat="false" ht="12" hidden="false" customHeight="false" outlineLevel="0" collapsed="false">
      <c r="A31" s="27" t="n">
        <v>46408</v>
      </c>
      <c r="B31" s="2" t="s">
        <v>123</v>
      </c>
      <c r="E31" s="2" t="s">
        <v>124</v>
      </c>
      <c r="F31" s="2" t="s">
        <v>95</v>
      </c>
      <c r="G31" s="29" t="n">
        <v>8</v>
      </c>
      <c r="H31" s="6" t="n">
        <f aca="false">IF(G31&lt;&gt;0,G31*H$2/(100+H$2)," ")</f>
        <v>1.33333333333333</v>
      </c>
      <c r="I31" s="6" t="n">
        <f aca="false">IF((G31&lt;&gt;0),G31-H31," ")</f>
        <v>6.66666666666667</v>
      </c>
      <c r="J31" s="5"/>
      <c r="M31" s="7" t="n">
        <f aca="false">IF(G31&lt;&gt;0,G31-L31," ")</f>
        <v>8</v>
      </c>
      <c r="N31" s="8" t="n">
        <f aca="false">IF((G31-L31)&lt;&gt;0,N$1-A31," ")</f>
        <v>-130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6.66666666666667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96</v>
      </c>
    </row>
    <row r="32" customFormat="false" ht="12" hidden="false" customHeight="false" outlineLevel="0" collapsed="false">
      <c r="A32" s="27" t="n">
        <v>46409</v>
      </c>
      <c r="B32" s="2" t="s">
        <v>125</v>
      </c>
      <c r="E32" s="2" t="s">
        <v>126</v>
      </c>
      <c r="F32" s="2" t="s">
        <v>75</v>
      </c>
      <c r="G32" s="29" t="n">
        <v>18</v>
      </c>
      <c r="H32" s="6" t="n">
        <f aca="false">IF(G32&lt;&gt;0,G32*H$2/(100+H$2)," ")</f>
        <v>3</v>
      </c>
      <c r="I32" s="6" t="n">
        <f aca="false">IF((G32&lt;&gt;0),G32-H32," ")</f>
        <v>15</v>
      </c>
      <c r="J32" s="5"/>
      <c r="M32" s="7" t="n">
        <f aca="false">IF(G32&lt;&gt;0,G32-L32," ")</f>
        <v>18</v>
      </c>
      <c r="N32" s="8" t="n">
        <f aca="false">IF((G32-L32)&lt;&gt;0,N$1-A32," ")</f>
        <v>-131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46409</v>
      </c>
      <c r="B33" s="2" t="s">
        <v>158</v>
      </c>
      <c r="E33" s="2" t="s">
        <v>159</v>
      </c>
      <c r="F33" s="2" t="s">
        <v>24</v>
      </c>
      <c r="G33" s="29" t="n">
        <v>36</v>
      </c>
      <c r="H33" s="6" t="n">
        <f aca="false">IF(G33&lt;&gt;0,G33*H$2/(100+H$2)," ")</f>
        <v>6</v>
      </c>
      <c r="I33" s="6" t="n">
        <f aca="false">IF((G33&lt;&gt;0),G33-H33," ")</f>
        <v>30</v>
      </c>
      <c r="J33" s="5"/>
      <c r="M33" s="7" t="n">
        <f aca="false">IF(G33&lt;&gt;0,G33-L33," ")</f>
        <v>36</v>
      </c>
      <c r="N33" s="8" t="n">
        <f aca="false">IF((G33-L33)&lt;&gt;0,N$1-A33," ")</f>
        <v>-131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30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46412</v>
      </c>
      <c r="B34" s="2" t="s">
        <v>127</v>
      </c>
      <c r="E34" s="2" t="s">
        <v>128</v>
      </c>
      <c r="F34" s="2" t="s">
        <v>75</v>
      </c>
      <c r="G34" s="29" t="n">
        <v>15</v>
      </c>
      <c r="H34" s="6" t="n">
        <f aca="false">IF(G34&lt;&gt;0,G34*H$2/(100+H$2)," ")</f>
        <v>2.5</v>
      </c>
      <c r="I34" s="6" t="n">
        <f aca="false">IF((G34&lt;&gt;0),G34-H34," ")</f>
        <v>12.5</v>
      </c>
      <c r="J34" s="5"/>
      <c r="M34" s="7" t="n">
        <f aca="false">IF(G34&lt;&gt;0,G34-L34," ")</f>
        <v>15</v>
      </c>
      <c r="N34" s="8" t="n">
        <f aca="false">IF((G34-L34)&lt;&gt;0,N$1-A34," ")</f>
        <v>-134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12.5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85</v>
      </c>
    </row>
    <row r="35" customFormat="false" ht="12" hidden="false" customHeight="false" outlineLevel="0" collapsed="false">
      <c r="A35" s="27" t="n">
        <v>46412</v>
      </c>
      <c r="B35" s="2" t="s">
        <v>129</v>
      </c>
      <c r="D35" s="4" t="n">
        <v>85</v>
      </c>
      <c r="E35" s="2" t="s">
        <v>130</v>
      </c>
      <c r="F35" s="2" t="s">
        <v>24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46415</v>
      </c>
      <c r="B36" s="2" t="s">
        <v>19</v>
      </c>
      <c r="E36" s="2" t="s">
        <v>131</v>
      </c>
      <c r="F36" s="2" t="s">
        <v>24</v>
      </c>
      <c r="G36" s="29" t="n">
        <v>120</v>
      </c>
      <c r="H36" s="6" t="n">
        <f aca="false">IF(G36&lt;&gt;0,G36*H$2/(100+H$2)," ")</f>
        <v>20</v>
      </c>
      <c r="I36" s="6" t="n">
        <f aca="false">IF((G36&lt;&gt;0),G36-H36," ")</f>
        <v>100</v>
      </c>
      <c r="J36" s="5"/>
      <c r="M36" s="7" t="n">
        <f aca="false">IF(G36&lt;&gt;0,G36-L36," ")</f>
        <v>120</v>
      </c>
      <c r="N36" s="8" t="n">
        <f aca="false">IF((G36-L36)&lt;&gt;0,N$1-A36," ")</f>
        <v>-137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n">
        <f aca="false">IF((F36="v"),I36," ")</f>
        <v>100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90</v>
      </c>
    </row>
    <row r="37" customFormat="false" ht="12" hidden="false" customHeight="false" outlineLevel="0" collapsed="false">
      <c r="A37" s="27" t="n">
        <v>46418</v>
      </c>
      <c r="B37" s="2" t="s">
        <v>15</v>
      </c>
      <c r="E37" s="2" t="s">
        <v>132</v>
      </c>
      <c r="F37" s="2" t="s">
        <v>133</v>
      </c>
      <c r="G37" s="29" t="n">
        <v>300</v>
      </c>
      <c r="H37" s="6" t="n">
        <f aca="false">IF(G37&lt;&gt;0,G37*H$2/(100+H$2)," ")</f>
        <v>50</v>
      </c>
      <c r="I37" s="6" t="n">
        <f aca="false">IF((G37&lt;&gt;0),G37-H37," ")</f>
        <v>250</v>
      </c>
      <c r="J37" s="5"/>
      <c r="M37" s="7" t="n">
        <f aca="false">IF(G37&lt;&gt;0,G37-L37," ")</f>
        <v>300</v>
      </c>
      <c r="N37" s="8" t="n">
        <f aca="false">IF((G37-L37)&lt;&gt;0,N$1-A37," ")</f>
        <v>-140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134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70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727.5</v>
      </c>
      <c r="I1" s="13" t="n">
        <f aca="false">SUM(I2:I200)</f>
        <v>3669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4365</v>
      </c>
      <c r="N1" s="18" t="n">
        <f aca="true">TODAY()</f>
        <v>46278</v>
      </c>
      <c r="O1" s="15"/>
      <c r="P1" s="13" t="n">
        <f aca="false">SUM(P5:P300)</f>
        <v>550</v>
      </c>
      <c r="Q1" s="13" t="n">
        <f aca="false">SUM(Q5:Q300)</f>
        <v>0</v>
      </c>
      <c r="R1" s="13" t="n">
        <f aca="false">SUM(R5:R300)</f>
        <v>537.5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300</v>
      </c>
      <c r="V1" s="13" t="n">
        <f aca="false">SUM(V5:V300)</f>
        <v>112.5</v>
      </c>
      <c r="W1" s="13" t="n">
        <f aca="false">SUM(W2:W300)</f>
        <v>501.5</v>
      </c>
      <c r="X1" s="13" t="n">
        <f aca="false">SUM(X5:X300)</f>
        <v>306.666666666667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110.833333333333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G2+Jan!A2</f>
        <v>555.75</v>
      </c>
      <c r="B2" s="44" t="s">
        <v>22</v>
      </c>
      <c r="C2" s="43" t="n">
        <f aca="false">Jan!C2+D1+[1]Feb!$D$1</f>
        <v>1235</v>
      </c>
      <c r="D2" s="45" t="s">
        <v>23</v>
      </c>
      <c r="E2" s="20" t="s">
        <v>5</v>
      </c>
      <c r="F2" s="44" t="str">
        <f aca="false">Jan!F2</f>
        <v>v</v>
      </c>
      <c r="G2" s="46" t="n">
        <f aca="false">IF(C2&lt;[2]Admin!$F$22,(C2-Jan!C2)*[2]Admin!$G$21,C2*[2]Admin!$G$21-(C2-[2]Admin!$F$21)*([2]Admin!$G$21-[2]Admin!$G$22)-Jan!A2)</f>
        <v>31.5</v>
      </c>
      <c r="H2" s="21" t="n">
        <f aca="false">IF([1]Feb!$H$4&gt;0,0,[1]Feb!$H$2)</f>
        <v>20</v>
      </c>
      <c r="I2" s="47" t="n">
        <f aca="false">G2</f>
        <v>31.5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31.5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AB1+Jan!AB2</f>
        <v>52500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46419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-141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46419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-141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46419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-141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46419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-141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46419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-141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46419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-141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46421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-143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46421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-143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46423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-145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46423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-145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46423</v>
      </c>
      <c r="B15" s="2" t="s">
        <v>91</v>
      </c>
      <c r="E15" s="2" t="s">
        <v>92</v>
      </c>
      <c r="F15" s="2" t="s">
        <v>71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-145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72</v>
      </c>
    </row>
    <row r="16" customFormat="false" ht="12" hidden="false" customHeight="false" outlineLevel="0" collapsed="false">
      <c r="A16" s="27" t="n">
        <v>46424</v>
      </c>
      <c r="B16" s="2" t="s">
        <v>135</v>
      </c>
      <c r="E16" s="2" t="s">
        <v>136</v>
      </c>
      <c r="F16" s="2" t="s">
        <v>95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-146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30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46426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-148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46428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-150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46430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-152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46430</v>
      </c>
      <c r="B20" s="2" t="s">
        <v>188</v>
      </c>
      <c r="E20" s="2" t="s">
        <v>189</v>
      </c>
      <c r="F20" s="2" t="s">
        <v>71</v>
      </c>
      <c r="G20" s="29" t="n">
        <v>360</v>
      </c>
      <c r="H20" s="6" t="n">
        <f aca="false">IF(G20&lt;&gt;0,G20*H$2/(100+H$2)," ")</f>
        <v>60</v>
      </c>
      <c r="I20" s="6" t="n">
        <f aca="false">IF((G20&lt;&gt;0),G20-H20," ")</f>
        <v>300</v>
      </c>
      <c r="J20" s="5"/>
      <c r="M20" s="7" t="n">
        <f aca="false">IF(G20&lt;&gt;0,G20-L20," ")</f>
        <v>360</v>
      </c>
      <c r="N20" s="8" t="n">
        <f aca="false">IF((G20-L20)&lt;&gt;0,N$1-A20," ")</f>
        <v>-152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n">
        <f aca="false">IF((F20="o"),I20," ")</f>
        <v>300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139</v>
      </c>
    </row>
    <row r="21" customFormat="false" ht="12" hidden="false" customHeight="false" outlineLevel="0" collapsed="false">
      <c r="A21" s="27" t="n">
        <v>46432</v>
      </c>
      <c r="B21" s="2" t="s">
        <v>108</v>
      </c>
      <c r="E21" s="2" t="s">
        <v>109</v>
      </c>
      <c r="F21" s="2" t="s">
        <v>75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-154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n">
        <f aca="false">IF((F21="y"),I21," ")</f>
        <v>15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85</v>
      </c>
    </row>
    <row r="22" customFormat="false" ht="12" hidden="false" customHeight="false" outlineLevel="0" collapsed="false">
      <c r="A22" s="27" t="n">
        <v>46432</v>
      </c>
      <c r="B22" s="2" t="s">
        <v>110</v>
      </c>
      <c r="E22" s="2" t="s">
        <v>111</v>
      </c>
      <c r="F22" s="2" t="s">
        <v>95</v>
      </c>
      <c r="G22" s="29" t="n">
        <v>24</v>
      </c>
      <c r="H22" s="6" t="n">
        <f aca="false">IF(G22&lt;&gt;0,G22*H$2/(100+H$2)," ")</f>
        <v>4</v>
      </c>
      <c r="I22" s="6" t="n">
        <f aca="false">IF((G22&lt;&gt;0),G22-H22," ")</f>
        <v>20</v>
      </c>
      <c r="J22" s="5"/>
      <c r="M22" s="7" t="n">
        <f aca="false">IF(G22&lt;&gt;0,G22-L22," ")</f>
        <v>24</v>
      </c>
      <c r="N22" s="8" t="n">
        <f aca="false">IF((G22-L22)&lt;&gt;0,N$1-A22," ")</f>
        <v>-154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46432</v>
      </c>
      <c r="B23" s="2" t="s">
        <v>112</v>
      </c>
      <c r="E23" s="2" t="s">
        <v>113</v>
      </c>
      <c r="F23" s="2" t="s">
        <v>95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-154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96</v>
      </c>
    </row>
    <row r="24" customFormat="false" ht="12" hidden="false" customHeight="false" outlineLevel="0" collapsed="false">
      <c r="A24" s="27" t="n">
        <v>46433</v>
      </c>
      <c r="B24" s="2" t="s">
        <v>19</v>
      </c>
      <c r="E24" s="2" t="s">
        <v>89</v>
      </c>
      <c r="F24" s="2" t="s">
        <v>24</v>
      </c>
      <c r="G24" s="29" t="n">
        <v>150</v>
      </c>
      <c r="H24" s="6" t="n">
        <f aca="false">IF(G24&lt;&gt;0,G24*H$2/(100+H$2)," ")</f>
        <v>25</v>
      </c>
      <c r="I24" s="6" t="n">
        <f aca="false">IF((G24&lt;&gt;0),G24-H24," ")</f>
        <v>125</v>
      </c>
      <c r="J24" s="5"/>
      <c r="M24" s="7" t="n">
        <f aca="false">IF(G24&lt;&gt;0,G24-L24," ")</f>
        <v>150</v>
      </c>
      <c r="N24" s="8" t="n">
        <f aca="false">IF((G24-L24)&lt;&gt;0,N$1-A24," ")</f>
        <v>-155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125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90</v>
      </c>
    </row>
    <row r="25" customFormat="false" ht="12" hidden="false" customHeight="false" outlineLevel="0" collapsed="false">
      <c r="A25" s="27" t="n">
        <v>46433</v>
      </c>
      <c r="B25" s="2" t="s">
        <v>114</v>
      </c>
      <c r="E25" s="2" t="s">
        <v>115</v>
      </c>
      <c r="F25" s="2" t="s">
        <v>65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-155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66</v>
      </c>
    </row>
    <row r="26" customFormat="false" ht="12" hidden="false" customHeight="false" outlineLevel="0" collapsed="false">
      <c r="A26" s="27" t="n">
        <v>46433</v>
      </c>
      <c r="B26" s="2" t="s">
        <v>144</v>
      </c>
      <c r="E26" s="2" t="s">
        <v>145</v>
      </c>
      <c r="F26" s="2" t="s">
        <v>104</v>
      </c>
      <c r="G26" s="29" t="n">
        <v>420</v>
      </c>
      <c r="H26" s="6" t="n">
        <f aca="false">IF(G26&lt;&gt;0,G26*H$2/(100+H$2)," ")</f>
        <v>70</v>
      </c>
      <c r="I26" s="6" t="n">
        <f aca="false">IF((G26&lt;&gt;0),G26-H26," ")</f>
        <v>350</v>
      </c>
      <c r="J26" s="5"/>
      <c r="M26" s="7" t="n">
        <f aca="false">IF(G26&lt;&gt;0,G26-L26," ")</f>
        <v>420</v>
      </c>
      <c r="N26" s="8" t="n">
        <f aca="false">IF((G26-L26)&lt;&gt;0,N$1-A26," ")</f>
        <v>-155</v>
      </c>
      <c r="O26" s="5"/>
      <c r="P26" s="19" t="n">
        <f aca="false">IF((F26="s"),I26," ")</f>
        <v>350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105</v>
      </c>
    </row>
    <row r="27" customFormat="false" ht="12" hidden="false" customHeight="false" outlineLevel="0" collapsed="false">
      <c r="A27" s="27" t="n">
        <v>46436</v>
      </c>
      <c r="B27" s="2" t="s">
        <v>196</v>
      </c>
      <c r="E27" s="2" t="s">
        <v>233</v>
      </c>
      <c r="F27" s="2" t="s">
        <v>121</v>
      </c>
      <c r="G27" s="29" t="n">
        <v>360</v>
      </c>
      <c r="H27" s="6" t="n">
        <f aca="false">IF(G27&lt;&gt;0,G27*H$2/(100+H$2)," ")</f>
        <v>60</v>
      </c>
      <c r="I27" s="6" t="n">
        <f aca="false">IF((G27&lt;&gt;0),G27-H27," ")</f>
        <v>300</v>
      </c>
      <c r="J27" s="5"/>
      <c r="M27" s="7" t="n">
        <f aca="false">IF(G27&lt;&gt;0,G27-L27," ")</f>
        <v>360</v>
      </c>
      <c r="N27" s="8" t="n">
        <f aca="false">IF((G27-L27)&lt;&gt;0,N$1-A27," ")</f>
        <v>-158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300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122</v>
      </c>
    </row>
    <row r="28" customFormat="false" ht="12" hidden="false" customHeight="false" outlineLevel="0" collapsed="false">
      <c r="A28" s="27" t="n">
        <v>46436</v>
      </c>
      <c r="B28" s="2" t="s">
        <v>168</v>
      </c>
      <c r="E28" s="2" t="s">
        <v>234</v>
      </c>
      <c r="F28" s="2" t="s">
        <v>95</v>
      </c>
      <c r="G28" s="29" t="n">
        <v>240</v>
      </c>
      <c r="H28" s="6" t="n">
        <f aca="false">IF(G28&lt;&gt;0,G28*H$2/(100+H$2)," ")</f>
        <v>40</v>
      </c>
      <c r="I28" s="6" t="n">
        <f aca="false">IF((G28&lt;&gt;0),G28-H28," ")</f>
        <v>200</v>
      </c>
      <c r="J28" s="5"/>
      <c r="M28" s="7" t="n">
        <f aca="false">IF(G28&lt;&gt;0,G28-L28," ")</f>
        <v>240</v>
      </c>
      <c r="N28" s="8" t="n">
        <f aca="false">IF((G28-L28)&lt;&gt;0,N$1-A28," ")</f>
        <v>-158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n">
        <f aca="false">IF((F28="h"),I28," ")</f>
        <v>200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96</v>
      </c>
    </row>
    <row r="29" customFormat="false" ht="12" hidden="false" customHeight="false" outlineLevel="0" collapsed="false">
      <c r="A29" s="27" t="n">
        <v>46436</v>
      </c>
      <c r="B29" s="2" t="s">
        <v>116</v>
      </c>
      <c r="E29" s="2" t="s">
        <v>89</v>
      </c>
      <c r="F29" s="2" t="s">
        <v>24</v>
      </c>
      <c r="G29" s="29" t="n">
        <v>96</v>
      </c>
      <c r="H29" s="6" t="n">
        <f aca="false">IF(G29&lt;&gt;0,G29*H$2/(100+H$2)," ")</f>
        <v>16</v>
      </c>
      <c r="I29" s="6" t="n">
        <f aca="false">IF((G29&lt;&gt;0),G29-H29," ")</f>
        <v>80</v>
      </c>
      <c r="J29" s="5"/>
      <c r="M29" s="7" t="n">
        <f aca="false">IF(G29&lt;&gt;0,G29-L29," ")</f>
        <v>96</v>
      </c>
      <c r="N29" s="8" t="n">
        <f aca="false">IF((G29-L29)&lt;&gt;0,N$1-A29," ")</f>
        <v>-158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80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90</v>
      </c>
    </row>
    <row r="30" customFormat="false" ht="12" hidden="false" customHeight="false" outlineLevel="0" collapsed="false">
      <c r="A30" s="27" t="n">
        <v>46438</v>
      </c>
      <c r="B30" s="2" t="s">
        <v>117</v>
      </c>
      <c r="E30" s="2" t="s">
        <v>118</v>
      </c>
      <c r="F30" s="2" t="s">
        <v>65</v>
      </c>
      <c r="G30" s="29" t="n">
        <v>60</v>
      </c>
      <c r="H30" s="6" t="n">
        <f aca="false">IF(G30&lt;&gt;0,G30*H$2/(100+H$2)," ")</f>
        <v>10</v>
      </c>
      <c r="I30" s="6" t="n">
        <f aca="false">IF((G30&lt;&gt;0),G30-H30," ")</f>
        <v>50</v>
      </c>
      <c r="J30" s="5"/>
      <c r="M30" s="7" t="n">
        <f aca="false">IF(G30&lt;&gt;0,G30-L30," ")</f>
        <v>60</v>
      </c>
      <c r="N30" s="8" t="n">
        <f aca="false">IF((G30-L30)&lt;&gt;0,N$1-A30," ")</f>
        <v>-160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66</v>
      </c>
    </row>
    <row r="31" customFormat="false" ht="12" hidden="false" customHeight="false" outlineLevel="0" collapsed="false">
      <c r="A31" s="27" t="n">
        <v>46438</v>
      </c>
      <c r="B31" s="2" t="s">
        <v>156</v>
      </c>
      <c r="E31" s="2" t="s">
        <v>157</v>
      </c>
      <c r="F31" s="2" t="s">
        <v>104</v>
      </c>
      <c r="G31" s="29" t="n">
        <v>240</v>
      </c>
      <c r="H31" s="6" t="n">
        <f aca="false">IF(G31&lt;&gt;0,G31*H$2/(100+H$2)," ")</f>
        <v>40</v>
      </c>
      <c r="I31" s="6" t="n">
        <f aca="false">IF((G31&lt;&gt;0),G31-H31," ")</f>
        <v>200</v>
      </c>
      <c r="J31" s="5"/>
      <c r="M31" s="7" t="n">
        <f aca="false">IF(G31&lt;&gt;0,G31-L31," ")</f>
        <v>240</v>
      </c>
      <c r="N31" s="8" t="n">
        <f aca="false">IF((G31-L31)&lt;&gt;0,N$1-A31," ")</f>
        <v>-160</v>
      </c>
      <c r="O31" s="5"/>
      <c r="P31" s="19" t="n">
        <f aca="false">IF((F31="s"),I31," ")</f>
        <v>200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105</v>
      </c>
    </row>
    <row r="32" customFormat="false" ht="12" hidden="false" customHeight="false" outlineLevel="0" collapsed="false">
      <c r="A32" s="27" t="n">
        <v>46439</v>
      </c>
      <c r="B32" s="2" t="s">
        <v>123</v>
      </c>
      <c r="E32" s="2" t="s">
        <v>124</v>
      </c>
      <c r="F32" s="2" t="s">
        <v>95</v>
      </c>
      <c r="G32" s="29" t="n">
        <v>8</v>
      </c>
      <c r="H32" s="6" t="n">
        <f aca="false">IF(G32&lt;&gt;0,G32*H$2/(100+H$2)," ")</f>
        <v>1.33333333333333</v>
      </c>
      <c r="I32" s="6" t="n">
        <f aca="false">IF((G32&lt;&gt;0),G32-H32," ")</f>
        <v>6.66666666666667</v>
      </c>
      <c r="J32" s="5"/>
      <c r="M32" s="7" t="n">
        <f aca="false">IF(G32&lt;&gt;0,G32-L32," ")</f>
        <v>8</v>
      </c>
      <c r="N32" s="8" t="n">
        <f aca="false">IF((G32-L32)&lt;&gt;0,N$1-A32," ")</f>
        <v>-161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6.66666666666667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96</v>
      </c>
    </row>
    <row r="33" customFormat="false" ht="12" hidden="false" customHeight="false" outlineLevel="0" collapsed="false">
      <c r="A33" s="27" t="n">
        <v>46440</v>
      </c>
      <c r="B33" s="2" t="s">
        <v>125</v>
      </c>
      <c r="E33" s="2" t="s">
        <v>126</v>
      </c>
      <c r="F33" s="2" t="s">
        <v>75</v>
      </c>
      <c r="G33" s="29" t="n">
        <v>18</v>
      </c>
      <c r="H33" s="6" t="n">
        <f aca="false">IF(G33&lt;&gt;0,G33*H$2/(100+H$2)," ")</f>
        <v>3</v>
      </c>
      <c r="I33" s="6" t="n">
        <f aca="false">IF((G33&lt;&gt;0),G33-H33," ")</f>
        <v>15</v>
      </c>
      <c r="J33" s="5"/>
      <c r="M33" s="7" t="n">
        <f aca="false">IF(G33&lt;&gt;0,G33-L33," ")</f>
        <v>18</v>
      </c>
      <c r="N33" s="8" t="n">
        <f aca="false">IF((G33-L33)&lt;&gt;0,N$1-A33," ")</f>
        <v>-162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46443</v>
      </c>
      <c r="B34" s="2" t="s">
        <v>127</v>
      </c>
      <c r="E34" s="2" t="s">
        <v>128</v>
      </c>
      <c r="F34" s="2" t="s">
        <v>75</v>
      </c>
      <c r="G34" s="29" t="n">
        <v>15</v>
      </c>
      <c r="H34" s="6" t="n">
        <f aca="false">IF(G34&lt;&gt;0,G34*H$2/(100+H$2)," ")</f>
        <v>2.5</v>
      </c>
      <c r="I34" s="6" t="n">
        <f aca="false">IF((G34&lt;&gt;0),G34-H34," ")</f>
        <v>12.5</v>
      </c>
      <c r="J34" s="5"/>
      <c r="M34" s="7" t="n">
        <f aca="false">IF(G34&lt;&gt;0,G34-L34," ")</f>
        <v>15</v>
      </c>
      <c r="N34" s="8" t="n">
        <f aca="false">IF((G34-L34)&lt;&gt;0,N$1-A34," ")</f>
        <v>-165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12.5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85</v>
      </c>
    </row>
    <row r="35" customFormat="false" ht="12" hidden="false" customHeight="false" outlineLevel="0" collapsed="false">
      <c r="A35" s="27" t="n">
        <v>46443</v>
      </c>
      <c r="B35" s="2" t="s">
        <v>129</v>
      </c>
      <c r="D35" s="4" t="n">
        <v>70</v>
      </c>
      <c r="E35" s="2" t="s">
        <v>235</v>
      </c>
      <c r="F35" s="2" t="s">
        <v>24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46446</v>
      </c>
      <c r="B36" s="2" t="s">
        <v>15</v>
      </c>
      <c r="E36" s="2" t="s">
        <v>132</v>
      </c>
      <c r="F36" s="2" t="s">
        <v>133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-168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134</v>
      </c>
    </row>
    <row r="37" customFormat="false" ht="12" hidden="false" customHeight="false" outlineLevel="0" collapsed="false">
      <c r="A37" s="27" t="n">
        <v>46446</v>
      </c>
      <c r="B37" s="2" t="s">
        <v>19</v>
      </c>
      <c r="E37" s="2" t="s">
        <v>131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-168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90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130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611.333333333333</v>
      </c>
      <c r="I1" s="13" t="n">
        <f aca="false">SUM(I2:I200)</f>
        <v>3115.16666666667</v>
      </c>
      <c r="J1" s="15"/>
      <c r="K1" s="16" t="s">
        <v>4</v>
      </c>
      <c r="L1" s="17" t="n">
        <f aca="false">SUM(L5:L300)</f>
        <v>0</v>
      </c>
      <c r="M1" s="17" t="n">
        <f aca="false">SUM(M5:M200)</f>
        <v>3668</v>
      </c>
      <c r="N1" s="18" t="n">
        <f aca="true">TODAY()</f>
        <v>46278</v>
      </c>
      <c r="O1" s="15"/>
      <c r="P1" s="13" t="n">
        <f aca="false">SUM(P5:P300)</f>
        <v>250</v>
      </c>
      <c r="Q1" s="13" t="n">
        <f aca="false">SUM(Q5:Q300)</f>
        <v>0</v>
      </c>
      <c r="R1" s="13" t="n">
        <f aca="false">SUM(R5:R300)</f>
        <v>207.5</v>
      </c>
      <c r="S1" s="13" t="n">
        <f aca="false">SUM(S5:S300)</f>
        <v>0</v>
      </c>
      <c r="T1" s="13" t="n">
        <f aca="false">SUM(T5:T300)</f>
        <v>1300</v>
      </c>
      <c r="U1" s="13" t="n">
        <f aca="false">SUM(U5:U300)</f>
        <v>0</v>
      </c>
      <c r="V1" s="13" t="n">
        <f aca="false">SUM(V5:V300)</f>
        <v>252.5</v>
      </c>
      <c r="W1" s="13" t="n">
        <f aca="false">SUM(W2:W300)</f>
        <v>578.5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354.166666666667</v>
      </c>
      <c r="AA1" s="13" t="n">
        <f aca="false">SUM(AA5:AA300)</f>
        <v>95.8333333333333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G2+Feb!A2</f>
        <v>614.25</v>
      </c>
      <c r="B2" s="44" t="s">
        <v>22</v>
      </c>
      <c r="C2" s="43" t="n">
        <f aca="false">Feb!C2+D1+[1]Mar!$D$1</f>
        <v>1365</v>
      </c>
      <c r="D2" s="45" t="s">
        <v>23</v>
      </c>
      <c r="E2" s="20" t="s">
        <v>5</v>
      </c>
      <c r="F2" s="44" t="str">
        <f aca="false">Feb!F2</f>
        <v>v</v>
      </c>
      <c r="G2" s="46" t="n">
        <f aca="false">IF(C2&lt;[2]Admin!$F$22,(C2-Feb!C2)*[2]Admin!$G$21,C2*[2]Admin!$G$21-(C2-[2]Admin!$F$21)*([2]Admin!$G$21-[2]Admin!$G$22)-Feb!A2)</f>
        <v>58.5</v>
      </c>
      <c r="H2" s="21" t="n">
        <f aca="false">IF([1]Mar!$H$4&gt;0,0,[1]Mar!$H$2)</f>
        <v>20</v>
      </c>
      <c r="I2" s="47" t="n">
        <f aca="false">G2</f>
        <v>58.5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58.5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AB1+Feb!AB2</f>
        <v>52500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46447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-169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46447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-169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46447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-169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46447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-169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46447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-169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46447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-169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46449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-171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46449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-171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46451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-173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46451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-173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46454</v>
      </c>
      <c r="B15" s="2" t="s">
        <v>93</v>
      </c>
      <c r="E15" s="2" t="s">
        <v>94</v>
      </c>
      <c r="F15" s="2" t="s">
        <v>95</v>
      </c>
      <c r="G15" s="29" t="n">
        <v>48</v>
      </c>
      <c r="H15" s="6" t="n">
        <f aca="false">IF(G15&lt;&gt;0,G15*H$2/(100+H$2)," ")</f>
        <v>8</v>
      </c>
      <c r="I15" s="6" t="n">
        <f aca="false">IF((G15&lt;&gt;0),G15-H15," ")</f>
        <v>40</v>
      </c>
      <c r="J15" s="5"/>
      <c r="M15" s="7" t="n">
        <f aca="false">IF(G15&lt;&gt;0,G15-L15," ")</f>
        <v>48</v>
      </c>
      <c r="N15" s="8" t="n">
        <f aca="false">IF((G15-L15)&lt;&gt;0,N$1-A15," ")</f>
        <v>-176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96</v>
      </c>
    </row>
    <row r="16" customFormat="false" ht="12" hidden="false" customHeight="false" outlineLevel="0" collapsed="false">
      <c r="A16" s="27" t="n">
        <v>46456</v>
      </c>
      <c r="B16" s="2" t="s">
        <v>97</v>
      </c>
      <c r="E16" s="2" t="s">
        <v>98</v>
      </c>
      <c r="F16" s="2" t="s">
        <v>75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-178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n">
        <f aca="false">IF((F16="y"),I16," ")</f>
        <v>30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85</v>
      </c>
    </row>
    <row r="17" customFormat="false" ht="12" hidden="false" customHeight="false" outlineLevel="0" collapsed="false">
      <c r="A17" s="27" t="n">
        <v>46456</v>
      </c>
      <c r="B17" s="2" t="s">
        <v>114</v>
      </c>
      <c r="E17" s="2" t="s">
        <v>206</v>
      </c>
      <c r="F17" s="2" t="s">
        <v>65</v>
      </c>
      <c r="G17" s="29" t="n">
        <v>144</v>
      </c>
      <c r="H17" s="6" t="n">
        <f aca="false">IF(G17&lt;&gt;0,G17*H$2/(100+H$2)," ")</f>
        <v>24</v>
      </c>
      <c r="I17" s="6" t="n">
        <f aca="false">IF((G17&lt;&gt;0),G17-H17," ")</f>
        <v>120</v>
      </c>
      <c r="J17" s="5"/>
      <c r="M17" s="7" t="n">
        <f aca="false">IF(G17&lt;&gt;0,G17-L17," ")</f>
        <v>144</v>
      </c>
      <c r="N17" s="8" t="n">
        <f aca="false">IF((G17-L17)&lt;&gt;0,N$1-A17," ")</f>
        <v>-178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n">
        <f aca="false">IF((F17="g"),I17," ")</f>
        <v>120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155</v>
      </c>
    </row>
    <row r="18" customFormat="false" ht="12" hidden="false" customHeight="false" outlineLevel="0" collapsed="false">
      <c r="A18" s="27" t="n">
        <v>46458</v>
      </c>
      <c r="B18" s="2" t="s">
        <v>106</v>
      </c>
      <c r="E18" s="2" t="s">
        <v>107</v>
      </c>
      <c r="F18" s="2" t="s">
        <v>24</v>
      </c>
      <c r="G18" s="29" t="n">
        <v>18</v>
      </c>
      <c r="H18" s="6" t="n">
        <f aca="false">IF(G18&lt;&gt;0,G18*H$2/(100+H$2)," ")</f>
        <v>3</v>
      </c>
      <c r="I18" s="6" t="n">
        <f aca="false">IF((G18&lt;&gt;0),G18-H18," ")</f>
        <v>15</v>
      </c>
      <c r="J18" s="5"/>
      <c r="M18" s="7" t="n">
        <f aca="false">IF(G18&lt;&gt;0,G18-L18," ")</f>
        <v>18</v>
      </c>
      <c r="N18" s="8" t="n">
        <f aca="false">IF((G18-L18)&lt;&gt;0,N$1-A18," ")</f>
        <v>-180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15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90</v>
      </c>
    </row>
    <row r="19" customFormat="false" ht="12" hidden="false" customHeight="false" outlineLevel="0" collapsed="false">
      <c r="A19" s="27" t="n">
        <v>46460</v>
      </c>
      <c r="B19" s="2" t="s">
        <v>110</v>
      </c>
      <c r="E19" s="2" t="s">
        <v>111</v>
      </c>
      <c r="F19" s="2" t="s">
        <v>95</v>
      </c>
      <c r="G19" s="29" t="n">
        <v>24</v>
      </c>
      <c r="H19" s="6" t="n">
        <f aca="false">IF(G19&lt;&gt;0,G19*H$2/(100+H$2)," ")</f>
        <v>4</v>
      </c>
      <c r="I19" s="6" t="n">
        <f aca="false">IF((G19&lt;&gt;0),G19-H19," ")</f>
        <v>20</v>
      </c>
      <c r="J19" s="5"/>
      <c r="M19" s="7" t="n">
        <f aca="false">IF(G19&lt;&gt;0,G19-L19," ")</f>
        <v>24</v>
      </c>
      <c r="N19" s="8" t="n">
        <f aca="false">IF((G19-L19)&lt;&gt;0,N$1-A19," ")</f>
        <v>-182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20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96</v>
      </c>
    </row>
    <row r="20" customFormat="false" ht="12" hidden="false" customHeight="false" outlineLevel="0" collapsed="false">
      <c r="A20" s="27" t="n">
        <v>46460</v>
      </c>
      <c r="B20" s="2" t="s">
        <v>112</v>
      </c>
      <c r="E20" s="2" t="s">
        <v>113</v>
      </c>
      <c r="F20" s="2" t="s">
        <v>95</v>
      </c>
      <c r="G20" s="29" t="n">
        <v>12</v>
      </c>
      <c r="H20" s="6" t="n">
        <f aca="false">IF(G20&lt;&gt;0,G20*H$2/(100+H$2)," ")</f>
        <v>2</v>
      </c>
      <c r="I20" s="6" t="n">
        <f aca="false">IF((G20&lt;&gt;0),G20-H20," ")</f>
        <v>10</v>
      </c>
      <c r="J20" s="5"/>
      <c r="M20" s="7" t="n">
        <f aca="false">IF(G20&lt;&gt;0,G20-L20," ")</f>
        <v>12</v>
      </c>
      <c r="N20" s="8" t="n">
        <f aca="false">IF((G20-L20)&lt;&gt;0,N$1-A20," ")</f>
        <v>-182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96</v>
      </c>
    </row>
    <row r="21" customFormat="false" ht="12" hidden="false" customHeight="false" outlineLevel="0" collapsed="false">
      <c r="A21" s="27" t="n">
        <v>46461</v>
      </c>
      <c r="B21" s="2" t="s">
        <v>19</v>
      </c>
      <c r="E21" s="2" t="s">
        <v>89</v>
      </c>
      <c r="F21" s="2" t="s">
        <v>24</v>
      </c>
      <c r="G21" s="29" t="n">
        <v>150</v>
      </c>
      <c r="H21" s="6" t="n">
        <f aca="false">IF(G21&lt;&gt;0,G21*H$2/(100+H$2)," ")</f>
        <v>25</v>
      </c>
      <c r="I21" s="6" t="n">
        <f aca="false">IF((G21&lt;&gt;0),G21-H21," ")</f>
        <v>125</v>
      </c>
      <c r="J21" s="5"/>
      <c r="M21" s="7" t="n">
        <f aca="false">IF(G21&lt;&gt;0,G21-L21," ")</f>
        <v>150</v>
      </c>
      <c r="N21" s="8" t="n">
        <f aca="false">IF((G21-L21)&lt;&gt;0,N$1-A21," ")</f>
        <v>-183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125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46461</v>
      </c>
      <c r="B22" s="2" t="s">
        <v>114</v>
      </c>
      <c r="E22" s="2" t="s">
        <v>115</v>
      </c>
      <c r="F22" s="2" t="s">
        <v>65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-183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10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66</v>
      </c>
    </row>
    <row r="23" customFormat="false" ht="12" hidden="false" customHeight="false" outlineLevel="0" collapsed="false">
      <c r="A23" s="27" t="n">
        <v>46462</v>
      </c>
      <c r="B23" s="2" t="s">
        <v>151</v>
      </c>
      <c r="E23" s="2" t="s">
        <v>152</v>
      </c>
      <c r="F23" s="2" t="s">
        <v>65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-184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20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66</v>
      </c>
    </row>
    <row r="24" customFormat="false" ht="12" hidden="false" customHeight="false" outlineLevel="0" collapsed="false">
      <c r="A24" s="27" t="n">
        <v>46464</v>
      </c>
      <c r="B24" s="2" t="s">
        <v>170</v>
      </c>
      <c r="E24" s="2" t="s">
        <v>171</v>
      </c>
      <c r="F24" s="2" t="s">
        <v>104</v>
      </c>
      <c r="G24" s="29" t="n">
        <v>300</v>
      </c>
      <c r="H24" s="6" t="n">
        <f aca="false">IF(G24&lt;&gt;0,G24*H$2/(100+H$2)," ")</f>
        <v>50</v>
      </c>
      <c r="I24" s="6" t="n">
        <f aca="false">IF((G24&lt;&gt;0),G24-H24," ")</f>
        <v>250</v>
      </c>
      <c r="J24" s="5"/>
      <c r="M24" s="7" t="n">
        <f aca="false">IF(G24&lt;&gt;0,G24-L24," ")</f>
        <v>300</v>
      </c>
      <c r="N24" s="8" t="n">
        <f aca="false">IF((G24-L24)&lt;&gt;0,N$1-A24," ")</f>
        <v>-186</v>
      </c>
      <c r="O24" s="5"/>
      <c r="P24" s="19" t="n">
        <f aca="false">IF((F24="s"),I24," ")</f>
        <v>250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105</v>
      </c>
    </row>
    <row r="25" customFormat="false" ht="12" hidden="false" customHeight="false" outlineLevel="0" collapsed="false">
      <c r="A25" s="27" t="n">
        <v>46464</v>
      </c>
      <c r="B25" s="2" t="s">
        <v>116</v>
      </c>
      <c r="E25" s="2" t="s">
        <v>89</v>
      </c>
      <c r="F25" s="2" t="s">
        <v>24</v>
      </c>
      <c r="G25" s="29" t="n">
        <v>96</v>
      </c>
      <c r="H25" s="6" t="n">
        <f aca="false">IF(G25&lt;&gt;0,G25*H$2/(100+H$2)," ")</f>
        <v>16</v>
      </c>
      <c r="I25" s="6" t="n">
        <f aca="false">IF((G25&lt;&gt;0),G25-H25," ")</f>
        <v>80</v>
      </c>
      <c r="J25" s="5"/>
      <c r="M25" s="7" t="n">
        <f aca="false">IF(G25&lt;&gt;0,G25-L25," ")</f>
        <v>96</v>
      </c>
      <c r="N25" s="8" t="n">
        <f aca="false">IF((G25-L25)&lt;&gt;0,N$1-A25," ")</f>
        <v>-186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80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90</v>
      </c>
    </row>
    <row r="26" customFormat="false" ht="12" hidden="false" customHeight="false" outlineLevel="0" collapsed="false">
      <c r="A26" s="27" t="n">
        <v>46466</v>
      </c>
      <c r="B26" s="2" t="s">
        <v>117</v>
      </c>
      <c r="E26" s="2" t="s">
        <v>118</v>
      </c>
      <c r="F26" s="2" t="s">
        <v>65</v>
      </c>
      <c r="G26" s="29" t="n">
        <v>60</v>
      </c>
      <c r="H26" s="6" t="n">
        <f aca="false">IF(G26&lt;&gt;0,G26*H$2/(100+H$2)," ")</f>
        <v>10</v>
      </c>
      <c r="I26" s="6" t="n">
        <f aca="false">IF((G26&lt;&gt;0),G26-H26," ")</f>
        <v>50</v>
      </c>
      <c r="J26" s="5"/>
      <c r="M26" s="7" t="n">
        <f aca="false">IF(G26&lt;&gt;0,G26-L26," ")</f>
        <v>60</v>
      </c>
      <c r="N26" s="8" t="n">
        <f aca="false">IF((G26-L26)&lt;&gt;0,N$1-A26," ")</f>
        <v>-188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50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66</v>
      </c>
    </row>
    <row r="27" customFormat="false" ht="12" hidden="false" customHeight="false" outlineLevel="0" collapsed="false">
      <c r="A27" s="27" t="n">
        <v>46467</v>
      </c>
      <c r="B27" s="2" t="s">
        <v>123</v>
      </c>
      <c r="E27" s="2" t="s">
        <v>124</v>
      </c>
      <c r="F27" s="2" t="s">
        <v>95</v>
      </c>
      <c r="G27" s="29" t="n">
        <v>8</v>
      </c>
      <c r="H27" s="6" t="n">
        <f aca="false">IF(G27&lt;&gt;0,G27*H$2/(100+H$2)," ")</f>
        <v>1.33333333333333</v>
      </c>
      <c r="I27" s="6" t="n">
        <f aca="false">IF((G27&lt;&gt;0),G27-H27," ")</f>
        <v>6.66666666666667</v>
      </c>
      <c r="J27" s="5"/>
      <c r="M27" s="7" t="n">
        <f aca="false">IF(G27&lt;&gt;0,G27-L27," ")</f>
        <v>8</v>
      </c>
      <c r="N27" s="8" t="n">
        <f aca="false">IF((G27-L27)&lt;&gt;0,N$1-A27," ")</f>
        <v>-189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n">
        <f aca="false">IF((F27="h"),I27," ")</f>
        <v>6.66666666666667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96</v>
      </c>
    </row>
    <row r="28" customFormat="false" ht="12" hidden="false" customHeight="false" outlineLevel="0" collapsed="false">
      <c r="A28" s="27" t="n">
        <v>46468</v>
      </c>
      <c r="B28" s="2" t="s">
        <v>125</v>
      </c>
      <c r="E28" s="2" t="s">
        <v>126</v>
      </c>
      <c r="F28" s="2" t="s">
        <v>75</v>
      </c>
      <c r="G28" s="29" t="n">
        <v>18</v>
      </c>
      <c r="H28" s="6" t="n">
        <f aca="false">IF(G28&lt;&gt;0,G28*H$2/(100+H$2)," ")</f>
        <v>3</v>
      </c>
      <c r="I28" s="6" t="n">
        <f aca="false">IF((G28&lt;&gt;0),G28-H28," ")</f>
        <v>15</v>
      </c>
      <c r="J28" s="5"/>
      <c r="M28" s="7" t="n">
        <f aca="false">IF(G28&lt;&gt;0,G28-L28," ")</f>
        <v>18</v>
      </c>
      <c r="N28" s="8" t="n">
        <f aca="false">IF((G28-L28)&lt;&gt;0,N$1-A28," ")</f>
        <v>-190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n">
        <f aca="false">IF((F28="y"),I28," ")</f>
        <v>15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85</v>
      </c>
    </row>
    <row r="29" customFormat="false" ht="12" hidden="false" customHeight="false" outlineLevel="0" collapsed="false">
      <c r="A29" s="27" t="n">
        <v>46468</v>
      </c>
      <c r="B29" s="2" t="s">
        <v>158</v>
      </c>
      <c r="E29" s="2" t="s">
        <v>159</v>
      </c>
      <c r="F29" s="2" t="s">
        <v>24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-190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50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90</v>
      </c>
    </row>
    <row r="30" customFormat="false" ht="12" hidden="false" customHeight="false" outlineLevel="0" collapsed="false">
      <c r="A30" s="27" t="n">
        <v>46471</v>
      </c>
      <c r="B30" s="2" t="s">
        <v>172</v>
      </c>
      <c r="E30" s="2" t="s">
        <v>173</v>
      </c>
      <c r="F30" s="2" t="s">
        <v>61</v>
      </c>
      <c r="G30" s="29" t="n">
        <v>360</v>
      </c>
      <c r="H30" s="6" t="n">
        <f aca="false">IF(G30&lt;&gt;0,G30*H$2/(100+H$2)," ")</f>
        <v>60</v>
      </c>
      <c r="I30" s="6" t="n">
        <f aca="false">IF((G30&lt;&gt;0),G30-H30," ")</f>
        <v>300</v>
      </c>
      <c r="J30" s="5"/>
      <c r="M30" s="7" t="n">
        <f aca="false">IF(G30&lt;&gt;0,G30-L30," ")</f>
        <v>360</v>
      </c>
      <c r="N30" s="8" t="n">
        <f aca="false">IF((G30-L30)&lt;&gt;0,N$1-A30," ")</f>
        <v>-193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300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174</v>
      </c>
    </row>
    <row r="31" customFormat="false" ht="12" hidden="false" customHeight="false" outlineLevel="0" collapsed="false">
      <c r="A31" s="27" t="n">
        <v>46471</v>
      </c>
      <c r="B31" s="2" t="s">
        <v>127</v>
      </c>
      <c r="E31" s="2" t="s">
        <v>128</v>
      </c>
      <c r="F31" s="2" t="s">
        <v>75</v>
      </c>
      <c r="G31" s="29" t="n">
        <v>15</v>
      </c>
      <c r="H31" s="6" t="n">
        <f aca="false">IF(G31&lt;&gt;0,G31*H$2/(100+H$2)," ")</f>
        <v>2.5</v>
      </c>
      <c r="I31" s="6" t="n">
        <f aca="false">IF((G31&lt;&gt;0),G31-H31," ")</f>
        <v>12.5</v>
      </c>
      <c r="J31" s="5"/>
      <c r="M31" s="7" t="n">
        <f aca="false">IF(G31&lt;&gt;0,G31-L31," ")</f>
        <v>15</v>
      </c>
      <c r="N31" s="8" t="n">
        <f aca="false">IF((G31-L31)&lt;&gt;0,N$1-A31," ")</f>
        <v>-193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12.5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85</v>
      </c>
    </row>
    <row r="32" customFormat="false" ht="12" hidden="false" customHeight="false" outlineLevel="0" collapsed="false">
      <c r="A32" s="27" t="n">
        <v>46471</v>
      </c>
      <c r="B32" s="2" t="s">
        <v>129</v>
      </c>
      <c r="D32" s="4" t="n">
        <v>130</v>
      </c>
      <c r="E32" s="2" t="s">
        <v>228</v>
      </c>
      <c r="F32" s="2" t="s">
        <v>24</v>
      </c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90</v>
      </c>
    </row>
    <row r="33" customFormat="false" ht="12" hidden="false" customHeight="false" outlineLevel="0" collapsed="false">
      <c r="A33" s="27" t="n">
        <v>46474</v>
      </c>
      <c r="B33" s="2" t="s">
        <v>19</v>
      </c>
      <c r="E33" s="2" t="s">
        <v>131</v>
      </c>
      <c r="F33" s="2" t="s">
        <v>24</v>
      </c>
      <c r="G33" s="29" t="n">
        <v>120</v>
      </c>
      <c r="H33" s="6" t="n">
        <f aca="false">IF(G33&lt;&gt;0,G33*H$2/(100+H$2)," ")</f>
        <v>20</v>
      </c>
      <c r="I33" s="6" t="n">
        <f aca="false">IF((G33&lt;&gt;0),G33-H33," ")</f>
        <v>100</v>
      </c>
      <c r="J33" s="5"/>
      <c r="M33" s="7" t="n">
        <f aca="false">IF(G33&lt;&gt;0,G33-L33," ")</f>
        <v>120</v>
      </c>
      <c r="N33" s="8" t="n">
        <f aca="false">IF((G33-L33)&lt;&gt;0,N$1-A33," ")</f>
        <v>-196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100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46477</v>
      </c>
      <c r="B34" s="2" t="s">
        <v>15</v>
      </c>
      <c r="E34" s="2" t="s">
        <v>132</v>
      </c>
      <c r="F34" s="2" t="s">
        <v>133</v>
      </c>
      <c r="G34" s="29" t="n">
        <v>300</v>
      </c>
      <c r="H34" s="6" t="n">
        <f aca="false">IF(G34&lt;&gt;0,G34*H$2/(100+H$2)," ")</f>
        <v>50</v>
      </c>
      <c r="I34" s="6" t="n">
        <f aca="false">IF((G34&lt;&gt;0),G34-H34," ")</f>
        <v>250</v>
      </c>
      <c r="J34" s="5"/>
      <c r="M34" s="7" t="n">
        <f aca="false">IF(G34&lt;&gt;0,G34-L34," ")</f>
        <v>300</v>
      </c>
      <c r="N34" s="8" t="n">
        <f aca="false">IF((G34-L34)&lt;&gt;0,N$1-A34," ")</f>
        <v>-199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250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134</v>
      </c>
    </row>
    <row r="35" customFormat="false" ht="12" hidden="false" customHeight="false" outlineLevel="0" collapsed="false">
      <c r="A35" s="27" t="n">
        <v>46477</v>
      </c>
      <c r="B35" s="2" t="s">
        <v>176</v>
      </c>
      <c r="C35" s="3" t="s">
        <v>236</v>
      </c>
      <c r="E35" s="2" t="s">
        <v>178</v>
      </c>
      <c r="F35" s="2" t="s">
        <v>133</v>
      </c>
      <c r="G35" s="29" t="n">
        <v>125</v>
      </c>
      <c r="H35" s="6" t="n">
        <f aca="false">IF(G35&lt;&gt;0,G35*H$2/(100+H$2)," ")</f>
        <v>20.8333333333333</v>
      </c>
      <c r="I35" s="6" t="n">
        <f aca="false">IF((G35&lt;&gt;0),G35-H35," ")</f>
        <v>104.166666666667</v>
      </c>
      <c r="J35" s="5"/>
      <c r="M35" s="7" t="n">
        <f aca="false">IF(G35&lt;&gt;0,G35-L35," ")</f>
        <v>125</v>
      </c>
      <c r="N35" s="8" t="n">
        <f aca="false">IF((G35-L35)&lt;&gt;0,N$1-A35," ")</f>
        <v>-199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104.166666666667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179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customFormat="fals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1710</v>
      </c>
      <c r="H1" s="13" t="n">
        <f aca="false">SUM(H5:H300)</f>
        <v>285</v>
      </c>
      <c r="I1" s="13" t="n">
        <f aca="false">SUM(I5:I300)</f>
        <v>1425</v>
      </c>
      <c r="J1" s="15"/>
      <c r="K1" s="16" t="s">
        <v>4</v>
      </c>
      <c r="L1" s="17" t="n">
        <f aca="false">SUM(L5:L300)</f>
        <v>0</v>
      </c>
      <c r="M1" s="17" t="n">
        <f aca="false">SUM(M5:M300)</f>
        <v>1710</v>
      </c>
      <c r="N1" s="18" t="n">
        <f aca="true">TODAY()</f>
        <v>46278</v>
      </c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/>
      <c r="B5" s="5" t="s">
        <v>13</v>
      </c>
      <c r="C5" s="28" t="s">
        <v>237</v>
      </c>
      <c r="F5" s="2"/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46278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/>
      <c r="B6" s="2" t="s">
        <v>15</v>
      </c>
      <c r="C6" s="3" t="s">
        <v>238</v>
      </c>
      <c r="F6" s="2"/>
      <c r="G6" s="6" t="n">
        <v>300</v>
      </c>
      <c r="H6" s="6" t="n">
        <f aca="false">IF(G6&lt;&gt;0,G6*H$2/(100+H$2)," ")</f>
        <v>50</v>
      </c>
      <c r="I6" s="6" t="n">
        <f aca="false">IF((G6&lt;&gt;0),G6-H6," ")</f>
        <v>250</v>
      </c>
      <c r="M6" s="7" t="n">
        <f aca="false">IF(G6&lt;&gt;0,G6-L6," ")</f>
        <v>300</v>
      </c>
      <c r="N6" s="8" t="n">
        <f aca="false">IF((G6-L6)&lt;&gt;0,N$1-A6," ")</f>
        <v>46278</v>
      </c>
    </row>
    <row r="7" customFormat="false" ht="12" hidden="false" customHeight="false" outlineLevel="0" collapsed="false">
      <c r="A7" s="27"/>
      <c r="B7" s="2" t="s">
        <v>117</v>
      </c>
      <c r="C7" s="3" t="s">
        <v>239</v>
      </c>
      <c r="F7" s="2"/>
      <c r="G7" s="6" t="n">
        <v>60</v>
      </c>
      <c r="H7" s="6" t="n">
        <f aca="false">IF(G7&lt;&gt;0,G7*H$2/(100+H$2)," ")</f>
        <v>10</v>
      </c>
      <c r="I7" s="6" t="n">
        <f aca="false">IF((G7&lt;&gt;0),G7-H7," ")</f>
        <v>50</v>
      </c>
      <c r="M7" s="7" t="n">
        <f aca="false">IF(G7&lt;&gt;0,G7-L7," ")</f>
        <v>60</v>
      </c>
      <c r="N7" s="8" t="n">
        <f aca="false">IF((G7-L7)&lt;&gt;0,N$1-A7," ")</f>
        <v>46278</v>
      </c>
    </row>
    <row r="8" customFormat="false" ht="12" hidden="false" customHeight="false" outlineLevel="0" collapsed="false">
      <c r="A8" s="27"/>
      <c r="B8" s="2" t="s">
        <v>19</v>
      </c>
      <c r="C8" s="3" t="s">
        <v>240</v>
      </c>
      <c r="F8" s="2"/>
      <c r="G8" s="6" t="n">
        <v>150</v>
      </c>
      <c r="H8" s="6" t="n">
        <f aca="false">IF(G8&lt;&gt;0,G8*H$2/(100+H$2)," ")</f>
        <v>25</v>
      </c>
      <c r="I8" s="6" t="n">
        <f aca="false">IF((G8&lt;&gt;0),G8-H8," ")</f>
        <v>125</v>
      </c>
      <c r="M8" s="7" t="n">
        <f aca="false">IF(G8&lt;&gt;0,G8-L8," ")</f>
        <v>150</v>
      </c>
      <c r="N8" s="8" t="n">
        <f aca="false">IF((G8-L8)&lt;&gt;0,N$1-A8," ")</f>
        <v>46278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