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<sst xmlns="http://schemas.openxmlformats.org/spreadsheetml/2006/main" count="1421" uniqueCount="130">
  <si>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</si>
  <si>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</si>
  <si>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</si>
  <si>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</si>
  <si>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</si>
  <si>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</si>
  <si>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</si>
  <si>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</si>
  <si>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</si>
  <si>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</si>
  <si>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</si>
  <si>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</si>
  <si>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</si>
  <si>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</si>
  <si>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</si>
  <si>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</si>
  <si>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</si>
  <si>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</si>
  <si>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</si>
  <si>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</si>
  <si>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</si>
  <si>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</si>
  <si>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</si>
  <si>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</si>
  <si>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</si>
  <si>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</si>
  <si>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</si>
  <si>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</si>
  <si>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</si>
  <si>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</si>
  <si>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</si>
  <si>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</si>
  <si>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</si>
  <si>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</si>
  <si>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</si>
  <si>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</si>
  <si>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</si>
  <si>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</si>
  <si>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</si>
  <si>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</si>
  <si>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</si>
  <si>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</si>
  <si>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</si>
  <si>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</si>
  <si>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</si>
  <si>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</si>
  <si>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</si>
  <si>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</si>
  <si>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</si>
  <si>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</si>
  <si>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</si>
  <si>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</si>
  <si>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</si>
  <si>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</si>
  <si>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</si>
  <si>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</si>
  <si>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</si>
  <si>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</si>
  <si>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p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</si>
  <si>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</si>
  <si>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</si>
  <si>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</si>
  <si>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</si>
  <si>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</si>
  <si>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</si>
  <si>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y</t>
  </si>
  <si>
    <t xml:space="preserve">Cloudflare</t>
  </si>
  <si>
    <t xml:space="preserve">Zoom</t>
  </si>
  <si>
    <t xml:space="preserve">AWS</t>
  </si>
  <si>
    <t xml:space="preserve">Argos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</si>
  <si>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</si>
  <si>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</si>
  <si>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</si>
  <si>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</si>
  <si>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</si>
  <si>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</si>
  <si>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</si>
  <si>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</si>
  <si>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</si>
  <si>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</si>
  <si>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</si>
  <si>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</si>
  <si>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</si>
  <si>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</si>
  <si>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</si>
  <si>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</si>
  <si>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</si>
  <si>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</si>
  <si>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</si>
  <si>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</si>
  <si>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</si>
  <si>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</si>
  <si>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</si>
  <si>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</si>
  <si>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</si>
  <si>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</si>
  <si>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</si>
  <si>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</si>
  <si>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</si>
  <si>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</si>
  <si>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</si>
  <si>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</si>
  <si>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</si>
  <si>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</si>
  <si>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</si>
  <si>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</si>
  <si>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</si>
  <si>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</si>
  <si>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</si>
  <si>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</si>
  <si>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Directors loan</t>
  </si>
  <si>
    <t xml:space="preserve">Precision Tooling Supplies</t>
  </si>
  <si>
    <t xml:space="preserve">J. Smith Consulting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</si>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</sst>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46263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46263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46263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46263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851.875</v>
      </c>
      <c r="I1" s="13" t="n">
        <f aca="false">SUM(I2:I200)</f>
        <v>4259.375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46263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501.875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22</v>
      </c>
      <c r="C2" s="43" t="n">
        <f aca="false">0+D1+[1]Apr!$D$1</f>
        <v>0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2" t="s">
        <v>65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508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506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80</v>
      </c>
      <c r="F22" s="2" t="s">
        <v>65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498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86</v>
      </c>
      <c r="F29" s="2" t="s">
        <v>87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91</v>
      </c>
      <c r="F33" s="2" t="s">
        <v>24</v>
      </c>
      <c r="G33" s="29" t="n">
        <v>38.25</v>
      </c>
      <c r="H33" s="6" t="n">
        <f aca="false">IF(G33&lt;&gt;0,G33*H$2/(100+H$2)," ")</f>
        <v>6.375</v>
      </c>
      <c r="I33" s="6" t="n">
        <f aca="false">IF((G33&lt;&gt;0),G33-H33," ")</f>
        <v>31.875</v>
      </c>
      <c r="J33" s="5"/>
      <c r="M33" s="7" t="n">
        <f aca="false">IF(G33&lt;&gt;0,G33-L33," ")</f>
        <v>38.25</v>
      </c>
      <c r="N33" s="8" t="n">
        <f aca="false">IF((G33-L33)&lt;&gt;0,N$1-A33," ")</f>
        <v>491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31.875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1062.5</v>
      </c>
      <c r="I1" s="13" t="n">
        <f aca="false">SUM(I2:I200)</f>
        <v>5312.5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46263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555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22</v>
      </c>
      <c r="C2" s="43" t="n">
        <f aca="false">Apr!C2+D1+[1]May!$D$1</f>
        <v>0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93</v>
      </c>
      <c r="F15" s="2" t="s">
        <v>74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478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94</v>
      </c>
      <c r="F17" s="2" t="s">
        <v>63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95</v>
      </c>
      <c r="F19" s="2" t="s">
        <v>96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79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97</v>
      </c>
      <c r="F25" s="2" t="s">
        <v>78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471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98</v>
      </c>
      <c r="F26" s="2" t="s">
        <v>99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</row>
    <row r="27" customFormat="false" ht="12" hidden="false" customHeight="false" outlineLevel="0" collapsed="false">
      <c r="A27" s="27" t="n">
        <v>45793</v>
      </c>
      <c r="B27" s="2" t="s">
        <v>100</v>
      </c>
      <c r="F27" s="2" t="s">
        <v>60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101</v>
      </c>
      <c r="F30" s="2" t="s">
        <v>60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466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103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91</v>
      </c>
      <c r="F36" s="2" t="s">
        <v>24</v>
      </c>
      <c r="G36" s="29" t="n">
        <v>54</v>
      </c>
      <c r="H36" s="6" t="n">
        <f aca="false">IF(G36&lt;&gt;0,G36*H$2/(100+H$2)," ")</f>
        <v>9</v>
      </c>
      <c r="I36" s="6" t="n">
        <f aca="false">IF((G36&lt;&gt;0),G36-H36," ")</f>
        <v>45</v>
      </c>
      <c r="J36" s="5"/>
      <c r="M36" s="7" t="n">
        <f aca="false">IF(G36&lt;&gt;0,G36-L36," ")</f>
        <v>54</v>
      </c>
      <c r="N36" s="8" t="n">
        <f aca="false">IF((G36-L36)&lt;&gt;0,N$1-A36," ")</f>
        <v>461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45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458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4109.5</v>
      </c>
      <c r="I1" s="13" t="n">
        <f aca="false">SUM(I2:I200)</f>
        <v>20547.5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24657</v>
      </c>
      <c r="N1" s="18" t="n">
        <f aca="true">TODAY()</f>
        <v>46263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545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22</v>
      </c>
      <c r="C2" s="43" t="n">
        <f aca="false">May!C2+D1+[1]Jun!$D$1</f>
        <v>0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104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80</v>
      </c>
      <c r="F20" s="2" t="s">
        <v>65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105</v>
      </c>
      <c r="F25" s="2" t="s">
        <v>106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440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107</v>
      </c>
      <c r="F26" s="2" t="s">
        <v>74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108</v>
      </c>
      <c r="F27" s="2" t="s">
        <v>78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437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109</v>
      </c>
      <c r="F32" s="2" t="s">
        <v>58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91</v>
      </c>
      <c r="F34" s="2" t="s">
        <v>24</v>
      </c>
      <c r="G34" s="29" t="n">
        <v>90</v>
      </c>
      <c r="H34" s="6" t="n">
        <f aca="false">IF(G34&lt;&gt;0,G34*H$2/(100+H$2)," ")</f>
        <v>15</v>
      </c>
      <c r="I34" s="6" t="n">
        <f aca="false">IF((G34&lt;&gt;0),G34-H34," ")</f>
        <v>75</v>
      </c>
      <c r="J34" s="5"/>
      <c r="M34" s="7" t="n">
        <f aca="false">IF(G34&lt;&gt;0,G34-L34," ")</f>
        <v>90</v>
      </c>
      <c r="N34" s="8" t="n">
        <f aca="false">IF((G34-L34)&lt;&gt;0,N$1-A34," ")</f>
        <v>430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110</v>
      </c>
      <c r="F37" s="2" t="s">
        <v>92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45809</v>
      </c>
      <c r="B38" s="2" t="s">
        <v>111</v>
      </c>
      <c r="F38" s="2" t="s">
        <v>99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454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1509.875</v>
      </c>
      <c r="I1" s="13" t="n">
        <f aca="false">SUM(I2:I200)</f>
        <v>7549.375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46263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486.875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22</v>
      </c>
      <c r="C2" s="43" t="n">
        <f aca="false">Jun!C2+D1+[1]Jul!$D$1</f>
        <v>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112</v>
      </c>
      <c r="F9" s="2" t="s">
        <v>92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113</v>
      </c>
      <c r="F15" s="2" t="s">
        <v>96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71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77</v>
      </c>
      <c r="F20" s="2" t="s">
        <v>78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114</v>
      </c>
      <c r="F22" s="2" t="s">
        <v>63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115</v>
      </c>
      <c r="F27" s="2" t="s">
        <v>99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</row>
    <row r="28" customFormat="false" ht="12" hidden="false" customHeight="false" outlineLevel="0" collapsed="false">
      <c r="A28" s="27" t="n">
        <v>45854</v>
      </c>
      <c r="B28" s="2" t="s">
        <v>100</v>
      </c>
      <c r="F28" s="2" t="s">
        <v>60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409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407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116</v>
      </c>
      <c r="F31" s="2" t="s">
        <v>60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86</v>
      </c>
      <c r="F32" s="2" t="s">
        <v>87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91</v>
      </c>
      <c r="F36" s="2" t="s">
        <v>24</v>
      </c>
      <c r="G36" s="29" t="n">
        <v>20.25</v>
      </c>
      <c r="H36" s="6" t="n">
        <f aca="false">IF(G36&lt;&gt;0,G36*H$2/(100+H$2)," ")</f>
        <v>3.375</v>
      </c>
      <c r="I36" s="6" t="n">
        <f aca="false">IF((G36&lt;&gt;0),G36-H36," ")</f>
        <v>16.875</v>
      </c>
      <c r="J36" s="5"/>
      <c r="M36" s="7" t="n">
        <f aca="false">IF(G36&lt;&gt;0,G36-L36," ")</f>
        <v>20.25</v>
      </c>
      <c r="N36" s="8" t="n">
        <f aca="false">IF((G36-L36)&lt;&gt;0,N$1-A36," ")</f>
        <v>400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16.875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397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734.208333333333</v>
      </c>
      <c r="I1" s="13" t="n">
        <f aca="false">SUM(I2:I200)</f>
        <v>3671.04166666667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46263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501.875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22</v>
      </c>
      <c r="C2" s="43" t="n">
        <f aca="false">Jul!C2+D1+[1]Aug!$D$1</f>
        <v>0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80</v>
      </c>
      <c r="F20" s="2" t="s">
        <v>65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379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97</v>
      </c>
      <c r="F25" s="2" t="s">
        <v>78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379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117</v>
      </c>
      <c r="F26" s="2" t="s">
        <v>87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118</v>
      </c>
      <c r="F29" s="2" t="s">
        <v>119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102</v>
      </c>
      <c r="F30" s="2" t="s">
        <v>78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374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91</v>
      </c>
      <c r="F34" s="2" t="s">
        <v>24</v>
      </c>
      <c r="G34" s="29" t="n">
        <v>38.25</v>
      </c>
      <c r="H34" s="6" t="n">
        <f aca="false">IF(G34&lt;&gt;0,G34*H$2/(100+H$2)," ")</f>
        <v>6.375</v>
      </c>
      <c r="I34" s="6" t="n">
        <f aca="false">IF((G34&lt;&gt;0),G34-H34," ")</f>
        <v>31.875</v>
      </c>
      <c r="J34" s="5"/>
      <c r="M34" s="7" t="n">
        <f aca="false">IF(G34&lt;&gt;0,G34-L34," ")</f>
        <v>38.25</v>
      </c>
      <c r="N34" s="8" t="n">
        <f aca="false">IF((G34-L34)&lt;&gt;0,N$1-A34," ")</f>
        <v>369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31.875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2229.16666666667</v>
      </c>
      <c r="I1" s="13" t="n">
        <f aca="false">SUM(I2:I200)</f>
        <v>11145.8333333333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13375</v>
      </c>
      <c r="N1" s="18" t="n">
        <f aca="true">TODAY()</f>
        <v>46263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590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22</v>
      </c>
      <c r="C2" s="43" t="n">
        <f aca="false">Aug!C2+D1+[1]Sep!$D$1</f>
        <v>0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94</v>
      </c>
      <c r="F16" s="2" t="s">
        <v>63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83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81</v>
      </c>
      <c r="F20" s="2" t="s">
        <v>74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82</v>
      </c>
      <c r="F21" s="2" t="s">
        <v>74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83</v>
      </c>
      <c r="F23" s="2" t="s">
        <v>60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120</v>
      </c>
      <c r="F24" s="2" t="s">
        <v>92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100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347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108</v>
      </c>
      <c r="F26" s="2" t="s">
        <v>78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345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103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109</v>
      </c>
      <c r="F32" s="2" t="s">
        <v>58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91</v>
      </c>
      <c r="F34" s="2" t="s">
        <v>24</v>
      </c>
      <c r="G34" s="29" t="n">
        <v>72</v>
      </c>
      <c r="H34" s="6" t="n">
        <f aca="false">IF(G34&lt;&gt;0,G34*H$2/(100+H$2)," ")</f>
        <v>12</v>
      </c>
      <c r="I34" s="6" t="n">
        <f aca="false">IF((G34&lt;&gt;0),G34-H34," ")</f>
        <v>60</v>
      </c>
      <c r="J34" s="5"/>
      <c r="M34" s="7" t="n">
        <f aca="false">IF(G34&lt;&gt;0,G34-L34," ")</f>
        <v>72</v>
      </c>
      <c r="N34" s="8" t="n">
        <f aca="false">IF((G34-L34)&lt;&gt;0,N$1-A34," ")</f>
        <v>338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60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110</v>
      </c>
      <c r="F37" s="2" t="s">
        <v>92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45901</v>
      </c>
      <c r="B38" s="2" t="s">
        <v>111</v>
      </c>
      <c r="F38" s="2" t="s">
        <v>99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7167.625</v>
      </c>
      <c r="I1" s="13" t="n">
        <f aca="false">SUM(I2:I200)</f>
        <v>35838.125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46263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505.625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22</v>
      </c>
      <c r="C2" s="43" t="n">
        <f aca="false">Sep!C2+D1+[1]Oct!$D$1</f>
        <v>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121</v>
      </c>
      <c r="F9" s="2" t="s">
        <v>65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328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77</v>
      </c>
      <c r="F20" s="2" t="s">
        <v>78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323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95</v>
      </c>
      <c r="F21" s="2" t="s">
        <v>96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79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80</v>
      </c>
      <c r="F23" s="2" t="s">
        <v>65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81</v>
      </c>
      <c r="F24" s="2" t="s">
        <v>74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319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82</v>
      </c>
      <c r="F25" s="2" t="s">
        <v>74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319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318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83</v>
      </c>
      <c r="F27" s="2" t="s">
        <v>60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122</v>
      </c>
      <c r="F28" s="2" t="s">
        <v>96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107</v>
      </c>
      <c r="F29" s="2" t="s">
        <v>74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84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85</v>
      </c>
      <c r="F31" s="2" t="s">
        <v>60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86</v>
      </c>
      <c r="F32" s="2" t="s">
        <v>87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91</v>
      </c>
      <c r="F36" s="2" t="s">
        <v>24</v>
      </c>
      <c r="G36" s="29" t="n">
        <v>42.75</v>
      </c>
      <c r="H36" s="6" t="n">
        <f aca="false">IF(G36&lt;&gt;0,G36*H$2/(100+H$2)," ")</f>
        <v>7.125</v>
      </c>
      <c r="I36" s="6" t="n">
        <f aca="false">IF((G36&lt;&gt;0),G36-H36," ")</f>
        <v>35.625</v>
      </c>
      <c r="J36" s="5"/>
      <c r="M36" s="7" t="n">
        <f aca="false">IF(G36&lt;&gt;0,G36-L36," ")</f>
        <v>42.75</v>
      </c>
      <c r="N36" s="8" t="n">
        <f aca="false">IF((G36-L36)&lt;&gt;0,N$1-A36," ")</f>
        <v>308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35.625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123</v>
      </c>
      <c r="F37" s="2" t="s">
        <v>99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2" t="s">
        <v>92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302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1153</v>
      </c>
      <c r="I1" s="13" t="n">
        <f aca="false">SUM(I2:I200)</f>
        <v>5765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46263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537.5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22</v>
      </c>
      <c r="C2" s="43" t="n">
        <f aca="false">Oct!C2+D1+[1]Nov!$D$1</f>
        <v>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299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93</v>
      </c>
      <c r="F15" s="2" t="s">
        <v>74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288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97</v>
      </c>
      <c r="F23" s="2" t="s">
        <v>78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287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105</v>
      </c>
      <c r="F24" s="2" t="s">
        <v>106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287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100</v>
      </c>
      <c r="F25" s="2" t="s">
        <v>60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84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85</v>
      </c>
      <c r="F27" s="2" t="s">
        <v>60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101</v>
      </c>
      <c r="F28" s="2" t="s">
        <v>60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102</v>
      </c>
      <c r="F29" s="2" t="s">
        <v>78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282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91</v>
      </c>
      <c r="F33" s="2" t="s">
        <v>24</v>
      </c>
      <c r="G33" s="29" t="n">
        <v>81</v>
      </c>
      <c r="H33" s="6" t="n">
        <f aca="false">IF(G33&lt;&gt;0,G33*H$2/(100+H$2)," ")</f>
        <v>13.5</v>
      </c>
      <c r="I33" s="6" t="n">
        <f aca="false">IF((G33&lt;&gt;0),G33-H33," ")</f>
        <v>67.5</v>
      </c>
      <c r="J33" s="5"/>
      <c r="M33" s="7" t="n">
        <f aca="false">IF(G33&lt;&gt;0,G33-L33," ")</f>
        <v>81</v>
      </c>
      <c r="N33" s="8" t="n">
        <f aca="false">IF((G33-L33)&lt;&gt;0,N$1-A33," ")</f>
        <v>277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67.5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1575.25</v>
      </c>
      <c r="I1" s="13" t="n">
        <f aca="false">SUM(I2:I200)</f>
        <v>7876.25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46263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511.25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22</v>
      </c>
      <c r="C2" s="43" t="n">
        <f aca="false">Nov!C2+D1+[1]Dec!$D$1</f>
        <v>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267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104</v>
      </c>
      <c r="F18" s="2" t="s">
        <v>60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80</v>
      </c>
      <c r="F20" s="2" t="s">
        <v>65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258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124</v>
      </c>
      <c r="F25" s="2" t="s">
        <v>65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257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108</v>
      </c>
      <c r="F26" s="2" t="s">
        <v>78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254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109</v>
      </c>
      <c r="F31" s="2" t="s">
        <v>58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247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91</v>
      </c>
      <c r="F33" s="2" t="s">
        <v>24</v>
      </c>
      <c r="G33" s="29" t="n">
        <v>49.5</v>
      </c>
      <c r="H33" s="6" t="n">
        <f aca="false">IF(G33&lt;&gt;0,G33*H$2/(100+H$2)," ")</f>
        <v>8.25</v>
      </c>
      <c r="I33" s="6" t="n">
        <f aca="false">IF((G33&lt;&gt;0),G33-H33," ")</f>
        <v>41.25</v>
      </c>
      <c r="J33" s="5"/>
      <c r="M33" s="7" t="n">
        <f aca="false">IF(G33&lt;&gt;0,G33-L33," ")</f>
        <v>49.5</v>
      </c>
      <c r="N33" s="8" t="n">
        <f aca="false">IF((G33-L33)&lt;&gt;0,N$1-A33," ")</f>
        <v>247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41.25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125</v>
      </c>
      <c r="F36" s="2" t="s">
        <v>119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110</v>
      </c>
      <c r="F37" s="2" t="s">
        <v>92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751.875</v>
      </c>
      <c r="I1" s="13" t="n">
        <f aca="false">SUM(I2:I200)</f>
        <v>3759.375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46263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531.875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22</v>
      </c>
      <c r="C2" s="43" t="n">
        <f aca="false">Dec!C2+D1+[1]Jan!$D$1</f>
        <v>0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113</v>
      </c>
      <c r="F14" s="2" t="s">
        <v>96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94</v>
      </c>
      <c r="F17" s="2" t="s">
        <v>63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231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229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100</v>
      </c>
      <c r="F26" s="2" t="s">
        <v>60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116</v>
      </c>
      <c r="F29" s="2" t="s">
        <v>60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86</v>
      </c>
      <c r="F30" s="2" t="s">
        <v>87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103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91</v>
      </c>
      <c r="F35" s="2" t="s">
        <v>24</v>
      </c>
      <c r="G35" s="29" t="n">
        <v>38.25</v>
      </c>
      <c r="H35" s="6" t="n">
        <f aca="false">IF(G35&lt;&gt;0,G35*H$2/(100+H$2)," ")</f>
        <v>6.375</v>
      </c>
      <c r="I35" s="6" t="n">
        <f aca="false">IF((G35&lt;&gt;0),G35-H35," ")</f>
        <v>31.875</v>
      </c>
      <c r="J35" s="5"/>
      <c r="M35" s="7" t="n">
        <f aca="false">IF(G35&lt;&gt;0,G35-L35," ")</f>
        <v>38.25</v>
      </c>
      <c r="N35" s="8" t="n">
        <f aca="false">IF((G35-L35)&lt;&gt;0,N$1-A35," ")</f>
        <v>216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31.875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2" t="s">
        <v>92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732.75</v>
      </c>
      <c r="I1" s="13" t="n">
        <f aca="false">SUM(I2:I200)</f>
        <v>3663.75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46263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496.25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22</v>
      </c>
      <c r="C2" s="43" t="n">
        <f aca="false">Jan!C2+D1+[1]Feb!$D$1</f>
        <v>0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207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93</v>
      </c>
      <c r="F16" s="2" t="s">
        <v>74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198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114</v>
      </c>
      <c r="F20" s="2" t="s">
        <v>63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198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80</v>
      </c>
      <c r="F21" s="2" t="s">
        <v>65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97</v>
      </c>
      <c r="F26" s="2" t="s">
        <v>78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195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117</v>
      </c>
      <c r="F27" s="2" t="s">
        <v>87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107</v>
      </c>
      <c r="F28" s="2" t="s">
        <v>74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190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189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188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91</v>
      </c>
      <c r="F35" s="2" t="s">
        <v>24</v>
      </c>
      <c r="G35" s="29" t="n">
        <v>31.5</v>
      </c>
      <c r="H35" s="6" t="n">
        <f aca="false">IF(G35&lt;&gt;0,G35*H$2/(100+H$2)," ")</f>
        <v>5.25</v>
      </c>
      <c r="I35" s="6" t="n">
        <f aca="false">IF((G35&lt;&gt;0),G35-H35," ")</f>
        <v>26.25</v>
      </c>
      <c r="J35" s="5"/>
      <c r="M35" s="7" t="n">
        <f aca="false">IF(G35&lt;&gt;0,G35-L35," ")</f>
        <v>31.5</v>
      </c>
      <c r="N35" s="8" t="n">
        <f aca="false">IF((G35-L35)&lt;&gt;0,N$1-A35," ")</f>
        <v>185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26.25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621.083333333333</v>
      </c>
      <c r="I1" s="13" t="n">
        <f aca="false">SUM(I2:I200)</f>
        <v>3105.41666666667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46263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568.75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22</v>
      </c>
      <c r="C2" s="43" t="n">
        <f aca="false">Feb!C2+D1+[1]Mar!$D$1</f>
        <v>0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75</v>
      </c>
      <c r="F16" s="2" t="s">
        <v>65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83</v>
      </c>
      <c r="F17" s="2" t="s">
        <v>60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168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167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100</v>
      </c>
      <c r="F23" s="2" t="s">
        <v>60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108</v>
      </c>
      <c r="F24" s="2" t="s">
        <v>78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164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84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85</v>
      </c>
      <c r="F26" s="2" t="s">
        <v>60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88</v>
      </c>
      <c r="F27" s="2" t="s">
        <v>74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89</v>
      </c>
      <c r="F28" s="2" t="s">
        <v>65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103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109</v>
      </c>
      <c r="F30" s="2" t="s">
        <v>58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90</v>
      </c>
      <c r="F31" s="2" t="s">
        <v>65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157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91</v>
      </c>
      <c r="F32" s="2" t="s">
        <v>24</v>
      </c>
      <c r="G32" s="29" t="n">
        <v>58.5</v>
      </c>
      <c r="H32" s="6" t="n">
        <f aca="false">IF(G32&lt;&gt;0,G32*H$2/(100+H$2)," ")</f>
        <v>9.75</v>
      </c>
      <c r="I32" s="6" t="n">
        <f aca="false">IF((G32&lt;&gt;0),G32-H32," ")</f>
        <v>48.75</v>
      </c>
      <c r="J32" s="5"/>
      <c r="M32" s="7" t="n">
        <f aca="false">IF(G32&lt;&gt;0,G32-L32," ")</f>
        <v>58.5</v>
      </c>
      <c r="N32" s="8" t="n">
        <f aca="false">IF((G32-L32)&lt;&gt;0,N$1-A32," ")</f>
        <v>157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n">
        <f aca="false">IF((F32="v"),I32," ")</f>
        <v>48.75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2" t="s">
        <v>92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110</v>
      </c>
      <c r="F35" s="2" t="s">
        <v>92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126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46263</v>
      </c>
    </row>
    <row r="6" customFormat="false" ht="12" hidden="false" customHeight="false" outlineLevel="0" collapsed="false">
      <c r="A6" s="27"/>
      <c r="B6" s="2" t="s">
        <v>15</v>
      </c>
      <c r="C6" s="3" t="s">
        <v>127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46263</v>
      </c>
    </row>
    <row r="7" customFormat="false" ht="12" hidden="false" customHeight="false" outlineLevel="0" collapsed="false">
      <c r="A7" s="27"/>
      <c r="B7" s="2" t="s">
        <v>85</v>
      </c>
      <c r="C7" s="3" t="s">
        <v>128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46263</v>
      </c>
    </row>
    <row r="8" customFormat="false" ht="12" hidden="false" customHeight="false" outlineLevel="0" collapsed="false">
      <c r="A8" s="27"/>
      <c r="B8" s="2" t="s">
        <v>19</v>
      </c>
      <c r="C8" s="3" t="s">
        <v>129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46263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