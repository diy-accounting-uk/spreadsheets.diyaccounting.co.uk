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<sst xmlns="http://schemas.openxmlformats.org/spreadsheetml/2006/main" count="2250" uniqueCount="241">
  <si>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</si>
  <si>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</si>
  <si>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</si>
  <si>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</si>
  <si>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</si>
  <si>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</si>
  <si>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</si>
  <si>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</si>
  <si>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</si>
  <si>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</si>
  <si>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</si>
  <si>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</si>
  <si>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</si>
  <si>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</si>
  <si>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</si>
  <si>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</si>
  <si>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</si>
  <si>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</si>
  <si>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</si>
  <si>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</si>
  <si>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</si>
  <si>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</si>
  <si>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</si>
  <si>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</si>
  <si>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</si>
  <si>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</si>
  <si>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</si>
  <si>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</si>
  <si>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</si>
  <si>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</si>
  <si>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</si>
  <si>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</si>
  <si>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</si>
  <si>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</si>
  <si>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Business Entertainment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</si>
  <si>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</si>
  <si>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</si>
  <si>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</si>
  <si>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</si>
  <si>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</si>
  <si>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</si>
  <si>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</si>
  <si>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</si>
  <si>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</si>
  <si>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</si>
  <si>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</si>
  <si>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</si>
  <si>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</si>
  <si>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</si>
  <si>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</si>
  <si>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</si>
  <si>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</si>
  <si>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</si>
  <si>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</si>
  <si>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</si>
  <si>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</si>
  <si>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</si>
  <si>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E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</si>
  <si>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</si>
  <si>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</si>
  <si>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</si>
  <si>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</si>
  <si>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</si>
  <si>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</si>
  <si>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</si>
  <si>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</si>
  <si>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</si>
  <si>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</si>
  <si>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</si>
  <si>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</si>
  <si>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</si>
  <si>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</si>
  <si>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</si>
  <si>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</si>
  <si>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</si>
  <si>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</si>
  <si>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</si>
  <si>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</si>
  <si>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</si>
  <si>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</si>
  <si>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</si>
  <si>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</si>
  <si>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</si>
  <si>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</si>
  <si>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</si>
  <si>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</si>
  <si>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</si>
  <si>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</si>
  <si>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</si>
  <si>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</si>
  <si>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</si>
  <si>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</si>
  <si>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</si>
  <si>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</si>
  <si>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</si>
  <si>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</si>
  <si>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</si>
  <si>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</si>
  <si>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</si>
  <si>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</si>
  <si>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</si>
  <si>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</si>
  <si>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</si>
  <si>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</si>
  <si>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</si>
  <si>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</si>
  <si>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</si>
  <si>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</si>
  <si>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</si>
  <si>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</si>
  <si>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</si>
  <si>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</si>
  <si>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</si>
  <si>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</si>
  <si>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</si>
  <si>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</si>
  <si>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</si>
  <si>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</si>
  <si>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</si>
  <si>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</si>
  <si>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</si>
  <si>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</si>
  <si>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</si>
  <si>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</si>
  <si>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</si>
  <si>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</si>
  <si>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</si>
  <si>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</si>
  <si>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</si>
  <si>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</si>
  <si>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</si>
  <si>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</si>
  <si>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</si>
  <si>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</si>
  <si>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</si>
  <si>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</si>
  <si>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</si>
  <si>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</si>
  <si>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</si>
  <si>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</si>
  <si>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</si>
  <si>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</si>
  <si>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</si>
  <si>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</si>
  <si>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</si>
  <si>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</si>
  <si>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</si>
  <si>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</si>
  <si>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</si>
  <si>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</si>
  <si>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</si>
  <si>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</si>
  <si>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</si>
  <si>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</si>
  <si>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</si>
  <si>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</si>
  <si>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</si>
  <si>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</si>
  <si>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</si>
  <si>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</si>
  <si>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</si>
  <si>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</si>
  <si>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</si>
  <si>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</si>
  <si>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</si>
  <si>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</si>
  <si>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</si>
  <si>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</si>
  <si>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</si>
  <si>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</si>
  <si>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</si>
  <si>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</si>
  <si>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</si>
  <si>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</si>
  <si>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</si>
  <si>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</si>
  <si>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</si>
  <si>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</si>
  <si>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</si>
  <si>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</si>
  <si>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</si>
  <si>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</si>
  <si>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</si>
  <si>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</si>
  <si>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</si>
  <si>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</si>
  <si>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</si>
  <si>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</si>
  <si>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</si>
  <si>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</si>
  <si>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</si>
  <si>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</si>
  <si>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</si>
  <si>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</si>
  <si>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</si>
  <si>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</si>
  <si>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</si>
  <si>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</si>
  <si>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</si>
  <si>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</si>
  <si>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</si>
  <si>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</si>
  <si>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</si>
  <si>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</si>
  <si>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e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</si>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</sst>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46277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46277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46277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46277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46277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46277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5" t="n">
        <v>46113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151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46113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164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46113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164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46113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164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46113</v>
      </c>
      <c r="B9" s="2" t="s">
        <v>73</v>
      </c>
      <c r="E9" s="2" t="s">
        <v>74</v>
      </c>
      <c r="F9" s="2" t="s">
        <v>75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164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46113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164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46113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164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46115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162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46115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162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46117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160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46117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160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46117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160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46120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157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46122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155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46122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155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46122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155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46124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153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46126</v>
      </c>
      <c r="B22" s="2" t="s">
        <v>108</v>
      </c>
      <c r="E22" s="2" t="s">
        <v>109</v>
      </c>
      <c r="F22" s="2" t="s">
        <v>75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151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85</v>
      </c>
    </row>
    <row r="23" customFormat="false" ht="12" hidden="false" customHeight="false" outlineLevel="0" collapsed="false">
      <c r="A23" s="27" t="n">
        <v>46126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151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46126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151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46127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150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46127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150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46130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147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46132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145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46132</v>
      </c>
      <c r="B29" s="2" t="s">
        <v>119</v>
      </c>
      <c r="E29" s="2" t="s">
        <v>120</v>
      </c>
      <c r="F29" s="2" t="s">
        <v>121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145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122</v>
      </c>
    </row>
    <row r="30" customFormat="false" ht="12" hidden="false" customHeight="false" outlineLevel="0" collapsed="false">
      <c r="A30" s="27" t="n">
        <v>46133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144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46134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143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46137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140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46137</v>
      </c>
      <c r="B33" s="2" t="s">
        <v>129</v>
      </c>
      <c r="D33" s="4" t="n">
        <v>85</v>
      </c>
      <c r="E33" s="2" t="s">
        <v>130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46140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137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46142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135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46277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46143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134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46143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134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46143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134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46143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134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46143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134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46143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134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46145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132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46145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132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46147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130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46147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130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46148</v>
      </c>
      <c r="B15" s="2" t="s">
        <v>135</v>
      </c>
      <c r="E15" s="2" t="s">
        <v>136</v>
      </c>
      <c r="F15" s="2" t="s">
        <v>95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129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46150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127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46150</v>
      </c>
      <c r="B17" s="2" t="s">
        <v>137</v>
      </c>
      <c r="E17" s="2" t="s">
        <v>138</v>
      </c>
      <c r="F17" s="2" t="s">
        <v>71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127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46152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125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46152</v>
      </c>
      <c r="B19" s="2" t="s">
        <v>140</v>
      </c>
      <c r="E19" s="2" t="s">
        <v>141</v>
      </c>
      <c r="F19" s="2" t="s">
        <v>142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125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143</v>
      </c>
    </row>
    <row r="20" customFormat="false" ht="12" hidden="false" customHeight="false" outlineLevel="0" collapsed="false">
      <c r="A20" s="27" t="n">
        <v>46154</v>
      </c>
      <c r="B20" s="2" t="s">
        <v>106</v>
      </c>
      <c r="E20" s="2" t="s">
        <v>107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123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90</v>
      </c>
    </row>
    <row r="21" customFormat="false" ht="12" hidden="false" customHeight="false" outlineLevel="0" collapsed="false">
      <c r="A21" s="27" t="n">
        <v>46156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121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46156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121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46157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120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46157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120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46157</v>
      </c>
      <c r="B25" s="2" t="s">
        <v>144</v>
      </c>
      <c r="E25" s="2" t="s">
        <v>145</v>
      </c>
      <c r="F25" s="2" t="s">
        <v>104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120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46157</v>
      </c>
      <c r="B26" s="2" t="s">
        <v>146</v>
      </c>
      <c r="C26" s="3" t="s">
        <v>147</v>
      </c>
      <c r="E26" s="2" t="s">
        <v>148</v>
      </c>
      <c r="F26" s="2" t="s">
        <v>149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120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AC26" s="19" t="str">
        <f aca="false">IF((F26="e"),I26," ")</f>
        <v> </v>
      </c>
      <c r="BZ26" s="2" t="s">
        <v>150</v>
      </c>
    </row>
    <row r="27" customFormat="false" ht="12" hidden="false" customHeight="false" outlineLevel="0" collapsed="false">
      <c r="A27" s="27" t="n">
        <v>46158</v>
      </c>
      <c r="B27" s="2" t="s">
        <v>151</v>
      </c>
      <c r="E27" s="2" t="s">
        <v>152</v>
      </c>
      <c r="F27" s="2" t="s">
        <v>65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119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46160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117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46162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115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46162</v>
      </c>
      <c r="B30" s="2" t="s">
        <v>153</v>
      </c>
      <c r="E30" s="2" t="s">
        <v>154</v>
      </c>
      <c r="F30" s="2" t="s">
        <v>65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115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155</v>
      </c>
    </row>
    <row r="31" customFormat="false" ht="12" hidden="false" customHeight="false" outlineLevel="0" collapsed="false">
      <c r="A31" s="27" t="n">
        <v>46162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115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46163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114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46164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113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46164</v>
      </c>
      <c r="B34" s="2" t="s">
        <v>158</v>
      </c>
      <c r="E34" s="2" t="s">
        <v>159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113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46167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110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46167</v>
      </c>
      <c r="B36" s="2" t="s">
        <v>129</v>
      </c>
      <c r="D36" s="4" t="n">
        <v>120</v>
      </c>
      <c r="E36" s="2" t="s">
        <v>160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46170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107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46173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104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46277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 t="n">
        <f aca="false">SUM(AC5:AC300)</f>
        <v>0</v>
      </c>
      <c r="AD1" s="13" t="n">
        <f aca="false">SUM(AD5:AD300)</f>
        <v>1000</v>
      </c>
      <c r="AE1" s="42"/>
    </row>
    <row r="2" s="19" customFormat="tru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46174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103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46174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103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46174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103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46174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103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46174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103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46174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103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46176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101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46176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101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46178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99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46178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99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46178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99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46181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96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46183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94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46183</v>
      </c>
      <c r="B18" s="2" t="s">
        <v>161</v>
      </c>
      <c r="E18" s="2" t="s">
        <v>162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94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46185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92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46187</v>
      </c>
      <c r="B20" s="2" t="s">
        <v>108</v>
      </c>
      <c r="E20" s="2" t="s">
        <v>109</v>
      </c>
      <c r="F20" s="2" t="s">
        <v>75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90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46187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90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46187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90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46188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89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46188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89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46188</v>
      </c>
      <c r="B25" s="2" t="s">
        <v>163</v>
      </c>
      <c r="C25" s="3" t="s">
        <v>164</v>
      </c>
      <c r="E25" s="2" t="s">
        <v>165</v>
      </c>
      <c r="F25" s="2" t="s">
        <v>166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89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AD25" s="19" t="n">
        <v>1000</v>
      </c>
      <c r="BZ25" s="2" t="s">
        <v>167</v>
      </c>
    </row>
    <row r="26" customFormat="false" ht="12" hidden="false" customHeight="false" outlineLevel="0" collapsed="false">
      <c r="A26" s="27" t="n">
        <v>46191</v>
      </c>
      <c r="B26" s="2" t="s">
        <v>168</v>
      </c>
      <c r="E26" s="2" t="s">
        <v>169</v>
      </c>
      <c r="F26" s="2" t="s">
        <v>95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86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96</v>
      </c>
    </row>
    <row r="27" customFormat="false" ht="12" hidden="false" customHeight="false" outlineLevel="0" collapsed="false">
      <c r="A27" s="27" t="n">
        <v>46191</v>
      </c>
      <c r="B27" s="2" t="s">
        <v>170</v>
      </c>
      <c r="E27" s="2" t="s">
        <v>171</v>
      </c>
      <c r="F27" s="2" t="s">
        <v>104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86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105</v>
      </c>
    </row>
    <row r="28" customFormat="false" ht="12" hidden="false" customHeight="false" outlineLevel="0" collapsed="false">
      <c r="A28" s="27" t="n">
        <v>46191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86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46193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84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46194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83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46195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82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46198</v>
      </c>
      <c r="B32" s="2" t="s">
        <v>172</v>
      </c>
      <c r="E32" s="2" t="s">
        <v>173</v>
      </c>
      <c r="F32" s="2" t="s">
        <v>61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79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46198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79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46198</v>
      </c>
      <c r="B34" s="2" t="s">
        <v>129</v>
      </c>
      <c r="D34" s="4" t="n">
        <v>200</v>
      </c>
      <c r="E34" s="2" t="s">
        <v>175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46201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76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46203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74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46203</v>
      </c>
      <c r="B37" s="2" t="s">
        <v>176</v>
      </c>
      <c r="C37" s="3" t="s">
        <v>177</v>
      </c>
      <c r="E37" s="2" t="s">
        <v>178</v>
      </c>
      <c r="F37" s="2" t="s">
        <v>133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74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46174</v>
      </c>
      <c r="B38" s="2" t="s">
        <v>180</v>
      </c>
      <c r="C38" s="3" t="s">
        <v>181</v>
      </c>
      <c r="E38" s="2" t="s">
        <v>182</v>
      </c>
      <c r="F38" s="2" t="s">
        <v>149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103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46277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46204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73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46204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73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46204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73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46204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73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46204</v>
      </c>
      <c r="B9" s="2" t="s">
        <v>183</v>
      </c>
      <c r="E9" s="2" t="s">
        <v>184</v>
      </c>
      <c r="F9" s="2" t="s">
        <v>133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73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185</v>
      </c>
    </row>
    <row r="10" customFormat="false" ht="12" hidden="false" customHeight="false" outlineLevel="0" collapsed="false">
      <c r="A10" s="27" t="n">
        <v>46204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73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46204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73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46206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71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46206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71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46208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69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46208</v>
      </c>
      <c r="B15" s="2" t="s">
        <v>186</v>
      </c>
      <c r="E15" s="2" t="s">
        <v>187</v>
      </c>
      <c r="F15" s="2" t="s">
        <v>142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69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143</v>
      </c>
    </row>
    <row r="16" customFormat="false" ht="12" hidden="false" customHeight="false" outlineLevel="0" collapsed="false">
      <c r="A16" s="27" t="n">
        <v>46208</v>
      </c>
      <c r="B16" s="2" t="s">
        <v>88</v>
      </c>
      <c r="E16" s="2" t="s">
        <v>89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69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90</v>
      </c>
    </row>
    <row r="17" customFormat="false" ht="12" hidden="false" customHeight="false" outlineLevel="0" collapsed="false">
      <c r="A17" s="27" t="n">
        <v>46211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66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46213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64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46213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64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46213</v>
      </c>
      <c r="B20" s="2" t="s">
        <v>102</v>
      </c>
      <c r="E20" s="2" t="s">
        <v>103</v>
      </c>
      <c r="F20" s="2" t="s">
        <v>104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64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46215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62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46215</v>
      </c>
      <c r="B22" s="2" t="s">
        <v>188</v>
      </c>
      <c r="E22" s="2" t="s">
        <v>189</v>
      </c>
      <c r="F22" s="2" t="s">
        <v>71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62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139</v>
      </c>
    </row>
    <row r="23" customFormat="false" ht="12" hidden="false" customHeight="false" outlineLevel="0" collapsed="false">
      <c r="A23" s="27" t="n">
        <v>46217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60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46217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60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46218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46218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46218</v>
      </c>
      <c r="B27" s="2" t="s">
        <v>190</v>
      </c>
      <c r="C27" s="3" t="s">
        <v>191</v>
      </c>
      <c r="E27" s="2" t="s">
        <v>192</v>
      </c>
      <c r="F27" s="2" t="s">
        <v>149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59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AC27" s="19" t="str">
        <f aca="false">IF((F27="e"),I27," ")</f>
        <v> </v>
      </c>
      <c r="BZ27" s="2" t="s">
        <v>150</v>
      </c>
    </row>
    <row r="28" customFormat="false" ht="12" hidden="false" customHeight="false" outlineLevel="0" collapsed="false">
      <c r="A28" s="27" t="n">
        <v>46219</v>
      </c>
      <c r="B28" s="2" t="s">
        <v>151</v>
      </c>
      <c r="E28" s="2" t="s">
        <v>152</v>
      </c>
      <c r="F28" s="2" t="s">
        <v>65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58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46221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56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46223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54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46223</v>
      </c>
      <c r="B31" s="2" t="s">
        <v>193</v>
      </c>
      <c r="E31" s="2" t="s">
        <v>194</v>
      </c>
      <c r="F31" s="2" t="s">
        <v>65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54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155</v>
      </c>
    </row>
    <row r="32" customFormat="false" ht="12" hidden="false" customHeight="false" outlineLevel="0" collapsed="false">
      <c r="A32" s="27" t="n">
        <v>46223</v>
      </c>
      <c r="B32" s="2" t="s">
        <v>119</v>
      </c>
      <c r="E32" s="2" t="s">
        <v>120</v>
      </c>
      <c r="F32" s="2" t="s">
        <v>121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54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46224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53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46225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52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46228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46228</v>
      </c>
      <c r="B36" s="2" t="s">
        <v>129</v>
      </c>
      <c r="D36" s="4" t="n">
        <v>45</v>
      </c>
      <c r="E36" s="2" t="s">
        <v>195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46231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46234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4755.25</v>
      </c>
      <c r="H1" s="13" t="n">
        <f aca="false">SUM(H5:H200)</f>
        <v>786.166666666667</v>
      </c>
      <c r="I1" s="13" t="n">
        <f aca="false">SUM(I2:I200)</f>
        <v>3969.08333333333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4717</v>
      </c>
      <c r="N1" s="18" t="n">
        <f aca="true">TODAY()</f>
        <v>46277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 t="n">
        <f aca="false">SUM(AC5:AC300)</f>
        <v>291.666666666667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46235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46235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46235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46235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46235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46235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46237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46237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46239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46239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46239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46240</v>
      </c>
      <c r="B16" s="2" t="s">
        <v>135</v>
      </c>
      <c r="E16" s="2" t="s">
        <v>136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46242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46244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46246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46248</v>
      </c>
      <c r="B20" s="2" t="s">
        <v>108</v>
      </c>
      <c r="E20" s="2" t="s">
        <v>109</v>
      </c>
      <c r="F20" s="2" t="s">
        <v>75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29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46248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46248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46249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46249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46249</v>
      </c>
      <c r="B25" s="2" t="s">
        <v>144</v>
      </c>
      <c r="E25" s="2" t="s">
        <v>145</v>
      </c>
      <c r="F25" s="2" t="s">
        <v>104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28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46252</v>
      </c>
      <c r="B26" s="2" t="s">
        <v>196</v>
      </c>
      <c r="E26" s="2" t="s">
        <v>197</v>
      </c>
      <c r="F26" s="2" t="s">
        <v>121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25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122</v>
      </c>
    </row>
    <row r="27" customFormat="false" ht="12" hidden="false" customHeight="false" outlineLevel="0" collapsed="false">
      <c r="A27" s="27" t="n">
        <v>46252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46254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46254</v>
      </c>
      <c r="B29" s="2" t="s">
        <v>198</v>
      </c>
      <c r="E29" s="2" t="s">
        <v>199</v>
      </c>
      <c r="F29" s="2" t="s">
        <v>200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23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201</v>
      </c>
    </row>
    <row r="30" customFormat="false" ht="12" hidden="false" customHeight="false" outlineLevel="0" collapsed="false">
      <c r="A30" s="27" t="n">
        <v>46254</v>
      </c>
      <c r="B30" s="2" t="s">
        <v>156</v>
      </c>
      <c r="E30" s="2" t="s">
        <v>157</v>
      </c>
      <c r="F30" s="2" t="s">
        <v>104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23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105</v>
      </c>
    </row>
    <row r="31" customFormat="false" ht="12" hidden="false" customHeight="false" outlineLevel="0" collapsed="false">
      <c r="A31" s="27" t="n">
        <v>46255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46256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46259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18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46259</v>
      </c>
      <c r="B34" s="2" t="s">
        <v>129</v>
      </c>
      <c r="D34" s="4" t="n">
        <v>85</v>
      </c>
      <c r="E34" s="2" t="s">
        <v>130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46262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15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46265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46246</v>
      </c>
      <c r="B37" s="2" t="s">
        <v>202</v>
      </c>
      <c r="E37" s="2" t="s">
        <v>203</v>
      </c>
      <c r="F37" s="2" t="s">
        <v>204</v>
      </c>
      <c r="G37" s="29" t="n">
        <v>350</v>
      </c>
      <c r="H37" s="6" t="n">
        <f aca="false">IF(G37&lt;&gt;0,G37*H$2/(100+H$2)," ")</f>
        <v>58.3333333333333</v>
      </c>
      <c r="I37" s="6" t="n">
        <f aca="false">IF((G37&lt;&gt;0),G37-H37," ")</f>
        <v>291.666666666667</v>
      </c>
      <c r="J37" s="5"/>
      <c r="M37" s="7" t="n">
        <f aca="false">IF(G37&lt;&gt;0,G37-L37," ")</f>
        <v>350</v>
      </c>
      <c r="N37" s="8" t="n">
        <f aca="false">IF((G37-L37)&lt;&gt;0,N$1-A37," ")</f>
        <v>31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n">
        <f aca="false">IF((F37="e"),I37," ")</f>
        <v>291.666666666667</v>
      </c>
      <c r="BZ37" s="2" t="s">
        <v>205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46277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46266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46266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46266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46266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46266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46266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46268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46268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46270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46270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46273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46273</v>
      </c>
      <c r="B16" s="2" t="s">
        <v>137</v>
      </c>
      <c r="E16" s="2" t="s">
        <v>138</v>
      </c>
      <c r="F16" s="2" t="s">
        <v>71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139</v>
      </c>
    </row>
    <row r="17" customFormat="false" ht="12" hidden="false" customHeight="false" outlineLevel="0" collapsed="false">
      <c r="A17" s="27" t="n">
        <v>46275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46275</v>
      </c>
      <c r="B18" s="2" t="s">
        <v>114</v>
      </c>
      <c r="E18" s="2" t="s">
        <v>206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155</v>
      </c>
    </row>
    <row r="19" customFormat="false" ht="12" hidden="false" customHeight="false" outlineLevel="0" collapsed="false">
      <c r="A19" s="27" t="n">
        <v>46277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46279</v>
      </c>
      <c r="B20" s="2" t="s">
        <v>110</v>
      </c>
      <c r="E20" s="2" t="s">
        <v>111</v>
      </c>
      <c r="F20" s="2" t="s">
        <v>95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46279</v>
      </c>
      <c r="B21" s="2" t="s">
        <v>112</v>
      </c>
      <c r="E21" s="2" t="s">
        <v>113</v>
      </c>
      <c r="F21" s="2" t="s">
        <v>95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-2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46280</v>
      </c>
      <c r="B22" s="2" t="s">
        <v>19</v>
      </c>
      <c r="E22" s="2" t="s">
        <v>89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-3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46280</v>
      </c>
      <c r="B23" s="2" t="s">
        <v>114</v>
      </c>
      <c r="E23" s="2" t="s">
        <v>115</v>
      </c>
      <c r="F23" s="2" t="s">
        <v>65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46280</v>
      </c>
      <c r="B24" s="2" t="s">
        <v>207</v>
      </c>
      <c r="E24" s="2" t="s">
        <v>208</v>
      </c>
      <c r="F24" s="2" t="s">
        <v>133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-3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134</v>
      </c>
    </row>
    <row r="25" customFormat="false" ht="12" hidden="false" customHeight="false" outlineLevel="0" collapsed="false">
      <c r="A25" s="27" t="n">
        <v>46281</v>
      </c>
      <c r="B25" s="2" t="s">
        <v>151</v>
      </c>
      <c r="E25" s="2" t="s">
        <v>152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46283</v>
      </c>
      <c r="B26" s="2" t="s">
        <v>170</v>
      </c>
      <c r="E26" s="2" t="s">
        <v>171</v>
      </c>
      <c r="F26" s="2" t="s">
        <v>104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-6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46283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46285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46286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46287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-10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46287</v>
      </c>
      <c r="B31" s="2" t="s">
        <v>158</v>
      </c>
      <c r="E31" s="2" t="s">
        <v>159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-10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90</v>
      </c>
    </row>
    <row r="32" customFormat="false" ht="12" hidden="false" customHeight="false" outlineLevel="0" collapsed="false">
      <c r="A32" s="27" t="n">
        <v>46290</v>
      </c>
      <c r="B32" s="2" t="s">
        <v>172</v>
      </c>
      <c r="E32" s="2" t="s">
        <v>173</v>
      </c>
      <c r="F32" s="2" t="s">
        <v>61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-13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46290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-13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46290</v>
      </c>
      <c r="B34" s="2" t="s">
        <v>129</v>
      </c>
      <c r="D34" s="4" t="n">
        <v>160</v>
      </c>
      <c r="E34" s="2" t="s">
        <v>209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46293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-16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46295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46295</v>
      </c>
      <c r="B37" s="2" t="s">
        <v>176</v>
      </c>
      <c r="C37" s="3" t="s">
        <v>210</v>
      </c>
      <c r="E37" s="2" t="s">
        <v>178</v>
      </c>
      <c r="F37" s="2" t="s">
        <v>133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-18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46266</v>
      </c>
      <c r="B38" s="2" t="s">
        <v>180</v>
      </c>
      <c r="C38" s="3" t="s">
        <v>211</v>
      </c>
      <c r="E38" s="2" t="s">
        <v>212</v>
      </c>
      <c r="F38" s="2" t="s">
        <v>149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11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46277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46296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46296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46296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46296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46296</v>
      </c>
      <c r="B9" s="2" t="s">
        <v>213</v>
      </c>
      <c r="E9" s="2" t="s">
        <v>214</v>
      </c>
      <c r="F9" s="2" t="s">
        <v>75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-19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46296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-19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46296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-19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46298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-21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46298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-21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46300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-23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46300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-23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46300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-23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46303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-26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46305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-28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46305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-28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46305</v>
      </c>
      <c r="B20" s="2" t="s">
        <v>102</v>
      </c>
      <c r="E20" s="2" t="s">
        <v>103</v>
      </c>
      <c r="F20" s="2" t="s">
        <v>104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-28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46305</v>
      </c>
      <c r="B21" s="2" t="s">
        <v>140</v>
      </c>
      <c r="E21" s="2" t="s">
        <v>215</v>
      </c>
      <c r="F21" s="2" t="s">
        <v>142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-28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143</v>
      </c>
    </row>
    <row r="22" customFormat="false" ht="12" hidden="false" customHeight="false" outlineLevel="0" collapsed="false">
      <c r="A22" s="27" t="n">
        <v>46307</v>
      </c>
      <c r="B22" s="2" t="s">
        <v>106</v>
      </c>
      <c r="E22" s="2" t="s">
        <v>107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-30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46309</v>
      </c>
      <c r="B23" s="2" t="s">
        <v>108</v>
      </c>
      <c r="E23" s="2" t="s">
        <v>109</v>
      </c>
      <c r="F23" s="2" t="s">
        <v>75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-32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85</v>
      </c>
    </row>
    <row r="24" customFormat="false" ht="12" hidden="false" customHeight="false" outlineLevel="0" collapsed="false">
      <c r="A24" s="27" t="n">
        <v>46309</v>
      </c>
      <c r="B24" s="2" t="s">
        <v>110</v>
      </c>
      <c r="E24" s="2" t="s">
        <v>111</v>
      </c>
      <c r="F24" s="2" t="s">
        <v>95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-32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46309</v>
      </c>
      <c r="B25" s="2" t="s">
        <v>112</v>
      </c>
      <c r="E25" s="2" t="s">
        <v>113</v>
      </c>
      <c r="F25" s="2" t="s">
        <v>95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-32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96</v>
      </c>
    </row>
    <row r="26" customFormat="false" ht="12" hidden="false" customHeight="false" outlineLevel="0" collapsed="false">
      <c r="A26" s="27" t="n">
        <v>46310</v>
      </c>
      <c r="B26" s="2" t="s">
        <v>19</v>
      </c>
      <c r="E26" s="2" t="s">
        <v>89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-33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46310</v>
      </c>
      <c r="B27" s="2" t="s">
        <v>114</v>
      </c>
      <c r="E27" s="2" t="s">
        <v>115</v>
      </c>
      <c r="F27" s="2" t="s">
        <v>65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-33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46310</v>
      </c>
      <c r="B28" s="2" t="s">
        <v>216</v>
      </c>
      <c r="E28" s="2" t="s">
        <v>217</v>
      </c>
      <c r="F28" s="2" t="s">
        <v>142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-33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143</v>
      </c>
    </row>
    <row r="29" customFormat="false" ht="12" hidden="false" customHeight="false" outlineLevel="0" collapsed="false">
      <c r="A29" s="27" t="n">
        <v>46313</v>
      </c>
      <c r="B29" s="2" t="s">
        <v>168</v>
      </c>
      <c r="E29" s="2" t="s">
        <v>218</v>
      </c>
      <c r="F29" s="2" t="s">
        <v>95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-36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46313</v>
      </c>
      <c r="B30" s="2" t="s">
        <v>116</v>
      </c>
      <c r="E30" s="2" t="s">
        <v>89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-36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90</v>
      </c>
    </row>
    <row r="31" customFormat="false" ht="12" hidden="false" customHeight="false" outlineLevel="0" collapsed="false">
      <c r="A31" s="27" t="n">
        <v>46315</v>
      </c>
      <c r="B31" s="2" t="s">
        <v>117</v>
      </c>
      <c r="E31" s="2" t="s">
        <v>118</v>
      </c>
      <c r="F31" s="2" t="s">
        <v>65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-38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66</v>
      </c>
    </row>
    <row r="32" customFormat="false" ht="12" hidden="false" customHeight="false" outlineLevel="0" collapsed="false">
      <c r="A32" s="27" t="n">
        <v>46315</v>
      </c>
      <c r="B32" s="2" t="s">
        <v>119</v>
      </c>
      <c r="E32" s="2" t="s">
        <v>120</v>
      </c>
      <c r="F32" s="2" t="s">
        <v>121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-38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46316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-39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46317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-40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46320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-43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46320</v>
      </c>
      <c r="B36" s="2" t="s">
        <v>129</v>
      </c>
      <c r="D36" s="4" t="n">
        <v>95</v>
      </c>
      <c r="E36" s="2" t="s">
        <v>219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46320</v>
      </c>
      <c r="B37" s="2" t="s">
        <v>220</v>
      </c>
      <c r="C37" s="3" t="s">
        <v>221</v>
      </c>
      <c r="E37" s="2" t="s">
        <v>222</v>
      </c>
      <c r="F37" s="2" t="s">
        <v>149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-43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AC37" s="19" t="str">
        <f aca="false">IF((F37="e"),I37," ")</f>
        <v> </v>
      </c>
      <c r="BZ37" s="2" t="s">
        <v>150</v>
      </c>
    </row>
    <row r="38" customFormat="false" ht="12" hidden="false" customHeight="false" outlineLevel="0" collapsed="false">
      <c r="A38" s="27" t="n">
        <v>46323</v>
      </c>
      <c r="B38" s="2" t="s">
        <v>19</v>
      </c>
      <c r="E38" s="2" t="s">
        <v>131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-46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90</v>
      </c>
    </row>
    <row r="39" customFormat="false" ht="12" hidden="false" customHeight="false" outlineLevel="0" collapsed="false">
      <c r="A39" s="27" t="n">
        <v>46326</v>
      </c>
      <c r="B39" s="2" t="s">
        <v>15</v>
      </c>
      <c r="E39" s="2" t="s">
        <v>132</v>
      </c>
      <c r="F39" s="2" t="s">
        <v>133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-49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  <c r="BZ39" s="2" t="s">
        <v>134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46277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600</v>
      </c>
      <c r="AE1" s="42"/>
    </row>
    <row r="2" s="19" customFormat="tru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46327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-50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46327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-50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46327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-50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46327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-50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46327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-50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46327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-50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46329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-52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46329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-52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46331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-54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46331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-54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46332</v>
      </c>
      <c r="B15" s="2" t="s">
        <v>135</v>
      </c>
      <c r="E15" s="2" t="s">
        <v>136</v>
      </c>
      <c r="F15" s="2" t="s">
        <v>95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-55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46334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-57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46336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-59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46338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-61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46340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-63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46340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-63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46341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-64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46341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-64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46341</v>
      </c>
      <c r="B23" s="2" t="s">
        <v>144</v>
      </c>
      <c r="E23" s="2" t="s">
        <v>145</v>
      </c>
      <c r="F23" s="2" t="s">
        <v>104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-64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105</v>
      </c>
    </row>
    <row r="24" customFormat="false" ht="12" hidden="false" customHeight="false" outlineLevel="0" collapsed="false">
      <c r="A24" s="27" t="n">
        <v>46341</v>
      </c>
      <c r="B24" s="2" t="s">
        <v>163</v>
      </c>
      <c r="C24" s="3" t="s">
        <v>223</v>
      </c>
      <c r="E24" s="2" t="s">
        <v>224</v>
      </c>
      <c r="F24" s="2" t="s">
        <v>166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-64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AD24" s="19" t="n">
        <v>600</v>
      </c>
      <c r="BZ24" s="2" t="s">
        <v>167</v>
      </c>
    </row>
    <row r="25" customFormat="false" ht="12" hidden="false" customHeight="false" outlineLevel="0" collapsed="false">
      <c r="A25" s="27" t="n">
        <v>46342</v>
      </c>
      <c r="B25" s="2" t="s">
        <v>151</v>
      </c>
      <c r="E25" s="2" t="s">
        <v>152</v>
      </c>
      <c r="F25" s="2" t="s">
        <v>65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-65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46344</v>
      </c>
      <c r="B26" s="2" t="s">
        <v>116</v>
      </c>
      <c r="E26" s="2" t="s">
        <v>89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-67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46346</v>
      </c>
      <c r="B27" s="2" t="s">
        <v>117</v>
      </c>
      <c r="E27" s="2" t="s">
        <v>118</v>
      </c>
      <c r="F27" s="2" t="s">
        <v>65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-69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46346</v>
      </c>
      <c r="B28" s="2" t="s">
        <v>153</v>
      </c>
      <c r="E28" s="2" t="s">
        <v>154</v>
      </c>
      <c r="F28" s="2" t="s">
        <v>65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-69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155</v>
      </c>
    </row>
    <row r="29" customFormat="false" ht="12" hidden="false" customHeight="false" outlineLevel="0" collapsed="false">
      <c r="A29" s="27" t="n">
        <v>46346</v>
      </c>
      <c r="B29" s="2" t="s">
        <v>156</v>
      </c>
      <c r="E29" s="2" t="s">
        <v>157</v>
      </c>
      <c r="F29" s="2" t="s">
        <v>104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-69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105</v>
      </c>
    </row>
    <row r="30" customFormat="false" ht="12" hidden="false" customHeight="false" outlineLevel="0" collapsed="false">
      <c r="A30" s="27" t="n">
        <v>46347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-70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46348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-71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46351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-74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46351</v>
      </c>
      <c r="B33" s="2" t="s">
        <v>129</v>
      </c>
      <c r="D33" s="4" t="n">
        <v>180</v>
      </c>
      <c r="E33" s="2" t="s">
        <v>175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46354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-77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46356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-79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46277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46357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-80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46357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-80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46357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-80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46357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-80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46357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-80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46357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-80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46359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-82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46359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-82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46361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-84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46361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-84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46361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-84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46364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-87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46366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-89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46366</v>
      </c>
      <c r="B18" s="2" t="s">
        <v>161</v>
      </c>
      <c r="E18" s="2" t="s">
        <v>162</v>
      </c>
      <c r="F18" s="2" t="s">
        <v>65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-89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46368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-91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46370</v>
      </c>
      <c r="B20" s="2" t="s">
        <v>108</v>
      </c>
      <c r="E20" s="2" t="s">
        <v>109</v>
      </c>
      <c r="F20" s="2" t="s">
        <v>75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-93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46370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-93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46370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-93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46371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-94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46371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-94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46371</v>
      </c>
      <c r="B25" s="2" t="s">
        <v>225</v>
      </c>
      <c r="E25" s="2" t="s">
        <v>226</v>
      </c>
      <c r="F25" s="2" t="s">
        <v>75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-94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227</v>
      </c>
    </row>
    <row r="26" customFormat="false" ht="12" hidden="false" customHeight="false" outlineLevel="0" collapsed="false">
      <c r="A26" s="27" t="n">
        <v>46374</v>
      </c>
      <c r="B26" s="2" t="s">
        <v>170</v>
      </c>
      <c r="E26" s="2" t="s">
        <v>171</v>
      </c>
      <c r="F26" s="2" t="s">
        <v>104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-97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46374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-97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46376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-99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46377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-100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46378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-101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46381</v>
      </c>
      <c r="B31" s="2" t="s">
        <v>172</v>
      </c>
      <c r="E31" s="2" t="s">
        <v>173</v>
      </c>
      <c r="F31" s="2" t="s">
        <v>61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-104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174</v>
      </c>
    </row>
    <row r="32" customFormat="false" ht="12" hidden="false" customHeight="false" outlineLevel="0" collapsed="false">
      <c r="A32" s="27" t="n">
        <v>46381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-104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46381</v>
      </c>
      <c r="B33" s="2" t="s">
        <v>129</v>
      </c>
      <c r="D33" s="4" t="n">
        <v>110</v>
      </c>
      <c r="E33" s="2" t="s">
        <v>228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46384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-107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46387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-110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 t="n">
        <v>46387</v>
      </c>
      <c r="B36" s="2" t="s">
        <v>229</v>
      </c>
      <c r="E36" s="2" t="s">
        <v>230</v>
      </c>
      <c r="F36" s="2" t="s">
        <v>200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-110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231</v>
      </c>
    </row>
    <row r="37" customFormat="false" ht="12" hidden="false" customHeight="false" outlineLevel="0" collapsed="false">
      <c r="A37" s="27" t="n">
        <v>46387</v>
      </c>
      <c r="B37" s="2" t="s">
        <v>176</v>
      </c>
      <c r="C37" s="3" t="s">
        <v>232</v>
      </c>
      <c r="E37" s="2" t="s">
        <v>178</v>
      </c>
      <c r="F37" s="2" t="s">
        <v>133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-110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46277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46388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-111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46388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-111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46388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-111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46388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-111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46388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-111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46388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-111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46390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-113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46390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-113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46392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-115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46392</v>
      </c>
      <c r="B14" s="2" t="s">
        <v>186</v>
      </c>
      <c r="E14" s="2" t="s">
        <v>187</v>
      </c>
      <c r="F14" s="2" t="s">
        <v>142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-115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143</v>
      </c>
    </row>
    <row r="15" customFormat="false" ht="12" hidden="false" customHeight="false" outlineLevel="0" collapsed="false">
      <c r="A15" s="27" t="n">
        <v>46392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-115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46395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-118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46395</v>
      </c>
      <c r="B17" s="2" t="s">
        <v>137</v>
      </c>
      <c r="E17" s="2" t="s">
        <v>138</v>
      </c>
      <c r="F17" s="2" t="s">
        <v>71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-118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46397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-120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46397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-120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46397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-120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46399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-122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46401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-124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46401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-124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46402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-125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46402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-125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46403</v>
      </c>
      <c r="B26" s="2" t="s">
        <v>151</v>
      </c>
      <c r="E26" s="2" t="s">
        <v>152</v>
      </c>
      <c r="F26" s="2" t="s">
        <v>65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-126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46405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-128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46407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-130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46407</v>
      </c>
      <c r="B29" s="2" t="s">
        <v>193</v>
      </c>
      <c r="E29" s="2" t="s">
        <v>194</v>
      </c>
      <c r="F29" s="2" t="s">
        <v>65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-130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155</v>
      </c>
    </row>
    <row r="30" customFormat="false" ht="12" hidden="false" customHeight="false" outlineLevel="0" collapsed="false">
      <c r="A30" s="27" t="n">
        <v>46407</v>
      </c>
      <c r="B30" s="2" t="s">
        <v>119</v>
      </c>
      <c r="E30" s="2" t="s">
        <v>120</v>
      </c>
      <c r="F30" s="2" t="s">
        <v>121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-130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122</v>
      </c>
    </row>
    <row r="31" customFormat="false" ht="12" hidden="false" customHeight="false" outlineLevel="0" collapsed="false">
      <c r="A31" s="27" t="n">
        <v>46408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-131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46409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-132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46409</v>
      </c>
      <c r="B33" s="2" t="s">
        <v>158</v>
      </c>
      <c r="E33" s="2" t="s">
        <v>159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-132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46412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-135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46412</v>
      </c>
      <c r="B35" s="2" t="s">
        <v>129</v>
      </c>
      <c r="D35" s="4" t="n">
        <v>85</v>
      </c>
      <c r="E35" s="2" t="s">
        <v>130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46415</v>
      </c>
      <c r="B36" s="2" t="s">
        <v>19</v>
      </c>
      <c r="E36" s="2" t="s">
        <v>131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-138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46418</v>
      </c>
      <c r="B37" s="2" t="s">
        <v>15</v>
      </c>
      <c r="E37" s="2" t="s">
        <v>132</v>
      </c>
      <c r="F37" s="2" t="s">
        <v>133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-141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134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46277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46419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-142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46419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-142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46419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-142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46419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-142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46419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-142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46419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-142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46421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-144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46421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-144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46423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-146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46423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-146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46423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-146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46424</v>
      </c>
      <c r="B16" s="2" t="s">
        <v>135</v>
      </c>
      <c r="E16" s="2" t="s">
        <v>136</v>
      </c>
      <c r="F16" s="2" t="s">
        <v>95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-147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46426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-149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46428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-151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46430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-153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46430</v>
      </c>
      <c r="B20" s="2" t="s">
        <v>188</v>
      </c>
      <c r="E20" s="2" t="s">
        <v>189</v>
      </c>
      <c r="F20" s="2" t="s">
        <v>71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-153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139</v>
      </c>
    </row>
    <row r="21" customFormat="false" ht="12" hidden="false" customHeight="false" outlineLevel="0" collapsed="false">
      <c r="A21" s="27" t="n">
        <v>46432</v>
      </c>
      <c r="B21" s="2" t="s">
        <v>108</v>
      </c>
      <c r="E21" s="2" t="s">
        <v>109</v>
      </c>
      <c r="F21" s="2" t="s">
        <v>75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-155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85</v>
      </c>
    </row>
    <row r="22" customFormat="false" ht="12" hidden="false" customHeight="false" outlineLevel="0" collapsed="false">
      <c r="A22" s="27" t="n">
        <v>46432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-155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46432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-155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46433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-156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46433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-156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46433</v>
      </c>
      <c r="B26" s="2" t="s">
        <v>144</v>
      </c>
      <c r="E26" s="2" t="s">
        <v>145</v>
      </c>
      <c r="F26" s="2" t="s">
        <v>104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-156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46436</v>
      </c>
      <c r="B27" s="2" t="s">
        <v>196</v>
      </c>
      <c r="E27" s="2" t="s">
        <v>233</v>
      </c>
      <c r="F27" s="2" t="s">
        <v>121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-159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122</v>
      </c>
    </row>
    <row r="28" customFormat="false" ht="12" hidden="false" customHeight="false" outlineLevel="0" collapsed="false">
      <c r="A28" s="27" t="n">
        <v>46436</v>
      </c>
      <c r="B28" s="2" t="s">
        <v>168</v>
      </c>
      <c r="E28" s="2" t="s">
        <v>234</v>
      </c>
      <c r="F28" s="2" t="s">
        <v>95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-159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96</v>
      </c>
    </row>
    <row r="29" customFormat="false" ht="12" hidden="false" customHeight="false" outlineLevel="0" collapsed="false">
      <c r="A29" s="27" t="n">
        <v>46436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-159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46438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-161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46438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-161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46439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-162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46440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-163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46443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-166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46443</v>
      </c>
      <c r="B35" s="2" t="s">
        <v>129</v>
      </c>
      <c r="D35" s="4" t="n">
        <v>70</v>
      </c>
      <c r="E35" s="2" t="s">
        <v>235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46446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-169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46446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-169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46277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46447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-170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46447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-170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46447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-170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46447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-170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46447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-170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46447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-170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46449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-172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46449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-172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46451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-174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46451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-174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46454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-177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46456</v>
      </c>
      <c r="B16" s="2" t="s">
        <v>97</v>
      </c>
      <c r="E16" s="2" t="s">
        <v>98</v>
      </c>
      <c r="F16" s="2" t="s">
        <v>75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-179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85</v>
      </c>
    </row>
    <row r="17" customFormat="false" ht="12" hidden="false" customHeight="false" outlineLevel="0" collapsed="false">
      <c r="A17" s="27" t="n">
        <v>46456</v>
      </c>
      <c r="B17" s="2" t="s">
        <v>114</v>
      </c>
      <c r="E17" s="2" t="s">
        <v>206</v>
      </c>
      <c r="F17" s="2" t="s">
        <v>65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-179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155</v>
      </c>
    </row>
    <row r="18" customFormat="false" ht="12" hidden="false" customHeight="false" outlineLevel="0" collapsed="false">
      <c r="A18" s="27" t="n">
        <v>46458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-181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46460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-183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46460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-183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46461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-184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46461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-184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46462</v>
      </c>
      <c r="B23" s="2" t="s">
        <v>151</v>
      </c>
      <c r="E23" s="2" t="s">
        <v>152</v>
      </c>
      <c r="F23" s="2" t="s">
        <v>65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-185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46464</v>
      </c>
      <c r="B24" s="2" t="s">
        <v>170</v>
      </c>
      <c r="E24" s="2" t="s">
        <v>171</v>
      </c>
      <c r="F24" s="2" t="s">
        <v>104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-187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105</v>
      </c>
    </row>
    <row r="25" customFormat="false" ht="12" hidden="false" customHeight="false" outlineLevel="0" collapsed="false">
      <c r="A25" s="27" t="n">
        <v>46464</v>
      </c>
      <c r="B25" s="2" t="s">
        <v>116</v>
      </c>
      <c r="E25" s="2" t="s">
        <v>89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-187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46466</v>
      </c>
      <c r="B26" s="2" t="s">
        <v>117</v>
      </c>
      <c r="E26" s="2" t="s">
        <v>118</v>
      </c>
      <c r="F26" s="2" t="s">
        <v>65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-189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46467</v>
      </c>
      <c r="B27" s="2" t="s">
        <v>123</v>
      </c>
      <c r="E27" s="2" t="s">
        <v>124</v>
      </c>
      <c r="F27" s="2" t="s">
        <v>95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-190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96</v>
      </c>
    </row>
    <row r="28" customFormat="false" ht="12" hidden="false" customHeight="false" outlineLevel="0" collapsed="false">
      <c r="A28" s="27" t="n">
        <v>46468</v>
      </c>
      <c r="B28" s="2" t="s">
        <v>125</v>
      </c>
      <c r="E28" s="2" t="s">
        <v>126</v>
      </c>
      <c r="F28" s="2" t="s">
        <v>75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-191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85</v>
      </c>
    </row>
    <row r="29" customFormat="false" ht="12" hidden="false" customHeight="false" outlineLevel="0" collapsed="false">
      <c r="A29" s="27" t="n">
        <v>46468</v>
      </c>
      <c r="B29" s="2" t="s">
        <v>158</v>
      </c>
      <c r="E29" s="2" t="s">
        <v>159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-191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46471</v>
      </c>
      <c r="B30" s="2" t="s">
        <v>172</v>
      </c>
      <c r="E30" s="2" t="s">
        <v>173</v>
      </c>
      <c r="F30" s="2" t="s">
        <v>61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-194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174</v>
      </c>
    </row>
    <row r="31" customFormat="false" ht="12" hidden="false" customHeight="false" outlineLevel="0" collapsed="false">
      <c r="A31" s="27" t="n">
        <v>46471</v>
      </c>
      <c r="B31" s="2" t="s">
        <v>127</v>
      </c>
      <c r="E31" s="2" t="s">
        <v>128</v>
      </c>
      <c r="F31" s="2" t="s">
        <v>75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-194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46471</v>
      </c>
      <c r="B32" s="2" t="s">
        <v>129</v>
      </c>
      <c r="D32" s="4" t="n">
        <v>130</v>
      </c>
      <c r="E32" s="2" t="s">
        <v>228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90</v>
      </c>
    </row>
    <row r="33" customFormat="false" ht="12" hidden="false" customHeight="false" outlineLevel="0" collapsed="false">
      <c r="A33" s="27" t="n">
        <v>46474</v>
      </c>
      <c r="B33" s="2" t="s">
        <v>19</v>
      </c>
      <c r="E33" s="2" t="s">
        <v>131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-197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46477</v>
      </c>
      <c r="B34" s="2" t="s">
        <v>15</v>
      </c>
      <c r="E34" s="2" t="s">
        <v>132</v>
      </c>
      <c r="F34" s="2" t="s">
        <v>133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-200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134</v>
      </c>
    </row>
    <row r="35" customFormat="false" ht="12" hidden="false" customHeight="false" outlineLevel="0" collapsed="false">
      <c r="A35" s="27" t="n">
        <v>46477</v>
      </c>
      <c r="B35" s="2" t="s">
        <v>176</v>
      </c>
      <c r="C35" s="3" t="s">
        <v>236</v>
      </c>
      <c r="E35" s="2" t="s">
        <v>178</v>
      </c>
      <c r="F35" s="2" t="s">
        <v>133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-200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179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46277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237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46277</v>
      </c>
    </row>
    <row r="6" customFormat="false" ht="12" hidden="false" customHeight="false" outlineLevel="0" collapsed="false">
      <c r="A6" s="27"/>
      <c r="B6" s="2" t="s">
        <v>15</v>
      </c>
      <c r="C6" s="3" t="s">
        <v>238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46277</v>
      </c>
    </row>
    <row r="7" customFormat="false" ht="12" hidden="false" customHeight="false" outlineLevel="0" collapsed="false">
      <c r="A7" s="27"/>
      <c r="B7" s="2" t="s">
        <v>117</v>
      </c>
      <c r="C7" s="3" t="s">
        <v>239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46277</v>
      </c>
    </row>
    <row r="8" customFormat="false" ht="12" hidden="false" customHeight="false" outlineLevel="0" collapsed="false">
      <c r="A8" s="27"/>
      <c r="B8" s="2" t="s">
        <v>19</v>
      </c>
      <c r="C8" s="3" t="s">
        <v>240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46277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