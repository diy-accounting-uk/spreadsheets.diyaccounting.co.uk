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" name="_xlnm.Print_Area" vbProcedure="false">Apr!$A$1:$AE$75</definedName>
    <definedName function="false" hidden="false" localSheetId="1" name="_xlnm.Print_Titles" vbProcedure="false">Apr!$A:$C,Apr!$1:$4</definedName>
    <definedName function="false" hidden="false" localSheetId="5" name="_xlnm.Print_Area" vbProcedure="false">Aug!$A$1:$AE$75</definedName>
    <definedName function="false" hidden="false" localSheetId="5" name="_xlnm.Print_Titles" vbProcedure="false">Aug!$A:$C,Aug!$1:$4</definedName>
    <definedName function="false" hidden="false" localSheetId="13" name="_xlnm.Print_Area" vbProcedure="false">ClosingCreditors!$A$1:$N$75</definedName>
    <definedName function="false" hidden="false" localSheetId="13" name="_xlnm.Print_Titles" vbProcedure="false">ClosingCreditors!$1:$4</definedName>
    <definedName function="false" hidden="false" localSheetId="9" name="_xlnm.Print_Area" vbProcedure="false">Dec!$A$1:$AE$75</definedName>
    <definedName function="false" hidden="false" localSheetId="9" name="_xlnm.Print_Titles" vbProcedure="false">Dec!$A:$C,Dec!$1:$4</definedName>
    <definedName function="false" hidden="false" localSheetId="11" name="_xlnm.Print_Area" vbProcedure="false">Feb!$A$1:$AE$75</definedName>
    <definedName function="false" hidden="false" localSheetId="11" name="_xlnm.Print_Titles" vbProcedure="false">Feb!$A:$C,Feb!$1:$4</definedName>
    <definedName function="false" hidden="false" localSheetId="10" name="_xlnm.Print_Area" vbProcedure="false">Jan!$A$1:$AE$75</definedName>
    <definedName function="false" hidden="false" localSheetId="10" name="_xlnm.Print_Titles" vbProcedure="false">Jan!$A:$C,Jan!$1:$4</definedName>
    <definedName function="false" hidden="false" localSheetId="4" name="_xlnm.Print_Area" vbProcedure="false">Jul!$A$1:$AE$75</definedName>
    <definedName function="false" hidden="false" localSheetId="4" name="_xlnm.Print_Titles" vbProcedure="false">Jul!$A:$C,Jul!$1:$4</definedName>
    <definedName function="false" hidden="false" localSheetId="3" name="_xlnm.Print_Area" vbProcedure="false">Jun!$A$1:$AE$75</definedName>
    <definedName function="false" hidden="false" localSheetId="3" name="_xlnm.Print_Titles" vbProcedure="false">Jun!$A:$C,Jun!$1:$4</definedName>
    <definedName function="false" hidden="false" localSheetId="12" name="_xlnm.Print_Area" vbProcedure="false">Mar!$A$1:$AE$75</definedName>
    <definedName function="false" hidden="false" localSheetId="12" name="_xlnm.Print_Titles" vbProcedure="false">Mar!$A:$C,Mar!$1:$4</definedName>
    <definedName function="false" hidden="false" localSheetId="2" name="_xlnm.Print_Area" vbProcedure="false">May!$A$1:$AE$75</definedName>
    <definedName function="false" hidden="false" localSheetId="2" name="_xlnm.Print_Titles" vbProcedure="false">May!$A:$C,May!$1:$4</definedName>
    <definedName function="false" hidden="false" localSheetId="8" name="_xlnm.Print_Area" vbProcedure="false">Nov!$A$1:$AE$75</definedName>
    <definedName function="false" hidden="false" localSheetId="8" name="_xlnm.Print_Titles" vbProcedure="false">Nov!$A:$C,Nov!$1:$4</definedName>
    <definedName function="false" hidden="false" localSheetId="7" name="_xlnm.Print_Area" vbProcedure="false">Oct!$A$1:$AE$75</definedName>
    <definedName function="false" hidden="false" localSheetId="7" name="_xlnm.Print_Titles" vbProcedure="false">Oct!$A:$C,Oct!$1:$4</definedName>
    <definedName function="false" hidden="false" localSheetId="0" name="_xlnm.Print_Area" vbProcedure="false">OpeningCreditors!$A$1:$N$75</definedName>
    <definedName function="false" hidden="false" localSheetId="0" name="_xlnm.Print_Titles" vbProcedure="false">OpeningCreditors!$1:$4</definedName>
    <definedName function="false" hidden="false" localSheetId="6" name="_xlnm.Print_Area" vbProcedure="false">Sep!$A$1:$AE$75</definedName>
    <definedName function="false" hidden="false" localSheetId="6" name="_xlnm.Print_Titles" vbProcedure="false">Sep!$A:$C,Sep!$1:$4</definedName>
    <definedName function="false" hidden="false" localSheetId="0" name="_xlnm_Print_Area" vbProcedure="false">OpeningCreditors!$A$1:$N$75</definedName>
    <definedName function="false" hidden="false" localSheetId="0" name="_xlnm_Print_Titles" vbProcedure="false">OpeningCreditors!$1:$4</definedName>
    <definedName function="false" hidden="false" localSheetId="1" name="Excel_BuiltIn_Print_Titles" vbProcedure="false">(Apr!$A:$C,Apr!$1:$4)</definedName>
    <definedName function="false" hidden="false" localSheetId="1" name="_xlnm_Print_Area" vbProcedure="false">Apr!$A$1:$AE$75</definedName>
    <definedName function="false" hidden="false" localSheetId="1" name="_xlnm_Print_Titles" vbProcedure="false">(Apr!$A:$C,Apr!$1:$4)</definedName>
    <definedName function="false" hidden="false" localSheetId="2" name="Excel_BuiltIn_Print_Titles" vbProcedure="false">(May!$A:$C,May!$1:$4)</definedName>
    <definedName function="false" hidden="false" localSheetId="2" name="_xlnm_Print_Area" vbProcedure="false">May!$A$1:$AE$75</definedName>
    <definedName function="false" hidden="false" localSheetId="2" name="_xlnm_Print_Titles" vbProcedure="false">(May!$A:$C,May!$1:$4)</definedName>
    <definedName function="false" hidden="false" localSheetId="3" name="Excel_BuiltIn_Print_Titles" vbProcedure="false">(Jun!$A:$C,Jun!$1:$4)</definedName>
    <definedName function="false" hidden="false" localSheetId="3" name="_xlnm_Print_Area" vbProcedure="false">Jun!$A$1:$AE$75</definedName>
    <definedName function="false" hidden="false" localSheetId="3" name="_xlnm_Print_Titles" vbProcedure="false">(Jun!$A:$C,Jun!$1:$4)</definedName>
    <definedName function="false" hidden="false" localSheetId="4" name="Excel_BuiltIn_Print_Titles" vbProcedure="false">(Jul!$A:$C,Jul!$1:$4)</definedName>
    <definedName function="false" hidden="false" localSheetId="4" name="_xlnm_Print_Area" vbProcedure="false">Jul!$A$1:$AE$75</definedName>
    <definedName function="false" hidden="false" localSheetId="4" name="_xlnm_Print_Titles" vbProcedure="false">(Jul!$A:$C,Jul!$1:$4)</definedName>
    <definedName function="false" hidden="false" localSheetId="5" name="Excel_BuiltIn_Print_Titles" vbProcedure="false">(Aug!$A:$C,Aug!$1:$4)</definedName>
    <definedName function="false" hidden="false" localSheetId="5" name="_xlnm_Print_Area" vbProcedure="false">Aug!$A$1:$AE$75</definedName>
    <definedName function="false" hidden="false" localSheetId="5" name="_xlnm_Print_Titles" vbProcedure="false">(Aug!$A:$C,Aug!$1:$4)</definedName>
    <definedName function="false" hidden="false" localSheetId="6" name="Excel_BuiltIn_Print_Titles" vbProcedure="false">(Sep!$A:$C,Sep!$1:$4)</definedName>
    <definedName function="false" hidden="false" localSheetId="6" name="_xlnm_Print_Area" vbProcedure="false">Sep!$A$1:$AE$75</definedName>
    <definedName function="false" hidden="false" localSheetId="6" name="_xlnm_Print_Titles" vbProcedure="false">(Sep!$A:$C,Sep!$1:$4)</definedName>
    <definedName function="false" hidden="false" localSheetId="7" name="Excel_BuiltIn_Print_Titles" vbProcedure="false">(Oct!$A:$C,Oct!$1:$4)</definedName>
    <definedName function="false" hidden="false" localSheetId="7" name="_xlnm_Print_Area" vbProcedure="false">Oct!$A$1:$AE$75</definedName>
    <definedName function="false" hidden="false" localSheetId="7" name="_xlnm_Print_Titles" vbProcedure="false">(Oct!$A:$C,Oct!$1:$4)</definedName>
    <definedName function="false" hidden="false" localSheetId="8" name="Excel_BuiltIn_Print_Titles" vbProcedure="false">(Nov!$A:$C,Nov!$1:$4)</definedName>
    <definedName function="false" hidden="false" localSheetId="8" name="_xlnm_Print_Area" vbProcedure="false">Nov!$A$1:$AE$75</definedName>
    <definedName function="false" hidden="false" localSheetId="8" name="_xlnm_Print_Titles" vbProcedure="false">(Nov!$A:$C,Nov!$1:$4)</definedName>
    <definedName function="false" hidden="false" localSheetId="9" name="Excel_BuiltIn_Print_Titles" vbProcedure="false">(Dec!$A:$C,Dec!$1:$4)</definedName>
    <definedName function="false" hidden="false" localSheetId="9" name="_xlnm_Print_Area" vbProcedure="false">Dec!$A$1:$AE$75</definedName>
    <definedName function="false" hidden="false" localSheetId="9" name="_xlnm_Print_Titles" vbProcedure="false">(Dec!$A:$C,Dec!$1:$4)</definedName>
    <definedName function="false" hidden="false" localSheetId="10" name="Excel_BuiltIn_Print_Titles" vbProcedure="false">(Jan!$A:$C,Jan!$1:$4)</definedName>
    <definedName function="false" hidden="false" localSheetId="10" name="_xlnm_Print_Area" vbProcedure="false">Jan!$A$1:$AE$75</definedName>
    <definedName function="false" hidden="false" localSheetId="10" name="_xlnm_Print_Titles" vbProcedure="false">(Jan!$A:$C,Jan!$1:$4)</definedName>
    <definedName function="false" hidden="false" localSheetId="11" name="Excel_BuiltIn_Print_Titles" vbProcedure="false">(Feb!$A:$C,Feb!$1:$4)</definedName>
    <definedName function="false" hidden="false" localSheetId="11" name="_xlnm_Print_Area" vbProcedure="false">Feb!$A$1:$AE$75</definedName>
    <definedName function="false" hidden="false" localSheetId="11" name="_xlnm_Print_Titles" vbProcedure="false">(Feb!$A:$C,Feb!$1:$4)</definedName>
    <definedName function="false" hidden="false" localSheetId="12" name="Excel_BuiltIn_Print_Titles" vbProcedure="false">(Mar!$A:$C,Mar!$1:$4)</definedName>
    <definedName function="false" hidden="false" localSheetId="12" name="_xlnm_Print_Area" vbProcedure="false">Mar!$A$1:$AE$75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ClosingCreditors!$A$1:$N$75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<sst xmlns="http://schemas.openxmlformats.org/spreadsheetml/2006/main" count="2250" uniqueCount="241">
  <si>
    <t xml:space="preserve">Purchase Date</t>
  </si>
  <si>
    <t xml:space="preserve">Supplier Name</t>
  </si>
  <si>
    <t xml:space="preserve">Purchase Invoice Number or Reference</t>
  </si>
  <si>
    <t xml:space="preserve">Total for Month</t>
  </si>
  <si>
    <t xml:space="preserve">For your information only. Enter How Paid e.g. Cash, Cheque etc.,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</si>
  <si>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</si>
  <si>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</si>
  <si>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</si>
  <si>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</si>
  <si>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</si>
  <si>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</si>
  <si>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</si>
  <si>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</si>
  <si>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WorkSpace Ltd</t>
  </si>
  <si>
    <t xml:space="preserve">WS-2403</t>
  </si>
  <si>
    <t xml:space="preserve">Smith &amp; Co</t>
  </si>
  <si>
    <t xml:space="preserve">SC-2403</t>
  </si>
  <si>
    <t xml:space="preserve">TechParts Ltd</t>
  </si>
  <si>
    <t xml:space="preserve">TP-2403</t>
  </si>
  <si>
    <t xml:space="preserve">Shell</t>
  </si>
  <si>
    <t xml:space="preserve">SH-2403</t>
  </si>
  <si>
    <t xml:space="preserve">Check Total</t>
  </si>
  <si>
    <t xml:space="preserve">Mileage expenses</t>
  </si>
  <si>
    <t xml:space="preserve">Mileage</t>
  </si>
  <si>
    <t xml:space="preserve">v</t>
  </si>
  <si>
    <t xml:space="preserve">Purchases Cost of Sales</t>
  </si>
  <si>
    <t xml:space="preserve">Employee Wages excluding Paye</t>
  </si>
  <si>
    <t xml:space="preserve">Premises </t>
  </si>
  <si>
    <t xml:space="preserve">Repairs &amp; Maintenance </t>
  </si>
  <si>
    <t xml:space="preserve">Admistration Telephone Postage &amp; Stationery</t>
  </si>
  <si>
    <t xml:space="preserve">Travel Hotel Subsistence Expenses</t>
  </si>
  <si>
    <t xml:space="preserve">Advertising Promotion Entertainment</t>
  </si>
  <si>
    <t xml:space="preserve">Legal &amp; Professional</t>
  </si>
  <si>
    <t xml:space="preserve">Other Expenses</t>
  </si>
  <si>
    <t xml:space="preserve">Business Entertainment</t>
  </si>
  <si>
    <t xml:space="preserve">Contractors </t>
  </si>
  <si>
    <t xml:space="preserve">  Enter Expense Code Letter</t>
  </si>
  <si>
    <t xml:space="preserve">Direct Materials</t>
  </si>
  <si>
    <t xml:space="preserve">Sub Contractors</t>
  </si>
  <si>
    <t xml:space="preserve">Other Direct Business Costs</t>
  </si>
  <si>
    <t xml:space="preserve">Rent &amp; Rates, Light &amp; Heating</t>
  </si>
  <si>
    <t xml:space="preserve">Motor Vehicle Expenses</t>
  </si>
  <si>
    <t xml:space="preserve">Fixed Asset Purchases</t>
  </si>
  <si>
    <t xml:space="preserve">CIS Certificates</t>
  </si>
  <si>
    <t xml:space="preserve">S</t>
  </si>
  <si>
    <t xml:space="preserve">C</t>
  </si>
  <si>
    <t xml:space="preserve">O</t>
  </si>
  <si>
    <t xml:space="preserve">W</t>
  </si>
  <si>
    <t xml:space="preserve">P</t>
  </si>
  <si>
    <t xml:space="preserve">M</t>
  </si>
  <si>
    <t xml:space="preserve">G</t>
  </si>
  <si>
    <t xml:space="preserve">V</t>
  </si>
  <si>
    <t xml:space="preserve">H</t>
  </si>
  <si>
    <t xml:space="preserve">A</t>
  </si>
  <si>
    <t xml:space="preserve">L</t>
  </si>
  <si>
    <t xml:space="preserve">Y</t>
  </si>
  <si>
    <t xml:space="preserve">FA</t>
  </si>
  <si>
    <t xml:space="preserve">E</t>
  </si>
  <si>
    <t xml:space="preserve">Tax Paid</t>
  </si>
  <si>
    <t xml:space="preserve">Certificate No</t>
  </si>
  <si>
    <t xml:space="preserve">Monthly office rent</t>
  </si>
  <si>
    <t xml:space="preserve">p</t>
  </si>
  <si>
    <t xml:space="preserve">5200</t>
  </si>
  <si>
    <t xml:space="preserve">Microsoft</t>
  </si>
  <si>
    <t xml:space="preserve">Microsoft 365 subscription</t>
  </si>
  <si>
    <t xml:space="preserve">g</t>
  </si>
  <si>
    <t xml:space="preserve">5501</t>
  </si>
  <si>
    <t xml:space="preserve">Slack</t>
  </si>
  <si>
    <t xml:space="preserve">Slack team subscription</t>
  </si>
  <si>
    <t xml:space="preserve">GitHub</t>
  </si>
  <si>
    <t xml:space="preserve">GitHub Team subscription</t>
  </si>
  <si>
    <t xml:space="preserve">o</t>
  </si>
  <si>
    <t xml:space="preserve">5002</t>
  </si>
  <si>
    <t xml:space="preserve">Hiscox</t>
  </si>
  <si>
    <t xml:space="preserve">Professional indemnity insurance</t>
  </si>
  <si>
    <t xml:space="preserve">y</t>
  </si>
  <si>
    <t xml:space="preserve">5700</t>
  </si>
  <si>
    <t xml:space="preserve">Cloudflare</t>
  </si>
  <si>
    <t xml:space="preserve">CDN and DNS services</t>
  </si>
  <si>
    <t xml:space="preserve">Zoom</t>
  </si>
  <si>
    <t xml:space="preserve">Video conferencing subscription</t>
  </si>
  <si>
    <t xml:space="preserve">AWS</t>
  </si>
  <si>
    <t xml:space="preserve">Cloud hosting charges</t>
  </si>
  <si>
    <t xml:space="preserve">Argos</t>
  </si>
  <si>
    <t xml:space="preserve">Miscellaneous office items</t>
  </si>
  <si>
    <t xml:space="preserve">5401</t>
  </si>
  <si>
    <t xml:space="preserve">Ryman</t>
  </si>
  <si>
    <t xml:space="preserve">Stationery supplies</t>
  </si>
  <si>
    <t xml:space="preserve">BP</t>
  </si>
  <si>
    <t xml:space="preserve">Fuel for company vehicle</t>
  </si>
  <si>
    <t xml:space="preserve">5601</t>
  </si>
  <si>
    <t xml:space="preserve">DigitalOcean</t>
  </si>
  <si>
    <t xml:space="preserve">Cloud VPS hosting</t>
  </si>
  <si>
    <t xml:space="preserve">National Rail</t>
  </si>
  <si>
    <t xml:space="preserve">Train ticket client meeting</t>
  </si>
  <si>
    <t xml:space="preserve">h</t>
  </si>
  <si>
    <t xml:space="preserve">5600</t>
  </si>
  <si>
    <t xml:space="preserve">Amazon</t>
  </si>
  <si>
    <t xml:space="preserve">Office supplies</t>
  </si>
  <si>
    <t xml:space="preserve">Xerox</t>
  </si>
  <si>
    <t xml:space="preserve">Printer lease payment</t>
  </si>
  <si>
    <t xml:space="preserve">5701</t>
  </si>
  <si>
    <t xml:space="preserve">TechParts</t>
  </si>
  <si>
    <t xml:space="preserve">Hardware components for resale</t>
  </si>
  <si>
    <t xml:space="preserve">s</t>
  </si>
  <si>
    <t xml:space="preserve">5000</t>
  </si>
  <si>
    <t xml:space="preserve">NCP</t>
  </si>
  <si>
    <t xml:space="preserve">Parking charges</t>
  </si>
  <si>
    <t xml:space="preserve">Toolstation</t>
  </si>
  <si>
    <t xml:space="preserve">Assorted fixings and parts</t>
  </si>
  <si>
    <t xml:space="preserve">Uber</t>
  </si>
  <si>
    <t xml:space="preserve">Taxi to client site</t>
  </si>
  <si>
    <t xml:space="preserve">Costa Coffee</t>
  </si>
  <si>
    <t xml:space="preserve">Client meeting refreshments</t>
  </si>
  <si>
    <t xml:space="preserve">Royal Mail</t>
  </si>
  <si>
    <t xml:space="preserve">Postage</t>
  </si>
  <si>
    <t xml:space="preserve">Jet</t>
  </si>
  <si>
    <t xml:space="preserve">BT Business</t>
  </si>
  <si>
    <t xml:space="preserve">Telephone line rental</t>
  </si>
  <si>
    <t xml:space="preserve">Office Maintenance Ltd</t>
  </si>
  <si>
    <t xml:space="preserve">Premises maintenance and repairs</t>
  </si>
  <si>
    <t xml:space="preserve">m</t>
  </si>
  <si>
    <t xml:space="preserve">5400</t>
  </si>
  <si>
    <t xml:space="preserve">Greggs</t>
  </si>
  <si>
    <t xml:space="preserve">Working lunch</t>
  </si>
  <si>
    <t xml:space="preserve">Screwfix</t>
  </si>
  <si>
    <t xml:space="preserve">Miscellaneous supplies</t>
  </si>
  <si>
    <t xml:space="preserve">Wilko</t>
  </si>
  <si>
    <t xml:space="preserve">Cleaning and kitchen supplies</t>
  </si>
  <si>
    <t xml:space="preserve">Mileage claim</t>
  </si>
  <si>
    <t xml:space="preserve">Business mileage to Manchester</t>
  </si>
  <si>
    <t xml:space="preserve">Additional fuel purchase</t>
  </si>
  <si>
    <t xml:space="preserve">Monthly accountancy retainer</t>
  </si>
  <si>
    <t xml:space="preserve">l</t>
  </si>
  <si>
    <t xml:space="preserve">5800</t>
  </si>
  <si>
    <t xml:space="preserve">Trainline</t>
  </si>
  <si>
    <t xml:space="preserve">Advance train ticket</t>
  </si>
  <si>
    <t xml:space="preserve">Hilti</t>
  </si>
  <si>
    <t xml:space="preserve">Power tool hire</t>
  </si>
  <si>
    <t xml:space="preserve">5301</t>
  </si>
  <si>
    <t xml:space="preserve">Google Ads</t>
  </si>
  <si>
    <t xml:space="preserve">PPC advertising campaign</t>
  </si>
  <si>
    <t xml:space="preserve">a</t>
  </si>
  <si>
    <t xml:space="preserve">5500</t>
  </si>
  <si>
    <t xml:space="preserve">ComponentsDirect</t>
  </si>
  <si>
    <t xml:space="preserve">Electronic components</t>
  </si>
  <si>
    <t xml:space="preserve">Dell</t>
  </si>
  <si>
    <t xml:space="preserve">PUR-FA-001</t>
  </si>
  <si>
    <t xml:space="preserve">New laptop for development</t>
  </si>
  <si>
    <t xml:space="preserve">fa</t>
  </si>
  <si>
    <t xml:space="preserve">5900</t>
  </si>
  <si>
    <t xml:space="preserve">WHSmith</t>
  </si>
  <si>
    <t xml:space="preserve">Magazines and stationery</t>
  </si>
  <si>
    <t xml:space="preserve">ParcelForce</t>
  </si>
  <si>
    <t xml:space="preserve">Equipment delivery</t>
  </si>
  <si>
    <t xml:space="preserve">5300</t>
  </si>
  <si>
    <t xml:space="preserve">CableCo</t>
  </si>
  <si>
    <t xml:space="preserve">Cabling and connectors</t>
  </si>
  <si>
    <t xml:space="preserve">Halfords</t>
  </si>
  <si>
    <t xml:space="preserve">Vehicle maintenance supplies</t>
  </si>
  <si>
    <t xml:space="preserve">Business mileage to Birmingham</t>
  </si>
  <si>
    <t xml:space="preserve">Vistaprint</t>
  </si>
  <si>
    <t xml:space="preserve">Business cards and flyers</t>
  </si>
  <si>
    <t xml:space="preserve">BuildTech Solutions</t>
  </si>
  <si>
    <t xml:space="preserve">PUR-CIS-001</t>
  </si>
  <si>
    <t xml:space="preserve">Sub-contractor network installation</t>
  </si>
  <si>
    <t xml:space="preserve">c</t>
  </si>
  <si>
    <t xml:space="preserve">5001</t>
  </si>
  <si>
    <t xml:space="preserve">Premier Inn</t>
  </si>
  <si>
    <t xml:space="preserve">Hotel for London client meeting</t>
  </si>
  <si>
    <t xml:space="preserve">ElectroParts</t>
  </si>
  <si>
    <t xml:space="preserve">Specialist electronic components</t>
  </si>
  <si>
    <t xml:space="preserve">EnergySupply</t>
  </si>
  <si>
    <t xml:space="preserve">Quarterly utility bill</t>
  </si>
  <si>
    <t xml:space="preserve">5201</t>
  </si>
  <si>
    <t xml:space="preserve">Business mileage to London</t>
  </si>
  <si>
    <t xml:space="preserve">Directors loan</t>
  </si>
  <si>
    <t xml:space="preserve">PUR-INT-001</t>
  </si>
  <si>
    <t xml:space="preserve">Directors loan interest</t>
  </si>
  <si>
    <t xml:space="preserve">5803</t>
  </si>
  <si>
    <t xml:space="preserve">Precision Tooling Supplies</t>
  </si>
  <si>
    <t xml:space="preserve">PUR-FA-004</t>
  </si>
  <si>
    <t xml:space="preserve">Test rig bought under HP-2025-01</t>
  </si>
  <si>
    <t xml:space="preserve">J. Smith Consulting</t>
  </si>
  <si>
    <t xml:space="preserve">Goodwill amortisation</t>
  </si>
  <si>
    <t xml:space="preserve">5802</t>
  </si>
  <si>
    <t xml:space="preserve">LinkedIn</t>
  </si>
  <si>
    <t xml:space="preserve">Sponsored content campaign</t>
  </si>
  <si>
    <t xml:space="preserve">ToolHire</t>
  </si>
  <si>
    <t xml:space="preserve">Equipment hire for installation</t>
  </si>
  <si>
    <t xml:space="preserve">IKEA</t>
  </si>
  <si>
    <t xml:space="preserve">PUR-FA-003</t>
  </si>
  <si>
    <t xml:space="preserve">Office furniture</t>
  </si>
  <si>
    <t xml:space="preserve">DHL</t>
  </si>
  <si>
    <t xml:space="preserve">International courier</t>
  </si>
  <si>
    <t xml:space="preserve">Business mileage to Leeds</t>
  </si>
  <si>
    <t xml:space="preserve">PC Repair Shop</t>
  </si>
  <si>
    <t xml:space="preserve">Laptop screen repair</t>
  </si>
  <si>
    <t xml:space="preserve">Casual worker</t>
  </si>
  <si>
    <t xml:space="preserve">Temporary labour</t>
  </si>
  <si>
    <t xml:space="preserve">w</t>
  </si>
  <si>
    <t xml:space="preserve">5101</t>
  </si>
  <si>
    <t xml:space="preserve">The Ivy</t>
  </si>
  <si>
    <t xml:space="preserve">Client dinner, project kickoff</t>
  </si>
  <si>
    <t xml:space="preserve">e</t>
  </si>
  <si>
    <t xml:space="preserve">5502</t>
  </si>
  <si>
    <t xml:space="preserve">Special delivery courier</t>
  </si>
  <si>
    <t xml:space="preserve">Jones Solicitors</t>
  </si>
  <si>
    <t xml:space="preserve">Contract review and legal advice</t>
  </si>
  <si>
    <t xml:space="preserve">Business mileage to Bristol</t>
  </si>
  <si>
    <t xml:space="preserve">PUR-INT-002</t>
  </si>
  <si>
    <t xml:space="preserve">PUR-FA-005</t>
  </si>
  <si>
    <t xml:space="preserve">Bench calibration kit bought under HP-2025-02</t>
  </si>
  <si>
    <t xml:space="preserve">Simply Business</t>
  </si>
  <si>
    <t xml:space="preserve">Contents insurance renewal</t>
  </si>
  <si>
    <t xml:space="preserve">PPC advertising campaign Q3</t>
  </si>
  <si>
    <t xml:space="preserve">TechExpo</t>
  </si>
  <si>
    <t xml:space="preserve">Exhibition stand and materials</t>
  </si>
  <si>
    <t xml:space="preserve">Hotel for Birmingham meeting</t>
  </si>
  <si>
    <t xml:space="preserve">Business mileage to Sheffield</t>
  </si>
  <si>
    <t xml:space="preserve">Ford</t>
  </si>
  <si>
    <t xml:space="preserve">PUR-FA-002</t>
  </si>
  <si>
    <t xml:space="preserve">Ford Transit Custom van</t>
  </si>
  <si>
    <t xml:space="preserve">PUR-CIS-002</t>
  </si>
  <si>
    <t xml:space="preserve">Sub-contractor cabling works</t>
  </si>
  <si>
    <t xml:space="preserve">Code Club UK</t>
  </si>
  <si>
    <t xml:space="preserve">Charitable donation</t>
  </si>
  <si>
    <t xml:space="preserve">5801</t>
  </si>
  <si>
    <t xml:space="preserve">Business mileage to Various</t>
  </si>
  <si>
    <t xml:space="preserve">Director</t>
  </si>
  <si>
    <t xml:space="preserve">Director fees (non-PAYE)</t>
  </si>
  <si>
    <t xml:space="preserve">5100</t>
  </si>
  <si>
    <t xml:space="preserve">PUR-INT-003</t>
  </si>
  <si>
    <t xml:space="preserve">Desktop motherboard replacement</t>
  </si>
  <si>
    <t xml:space="preserve">Hotel for two-day workshop</t>
  </si>
  <si>
    <t xml:space="preserve">Business mileage to Nottingham</t>
  </si>
  <si>
    <t xml:space="preserve">PUR-INT-004</t>
  </si>
  <si>
    <t xml:space="preserve">WS-2603</t>
  </si>
  <si>
    <t xml:space="preserve">SC-2603</t>
  </si>
  <si>
    <t xml:space="preserve">BT-2603</t>
  </si>
  <si>
    <t xml:space="preserve">SH-2603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</si>
</sst>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"/>
    <numFmt numFmtId="166" formatCode="0"/>
    <numFmt numFmtId="167" formatCode="#,##0"/>
    <numFmt numFmtId="168" formatCode="#,##0.00_ ;[RED]\-#,##0.00\ "/>
    <numFmt numFmtId="169" formatCode="0_ ;[RED]\-0\ "/>
    <numFmt numFmtId="170" formatCode="#,##0.0_ ;[RED]\-#,##0.0\ "/>
    <numFmt numFmtId="171" formatCode="0.00"/>
    <numFmt numFmtId="172" formatCode="#,##0.0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9cf26625/Sale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9cf26625/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0.55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customFormat="fals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2220</v>
      </c>
      <c r="H1" s="13" t="n">
        <f aca="false">SUM(H5:H300)</f>
        <v>370</v>
      </c>
      <c r="I1" s="13" t="n">
        <f aca="false">SUM(I5:I300)</f>
        <v>1850</v>
      </c>
      <c r="J1" s="15"/>
      <c r="K1" s="16" t="s">
        <v>4</v>
      </c>
      <c r="L1" s="17" t="n">
        <f aca="false">SUM(L5:L300)</f>
        <v>0</v>
      </c>
      <c r="M1" s="17" t="n">
        <f aca="false">SUM(M5:M300)</f>
        <v>2220</v>
      </c>
      <c r="N1" s="18" t="n">
        <f aca="true">TODAY()</f>
        <v>46295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Apr!H2</f>
        <v>20</v>
      </c>
      <c r="I2" s="10" t="s">
        <v>7</v>
      </c>
      <c r="J2" s="15"/>
      <c r="K2" s="16"/>
      <c r="L2" s="22" t="s">
        <v>8</v>
      </c>
      <c r="M2" s="22"/>
      <c r="N2" s="22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/>
      <c r="B5" s="5" t="s">
        <v>13</v>
      </c>
      <c r="C5" s="28" t="s">
        <v>14</v>
      </c>
      <c r="F5" s="2"/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46295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/>
      <c r="B6" s="2" t="s">
        <v>15</v>
      </c>
      <c r="C6" s="3" t="s">
        <v>16</v>
      </c>
      <c r="F6" s="2"/>
      <c r="G6" s="6" t="n">
        <v>300</v>
      </c>
      <c r="H6" s="6" t="n">
        <f aca="false">IF(G6&lt;&gt;0,G6*H$2/(100+H$2)," ")</f>
        <v>50</v>
      </c>
      <c r="I6" s="6" t="n">
        <f aca="false">IF((G6&lt;&gt;0),G6-H6," ")</f>
        <v>250</v>
      </c>
      <c r="M6" s="7" t="n">
        <f aca="false">IF(G6&lt;&gt;0,G6-L6," ")</f>
        <v>300</v>
      </c>
      <c r="N6" s="8" t="n">
        <f aca="false">IF((G6-L6)&lt;&gt;0,N$1-A6," ")</f>
        <v>46295</v>
      </c>
    </row>
    <row r="7" customFormat="false" ht="12" hidden="false" customHeight="false" outlineLevel="0" collapsed="false">
      <c r="A7" s="27"/>
      <c r="B7" s="2" t="s">
        <v>17</v>
      </c>
      <c r="C7" s="3" t="s">
        <v>18</v>
      </c>
      <c r="F7" s="2"/>
      <c r="G7" s="6" t="n">
        <v>600</v>
      </c>
      <c r="H7" s="6" t="n">
        <f aca="false">IF(G7&lt;&gt;0,G7*H$2/(100+H$2)," ")</f>
        <v>100</v>
      </c>
      <c r="I7" s="6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46295</v>
      </c>
    </row>
    <row r="8" customFormat="false" ht="12" hidden="false" customHeight="false" outlineLevel="0" collapsed="false">
      <c r="A8" s="27"/>
      <c r="B8" s="2" t="s">
        <v>19</v>
      </c>
      <c r="C8" s="3" t="s">
        <v>20</v>
      </c>
      <c r="F8" s="2"/>
      <c r="G8" s="6" t="n">
        <v>120</v>
      </c>
      <c r="H8" s="6" t="n">
        <f aca="false">IF(G8&lt;&gt;0,G8*H$2/(100+H$2)," ")</f>
        <v>20</v>
      </c>
      <c r="I8" s="6" t="n">
        <f aca="false">IF((G8&lt;&gt;0),G8-H8," ")</f>
        <v>100</v>
      </c>
      <c r="M8" s="7" t="n">
        <f aca="false">IF(G8&lt;&gt;0,G8-L8," ")</f>
        <v>120</v>
      </c>
      <c r="N8" s="8" t="n">
        <f aca="false">IF((G8-L8)&lt;&gt;0,N$1-A8," ")</f>
        <v>46295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9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85</v>
      </c>
      <c r="E1" s="13" t="s">
        <v>3</v>
      </c>
      <c r="F1" s="14"/>
      <c r="G1" s="13" t="n">
        <f aca="false">SUM(G2:G300)</f>
        <v>5119.75</v>
      </c>
      <c r="H1" s="13" t="n">
        <f aca="false">SUM(H5:H200)</f>
        <v>845.5</v>
      </c>
      <c r="I1" s="13" t="n">
        <f aca="false">SUM(I2:I200)</f>
        <v>4274.25</v>
      </c>
      <c r="J1" s="15"/>
      <c r="K1" s="16" t="s">
        <v>4</v>
      </c>
      <c r="L1" s="17" t="n">
        <f aca="false">SUM(L5:L300)</f>
        <v>0</v>
      </c>
      <c r="M1" s="17" t="n">
        <f aca="false">SUM(M5:M200)</f>
        <v>5073</v>
      </c>
      <c r="N1" s="18" t="n">
        <f aca="true">TODAY()</f>
        <v>46295</v>
      </c>
      <c r="O1" s="15"/>
      <c r="P1" s="13" t="n">
        <f aca="false">SUM(P5:P300)</f>
        <v>500</v>
      </c>
      <c r="Q1" s="13" t="n">
        <f aca="false">SUM(Q5:Q300)</f>
        <v>0</v>
      </c>
      <c r="R1" s="13" t="n">
        <f aca="false">SUM(R5:R300)</f>
        <v>237.5</v>
      </c>
      <c r="S1" s="13" t="n">
        <f aca="false">SUM(S5:S300)</f>
        <v>0</v>
      </c>
      <c r="T1" s="13" t="n">
        <f aca="false">SUM(T5:T300)</f>
        <v>1000</v>
      </c>
      <c r="U1" s="13" t="n">
        <f aca="false">SUM(U5:U300)</f>
        <v>100</v>
      </c>
      <c r="V1" s="13" t="n">
        <f aca="false">SUM(V5:V300)</f>
        <v>262.5</v>
      </c>
      <c r="W1" s="13" t="n">
        <f aca="false">SUM(W2:W300)</f>
        <v>516.75</v>
      </c>
      <c r="X1" s="13" t="n">
        <f aca="false">SUM(X5:X300)</f>
        <v>76.6666666666667</v>
      </c>
      <c r="Y1" s="13" t="n">
        <f aca="false">SUM(Y5:Y300)</f>
        <v>0</v>
      </c>
      <c r="Z1" s="13" t="n">
        <f aca="false">SUM(Z5:Z300)</f>
        <v>250</v>
      </c>
      <c r="AA1" s="13" t="n">
        <f aca="false">SUM(AA5:AA300)</f>
        <v>1330.83333333333</v>
      </c>
      <c r="AB1" s="13" t="n">
        <f aca="false">SUM(AB5:AB300)</f>
        <v>0</v>
      </c>
      <c r="AC1" s="41" t="n">
        <f aca="false">SUM(AC5:AC300)</f>
        <v>0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</f>
        <v>46.75</v>
      </c>
      <c r="B2" s="44" t="s">
        <v>22</v>
      </c>
      <c r="C2" s="43" t="n">
        <f aca="false">0+D1+[1]Apr!$D$1</f>
        <v>85</v>
      </c>
      <c r="D2" s="45" t="s">
        <v>23</v>
      </c>
      <c r="E2" s="20" t="s">
        <v>5</v>
      </c>
      <c r="F2" s="44" t="s">
        <v>24</v>
      </c>
      <c r="G2" s="46" t="n">
        <f aca="false">IF(C2&lt;[2]Admin!$F$22,(C2-0)*[2]Admin!$G$21,(C2*[2]Admin!$G$21-(C2-[2]Admin!$F$21)*([2]Admin!$G$21-[2]Admin!$G$22)-0))</f>
        <v>46.75</v>
      </c>
      <c r="H2" s="21" t="n">
        <f aca="false">IF([1]Apr!$H$4&gt;0,0,[1]Apr!$H$2)</f>
        <v>20</v>
      </c>
      <c r="I2" s="47" t="n">
        <f aca="false">G2</f>
        <v>46.75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46.75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</f>
        <v>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5" t="n">
        <v>46113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IF((G5-L5)&lt;&gt;0,N$1-A22," ")</f>
        <v>169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46113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182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46113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182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46113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182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46113</v>
      </c>
      <c r="B9" s="2" t="s">
        <v>73</v>
      </c>
      <c r="E9" s="2" t="s">
        <v>74</v>
      </c>
      <c r="F9" s="2" t="s">
        <v>75</v>
      </c>
      <c r="G9" s="29" t="n">
        <v>1440</v>
      </c>
      <c r="H9" s="6" t="n">
        <f aca="false">IF(G9&lt;&gt;0,G9*H$2/(100+H$2)," ")</f>
        <v>240</v>
      </c>
      <c r="I9" s="6" t="n">
        <f aca="false">IF((G9&lt;&gt;0),G9-H9," ")</f>
        <v>1200</v>
      </c>
      <c r="J9" s="5"/>
      <c r="M9" s="7" t="n">
        <f aca="false">IF(G9&lt;&gt;0,G9-L9," ")</f>
        <v>1440</v>
      </c>
      <c r="N9" s="8" t="n">
        <f aca="false">IF((G9-L9)&lt;&gt;0,N$1-A9," ")</f>
        <v>182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n">
        <f aca="false">IF((F9="y"),I9," ")</f>
        <v>1200</v>
      </c>
      <c r="AB9" s="19" t="str">
        <f aca="false">IF((F9="fa"),I9," ")</f>
        <v> </v>
      </c>
      <c r="AC9" s="19" t="str">
        <f aca="false">IF((F9="e"),I9," ")</f>
        <v> </v>
      </c>
      <c r="BZ9" s="2" t="s">
        <v>76</v>
      </c>
    </row>
    <row r="10" customFormat="false" ht="12" hidden="false" customHeight="false" outlineLevel="0" collapsed="false">
      <c r="A10" s="27" t="n">
        <v>46113</v>
      </c>
      <c r="B10" s="2" t="s">
        <v>77</v>
      </c>
      <c r="E10" s="2" t="s">
        <v>78</v>
      </c>
      <c r="F10" s="2" t="s">
        <v>71</v>
      </c>
      <c r="G10" s="29" t="n">
        <v>24</v>
      </c>
      <c r="H10" s="6" t="n">
        <f aca="false">IF(G10&lt;&gt;0,G10*H$2/(100+H$2)," ")</f>
        <v>4</v>
      </c>
      <c r="I10" s="6" t="n">
        <f aca="false">IF((G10&lt;&gt;0),G10-H10," ")</f>
        <v>20</v>
      </c>
      <c r="J10" s="5"/>
      <c r="M10" s="7" t="n">
        <f aca="false">IF(G10&lt;&gt;0,G10-L10," ")</f>
        <v>24</v>
      </c>
      <c r="N10" s="8" t="n">
        <f aca="false">IF((G10-L10)&lt;&gt;0,N$1-A10," ")</f>
        <v>182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n">
        <f aca="false">IF((F10="o"),I10," ")</f>
        <v>20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72</v>
      </c>
    </row>
    <row r="11" customFormat="false" ht="12" hidden="false" customHeight="false" outlineLevel="0" collapsed="false">
      <c r="A11" s="27" t="n">
        <v>46113</v>
      </c>
      <c r="B11" s="2" t="s">
        <v>79</v>
      </c>
      <c r="E11" s="2" t="s">
        <v>80</v>
      </c>
      <c r="F11" s="2" t="s">
        <v>65</v>
      </c>
      <c r="G11" s="29" t="n">
        <v>18</v>
      </c>
      <c r="H11" s="6" t="n">
        <f aca="false">IF(G11&lt;&gt;0,G11*H$2/(100+H$2)," ")</f>
        <v>3</v>
      </c>
      <c r="I11" s="6" t="n">
        <f aca="false">IF((G11&lt;&gt;0),G11-H11," ")</f>
        <v>15</v>
      </c>
      <c r="J11" s="5"/>
      <c r="M11" s="7" t="n">
        <f aca="false">IF(G11&lt;&gt;0,G11-L11," ")</f>
        <v>18</v>
      </c>
      <c r="N11" s="8" t="n">
        <f aca="false">IF((G11-L11)&lt;&gt;0,N$1-A11," ")</f>
        <v>182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n">
        <f aca="false">IF((F11="g"),I11," ")</f>
        <v>15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66</v>
      </c>
    </row>
    <row r="12" customFormat="false" ht="12" hidden="false" customHeight="false" outlineLevel="0" collapsed="false">
      <c r="A12" s="27" t="n">
        <v>46115</v>
      </c>
      <c r="B12" s="2" t="s">
        <v>81</v>
      </c>
      <c r="E12" s="2" t="s">
        <v>82</v>
      </c>
      <c r="F12" s="2" t="s">
        <v>71</v>
      </c>
      <c r="G12" s="29" t="n">
        <v>180</v>
      </c>
      <c r="H12" s="6" t="n">
        <f aca="false">IF(G12&lt;&gt;0,G12*H$2/(100+H$2)," ")</f>
        <v>30</v>
      </c>
      <c r="I12" s="6" t="n">
        <f aca="false">IF((G12&lt;&gt;0),G12-H12," ")</f>
        <v>150</v>
      </c>
      <c r="J12" s="5"/>
      <c r="M12" s="7" t="n">
        <f aca="false">IF(G12&lt;&gt;0,G12-L12," ")</f>
        <v>180</v>
      </c>
      <c r="N12" s="8" t="n">
        <f aca="false">IF((G12-L12)&lt;&gt;0,N$1-A12," ")</f>
        <v>180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n">
        <f aca="false">IF((F12="o"),I12," ")</f>
        <v>150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72</v>
      </c>
    </row>
    <row r="13" customFormat="false" ht="12" hidden="false" customHeight="false" outlineLevel="0" collapsed="false">
      <c r="A13" s="27" t="n">
        <v>46115</v>
      </c>
      <c r="B13" s="2" t="s">
        <v>83</v>
      </c>
      <c r="E13" s="2" t="s">
        <v>84</v>
      </c>
      <c r="F13" s="2" t="s">
        <v>75</v>
      </c>
      <c r="G13" s="29" t="n">
        <v>22</v>
      </c>
      <c r="H13" s="6" t="n">
        <f aca="false">IF(G13&lt;&gt;0,G13*H$2/(100+H$2)," ")</f>
        <v>3.66666666666667</v>
      </c>
      <c r="I13" s="6" t="n">
        <f aca="false">IF((G13&lt;&gt;0),G13-H13," ")</f>
        <v>18.3333333333333</v>
      </c>
      <c r="J13" s="5"/>
      <c r="M13" s="7" t="n">
        <f aca="false">IF(G13&lt;&gt;0,G13-L13," ")</f>
        <v>22</v>
      </c>
      <c r="N13" s="8" t="n">
        <f aca="false">IF((G13-L13)&lt;&gt;0,N$1-A13," ")</f>
        <v>180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18.3333333333333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46117</v>
      </c>
      <c r="B14" s="2" t="s">
        <v>86</v>
      </c>
      <c r="E14" s="2" t="s">
        <v>87</v>
      </c>
      <c r="F14" s="2" t="s">
        <v>75</v>
      </c>
      <c r="G14" s="29" t="n">
        <v>24</v>
      </c>
      <c r="H14" s="6" t="n">
        <f aca="false">IF(G14&lt;&gt;0,G14*H$2/(100+H$2)," ")</f>
        <v>4</v>
      </c>
      <c r="I14" s="6" t="n">
        <f aca="false">IF((G14&lt;&gt;0),G14-H14," ")</f>
        <v>20</v>
      </c>
      <c r="J14" s="5"/>
      <c r="M14" s="7" t="n">
        <f aca="false">IF(G14&lt;&gt;0,G14-L14," ")</f>
        <v>24</v>
      </c>
      <c r="N14" s="8" t="n">
        <f aca="false">IF((G14-L14)&lt;&gt;0,N$1-A14," ")</f>
        <v>178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n">
        <f aca="false">IF((F14="y"),I14," ")</f>
        <v>20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85</v>
      </c>
    </row>
    <row r="15" customFormat="false" ht="12" hidden="false" customHeight="false" outlineLevel="0" collapsed="false">
      <c r="A15" s="27" t="n">
        <v>46117</v>
      </c>
      <c r="B15" s="2" t="s">
        <v>88</v>
      </c>
      <c r="E15" s="2" t="s">
        <v>89</v>
      </c>
      <c r="F15" s="2" t="s">
        <v>24</v>
      </c>
      <c r="G15" s="29" t="n">
        <v>180</v>
      </c>
      <c r="H15" s="6" t="n">
        <f aca="false">IF(G15&lt;&gt;0,G15*H$2/(100+H$2)," ")</f>
        <v>30</v>
      </c>
      <c r="I15" s="6" t="n">
        <f aca="false">IF((G15&lt;&gt;0),G15-H15," ")</f>
        <v>150</v>
      </c>
      <c r="J15" s="5"/>
      <c r="M15" s="7" t="n">
        <f aca="false">IF(G15&lt;&gt;0,G15-L15," ")</f>
        <v>180</v>
      </c>
      <c r="N15" s="8" t="n">
        <f aca="false">IF((G15-L15)&lt;&gt;0,N$1-A15," ")</f>
        <v>178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n">
        <f aca="false">IF((F15="v"),I15," ")</f>
        <v>150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90</v>
      </c>
    </row>
    <row r="16" customFormat="false" ht="12" hidden="false" customHeight="false" outlineLevel="0" collapsed="false">
      <c r="A16" s="27" t="n">
        <v>46117</v>
      </c>
      <c r="B16" s="2" t="s">
        <v>91</v>
      </c>
      <c r="E16" s="2" t="s">
        <v>92</v>
      </c>
      <c r="F16" s="2" t="s">
        <v>71</v>
      </c>
      <c r="G16" s="29" t="n">
        <v>36</v>
      </c>
      <c r="H16" s="6" t="n">
        <f aca="false">IF(G16&lt;&gt;0,G16*H$2/(100+H$2)," ")</f>
        <v>6</v>
      </c>
      <c r="I16" s="6" t="n">
        <f aca="false">IF((G16&lt;&gt;0),G16-H16," ")</f>
        <v>30</v>
      </c>
      <c r="J16" s="5"/>
      <c r="M16" s="7" t="n">
        <f aca="false">IF(G16&lt;&gt;0,G16-L16," ")</f>
        <v>36</v>
      </c>
      <c r="N16" s="8" t="n">
        <f aca="false">IF((G16-L16)&lt;&gt;0,N$1-A16," ")</f>
        <v>178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n">
        <f aca="false">IF((F16="o"),I16," ")</f>
        <v>30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72</v>
      </c>
    </row>
    <row r="17" customFormat="false" ht="12" hidden="false" customHeight="false" outlineLevel="0" collapsed="false">
      <c r="A17" s="27" t="n">
        <v>46120</v>
      </c>
      <c r="B17" s="2" t="s">
        <v>93</v>
      </c>
      <c r="E17" s="2" t="s">
        <v>94</v>
      </c>
      <c r="F17" s="2" t="s">
        <v>95</v>
      </c>
      <c r="G17" s="29" t="n">
        <v>48</v>
      </c>
      <c r="H17" s="6" t="n">
        <f aca="false">IF(G17&lt;&gt;0,G17*H$2/(100+H$2)," ")</f>
        <v>8</v>
      </c>
      <c r="I17" s="6" t="n">
        <f aca="false">IF((G17&lt;&gt;0),G17-H17," ")</f>
        <v>40</v>
      </c>
      <c r="J17" s="5"/>
      <c r="M17" s="7" t="n">
        <f aca="false">IF(G17&lt;&gt;0,G17-L17," ")</f>
        <v>48</v>
      </c>
      <c r="N17" s="8" t="n">
        <f aca="false">IF((G17-L17)&lt;&gt;0,N$1-A17," ")</f>
        <v>175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n">
        <f aca="false">IF((F17="h"),I17," ")</f>
        <v>40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96</v>
      </c>
    </row>
    <row r="18" customFormat="false" ht="12" hidden="false" customHeight="false" outlineLevel="0" collapsed="false">
      <c r="A18" s="27" t="n">
        <v>46122</v>
      </c>
      <c r="B18" s="2" t="s">
        <v>97</v>
      </c>
      <c r="E18" s="2" t="s">
        <v>98</v>
      </c>
      <c r="F18" s="2" t="s">
        <v>75</v>
      </c>
      <c r="G18" s="29" t="n">
        <v>36</v>
      </c>
      <c r="H18" s="6" t="n">
        <f aca="false">IF(G18&lt;&gt;0,G18*H$2/(100+H$2)," ")</f>
        <v>6</v>
      </c>
      <c r="I18" s="6" t="n">
        <f aca="false">IF((G18&lt;&gt;0),G18-H18," ")</f>
        <v>30</v>
      </c>
      <c r="J18" s="5"/>
      <c r="M18" s="7" t="n">
        <f aca="false">IF(G18&lt;&gt;0,G18-L18," ")</f>
        <v>36</v>
      </c>
      <c r="N18" s="8" t="n">
        <f aca="false">IF((G18-L18)&lt;&gt;0,N$1-A18," ")</f>
        <v>173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n">
        <f aca="false">IF((F18="y"),I18," ")</f>
        <v>30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85</v>
      </c>
    </row>
    <row r="19" customFormat="false" ht="12" hidden="false" customHeight="false" outlineLevel="0" collapsed="false">
      <c r="A19" s="27" t="n">
        <v>46122</v>
      </c>
      <c r="B19" s="2" t="s">
        <v>99</v>
      </c>
      <c r="E19" s="2" t="s">
        <v>100</v>
      </c>
      <c r="F19" s="2" t="s">
        <v>65</v>
      </c>
      <c r="G19" s="29" t="n">
        <v>180</v>
      </c>
      <c r="H19" s="6" t="n">
        <f aca="false">IF(G19&lt;&gt;0,G19*H$2/(100+H$2)," ")</f>
        <v>30</v>
      </c>
      <c r="I19" s="6" t="n">
        <f aca="false">IF((G19&lt;&gt;0),G19-H19," ")</f>
        <v>150</v>
      </c>
      <c r="J19" s="5"/>
      <c r="M19" s="7" t="n">
        <f aca="false">IF(G19&lt;&gt;0,G19-L19," ")</f>
        <v>180</v>
      </c>
      <c r="N19" s="8" t="n">
        <f aca="false">IF((G19-L19)&lt;&gt;0,N$1-A19," ")</f>
        <v>173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n">
        <f aca="false">IF((F19="g"),I19," ")</f>
        <v>150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101</v>
      </c>
    </row>
    <row r="20" customFormat="false" ht="12" hidden="false" customHeight="false" outlineLevel="0" collapsed="false">
      <c r="A20" s="27" t="n">
        <v>46122</v>
      </c>
      <c r="B20" s="2" t="s">
        <v>102</v>
      </c>
      <c r="E20" s="2" t="s">
        <v>103</v>
      </c>
      <c r="F20" s="2" t="s">
        <v>104</v>
      </c>
      <c r="G20" s="29" t="n">
        <v>600</v>
      </c>
      <c r="H20" s="6" t="n">
        <f aca="false">IF(G20&lt;&gt;0,G20*H$2/(100+H$2)," ")</f>
        <v>100</v>
      </c>
      <c r="I20" s="6" t="n">
        <f aca="false">IF((G20&lt;&gt;0),G20-H20," ")</f>
        <v>500</v>
      </c>
      <c r="J20" s="5"/>
      <c r="M20" s="7" t="n">
        <f aca="false">IF(G20&lt;&gt;0,G20-L20," ")</f>
        <v>600</v>
      </c>
      <c r="N20" s="8" t="n">
        <f aca="false">IF((G20-L20)&lt;&gt;0,N$1-A20," ")</f>
        <v>173</v>
      </c>
      <c r="O20" s="5"/>
      <c r="P20" s="19" t="n">
        <f aca="false">IF((F20="s"),I20," ")</f>
        <v>500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105</v>
      </c>
    </row>
    <row r="21" customFormat="false" ht="12" hidden="false" customHeight="false" outlineLevel="0" collapsed="false">
      <c r="A21" s="27" t="n">
        <v>46124</v>
      </c>
      <c r="B21" s="2" t="s">
        <v>106</v>
      </c>
      <c r="E21" s="2" t="s">
        <v>107</v>
      </c>
      <c r="F21" s="2" t="s">
        <v>24</v>
      </c>
      <c r="G21" s="29" t="n">
        <v>18</v>
      </c>
      <c r="H21" s="6" t="n">
        <f aca="false">IF(G21&lt;&gt;0,G21*H$2/(100+H$2)," ")</f>
        <v>3</v>
      </c>
      <c r="I21" s="6" t="n">
        <f aca="false">IF((G21&lt;&gt;0),G21-H21," ")</f>
        <v>15</v>
      </c>
      <c r="J21" s="5"/>
      <c r="M21" s="7" t="n">
        <f aca="false">IF(G21&lt;&gt;0,G21-L21," ")</f>
        <v>18</v>
      </c>
      <c r="N21" s="8" t="n">
        <f aca="false">IF((G21-L21)&lt;&gt;0,N$1-A21," ")</f>
        <v>171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n">
        <f aca="false">IF((F21="v"),I21," ")</f>
        <v>15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90</v>
      </c>
    </row>
    <row r="22" customFormat="false" ht="12" hidden="false" customHeight="false" outlineLevel="0" collapsed="false">
      <c r="A22" s="27" t="n">
        <v>46126</v>
      </c>
      <c r="B22" s="2" t="s">
        <v>108</v>
      </c>
      <c r="E22" s="2" t="s">
        <v>109</v>
      </c>
      <c r="F22" s="2" t="s">
        <v>75</v>
      </c>
      <c r="G22" s="29" t="n">
        <v>42</v>
      </c>
      <c r="H22" s="6" t="n">
        <f aca="false">IF(G22&lt;&gt;0,G22*H$2/(100+H$2)," ")</f>
        <v>7</v>
      </c>
      <c r="I22" s="6" t="n">
        <f aca="false">IF((G22&lt;&gt;0),G22-H22," ")</f>
        <v>35</v>
      </c>
      <c r="J22" s="5"/>
      <c r="M22" s="7" t="n">
        <f aca="false">IF(G22&lt;&gt;0,G22-L22," ")</f>
        <v>42</v>
      </c>
      <c r="N22" s="8" t="n">
        <f aca="false">IF((G22-L22)&lt;&gt;0,N$1-A22," ")</f>
        <v>169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n">
        <f aca="false">IF((F22="y"),I22," ")</f>
        <v>35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85</v>
      </c>
    </row>
    <row r="23" customFormat="false" ht="12" hidden="false" customHeight="false" outlineLevel="0" collapsed="false">
      <c r="A23" s="27" t="n">
        <v>46126</v>
      </c>
      <c r="B23" s="2" t="s">
        <v>110</v>
      </c>
      <c r="E23" s="2" t="s">
        <v>111</v>
      </c>
      <c r="F23" s="2" t="s">
        <v>95</v>
      </c>
      <c r="G23" s="29" t="n">
        <v>24</v>
      </c>
      <c r="H23" s="6" t="n">
        <f aca="false">IF(G23&lt;&gt;0,G23*H$2/(100+H$2)," ")</f>
        <v>4</v>
      </c>
      <c r="I23" s="6" t="n">
        <f aca="false">IF((G23&lt;&gt;0),G23-H23," ")</f>
        <v>20</v>
      </c>
      <c r="J23" s="5"/>
      <c r="M23" s="7" t="n">
        <f aca="false">IF(G23&lt;&gt;0,G23-L23," ")</f>
        <v>24</v>
      </c>
      <c r="N23" s="8" t="n">
        <f aca="false">IF((G23-L23)&lt;&gt;0,N$1-A23," ")</f>
        <v>169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n">
        <f aca="false">IF((F23="h"),I23," ")</f>
        <v>20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96</v>
      </c>
    </row>
    <row r="24" customFormat="false" ht="12" hidden="false" customHeight="false" outlineLevel="0" collapsed="false">
      <c r="A24" s="27" t="n">
        <v>46126</v>
      </c>
      <c r="B24" s="2" t="s">
        <v>112</v>
      </c>
      <c r="E24" s="2" t="s">
        <v>113</v>
      </c>
      <c r="F24" s="2" t="s">
        <v>95</v>
      </c>
      <c r="G24" s="29" t="n">
        <v>12</v>
      </c>
      <c r="H24" s="6" t="n">
        <f aca="false">IF(G24&lt;&gt;0,G24*H$2/(100+H$2)," ")</f>
        <v>2</v>
      </c>
      <c r="I24" s="6" t="n">
        <f aca="false">IF((G24&lt;&gt;0),G24-H24," ")</f>
        <v>10</v>
      </c>
      <c r="J24" s="5"/>
      <c r="M24" s="7" t="n">
        <f aca="false">IF(G24&lt;&gt;0,G24-L24," ")</f>
        <v>12</v>
      </c>
      <c r="N24" s="8" t="n">
        <f aca="false">IF((G24-L24)&lt;&gt;0,N$1-A24," ")</f>
        <v>169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n">
        <f aca="false">IF((F24="h"),I24," ")</f>
        <v>10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96</v>
      </c>
    </row>
    <row r="25" customFormat="false" ht="12" hidden="false" customHeight="false" outlineLevel="0" collapsed="false">
      <c r="A25" s="27" t="n">
        <v>46127</v>
      </c>
      <c r="B25" s="2" t="s">
        <v>19</v>
      </c>
      <c r="E25" s="2" t="s">
        <v>89</v>
      </c>
      <c r="F25" s="2" t="s">
        <v>24</v>
      </c>
      <c r="G25" s="29" t="n">
        <v>150</v>
      </c>
      <c r="H25" s="6" t="n">
        <f aca="false">IF(G25&lt;&gt;0,G25*H$2/(100+H$2)," ")</f>
        <v>25</v>
      </c>
      <c r="I25" s="6" t="n">
        <f aca="false">IF((G25&lt;&gt;0),G25-H25," ")</f>
        <v>125</v>
      </c>
      <c r="J25" s="5"/>
      <c r="M25" s="7" t="n">
        <f aca="false">IF(G25&lt;&gt;0,G25-L25," ")</f>
        <v>150</v>
      </c>
      <c r="N25" s="8" t="n">
        <f aca="false">IF((G25-L25)&lt;&gt;0,N$1-A25," ")</f>
        <v>168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n">
        <f aca="false">IF((F25="v"),I25," ")</f>
        <v>125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90</v>
      </c>
    </row>
    <row r="26" customFormat="false" ht="12" hidden="false" customHeight="false" outlineLevel="0" collapsed="false">
      <c r="A26" s="27" t="n">
        <v>46127</v>
      </c>
      <c r="B26" s="2" t="s">
        <v>114</v>
      </c>
      <c r="E26" s="2" t="s">
        <v>115</v>
      </c>
      <c r="F26" s="2" t="s">
        <v>65</v>
      </c>
      <c r="G26" s="29" t="n">
        <v>12</v>
      </c>
      <c r="H26" s="6" t="n">
        <f aca="false">IF(G26&lt;&gt;0,G26*H$2/(100+H$2)," ")</f>
        <v>2</v>
      </c>
      <c r="I26" s="6" t="n">
        <f aca="false">IF((G26&lt;&gt;0),G26-H26," ")</f>
        <v>10</v>
      </c>
      <c r="J26" s="5"/>
      <c r="M26" s="7" t="n">
        <f aca="false">IF(G26&lt;&gt;0,G26-L26," ")</f>
        <v>12</v>
      </c>
      <c r="N26" s="8" t="n">
        <f aca="false">IF((G26-L26)&lt;&gt;0,N$1-A26," ")</f>
        <v>168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n">
        <f aca="false">IF((F26="g"),I26," ")</f>
        <v>10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66</v>
      </c>
    </row>
    <row r="27" customFormat="false" ht="12" hidden="false" customHeight="false" outlineLevel="0" collapsed="false">
      <c r="A27" s="27" t="n">
        <v>46130</v>
      </c>
      <c r="B27" s="2" t="s">
        <v>116</v>
      </c>
      <c r="E27" s="2" t="s">
        <v>89</v>
      </c>
      <c r="F27" s="2" t="s">
        <v>24</v>
      </c>
      <c r="G27" s="29" t="n">
        <v>96</v>
      </c>
      <c r="H27" s="6" t="n">
        <f aca="false">IF(G27&lt;&gt;0,G27*H$2/(100+H$2)," ")</f>
        <v>16</v>
      </c>
      <c r="I27" s="6" t="n">
        <f aca="false">IF((G27&lt;&gt;0),G27-H27," ")</f>
        <v>80</v>
      </c>
      <c r="J27" s="5"/>
      <c r="M27" s="7" t="n">
        <f aca="false">IF(G27&lt;&gt;0,G27-L27," ")</f>
        <v>96</v>
      </c>
      <c r="N27" s="8" t="n">
        <f aca="false">IF((G27-L27)&lt;&gt;0,N$1-A27," ")</f>
        <v>165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n">
        <f aca="false">IF((F27="v"),I27," ")</f>
        <v>80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90</v>
      </c>
    </row>
    <row r="28" customFormat="false" ht="12" hidden="false" customHeight="false" outlineLevel="0" collapsed="false">
      <c r="A28" s="27" t="n">
        <v>46132</v>
      </c>
      <c r="B28" s="2" t="s">
        <v>117</v>
      </c>
      <c r="E28" s="2" t="s">
        <v>118</v>
      </c>
      <c r="F28" s="2" t="s">
        <v>65</v>
      </c>
      <c r="G28" s="29" t="n">
        <v>60</v>
      </c>
      <c r="H28" s="6" t="n">
        <f aca="false">IF(G28&lt;&gt;0,G28*H$2/(100+H$2)," ")</f>
        <v>10</v>
      </c>
      <c r="I28" s="6" t="n">
        <f aca="false">IF((G28&lt;&gt;0),G28-H28," ")</f>
        <v>50</v>
      </c>
      <c r="J28" s="5"/>
      <c r="M28" s="7" t="n">
        <f aca="false">IF(G28&lt;&gt;0,G28-L28," ")</f>
        <v>60</v>
      </c>
      <c r="N28" s="8" t="n">
        <f aca="false">IF((G28-L28)&lt;&gt;0,N$1-A28," ")</f>
        <v>163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50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66</v>
      </c>
    </row>
    <row r="29" customFormat="false" ht="12" hidden="false" customHeight="false" outlineLevel="0" collapsed="false">
      <c r="A29" s="27" t="n">
        <v>46132</v>
      </c>
      <c r="B29" s="2" t="s">
        <v>119</v>
      </c>
      <c r="E29" s="2" t="s">
        <v>120</v>
      </c>
      <c r="F29" s="2" t="s">
        <v>121</v>
      </c>
      <c r="G29" s="29" t="n">
        <v>120</v>
      </c>
      <c r="H29" s="6" t="n">
        <f aca="false">IF(G29&lt;&gt;0,G29*H$2/(100+H$2)," ")</f>
        <v>20</v>
      </c>
      <c r="I29" s="6" t="n">
        <f aca="false">IF((G29&lt;&gt;0),G29-H29," ")</f>
        <v>100</v>
      </c>
      <c r="J29" s="5"/>
      <c r="M29" s="7" t="n">
        <f aca="false">IF(G29&lt;&gt;0,G29-L29," ")</f>
        <v>120</v>
      </c>
      <c r="N29" s="8" t="n">
        <f aca="false">IF((G29-L29)&lt;&gt;0,N$1-A29," ")</f>
        <v>163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n">
        <f aca="false">IF((F29="m"),I29," ")</f>
        <v>100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122</v>
      </c>
    </row>
    <row r="30" customFormat="false" ht="12" hidden="false" customHeight="false" outlineLevel="0" collapsed="false">
      <c r="A30" s="27" t="n">
        <v>46133</v>
      </c>
      <c r="B30" s="2" t="s">
        <v>123</v>
      </c>
      <c r="E30" s="2" t="s">
        <v>124</v>
      </c>
      <c r="F30" s="2" t="s">
        <v>95</v>
      </c>
      <c r="G30" s="29" t="n">
        <v>8</v>
      </c>
      <c r="H30" s="6" t="n">
        <f aca="false">IF(G30&lt;&gt;0,G30*H$2/(100+H$2)," ")</f>
        <v>1.33333333333333</v>
      </c>
      <c r="I30" s="6" t="n">
        <f aca="false">IF((G30&lt;&gt;0),G30-H30," ")</f>
        <v>6.66666666666667</v>
      </c>
      <c r="J30" s="5"/>
      <c r="M30" s="7" t="n">
        <f aca="false">IF(G30&lt;&gt;0,G30-L30," ")</f>
        <v>8</v>
      </c>
      <c r="N30" s="8" t="n">
        <f aca="false">IF((G30-L30)&lt;&gt;0,N$1-A30," ")</f>
        <v>162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n">
        <f aca="false">IF((F30="h"),I30," ")</f>
        <v>6.66666666666667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96</v>
      </c>
    </row>
    <row r="31" customFormat="false" ht="12" hidden="false" customHeight="false" outlineLevel="0" collapsed="false">
      <c r="A31" s="27" t="n">
        <v>46134</v>
      </c>
      <c r="B31" s="2" t="s">
        <v>125</v>
      </c>
      <c r="E31" s="2" t="s">
        <v>126</v>
      </c>
      <c r="F31" s="2" t="s">
        <v>75</v>
      </c>
      <c r="G31" s="29" t="n">
        <v>18</v>
      </c>
      <c r="H31" s="6" t="n">
        <f aca="false">IF(G31&lt;&gt;0,G31*H$2/(100+H$2)," ")</f>
        <v>3</v>
      </c>
      <c r="I31" s="6" t="n">
        <f aca="false">IF((G31&lt;&gt;0),G31-H31," ")</f>
        <v>15</v>
      </c>
      <c r="J31" s="5"/>
      <c r="M31" s="7" t="n">
        <f aca="false">IF(G31&lt;&gt;0,G31-L31," ")</f>
        <v>18</v>
      </c>
      <c r="N31" s="8" t="n">
        <f aca="false">IF((G31-L31)&lt;&gt;0,N$1-A31," ")</f>
        <v>161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n">
        <f aca="false">IF((F31="y"),I31," ")</f>
        <v>15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85</v>
      </c>
    </row>
    <row r="32" customFormat="false" ht="12" hidden="false" customHeight="false" outlineLevel="0" collapsed="false">
      <c r="A32" s="27" t="n">
        <v>46137</v>
      </c>
      <c r="B32" s="2" t="s">
        <v>127</v>
      </c>
      <c r="E32" s="2" t="s">
        <v>128</v>
      </c>
      <c r="F32" s="2" t="s">
        <v>75</v>
      </c>
      <c r="G32" s="29" t="n">
        <v>15</v>
      </c>
      <c r="H32" s="6" t="n">
        <f aca="false">IF(G32&lt;&gt;0,G32*H$2/(100+H$2)," ")</f>
        <v>2.5</v>
      </c>
      <c r="I32" s="6" t="n">
        <f aca="false">IF((G32&lt;&gt;0),G32-H32," ")</f>
        <v>12.5</v>
      </c>
      <c r="J32" s="5"/>
      <c r="M32" s="7" t="n">
        <f aca="false">IF(G32&lt;&gt;0,G32-L32," ")</f>
        <v>15</v>
      </c>
      <c r="N32" s="8" t="n">
        <f aca="false">IF((G32-L32)&lt;&gt;0,N$1-A32," ")</f>
        <v>158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n">
        <f aca="false">IF((F32="y"),I32," ")</f>
        <v>12.5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85</v>
      </c>
    </row>
    <row r="33" customFormat="false" ht="12" hidden="false" customHeight="false" outlineLevel="0" collapsed="false">
      <c r="A33" s="27" t="n">
        <v>46137</v>
      </c>
      <c r="B33" s="2" t="s">
        <v>129</v>
      </c>
      <c r="D33" s="4" t="n">
        <v>85</v>
      </c>
      <c r="E33" s="2" t="s">
        <v>130</v>
      </c>
      <c r="F33" s="2" t="s">
        <v>24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90</v>
      </c>
    </row>
    <row r="34" customFormat="false" ht="12" hidden="false" customHeight="false" outlineLevel="0" collapsed="false">
      <c r="A34" s="27" t="n">
        <v>46140</v>
      </c>
      <c r="B34" s="2" t="s">
        <v>19</v>
      </c>
      <c r="E34" s="2" t="s">
        <v>131</v>
      </c>
      <c r="F34" s="2" t="s">
        <v>24</v>
      </c>
      <c r="G34" s="29" t="n">
        <v>120</v>
      </c>
      <c r="H34" s="6" t="n">
        <f aca="false">IF(G34&lt;&gt;0,G34*H$2/(100+H$2)," ")</f>
        <v>20</v>
      </c>
      <c r="I34" s="6" t="n">
        <f aca="false">IF((G34&lt;&gt;0),G34-H34," ")</f>
        <v>100</v>
      </c>
      <c r="J34" s="5"/>
      <c r="M34" s="7" t="n">
        <f aca="false">IF(G34&lt;&gt;0,G34-L34," ")</f>
        <v>120</v>
      </c>
      <c r="N34" s="8" t="n">
        <f aca="false">IF((G34-L34)&lt;&gt;0,N$1-A34," ")</f>
        <v>155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n">
        <f aca="false">IF((F34="v"),I34," ")</f>
        <v>100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90</v>
      </c>
    </row>
    <row r="35" customFormat="false" ht="12" hidden="false" customHeight="false" outlineLevel="0" collapsed="false">
      <c r="A35" s="27" t="n">
        <v>46142</v>
      </c>
      <c r="B35" s="2" t="s">
        <v>15</v>
      </c>
      <c r="E35" s="2" t="s">
        <v>132</v>
      </c>
      <c r="F35" s="2" t="s">
        <v>133</v>
      </c>
      <c r="G35" s="29" t="n">
        <v>300</v>
      </c>
      <c r="H35" s="6" t="n">
        <f aca="false">IF(G35&lt;&gt;0,G35*H$2/(100+H$2)," ")</f>
        <v>50</v>
      </c>
      <c r="I35" s="6" t="n">
        <f aca="false">IF((G35&lt;&gt;0),G35-H35," ")</f>
        <v>250</v>
      </c>
      <c r="J35" s="5"/>
      <c r="M35" s="7" t="n">
        <f aca="false">IF(G35&lt;&gt;0,G35-L35," ")</f>
        <v>300</v>
      </c>
      <c r="N35" s="8" t="n">
        <f aca="false">IF((G35-L35)&lt;&gt;0,N$1-A35," ")</f>
        <v>153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n">
        <f aca="false">IF((F35="l"),I35," ")</f>
        <v>250</v>
      </c>
      <c r="AA35" s="19" t="str">
        <f aca="false">IF((F35="y"),I35," ")</f>
        <v> 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134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2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7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5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120</v>
      </c>
      <c r="E1" s="13" t="s">
        <v>3</v>
      </c>
      <c r="F1" s="14"/>
      <c r="G1" s="13" t="n">
        <f aca="false">SUM(G2:G300)</f>
        <v>6387</v>
      </c>
      <c r="H1" s="13" t="n">
        <f aca="false">SUM(H5:H200)</f>
        <v>1053.5</v>
      </c>
      <c r="I1" s="13" t="n">
        <f aca="false">SUM(I2:I200)</f>
        <v>5333.5</v>
      </c>
      <c r="J1" s="15"/>
      <c r="K1" s="16" t="s">
        <v>4</v>
      </c>
      <c r="L1" s="17" t="n">
        <f aca="false">SUM(L5:L300)</f>
        <v>0</v>
      </c>
      <c r="M1" s="17" t="n">
        <f aca="false">SUM(M5:M200)</f>
        <v>6321</v>
      </c>
      <c r="N1" s="18" t="n">
        <f aca="true">TODAY()</f>
        <v>46295</v>
      </c>
      <c r="O1" s="15"/>
      <c r="P1" s="13" t="n">
        <f aca="false">SUM(P5:P300)</f>
        <v>600</v>
      </c>
      <c r="Q1" s="13" t="n">
        <f aca="false">SUM(Q5:Q300)</f>
        <v>0</v>
      </c>
      <c r="R1" s="13" t="n">
        <f aca="false">SUM(R5:R300)</f>
        <v>407.5</v>
      </c>
      <c r="S1" s="13" t="n">
        <f aca="false">SUM(S5:S300)</f>
        <v>0</v>
      </c>
      <c r="T1" s="13" t="n">
        <f aca="false">SUM(T5:T300)</f>
        <v>1000</v>
      </c>
      <c r="U1" s="13" t="n">
        <f aca="false">SUM(U5:U300)</f>
        <v>0</v>
      </c>
      <c r="V1" s="13" t="n">
        <f aca="false">SUM(V5:V300)</f>
        <v>277.5</v>
      </c>
      <c r="W1" s="13" t="n">
        <f aca="false">SUM(W2:W300)</f>
        <v>576</v>
      </c>
      <c r="X1" s="13" t="n">
        <f aca="false">SUM(X5:X300)</f>
        <v>126.666666666667</v>
      </c>
      <c r="Y1" s="13" t="n">
        <f aca="false">SUM(Y5:Y300)</f>
        <v>500</v>
      </c>
      <c r="Z1" s="13" t="n">
        <f aca="false">SUM(Z5:Z300)</f>
        <v>250</v>
      </c>
      <c r="AA1" s="13" t="n">
        <f aca="false">SUM(AA5:AA300)</f>
        <v>95.8333333333333</v>
      </c>
      <c r="AB1" s="13" t="n">
        <f aca="false">SUM(AB5:AB300)</f>
        <v>1500</v>
      </c>
      <c r="AC1" s="41" t="n">
        <f aca="false">SUM(AC5:AC300)</f>
        <v>0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G2+Apr!A2</f>
        <v>112.75</v>
      </c>
      <c r="B2" s="44" t="s">
        <v>22</v>
      </c>
      <c r="C2" s="43" t="n">
        <f aca="false">Apr!C2+D1+[1]May!$D$1</f>
        <v>205</v>
      </c>
      <c r="D2" s="45" t="s">
        <v>23</v>
      </c>
      <c r="E2" s="20" t="s">
        <v>5</v>
      </c>
      <c r="F2" s="44" t="str">
        <f aca="false">Apr!F2</f>
        <v>v</v>
      </c>
      <c r="G2" s="46" t="n">
        <f aca="false">IF(C2&lt;[2]Admin!$F$22,(C2-Apr!C2)*[2]Admin!$G$21,C2*[2]Admin!$G$21-(C2-[2]Admin!$F$21)*([2]Admin!$G$21-[2]Admin!$G$22)-Apr!G2)</f>
        <v>66</v>
      </c>
      <c r="H2" s="21" t="n">
        <f aca="false">IF([1]May!$H$4&gt;0,0,[1]May!$H$2)</f>
        <v>20</v>
      </c>
      <c r="I2" s="47" t="n">
        <f aca="false">G2</f>
        <v>66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66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AB1+Apr!AB2</f>
        <v>1500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46143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152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46143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152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46143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152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46143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152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46143</v>
      </c>
      <c r="B9" s="2" t="s">
        <v>77</v>
      </c>
      <c r="E9" s="2" t="s">
        <v>78</v>
      </c>
      <c r="F9" s="2" t="s">
        <v>71</v>
      </c>
      <c r="G9" s="29" t="n">
        <v>24</v>
      </c>
      <c r="H9" s="6" t="n">
        <f aca="false">IF(G9&lt;&gt;0,G9*H$2/(100+H$2)," ")</f>
        <v>4</v>
      </c>
      <c r="I9" s="6" t="n">
        <f aca="false">IF((G9&lt;&gt;0),G9-H9," ")</f>
        <v>20</v>
      </c>
      <c r="J9" s="5"/>
      <c r="M9" s="7" t="n">
        <f aca="false">IF(G9&lt;&gt;0,G9-L9," ")</f>
        <v>24</v>
      </c>
      <c r="N9" s="8" t="n">
        <f aca="false">IF((G9-L9)&lt;&gt;0,N$1-A9," ")</f>
        <v>152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20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72</v>
      </c>
    </row>
    <row r="10" customFormat="false" ht="12" hidden="false" customHeight="false" outlineLevel="0" collapsed="false">
      <c r="A10" s="27" t="n">
        <v>46143</v>
      </c>
      <c r="B10" s="2" t="s">
        <v>79</v>
      </c>
      <c r="E10" s="2" t="s">
        <v>80</v>
      </c>
      <c r="F10" s="2" t="s">
        <v>65</v>
      </c>
      <c r="G10" s="29" t="n">
        <v>18</v>
      </c>
      <c r="H10" s="6" t="n">
        <f aca="false">IF(G10&lt;&gt;0,G10*H$2/(100+H$2)," ")</f>
        <v>3</v>
      </c>
      <c r="I10" s="6" t="n">
        <f aca="false">IF((G10&lt;&gt;0),G10-H10," ")</f>
        <v>15</v>
      </c>
      <c r="J10" s="5"/>
      <c r="M10" s="7" t="n">
        <f aca="false">IF(G10&lt;&gt;0,G10-L10," ")</f>
        <v>18</v>
      </c>
      <c r="N10" s="8" t="n">
        <f aca="false">IF((G10-L10)&lt;&gt;0,N$1-A10," ")</f>
        <v>152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15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66</v>
      </c>
    </row>
    <row r="11" customFormat="false" ht="12" hidden="false" customHeight="false" outlineLevel="0" collapsed="false">
      <c r="A11" s="27" t="n">
        <v>46145</v>
      </c>
      <c r="B11" s="2" t="s">
        <v>81</v>
      </c>
      <c r="E11" s="2" t="s">
        <v>82</v>
      </c>
      <c r="F11" s="2" t="s">
        <v>71</v>
      </c>
      <c r="G11" s="29" t="n">
        <v>180</v>
      </c>
      <c r="H11" s="6" t="n">
        <f aca="false">IF(G11&lt;&gt;0,G11*H$2/(100+H$2)," ")</f>
        <v>30</v>
      </c>
      <c r="I11" s="6" t="n">
        <f aca="false">IF((G11&lt;&gt;0),G11-H11," ")</f>
        <v>150</v>
      </c>
      <c r="J11" s="5"/>
      <c r="M11" s="7" t="n">
        <f aca="false">IF(G11&lt;&gt;0,G11-L11," ")</f>
        <v>180</v>
      </c>
      <c r="N11" s="8" t="n">
        <f aca="false">IF((G11-L11)&lt;&gt;0,N$1-A11," ")</f>
        <v>150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150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72</v>
      </c>
    </row>
    <row r="12" customFormat="false" ht="12" hidden="false" customHeight="false" outlineLevel="0" collapsed="false">
      <c r="A12" s="27" t="n">
        <v>46145</v>
      </c>
      <c r="B12" s="2" t="s">
        <v>83</v>
      </c>
      <c r="E12" s="2" t="s">
        <v>84</v>
      </c>
      <c r="F12" s="2" t="s">
        <v>75</v>
      </c>
      <c r="G12" s="29" t="n">
        <v>22</v>
      </c>
      <c r="H12" s="6" t="n">
        <f aca="false">IF(G12&lt;&gt;0,G12*H$2/(100+H$2)," ")</f>
        <v>3.66666666666667</v>
      </c>
      <c r="I12" s="6" t="n">
        <f aca="false">IF((G12&lt;&gt;0),G12-H12," ")</f>
        <v>18.3333333333333</v>
      </c>
      <c r="J12" s="5"/>
      <c r="M12" s="7" t="n">
        <f aca="false">IF(G12&lt;&gt;0,G12-L12," ")</f>
        <v>22</v>
      </c>
      <c r="N12" s="8" t="n">
        <f aca="false">IF((G12-L12)&lt;&gt;0,N$1-A12," ")</f>
        <v>150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n">
        <f aca="false">IF((F12="y"),I12," ")</f>
        <v>18.3333333333333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85</v>
      </c>
    </row>
    <row r="13" customFormat="false" ht="12" hidden="false" customHeight="false" outlineLevel="0" collapsed="false">
      <c r="A13" s="27" t="n">
        <v>46147</v>
      </c>
      <c r="B13" s="2" t="s">
        <v>86</v>
      </c>
      <c r="E13" s="2" t="s">
        <v>87</v>
      </c>
      <c r="F13" s="2" t="s">
        <v>75</v>
      </c>
      <c r="G13" s="29" t="n">
        <v>24</v>
      </c>
      <c r="H13" s="6" t="n">
        <f aca="false">IF(G13&lt;&gt;0,G13*H$2/(100+H$2)," ")</f>
        <v>4</v>
      </c>
      <c r="I13" s="6" t="n">
        <f aca="false">IF((G13&lt;&gt;0),G13-H13," ")</f>
        <v>20</v>
      </c>
      <c r="J13" s="5"/>
      <c r="M13" s="7" t="n">
        <f aca="false">IF(G13&lt;&gt;0,G13-L13," ")</f>
        <v>24</v>
      </c>
      <c r="N13" s="8" t="n">
        <f aca="false">IF((G13-L13)&lt;&gt;0,N$1-A13," ")</f>
        <v>148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20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46147</v>
      </c>
      <c r="B14" s="2" t="s">
        <v>88</v>
      </c>
      <c r="E14" s="2" t="s">
        <v>89</v>
      </c>
      <c r="F14" s="2" t="s">
        <v>24</v>
      </c>
      <c r="G14" s="29" t="n">
        <v>180</v>
      </c>
      <c r="H14" s="6" t="n">
        <f aca="false">IF(G14&lt;&gt;0,G14*H$2/(100+H$2)," ")</f>
        <v>30</v>
      </c>
      <c r="I14" s="6" t="n">
        <f aca="false">IF((G14&lt;&gt;0),G14-H14," ")</f>
        <v>150</v>
      </c>
      <c r="J14" s="5"/>
      <c r="M14" s="7" t="n">
        <f aca="false">IF(G14&lt;&gt;0,G14-L14," ")</f>
        <v>180</v>
      </c>
      <c r="N14" s="8" t="n">
        <f aca="false">IF((G14-L14)&lt;&gt;0,N$1-A14," ")</f>
        <v>148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n">
        <f aca="false">IF((F14="v"),I14," ")</f>
        <v>150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90</v>
      </c>
    </row>
    <row r="15" customFormat="false" ht="12" hidden="false" customHeight="false" outlineLevel="0" collapsed="false">
      <c r="A15" s="27" t="n">
        <v>46148</v>
      </c>
      <c r="B15" s="2" t="s">
        <v>135</v>
      </c>
      <c r="E15" s="2" t="s">
        <v>136</v>
      </c>
      <c r="F15" s="2" t="s">
        <v>95</v>
      </c>
      <c r="G15" s="29" t="n">
        <v>60</v>
      </c>
      <c r="H15" s="6" t="n">
        <f aca="false">IF(G15&lt;&gt;0,G15*H$2/(100+H$2)," ")</f>
        <v>10</v>
      </c>
      <c r="I15" s="6" t="n">
        <f aca="false">IF((G15&lt;&gt;0),G15-H15," ")</f>
        <v>50</v>
      </c>
      <c r="J15" s="5"/>
      <c r="M15" s="7" t="n">
        <f aca="false">IF(G15&lt;&gt;0,G15-L15," ")</f>
        <v>60</v>
      </c>
      <c r="N15" s="8" t="n">
        <f aca="false">IF((G15-L15)&lt;&gt;0,N$1-A15," ")</f>
        <v>147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n">
        <f aca="false">IF((F15="h"),I15," ")</f>
        <v>50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96</v>
      </c>
    </row>
    <row r="16" customFormat="false" ht="12" hidden="false" customHeight="false" outlineLevel="0" collapsed="false">
      <c r="A16" s="27" t="n">
        <v>46150</v>
      </c>
      <c r="B16" s="2" t="s">
        <v>93</v>
      </c>
      <c r="E16" s="2" t="s">
        <v>94</v>
      </c>
      <c r="F16" s="2" t="s">
        <v>95</v>
      </c>
      <c r="G16" s="29" t="n">
        <v>48</v>
      </c>
      <c r="H16" s="6" t="n">
        <f aca="false">IF(G16&lt;&gt;0,G16*H$2/(100+H$2)," ")</f>
        <v>8</v>
      </c>
      <c r="I16" s="6" t="n">
        <f aca="false">IF((G16&lt;&gt;0),G16-H16," ")</f>
        <v>40</v>
      </c>
      <c r="J16" s="5"/>
      <c r="M16" s="7" t="n">
        <f aca="false">IF(G16&lt;&gt;0,G16-L16," ")</f>
        <v>48</v>
      </c>
      <c r="N16" s="8" t="n">
        <f aca="false">IF((G16-L16)&lt;&gt;0,N$1-A16," ")</f>
        <v>145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n">
        <f aca="false">IF((F16="h"),I16," ")</f>
        <v>40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96</v>
      </c>
    </row>
    <row r="17" customFormat="false" ht="12" hidden="false" customHeight="false" outlineLevel="0" collapsed="false">
      <c r="A17" s="27" t="n">
        <v>46150</v>
      </c>
      <c r="B17" s="2" t="s">
        <v>137</v>
      </c>
      <c r="E17" s="2" t="s">
        <v>138</v>
      </c>
      <c r="F17" s="2" t="s">
        <v>71</v>
      </c>
      <c r="G17" s="29" t="n">
        <v>240</v>
      </c>
      <c r="H17" s="6" t="n">
        <f aca="false">IF(G17&lt;&gt;0,G17*H$2/(100+H$2)," ")</f>
        <v>40</v>
      </c>
      <c r="I17" s="6" t="n">
        <f aca="false">IF((G17&lt;&gt;0),G17-H17," ")</f>
        <v>200</v>
      </c>
      <c r="J17" s="5"/>
      <c r="M17" s="7" t="n">
        <f aca="false">IF(G17&lt;&gt;0,G17-L17," ")</f>
        <v>240</v>
      </c>
      <c r="N17" s="8" t="n">
        <f aca="false">IF((G17-L17)&lt;&gt;0,N$1-A17," ")</f>
        <v>145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n">
        <f aca="false">IF((F17="o"),I17," ")</f>
        <v>200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139</v>
      </c>
    </row>
    <row r="18" customFormat="false" ht="12" hidden="false" customHeight="false" outlineLevel="0" collapsed="false">
      <c r="A18" s="27" t="n">
        <v>46152</v>
      </c>
      <c r="B18" s="2" t="s">
        <v>97</v>
      </c>
      <c r="E18" s="2" t="s">
        <v>98</v>
      </c>
      <c r="F18" s="2" t="s">
        <v>75</v>
      </c>
      <c r="G18" s="29" t="n">
        <v>36</v>
      </c>
      <c r="H18" s="6" t="n">
        <f aca="false">IF(G18&lt;&gt;0,G18*H$2/(100+H$2)," ")</f>
        <v>6</v>
      </c>
      <c r="I18" s="6" t="n">
        <f aca="false">IF((G18&lt;&gt;0),G18-H18," ")</f>
        <v>30</v>
      </c>
      <c r="J18" s="5"/>
      <c r="M18" s="7" t="n">
        <f aca="false">IF(G18&lt;&gt;0,G18-L18," ")</f>
        <v>36</v>
      </c>
      <c r="N18" s="8" t="n">
        <f aca="false">IF((G18-L18)&lt;&gt;0,N$1-A18," ")</f>
        <v>143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n">
        <f aca="false">IF((F18="y"),I18," ")</f>
        <v>30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85</v>
      </c>
    </row>
    <row r="19" customFormat="false" ht="12" hidden="false" customHeight="false" outlineLevel="0" collapsed="false">
      <c r="A19" s="27" t="n">
        <v>46152</v>
      </c>
      <c r="B19" s="2" t="s">
        <v>140</v>
      </c>
      <c r="E19" s="2" t="s">
        <v>141</v>
      </c>
      <c r="F19" s="2" t="s">
        <v>142</v>
      </c>
      <c r="G19" s="29" t="n">
        <v>600</v>
      </c>
      <c r="H19" s="6" t="n">
        <f aca="false">IF(G19&lt;&gt;0,G19*H$2/(100+H$2)," ")</f>
        <v>100</v>
      </c>
      <c r="I19" s="6" t="n">
        <f aca="false">IF((G19&lt;&gt;0),G19-H19," ")</f>
        <v>500</v>
      </c>
      <c r="J19" s="5"/>
      <c r="M19" s="7" t="n">
        <f aca="false">IF(G19&lt;&gt;0,G19-L19," ")</f>
        <v>600</v>
      </c>
      <c r="N19" s="8" t="n">
        <f aca="false">IF((G19-L19)&lt;&gt;0,N$1-A19," ")</f>
        <v>143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n">
        <f aca="false">IF((F19="a"),I19," ")</f>
        <v>500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143</v>
      </c>
    </row>
    <row r="20" customFormat="false" ht="12" hidden="false" customHeight="false" outlineLevel="0" collapsed="false">
      <c r="A20" s="27" t="n">
        <v>46154</v>
      </c>
      <c r="B20" s="2" t="s">
        <v>106</v>
      </c>
      <c r="E20" s="2" t="s">
        <v>107</v>
      </c>
      <c r="F20" s="2" t="s">
        <v>24</v>
      </c>
      <c r="G20" s="29" t="n">
        <v>18</v>
      </c>
      <c r="H20" s="6" t="n">
        <f aca="false">IF(G20&lt;&gt;0,G20*H$2/(100+H$2)," ")</f>
        <v>3</v>
      </c>
      <c r="I20" s="6" t="n">
        <f aca="false">IF((G20&lt;&gt;0),G20-H20," ")</f>
        <v>15</v>
      </c>
      <c r="J20" s="5"/>
      <c r="M20" s="7" t="n">
        <f aca="false">IF(G20&lt;&gt;0,G20-L20," ")</f>
        <v>18</v>
      </c>
      <c r="N20" s="8" t="n">
        <f aca="false">IF((G20-L20)&lt;&gt;0,N$1-A20," ")</f>
        <v>141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n">
        <f aca="false">IF((F20="v"),I20," ")</f>
        <v>15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90</v>
      </c>
    </row>
    <row r="21" customFormat="false" ht="12" hidden="false" customHeight="false" outlineLevel="0" collapsed="false">
      <c r="A21" s="27" t="n">
        <v>46156</v>
      </c>
      <c r="B21" s="2" t="s">
        <v>110</v>
      </c>
      <c r="E21" s="2" t="s">
        <v>111</v>
      </c>
      <c r="F21" s="2" t="s">
        <v>95</v>
      </c>
      <c r="G21" s="29" t="n">
        <v>24</v>
      </c>
      <c r="H21" s="6" t="n">
        <f aca="false">IF(G21&lt;&gt;0,G21*H$2/(100+H$2)," ")</f>
        <v>4</v>
      </c>
      <c r="I21" s="6" t="n">
        <f aca="false">IF((G21&lt;&gt;0),G21-H21," ")</f>
        <v>20</v>
      </c>
      <c r="J21" s="5"/>
      <c r="M21" s="7" t="n">
        <f aca="false">IF(G21&lt;&gt;0,G21-L21," ")</f>
        <v>24</v>
      </c>
      <c r="N21" s="8" t="n">
        <f aca="false">IF((G21-L21)&lt;&gt;0,N$1-A21," ")</f>
        <v>139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n">
        <f aca="false">IF((F21="h"),I21," ")</f>
        <v>20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96</v>
      </c>
    </row>
    <row r="22" customFormat="false" ht="12" hidden="false" customHeight="false" outlineLevel="0" collapsed="false">
      <c r="A22" s="27" t="n">
        <v>46156</v>
      </c>
      <c r="B22" s="2" t="s">
        <v>112</v>
      </c>
      <c r="E22" s="2" t="s">
        <v>113</v>
      </c>
      <c r="F22" s="2" t="s">
        <v>95</v>
      </c>
      <c r="G22" s="29" t="n">
        <v>12</v>
      </c>
      <c r="H22" s="6" t="n">
        <f aca="false">IF(G22&lt;&gt;0,G22*H$2/(100+H$2)," ")</f>
        <v>2</v>
      </c>
      <c r="I22" s="6" t="n">
        <f aca="false">IF((G22&lt;&gt;0),G22-H22," ")</f>
        <v>10</v>
      </c>
      <c r="J22" s="5"/>
      <c r="M22" s="7" t="n">
        <f aca="false">IF(G22&lt;&gt;0,G22-L22," ")</f>
        <v>12</v>
      </c>
      <c r="N22" s="8" t="n">
        <f aca="false">IF((G22-L22)&lt;&gt;0,N$1-A22," ")</f>
        <v>139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n">
        <f aca="false">IF((F22="h"),I22," ")</f>
        <v>10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96</v>
      </c>
    </row>
    <row r="23" customFormat="false" ht="12" hidden="false" customHeight="false" outlineLevel="0" collapsed="false">
      <c r="A23" s="27" t="n">
        <v>46157</v>
      </c>
      <c r="B23" s="2" t="s">
        <v>19</v>
      </c>
      <c r="E23" s="2" t="s">
        <v>89</v>
      </c>
      <c r="F23" s="2" t="s">
        <v>24</v>
      </c>
      <c r="G23" s="29" t="n">
        <v>150</v>
      </c>
      <c r="H23" s="6" t="n">
        <f aca="false">IF(G23&lt;&gt;0,G23*H$2/(100+H$2)," ")</f>
        <v>25</v>
      </c>
      <c r="I23" s="6" t="n">
        <f aca="false">IF((G23&lt;&gt;0),G23-H23," ")</f>
        <v>125</v>
      </c>
      <c r="J23" s="5"/>
      <c r="M23" s="7" t="n">
        <f aca="false">IF(G23&lt;&gt;0,G23-L23," ")</f>
        <v>150</v>
      </c>
      <c r="N23" s="8" t="n">
        <f aca="false">IF((G23-L23)&lt;&gt;0,N$1-A23," ")</f>
        <v>138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n">
        <f aca="false">IF((F23="v"),I23," ")</f>
        <v>125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90</v>
      </c>
    </row>
    <row r="24" customFormat="false" ht="12" hidden="false" customHeight="false" outlineLevel="0" collapsed="false">
      <c r="A24" s="27" t="n">
        <v>46157</v>
      </c>
      <c r="B24" s="2" t="s">
        <v>114</v>
      </c>
      <c r="E24" s="2" t="s">
        <v>115</v>
      </c>
      <c r="F24" s="2" t="s">
        <v>65</v>
      </c>
      <c r="G24" s="29" t="n">
        <v>12</v>
      </c>
      <c r="H24" s="6" t="n">
        <f aca="false">IF(G24&lt;&gt;0,G24*H$2/(100+H$2)," ")</f>
        <v>2</v>
      </c>
      <c r="I24" s="6" t="n">
        <f aca="false">IF((G24&lt;&gt;0),G24-H24," ")</f>
        <v>10</v>
      </c>
      <c r="J24" s="5"/>
      <c r="M24" s="7" t="n">
        <f aca="false">IF(G24&lt;&gt;0,G24-L24," ")</f>
        <v>12</v>
      </c>
      <c r="N24" s="8" t="n">
        <f aca="false">IF((G24-L24)&lt;&gt;0,N$1-A24," ")</f>
        <v>138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n">
        <f aca="false">IF((F24="g"),I24," ")</f>
        <v>10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66</v>
      </c>
    </row>
    <row r="25" customFormat="false" ht="12" hidden="false" customHeight="false" outlineLevel="0" collapsed="false">
      <c r="A25" s="27" t="n">
        <v>46157</v>
      </c>
      <c r="B25" s="2" t="s">
        <v>144</v>
      </c>
      <c r="E25" s="2" t="s">
        <v>145</v>
      </c>
      <c r="F25" s="2" t="s">
        <v>104</v>
      </c>
      <c r="G25" s="29" t="n">
        <v>480</v>
      </c>
      <c r="H25" s="6" t="n">
        <f aca="false">IF(G25&lt;&gt;0,G25*H$2/(100+H$2)," ")</f>
        <v>80</v>
      </c>
      <c r="I25" s="6" t="n">
        <f aca="false">IF((G25&lt;&gt;0),G25-H25," ")</f>
        <v>400</v>
      </c>
      <c r="J25" s="5"/>
      <c r="M25" s="7" t="n">
        <f aca="false">IF(G25&lt;&gt;0,G25-L25," ")</f>
        <v>480</v>
      </c>
      <c r="N25" s="8" t="n">
        <f aca="false">IF((G25-L25)&lt;&gt;0,N$1-A25," ")</f>
        <v>138</v>
      </c>
      <c r="O25" s="5"/>
      <c r="P25" s="19" t="n">
        <f aca="false">IF((F25="s"),I25," ")</f>
        <v>400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105</v>
      </c>
    </row>
    <row r="26" customFormat="false" ht="12" hidden="false" customHeight="false" outlineLevel="0" collapsed="false">
      <c r="A26" s="27" t="n">
        <v>46157</v>
      </c>
      <c r="B26" s="2" t="s">
        <v>146</v>
      </c>
      <c r="C26" s="3" t="s">
        <v>147</v>
      </c>
      <c r="E26" s="2" t="s">
        <v>148</v>
      </c>
      <c r="F26" s="2" t="s">
        <v>149</v>
      </c>
      <c r="G26" s="29" t="n">
        <v>1800</v>
      </c>
      <c r="H26" s="6" t="n">
        <f aca="false">IF(G26&lt;&gt;0,G26*H$2/(100+H$2)," ")</f>
        <v>300</v>
      </c>
      <c r="I26" s="6" t="n">
        <f aca="false">IF((G26&lt;&gt;0),G26-H26," ")</f>
        <v>1500</v>
      </c>
      <c r="J26" s="5"/>
      <c r="M26" s="7" t="n">
        <f aca="false">IF(G26&lt;&gt;0,G26-L26," ")</f>
        <v>1800</v>
      </c>
      <c r="N26" s="8" t="n">
        <f aca="false">IF((G26-L26)&lt;&gt;0,N$1-A26," ")</f>
        <v>138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n">
        <f aca="false">IF((F26="fa"),I26," ")</f>
        <v>1500</v>
      </c>
      <c r="AC26" s="19" t="str">
        <f aca="false">IF((F26="e"),I26," ")</f>
        <v> </v>
      </c>
      <c r="BZ26" s="2" t="s">
        <v>150</v>
      </c>
    </row>
    <row r="27" customFormat="false" ht="12" hidden="false" customHeight="false" outlineLevel="0" collapsed="false">
      <c r="A27" s="27" t="n">
        <v>46158</v>
      </c>
      <c r="B27" s="2" t="s">
        <v>151</v>
      </c>
      <c r="E27" s="2" t="s">
        <v>152</v>
      </c>
      <c r="F27" s="2" t="s">
        <v>65</v>
      </c>
      <c r="G27" s="29" t="n">
        <v>18</v>
      </c>
      <c r="H27" s="6" t="n">
        <f aca="false">IF(G27&lt;&gt;0,G27*H$2/(100+H$2)," ")</f>
        <v>3</v>
      </c>
      <c r="I27" s="6" t="n">
        <f aca="false">IF((G27&lt;&gt;0),G27-H27," ")</f>
        <v>15</v>
      </c>
      <c r="J27" s="5"/>
      <c r="M27" s="7" t="n">
        <f aca="false">IF(G27&lt;&gt;0,G27-L27," ")</f>
        <v>18</v>
      </c>
      <c r="N27" s="8" t="n">
        <f aca="false">IF((G27-L27)&lt;&gt;0,N$1-A27," ")</f>
        <v>137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n">
        <f aca="false">IF((F27="g"),I27," ")</f>
        <v>15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66</v>
      </c>
    </row>
    <row r="28" customFormat="false" ht="12" hidden="false" customHeight="false" outlineLevel="0" collapsed="false">
      <c r="A28" s="27" t="n">
        <v>46160</v>
      </c>
      <c r="B28" s="2" t="s">
        <v>116</v>
      </c>
      <c r="E28" s="2" t="s">
        <v>89</v>
      </c>
      <c r="F28" s="2" t="s">
        <v>24</v>
      </c>
      <c r="G28" s="29" t="n">
        <v>96</v>
      </c>
      <c r="H28" s="6" t="n">
        <f aca="false">IF(G28&lt;&gt;0,G28*H$2/(100+H$2)," ")</f>
        <v>16</v>
      </c>
      <c r="I28" s="6" t="n">
        <f aca="false">IF((G28&lt;&gt;0),G28-H28," ")</f>
        <v>80</v>
      </c>
      <c r="J28" s="5"/>
      <c r="M28" s="7" t="n">
        <f aca="false">IF(G28&lt;&gt;0,G28-L28," ")</f>
        <v>96</v>
      </c>
      <c r="N28" s="8" t="n">
        <f aca="false">IF((G28-L28)&lt;&gt;0,N$1-A28," ")</f>
        <v>135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n">
        <f aca="false">IF((F28="v"),I28," ")</f>
        <v>80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90</v>
      </c>
    </row>
    <row r="29" customFormat="false" ht="12" hidden="false" customHeight="false" outlineLevel="0" collapsed="false">
      <c r="A29" s="27" t="n">
        <v>46162</v>
      </c>
      <c r="B29" s="2" t="s">
        <v>117</v>
      </c>
      <c r="E29" s="2" t="s">
        <v>118</v>
      </c>
      <c r="F29" s="2" t="s">
        <v>65</v>
      </c>
      <c r="G29" s="29" t="n">
        <v>60</v>
      </c>
      <c r="H29" s="6" t="n">
        <f aca="false">IF(G29&lt;&gt;0,G29*H$2/(100+H$2)," ")</f>
        <v>10</v>
      </c>
      <c r="I29" s="6" t="n">
        <f aca="false">IF((G29&lt;&gt;0),G29-H29," ")</f>
        <v>50</v>
      </c>
      <c r="J29" s="5"/>
      <c r="M29" s="7" t="n">
        <f aca="false">IF(G29&lt;&gt;0,G29-L29," ")</f>
        <v>60</v>
      </c>
      <c r="N29" s="8" t="n">
        <f aca="false">IF((G29-L29)&lt;&gt;0,N$1-A29," ")</f>
        <v>133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n">
        <f aca="false">IF((F29="g"),I29," ")</f>
        <v>50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66</v>
      </c>
    </row>
    <row r="30" customFormat="false" ht="12" hidden="false" customHeight="false" outlineLevel="0" collapsed="false">
      <c r="A30" s="27" t="n">
        <v>46162</v>
      </c>
      <c r="B30" s="2" t="s">
        <v>153</v>
      </c>
      <c r="E30" s="2" t="s">
        <v>154</v>
      </c>
      <c r="F30" s="2" t="s">
        <v>65</v>
      </c>
      <c r="G30" s="29" t="n">
        <v>180</v>
      </c>
      <c r="H30" s="6" t="n">
        <f aca="false">IF(G30&lt;&gt;0,G30*H$2/(100+H$2)," ")</f>
        <v>30</v>
      </c>
      <c r="I30" s="6" t="n">
        <f aca="false">IF((G30&lt;&gt;0),G30-H30," ")</f>
        <v>150</v>
      </c>
      <c r="J30" s="5"/>
      <c r="M30" s="7" t="n">
        <f aca="false">IF(G30&lt;&gt;0,G30-L30," ")</f>
        <v>180</v>
      </c>
      <c r="N30" s="8" t="n">
        <f aca="false">IF((G30-L30)&lt;&gt;0,N$1-A30," ")</f>
        <v>133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n">
        <f aca="false">IF((F30="g"),I30," ")</f>
        <v>150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155</v>
      </c>
    </row>
    <row r="31" customFormat="false" ht="12" hidden="false" customHeight="false" outlineLevel="0" collapsed="false">
      <c r="A31" s="27" t="n">
        <v>46162</v>
      </c>
      <c r="B31" s="2" t="s">
        <v>156</v>
      </c>
      <c r="E31" s="2" t="s">
        <v>157</v>
      </c>
      <c r="F31" s="2" t="s">
        <v>104</v>
      </c>
      <c r="G31" s="29" t="n">
        <v>240</v>
      </c>
      <c r="H31" s="6" t="n">
        <f aca="false">IF(G31&lt;&gt;0,G31*H$2/(100+H$2)," ")</f>
        <v>40</v>
      </c>
      <c r="I31" s="6" t="n">
        <f aca="false">IF((G31&lt;&gt;0),G31-H31," ")</f>
        <v>200</v>
      </c>
      <c r="J31" s="5"/>
      <c r="M31" s="7" t="n">
        <f aca="false">IF(G31&lt;&gt;0,G31-L31," ")</f>
        <v>240</v>
      </c>
      <c r="N31" s="8" t="n">
        <f aca="false">IF((G31-L31)&lt;&gt;0,N$1-A31," ")</f>
        <v>133</v>
      </c>
      <c r="O31" s="5"/>
      <c r="P31" s="19" t="n">
        <f aca="false">IF((F31="s"),I31," ")</f>
        <v>200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105</v>
      </c>
    </row>
    <row r="32" customFormat="false" ht="12" hidden="false" customHeight="false" outlineLevel="0" collapsed="false">
      <c r="A32" s="27" t="n">
        <v>46163</v>
      </c>
      <c r="B32" s="2" t="s">
        <v>123</v>
      </c>
      <c r="E32" s="2" t="s">
        <v>124</v>
      </c>
      <c r="F32" s="2" t="s">
        <v>95</v>
      </c>
      <c r="G32" s="29" t="n">
        <v>8</v>
      </c>
      <c r="H32" s="6" t="n">
        <f aca="false">IF(G32&lt;&gt;0,G32*H$2/(100+H$2)," ")</f>
        <v>1.33333333333333</v>
      </c>
      <c r="I32" s="6" t="n">
        <f aca="false">IF((G32&lt;&gt;0),G32-H32," ")</f>
        <v>6.66666666666667</v>
      </c>
      <c r="J32" s="5"/>
      <c r="M32" s="7" t="n">
        <f aca="false">IF(G32&lt;&gt;0,G32-L32," ")</f>
        <v>8</v>
      </c>
      <c r="N32" s="8" t="n">
        <f aca="false">IF((G32-L32)&lt;&gt;0,N$1-A32," ")</f>
        <v>132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n">
        <f aca="false">IF((F32="h"),I32," ")</f>
        <v>6.66666666666667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96</v>
      </c>
    </row>
    <row r="33" customFormat="false" ht="12" hidden="false" customHeight="false" outlineLevel="0" collapsed="false">
      <c r="A33" s="27" t="n">
        <v>46164</v>
      </c>
      <c r="B33" s="2" t="s">
        <v>125</v>
      </c>
      <c r="E33" s="2" t="s">
        <v>126</v>
      </c>
      <c r="F33" s="2" t="s">
        <v>75</v>
      </c>
      <c r="G33" s="29" t="n">
        <v>18</v>
      </c>
      <c r="H33" s="6" t="n">
        <f aca="false">IF(G33&lt;&gt;0,G33*H$2/(100+H$2)," ")</f>
        <v>3</v>
      </c>
      <c r="I33" s="6" t="n">
        <f aca="false">IF((G33&lt;&gt;0),G33-H33," ")</f>
        <v>15</v>
      </c>
      <c r="J33" s="5"/>
      <c r="M33" s="7" t="n">
        <f aca="false">IF(G33&lt;&gt;0,G33-L33," ")</f>
        <v>18</v>
      </c>
      <c r="N33" s="8" t="n">
        <f aca="false">IF((G33-L33)&lt;&gt;0,N$1-A33," ")</f>
        <v>131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n">
        <f aca="false">IF((F33="y"),I33," ")</f>
        <v>15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85</v>
      </c>
    </row>
    <row r="34" customFormat="false" ht="12" hidden="false" customHeight="false" outlineLevel="0" collapsed="false">
      <c r="A34" s="27" t="n">
        <v>46164</v>
      </c>
      <c r="B34" s="2" t="s">
        <v>158</v>
      </c>
      <c r="E34" s="2" t="s">
        <v>159</v>
      </c>
      <c r="F34" s="2" t="s">
        <v>24</v>
      </c>
      <c r="G34" s="29" t="n">
        <v>48</v>
      </c>
      <c r="H34" s="6" t="n">
        <f aca="false">IF(G34&lt;&gt;0,G34*H$2/(100+H$2)," ")</f>
        <v>8</v>
      </c>
      <c r="I34" s="6" t="n">
        <f aca="false">IF((G34&lt;&gt;0),G34-H34," ")</f>
        <v>40</v>
      </c>
      <c r="J34" s="5"/>
      <c r="M34" s="7" t="n">
        <f aca="false">IF(G34&lt;&gt;0,G34-L34," ")</f>
        <v>48</v>
      </c>
      <c r="N34" s="8" t="n">
        <f aca="false">IF((G34-L34)&lt;&gt;0,N$1-A34," ")</f>
        <v>131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n">
        <f aca="false">IF((F34="v"),I34," ")</f>
        <v>40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90</v>
      </c>
    </row>
    <row r="35" customFormat="false" ht="12" hidden="false" customHeight="false" outlineLevel="0" collapsed="false">
      <c r="A35" s="27" t="n">
        <v>46167</v>
      </c>
      <c r="B35" s="2" t="s">
        <v>127</v>
      </c>
      <c r="E35" s="2" t="s">
        <v>128</v>
      </c>
      <c r="F35" s="2" t="s">
        <v>75</v>
      </c>
      <c r="G35" s="29" t="n">
        <v>15</v>
      </c>
      <c r="H35" s="6" t="n">
        <f aca="false">IF(G35&lt;&gt;0,G35*H$2/(100+H$2)," ")</f>
        <v>2.5</v>
      </c>
      <c r="I35" s="6" t="n">
        <f aca="false">IF((G35&lt;&gt;0),G35-H35," ")</f>
        <v>12.5</v>
      </c>
      <c r="J35" s="5"/>
      <c r="M35" s="7" t="n">
        <f aca="false">IF(G35&lt;&gt;0,G35-L35," ")</f>
        <v>15</v>
      </c>
      <c r="N35" s="8" t="n">
        <f aca="false">IF((G35-L35)&lt;&gt;0,N$1-A35," ")</f>
        <v>128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n">
        <f aca="false">IF((F35="y"),I35," ")</f>
        <v>12.5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85</v>
      </c>
    </row>
    <row r="36" customFormat="false" ht="12" hidden="false" customHeight="false" outlineLevel="0" collapsed="false">
      <c r="A36" s="27" t="n">
        <v>46167</v>
      </c>
      <c r="B36" s="2" t="s">
        <v>129</v>
      </c>
      <c r="D36" s="4" t="n">
        <v>120</v>
      </c>
      <c r="E36" s="2" t="s">
        <v>160</v>
      </c>
      <c r="F36" s="2" t="s">
        <v>24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  <c r="BZ36" s="2" t="s">
        <v>90</v>
      </c>
    </row>
    <row r="37" customFormat="false" ht="12" hidden="false" customHeight="false" outlineLevel="0" collapsed="false">
      <c r="A37" s="27" t="n">
        <v>46170</v>
      </c>
      <c r="B37" s="2" t="s">
        <v>19</v>
      </c>
      <c r="E37" s="2" t="s">
        <v>131</v>
      </c>
      <c r="F37" s="2" t="s">
        <v>24</v>
      </c>
      <c r="G37" s="29" t="n">
        <v>120</v>
      </c>
      <c r="H37" s="6" t="n">
        <f aca="false">IF(G37&lt;&gt;0,G37*H$2/(100+H$2)," ")</f>
        <v>20</v>
      </c>
      <c r="I37" s="6" t="n">
        <f aca="false">IF((G37&lt;&gt;0),G37-H37," ")</f>
        <v>100</v>
      </c>
      <c r="J37" s="5"/>
      <c r="M37" s="7" t="n">
        <f aca="false">IF(G37&lt;&gt;0,G37-L37," ")</f>
        <v>120</v>
      </c>
      <c r="N37" s="8" t="n">
        <f aca="false">IF((G37-L37)&lt;&gt;0,N$1-A37," ")</f>
        <v>125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n">
        <f aca="false">IF((F37="v"),I37," ")</f>
        <v>100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  <c r="BZ37" s="2" t="s">
        <v>90</v>
      </c>
    </row>
    <row r="38" customFormat="false" ht="12" hidden="false" customHeight="false" outlineLevel="0" collapsed="false">
      <c r="A38" s="27" t="n">
        <v>46173</v>
      </c>
      <c r="B38" s="2" t="s">
        <v>15</v>
      </c>
      <c r="E38" s="2" t="s">
        <v>132</v>
      </c>
      <c r="F38" s="2" t="s">
        <v>133</v>
      </c>
      <c r="G38" s="29" t="n">
        <v>300</v>
      </c>
      <c r="H38" s="6" t="n">
        <f aca="false">IF(G38&lt;&gt;0,G38*H$2/(100+H$2)," ")</f>
        <v>50</v>
      </c>
      <c r="I38" s="6" t="n">
        <f aca="false">IF((G38&lt;&gt;0),G38-H38," ")</f>
        <v>250</v>
      </c>
      <c r="J38" s="5"/>
      <c r="M38" s="7" t="n">
        <f aca="false">IF(G38&lt;&gt;0,G38-L38," ")</f>
        <v>300</v>
      </c>
      <c r="N38" s="8" t="n">
        <f aca="false">IF((G38-L38)&lt;&gt;0,N$1-A38," ")</f>
        <v>122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n">
        <f aca="false">IF((F38="l"),I38," ")</f>
        <v>250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  <c r="BZ38" s="2" t="s">
        <v>134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159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58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200</v>
      </c>
      <c r="E1" s="13" t="s">
        <v>3</v>
      </c>
      <c r="F1" s="14"/>
      <c r="G1" s="13" t="n">
        <f aca="false">SUM(G2:G300)</f>
        <v>24677</v>
      </c>
      <c r="H1" s="13" t="n">
        <f aca="false">SUM(H5:H200)</f>
        <v>4094.5</v>
      </c>
      <c r="I1" s="13" t="n">
        <f aca="false">SUM(I2:I200)</f>
        <v>20582.5</v>
      </c>
      <c r="J1" s="15"/>
      <c r="K1" s="16" t="s">
        <v>4</v>
      </c>
      <c r="L1" s="17" t="n">
        <f aca="false">SUM(L5:L300)</f>
        <v>0</v>
      </c>
      <c r="M1" s="17" t="n">
        <f aca="false">SUM(M5:M200)</f>
        <v>24567</v>
      </c>
      <c r="N1" s="18" t="n">
        <f aca="true">TODAY()</f>
        <v>46295</v>
      </c>
      <c r="O1" s="15"/>
      <c r="P1" s="13" t="n">
        <f aca="false">SUM(P5:P300)</f>
        <v>300</v>
      </c>
      <c r="Q1" s="13" t="n">
        <f aca="false">SUM(Q5:Q300)</f>
        <v>4166.66666666667</v>
      </c>
      <c r="R1" s="13" t="n">
        <f aca="false">SUM(R5:R300)</f>
        <v>237.5</v>
      </c>
      <c r="S1" s="13" t="n">
        <f aca="false">SUM(S5:S300)</f>
        <v>0</v>
      </c>
      <c r="T1" s="13" t="n">
        <f aca="false">SUM(T5:T300)</f>
        <v>1300</v>
      </c>
      <c r="U1" s="13" t="n">
        <f aca="false">SUM(U5:U300)</f>
        <v>0</v>
      </c>
      <c r="V1" s="13" t="n">
        <f aca="false">SUM(V5:V300)</f>
        <v>192.5</v>
      </c>
      <c r="W1" s="13" t="n">
        <f aca="false">SUM(W2:W300)</f>
        <v>580</v>
      </c>
      <c r="X1" s="13" t="n">
        <f aca="false">SUM(X5:X300)</f>
        <v>226.666666666667</v>
      </c>
      <c r="Y1" s="13" t="n">
        <f aca="false">SUM(Y5:Y300)</f>
        <v>0</v>
      </c>
      <c r="Z1" s="13" t="n">
        <f aca="false">SUM(Z5:Z300)</f>
        <v>458.333333333333</v>
      </c>
      <c r="AA1" s="13" t="n">
        <f aca="false">SUM(AA5:AA300)</f>
        <v>120.833333333333</v>
      </c>
      <c r="AB1" s="13" t="n">
        <f aca="false">SUM(AB5:AB300)</f>
        <v>13000</v>
      </c>
      <c r="AC1" s="41" t="n">
        <f aca="false">SUM(AC5:AC300)</f>
        <v>0</v>
      </c>
      <c r="AD1" s="13" t="n">
        <f aca="false">SUM(AD5:AD300)</f>
        <v>1000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G2+May!A2</f>
        <v>222.75</v>
      </c>
      <c r="B2" s="44" t="s">
        <v>22</v>
      </c>
      <c r="C2" s="43" t="n">
        <f aca="false">May!C2+D1+[1]Jun!$D$1</f>
        <v>405</v>
      </c>
      <c r="D2" s="45" t="s">
        <v>23</v>
      </c>
      <c r="E2" s="20" t="s">
        <v>5</v>
      </c>
      <c r="F2" s="44" t="str">
        <f aca="false">May!F2</f>
        <v>v</v>
      </c>
      <c r="G2" s="46" t="n">
        <f aca="false">IF(C2&lt;[2]Admin!$F$22,(C2-May!C2)*[2]Admin!$G$21,C2*[2]Admin!$G$21-(C2-[2]Admin!$F$21)*([2]Admin!$G$21-[2]Admin!$G$22)-May!A2)</f>
        <v>110</v>
      </c>
      <c r="H2" s="21" t="n">
        <f aca="false">IF([1]Jun!$H$4&gt;0,0,[1]Jun!$H$2)</f>
        <v>20</v>
      </c>
      <c r="I2" s="47" t="n">
        <f aca="false">G2</f>
        <v>110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110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AB1+May!AB2</f>
        <v>14500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46174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121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46174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121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46174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121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46174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121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46174</v>
      </c>
      <c r="B9" s="2" t="s">
        <v>77</v>
      </c>
      <c r="E9" s="2" t="s">
        <v>78</v>
      </c>
      <c r="F9" s="2" t="s">
        <v>71</v>
      </c>
      <c r="G9" s="29" t="n">
        <v>24</v>
      </c>
      <c r="H9" s="6" t="n">
        <f aca="false">IF(G9&lt;&gt;0,G9*H$2/(100+H$2)," ")</f>
        <v>4</v>
      </c>
      <c r="I9" s="6" t="n">
        <f aca="false">IF((G9&lt;&gt;0),G9-H9," ")</f>
        <v>20</v>
      </c>
      <c r="J9" s="5"/>
      <c r="M9" s="7" t="n">
        <f aca="false">IF(G9&lt;&gt;0,G9-L9," ")</f>
        <v>24</v>
      </c>
      <c r="N9" s="8" t="n">
        <f aca="false">IF((G9-L9)&lt;&gt;0,N$1-A9," ")</f>
        <v>121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20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72</v>
      </c>
    </row>
    <row r="10" customFormat="false" ht="12" hidden="false" customHeight="false" outlineLevel="0" collapsed="false">
      <c r="A10" s="27" t="n">
        <v>46174</v>
      </c>
      <c r="B10" s="2" t="s">
        <v>79</v>
      </c>
      <c r="E10" s="2" t="s">
        <v>80</v>
      </c>
      <c r="F10" s="2" t="s">
        <v>65</v>
      </c>
      <c r="G10" s="29" t="n">
        <v>18</v>
      </c>
      <c r="H10" s="6" t="n">
        <f aca="false">IF(G10&lt;&gt;0,G10*H$2/(100+H$2)," ")</f>
        <v>3</v>
      </c>
      <c r="I10" s="6" t="n">
        <f aca="false">IF((G10&lt;&gt;0),G10-H10," ")</f>
        <v>15</v>
      </c>
      <c r="J10" s="5"/>
      <c r="M10" s="7" t="n">
        <f aca="false">IF(G10&lt;&gt;0,G10-L10," ")</f>
        <v>18</v>
      </c>
      <c r="N10" s="8" t="n">
        <f aca="false">IF((G10-L10)&lt;&gt;0,N$1-A10," ")</f>
        <v>121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15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66</v>
      </c>
    </row>
    <row r="11" customFormat="false" ht="12" hidden="false" customHeight="false" outlineLevel="0" collapsed="false">
      <c r="A11" s="27" t="n">
        <v>46176</v>
      </c>
      <c r="B11" s="2" t="s">
        <v>81</v>
      </c>
      <c r="E11" s="2" t="s">
        <v>82</v>
      </c>
      <c r="F11" s="2" t="s">
        <v>71</v>
      </c>
      <c r="G11" s="29" t="n">
        <v>180</v>
      </c>
      <c r="H11" s="6" t="n">
        <f aca="false">IF(G11&lt;&gt;0,G11*H$2/(100+H$2)," ")</f>
        <v>30</v>
      </c>
      <c r="I11" s="6" t="n">
        <f aca="false">IF((G11&lt;&gt;0),G11-H11," ")</f>
        <v>150</v>
      </c>
      <c r="J11" s="5"/>
      <c r="M11" s="7" t="n">
        <f aca="false">IF(G11&lt;&gt;0,G11-L11," ")</f>
        <v>180</v>
      </c>
      <c r="N11" s="8" t="n">
        <f aca="false">IF((G11-L11)&lt;&gt;0,N$1-A11," ")</f>
        <v>119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150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72</v>
      </c>
    </row>
    <row r="12" customFormat="false" ht="12" hidden="false" customHeight="false" outlineLevel="0" collapsed="false">
      <c r="A12" s="27" t="n">
        <v>46176</v>
      </c>
      <c r="B12" s="2" t="s">
        <v>83</v>
      </c>
      <c r="E12" s="2" t="s">
        <v>84</v>
      </c>
      <c r="F12" s="2" t="s">
        <v>75</v>
      </c>
      <c r="G12" s="29" t="n">
        <v>22</v>
      </c>
      <c r="H12" s="6" t="n">
        <f aca="false">IF(G12&lt;&gt;0,G12*H$2/(100+H$2)," ")</f>
        <v>3.66666666666667</v>
      </c>
      <c r="I12" s="6" t="n">
        <f aca="false">IF((G12&lt;&gt;0),G12-H12," ")</f>
        <v>18.3333333333333</v>
      </c>
      <c r="J12" s="5"/>
      <c r="M12" s="7" t="n">
        <f aca="false">IF(G12&lt;&gt;0,G12-L12," ")</f>
        <v>22</v>
      </c>
      <c r="N12" s="8" t="n">
        <f aca="false">IF((G12-L12)&lt;&gt;0,N$1-A12," ")</f>
        <v>119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n">
        <f aca="false">IF((F12="y"),I12," ")</f>
        <v>18.3333333333333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85</v>
      </c>
    </row>
    <row r="13" customFormat="false" ht="12" hidden="false" customHeight="false" outlineLevel="0" collapsed="false">
      <c r="A13" s="27" t="n">
        <v>46178</v>
      </c>
      <c r="B13" s="2" t="s">
        <v>86</v>
      </c>
      <c r="E13" s="2" t="s">
        <v>87</v>
      </c>
      <c r="F13" s="2" t="s">
        <v>75</v>
      </c>
      <c r="G13" s="29" t="n">
        <v>24</v>
      </c>
      <c r="H13" s="6" t="n">
        <f aca="false">IF(G13&lt;&gt;0,G13*H$2/(100+H$2)," ")</f>
        <v>4</v>
      </c>
      <c r="I13" s="6" t="n">
        <f aca="false">IF((G13&lt;&gt;0),G13-H13," ")</f>
        <v>20</v>
      </c>
      <c r="J13" s="5"/>
      <c r="M13" s="7" t="n">
        <f aca="false">IF(G13&lt;&gt;0,G13-L13," ")</f>
        <v>24</v>
      </c>
      <c r="N13" s="8" t="n">
        <f aca="false">IF((G13-L13)&lt;&gt;0,N$1-A13," ")</f>
        <v>117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20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46178</v>
      </c>
      <c r="B14" s="2" t="s">
        <v>88</v>
      </c>
      <c r="E14" s="2" t="s">
        <v>89</v>
      </c>
      <c r="F14" s="2" t="s">
        <v>24</v>
      </c>
      <c r="G14" s="29" t="n">
        <v>180</v>
      </c>
      <c r="H14" s="6" t="n">
        <f aca="false">IF(G14&lt;&gt;0,G14*H$2/(100+H$2)," ")</f>
        <v>30</v>
      </c>
      <c r="I14" s="6" t="n">
        <f aca="false">IF((G14&lt;&gt;0),G14-H14," ")</f>
        <v>150</v>
      </c>
      <c r="J14" s="5"/>
      <c r="M14" s="7" t="n">
        <f aca="false">IF(G14&lt;&gt;0,G14-L14," ")</f>
        <v>180</v>
      </c>
      <c r="N14" s="8" t="n">
        <f aca="false">IF((G14-L14)&lt;&gt;0,N$1-A14," ")</f>
        <v>117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n">
        <f aca="false">IF((F14="v"),I14," ")</f>
        <v>150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90</v>
      </c>
    </row>
    <row r="15" customFormat="false" ht="12" hidden="false" customHeight="false" outlineLevel="0" collapsed="false">
      <c r="A15" s="27" t="n">
        <v>46178</v>
      </c>
      <c r="B15" s="2" t="s">
        <v>91</v>
      </c>
      <c r="E15" s="2" t="s">
        <v>92</v>
      </c>
      <c r="F15" s="2" t="s">
        <v>71</v>
      </c>
      <c r="G15" s="29" t="n">
        <v>36</v>
      </c>
      <c r="H15" s="6" t="n">
        <f aca="false">IF(G15&lt;&gt;0,G15*H$2/(100+H$2)," ")</f>
        <v>6</v>
      </c>
      <c r="I15" s="6" t="n">
        <f aca="false">IF((G15&lt;&gt;0),G15-H15," ")</f>
        <v>30</v>
      </c>
      <c r="J15" s="5"/>
      <c r="M15" s="7" t="n">
        <f aca="false">IF(G15&lt;&gt;0,G15-L15," ")</f>
        <v>36</v>
      </c>
      <c r="N15" s="8" t="n">
        <f aca="false">IF((G15-L15)&lt;&gt;0,N$1-A15," ")</f>
        <v>117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n">
        <f aca="false">IF((F15="o"),I15," ")</f>
        <v>30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72</v>
      </c>
    </row>
    <row r="16" customFormat="false" ht="12" hidden="false" customHeight="false" outlineLevel="0" collapsed="false">
      <c r="A16" s="27" t="n">
        <v>46181</v>
      </c>
      <c r="B16" s="2" t="s">
        <v>93</v>
      </c>
      <c r="E16" s="2" t="s">
        <v>94</v>
      </c>
      <c r="F16" s="2" t="s">
        <v>95</v>
      </c>
      <c r="G16" s="29" t="n">
        <v>48</v>
      </c>
      <c r="H16" s="6" t="n">
        <f aca="false">IF(G16&lt;&gt;0,G16*H$2/(100+H$2)," ")</f>
        <v>8</v>
      </c>
      <c r="I16" s="6" t="n">
        <f aca="false">IF((G16&lt;&gt;0),G16-H16," ")</f>
        <v>40</v>
      </c>
      <c r="J16" s="5"/>
      <c r="M16" s="7" t="n">
        <f aca="false">IF(G16&lt;&gt;0,G16-L16," ")</f>
        <v>48</v>
      </c>
      <c r="N16" s="8" t="n">
        <f aca="false">IF((G16-L16)&lt;&gt;0,N$1-A16," ")</f>
        <v>114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n">
        <f aca="false">IF((F16="h"),I16," ")</f>
        <v>40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96</v>
      </c>
    </row>
    <row r="17" customFormat="false" ht="12" hidden="false" customHeight="false" outlineLevel="0" collapsed="false">
      <c r="A17" s="27" t="n">
        <v>46183</v>
      </c>
      <c r="B17" s="2" t="s">
        <v>97</v>
      </c>
      <c r="E17" s="2" t="s">
        <v>98</v>
      </c>
      <c r="F17" s="2" t="s">
        <v>75</v>
      </c>
      <c r="G17" s="29" t="n">
        <v>36</v>
      </c>
      <c r="H17" s="6" t="n">
        <f aca="false">IF(G17&lt;&gt;0,G17*H$2/(100+H$2)," ")</f>
        <v>6</v>
      </c>
      <c r="I17" s="6" t="n">
        <f aca="false">IF((G17&lt;&gt;0),G17-H17," ")</f>
        <v>30</v>
      </c>
      <c r="J17" s="5"/>
      <c r="M17" s="7" t="n">
        <f aca="false">IF(G17&lt;&gt;0,G17-L17," ")</f>
        <v>36</v>
      </c>
      <c r="N17" s="8" t="n">
        <f aca="false">IF((G17-L17)&lt;&gt;0,N$1-A17," ")</f>
        <v>112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n">
        <f aca="false">IF((F17="y"),I17," ")</f>
        <v>30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85</v>
      </c>
    </row>
    <row r="18" customFormat="false" ht="12" hidden="false" customHeight="false" outlineLevel="0" collapsed="false">
      <c r="A18" s="27" t="n">
        <v>46183</v>
      </c>
      <c r="B18" s="2" t="s">
        <v>161</v>
      </c>
      <c r="E18" s="2" t="s">
        <v>162</v>
      </c>
      <c r="F18" s="2" t="s">
        <v>65</v>
      </c>
      <c r="G18" s="29" t="n">
        <v>96</v>
      </c>
      <c r="H18" s="6" t="n">
        <f aca="false">IF(G18&lt;&gt;0,G18*H$2/(100+H$2)," ")</f>
        <v>16</v>
      </c>
      <c r="I18" s="6" t="n">
        <f aca="false">IF((G18&lt;&gt;0),G18-H18," ")</f>
        <v>80</v>
      </c>
      <c r="J18" s="5"/>
      <c r="M18" s="7" t="n">
        <f aca="false">IF(G18&lt;&gt;0,G18-L18," ")</f>
        <v>96</v>
      </c>
      <c r="N18" s="8" t="n">
        <f aca="false">IF((G18-L18)&lt;&gt;0,N$1-A18," ")</f>
        <v>112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n">
        <f aca="false">IF((F18="g"),I18," ")</f>
        <v>80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66</v>
      </c>
    </row>
    <row r="19" customFormat="false" ht="12" hidden="false" customHeight="false" outlineLevel="0" collapsed="false">
      <c r="A19" s="27" t="n">
        <v>46185</v>
      </c>
      <c r="B19" s="2" t="s">
        <v>106</v>
      </c>
      <c r="E19" s="2" t="s">
        <v>107</v>
      </c>
      <c r="F19" s="2" t="s">
        <v>24</v>
      </c>
      <c r="G19" s="29" t="n">
        <v>18</v>
      </c>
      <c r="H19" s="6" t="n">
        <f aca="false">IF(G19&lt;&gt;0,G19*H$2/(100+H$2)," ")</f>
        <v>3</v>
      </c>
      <c r="I19" s="6" t="n">
        <f aca="false">IF((G19&lt;&gt;0),G19-H19," ")</f>
        <v>15</v>
      </c>
      <c r="J19" s="5"/>
      <c r="M19" s="7" t="n">
        <f aca="false">IF(G19&lt;&gt;0,G19-L19," ")</f>
        <v>18</v>
      </c>
      <c r="N19" s="8" t="n">
        <f aca="false">IF((G19-L19)&lt;&gt;0,N$1-A19," ")</f>
        <v>110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n">
        <f aca="false">IF((F19="v"),I19," ")</f>
        <v>15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90</v>
      </c>
    </row>
    <row r="20" customFormat="false" ht="12" hidden="false" customHeight="false" outlineLevel="0" collapsed="false">
      <c r="A20" s="27" t="n">
        <v>46187</v>
      </c>
      <c r="B20" s="2" t="s">
        <v>108</v>
      </c>
      <c r="E20" s="2" t="s">
        <v>109</v>
      </c>
      <c r="F20" s="2" t="s">
        <v>75</v>
      </c>
      <c r="G20" s="29" t="n">
        <v>30</v>
      </c>
      <c r="H20" s="6" t="n">
        <f aca="false">IF(G20&lt;&gt;0,G20*H$2/(100+H$2)," ")</f>
        <v>5</v>
      </c>
      <c r="I20" s="6" t="n">
        <f aca="false">IF((G20&lt;&gt;0),G20-H20," ")</f>
        <v>25</v>
      </c>
      <c r="J20" s="5"/>
      <c r="M20" s="7" t="n">
        <f aca="false">IF(G20&lt;&gt;0,G20-L20," ")</f>
        <v>30</v>
      </c>
      <c r="N20" s="8" t="n">
        <f aca="false">IF((G20-L20)&lt;&gt;0,N$1-A20," ")</f>
        <v>108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n">
        <f aca="false">IF((F20="y"),I20," ")</f>
        <v>25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85</v>
      </c>
    </row>
    <row r="21" customFormat="false" ht="12" hidden="false" customHeight="false" outlineLevel="0" collapsed="false">
      <c r="A21" s="27" t="n">
        <v>46187</v>
      </c>
      <c r="B21" s="2" t="s">
        <v>110</v>
      </c>
      <c r="E21" s="2" t="s">
        <v>111</v>
      </c>
      <c r="F21" s="2" t="s">
        <v>95</v>
      </c>
      <c r="G21" s="29" t="n">
        <v>24</v>
      </c>
      <c r="H21" s="6" t="n">
        <f aca="false">IF(G21&lt;&gt;0,G21*H$2/(100+H$2)," ")</f>
        <v>4</v>
      </c>
      <c r="I21" s="6" t="n">
        <f aca="false">IF((G21&lt;&gt;0),G21-H21," ")</f>
        <v>20</v>
      </c>
      <c r="J21" s="5"/>
      <c r="M21" s="7" t="n">
        <f aca="false">IF(G21&lt;&gt;0,G21-L21," ")</f>
        <v>24</v>
      </c>
      <c r="N21" s="8" t="n">
        <f aca="false">IF((G21-L21)&lt;&gt;0,N$1-A21," ")</f>
        <v>108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n">
        <f aca="false">IF((F21="h"),I21," ")</f>
        <v>20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96</v>
      </c>
    </row>
    <row r="22" customFormat="false" ht="12" hidden="false" customHeight="false" outlineLevel="0" collapsed="false">
      <c r="A22" s="27" t="n">
        <v>46187</v>
      </c>
      <c r="B22" s="2" t="s">
        <v>112</v>
      </c>
      <c r="E22" s="2" t="s">
        <v>113</v>
      </c>
      <c r="F22" s="2" t="s">
        <v>95</v>
      </c>
      <c r="G22" s="29" t="n">
        <v>12</v>
      </c>
      <c r="H22" s="6" t="n">
        <f aca="false">IF(G22&lt;&gt;0,G22*H$2/(100+H$2)," ")</f>
        <v>2</v>
      </c>
      <c r="I22" s="6" t="n">
        <f aca="false">IF((G22&lt;&gt;0),G22-H22," ")</f>
        <v>10</v>
      </c>
      <c r="J22" s="5"/>
      <c r="M22" s="7" t="n">
        <f aca="false">IF(G22&lt;&gt;0,G22-L22," ")</f>
        <v>12</v>
      </c>
      <c r="N22" s="8" t="n">
        <f aca="false">IF((G22-L22)&lt;&gt;0,N$1-A22," ")</f>
        <v>108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n">
        <f aca="false">IF((F22="h"),I22," ")</f>
        <v>10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96</v>
      </c>
    </row>
    <row r="23" customFormat="false" ht="12" hidden="false" customHeight="false" outlineLevel="0" collapsed="false">
      <c r="A23" s="27" t="n">
        <v>46188</v>
      </c>
      <c r="B23" s="2" t="s">
        <v>19</v>
      </c>
      <c r="E23" s="2" t="s">
        <v>89</v>
      </c>
      <c r="F23" s="2" t="s">
        <v>24</v>
      </c>
      <c r="G23" s="29" t="n">
        <v>150</v>
      </c>
      <c r="H23" s="6" t="n">
        <f aca="false">IF(G23&lt;&gt;0,G23*H$2/(100+H$2)," ")</f>
        <v>25</v>
      </c>
      <c r="I23" s="6" t="n">
        <f aca="false">IF((G23&lt;&gt;0),G23-H23," ")</f>
        <v>125</v>
      </c>
      <c r="J23" s="5"/>
      <c r="M23" s="7" t="n">
        <f aca="false">IF(G23&lt;&gt;0,G23-L23," ")</f>
        <v>150</v>
      </c>
      <c r="N23" s="8" t="n">
        <f aca="false">IF((G23-L23)&lt;&gt;0,N$1-A23," ")</f>
        <v>107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n">
        <f aca="false">IF((F23="v"),I23," ")</f>
        <v>125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90</v>
      </c>
    </row>
    <row r="24" customFormat="false" ht="12" hidden="false" customHeight="false" outlineLevel="0" collapsed="false">
      <c r="A24" s="27" t="n">
        <v>46188</v>
      </c>
      <c r="B24" s="2" t="s">
        <v>114</v>
      </c>
      <c r="E24" s="2" t="s">
        <v>115</v>
      </c>
      <c r="F24" s="2" t="s">
        <v>65</v>
      </c>
      <c r="G24" s="29" t="n">
        <v>12</v>
      </c>
      <c r="H24" s="6" t="n">
        <f aca="false">IF(G24&lt;&gt;0,G24*H$2/(100+H$2)," ")</f>
        <v>2</v>
      </c>
      <c r="I24" s="6" t="n">
        <f aca="false">IF((G24&lt;&gt;0),G24-H24," ")</f>
        <v>10</v>
      </c>
      <c r="J24" s="5"/>
      <c r="M24" s="7" t="n">
        <f aca="false">IF(G24&lt;&gt;0,G24-L24," ")</f>
        <v>12</v>
      </c>
      <c r="N24" s="8" t="n">
        <f aca="false">IF((G24-L24)&lt;&gt;0,N$1-A24," ")</f>
        <v>107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n">
        <f aca="false">IF((F24="g"),I24," ")</f>
        <v>10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66</v>
      </c>
    </row>
    <row r="25" customFormat="false" ht="12" hidden="false" customHeight="false" outlineLevel="0" collapsed="false">
      <c r="A25" s="27" t="n">
        <v>46188</v>
      </c>
      <c r="B25" s="2" t="s">
        <v>163</v>
      </c>
      <c r="C25" s="3" t="s">
        <v>164</v>
      </c>
      <c r="E25" s="2" t="s">
        <v>165</v>
      </c>
      <c r="F25" s="2" t="s">
        <v>166</v>
      </c>
      <c r="G25" s="29" t="n">
        <v>5000</v>
      </c>
      <c r="H25" s="6" t="n">
        <f aca="false">IF(G25&lt;&gt;0,G25*H$2/(100+H$2)," ")</f>
        <v>833.333333333333</v>
      </c>
      <c r="I25" s="6" t="n">
        <f aca="false">IF((G25&lt;&gt;0),G25-H25," ")</f>
        <v>4166.66666666667</v>
      </c>
      <c r="J25" s="5"/>
      <c r="M25" s="7" t="n">
        <f aca="false">IF(G25&lt;&gt;0,G25-L25," ")</f>
        <v>5000</v>
      </c>
      <c r="N25" s="8" t="n">
        <f aca="false">IF((G25-L25)&lt;&gt;0,N$1-A25," ")</f>
        <v>107</v>
      </c>
      <c r="O25" s="5"/>
      <c r="P25" s="19" t="str">
        <f aca="false">IF((F25="s"),I25," ")</f>
        <v> </v>
      </c>
      <c r="Q25" s="19" t="n">
        <f aca="false">IF((F25="c"),I25," ")</f>
        <v>4166.66666666667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AD25" s="19" t="n">
        <v>1000</v>
      </c>
      <c r="BZ25" s="2" t="s">
        <v>167</v>
      </c>
    </row>
    <row r="26" customFormat="false" ht="12" hidden="false" customHeight="false" outlineLevel="0" collapsed="false">
      <c r="A26" s="27" t="n">
        <v>46191</v>
      </c>
      <c r="B26" s="2" t="s">
        <v>168</v>
      </c>
      <c r="E26" s="2" t="s">
        <v>169</v>
      </c>
      <c r="F26" s="2" t="s">
        <v>95</v>
      </c>
      <c r="G26" s="29" t="n">
        <v>180</v>
      </c>
      <c r="H26" s="6" t="n">
        <f aca="false">IF(G26&lt;&gt;0,G26*H$2/(100+H$2)," ")</f>
        <v>30</v>
      </c>
      <c r="I26" s="6" t="n">
        <f aca="false">IF((G26&lt;&gt;0),G26-H26," ")</f>
        <v>150</v>
      </c>
      <c r="J26" s="5"/>
      <c r="M26" s="7" t="n">
        <f aca="false">IF(G26&lt;&gt;0,G26-L26," ")</f>
        <v>180</v>
      </c>
      <c r="N26" s="8" t="n">
        <f aca="false">IF((G26-L26)&lt;&gt;0,N$1-A26," ")</f>
        <v>104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n">
        <f aca="false">IF((F26="h"),I26," ")</f>
        <v>150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96</v>
      </c>
    </row>
    <row r="27" customFormat="false" ht="12" hidden="false" customHeight="false" outlineLevel="0" collapsed="false">
      <c r="A27" s="27" t="n">
        <v>46191</v>
      </c>
      <c r="B27" s="2" t="s">
        <v>170</v>
      </c>
      <c r="E27" s="2" t="s">
        <v>171</v>
      </c>
      <c r="F27" s="2" t="s">
        <v>104</v>
      </c>
      <c r="G27" s="29" t="n">
        <v>360</v>
      </c>
      <c r="H27" s="6" t="n">
        <f aca="false">IF(G27&lt;&gt;0,G27*H$2/(100+H$2)," ")</f>
        <v>60</v>
      </c>
      <c r="I27" s="6" t="n">
        <f aca="false">IF((G27&lt;&gt;0),G27-H27," ")</f>
        <v>300</v>
      </c>
      <c r="J27" s="5"/>
      <c r="M27" s="7" t="n">
        <f aca="false">IF(G27&lt;&gt;0,G27-L27," ")</f>
        <v>360</v>
      </c>
      <c r="N27" s="8" t="n">
        <f aca="false">IF((G27-L27)&lt;&gt;0,N$1-A27," ")</f>
        <v>104</v>
      </c>
      <c r="O27" s="5"/>
      <c r="P27" s="19" t="n">
        <f aca="false">IF((F27="s"),I27," ")</f>
        <v>300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105</v>
      </c>
    </row>
    <row r="28" customFormat="false" ht="12" hidden="false" customHeight="false" outlineLevel="0" collapsed="false">
      <c r="A28" s="27" t="n">
        <v>46191</v>
      </c>
      <c r="B28" s="2" t="s">
        <v>116</v>
      </c>
      <c r="E28" s="2" t="s">
        <v>89</v>
      </c>
      <c r="F28" s="2" t="s">
        <v>24</v>
      </c>
      <c r="G28" s="29" t="n">
        <v>96</v>
      </c>
      <c r="H28" s="6" t="n">
        <f aca="false">IF(G28&lt;&gt;0,G28*H$2/(100+H$2)," ")</f>
        <v>16</v>
      </c>
      <c r="I28" s="6" t="n">
        <f aca="false">IF((G28&lt;&gt;0),G28-H28," ")</f>
        <v>80</v>
      </c>
      <c r="J28" s="5"/>
      <c r="M28" s="7" t="n">
        <f aca="false">IF(G28&lt;&gt;0,G28-L28," ")</f>
        <v>96</v>
      </c>
      <c r="N28" s="8" t="n">
        <f aca="false">IF((G28-L28)&lt;&gt;0,N$1-A28," ")</f>
        <v>104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n">
        <f aca="false">IF((F28="v"),I28," ")</f>
        <v>80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90</v>
      </c>
    </row>
    <row r="29" customFormat="false" ht="12" hidden="false" customHeight="false" outlineLevel="0" collapsed="false">
      <c r="A29" s="27" t="n">
        <v>46193</v>
      </c>
      <c r="B29" s="2" t="s">
        <v>117</v>
      </c>
      <c r="E29" s="2" t="s">
        <v>118</v>
      </c>
      <c r="F29" s="2" t="s">
        <v>65</v>
      </c>
      <c r="G29" s="29" t="n">
        <v>60</v>
      </c>
      <c r="H29" s="6" t="n">
        <f aca="false">IF(G29&lt;&gt;0,G29*H$2/(100+H$2)," ")</f>
        <v>10</v>
      </c>
      <c r="I29" s="6" t="n">
        <f aca="false">IF((G29&lt;&gt;0),G29-H29," ")</f>
        <v>50</v>
      </c>
      <c r="J29" s="5"/>
      <c r="M29" s="7" t="n">
        <f aca="false">IF(G29&lt;&gt;0,G29-L29," ")</f>
        <v>60</v>
      </c>
      <c r="N29" s="8" t="n">
        <f aca="false">IF((G29-L29)&lt;&gt;0,N$1-A29," ")</f>
        <v>102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n">
        <f aca="false">IF((F29="g"),I29," ")</f>
        <v>50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66</v>
      </c>
    </row>
    <row r="30" customFormat="false" ht="12" hidden="false" customHeight="false" outlineLevel="0" collapsed="false">
      <c r="A30" s="27" t="n">
        <v>46194</v>
      </c>
      <c r="B30" s="2" t="s">
        <v>123</v>
      </c>
      <c r="E30" s="2" t="s">
        <v>124</v>
      </c>
      <c r="F30" s="2" t="s">
        <v>95</v>
      </c>
      <c r="G30" s="29" t="n">
        <v>8</v>
      </c>
      <c r="H30" s="6" t="n">
        <f aca="false">IF(G30&lt;&gt;0,G30*H$2/(100+H$2)," ")</f>
        <v>1.33333333333333</v>
      </c>
      <c r="I30" s="6" t="n">
        <f aca="false">IF((G30&lt;&gt;0),G30-H30," ")</f>
        <v>6.66666666666667</v>
      </c>
      <c r="J30" s="5"/>
      <c r="M30" s="7" t="n">
        <f aca="false">IF(G30&lt;&gt;0,G30-L30," ")</f>
        <v>8</v>
      </c>
      <c r="N30" s="8" t="n">
        <f aca="false">IF((G30-L30)&lt;&gt;0,N$1-A30," ")</f>
        <v>101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n">
        <f aca="false">IF((F30="h"),I30," ")</f>
        <v>6.66666666666667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96</v>
      </c>
    </row>
    <row r="31" customFormat="false" ht="12" hidden="false" customHeight="false" outlineLevel="0" collapsed="false">
      <c r="A31" s="27" t="n">
        <v>46195</v>
      </c>
      <c r="B31" s="2" t="s">
        <v>125</v>
      </c>
      <c r="E31" s="2" t="s">
        <v>126</v>
      </c>
      <c r="F31" s="2" t="s">
        <v>75</v>
      </c>
      <c r="G31" s="29" t="n">
        <v>18</v>
      </c>
      <c r="H31" s="6" t="n">
        <f aca="false">IF(G31&lt;&gt;0,G31*H$2/(100+H$2)," ")</f>
        <v>3</v>
      </c>
      <c r="I31" s="6" t="n">
        <f aca="false">IF((G31&lt;&gt;0),G31-H31," ")</f>
        <v>15</v>
      </c>
      <c r="J31" s="5"/>
      <c r="M31" s="7" t="n">
        <f aca="false">IF(G31&lt;&gt;0,G31-L31," ")</f>
        <v>18</v>
      </c>
      <c r="N31" s="8" t="n">
        <f aca="false">IF((G31-L31)&lt;&gt;0,N$1-A31," ")</f>
        <v>100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n">
        <f aca="false">IF((F31="y"),I31," ")</f>
        <v>15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85</v>
      </c>
    </row>
    <row r="32" customFormat="false" ht="12" hidden="false" customHeight="false" outlineLevel="0" collapsed="false">
      <c r="A32" s="27" t="n">
        <v>46198</v>
      </c>
      <c r="B32" s="2" t="s">
        <v>172</v>
      </c>
      <c r="E32" s="2" t="s">
        <v>173</v>
      </c>
      <c r="F32" s="2" t="s">
        <v>61</v>
      </c>
      <c r="G32" s="29" t="n">
        <v>360</v>
      </c>
      <c r="H32" s="6" t="n">
        <f aca="false">IF(G32&lt;&gt;0,G32*H$2/(100+H$2)," ")</f>
        <v>60</v>
      </c>
      <c r="I32" s="6" t="n">
        <f aca="false">IF((G32&lt;&gt;0),G32-H32," ")</f>
        <v>300</v>
      </c>
      <c r="J32" s="5"/>
      <c r="M32" s="7" t="n">
        <f aca="false">IF(G32&lt;&gt;0,G32-L32," ")</f>
        <v>360</v>
      </c>
      <c r="N32" s="8" t="n">
        <f aca="false">IF((G32-L32)&lt;&gt;0,N$1-A32," ")</f>
        <v>97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n">
        <f aca="false">IF((F32="p"),I32," ")</f>
        <v>300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174</v>
      </c>
    </row>
    <row r="33" customFormat="false" ht="12" hidden="false" customHeight="false" outlineLevel="0" collapsed="false">
      <c r="A33" s="27" t="n">
        <v>46198</v>
      </c>
      <c r="B33" s="2" t="s">
        <v>127</v>
      </c>
      <c r="E33" s="2" t="s">
        <v>128</v>
      </c>
      <c r="F33" s="2" t="s">
        <v>75</v>
      </c>
      <c r="G33" s="29" t="n">
        <v>15</v>
      </c>
      <c r="H33" s="6" t="n">
        <f aca="false">IF(G33&lt;&gt;0,G33*H$2/(100+H$2)," ")</f>
        <v>2.5</v>
      </c>
      <c r="I33" s="6" t="n">
        <f aca="false">IF((G33&lt;&gt;0),G33-H33," ")</f>
        <v>12.5</v>
      </c>
      <c r="J33" s="5"/>
      <c r="M33" s="7" t="n">
        <f aca="false">IF(G33&lt;&gt;0,G33-L33," ")</f>
        <v>15</v>
      </c>
      <c r="N33" s="8" t="n">
        <f aca="false">IF((G33-L33)&lt;&gt;0,N$1-A33," ")</f>
        <v>97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n">
        <f aca="false">IF((F33="y"),I33," ")</f>
        <v>12.5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85</v>
      </c>
    </row>
    <row r="34" customFormat="false" ht="12" hidden="false" customHeight="false" outlineLevel="0" collapsed="false">
      <c r="A34" s="27" t="n">
        <v>46198</v>
      </c>
      <c r="B34" s="2" t="s">
        <v>129</v>
      </c>
      <c r="D34" s="4" t="n">
        <v>200</v>
      </c>
      <c r="E34" s="2" t="s">
        <v>175</v>
      </c>
      <c r="F34" s="2" t="s">
        <v>24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90</v>
      </c>
    </row>
    <row r="35" customFormat="false" ht="12" hidden="false" customHeight="false" outlineLevel="0" collapsed="false">
      <c r="A35" s="27" t="n">
        <v>46201</v>
      </c>
      <c r="B35" s="2" t="s">
        <v>19</v>
      </c>
      <c r="E35" s="2" t="s">
        <v>131</v>
      </c>
      <c r="F35" s="2" t="s">
        <v>24</v>
      </c>
      <c r="G35" s="29" t="n">
        <v>120</v>
      </c>
      <c r="H35" s="6" t="n">
        <f aca="false">IF(G35&lt;&gt;0,G35*H$2/(100+H$2)," ")</f>
        <v>20</v>
      </c>
      <c r="I35" s="6" t="n">
        <f aca="false">IF((G35&lt;&gt;0),G35-H35," ")</f>
        <v>100</v>
      </c>
      <c r="J35" s="5"/>
      <c r="M35" s="7" t="n">
        <f aca="false">IF(G35&lt;&gt;0,G35-L35," ")</f>
        <v>120</v>
      </c>
      <c r="N35" s="8" t="n">
        <f aca="false">IF((G35-L35)&lt;&gt;0,N$1-A35," ")</f>
        <v>94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n">
        <f aca="false">IF((F35="v"),I35," ")</f>
        <v>100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90</v>
      </c>
    </row>
    <row r="36" customFormat="false" ht="12" hidden="false" customHeight="false" outlineLevel="0" collapsed="false">
      <c r="A36" s="27" t="n">
        <v>46203</v>
      </c>
      <c r="B36" s="2" t="s">
        <v>15</v>
      </c>
      <c r="E36" s="2" t="s">
        <v>132</v>
      </c>
      <c r="F36" s="2" t="s">
        <v>133</v>
      </c>
      <c r="G36" s="29" t="n">
        <v>300</v>
      </c>
      <c r="H36" s="6" t="n">
        <f aca="false">IF(G36&lt;&gt;0,G36*H$2/(100+H$2)," ")</f>
        <v>50</v>
      </c>
      <c r="I36" s="6" t="n">
        <f aca="false">IF((G36&lt;&gt;0),G36-H36," ")</f>
        <v>250</v>
      </c>
      <c r="J36" s="5"/>
      <c r="M36" s="7" t="n">
        <f aca="false">IF(G36&lt;&gt;0,G36-L36," ")</f>
        <v>300</v>
      </c>
      <c r="N36" s="8" t="n">
        <f aca="false">IF((G36-L36)&lt;&gt;0,N$1-A36," ")</f>
        <v>92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n">
        <f aca="false">IF((F36="l"),I36," ")</f>
        <v>250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  <c r="BZ36" s="2" t="s">
        <v>134</v>
      </c>
    </row>
    <row r="37" customFormat="false" ht="12" hidden="false" customHeight="false" outlineLevel="0" collapsed="false">
      <c r="A37" s="27" t="n">
        <v>46203</v>
      </c>
      <c r="B37" s="2" t="s">
        <v>176</v>
      </c>
      <c r="C37" s="3" t="s">
        <v>177</v>
      </c>
      <c r="E37" s="2" t="s">
        <v>178</v>
      </c>
      <c r="F37" s="2" t="s">
        <v>133</v>
      </c>
      <c r="G37" s="29" t="n">
        <v>250</v>
      </c>
      <c r="H37" s="6" t="n">
        <f aca="false">IF(G37&lt;&gt;0,G37*H$2/(100+H$2)," ")</f>
        <v>41.6666666666667</v>
      </c>
      <c r="I37" s="6" t="n">
        <f aca="false">IF((G37&lt;&gt;0),G37-H37," ")</f>
        <v>208.333333333333</v>
      </c>
      <c r="J37" s="5"/>
      <c r="M37" s="7" t="n">
        <f aca="false">IF(G37&lt;&gt;0,G37-L37," ")</f>
        <v>250</v>
      </c>
      <c r="N37" s="8" t="n">
        <f aca="false">IF((G37-L37)&lt;&gt;0,N$1-A37," ")</f>
        <v>92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n">
        <f aca="false">IF((F37="l"),I37," ")</f>
        <v>208.333333333333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  <c r="BZ37" s="2" t="s">
        <v>179</v>
      </c>
    </row>
    <row r="38" customFormat="false" ht="12" hidden="false" customHeight="false" outlineLevel="0" collapsed="false">
      <c r="A38" s="27" t="n">
        <v>46174</v>
      </c>
      <c r="B38" s="2" t="s">
        <v>180</v>
      </c>
      <c r="C38" s="3" t="s">
        <v>181</v>
      </c>
      <c r="E38" s="2" t="s">
        <v>182</v>
      </c>
      <c r="F38" s="2" t="s">
        <v>149</v>
      </c>
      <c r="G38" s="29" t="n">
        <v>15600</v>
      </c>
      <c r="H38" s="6" t="n">
        <f aca="false">IF(G38&lt;&gt;0,G38*H$2/(100+H$2)," ")</f>
        <v>2600</v>
      </c>
      <c r="I38" s="6" t="n">
        <f aca="false">IF((G38&lt;&gt;0),G38-H38," ")</f>
        <v>13000</v>
      </c>
      <c r="J38" s="5"/>
      <c r="M38" s="7" t="n">
        <f aca="false">IF(G38&lt;&gt;0,G38-L38," ")</f>
        <v>15600</v>
      </c>
      <c r="N38" s="8" t="n">
        <f aca="false">IF((G38-L38)&lt;&gt;0,N$1-A38," ")</f>
        <v>121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n">
        <f aca="false">IF((F38="fa"),I38," ")</f>
        <v>13000</v>
      </c>
      <c r="AC38" s="19" t="str">
        <f aca="false">IF((F38="e"),I38," ")</f>
        <v> </v>
      </c>
      <c r="BZ38" s="2" t="s">
        <v>150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45</v>
      </c>
      <c r="E1" s="13" t="s">
        <v>3</v>
      </c>
      <c r="F1" s="14"/>
      <c r="G1" s="13" t="n">
        <f aca="false">SUM(G2:G300)</f>
        <v>9063.75</v>
      </c>
      <c r="H1" s="13" t="n">
        <f aca="false">SUM(H5:H200)</f>
        <v>1506.5</v>
      </c>
      <c r="I1" s="13" t="n">
        <f aca="false">SUM(I2:I200)</f>
        <v>7557.25</v>
      </c>
      <c r="J1" s="15"/>
      <c r="K1" s="16" t="s">
        <v>4</v>
      </c>
      <c r="L1" s="17" t="n">
        <f aca="false">SUM(L5:L300)</f>
        <v>0</v>
      </c>
      <c r="M1" s="17" t="n">
        <f aca="false">SUM(M5:M200)</f>
        <v>9039</v>
      </c>
      <c r="N1" s="18" t="n">
        <f aca="true">TODAY()</f>
        <v>46295</v>
      </c>
      <c r="O1" s="15"/>
      <c r="P1" s="13" t="n">
        <f aca="false">SUM(P5:P300)</f>
        <v>600</v>
      </c>
      <c r="Q1" s="13" t="n">
        <f aca="false">SUM(Q5:Q300)</f>
        <v>0</v>
      </c>
      <c r="R1" s="13" t="n">
        <f aca="false">SUM(R5:R300)</f>
        <v>607.5</v>
      </c>
      <c r="S1" s="13" t="n">
        <f aca="false">SUM(S5:S300)</f>
        <v>0</v>
      </c>
      <c r="T1" s="13" t="n">
        <f aca="false">SUM(T5:T300)</f>
        <v>1000</v>
      </c>
      <c r="U1" s="13" t="n">
        <f aca="false">SUM(U5:U300)</f>
        <v>150</v>
      </c>
      <c r="V1" s="13" t="n">
        <f aca="false">SUM(V5:V300)</f>
        <v>382.5</v>
      </c>
      <c r="W1" s="13" t="n">
        <f aca="false">SUM(W2:W300)</f>
        <v>494.75</v>
      </c>
      <c r="X1" s="13" t="n">
        <f aca="false">SUM(X5:X300)</f>
        <v>76.6666666666667</v>
      </c>
      <c r="Y1" s="13" t="n">
        <f aca="false">SUM(Y5:Y300)</f>
        <v>400</v>
      </c>
      <c r="Z1" s="13" t="n">
        <f aca="false">SUM(Z5:Z300)</f>
        <v>2750</v>
      </c>
      <c r="AA1" s="13" t="n">
        <f aca="false">SUM(AA5:AA300)</f>
        <v>95.8333333333333</v>
      </c>
      <c r="AB1" s="13" t="n">
        <f aca="false">SUM(AB5:AB300)</f>
        <v>1000</v>
      </c>
      <c r="AC1" s="41" t="n">
        <f aca="false">SUM(AC5:AC300)</f>
        <v>0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G2+Jun!A2</f>
        <v>247.5</v>
      </c>
      <c r="B2" s="44" t="s">
        <v>22</v>
      </c>
      <c r="C2" s="43" t="n">
        <f aca="false">Jun!C2+D1+[1]Jul!$D$1</f>
        <v>450</v>
      </c>
      <c r="D2" s="45" t="s">
        <v>23</v>
      </c>
      <c r="E2" s="20" t="s">
        <v>5</v>
      </c>
      <c r="F2" s="44" t="str">
        <f aca="false">Jun!F2</f>
        <v>v</v>
      </c>
      <c r="G2" s="46" t="n">
        <f aca="false">IF(C2&lt;[2]Admin!$F$22,(C2-Jun!C2)*[2]Admin!$G$21,C2*[2]Admin!$G$21-(C2-[2]Admin!$F$21)*([2]Admin!$G$21-[2]Admin!$G$22)-Jun!A2)</f>
        <v>24.75</v>
      </c>
      <c r="H2" s="21" t="n">
        <f aca="false">IF([1]Jul!$H$4&gt;0,0,[1]Jul!$H$2)</f>
        <v>20</v>
      </c>
      <c r="I2" s="47" t="n">
        <f aca="false">G2</f>
        <v>24.75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24.75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AB1+Jun!AB2</f>
        <v>15500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46204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91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46204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91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46204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91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46204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91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46204</v>
      </c>
      <c r="B9" s="2" t="s">
        <v>183</v>
      </c>
      <c r="E9" s="2" t="s">
        <v>184</v>
      </c>
      <c r="F9" s="2" t="s">
        <v>133</v>
      </c>
      <c r="G9" s="29" t="n">
        <v>3000</v>
      </c>
      <c r="H9" s="6" t="n">
        <f aca="false">IF(G9&lt;&gt;0,G9*H$2/(100+H$2)," ")</f>
        <v>500</v>
      </c>
      <c r="I9" s="6" t="n">
        <f aca="false">IF((G9&lt;&gt;0),G9-H9," ")</f>
        <v>2500</v>
      </c>
      <c r="J9" s="5"/>
      <c r="M9" s="7" t="n">
        <f aca="false">IF(G9&lt;&gt;0,G9-L9," ")</f>
        <v>3000</v>
      </c>
      <c r="N9" s="8" t="n">
        <f aca="false">IF((G9-L9)&lt;&gt;0,N$1-A9," ")</f>
        <v>91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n">
        <f aca="false">IF((F9="l"),I9," ")</f>
        <v>2500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185</v>
      </c>
    </row>
    <row r="10" customFormat="false" ht="12" hidden="false" customHeight="false" outlineLevel="0" collapsed="false">
      <c r="A10" s="27" t="n">
        <v>46204</v>
      </c>
      <c r="B10" s="2" t="s">
        <v>77</v>
      </c>
      <c r="E10" s="2" t="s">
        <v>78</v>
      </c>
      <c r="F10" s="2" t="s">
        <v>71</v>
      </c>
      <c r="G10" s="29" t="n">
        <v>24</v>
      </c>
      <c r="H10" s="6" t="n">
        <f aca="false">IF(G10&lt;&gt;0,G10*H$2/(100+H$2)," ")</f>
        <v>4</v>
      </c>
      <c r="I10" s="6" t="n">
        <f aca="false">IF((G10&lt;&gt;0),G10-H10," ")</f>
        <v>20</v>
      </c>
      <c r="J10" s="5"/>
      <c r="M10" s="7" t="n">
        <f aca="false">IF(G10&lt;&gt;0,G10-L10," ")</f>
        <v>24</v>
      </c>
      <c r="N10" s="8" t="n">
        <f aca="false">IF((G10-L10)&lt;&gt;0,N$1-A10," ")</f>
        <v>91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n">
        <f aca="false">IF((F10="o"),I10," ")</f>
        <v>20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72</v>
      </c>
    </row>
    <row r="11" customFormat="false" ht="12" hidden="false" customHeight="false" outlineLevel="0" collapsed="false">
      <c r="A11" s="27" t="n">
        <v>46204</v>
      </c>
      <c r="B11" s="2" t="s">
        <v>79</v>
      </c>
      <c r="E11" s="2" t="s">
        <v>80</v>
      </c>
      <c r="F11" s="2" t="s">
        <v>65</v>
      </c>
      <c r="G11" s="29" t="n">
        <v>18</v>
      </c>
      <c r="H11" s="6" t="n">
        <f aca="false">IF(G11&lt;&gt;0,G11*H$2/(100+H$2)," ")</f>
        <v>3</v>
      </c>
      <c r="I11" s="6" t="n">
        <f aca="false">IF((G11&lt;&gt;0),G11-H11," ")</f>
        <v>15</v>
      </c>
      <c r="J11" s="5"/>
      <c r="M11" s="7" t="n">
        <f aca="false">IF(G11&lt;&gt;0,G11-L11," ")</f>
        <v>18</v>
      </c>
      <c r="N11" s="8" t="n">
        <f aca="false">IF((G11-L11)&lt;&gt;0,N$1-A11," ")</f>
        <v>91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n">
        <f aca="false">IF((F11="g"),I11," ")</f>
        <v>15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66</v>
      </c>
    </row>
    <row r="12" customFormat="false" ht="12" hidden="false" customHeight="false" outlineLevel="0" collapsed="false">
      <c r="A12" s="27" t="n">
        <v>46206</v>
      </c>
      <c r="B12" s="2" t="s">
        <v>81</v>
      </c>
      <c r="E12" s="2" t="s">
        <v>82</v>
      </c>
      <c r="F12" s="2" t="s">
        <v>71</v>
      </c>
      <c r="G12" s="29" t="n">
        <v>180</v>
      </c>
      <c r="H12" s="6" t="n">
        <f aca="false">IF(G12&lt;&gt;0,G12*H$2/(100+H$2)," ")</f>
        <v>30</v>
      </c>
      <c r="I12" s="6" t="n">
        <f aca="false">IF((G12&lt;&gt;0),G12-H12," ")</f>
        <v>150</v>
      </c>
      <c r="J12" s="5"/>
      <c r="M12" s="7" t="n">
        <f aca="false">IF(G12&lt;&gt;0,G12-L12," ")</f>
        <v>180</v>
      </c>
      <c r="N12" s="8" t="n">
        <f aca="false">IF((G12-L12)&lt;&gt;0,N$1-A12," ")</f>
        <v>89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n">
        <f aca="false">IF((F12="o"),I12," ")</f>
        <v>150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72</v>
      </c>
    </row>
    <row r="13" customFormat="false" ht="12" hidden="false" customHeight="false" outlineLevel="0" collapsed="false">
      <c r="A13" s="27" t="n">
        <v>46206</v>
      </c>
      <c r="B13" s="2" t="s">
        <v>83</v>
      </c>
      <c r="E13" s="2" t="s">
        <v>84</v>
      </c>
      <c r="F13" s="2" t="s">
        <v>75</v>
      </c>
      <c r="G13" s="29" t="n">
        <v>22</v>
      </c>
      <c r="H13" s="6" t="n">
        <f aca="false">IF(G13&lt;&gt;0,G13*H$2/(100+H$2)," ")</f>
        <v>3.66666666666667</v>
      </c>
      <c r="I13" s="6" t="n">
        <f aca="false">IF((G13&lt;&gt;0),G13-H13," ")</f>
        <v>18.3333333333333</v>
      </c>
      <c r="J13" s="5"/>
      <c r="M13" s="7" t="n">
        <f aca="false">IF(G13&lt;&gt;0,G13-L13," ")</f>
        <v>22</v>
      </c>
      <c r="N13" s="8" t="n">
        <f aca="false">IF((G13-L13)&lt;&gt;0,N$1-A13," ")</f>
        <v>89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18.3333333333333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46208</v>
      </c>
      <c r="B14" s="2" t="s">
        <v>86</v>
      </c>
      <c r="E14" s="2" t="s">
        <v>87</v>
      </c>
      <c r="F14" s="2" t="s">
        <v>75</v>
      </c>
      <c r="G14" s="29" t="n">
        <v>24</v>
      </c>
      <c r="H14" s="6" t="n">
        <f aca="false">IF(G14&lt;&gt;0,G14*H$2/(100+H$2)," ")</f>
        <v>4</v>
      </c>
      <c r="I14" s="6" t="n">
        <f aca="false">IF((G14&lt;&gt;0),G14-H14," ")</f>
        <v>20</v>
      </c>
      <c r="J14" s="5"/>
      <c r="M14" s="7" t="n">
        <f aca="false">IF(G14&lt;&gt;0,G14-L14," ")</f>
        <v>24</v>
      </c>
      <c r="N14" s="8" t="n">
        <f aca="false">IF((G14-L14)&lt;&gt;0,N$1-A14," ")</f>
        <v>87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n">
        <f aca="false">IF((F14="y"),I14," ")</f>
        <v>20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85</v>
      </c>
    </row>
    <row r="15" customFormat="false" ht="12" hidden="false" customHeight="false" outlineLevel="0" collapsed="false">
      <c r="A15" s="27" t="n">
        <v>46208</v>
      </c>
      <c r="B15" s="2" t="s">
        <v>186</v>
      </c>
      <c r="E15" s="2" t="s">
        <v>187</v>
      </c>
      <c r="F15" s="2" t="s">
        <v>142</v>
      </c>
      <c r="G15" s="29" t="n">
        <v>480</v>
      </c>
      <c r="H15" s="6" t="n">
        <f aca="false">IF(G15&lt;&gt;0,G15*H$2/(100+H$2)," ")</f>
        <v>80</v>
      </c>
      <c r="I15" s="6" t="n">
        <f aca="false">IF((G15&lt;&gt;0),G15-H15," ")</f>
        <v>400</v>
      </c>
      <c r="J15" s="5"/>
      <c r="M15" s="7" t="n">
        <f aca="false">IF(G15&lt;&gt;0,G15-L15," ")</f>
        <v>480</v>
      </c>
      <c r="N15" s="8" t="n">
        <f aca="false">IF((G15-L15)&lt;&gt;0,N$1-A15," ")</f>
        <v>87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n">
        <f aca="false">IF((F15="a"),I15," ")</f>
        <v>400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143</v>
      </c>
    </row>
    <row r="16" customFormat="false" ht="12" hidden="false" customHeight="false" outlineLevel="0" collapsed="false">
      <c r="A16" s="27" t="n">
        <v>46208</v>
      </c>
      <c r="B16" s="2" t="s">
        <v>88</v>
      </c>
      <c r="E16" s="2" t="s">
        <v>89</v>
      </c>
      <c r="F16" s="2" t="s">
        <v>24</v>
      </c>
      <c r="G16" s="29" t="n">
        <v>180</v>
      </c>
      <c r="H16" s="6" t="n">
        <f aca="false">IF(G16&lt;&gt;0,G16*H$2/(100+H$2)," ")</f>
        <v>30</v>
      </c>
      <c r="I16" s="6" t="n">
        <f aca="false">IF((G16&lt;&gt;0),G16-H16," ")</f>
        <v>150</v>
      </c>
      <c r="J16" s="5"/>
      <c r="M16" s="7" t="n">
        <f aca="false">IF(G16&lt;&gt;0,G16-L16," ")</f>
        <v>180</v>
      </c>
      <c r="N16" s="8" t="n">
        <f aca="false">IF((G16-L16)&lt;&gt;0,N$1-A16," ")</f>
        <v>87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n">
        <f aca="false">IF((F16="v"),I16," ")</f>
        <v>150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90</v>
      </c>
    </row>
    <row r="17" customFormat="false" ht="12" hidden="false" customHeight="false" outlineLevel="0" collapsed="false">
      <c r="A17" s="27" t="n">
        <v>46211</v>
      </c>
      <c r="B17" s="2" t="s">
        <v>93</v>
      </c>
      <c r="E17" s="2" t="s">
        <v>94</v>
      </c>
      <c r="F17" s="2" t="s">
        <v>95</v>
      </c>
      <c r="G17" s="29" t="n">
        <v>48</v>
      </c>
      <c r="H17" s="6" t="n">
        <f aca="false">IF(G17&lt;&gt;0,G17*H$2/(100+H$2)," ")</f>
        <v>8</v>
      </c>
      <c r="I17" s="6" t="n">
        <f aca="false">IF((G17&lt;&gt;0),G17-H17," ")</f>
        <v>40</v>
      </c>
      <c r="J17" s="5"/>
      <c r="M17" s="7" t="n">
        <f aca="false">IF(G17&lt;&gt;0,G17-L17," ")</f>
        <v>48</v>
      </c>
      <c r="N17" s="8" t="n">
        <f aca="false">IF((G17-L17)&lt;&gt;0,N$1-A17," ")</f>
        <v>84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n">
        <f aca="false">IF((F17="h"),I17," ")</f>
        <v>40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96</v>
      </c>
    </row>
    <row r="18" customFormat="false" ht="12" hidden="false" customHeight="false" outlineLevel="0" collapsed="false">
      <c r="A18" s="27" t="n">
        <v>46213</v>
      </c>
      <c r="B18" s="2" t="s">
        <v>97</v>
      </c>
      <c r="E18" s="2" t="s">
        <v>98</v>
      </c>
      <c r="F18" s="2" t="s">
        <v>75</v>
      </c>
      <c r="G18" s="29" t="n">
        <v>36</v>
      </c>
      <c r="H18" s="6" t="n">
        <f aca="false">IF(G18&lt;&gt;0,G18*H$2/(100+H$2)," ")</f>
        <v>6</v>
      </c>
      <c r="I18" s="6" t="n">
        <f aca="false">IF((G18&lt;&gt;0),G18-H18," ")</f>
        <v>30</v>
      </c>
      <c r="J18" s="5"/>
      <c r="M18" s="7" t="n">
        <f aca="false">IF(G18&lt;&gt;0,G18-L18," ")</f>
        <v>36</v>
      </c>
      <c r="N18" s="8" t="n">
        <f aca="false">IF((G18-L18)&lt;&gt;0,N$1-A18," ")</f>
        <v>82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n">
        <f aca="false">IF((F18="y"),I18," ")</f>
        <v>30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85</v>
      </c>
    </row>
    <row r="19" customFormat="false" ht="12" hidden="false" customHeight="false" outlineLevel="0" collapsed="false">
      <c r="A19" s="27" t="n">
        <v>46213</v>
      </c>
      <c r="B19" s="2" t="s">
        <v>99</v>
      </c>
      <c r="E19" s="2" t="s">
        <v>100</v>
      </c>
      <c r="F19" s="2" t="s">
        <v>65</v>
      </c>
      <c r="G19" s="29" t="n">
        <v>180</v>
      </c>
      <c r="H19" s="6" t="n">
        <f aca="false">IF(G19&lt;&gt;0,G19*H$2/(100+H$2)," ")</f>
        <v>30</v>
      </c>
      <c r="I19" s="6" t="n">
        <f aca="false">IF((G19&lt;&gt;0),G19-H19," ")</f>
        <v>150</v>
      </c>
      <c r="J19" s="5"/>
      <c r="M19" s="7" t="n">
        <f aca="false">IF(G19&lt;&gt;0,G19-L19," ")</f>
        <v>180</v>
      </c>
      <c r="N19" s="8" t="n">
        <f aca="false">IF((G19-L19)&lt;&gt;0,N$1-A19," ")</f>
        <v>82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n">
        <f aca="false">IF((F19="g"),I19," ")</f>
        <v>150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101</v>
      </c>
    </row>
    <row r="20" customFormat="false" ht="12" hidden="false" customHeight="false" outlineLevel="0" collapsed="false">
      <c r="A20" s="27" t="n">
        <v>46213</v>
      </c>
      <c r="B20" s="2" t="s">
        <v>102</v>
      </c>
      <c r="E20" s="2" t="s">
        <v>103</v>
      </c>
      <c r="F20" s="2" t="s">
        <v>104</v>
      </c>
      <c r="G20" s="29" t="n">
        <v>720</v>
      </c>
      <c r="H20" s="6" t="n">
        <f aca="false">IF(G20&lt;&gt;0,G20*H$2/(100+H$2)," ")</f>
        <v>120</v>
      </c>
      <c r="I20" s="6" t="n">
        <f aca="false">IF((G20&lt;&gt;0),G20-H20," ")</f>
        <v>600</v>
      </c>
      <c r="J20" s="5"/>
      <c r="M20" s="7" t="n">
        <f aca="false">IF(G20&lt;&gt;0,G20-L20," ")</f>
        <v>720</v>
      </c>
      <c r="N20" s="8" t="n">
        <f aca="false">IF((G20-L20)&lt;&gt;0,N$1-A20," ")</f>
        <v>82</v>
      </c>
      <c r="O20" s="5"/>
      <c r="P20" s="19" t="n">
        <f aca="false">IF((F20="s"),I20," ")</f>
        <v>600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105</v>
      </c>
    </row>
    <row r="21" customFormat="false" ht="12" hidden="false" customHeight="false" outlineLevel="0" collapsed="false">
      <c r="A21" s="27" t="n">
        <v>46215</v>
      </c>
      <c r="B21" s="2" t="s">
        <v>106</v>
      </c>
      <c r="E21" s="2" t="s">
        <v>107</v>
      </c>
      <c r="F21" s="2" t="s">
        <v>24</v>
      </c>
      <c r="G21" s="29" t="n">
        <v>18</v>
      </c>
      <c r="H21" s="6" t="n">
        <f aca="false">IF(G21&lt;&gt;0,G21*H$2/(100+H$2)," ")</f>
        <v>3</v>
      </c>
      <c r="I21" s="6" t="n">
        <f aca="false">IF((G21&lt;&gt;0),G21-H21," ")</f>
        <v>15</v>
      </c>
      <c r="J21" s="5"/>
      <c r="M21" s="7" t="n">
        <f aca="false">IF(G21&lt;&gt;0,G21-L21," ")</f>
        <v>18</v>
      </c>
      <c r="N21" s="8" t="n">
        <f aca="false">IF((G21-L21)&lt;&gt;0,N$1-A21," ")</f>
        <v>80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n">
        <f aca="false">IF((F21="v"),I21," ")</f>
        <v>15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90</v>
      </c>
    </row>
    <row r="22" customFormat="false" ht="12" hidden="false" customHeight="false" outlineLevel="0" collapsed="false">
      <c r="A22" s="27" t="n">
        <v>46215</v>
      </c>
      <c r="B22" s="2" t="s">
        <v>188</v>
      </c>
      <c r="E22" s="2" t="s">
        <v>189</v>
      </c>
      <c r="F22" s="2" t="s">
        <v>71</v>
      </c>
      <c r="G22" s="29" t="n">
        <v>480</v>
      </c>
      <c r="H22" s="6" t="n">
        <f aca="false">IF(G22&lt;&gt;0,G22*H$2/(100+H$2)," ")</f>
        <v>80</v>
      </c>
      <c r="I22" s="6" t="n">
        <f aca="false">IF((G22&lt;&gt;0),G22-H22," ")</f>
        <v>400</v>
      </c>
      <c r="J22" s="5"/>
      <c r="M22" s="7" t="n">
        <f aca="false">IF(G22&lt;&gt;0,G22-L22," ")</f>
        <v>480</v>
      </c>
      <c r="N22" s="8" t="n">
        <f aca="false">IF((G22-L22)&lt;&gt;0,N$1-A22," ")</f>
        <v>80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n">
        <f aca="false">IF((F22="o"),I22," ")</f>
        <v>400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139</v>
      </c>
    </row>
    <row r="23" customFormat="false" ht="12" hidden="false" customHeight="false" outlineLevel="0" collapsed="false">
      <c r="A23" s="27" t="n">
        <v>46217</v>
      </c>
      <c r="B23" s="2" t="s">
        <v>110</v>
      </c>
      <c r="E23" s="2" t="s">
        <v>111</v>
      </c>
      <c r="F23" s="2" t="s">
        <v>95</v>
      </c>
      <c r="G23" s="29" t="n">
        <v>24</v>
      </c>
      <c r="H23" s="6" t="n">
        <f aca="false">IF(G23&lt;&gt;0,G23*H$2/(100+H$2)," ")</f>
        <v>4</v>
      </c>
      <c r="I23" s="6" t="n">
        <f aca="false">IF((G23&lt;&gt;0),G23-H23," ")</f>
        <v>20</v>
      </c>
      <c r="J23" s="5"/>
      <c r="M23" s="7" t="n">
        <f aca="false">IF(G23&lt;&gt;0,G23-L23," ")</f>
        <v>24</v>
      </c>
      <c r="N23" s="8" t="n">
        <f aca="false">IF((G23-L23)&lt;&gt;0,N$1-A23," ")</f>
        <v>78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n">
        <f aca="false">IF((F23="h"),I23," ")</f>
        <v>20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96</v>
      </c>
    </row>
    <row r="24" customFormat="false" ht="12" hidden="false" customHeight="false" outlineLevel="0" collapsed="false">
      <c r="A24" s="27" t="n">
        <v>46217</v>
      </c>
      <c r="B24" s="2" t="s">
        <v>112</v>
      </c>
      <c r="E24" s="2" t="s">
        <v>113</v>
      </c>
      <c r="F24" s="2" t="s">
        <v>95</v>
      </c>
      <c r="G24" s="29" t="n">
        <v>12</v>
      </c>
      <c r="H24" s="6" t="n">
        <f aca="false">IF(G24&lt;&gt;0,G24*H$2/(100+H$2)," ")</f>
        <v>2</v>
      </c>
      <c r="I24" s="6" t="n">
        <f aca="false">IF((G24&lt;&gt;0),G24-H24," ")</f>
        <v>10</v>
      </c>
      <c r="J24" s="5"/>
      <c r="M24" s="7" t="n">
        <f aca="false">IF(G24&lt;&gt;0,G24-L24," ")</f>
        <v>12</v>
      </c>
      <c r="N24" s="8" t="n">
        <f aca="false">IF((G24-L24)&lt;&gt;0,N$1-A24," ")</f>
        <v>78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n">
        <f aca="false">IF((F24="h"),I24," ")</f>
        <v>10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96</v>
      </c>
    </row>
    <row r="25" customFormat="false" ht="12" hidden="false" customHeight="false" outlineLevel="0" collapsed="false">
      <c r="A25" s="27" t="n">
        <v>46218</v>
      </c>
      <c r="B25" s="2" t="s">
        <v>19</v>
      </c>
      <c r="E25" s="2" t="s">
        <v>89</v>
      </c>
      <c r="F25" s="2" t="s">
        <v>24</v>
      </c>
      <c r="G25" s="29" t="n">
        <v>150</v>
      </c>
      <c r="H25" s="6" t="n">
        <f aca="false">IF(G25&lt;&gt;0,G25*H$2/(100+H$2)," ")</f>
        <v>25</v>
      </c>
      <c r="I25" s="6" t="n">
        <f aca="false">IF((G25&lt;&gt;0),G25-H25," ")</f>
        <v>125</v>
      </c>
      <c r="J25" s="5"/>
      <c r="M25" s="7" t="n">
        <f aca="false">IF(G25&lt;&gt;0,G25-L25," ")</f>
        <v>150</v>
      </c>
      <c r="N25" s="8" t="n">
        <f aca="false">IF((G25-L25)&lt;&gt;0,N$1-A25," ")</f>
        <v>77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n">
        <f aca="false">IF((F25="v"),I25," ")</f>
        <v>125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90</v>
      </c>
    </row>
    <row r="26" customFormat="false" ht="12" hidden="false" customHeight="false" outlineLevel="0" collapsed="false">
      <c r="A26" s="27" t="n">
        <v>46218</v>
      </c>
      <c r="B26" s="2" t="s">
        <v>114</v>
      </c>
      <c r="E26" s="2" t="s">
        <v>115</v>
      </c>
      <c r="F26" s="2" t="s">
        <v>65</v>
      </c>
      <c r="G26" s="29" t="n">
        <v>12</v>
      </c>
      <c r="H26" s="6" t="n">
        <f aca="false">IF(G26&lt;&gt;0,G26*H$2/(100+H$2)," ")</f>
        <v>2</v>
      </c>
      <c r="I26" s="6" t="n">
        <f aca="false">IF((G26&lt;&gt;0),G26-H26," ")</f>
        <v>10</v>
      </c>
      <c r="J26" s="5"/>
      <c r="M26" s="7" t="n">
        <f aca="false">IF(G26&lt;&gt;0,G26-L26," ")</f>
        <v>12</v>
      </c>
      <c r="N26" s="8" t="n">
        <f aca="false">IF((G26-L26)&lt;&gt;0,N$1-A26," ")</f>
        <v>77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n">
        <f aca="false">IF((F26="g"),I26," ")</f>
        <v>10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66</v>
      </c>
    </row>
    <row r="27" customFormat="false" ht="12" hidden="false" customHeight="false" outlineLevel="0" collapsed="false">
      <c r="A27" s="27" t="n">
        <v>46218</v>
      </c>
      <c r="B27" s="2" t="s">
        <v>190</v>
      </c>
      <c r="C27" s="3" t="s">
        <v>191</v>
      </c>
      <c r="E27" s="2" t="s">
        <v>192</v>
      </c>
      <c r="F27" s="2" t="s">
        <v>149</v>
      </c>
      <c r="G27" s="29" t="n">
        <v>1200</v>
      </c>
      <c r="H27" s="6" t="n">
        <f aca="false">IF(G27&lt;&gt;0,G27*H$2/(100+H$2)," ")</f>
        <v>200</v>
      </c>
      <c r="I27" s="6" t="n">
        <f aca="false">IF((G27&lt;&gt;0),G27-H27," ")</f>
        <v>1000</v>
      </c>
      <c r="J27" s="5"/>
      <c r="M27" s="7" t="n">
        <f aca="false">IF(G27&lt;&gt;0,G27-L27," ")</f>
        <v>1200</v>
      </c>
      <c r="N27" s="8" t="n">
        <f aca="false">IF((G27-L27)&lt;&gt;0,N$1-A27," ")</f>
        <v>77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n">
        <f aca="false">IF((F27="fa"),I27," ")</f>
        <v>1000</v>
      </c>
      <c r="AC27" s="19" t="str">
        <f aca="false">IF((F27="e"),I27," ")</f>
        <v> </v>
      </c>
      <c r="BZ27" s="2" t="s">
        <v>150</v>
      </c>
    </row>
    <row r="28" customFormat="false" ht="12" hidden="false" customHeight="false" outlineLevel="0" collapsed="false">
      <c r="A28" s="27" t="n">
        <v>46219</v>
      </c>
      <c r="B28" s="2" t="s">
        <v>151</v>
      </c>
      <c r="E28" s="2" t="s">
        <v>152</v>
      </c>
      <c r="F28" s="2" t="s">
        <v>65</v>
      </c>
      <c r="G28" s="29" t="n">
        <v>24</v>
      </c>
      <c r="H28" s="6" t="n">
        <f aca="false">IF(G28&lt;&gt;0,G28*H$2/(100+H$2)," ")</f>
        <v>4</v>
      </c>
      <c r="I28" s="6" t="n">
        <f aca="false">IF((G28&lt;&gt;0),G28-H28," ")</f>
        <v>20</v>
      </c>
      <c r="J28" s="5"/>
      <c r="M28" s="7" t="n">
        <f aca="false">IF(G28&lt;&gt;0,G28-L28," ")</f>
        <v>24</v>
      </c>
      <c r="N28" s="8" t="n">
        <f aca="false">IF((G28-L28)&lt;&gt;0,N$1-A28," ")</f>
        <v>76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20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66</v>
      </c>
    </row>
    <row r="29" customFormat="false" ht="12" hidden="false" customHeight="false" outlineLevel="0" collapsed="false">
      <c r="A29" s="27" t="n">
        <v>46221</v>
      </c>
      <c r="B29" s="2" t="s">
        <v>116</v>
      </c>
      <c r="E29" s="2" t="s">
        <v>89</v>
      </c>
      <c r="F29" s="2" t="s">
        <v>24</v>
      </c>
      <c r="G29" s="29" t="n">
        <v>96</v>
      </c>
      <c r="H29" s="6" t="n">
        <f aca="false">IF(G29&lt;&gt;0,G29*H$2/(100+H$2)," ")</f>
        <v>16</v>
      </c>
      <c r="I29" s="6" t="n">
        <f aca="false">IF((G29&lt;&gt;0),G29-H29," ")</f>
        <v>80</v>
      </c>
      <c r="J29" s="5"/>
      <c r="M29" s="7" t="n">
        <f aca="false">IF(G29&lt;&gt;0,G29-L29," ")</f>
        <v>96</v>
      </c>
      <c r="N29" s="8" t="n">
        <f aca="false">IF((G29-L29)&lt;&gt;0,N$1-A29," ")</f>
        <v>74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n">
        <f aca="false">IF((F29="v"),I29," ")</f>
        <v>80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90</v>
      </c>
    </row>
    <row r="30" customFormat="false" ht="12" hidden="false" customHeight="false" outlineLevel="0" collapsed="false">
      <c r="A30" s="27" t="n">
        <v>46223</v>
      </c>
      <c r="B30" s="2" t="s">
        <v>117</v>
      </c>
      <c r="E30" s="2" t="s">
        <v>118</v>
      </c>
      <c r="F30" s="2" t="s">
        <v>65</v>
      </c>
      <c r="G30" s="29" t="n">
        <v>60</v>
      </c>
      <c r="H30" s="6" t="n">
        <f aca="false">IF(G30&lt;&gt;0,G30*H$2/(100+H$2)," ")</f>
        <v>10</v>
      </c>
      <c r="I30" s="6" t="n">
        <f aca="false">IF((G30&lt;&gt;0),G30-H30," ")</f>
        <v>50</v>
      </c>
      <c r="J30" s="5"/>
      <c r="M30" s="7" t="n">
        <f aca="false">IF(G30&lt;&gt;0,G30-L30," ")</f>
        <v>60</v>
      </c>
      <c r="N30" s="8" t="n">
        <f aca="false">IF((G30-L30)&lt;&gt;0,N$1-A30," ")</f>
        <v>72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n">
        <f aca="false">IF((F30="g"),I30," ")</f>
        <v>50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66</v>
      </c>
    </row>
    <row r="31" customFormat="false" ht="12" hidden="false" customHeight="false" outlineLevel="0" collapsed="false">
      <c r="A31" s="27" t="n">
        <v>46223</v>
      </c>
      <c r="B31" s="2" t="s">
        <v>193</v>
      </c>
      <c r="E31" s="2" t="s">
        <v>194</v>
      </c>
      <c r="F31" s="2" t="s">
        <v>65</v>
      </c>
      <c r="G31" s="29" t="n">
        <v>120</v>
      </c>
      <c r="H31" s="6" t="n">
        <f aca="false">IF(G31&lt;&gt;0,G31*H$2/(100+H$2)," ")</f>
        <v>20</v>
      </c>
      <c r="I31" s="6" t="n">
        <f aca="false">IF((G31&lt;&gt;0),G31-H31," ")</f>
        <v>100</v>
      </c>
      <c r="J31" s="5"/>
      <c r="M31" s="7" t="n">
        <f aca="false">IF(G31&lt;&gt;0,G31-L31," ")</f>
        <v>120</v>
      </c>
      <c r="N31" s="8" t="n">
        <f aca="false">IF((G31-L31)&lt;&gt;0,N$1-A31," ")</f>
        <v>72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n">
        <f aca="false">IF((F31="g"),I31," ")</f>
        <v>100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155</v>
      </c>
    </row>
    <row r="32" customFormat="false" ht="12" hidden="false" customHeight="false" outlineLevel="0" collapsed="false">
      <c r="A32" s="27" t="n">
        <v>46223</v>
      </c>
      <c r="B32" s="2" t="s">
        <v>119</v>
      </c>
      <c r="E32" s="2" t="s">
        <v>120</v>
      </c>
      <c r="F32" s="2" t="s">
        <v>121</v>
      </c>
      <c r="G32" s="29" t="n">
        <v>180</v>
      </c>
      <c r="H32" s="6" t="n">
        <f aca="false">IF(G32&lt;&gt;0,G32*H$2/(100+H$2)," ")</f>
        <v>30</v>
      </c>
      <c r="I32" s="6" t="n">
        <f aca="false">IF((G32&lt;&gt;0),G32-H32," ")</f>
        <v>150</v>
      </c>
      <c r="J32" s="5"/>
      <c r="M32" s="7" t="n">
        <f aca="false">IF(G32&lt;&gt;0,G32-L32," ")</f>
        <v>180</v>
      </c>
      <c r="N32" s="8" t="n">
        <f aca="false">IF((G32-L32)&lt;&gt;0,N$1-A32," ")</f>
        <v>72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n">
        <f aca="false">IF((F32="m"),I32," ")</f>
        <v>150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122</v>
      </c>
    </row>
    <row r="33" customFormat="false" ht="12" hidden="false" customHeight="false" outlineLevel="0" collapsed="false">
      <c r="A33" s="27" t="n">
        <v>46224</v>
      </c>
      <c r="B33" s="2" t="s">
        <v>123</v>
      </c>
      <c r="E33" s="2" t="s">
        <v>124</v>
      </c>
      <c r="F33" s="2" t="s">
        <v>95</v>
      </c>
      <c r="G33" s="29" t="n">
        <v>8</v>
      </c>
      <c r="H33" s="6" t="n">
        <f aca="false">IF(G33&lt;&gt;0,G33*H$2/(100+H$2)," ")</f>
        <v>1.33333333333333</v>
      </c>
      <c r="I33" s="6" t="n">
        <f aca="false">IF((G33&lt;&gt;0),G33-H33," ")</f>
        <v>6.66666666666667</v>
      </c>
      <c r="J33" s="5"/>
      <c r="M33" s="7" t="n">
        <f aca="false">IF(G33&lt;&gt;0,G33-L33," ")</f>
        <v>8</v>
      </c>
      <c r="N33" s="8" t="n">
        <f aca="false">IF((G33-L33)&lt;&gt;0,N$1-A33," ")</f>
        <v>71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n">
        <f aca="false">IF((F33="h"),I33," ")</f>
        <v>6.66666666666667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96</v>
      </c>
    </row>
    <row r="34" customFormat="false" ht="12" hidden="false" customHeight="false" outlineLevel="0" collapsed="false">
      <c r="A34" s="27" t="n">
        <v>46225</v>
      </c>
      <c r="B34" s="2" t="s">
        <v>125</v>
      </c>
      <c r="E34" s="2" t="s">
        <v>126</v>
      </c>
      <c r="F34" s="2" t="s">
        <v>75</v>
      </c>
      <c r="G34" s="29" t="n">
        <v>18</v>
      </c>
      <c r="H34" s="6" t="n">
        <f aca="false">IF(G34&lt;&gt;0,G34*H$2/(100+H$2)," ")</f>
        <v>3</v>
      </c>
      <c r="I34" s="6" t="n">
        <f aca="false">IF((G34&lt;&gt;0),G34-H34," ")</f>
        <v>15</v>
      </c>
      <c r="J34" s="5"/>
      <c r="M34" s="7" t="n">
        <f aca="false">IF(G34&lt;&gt;0,G34-L34," ")</f>
        <v>18</v>
      </c>
      <c r="N34" s="8" t="n">
        <f aca="false">IF((G34-L34)&lt;&gt;0,N$1-A34," ")</f>
        <v>70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n">
        <f aca="false">IF((F34="y"),I34," ")</f>
        <v>15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85</v>
      </c>
    </row>
    <row r="35" customFormat="false" ht="12" hidden="false" customHeight="false" outlineLevel="0" collapsed="false">
      <c r="A35" s="27" t="n">
        <v>46228</v>
      </c>
      <c r="B35" s="2" t="s">
        <v>127</v>
      </c>
      <c r="E35" s="2" t="s">
        <v>128</v>
      </c>
      <c r="F35" s="2" t="s">
        <v>75</v>
      </c>
      <c r="G35" s="29" t="n">
        <v>15</v>
      </c>
      <c r="H35" s="6" t="n">
        <f aca="false">IF(G35&lt;&gt;0,G35*H$2/(100+H$2)," ")</f>
        <v>2.5</v>
      </c>
      <c r="I35" s="6" t="n">
        <f aca="false">IF((G35&lt;&gt;0),G35-H35," ")</f>
        <v>12.5</v>
      </c>
      <c r="J35" s="5"/>
      <c r="M35" s="7" t="n">
        <f aca="false">IF(G35&lt;&gt;0,G35-L35," ")</f>
        <v>15</v>
      </c>
      <c r="N35" s="8" t="n">
        <f aca="false">IF((G35-L35)&lt;&gt;0,N$1-A35," ")</f>
        <v>67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n">
        <f aca="false">IF((F35="y"),I35," ")</f>
        <v>12.5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85</v>
      </c>
    </row>
    <row r="36" customFormat="false" ht="12" hidden="false" customHeight="false" outlineLevel="0" collapsed="false">
      <c r="A36" s="27" t="n">
        <v>46228</v>
      </c>
      <c r="B36" s="2" t="s">
        <v>129</v>
      </c>
      <c r="D36" s="4" t="n">
        <v>45</v>
      </c>
      <c r="E36" s="2" t="s">
        <v>195</v>
      </c>
      <c r="F36" s="2" t="s">
        <v>24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  <c r="BZ36" s="2" t="s">
        <v>90</v>
      </c>
    </row>
    <row r="37" customFormat="false" ht="12" hidden="false" customHeight="false" outlineLevel="0" collapsed="false">
      <c r="A37" s="27" t="n">
        <v>46231</v>
      </c>
      <c r="B37" s="2" t="s">
        <v>19</v>
      </c>
      <c r="E37" s="2" t="s">
        <v>131</v>
      </c>
      <c r="F37" s="2" t="s">
        <v>24</v>
      </c>
      <c r="G37" s="29" t="n">
        <v>120</v>
      </c>
      <c r="H37" s="6" t="n">
        <f aca="false">IF(G37&lt;&gt;0,G37*H$2/(100+H$2)," ")</f>
        <v>20</v>
      </c>
      <c r="I37" s="6" t="n">
        <f aca="false">IF((G37&lt;&gt;0),G37-H37," ")</f>
        <v>100</v>
      </c>
      <c r="J37" s="5"/>
      <c r="M37" s="7" t="n">
        <f aca="false">IF(G37&lt;&gt;0,G37-L37," ")</f>
        <v>120</v>
      </c>
      <c r="N37" s="8" t="n">
        <f aca="false">IF((G37-L37)&lt;&gt;0,N$1-A37," ")</f>
        <v>64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n">
        <f aca="false">IF((F37="v"),I37," ")</f>
        <v>100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  <c r="BZ37" s="2" t="s">
        <v>90</v>
      </c>
    </row>
    <row r="38" customFormat="false" ht="12" hidden="false" customHeight="false" outlineLevel="0" collapsed="false">
      <c r="A38" s="27" t="n">
        <v>46234</v>
      </c>
      <c r="B38" s="2" t="s">
        <v>15</v>
      </c>
      <c r="E38" s="2" t="s">
        <v>132</v>
      </c>
      <c r="F38" s="2" t="s">
        <v>133</v>
      </c>
      <c r="G38" s="29" t="n">
        <v>300</v>
      </c>
      <c r="H38" s="6" t="n">
        <f aca="false">IF(G38&lt;&gt;0,G38*H$2/(100+H$2)," ")</f>
        <v>50</v>
      </c>
      <c r="I38" s="6" t="n">
        <f aca="false">IF((G38&lt;&gt;0),G38-H38," ")</f>
        <v>250</v>
      </c>
      <c r="J38" s="5"/>
      <c r="M38" s="7" t="n">
        <f aca="false">IF(G38&lt;&gt;0,G38-L38," ")</f>
        <v>300</v>
      </c>
      <c r="N38" s="8" t="n">
        <f aca="false">IF((G38-L38)&lt;&gt;0,N$1-A38," ")</f>
        <v>61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n">
        <f aca="false">IF((F38="l"),I38," ")</f>
        <v>250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  <c r="BZ38" s="2" t="s">
        <v>134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85</v>
      </c>
      <c r="E1" s="13" t="s">
        <v>3</v>
      </c>
      <c r="F1" s="14"/>
      <c r="G1" s="13" t="n">
        <f aca="false">SUM(G2:G300)</f>
        <v>4763.75</v>
      </c>
      <c r="H1" s="13" t="n">
        <f aca="false">SUM(H5:H200)</f>
        <v>786.166666666667</v>
      </c>
      <c r="I1" s="13" t="n">
        <f aca="false">SUM(I2:I200)</f>
        <v>3977.58333333333</v>
      </c>
      <c r="J1" s="15"/>
      <c r="K1" s="16" t="s">
        <v>4</v>
      </c>
      <c r="L1" s="17" t="n">
        <f aca="false">SUM(L5:L300)</f>
        <v>0</v>
      </c>
      <c r="M1" s="17" t="n">
        <f aca="false">SUM(M5:M200)</f>
        <v>4717</v>
      </c>
      <c r="N1" s="18" t="n">
        <f aca="true">TODAY()</f>
        <v>46295</v>
      </c>
      <c r="O1" s="15"/>
      <c r="P1" s="13" t="n">
        <f aca="false">SUM(P5:P300)</f>
        <v>450</v>
      </c>
      <c r="Q1" s="13" t="n">
        <f aca="false">SUM(Q5:Q300)</f>
        <v>0</v>
      </c>
      <c r="R1" s="13" t="n">
        <f aca="false">SUM(R5:R300)</f>
        <v>237.5</v>
      </c>
      <c r="S1" s="13" t="n">
        <f aca="false">SUM(S5:S300)</f>
        <v>666.666666666667</v>
      </c>
      <c r="T1" s="13" t="n">
        <f aca="false">SUM(T5:T300)</f>
        <v>1000</v>
      </c>
      <c r="U1" s="13" t="n">
        <f aca="false">SUM(U5:U300)</f>
        <v>200</v>
      </c>
      <c r="V1" s="13" t="n">
        <f aca="false">SUM(V5:V300)</f>
        <v>112.5</v>
      </c>
      <c r="W1" s="13" t="n">
        <f aca="false">SUM(W2:W300)</f>
        <v>516.75</v>
      </c>
      <c r="X1" s="13" t="n">
        <f aca="false">SUM(X5:X300)</f>
        <v>116.666666666667</v>
      </c>
      <c r="Y1" s="13" t="n">
        <f aca="false">SUM(Y5:Y300)</f>
        <v>0</v>
      </c>
      <c r="Z1" s="13" t="n">
        <f aca="false">SUM(Z5:Z300)</f>
        <v>250</v>
      </c>
      <c r="AA1" s="13" t="n">
        <f aca="false">SUM(AA5:AA300)</f>
        <v>135.833333333333</v>
      </c>
      <c r="AB1" s="13" t="n">
        <f aca="false">SUM(AB5:AB300)</f>
        <v>0</v>
      </c>
      <c r="AC1" s="41" t="n">
        <f aca="false">SUM(AC5:AC300)</f>
        <v>291.666666666667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G2+Jul!A2</f>
        <v>294.25</v>
      </c>
      <c r="B2" s="44" t="s">
        <v>22</v>
      </c>
      <c r="C2" s="43" t="n">
        <f aca="false">Jul!C2+D1+[1]Aug!$D$1</f>
        <v>535</v>
      </c>
      <c r="D2" s="45" t="s">
        <v>23</v>
      </c>
      <c r="E2" s="20" t="s">
        <v>5</v>
      </c>
      <c r="F2" s="44" t="str">
        <f aca="false">Jul!F2</f>
        <v>v</v>
      </c>
      <c r="G2" s="46" t="n">
        <f aca="false">IF(C2&lt;[2]Admin!$F$22,(C2-Jul!C2)*[2]Admin!$G$21,C2*[2]Admin!$G$21-(C2-[2]Admin!$F$21)*([2]Admin!$G$21-[2]Admin!$G$22)-Jul!A2)</f>
        <v>46.75</v>
      </c>
      <c r="H2" s="21" t="n">
        <f aca="false">IF([1]Aug!$H$4&gt;0,0,[1]Aug!$H$2)</f>
        <v>20</v>
      </c>
      <c r="I2" s="47" t="n">
        <f aca="false">G2</f>
        <v>46.75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46.75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AB1+Jul!AB2</f>
        <v>15500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46235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60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46235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60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46235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60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46235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60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46235</v>
      </c>
      <c r="B9" s="2" t="s">
        <v>77</v>
      </c>
      <c r="E9" s="2" t="s">
        <v>78</v>
      </c>
      <c r="F9" s="2" t="s">
        <v>71</v>
      </c>
      <c r="G9" s="29" t="n">
        <v>24</v>
      </c>
      <c r="H9" s="6" t="n">
        <f aca="false">IF(G9&lt;&gt;0,G9*H$2/(100+H$2)," ")</f>
        <v>4</v>
      </c>
      <c r="I9" s="6" t="n">
        <f aca="false">IF((G9&lt;&gt;0),G9-H9," ")</f>
        <v>20</v>
      </c>
      <c r="J9" s="5"/>
      <c r="M9" s="7" t="n">
        <f aca="false">IF(G9&lt;&gt;0,G9-L9," ")</f>
        <v>24</v>
      </c>
      <c r="N9" s="8" t="n">
        <f aca="false">IF((G9-L9)&lt;&gt;0,N$1-A9," ")</f>
        <v>60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20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72</v>
      </c>
    </row>
    <row r="10" customFormat="false" ht="12" hidden="false" customHeight="false" outlineLevel="0" collapsed="false">
      <c r="A10" s="27" t="n">
        <v>46235</v>
      </c>
      <c r="B10" s="2" t="s">
        <v>79</v>
      </c>
      <c r="E10" s="2" t="s">
        <v>80</v>
      </c>
      <c r="F10" s="2" t="s">
        <v>65</v>
      </c>
      <c r="G10" s="29" t="n">
        <v>18</v>
      </c>
      <c r="H10" s="6" t="n">
        <f aca="false">IF(G10&lt;&gt;0,G10*H$2/(100+H$2)," ")</f>
        <v>3</v>
      </c>
      <c r="I10" s="6" t="n">
        <f aca="false">IF((G10&lt;&gt;0),G10-H10," ")</f>
        <v>15</v>
      </c>
      <c r="J10" s="5"/>
      <c r="M10" s="7" t="n">
        <f aca="false">IF(G10&lt;&gt;0,G10-L10," ")</f>
        <v>18</v>
      </c>
      <c r="N10" s="8" t="n">
        <f aca="false">IF((G10-L10)&lt;&gt;0,N$1-A10," ")</f>
        <v>60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15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66</v>
      </c>
    </row>
    <row r="11" customFormat="false" ht="12" hidden="false" customHeight="false" outlineLevel="0" collapsed="false">
      <c r="A11" s="27" t="n">
        <v>46237</v>
      </c>
      <c r="B11" s="2" t="s">
        <v>81</v>
      </c>
      <c r="E11" s="2" t="s">
        <v>82</v>
      </c>
      <c r="F11" s="2" t="s">
        <v>71</v>
      </c>
      <c r="G11" s="29" t="n">
        <v>180</v>
      </c>
      <c r="H11" s="6" t="n">
        <f aca="false">IF(G11&lt;&gt;0,G11*H$2/(100+H$2)," ")</f>
        <v>30</v>
      </c>
      <c r="I11" s="6" t="n">
        <f aca="false">IF((G11&lt;&gt;0),G11-H11," ")</f>
        <v>150</v>
      </c>
      <c r="J11" s="5"/>
      <c r="M11" s="7" t="n">
        <f aca="false">IF(G11&lt;&gt;0,G11-L11," ")</f>
        <v>180</v>
      </c>
      <c r="N11" s="8" t="n">
        <f aca="false">IF((G11-L11)&lt;&gt;0,N$1-A11," ")</f>
        <v>58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150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72</v>
      </c>
    </row>
    <row r="12" customFormat="false" ht="12" hidden="false" customHeight="false" outlineLevel="0" collapsed="false">
      <c r="A12" s="27" t="n">
        <v>46237</v>
      </c>
      <c r="B12" s="2" t="s">
        <v>83</v>
      </c>
      <c r="E12" s="2" t="s">
        <v>84</v>
      </c>
      <c r="F12" s="2" t="s">
        <v>75</v>
      </c>
      <c r="G12" s="29" t="n">
        <v>22</v>
      </c>
      <c r="H12" s="6" t="n">
        <f aca="false">IF(G12&lt;&gt;0,G12*H$2/(100+H$2)," ")</f>
        <v>3.66666666666667</v>
      </c>
      <c r="I12" s="6" t="n">
        <f aca="false">IF((G12&lt;&gt;0),G12-H12," ")</f>
        <v>18.3333333333333</v>
      </c>
      <c r="J12" s="5"/>
      <c r="M12" s="7" t="n">
        <f aca="false">IF(G12&lt;&gt;0,G12-L12," ")</f>
        <v>22</v>
      </c>
      <c r="N12" s="8" t="n">
        <f aca="false">IF((G12-L12)&lt;&gt;0,N$1-A12," ")</f>
        <v>58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n">
        <f aca="false">IF((F12="y"),I12," ")</f>
        <v>18.3333333333333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85</v>
      </c>
    </row>
    <row r="13" customFormat="false" ht="12" hidden="false" customHeight="false" outlineLevel="0" collapsed="false">
      <c r="A13" s="27" t="n">
        <v>46239</v>
      </c>
      <c r="B13" s="2" t="s">
        <v>86</v>
      </c>
      <c r="E13" s="2" t="s">
        <v>87</v>
      </c>
      <c r="F13" s="2" t="s">
        <v>75</v>
      </c>
      <c r="G13" s="29" t="n">
        <v>24</v>
      </c>
      <c r="H13" s="6" t="n">
        <f aca="false">IF(G13&lt;&gt;0,G13*H$2/(100+H$2)," ")</f>
        <v>4</v>
      </c>
      <c r="I13" s="6" t="n">
        <f aca="false">IF((G13&lt;&gt;0),G13-H13," ")</f>
        <v>20</v>
      </c>
      <c r="J13" s="5"/>
      <c r="M13" s="7" t="n">
        <f aca="false">IF(G13&lt;&gt;0,G13-L13," ")</f>
        <v>24</v>
      </c>
      <c r="N13" s="8" t="n">
        <f aca="false">IF((G13-L13)&lt;&gt;0,N$1-A13," ")</f>
        <v>56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20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46239</v>
      </c>
      <c r="B14" s="2" t="s">
        <v>88</v>
      </c>
      <c r="E14" s="2" t="s">
        <v>89</v>
      </c>
      <c r="F14" s="2" t="s">
        <v>24</v>
      </c>
      <c r="G14" s="29" t="n">
        <v>180</v>
      </c>
      <c r="H14" s="6" t="n">
        <f aca="false">IF(G14&lt;&gt;0,G14*H$2/(100+H$2)," ")</f>
        <v>30</v>
      </c>
      <c r="I14" s="6" t="n">
        <f aca="false">IF((G14&lt;&gt;0),G14-H14," ")</f>
        <v>150</v>
      </c>
      <c r="J14" s="5"/>
      <c r="M14" s="7" t="n">
        <f aca="false">IF(G14&lt;&gt;0,G14-L14," ")</f>
        <v>180</v>
      </c>
      <c r="N14" s="8" t="n">
        <f aca="false">IF((G14-L14)&lt;&gt;0,N$1-A14," ")</f>
        <v>56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n">
        <f aca="false">IF((F14="v"),I14," ")</f>
        <v>150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90</v>
      </c>
    </row>
    <row r="15" customFormat="false" ht="12" hidden="false" customHeight="false" outlineLevel="0" collapsed="false">
      <c r="A15" s="27" t="n">
        <v>46239</v>
      </c>
      <c r="B15" s="2" t="s">
        <v>91</v>
      </c>
      <c r="E15" s="2" t="s">
        <v>92</v>
      </c>
      <c r="F15" s="2" t="s">
        <v>71</v>
      </c>
      <c r="G15" s="29" t="n">
        <v>36</v>
      </c>
      <c r="H15" s="6" t="n">
        <f aca="false">IF(G15&lt;&gt;0,G15*H$2/(100+H$2)," ")</f>
        <v>6</v>
      </c>
      <c r="I15" s="6" t="n">
        <f aca="false">IF((G15&lt;&gt;0),G15-H15," ")</f>
        <v>30</v>
      </c>
      <c r="J15" s="5"/>
      <c r="M15" s="7" t="n">
        <f aca="false">IF(G15&lt;&gt;0,G15-L15," ")</f>
        <v>36</v>
      </c>
      <c r="N15" s="8" t="n">
        <f aca="false">IF((G15-L15)&lt;&gt;0,N$1-A15," ")</f>
        <v>56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n">
        <f aca="false">IF((F15="o"),I15," ")</f>
        <v>30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72</v>
      </c>
    </row>
    <row r="16" customFormat="false" ht="12" hidden="false" customHeight="false" outlineLevel="0" collapsed="false">
      <c r="A16" s="27" t="n">
        <v>46240</v>
      </c>
      <c r="B16" s="2" t="s">
        <v>135</v>
      </c>
      <c r="E16" s="2" t="s">
        <v>136</v>
      </c>
      <c r="F16" s="2" t="s">
        <v>95</v>
      </c>
      <c r="G16" s="29" t="n">
        <v>48</v>
      </c>
      <c r="H16" s="6" t="n">
        <f aca="false">IF(G16&lt;&gt;0,G16*H$2/(100+H$2)," ")</f>
        <v>8</v>
      </c>
      <c r="I16" s="6" t="n">
        <f aca="false">IF((G16&lt;&gt;0),G16-H16," ")</f>
        <v>40</v>
      </c>
      <c r="J16" s="5"/>
      <c r="M16" s="7" t="n">
        <f aca="false">IF(G16&lt;&gt;0,G16-L16," ")</f>
        <v>48</v>
      </c>
      <c r="N16" s="8" t="n">
        <f aca="false">IF((G16-L16)&lt;&gt;0,N$1-A16," ")</f>
        <v>55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n">
        <f aca="false">IF((F16="h"),I16," ")</f>
        <v>40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96</v>
      </c>
    </row>
    <row r="17" customFormat="false" ht="12" hidden="false" customHeight="false" outlineLevel="0" collapsed="false">
      <c r="A17" s="27" t="n">
        <v>46242</v>
      </c>
      <c r="B17" s="2" t="s">
        <v>93</v>
      </c>
      <c r="E17" s="2" t="s">
        <v>94</v>
      </c>
      <c r="F17" s="2" t="s">
        <v>95</v>
      </c>
      <c r="G17" s="29" t="n">
        <v>48</v>
      </c>
      <c r="H17" s="6" t="n">
        <f aca="false">IF(G17&lt;&gt;0,G17*H$2/(100+H$2)," ")</f>
        <v>8</v>
      </c>
      <c r="I17" s="6" t="n">
        <f aca="false">IF((G17&lt;&gt;0),G17-H17," ")</f>
        <v>40</v>
      </c>
      <c r="J17" s="5"/>
      <c r="M17" s="7" t="n">
        <f aca="false">IF(G17&lt;&gt;0,G17-L17," ")</f>
        <v>48</v>
      </c>
      <c r="N17" s="8" t="n">
        <f aca="false">IF((G17-L17)&lt;&gt;0,N$1-A17," ")</f>
        <v>53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n">
        <f aca="false">IF((F17="h"),I17," ")</f>
        <v>40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96</v>
      </c>
    </row>
    <row r="18" customFormat="false" ht="12" hidden="false" customHeight="false" outlineLevel="0" collapsed="false">
      <c r="A18" s="27" t="n">
        <v>46244</v>
      </c>
      <c r="B18" s="2" t="s">
        <v>97</v>
      </c>
      <c r="E18" s="2" t="s">
        <v>98</v>
      </c>
      <c r="F18" s="2" t="s">
        <v>75</v>
      </c>
      <c r="G18" s="29" t="n">
        <v>36</v>
      </c>
      <c r="H18" s="6" t="n">
        <f aca="false">IF(G18&lt;&gt;0,G18*H$2/(100+H$2)," ")</f>
        <v>6</v>
      </c>
      <c r="I18" s="6" t="n">
        <f aca="false">IF((G18&lt;&gt;0),G18-H18," ")</f>
        <v>30</v>
      </c>
      <c r="J18" s="5"/>
      <c r="M18" s="7" t="n">
        <f aca="false">IF(G18&lt;&gt;0,G18-L18," ")</f>
        <v>36</v>
      </c>
      <c r="N18" s="8" t="n">
        <f aca="false">IF((G18-L18)&lt;&gt;0,N$1-A18," ")</f>
        <v>51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n">
        <f aca="false">IF((F18="y"),I18," ")</f>
        <v>30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85</v>
      </c>
    </row>
    <row r="19" customFormat="false" ht="12" hidden="false" customHeight="false" outlineLevel="0" collapsed="false">
      <c r="A19" s="27" t="n">
        <v>46246</v>
      </c>
      <c r="B19" s="2" t="s">
        <v>106</v>
      </c>
      <c r="E19" s="2" t="s">
        <v>107</v>
      </c>
      <c r="F19" s="2" t="s">
        <v>24</v>
      </c>
      <c r="G19" s="29" t="n">
        <v>18</v>
      </c>
      <c r="H19" s="6" t="n">
        <f aca="false">IF(G19&lt;&gt;0,G19*H$2/(100+H$2)," ")</f>
        <v>3</v>
      </c>
      <c r="I19" s="6" t="n">
        <f aca="false">IF((G19&lt;&gt;0),G19-H19," ")</f>
        <v>15</v>
      </c>
      <c r="J19" s="5"/>
      <c r="M19" s="7" t="n">
        <f aca="false">IF(G19&lt;&gt;0,G19-L19," ")</f>
        <v>18</v>
      </c>
      <c r="N19" s="8" t="n">
        <f aca="false">IF((G19-L19)&lt;&gt;0,N$1-A19," ")</f>
        <v>49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n">
        <f aca="false">IF((F19="v"),I19," ")</f>
        <v>15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90</v>
      </c>
    </row>
    <row r="20" customFormat="false" ht="12" hidden="false" customHeight="false" outlineLevel="0" collapsed="false">
      <c r="A20" s="27" t="n">
        <v>46248</v>
      </c>
      <c r="B20" s="2" t="s">
        <v>108</v>
      </c>
      <c r="E20" s="2" t="s">
        <v>109</v>
      </c>
      <c r="F20" s="2" t="s">
        <v>75</v>
      </c>
      <c r="G20" s="29" t="n">
        <v>48</v>
      </c>
      <c r="H20" s="6" t="n">
        <f aca="false">IF(G20&lt;&gt;0,G20*H$2/(100+H$2)," ")</f>
        <v>8</v>
      </c>
      <c r="I20" s="6" t="n">
        <f aca="false">IF((G20&lt;&gt;0),G20-H20," ")</f>
        <v>40</v>
      </c>
      <c r="J20" s="5"/>
      <c r="M20" s="7" t="n">
        <f aca="false">IF(G20&lt;&gt;0,G20-L20," ")</f>
        <v>48</v>
      </c>
      <c r="N20" s="8" t="n">
        <f aca="false">IF((G20-L20)&lt;&gt;0,N$1-A20," ")</f>
        <v>47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n">
        <f aca="false">IF((F20="y"),I20," ")</f>
        <v>40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85</v>
      </c>
    </row>
    <row r="21" customFormat="false" ht="12" hidden="false" customHeight="false" outlineLevel="0" collapsed="false">
      <c r="A21" s="27" t="n">
        <v>46248</v>
      </c>
      <c r="B21" s="2" t="s">
        <v>110</v>
      </c>
      <c r="E21" s="2" t="s">
        <v>111</v>
      </c>
      <c r="F21" s="2" t="s">
        <v>95</v>
      </c>
      <c r="G21" s="29" t="n">
        <v>24</v>
      </c>
      <c r="H21" s="6" t="n">
        <f aca="false">IF(G21&lt;&gt;0,G21*H$2/(100+H$2)," ")</f>
        <v>4</v>
      </c>
      <c r="I21" s="6" t="n">
        <f aca="false">IF((G21&lt;&gt;0),G21-H21," ")</f>
        <v>20</v>
      </c>
      <c r="J21" s="5"/>
      <c r="M21" s="7" t="n">
        <f aca="false">IF(G21&lt;&gt;0,G21-L21," ")</f>
        <v>24</v>
      </c>
      <c r="N21" s="8" t="n">
        <f aca="false">IF((G21-L21)&lt;&gt;0,N$1-A21," ")</f>
        <v>47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n">
        <f aca="false">IF((F21="h"),I21," ")</f>
        <v>20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96</v>
      </c>
    </row>
    <row r="22" customFormat="false" ht="12" hidden="false" customHeight="false" outlineLevel="0" collapsed="false">
      <c r="A22" s="27" t="n">
        <v>46248</v>
      </c>
      <c r="B22" s="2" t="s">
        <v>112</v>
      </c>
      <c r="E22" s="2" t="s">
        <v>113</v>
      </c>
      <c r="F22" s="2" t="s">
        <v>95</v>
      </c>
      <c r="G22" s="29" t="n">
        <v>12</v>
      </c>
      <c r="H22" s="6" t="n">
        <f aca="false">IF(G22&lt;&gt;0,G22*H$2/(100+H$2)," ")</f>
        <v>2</v>
      </c>
      <c r="I22" s="6" t="n">
        <f aca="false">IF((G22&lt;&gt;0),G22-H22," ")</f>
        <v>10</v>
      </c>
      <c r="J22" s="5"/>
      <c r="M22" s="7" t="n">
        <f aca="false">IF(G22&lt;&gt;0,G22-L22," ")</f>
        <v>12</v>
      </c>
      <c r="N22" s="8" t="n">
        <f aca="false">IF((G22-L22)&lt;&gt;0,N$1-A22," ")</f>
        <v>47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n">
        <f aca="false">IF((F22="h"),I22," ")</f>
        <v>10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96</v>
      </c>
    </row>
    <row r="23" customFormat="false" ht="12" hidden="false" customHeight="false" outlineLevel="0" collapsed="false">
      <c r="A23" s="27" t="n">
        <v>46249</v>
      </c>
      <c r="B23" s="2" t="s">
        <v>19</v>
      </c>
      <c r="E23" s="2" t="s">
        <v>89</v>
      </c>
      <c r="F23" s="2" t="s">
        <v>24</v>
      </c>
      <c r="G23" s="29" t="n">
        <v>150</v>
      </c>
      <c r="H23" s="6" t="n">
        <f aca="false">IF(G23&lt;&gt;0,G23*H$2/(100+H$2)," ")</f>
        <v>25</v>
      </c>
      <c r="I23" s="6" t="n">
        <f aca="false">IF((G23&lt;&gt;0),G23-H23," ")</f>
        <v>125</v>
      </c>
      <c r="J23" s="5"/>
      <c r="M23" s="7" t="n">
        <f aca="false">IF(G23&lt;&gt;0,G23-L23," ")</f>
        <v>150</v>
      </c>
      <c r="N23" s="8" t="n">
        <f aca="false">IF((G23-L23)&lt;&gt;0,N$1-A23," ")</f>
        <v>46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n">
        <f aca="false">IF((F23="v"),I23," ")</f>
        <v>125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90</v>
      </c>
    </row>
    <row r="24" customFormat="false" ht="12" hidden="false" customHeight="false" outlineLevel="0" collapsed="false">
      <c r="A24" s="27" t="n">
        <v>46249</v>
      </c>
      <c r="B24" s="2" t="s">
        <v>114</v>
      </c>
      <c r="E24" s="2" t="s">
        <v>115</v>
      </c>
      <c r="F24" s="2" t="s">
        <v>65</v>
      </c>
      <c r="G24" s="29" t="n">
        <v>12</v>
      </c>
      <c r="H24" s="6" t="n">
        <f aca="false">IF(G24&lt;&gt;0,G24*H$2/(100+H$2)," ")</f>
        <v>2</v>
      </c>
      <c r="I24" s="6" t="n">
        <f aca="false">IF((G24&lt;&gt;0),G24-H24," ")</f>
        <v>10</v>
      </c>
      <c r="J24" s="5"/>
      <c r="M24" s="7" t="n">
        <f aca="false">IF(G24&lt;&gt;0,G24-L24," ")</f>
        <v>12</v>
      </c>
      <c r="N24" s="8" t="n">
        <f aca="false">IF((G24-L24)&lt;&gt;0,N$1-A24," ")</f>
        <v>46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n">
        <f aca="false">IF((F24="g"),I24," ")</f>
        <v>10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66</v>
      </c>
    </row>
    <row r="25" customFormat="false" ht="12" hidden="false" customHeight="false" outlineLevel="0" collapsed="false">
      <c r="A25" s="27" t="n">
        <v>46249</v>
      </c>
      <c r="B25" s="2" t="s">
        <v>144</v>
      </c>
      <c r="E25" s="2" t="s">
        <v>145</v>
      </c>
      <c r="F25" s="2" t="s">
        <v>104</v>
      </c>
      <c r="G25" s="29" t="n">
        <v>360</v>
      </c>
      <c r="H25" s="6" t="n">
        <f aca="false">IF(G25&lt;&gt;0,G25*H$2/(100+H$2)," ")</f>
        <v>60</v>
      </c>
      <c r="I25" s="6" t="n">
        <f aca="false">IF((G25&lt;&gt;0),G25-H25," ")</f>
        <v>300</v>
      </c>
      <c r="J25" s="5"/>
      <c r="M25" s="7" t="n">
        <f aca="false">IF(G25&lt;&gt;0,G25-L25," ")</f>
        <v>360</v>
      </c>
      <c r="N25" s="8" t="n">
        <f aca="false">IF((G25-L25)&lt;&gt;0,N$1-A25," ")</f>
        <v>46</v>
      </c>
      <c r="O25" s="5"/>
      <c r="P25" s="19" t="n">
        <f aca="false">IF((F25="s"),I25," ")</f>
        <v>300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105</v>
      </c>
    </row>
    <row r="26" customFormat="false" ht="12" hidden="false" customHeight="false" outlineLevel="0" collapsed="false">
      <c r="A26" s="27" t="n">
        <v>46252</v>
      </c>
      <c r="B26" s="2" t="s">
        <v>196</v>
      </c>
      <c r="E26" s="2" t="s">
        <v>197</v>
      </c>
      <c r="F26" s="2" t="s">
        <v>121</v>
      </c>
      <c r="G26" s="29" t="n">
        <v>240</v>
      </c>
      <c r="H26" s="6" t="n">
        <f aca="false">IF(G26&lt;&gt;0,G26*H$2/(100+H$2)," ")</f>
        <v>40</v>
      </c>
      <c r="I26" s="6" t="n">
        <f aca="false">IF((G26&lt;&gt;0),G26-H26," ")</f>
        <v>200</v>
      </c>
      <c r="J26" s="5"/>
      <c r="M26" s="7" t="n">
        <f aca="false">IF(G26&lt;&gt;0,G26-L26," ")</f>
        <v>240</v>
      </c>
      <c r="N26" s="8" t="n">
        <f aca="false">IF((G26-L26)&lt;&gt;0,N$1-A26," ")</f>
        <v>43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n">
        <f aca="false">IF((F26="m"),I26," ")</f>
        <v>200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122</v>
      </c>
    </row>
    <row r="27" customFormat="false" ht="12" hidden="false" customHeight="false" outlineLevel="0" collapsed="false">
      <c r="A27" s="27" t="n">
        <v>46252</v>
      </c>
      <c r="B27" s="2" t="s">
        <v>116</v>
      </c>
      <c r="E27" s="2" t="s">
        <v>89</v>
      </c>
      <c r="F27" s="2" t="s">
        <v>24</v>
      </c>
      <c r="G27" s="29" t="n">
        <v>96</v>
      </c>
      <c r="H27" s="6" t="n">
        <f aca="false">IF(G27&lt;&gt;0,G27*H$2/(100+H$2)," ")</f>
        <v>16</v>
      </c>
      <c r="I27" s="6" t="n">
        <f aca="false">IF((G27&lt;&gt;0),G27-H27," ")</f>
        <v>80</v>
      </c>
      <c r="J27" s="5"/>
      <c r="M27" s="7" t="n">
        <f aca="false">IF(G27&lt;&gt;0,G27-L27," ")</f>
        <v>96</v>
      </c>
      <c r="N27" s="8" t="n">
        <f aca="false">IF((G27-L27)&lt;&gt;0,N$1-A27," ")</f>
        <v>43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n">
        <f aca="false">IF((F27="v"),I27," ")</f>
        <v>80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90</v>
      </c>
    </row>
    <row r="28" customFormat="false" ht="12" hidden="false" customHeight="false" outlineLevel="0" collapsed="false">
      <c r="A28" s="27" t="n">
        <v>46254</v>
      </c>
      <c r="B28" s="2" t="s">
        <v>117</v>
      </c>
      <c r="E28" s="2" t="s">
        <v>118</v>
      </c>
      <c r="F28" s="2" t="s">
        <v>65</v>
      </c>
      <c r="G28" s="29" t="n">
        <v>60</v>
      </c>
      <c r="H28" s="6" t="n">
        <f aca="false">IF(G28&lt;&gt;0,G28*H$2/(100+H$2)," ")</f>
        <v>10</v>
      </c>
      <c r="I28" s="6" t="n">
        <f aca="false">IF((G28&lt;&gt;0),G28-H28," ")</f>
        <v>50</v>
      </c>
      <c r="J28" s="5"/>
      <c r="M28" s="7" t="n">
        <f aca="false">IF(G28&lt;&gt;0,G28-L28," ")</f>
        <v>60</v>
      </c>
      <c r="N28" s="8" t="n">
        <f aca="false">IF((G28-L28)&lt;&gt;0,N$1-A28," ")</f>
        <v>41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50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66</v>
      </c>
    </row>
    <row r="29" customFormat="false" ht="12" hidden="false" customHeight="false" outlineLevel="0" collapsed="false">
      <c r="A29" s="27" t="n">
        <v>46254</v>
      </c>
      <c r="B29" s="2" t="s">
        <v>198</v>
      </c>
      <c r="E29" s="2" t="s">
        <v>199</v>
      </c>
      <c r="F29" s="2" t="s">
        <v>200</v>
      </c>
      <c r="G29" s="29" t="n">
        <v>800</v>
      </c>
      <c r="H29" s="6" t="n">
        <f aca="false">IF(G29&lt;&gt;0,G29*H$2/(100+H$2)," ")</f>
        <v>133.333333333333</v>
      </c>
      <c r="I29" s="6" t="n">
        <f aca="false">IF((G29&lt;&gt;0),G29-H29," ")</f>
        <v>666.666666666667</v>
      </c>
      <c r="J29" s="5"/>
      <c r="M29" s="7" t="n">
        <f aca="false">IF(G29&lt;&gt;0,G29-L29," ")</f>
        <v>800</v>
      </c>
      <c r="N29" s="8" t="n">
        <f aca="false">IF((G29-L29)&lt;&gt;0,N$1-A29," ")</f>
        <v>41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n">
        <f aca="false">IF((F29="w"),I29," ")</f>
        <v>666.666666666667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201</v>
      </c>
    </row>
    <row r="30" customFormat="false" ht="12" hidden="false" customHeight="false" outlineLevel="0" collapsed="false">
      <c r="A30" s="27" t="n">
        <v>46254</v>
      </c>
      <c r="B30" s="2" t="s">
        <v>156</v>
      </c>
      <c r="E30" s="2" t="s">
        <v>157</v>
      </c>
      <c r="F30" s="2" t="s">
        <v>104</v>
      </c>
      <c r="G30" s="29" t="n">
        <v>180</v>
      </c>
      <c r="H30" s="6" t="n">
        <f aca="false">IF(G30&lt;&gt;0,G30*H$2/(100+H$2)," ")</f>
        <v>30</v>
      </c>
      <c r="I30" s="6" t="n">
        <f aca="false">IF((G30&lt;&gt;0),G30-H30," ")</f>
        <v>150</v>
      </c>
      <c r="J30" s="5"/>
      <c r="M30" s="7" t="n">
        <f aca="false">IF(G30&lt;&gt;0,G30-L30," ")</f>
        <v>180</v>
      </c>
      <c r="N30" s="8" t="n">
        <f aca="false">IF((G30-L30)&lt;&gt;0,N$1-A30," ")</f>
        <v>41</v>
      </c>
      <c r="O30" s="5"/>
      <c r="P30" s="19" t="n">
        <f aca="false">IF((F30="s"),I30," ")</f>
        <v>150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105</v>
      </c>
    </row>
    <row r="31" customFormat="false" ht="12" hidden="false" customHeight="false" outlineLevel="0" collapsed="false">
      <c r="A31" s="27" t="n">
        <v>46255</v>
      </c>
      <c r="B31" s="2" t="s">
        <v>123</v>
      </c>
      <c r="E31" s="2" t="s">
        <v>124</v>
      </c>
      <c r="F31" s="2" t="s">
        <v>95</v>
      </c>
      <c r="G31" s="29" t="n">
        <v>8</v>
      </c>
      <c r="H31" s="6" t="n">
        <f aca="false">IF(G31&lt;&gt;0,G31*H$2/(100+H$2)," ")</f>
        <v>1.33333333333333</v>
      </c>
      <c r="I31" s="6" t="n">
        <f aca="false">IF((G31&lt;&gt;0),G31-H31," ")</f>
        <v>6.66666666666667</v>
      </c>
      <c r="J31" s="5"/>
      <c r="M31" s="7" t="n">
        <f aca="false">IF(G31&lt;&gt;0,G31-L31," ")</f>
        <v>8</v>
      </c>
      <c r="N31" s="8" t="n">
        <f aca="false">IF((G31-L31)&lt;&gt;0,N$1-A31," ")</f>
        <v>40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n">
        <f aca="false">IF((F31="h"),I31," ")</f>
        <v>6.66666666666667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96</v>
      </c>
    </row>
    <row r="32" customFormat="false" ht="12" hidden="false" customHeight="false" outlineLevel="0" collapsed="false">
      <c r="A32" s="27" t="n">
        <v>46256</v>
      </c>
      <c r="B32" s="2" t="s">
        <v>125</v>
      </c>
      <c r="E32" s="2" t="s">
        <v>126</v>
      </c>
      <c r="F32" s="2" t="s">
        <v>75</v>
      </c>
      <c r="G32" s="29" t="n">
        <v>18</v>
      </c>
      <c r="H32" s="6" t="n">
        <f aca="false">IF(G32&lt;&gt;0,G32*H$2/(100+H$2)," ")</f>
        <v>3</v>
      </c>
      <c r="I32" s="6" t="n">
        <f aca="false">IF((G32&lt;&gt;0),G32-H32," ")</f>
        <v>15</v>
      </c>
      <c r="J32" s="5"/>
      <c r="M32" s="7" t="n">
        <f aca="false">IF(G32&lt;&gt;0,G32-L32," ")</f>
        <v>18</v>
      </c>
      <c r="N32" s="8" t="n">
        <f aca="false">IF((G32-L32)&lt;&gt;0,N$1-A32," ")</f>
        <v>39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n">
        <f aca="false">IF((F32="y"),I32," ")</f>
        <v>15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85</v>
      </c>
    </row>
    <row r="33" customFormat="false" ht="12" hidden="false" customHeight="false" outlineLevel="0" collapsed="false">
      <c r="A33" s="27" t="n">
        <v>46259</v>
      </c>
      <c r="B33" s="2" t="s">
        <v>127</v>
      </c>
      <c r="E33" s="2" t="s">
        <v>128</v>
      </c>
      <c r="F33" s="2" t="s">
        <v>75</v>
      </c>
      <c r="G33" s="29" t="n">
        <v>15</v>
      </c>
      <c r="H33" s="6" t="n">
        <f aca="false">IF(G33&lt;&gt;0,G33*H$2/(100+H$2)," ")</f>
        <v>2.5</v>
      </c>
      <c r="I33" s="6" t="n">
        <f aca="false">IF((G33&lt;&gt;0),G33-H33," ")</f>
        <v>12.5</v>
      </c>
      <c r="J33" s="5"/>
      <c r="M33" s="7" t="n">
        <f aca="false">IF(G33&lt;&gt;0,G33-L33," ")</f>
        <v>15</v>
      </c>
      <c r="N33" s="8" t="n">
        <f aca="false">IF((G33-L33)&lt;&gt;0,N$1-A33," ")</f>
        <v>36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n">
        <f aca="false">IF((F33="y"),I33," ")</f>
        <v>12.5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85</v>
      </c>
    </row>
    <row r="34" customFormat="false" ht="12" hidden="false" customHeight="false" outlineLevel="0" collapsed="false">
      <c r="A34" s="27" t="n">
        <v>46259</v>
      </c>
      <c r="B34" s="2" t="s">
        <v>129</v>
      </c>
      <c r="D34" s="4" t="n">
        <v>85</v>
      </c>
      <c r="E34" s="2" t="s">
        <v>130</v>
      </c>
      <c r="F34" s="2" t="s">
        <v>24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90</v>
      </c>
    </row>
    <row r="35" customFormat="false" ht="12" hidden="false" customHeight="false" outlineLevel="0" collapsed="false">
      <c r="A35" s="27" t="n">
        <v>46262</v>
      </c>
      <c r="B35" s="2" t="s">
        <v>19</v>
      </c>
      <c r="E35" s="2" t="s">
        <v>131</v>
      </c>
      <c r="F35" s="2" t="s">
        <v>24</v>
      </c>
      <c r="G35" s="29" t="n">
        <v>120</v>
      </c>
      <c r="H35" s="6" t="n">
        <f aca="false">IF(G35&lt;&gt;0,G35*H$2/(100+H$2)," ")</f>
        <v>20</v>
      </c>
      <c r="I35" s="6" t="n">
        <f aca="false">IF((G35&lt;&gt;0),G35-H35," ")</f>
        <v>100</v>
      </c>
      <c r="J35" s="5"/>
      <c r="M35" s="7" t="n">
        <f aca="false">IF(G35&lt;&gt;0,G35-L35," ")</f>
        <v>120</v>
      </c>
      <c r="N35" s="8" t="n">
        <f aca="false">IF((G35-L35)&lt;&gt;0,N$1-A35," ")</f>
        <v>33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n">
        <f aca="false">IF((F35="v"),I35," ")</f>
        <v>100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90</v>
      </c>
    </row>
    <row r="36" customFormat="false" ht="12" hidden="false" customHeight="false" outlineLevel="0" collapsed="false">
      <c r="A36" s="27" t="n">
        <v>46265</v>
      </c>
      <c r="B36" s="2" t="s">
        <v>15</v>
      </c>
      <c r="E36" s="2" t="s">
        <v>132</v>
      </c>
      <c r="F36" s="2" t="s">
        <v>133</v>
      </c>
      <c r="G36" s="29" t="n">
        <v>300</v>
      </c>
      <c r="H36" s="6" t="n">
        <f aca="false">IF(G36&lt;&gt;0,G36*H$2/(100+H$2)," ")</f>
        <v>50</v>
      </c>
      <c r="I36" s="6" t="n">
        <f aca="false">IF((G36&lt;&gt;0),G36-H36," ")</f>
        <v>250</v>
      </c>
      <c r="J36" s="5"/>
      <c r="M36" s="7" t="n">
        <f aca="false">IF(G36&lt;&gt;0,G36-L36," ")</f>
        <v>300</v>
      </c>
      <c r="N36" s="8" t="n">
        <f aca="false">IF((G36-L36)&lt;&gt;0,N$1-A36," ")</f>
        <v>30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n">
        <f aca="false">IF((F36="l"),I36," ")</f>
        <v>250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  <c r="BZ36" s="2" t="s">
        <v>134</v>
      </c>
    </row>
    <row r="37" customFormat="false" ht="12" hidden="false" customHeight="false" outlineLevel="0" collapsed="false">
      <c r="A37" s="27" t="n">
        <v>46246</v>
      </c>
      <c r="B37" s="2" t="s">
        <v>202</v>
      </c>
      <c r="E37" s="2" t="s">
        <v>203</v>
      </c>
      <c r="F37" s="2" t="s">
        <v>204</v>
      </c>
      <c r="G37" s="29" t="n">
        <v>350</v>
      </c>
      <c r="H37" s="6" t="n">
        <f aca="false">IF(G37&lt;&gt;0,G37*H$2/(100+H$2)," ")</f>
        <v>58.3333333333333</v>
      </c>
      <c r="I37" s="6" t="n">
        <f aca="false">IF((G37&lt;&gt;0),G37-H37," ")</f>
        <v>291.666666666667</v>
      </c>
      <c r="J37" s="5"/>
      <c r="M37" s="7" t="n">
        <f aca="false">IF(G37&lt;&gt;0,G37-L37," ")</f>
        <v>350</v>
      </c>
      <c r="N37" s="8" t="n">
        <f aca="false">IF((G37-L37)&lt;&gt;0,N$1-A37," ")</f>
        <v>49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  <c r="AC37" s="19" t="n">
        <f aca="false">IF((F37="e"),I37," ")</f>
        <v>291.666666666667</v>
      </c>
      <c r="BZ37" s="2" t="s">
        <v>205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8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160</v>
      </c>
      <c r="E1" s="13" t="s">
        <v>3</v>
      </c>
      <c r="F1" s="14"/>
      <c r="G1" s="13" t="n">
        <f aca="false">SUM(G2:G300)</f>
        <v>13391</v>
      </c>
      <c r="H1" s="13" t="n">
        <f aca="false">SUM(H5:H200)</f>
        <v>2217.16666666667</v>
      </c>
      <c r="I1" s="13" t="n">
        <f aca="false">SUM(I2:I200)</f>
        <v>11173.8333333333</v>
      </c>
      <c r="J1" s="15"/>
      <c r="K1" s="16" t="s">
        <v>4</v>
      </c>
      <c r="L1" s="17" t="n">
        <f aca="false">SUM(L5:L300)</f>
        <v>0</v>
      </c>
      <c r="M1" s="17" t="n">
        <f aca="false">SUM(M5:M200)</f>
        <v>13303</v>
      </c>
      <c r="N1" s="18" t="n">
        <f aca="true">TODAY()</f>
        <v>46295</v>
      </c>
      <c r="O1" s="15"/>
      <c r="P1" s="13" t="n">
        <f aca="false">SUM(P5:P300)</f>
        <v>200</v>
      </c>
      <c r="Q1" s="13" t="n">
        <f aca="false">SUM(Q5:Q300)</f>
        <v>0</v>
      </c>
      <c r="R1" s="13" t="n">
        <f aca="false">SUM(R5:R300)</f>
        <v>507.5</v>
      </c>
      <c r="S1" s="13" t="n">
        <f aca="false">SUM(S5:S300)</f>
        <v>0</v>
      </c>
      <c r="T1" s="13" t="n">
        <f aca="false">SUM(T5:T300)</f>
        <v>1250</v>
      </c>
      <c r="U1" s="13" t="n">
        <f aca="false">SUM(U5:U300)</f>
        <v>0</v>
      </c>
      <c r="V1" s="13" t="n">
        <f aca="false">SUM(V5:V300)</f>
        <v>202.5</v>
      </c>
      <c r="W1" s="13" t="n">
        <f aca="false">SUM(W2:W300)</f>
        <v>618</v>
      </c>
      <c r="X1" s="13" t="n">
        <f aca="false">SUM(X5:X300)</f>
        <v>76.6666666666667</v>
      </c>
      <c r="Y1" s="13" t="n">
        <f aca="false">SUM(Y5:Y300)</f>
        <v>0</v>
      </c>
      <c r="Z1" s="13" t="n">
        <f aca="false">SUM(Z5:Z300)</f>
        <v>1223.33333333333</v>
      </c>
      <c r="AA1" s="13" t="n">
        <f aca="false">SUM(AA5:AA300)</f>
        <v>95.8333333333333</v>
      </c>
      <c r="AB1" s="13" t="n">
        <f aca="false">SUM(AB5:AB300)</f>
        <v>7000</v>
      </c>
      <c r="AC1" s="41" t="n">
        <f aca="false">SUM(AC5:AC300)</f>
        <v>0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G2+Aug!A2</f>
        <v>382.25</v>
      </c>
      <c r="B2" s="44" t="s">
        <v>22</v>
      </c>
      <c r="C2" s="43" t="n">
        <f aca="false">Aug!C2+D1+[1]Sep!$D$1</f>
        <v>695</v>
      </c>
      <c r="D2" s="45" t="s">
        <v>23</v>
      </c>
      <c r="E2" s="20" t="s">
        <v>5</v>
      </c>
      <c r="F2" s="44" t="str">
        <f aca="false">Aug!F2</f>
        <v>v</v>
      </c>
      <c r="G2" s="46" t="n">
        <f aca="false">IF(C2&lt;[2]Admin!$F$22,(C2-Aug!C2)*[2]Admin!$G$21,C2*[2]Admin!$G$21-(C2-[2]Admin!$F$21)*([2]Admin!$G$21-[2]Admin!$G$22)-Aug!A2)</f>
        <v>88</v>
      </c>
      <c r="H2" s="21" t="n">
        <f aca="false">IF([1]Sep!$H$4&gt;0,0,[1]Sep!$H$2)</f>
        <v>20</v>
      </c>
      <c r="I2" s="47" t="n">
        <f aca="false">G2</f>
        <v>88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88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AB1+Aug!AB2</f>
        <v>22500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46266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29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46266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29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46266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29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46266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29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46266</v>
      </c>
      <c r="B9" s="2" t="s">
        <v>77</v>
      </c>
      <c r="E9" s="2" t="s">
        <v>78</v>
      </c>
      <c r="F9" s="2" t="s">
        <v>71</v>
      </c>
      <c r="G9" s="29" t="n">
        <v>24</v>
      </c>
      <c r="H9" s="6" t="n">
        <f aca="false">IF(G9&lt;&gt;0,G9*H$2/(100+H$2)," ")</f>
        <v>4</v>
      </c>
      <c r="I9" s="6" t="n">
        <f aca="false">IF((G9&lt;&gt;0),G9-H9," ")</f>
        <v>20</v>
      </c>
      <c r="J9" s="5"/>
      <c r="M9" s="7" t="n">
        <f aca="false">IF(G9&lt;&gt;0,G9-L9," ")</f>
        <v>24</v>
      </c>
      <c r="N9" s="8" t="n">
        <f aca="false">IF((G9-L9)&lt;&gt;0,N$1-A9," ")</f>
        <v>29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20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72</v>
      </c>
    </row>
    <row r="10" customFormat="false" ht="12" hidden="false" customHeight="false" outlineLevel="0" collapsed="false">
      <c r="A10" s="27" t="n">
        <v>46266</v>
      </c>
      <c r="B10" s="2" t="s">
        <v>79</v>
      </c>
      <c r="E10" s="2" t="s">
        <v>80</v>
      </c>
      <c r="F10" s="2" t="s">
        <v>65</v>
      </c>
      <c r="G10" s="29" t="n">
        <v>18</v>
      </c>
      <c r="H10" s="6" t="n">
        <f aca="false">IF(G10&lt;&gt;0,G10*H$2/(100+H$2)," ")</f>
        <v>3</v>
      </c>
      <c r="I10" s="6" t="n">
        <f aca="false">IF((G10&lt;&gt;0),G10-H10," ")</f>
        <v>15</v>
      </c>
      <c r="J10" s="5"/>
      <c r="M10" s="7" t="n">
        <f aca="false">IF(G10&lt;&gt;0,G10-L10," ")</f>
        <v>18</v>
      </c>
      <c r="N10" s="8" t="n">
        <f aca="false">IF((G10-L10)&lt;&gt;0,N$1-A10," ")</f>
        <v>29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15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66</v>
      </c>
    </row>
    <row r="11" customFormat="false" ht="12" hidden="false" customHeight="false" outlineLevel="0" collapsed="false">
      <c r="A11" s="27" t="n">
        <v>46268</v>
      </c>
      <c r="B11" s="2" t="s">
        <v>81</v>
      </c>
      <c r="E11" s="2" t="s">
        <v>82</v>
      </c>
      <c r="F11" s="2" t="s">
        <v>71</v>
      </c>
      <c r="G11" s="29" t="n">
        <v>180</v>
      </c>
      <c r="H11" s="6" t="n">
        <f aca="false">IF(G11&lt;&gt;0,G11*H$2/(100+H$2)," ")</f>
        <v>30</v>
      </c>
      <c r="I11" s="6" t="n">
        <f aca="false">IF((G11&lt;&gt;0),G11-H11," ")</f>
        <v>150</v>
      </c>
      <c r="J11" s="5"/>
      <c r="M11" s="7" t="n">
        <f aca="false">IF(G11&lt;&gt;0,G11-L11," ")</f>
        <v>180</v>
      </c>
      <c r="N11" s="8" t="n">
        <f aca="false">IF((G11-L11)&lt;&gt;0,N$1-A11," ")</f>
        <v>27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150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72</v>
      </c>
    </row>
    <row r="12" customFormat="false" ht="12" hidden="false" customHeight="false" outlineLevel="0" collapsed="false">
      <c r="A12" s="27" t="n">
        <v>46268</v>
      </c>
      <c r="B12" s="2" t="s">
        <v>83</v>
      </c>
      <c r="E12" s="2" t="s">
        <v>84</v>
      </c>
      <c r="F12" s="2" t="s">
        <v>75</v>
      </c>
      <c r="G12" s="29" t="n">
        <v>22</v>
      </c>
      <c r="H12" s="6" t="n">
        <f aca="false">IF(G12&lt;&gt;0,G12*H$2/(100+H$2)," ")</f>
        <v>3.66666666666667</v>
      </c>
      <c r="I12" s="6" t="n">
        <f aca="false">IF((G12&lt;&gt;0),G12-H12," ")</f>
        <v>18.3333333333333</v>
      </c>
      <c r="J12" s="5"/>
      <c r="M12" s="7" t="n">
        <f aca="false">IF(G12&lt;&gt;0,G12-L12," ")</f>
        <v>22</v>
      </c>
      <c r="N12" s="8" t="n">
        <f aca="false">IF((G12-L12)&lt;&gt;0,N$1-A12," ")</f>
        <v>27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n">
        <f aca="false">IF((F12="y"),I12," ")</f>
        <v>18.3333333333333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85</v>
      </c>
    </row>
    <row r="13" customFormat="false" ht="12" hidden="false" customHeight="false" outlineLevel="0" collapsed="false">
      <c r="A13" s="27" t="n">
        <v>46270</v>
      </c>
      <c r="B13" s="2" t="s">
        <v>86</v>
      </c>
      <c r="E13" s="2" t="s">
        <v>87</v>
      </c>
      <c r="F13" s="2" t="s">
        <v>75</v>
      </c>
      <c r="G13" s="29" t="n">
        <v>24</v>
      </c>
      <c r="H13" s="6" t="n">
        <f aca="false">IF(G13&lt;&gt;0,G13*H$2/(100+H$2)," ")</f>
        <v>4</v>
      </c>
      <c r="I13" s="6" t="n">
        <f aca="false">IF((G13&lt;&gt;0),G13-H13," ")</f>
        <v>20</v>
      </c>
      <c r="J13" s="5"/>
      <c r="M13" s="7" t="n">
        <f aca="false">IF(G13&lt;&gt;0,G13-L13," ")</f>
        <v>24</v>
      </c>
      <c r="N13" s="8" t="n">
        <f aca="false">IF((G13-L13)&lt;&gt;0,N$1-A13," ")</f>
        <v>25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20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46270</v>
      </c>
      <c r="B14" s="2" t="s">
        <v>88</v>
      </c>
      <c r="E14" s="2" t="s">
        <v>89</v>
      </c>
      <c r="F14" s="2" t="s">
        <v>24</v>
      </c>
      <c r="G14" s="29" t="n">
        <v>180</v>
      </c>
      <c r="H14" s="6" t="n">
        <f aca="false">IF(G14&lt;&gt;0,G14*H$2/(100+H$2)," ")</f>
        <v>30</v>
      </c>
      <c r="I14" s="6" t="n">
        <f aca="false">IF((G14&lt;&gt;0),G14-H14," ")</f>
        <v>150</v>
      </c>
      <c r="J14" s="5"/>
      <c r="M14" s="7" t="n">
        <f aca="false">IF(G14&lt;&gt;0,G14-L14," ")</f>
        <v>180</v>
      </c>
      <c r="N14" s="8" t="n">
        <f aca="false">IF((G14-L14)&lt;&gt;0,N$1-A14," ")</f>
        <v>25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n">
        <f aca="false">IF((F14="v"),I14," ")</f>
        <v>150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90</v>
      </c>
    </row>
    <row r="15" customFormat="false" ht="12" hidden="false" customHeight="false" outlineLevel="0" collapsed="false">
      <c r="A15" s="27" t="n">
        <v>46273</v>
      </c>
      <c r="B15" s="2" t="s">
        <v>93</v>
      </c>
      <c r="E15" s="2" t="s">
        <v>94</v>
      </c>
      <c r="F15" s="2" t="s">
        <v>95</v>
      </c>
      <c r="G15" s="29" t="n">
        <v>48</v>
      </c>
      <c r="H15" s="6" t="n">
        <f aca="false">IF(G15&lt;&gt;0,G15*H$2/(100+H$2)," ")</f>
        <v>8</v>
      </c>
      <c r="I15" s="6" t="n">
        <f aca="false">IF((G15&lt;&gt;0),G15-H15," ")</f>
        <v>40</v>
      </c>
      <c r="J15" s="5"/>
      <c r="M15" s="7" t="n">
        <f aca="false">IF(G15&lt;&gt;0,G15-L15," ")</f>
        <v>48</v>
      </c>
      <c r="N15" s="8" t="n">
        <f aca="false">IF((G15-L15)&lt;&gt;0,N$1-A15," ")</f>
        <v>22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n">
        <f aca="false">IF((F15="h"),I15," ")</f>
        <v>40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96</v>
      </c>
    </row>
    <row r="16" customFormat="false" ht="12" hidden="false" customHeight="false" outlineLevel="0" collapsed="false">
      <c r="A16" s="27" t="n">
        <v>46273</v>
      </c>
      <c r="B16" s="2" t="s">
        <v>137</v>
      </c>
      <c r="E16" s="2" t="s">
        <v>138</v>
      </c>
      <c r="F16" s="2" t="s">
        <v>71</v>
      </c>
      <c r="G16" s="29" t="n">
        <v>360</v>
      </c>
      <c r="H16" s="6" t="n">
        <f aca="false">IF(G16&lt;&gt;0,G16*H$2/(100+H$2)," ")</f>
        <v>60</v>
      </c>
      <c r="I16" s="6" t="n">
        <f aca="false">IF((G16&lt;&gt;0),G16-H16," ")</f>
        <v>300</v>
      </c>
      <c r="J16" s="5"/>
      <c r="M16" s="7" t="n">
        <f aca="false">IF(G16&lt;&gt;0,G16-L16," ")</f>
        <v>360</v>
      </c>
      <c r="N16" s="8" t="n">
        <f aca="false">IF((G16-L16)&lt;&gt;0,N$1-A16," ")</f>
        <v>22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n">
        <f aca="false">IF((F16="o"),I16," ")</f>
        <v>300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139</v>
      </c>
    </row>
    <row r="17" customFormat="false" ht="12" hidden="false" customHeight="false" outlineLevel="0" collapsed="false">
      <c r="A17" s="27" t="n">
        <v>46275</v>
      </c>
      <c r="B17" s="2" t="s">
        <v>97</v>
      </c>
      <c r="E17" s="2" t="s">
        <v>98</v>
      </c>
      <c r="F17" s="2" t="s">
        <v>75</v>
      </c>
      <c r="G17" s="29" t="n">
        <v>36</v>
      </c>
      <c r="H17" s="6" t="n">
        <f aca="false">IF(G17&lt;&gt;0,G17*H$2/(100+H$2)," ")</f>
        <v>6</v>
      </c>
      <c r="I17" s="6" t="n">
        <f aca="false">IF((G17&lt;&gt;0),G17-H17," ")</f>
        <v>30</v>
      </c>
      <c r="J17" s="5"/>
      <c r="M17" s="7" t="n">
        <f aca="false">IF(G17&lt;&gt;0,G17-L17," ")</f>
        <v>36</v>
      </c>
      <c r="N17" s="8" t="n">
        <f aca="false">IF((G17-L17)&lt;&gt;0,N$1-A17," ")</f>
        <v>20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n">
        <f aca="false">IF((F17="y"),I17," ")</f>
        <v>30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85</v>
      </c>
    </row>
    <row r="18" customFormat="false" ht="12" hidden="false" customHeight="false" outlineLevel="0" collapsed="false">
      <c r="A18" s="27" t="n">
        <v>46275</v>
      </c>
      <c r="B18" s="2" t="s">
        <v>114</v>
      </c>
      <c r="E18" s="2" t="s">
        <v>206</v>
      </c>
      <c r="F18" s="2" t="s">
        <v>65</v>
      </c>
      <c r="G18" s="29" t="n">
        <v>96</v>
      </c>
      <c r="H18" s="6" t="n">
        <f aca="false">IF(G18&lt;&gt;0,G18*H$2/(100+H$2)," ")</f>
        <v>16</v>
      </c>
      <c r="I18" s="6" t="n">
        <f aca="false">IF((G18&lt;&gt;0),G18-H18," ")</f>
        <v>80</v>
      </c>
      <c r="J18" s="5"/>
      <c r="M18" s="7" t="n">
        <f aca="false">IF(G18&lt;&gt;0,G18-L18," ")</f>
        <v>96</v>
      </c>
      <c r="N18" s="8" t="n">
        <f aca="false">IF((G18-L18)&lt;&gt;0,N$1-A18," ")</f>
        <v>20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n">
        <f aca="false">IF((F18="g"),I18," ")</f>
        <v>80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155</v>
      </c>
    </row>
    <row r="19" customFormat="false" ht="12" hidden="false" customHeight="false" outlineLevel="0" collapsed="false">
      <c r="A19" s="27" t="n">
        <v>46277</v>
      </c>
      <c r="B19" s="2" t="s">
        <v>106</v>
      </c>
      <c r="E19" s="2" t="s">
        <v>107</v>
      </c>
      <c r="F19" s="2" t="s">
        <v>24</v>
      </c>
      <c r="G19" s="29" t="n">
        <v>18</v>
      </c>
      <c r="H19" s="6" t="n">
        <f aca="false">IF(G19&lt;&gt;0,G19*H$2/(100+H$2)," ")</f>
        <v>3</v>
      </c>
      <c r="I19" s="6" t="n">
        <f aca="false">IF((G19&lt;&gt;0),G19-H19," ")</f>
        <v>15</v>
      </c>
      <c r="J19" s="5"/>
      <c r="M19" s="7" t="n">
        <f aca="false">IF(G19&lt;&gt;0,G19-L19," ")</f>
        <v>18</v>
      </c>
      <c r="N19" s="8" t="n">
        <f aca="false">IF((G19-L19)&lt;&gt;0,N$1-A19," ")</f>
        <v>18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n">
        <f aca="false">IF((F19="v"),I19," ")</f>
        <v>15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90</v>
      </c>
    </row>
    <row r="20" customFormat="false" ht="12" hidden="false" customHeight="false" outlineLevel="0" collapsed="false">
      <c r="A20" s="27" t="n">
        <v>46279</v>
      </c>
      <c r="B20" s="2" t="s">
        <v>110</v>
      </c>
      <c r="E20" s="2" t="s">
        <v>111</v>
      </c>
      <c r="F20" s="2" t="s">
        <v>95</v>
      </c>
      <c r="G20" s="29" t="n">
        <v>24</v>
      </c>
      <c r="H20" s="6" t="n">
        <f aca="false">IF(G20&lt;&gt;0,G20*H$2/(100+H$2)," ")</f>
        <v>4</v>
      </c>
      <c r="I20" s="6" t="n">
        <f aca="false">IF((G20&lt;&gt;0),G20-H20," ")</f>
        <v>20</v>
      </c>
      <c r="J20" s="5"/>
      <c r="M20" s="7" t="n">
        <f aca="false">IF(G20&lt;&gt;0,G20-L20," ")</f>
        <v>24</v>
      </c>
      <c r="N20" s="8" t="n">
        <f aca="false">IF((G20-L20)&lt;&gt;0,N$1-A20," ")</f>
        <v>16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n">
        <f aca="false">IF((F20="h"),I20," ")</f>
        <v>20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96</v>
      </c>
    </row>
    <row r="21" customFormat="false" ht="12" hidden="false" customHeight="false" outlineLevel="0" collapsed="false">
      <c r="A21" s="27" t="n">
        <v>46279</v>
      </c>
      <c r="B21" s="2" t="s">
        <v>112</v>
      </c>
      <c r="E21" s="2" t="s">
        <v>113</v>
      </c>
      <c r="F21" s="2" t="s">
        <v>95</v>
      </c>
      <c r="G21" s="29" t="n">
        <v>12</v>
      </c>
      <c r="H21" s="6" t="n">
        <f aca="false">IF(G21&lt;&gt;0,G21*H$2/(100+H$2)," ")</f>
        <v>2</v>
      </c>
      <c r="I21" s="6" t="n">
        <f aca="false">IF((G21&lt;&gt;0),G21-H21," ")</f>
        <v>10</v>
      </c>
      <c r="J21" s="5"/>
      <c r="M21" s="7" t="n">
        <f aca="false">IF(G21&lt;&gt;0,G21-L21," ")</f>
        <v>12</v>
      </c>
      <c r="N21" s="8" t="n">
        <f aca="false">IF((G21-L21)&lt;&gt;0,N$1-A21," ")</f>
        <v>16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n">
        <f aca="false">IF((F21="h"),I21," ")</f>
        <v>10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96</v>
      </c>
    </row>
    <row r="22" customFormat="false" ht="12" hidden="false" customHeight="false" outlineLevel="0" collapsed="false">
      <c r="A22" s="27" t="n">
        <v>46280</v>
      </c>
      <c r="B22" s="2" t="s">
        <v>19</v>
      </c>
      <c r="E22" s="2" t="s">
        <v>89</v>
      </c>
      <c r="F22" s="2" t="s">
        <v>24</v>
      </c>
      <c r="G22" s="29" t="n">
        <v>150</v>
      </c>
      <c r="H22" s="6" t="n">
        <f aca="false">IF(G22&lt;&gt;0,G22*H$2/(100+H$2)," ")</f>
        <v>25</v>
      </c>
      <c r="I22" s="6" t="n">
        <f aca="false">IF((G22&lt;&gt;0),G22-H22," ")</f>
        <v>125</v>
      </c>
      <c r="J22" s="5"/>
      <c r="M22" s="7" t="n">
        <f aca="false">IF(G22&lt;&gt;0,G22-L22," ")</f>
        <v>150</v>
      </c>
      <c r="N22" s="8" t="n">
        <f aca="false">IF((G22-L22)&lt;&gt;0,N$1-A22," ")</f>
        <v>15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n">
        <f aca="false">IF((F22="v"),I22," ")</f>
        <v>125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90</v>
      </c>
    </row>
    <row r="23" customFormat="false" ht="12" hidden="false" customHeight="false" outlineLevel="0" collapsed="false">
      <c r="A23" s="27" t="n">
        <v>46280</v>
      </c>
      <c r="B23" s="2" t="s">
        <v>114</v>
      </c>
      <c r="E23" s="2" t="s">
        <v>115</v>
      </c>
      <c r="F23" s="2" t="s">
        <v>65</v>
      </c>
      <c r="G23" s="29" t="n">
        <v>12</v>
      </c>
      <c r="H23" s="6" t="n">
        <f aca="false">IF(G23&lt;&gt;0,G23*H$2/(100+H$2)," ")</f>
        <v>2</v>
      </c>
      <c r="I23" s="6" t="n">
        <f aca="false">IF((G23&lt;&gt;0),G23-H23," ")</f>
        <v>10</v>
      </c>
      <c r="J23" s="5"/>
      <c r="M23" s="7" t="n">
        <f aca="false">IF(G23&lt;&gt;0,G23-L23," ")</f>
        <v>12</v>
      </c>
      <c r="N23" s="8" t="n">
        <f aca="false">IF((G23-L23)&lt;&gt;0,N$1-A23," ")</f>
        <v>15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n">
        <f aca="false">IF((F23="g"),I23," ")</f>
        <v>10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66</v>
      </c>
    </row>
    <row r="24" customFormat="false" ht="12" hidden="false" customHeight="false" outlineLevel="0" collapsed="false">
      <c r="A24" s="27" t="n">
        <v>46280</v>
      </c>
      <c r="B24" s="2" t="s">
        <v>207</v>
      </c>
      <c r="E24" s="2" t="s">
        <v>208</v>
      </c>
      <c r="F24" s="2" t="s">
        <v>133</v>
      </c>
      <c r="G24" s="29" t="n">
        <v>960</v>
      </c>
      <c r="H24" s="6" t="n">
        <f aca="false">IF(G24&lt;&gt;0,G24*H$2/(100+H$2)," ")</f>
        <v>160</v>
      </c>
      <c r="I24" s="6" t="n">
        <f aca="false">IF((G24&lt;&gt;0),G24-H24," ")</f>
        <v>800</v>
      </c>
      <c r="J24" s="5"/>
      <c r="M24" s="7" t="n">
        <f aca="false">IF(G24&lt;&gt;0,G24-L24," ")</f>
        <v>960</v>
      </c>
      <c r="N24" s="8" t="n">
        <f aca="false">IF((G24-L24)&lt;&gt;0,N$1-A24," ")</f>
        <v>15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n">
        <f aca="false">IF((F24="l"),I24," ")</f>
        <v>800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134</v>
      </c>
    </row>
    <row r="25" customFormat="false" ht="12" hidden="false" customHeight="false" outlineLevel="0" collapsed="false">
      <c r="A25" s="27" t="n">
        <v>46281</v>
      </c>
      <c r="B25" s="2" t="s">
        <v>151</v>
      </c>
      <c r="E25" s="2" t="s">
        <v>152</v>
      </c>
      <c r="F25" s="2" t="s">
        <v>65</v>
      </c>
      <c r="G25" s="29" t="n">
        <v>12</v>
      </c>
      <c r="H25" s="6" t="n">
        <f aca="false">IF(G25&lt;&gt;0,G25*H$2/(100+H$2)," ")</f>
        <v>2</v>
      </c>
      <c r="I25" s="6" t="n">
        <f aca="false">IF((G25&lt;&gt;0),G25-H25," ")</f>
        <v>10</v>
      </c>
      <c r="J25" s="5"/>
      <c r="M25" s="7" t="n">
        <f aca="false">IF(G25&lt;&gt;0,G25-L25," ")</f>
        <v>12</v>
      </c>
      <c r="N25" s="8" t="n">
        <f aca="false">IF((G25-L25)&lt;&gt;0,N$1-A25," ")</f>
        <v>14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n">
        <f aca="false">IF((F25="g"),I25," ")</f>
        <v>10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66</v>
      </c>
    </row>
    <row r="26" customFormat="false" ht="12" hidden="false" customHeight="false" outlineLevel="0" collapsed="false">
      <c r="A26" s="27" t="n">
        <v>46283</v>
      </c>
      <c r="B26" s="2" t="s">
        <v>170</v>
      </c>
      <c r="E26" s="2" t="s">
        <v>171</v>
      </c>
      <c r="F26" s="2" t="s">
        <v>104</v>
      </c>
      <c r="G26" s="29" t="n">
        <v>240</v>
      </c>
      <c r="H26" s="6" t="n">
        <f aca="false">IF(G26&lt;&gt;0,G26*H$2/(100+H$2)," ")</f>
        <v>40</v>
      </c>
      <c r="I26" s="6" t="n">
        <f aca="false">IF((G26&lt;&gt;0),G26-H26," ")</f>
        <v>200</v>
      </c>
      <c r="J26" s="5"/>
      <c r="M26" s="7" t="n">
        <f aca="false">IF(G26&lt;&gt;0,G26-L26," ")</f>
        <v>240</v>
      </c>
      <c r="N26" s="8" t="n">
        <f aca="false">IF((G26-L26)&lt;&gt;0,N$1-A26," ")</f>
        <v>12</v>
      </c>
      <c r="O26" s="5"/>
      <c r="P26" s="19" t="n">
        <f aca="false">IF((F26="s"),I26," ")</f>
        <v>200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105</v>
      </c>
    </row>
    <row r="27" customFormat="false" ht="12" hidden="false" customHeight="false" outlineLevel="0" collapsed="false">
      <c r="A27" s="27" t="n">
        <v>46283</v>
      </c>
      <c r="B27" s="2" t="s">
        <v>116</v>
      </c>
      <c r="E27" s="2" t="s">
        <v>89</v>
      </c>
      <c r="F27" s="2" t="s">
        <v>24</v>
      </c>
      <c r="G27" s="29" t="n">
        <v>96</v>
      </c>
      <c r="H27" s="6" t="n">
        <f aca="false">IF(G27&lt;&gt;0,G27*H$2/(100+H$2)," ")</f>
        <v>16</v>
      </c>
      <c r="I27" s="6" t="n">
        <f aca="false">IF((G27&lt;&gt;0),G27-H27," ")</f>
        <v>80</v>
      </c>
      <c r="J27" s="5"/>
      <c r="M27" s="7" t="n">
        <f aca="false">IF(G27&lt;&gt;0,G27-L27," ")</f>
        <v>96</v>
      </c>
      <c r="N27" s="8" t="n">
        <f aca="false">IF((G27-L27)&lt;&gt;0,N$1-A27," ")</f>
        <v>12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n">
        <f aca="false">IF((F27="v"),I27," ")</f>
        <v>80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90</v>
      </c>
    </row>
    <row r="28" customFormat="false" ht="12" hidden="false" customHeight="false" outlineLevel="0" collapsed="false">
      <c r="A28" s="27" t="n">
        <v>46285</v>
      </c>
      <c r="B28" s="2" t="s">
        <v>117</v>
      </c>
      <c r="E28" s="2" t="s">
        <v>118</v>
      </c>
      <c r="F28" s="2" t="s">
        <v>65</v>
      </c>
      <c r="G28" s="29" t="n">
        <v>60</v>
      </c>
      <c r="H28" s="6" t="n">
        <f aca="false">IF(G28&lt;&gt;0,G28*H$2/(100+H$2)," ")</f>
        <v>10</v>
      </c>
      <c r="I28" s="6" t="n">
        <f aca="false">IF((G28&lt;&gt;0),G28-H28," ")</f>
        <v>50</v>
      </c>
      <c r="J28" s="5"/>
      <c r="M28" s="7" t="n">
        <f aca="false">IF(G28&lt;&gt;0,G28-L28," ")</f>
        <v>60</v>
      </c>
      <c r="N28" s="8" t="n">
        <f aca="false">IF((G28-L28)&lt;&gt;0,N$1-A28," ")</f>
        <v>10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50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66</v>
      </c>
    </row>
    <row r="29" customFormat="false" ht="12" hidden="false" customHeight="false" outlineLevel="0" collapsed="false">
      <c r="A29" s="27" t="n">
        <v>46286</v>
      </c>
      <c r="B29" s="2" t="s">
        <v>123</v>
      </c>
      <c r="E29" s="2" t="s">
        <v>124</v>
      </c>
      <c r="F29" s="2" t="s">
        <v>95</v>
      </c>
      <c r="G29" s="29" t="n">
        <v>8</v>
      </c>
      <c r="H29" s="6" t="n">
        <f aca="false">IF(G29&lt;&gt;0,G29*H$2/(100+H$2)," ")</f>
        <v>1.33333333333333</v>
      </c>
      <c r="I29" s="6" t="n">
        <f aca="false">IF((G29&lt;&gt;0),G29-H29," ")</f>
        <v>6.66666666666667</v>
      </c>
      <c r="J29" s="5"/>
      <c r="M29" s="7" t="n">
        <f aca="false">IF(G29&lt;&gt;0,G29-L29," ")</f>
        <v>8</v>
      </c>
      <c r="N29" s="8" t="n">
        <f aca="false">IF((G29-L29)&lt;&gt;0,N$1-A29," ")</f>
        <v>9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n">
        <f aca="false">IF((F29="h"),I29," ")</f>
        <v>6.66666666666667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96</v>
      </c>
    </row>
    <row r="30" customFormat="false" ht="12" hidden="false" customHeight="false" outlineLevel="0" collapsed="false">
      <c r="A30" s="27" t="n">
        <v>46287</v>
      </c>
      <c r="B30" s="2" t="s">
        <v>125</v>
      </c>
      <c r="E30" s="2" t="s">
        <v>126</v>
      </c>
      <c r="F30" s="2" t="s">
        <v>75</v>
      </c>
      <c r="G30" s="29" t="n">
        <v>18</v>
      </c>
      <c r="H30" s="6" t="n">
        <f aca="false">IF(G30&lt;&gt;0,G30*H$2/(100+H$2)," ")</f>
        <v>3</v>
      </c>
      <c r="I30" s="6" t="n">
        <f aca="false">IF((G30&lt;&gt;0),G30-H30," ")</f>
        <v>15</v>
      </c>
      <c r="J30" s="5"/>
      <c r="M30" s="7" t="n">
        <f aca="false">IF(G30&lt;&gt;0,G30-L30," ")</f>
        <v>18</v>
      </c>
      <c r="N30" s="8" t="n">
        <f aca="false">IF((G30-L30)&lt;&gt;0,N$1-A30," ")</f>
        <v>8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n">
        <f aca="false">IF((F30="y"),I30," ")</f>
        <v>15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85</v>
      </c>
    </row>
    <row r="31" customFormat="false" ht="12" hidden="false" customHeight="false" outlineLevel="0" collapsed="false">
      <c r="A31" s="27" t="n">
        <v>46287</v>
      </c>
      <c r="B31" s="2" t="s">
        <v>158</v>
      </c>
      <c r="E31" s="2" t="s">
        <v>159</v>
      </c>
      <c r="F31" s="2" t="s">
        <v>24</v>
      </c>
      <c r="G31" s="29" t="n">
        <v>72</v>
      </c>
      <c r="H31" s="6" t="n">
        <f aca="false">IF(G31&lt;&gt;0,G31*H$2/(100+H$2)," ")</f>
        <v>12</v>
      </c>
      <c r="I31" s="6" t="n">
        <f aca="false">IF((G31&lt;&gt;0),G31-H31," ")</f>
        <v>60</v>
      </c>
      <c r="J31" s="5"/>
      <c r="M31" s="7" t="n">
        <f aca="false">IF(G31&lt;&gt;0,G31-L31," ")</f>
        <v>72</v>
      </c>
      <c r="N31" s="8" t="n">
        <f aca="false">IF((G31-L31)&lt;&gt;0,N$1-A31," ")</f>
        <v>8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n">
        <f aca="false">IF((F31="v"),I31," ")</f>
        <v>60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90</v>
      </c>
    </row>
    <row r="32" customFormat="false" ht="12" hidden="false" customHeight="false" outlineLevel="0" collapsed="false">
      <c r="A32" s="27" t="n">
        <v>46290</v>
      </c>
      <c r="B32" s="2" t="s">
        <v>172</v>
      </c>
      <c r="E32" s="2" t="s">
        <v>173</v>
      </c>
      <c r="F32" s="2" t="s">
        <v>61</v>
      </c>
      <c r="G32" s="29" t="n">
        <v>300</v>
      </c>
      <c r="H32" s="6" t="n">
        <f aca="false">IF(G32&lt;&gt;0,G32*H$2/(100+H$2)," ")</f>
        <v>50</v>
      </c>
      <c r="I32" s="6" t="n">
        <f aca="false">IF((G32&lt;&gt;0),G32-H32," ")</f>
        <v>250</v>
      </c>
      <c r="J32" s="5"/>
      <c r="M32" s="7" t="n">
        <f aca="false">IF(G32&lt;&gt;0,G32-L32," ")</f>
        <v>300</v>
      </c>
      <c r="N32" s="8" t="n">
        <f aca="false">IF((G32-L32)&lt;&gt;0,N$1-A32," ")</f>
        <v>5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n">
        <f aca="false">IF((F32="p"),I32," ")</f>
        <v>250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174</v>
      </c>
    </row>
    <row r="33" customFormat="false" ht="12" hidden="false" customHeight="false" outlineLevel="0" collapsed="false">
      <c r="A33" s="27" t="n">
        <v>46290</v>
      </c>
      <c r="B33" s="2" t="s">
        <v>127</v>
      </c>
      <c r="E33" s="2" t="s">
        <v>128</v>
      </c>
      <c r="F33" s="2" t="s">
        <v>75</v>
      </c>
      <c r="G33" s="29" t="n">
        <v>15</v>
      </c>
      <c r="H33" s="6" t="n">
        <f aca="false">IF(G33&lt;&gt;0,G33*H$2/(100+H$2)," ")</f>
        <v>2.5</v>
      </c>
      <c r="I33" s="6" t="n">
        <f aca="false">IF((G33&lt;&gt;0),G33-H33," ")</f>
        <v>12.5</v>
      </c>
      <c r="J33" s="5"/>
      <c r="M33" s="7" t="n">
        <f aca="false">IF(G33&lt;&gt;0,G33-L33," ")</f>
        <v>15</v>
      </c>
      <c r="N33" s="8" t="n">
        <f aca="false">IF((G33-L33)&lt;&gt;0,N$1-A33," ")</f>
        <v>5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n">
        <f aca="false">IF((F33="y"),I33," ")</f>
        <v>12.5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85</v>
      </c>
    </row>
    <row r="34" customFormat="false" ht="12" hidden="false" customHeight="false" outlineLevel="0" collapsed="false">
      <c r="A34" s="27" t="n">
        <v>46290</v>
      </c>
      <c r="B34" s="2" t="s">
        <v>129</v>
      </c>
      <c r="D34" s="4" t="n">
        <v>160</v>
      </c>
      <c r="E34" s="2" t="s">
        <v>209</v>
      </c>
      <c r="F34" s="2" t="s">
        <v>24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90</v>
      </c>
    </row>
    <row r="35" customFormat="false" ht="12" hidden="false" customHeight="false" outlineLevel="0" collapsed="false">
      <c r="A35" s="27" t="n">
        <v>46293</v>
      </c>
      <c r="B35" s="2" t="s">
        <v>19</v>
      </c>
      <c r="E35" s="2" t="s">
        <v>131</v>
      </c>
      <c r="F35" s="2" t="s">
        <v>24</v>
      </c>
      <c r="G35" s="29" t="n">
        <v>120</v>
      </c>
      <c r="H35" s="6" t="n">
        <f aca="false">IF(G35&lt;&gt;0,G35*H$2/(100+H$2)," ")</f>
        <v>20</v>
      </c>
      <c r="I35" s="6" t="n">
        <f aca="false">IF((G35&lt;&gt;0),G35-H35," ")</f>
        <v>100</v>
      </c>
      <c r="J35" s="5"/>
      <c r="M35" s="7" t="n">
        <f aca="false">IF(G35&lt;&gt;0,G35-L35," ")</f>
        <v>120</v>
      </c>
      <c r="N35" s="8" t="n">
        <f aca="false">IF((G35-L35)&lt;&gt;0,N$1-A35," ")</f>
        <v>2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n">
        <f aca="false">IF((F35="v"),I35," ")</f>
        <v>100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90</v>
      </c>
    </row>
    <row r="36" customFormat="false" ht="12" hidden="false" customHeight="false" outlineLevel="0" collapsed="false">
      <c r="A36" s="27" t="n">
        <v>46295</v>
      </c>
      <c r="B36" s="2" t="s">
        <v>15</v>
      </c>
      <c r="E36" s="2" t="s">
        <v>132</v>
      </c>
      <c r="F36" s="2" t="s">
        <v>133</v>
      </c>
      <c r="G36" s="29" t="n">
        <v>300</v>
      </c>
      <c r="H36" s="6" t="n">
        <f aca="false">IF(G36&lt;&gt;0,G36*H$2/(100+H$2)," ")</f>
        <v>50</v>
      </c>
      <c r="I36" s="6" t="n">
        <f aca="false">IF((G36&lt;&gt;0),G36-H36," ")</f>
        <v>250</v>
      </c>
      <c r="J36" s="5"/>
      <c r="M36" s="7" t="n">
        <f aca="false">IF(G36&lt;&gt;0,G36-L36," ")</f>
        <v>300</v>
      </c>
      <c r="N36" s="8" t="n">
        <f aca="false">IF((G36-L36)&lt;&gt;0,N$1-A36," ")</f>
        <v>0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n">
        <f aca="false">IF((F36="l"),I36," ")</f>
        <v>250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  <c r="BZ36" s="2" t="s">
        <v>134</v>
      </c>
    </row>
    <row r="37" customFormat="false" ht="12" hidden="false" customHeight="false" outlineLevel="0" collapsed="false">
      <c r="A37" s="27" t="n">
        <v>46295</v>
      </c>
      <c r="B37" s="2" t="s">
        <v>176</v>
      </c>
      <c r="C37" s="3" t="s">
        <v>210</v>
      </c>
      <c r="E37" s="2" t="s">
        <v>178</v>
      </c>
      <c r="F37" s="2" t="s">
        <v>133</v>
      </c>
      <c r="G37" s="29" t="n">
        <v>208</v>
      </c>
      <c r="H37" s="6" t="n">
        <f aca="false">IF(G37&lt;&gt;0,G37*H$2/(100+H$2)," ")</f>
        <v>34.6666666666667</v>
      </c>
      <c r="I37" s="6" t="n">
        <f aca="false">IF((G37&lt;&gt;0),G37-H37," ")</f>
        <v>173.333333333333</v>
      </c>
      <c r="J37" s="5"/>
      <c r="M37" s="7" t="n">
        <f aca="false">IF(G37&lt;&gt;0,G37-L37," ")</f>
        <v>208</v>
      </c>
      <c r="N37" s="8" t="n">
        <f aca="false">IF((G37-L37)&lt;&gt;0,N$1-A37," ")</f>
        <v>0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n">
        <f aca="false">IF((F37="l"),I37," ")</f>
        <v>173.333333333333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  <c r="BZ37" s="2" t="s">
        <v>179</v>
      </c>
    </row>
    <row r="38" customFormat="false" ht="12" hidden="false" customHeight="false" outlineLevel="0" collapsed="false">
      <c r="A38" s="27" t="n">
        <v>46266</v>
      </c>
      <c r="B38" s="2" t="s">
        <v>180</v>
      </c>
      <c r="C38" s="3" t="s">
        <v>211</v>
      </c>
      <c r="E38" s="2" t="s">
        <v>212</v>
      </c>
      <c r="F38" s="2" t="s">
        <v>149</v>
      </c>
      <c r="G38" s="29" t="n">
        <v>8400</v>
      </c>
      <c r="H38" s="6" t="n">
        <f aca="false">IF(G38&lt;&gt;0,G38*H$2/(100+H$2)," ")</f>
        <v>1400</v>
      </c>
      <c r="I38" s="6" t="n">
        <f aca="false">IF((G38&lt;&gt;0),G38-H38," ")</f>
        <v>7000</v>
      </c>
      <c r="J38" s="5"/>
      <c r="M38" s="7" t="n">
        <f aca="false">IF(G38&lt;&gt;0,G38-L38," ")</f>
        <v>8400</v>
      </c>
      <c r="N38" s="8" t="n">
        <f aca="false">IF((G38-L38)&lt;&gt;0,N$1-A38," ")</f>
        <v>29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n">
        <f aca="false">IF((F38="fa"),I38," ")</f>
        <v>7000</v>
      </c>
      <c r="AC38" s="19" t="str">
        <f aca="false">IF((F38="e"),I38," ")</f>
        <v> </v>
      </c>
      <c r="BZ38" s="2" t="s">
        <v>150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82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95</v>
      </c>
      <c r="E1" s="13" t="s">
        <v>3</v>
      </c>
      <c r="F1" s="14"/>
      <c r="G1" s="13" t="n">
        <f aca="false">SUM(G2:G300)</f>
        <v>43015.25</v>
      </c>
      <c r="H1" s="13" t="n">
        <f aca="false">SUM(H5:H200)</f>
        <v>7160.5</v>
      </c>
      <c r="I1" s="13" t="n">
        <f aca="false">SUM(I2:I200)</f>
        <v>35854.75</v>
      </c>
      <c r="J1" s="15"/>
      <c r="K1" s="16" t="s">
        <v>4</v>
      </c>
      <c r="L1" s="17" t="n">
        <f aca="false">SUM(L5:L300)</f>
        <v>0</v>
      </c>
      <c r="M1" s="17" t="n">
        <f aca="false">SUM(M5:M200)</f>
        <v>42963</v>
      </c>
      <c r="N1" s="18" t="n">
        <f aca="true">TODAY()</f>
        <v>46295</v>
      </c>
      <c r="O1" s="15"/>
      <c r="P1" s="13" t="n">
        <f aca="false">SUM(P5:P300)</f>
        <v>400</v>
      </c>
      <c r="Q1" s="13" t="n">
        <f aca="false">SUM(Q5:Q300)</f>
        <v>0</v>
      </c>
      <c r="R1" s="13" t="n">
        <f aca="false">SUM(R5:R300)</f>
        <v>237.5</v>
      </c>
      <c r="S1" s="13" t="n">
        <f aca="false">SUM(S5:S300)</f>
        <v>0</v>
      </c>
      <c r="T1" s="13" t="n">
        <f aca="false">SUM(T5:T300)</f>
        <v>1000</v>
      </c>
      <c r="U1" s="13" t="n">
        <f aca="false">SUM(U5:U300)</f>
        <v>80</v>
      </c>
      <c r="V1" s="13" t="n">
        <f aca="false">SUM(V5:V300)</f>
        <v>262.5</v>
      </c>
      <c r="W1" s="13" t="n">
        <f aca="false">SUM(W2:W300)</f>
        <v>522.25</v>
      </c>
      <c r="X1" s="13" t="n">
        <f aca="false">SUM(X5:X300)</f>
        <v>176.666666666667</v>
      </c>
      <c r="Y1" s="13" t="n">
        <f aca="false">SUM(Y5:Y300)</f>
        <v>2500</v>
      </c>
      <c r="Z1" s="13" t="n">
        <f aca="false">SUM(Z5:Z300)</f>
        <v>250</v>
      </c>
      <c r="AA1" s="13" t="n">
        <f aca="false">SUM(AA5:AA300)</f>
        <v>425.833333333333</v>
      </c>
      <c r="AB1" s="13" t="n">
        <f aca="false">SUM(AB5:AB300)</f>
        <v>30000</v>
      </c>
      <c r="AC1" s="41" t="n">
        <f aca="false">SUM(AC5:AC300)</f>
        <v>0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G2+Sep!A2</f>
        <v>434.5</v>
      </c>
      <c r="B2" s="44" t="s">
        <v>22</v>
      </c>
      <c r="C2" s="43" t="n">
        <f aca="false">Sep!C2+D1+[1]Oct!$D$1</f>
        <v>790</v>
      </c>
      <c r="D2" s="45" t="s">
        <v>23</v>
      </c>
      <c r="E2" s="20" t="s">
        <v>5</v>
      </c>
      <c r="F2" s="44" t="str">
        <f aca="false">Sep!F2</f>
        <v>v</v>
      </c>
      <c r="G2" s="46" t="n">
        <f aca="false">IF(C2&lt;[2]Admin!$F$22,(C2-Sep!C2)*[2]Admin!$G$21,C2*[2]Admin!$G$21-(C2-[2]Admin!$F$21)*([2]Admin!$G$21-[2]Admin!$G$22)-Sep!A2)</f>
        <v>52.25</v>
      </c>
      <c r="H2" s="21" t="n">
        <f aca="false">IF([1]Oct!$H$4&gt;0,0,[1]Oct!$H$2)</f>
        <v>20</v>
      </c>
      <c r="I2" s="47" t="n">
        <f aca="false">G2</f>
        <v>52.25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52.25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AB1+Sep!AB2</f>
        <v>52500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46296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-1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46296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-1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46296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-1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46296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-1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46296</v>
      </c>
      <c r="B9" s="2" t="s">
        <v>213</v>
      </c>
      <c r="E9" s="2" t="s">
        <v>214</v>
      </c>
      <c r="F9" s="2" t="s">
        <v>75</v>
      </c>
      <c r="G9" s="29" t="n">
        <v>360</v>
      </c>
      <c r="H9" s="6" t="n">
        <f aca="false">IF(G9&lt;&gt;0,G9*H$2/(100+H$2)," ")</f>
        <v>60</v>
      </c>
      <c r="I9" s="6" t="n">
        <f aca="false">IF((G9&lt;&gt;0),G9-H9," ")</f>
        <v>300</v>
      </c>
      <c r="J9" s="5"/>
      <c r="M9" s="7" t="n">
        <f aca="false">IF(G9&lt;&gt;0,G9-L9," ")</f>
        <v>360</v>
      </c>
      <c r="N9" s="8" t="n">
        <f aca="false">IF((G9-L9)&lt;&gt;0,N$1-A9," ")</f>
        <v>-1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n">
        <f aca="false">IF((F9="y"),I9," ")</f>
        <v>300</v>
      </c>
      <c r="AB9" s="19" t="str">
        <f aca="false">IF((F9="fa"),I9," ")</f>
        <v> </v>
      </c>
      <c r="AC9" s="19" t="str">
        <f aca="false">IF((F9="e"),I9," ")</f>
        <v> </v>
      </c>
      <c r="BZ9" s="2" t="s">
        <v>76</v>
      </c>
    </row>
    <row r="10" customFormat="false" ht="12" hidden="false" customHeight="false" outlineLevel="0" collapsed="false">
      <c r="A10" s="27" t="n">
        <v>46296</v>
      </c>
      <c r="B10" s="2" t="s">
        <v>77</v>
      </c>
      <c r="E10" s="2" t="s">
        <v>78</v>
      </c>
      <c r="F10" s="2" t="s">
        <v>71</v>
      </c>
      <c r="G10" s="29" t="n">
        <v>24</v>
      </c>
      <c r="H10" s="6" t="n">
        <f aca="false">IF(G10&lt;&gt;0,G10*H$2/(100+H$2)," ")</f>
        <v>4</v>
      </c>
      <c r="I10" s="6" t="n">
        <f aca="false">IF((G10&lt;&gt;0),G10-H10," ")</f>
        <v>20</v>
      </c>
      <c r="J10" s="5"/>
      <c r="M10" s="7" t="n">
        <f aca="false">IF(G10&lt;&gt;0,G10-L10," ")</f>
        <v>24</v>
      </c>
      <c r="N10" s="8" t="n">
        <f aca="false">IF((G10-L10)&lt;&gt;0,N$1-A10," ")</f>
        <v>-1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n">
        <f aca="false">IF((F10="o"),I10," ")</f>
        <v>20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72</v>
      </c>
    </row>
    <row r="11" customFormat="false" ht="12" hidden="false" customHeight="false" outlineLevel="0" collapsed="false">
      <c r="A11" s="27" t="n">
        <v>46296</v>
      </c>
      <c r="B11" s="2" t="s">
        <v>79</v>
      </c>
      <c r="E11" s="2" t="s">
        <v>80</v>
      </c>
      <c r="F11" s="2" t="s">
        <v>65</v>
      </c>
      <c r="G11" s="29" t="n">
        <v>18</v>
      </c>
      <c r="H11" s="6" t="n">
        <f aca="false">IF(G11&lt;&gt;0,G11*H$2/(100+H$2)," ")</f>
        <v>3</v>
      </c>
      <c r="I11" s="6" t="n">
        <f aca="false">IF((G11&lt;&gt;0),G11-H11," ")</f>
        <v>15</v>
      </c>
      <c r="J11" s="5"/>
      <c r="M11" s="7" t="n">
        <f aca="false">IF(G11&lt;&gt;0,G11-L11," ")</f>
        <v>18</v>
      </c>
      <c r="N11" s="8" t="n">
        <f aca="false">IF((G11-L11)&lt;&gt;0,N$1-A11," ")</f>
        <v>-1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n">
        <f aca="false">IF((F11="g"),I11," ")</f>
        <v>15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66</v>
      </c>
    </row>
    <row r="12" customFormat="false" ht="12" hidden="false" customHeight="false" outlineLevel="0" collapsed="false">
      <c r="A12" s="27" t="n">
        <v>46298</v>
      </c>
      <c r="B12" s="2" t="s">
        <v>81</v>
      </c>
      <c r="E12" s="2" t="s">
        <v>82</v>
      </c>
      <c r="F12" s="2" t="s">
        <v>71</v>
      </c>
      <c r="G12" s="29" t="n">
        <v>180</v>
      </c>
      <c r="H12" s="6" t="n">
        <f aca="false">IF(G12&lt;&gt;0,G12*H$2/(100+H$2)," ")</f>
        <v>30</v>
      </c>
      <c r="I12" s="6" t="n">
        <f aca="false">IF((G12&lt;&gt;0),G12-H12," ")</f>
        <v>150</v>
      </c>
      <c r="J12" s="5"/>
      <c r="M12" s="7" t="n">
        <f aca="false">IF(G12&lt;&gt;0,G12-L12," ")</f>
        <v>180</v>
      </c>
      <c r="N12" s="8" t="n">
        <f aca="false">IF((G12-L12)&lt;&gt;0,N$1-A12," ")</f>
        <v>-3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n">
        <f aca="false">IF((F12="o"),I12," ")</f>
        <v>150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72</v>
      </c>
    </row>
    <row r="13" customFormat="false" ht="12" hidden="false" customHeight="false" outlineLevel="0" collapsed="false">
      <c r="A13" s="27" t="n">
        <v>46298</v>
      </c>
      <c r="B13" s="2" t="s">
        <v>83</v>
      </c>
      <c r="E13" s="2" t="s">
        <v>84</v>
      </c>
      <c r="F13" s="2" t="s">
        <v>75</v>
      </c>
      <c r="G13" s="29" t="n">
        <v>22</v>
      </c>
      <c r="H13" s="6" t="n">
        <f aca="false">IF(G13&lt;&gt;0,G13*H$2/(100+H$2)," ")</f>
        <v>3.66666666666667</v>
      </c>
      <c r="I13" s="6" t="n">
        <f aca="false">IF((G13&lt;&gt;0),G13-H13," ")</f>
        <v>18.3333333333333</v>
      </c>
      <c r="J13" s="5"/>
      <c r="M13" s="7" t="n">
        <f aca="false">IF(G13&lt;&gt;0,G13-L13," ")</f>
        <v>22</v>
      </c>
      <c r="N13" s="8" t="n">
        <f aca="false">IF((G13-L13)&lt;&gt;0,N$1-A13," ")</f>
        <v>-3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18.3333333333333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46300</v>
      </c>
      <c r="B14" s="2" t="s">
        <v>86</v>
      </c>
      <c r="E14" s="2" t="s">
        <v>87</v>
      </c>
      <c r="F14" s="2" t="s">
        <v>75</v>
      </c>
      <c r="G14" s="29" t="n">
        <v>24</v>
      </c>
      <c r="H14" s="6" t="n">
        <f aca="false">IF(G14&lt;&gt;0,G14*H$2/(100+H$2)," ")</f>
        <v>4</v>
      </c>
      <c r="I14" s="6" t="n">
        <f aca="false">IF((G14&lt;&gt;0),G14-H14," ")</f>
        <v>20</v>
      </c>
      <c r="J14" s="5"/>
      <c r="M14" s="7" t="n">
        <f aca="false">IF(G14&lt;&gt;0,G14-L14," ")</f>
        <v>24</v>
      </c>
      <c r="N14" s="8" t="n">
        <f aca="false">IF((G14-L14)&lt;&gt;0,N$1-A14," ")</f>
        <v>-5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n">
        <f aca="false">IF((F14="y"),I14," ")</f>
        <v>20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85</v>
      </c>
    </row>
    <row r="15" customFormat="false" ht="12" hidden="false" customHeight="false" outlineLevel="0" collapsed="false">
      <c r="A15" s="27" t="n">
        <v>46300</v>
      </c>
      <c r="B15" s="2" t="s">
        <v>88</v>
      </c>
      <c r="E15" s="2" t="s">
        <v>89</v>
      </c>
      <c r="F15" s="2" t="s">
        <v>24</v>
      </c>
      <c r="G15" s="29" t="n">
        <v>180</v>
      </c>
      <c r="H15" s="6" t="n">
        <f aca="false">IF(G15&lt;&gt;0,G15*H$2/(100+H$2)," ")</f>
        <v>30</v>
      </c>
      <c r="I15" s="6" t="n">
        <f aca="false">IF((G15&lt;&gt;0),G15-H15," ")</f>
        <v>150</v>
      </c>
      <c r="J15" s="5"/>
      <c r="M15" s="7" t="n">
        <f aca="false">IF(G15&lt;&gt;0,G15-L15," ")</f>
        <v>180</v>
      </c>
      <c r="N15" s="8" t="n">
        <f aca="false">IF((G15-L15)&lt;&gt;0,N$1-A15," ")</f>
        <v>-5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n">
        <f aca="false">IF((F15="v"),I15," ")</f>
        <v>150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90</v>
      </c>
    </row>
    <row r="16" customFormat="false" ht="12" hidden="false" customHeight="false" outlineLevel="0" collapsed="false">
      <c r="A16" s="27" t="n">
        <v>46300</v>
      </c>
      <c r="B16" s="2" t="s">
        <v>91</v>
      </c>
      <c r="E16" s="2" t="s">
        <v>92</v>
      </c>
      <c r="F16" s="2" t="s">
        <v>71</v>
      </c>
      <c r="G16" s="29" t="n">
        <v>36</v>
      </c>
      <c r="H16" s="6" t="n">
        <f aca="false">IF(G16&lt;&gt;0,G16*H$2/(100+H$2)," ")</f>
        <v>6</v>
      </c>
      <c r="I16" s="6" t="n">
        <f aca="false">IF((G16&lt;&gt;0),G16-H16," ")</f>
        <v>30</v>
      </c>
      <c r="J16" s="5"/>
      <c r="M16" s="7" t="n">
        <f aca="false">IF(G16&lt;&gt;0,G16-L16," ")</f>
        <v>36</v>
      </c>
      <c r="N16" s="8" t="n">
        <f aca="false">IF((G16-L16)&lt;&gt;0,N$1-A16," ")</f>
        <v>-5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n">
        <f aca="false">IF((F16="o"),I16," ")</f>
        <v>30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72</v>
      </c>
    </row>
    <row r="17" customFormat="false" ht="12" hidden="false" customHeight="false" outlineLevel="0" collapsed="false">
      <c r="A17" s="27" t="n">
        <v>46303</v>
      </c>
      <c r="B17" s="2" t="s">
        <v>93</v>
      </c>
      <c r="E17" s="2" t="s">
        <v>94</v>
      </c>
      <c r="F17" s="2" t="s">
        <v>95</v>
      </c>
      <c r="G17" s="29" t="n">
        <v>48</v>
      </c>
      <c r="H17" s="6" t="n">
        <f aca="false">IF(G17&lt;&gt;0,G17*H$2/(100+H$2)," ")</f>
        <v>8</v>
      </c>
      <c r="I17" s="6" t="n">
        <f aca="false">IF((G17&lt;&gt;0),G17-H17," ")</f>
        <v>40</v>
      </c>
      <c r="J17" s="5"/>
      <c r="M17" s="7" t="n">
        <f aca="false">IF(G17&lt;&gt;0,G17-L17," ")</f>
        <v>48</v>
      </c>
      <c r="N17" s="8" t="n">
        <f aca="false">IF((G17-L17)&lt;&gt;0,N$1-A17," ")</f>
        <v>-8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n">
        <f aca="false">IF((F17="h"),I17," ")</f>
        <v>40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96</v>
      </c>
    </row>
    <row r="18" customFormat="false" ht="12" hidden="false" customHeight="false" outlineLevel="0" collapsed="false">
      <c r="A18" s="27" t="n">
        <v>46305</v>
      </c>
      <c r="B18" s="2" t="s">
        <v>97</v>
      </c>
      <c r="E18" s="2" t="s">
        <v>98</v>
      </c>
      <c r="F18" s="2" t="s">
        <v>75</v>
      </c>
      <c r="G18" s="29" t="n">
        <v>36</v>
      </c>
      <c r="H18" s="6" t="n">
        <f aca="false">IF(G18&lt;&gt;0,G18*H$2/(100+H$2)," ")</f>
        <v>6</v>
      </c>
      <c r="I18" s="6" t="n">
        <f aca="false">IF((G18&lt;&gt;0),G18-H18," ")</f>
        <v>30</v>
      </c>
      <c r="J18" s="5"/>
      <c r="M18" s="7" t="n">
        <f aca="false">IF(G18&lt;&gt;0,G18-L18," ")</f>
        <v>36</v>
      </c>
      <c r="N18" s="8" t="n">
        <f aca="false">IF((G18-L18)&lt;&gt;0,N$1-A18," ")</f>
        <v>-10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n">
        <f aca="false">IF((F18="y"),I18," ")</f>
        <v>30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85</v>
      </c>
    </row>
    <row r="19" customFormat="false" ht="12" hidden="false" customHeight="false" outlineLevel="0" collapsed="false">
      <c r="A19" s="27" t="n">
        <v>46305</v>
      </c>
      <c r="B19" s="2" t="s">
        <v>99</v>
      </c>
      <c r="E19" s="2" t="s">
        <v>100</v>
      </c>
      <c r="F19" s="2" t="s">
        <v>65</v>
      </c>
      <c r="G19" s="29" t="n">
        <v>180</v>
      </c>
      <c r="H19" s="6" t="n">
        <f aca="false">IF(G19&lt;&gt;0,G19*H$2/(100+H$2)," ")</f>
        <v>30</v>
      </c>
      <c r="I19" s="6" t="n">
        <f aca="false">IF((G19&lt;&gt;0),G19-H19," ")</f>
        <v>150</v>
      </c>
      <c r="J19" s="5"/>
      <c r="M19" s="7" t="n">
        <f aca="false">IF(G19&lt;&gt;0,G19-L19," ")</f>
        <v>180</v>
      </c>
      <c r="N19" s="8" t="n">
        <f aca="false">IF((G19-L19)&lt;&gt;0,N$1-A19," ")</f>
        <v>-10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n">
        <f aca="false">IF((F19="g"),I19," ")</f>
        <v>150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101</v>
      </c>
    </row>
    <row r="20" customFormat="false" ht="12" hidden="false" customHeight="false" outlineLevel="0" collapsed="false">
      <c r="A20" s="27" t="n">
        <v>46305</v>
      </c>
      <c r="B20" s="2" t="s">
        <v>102</v>
      </c>
      <c r="E20" s="2" t="s">
        <v>103</v>
      </c>
      <c r="F20" s="2" t="s">
        <v>104</v>
      </c>
      <c r="G20" s="29" t="n">
        <v>480</v>
      </c>
      <c r="H20" s="6" t="n">
        <f aca="false">IF(G20&lt;&gt;0,G20*H$2/(100+H$2)," ")</f>
        <v>80</v>
      </c>
      <c r="I20" s="6" t="n">
        <f aca="false">IF((G20&lt;&gt;0),G20-H20," ")</f>
        <v>400</v>
      </c>
      <c r="J20" s="5"/>
      <c r="M20" s="7" t="n">
        <f aca="false">IF(G20&lt;&gt;0,G20-L20," ")</f>
        <v>480</v>
      </c>
      <c r="N20" s="8" t="n">
        <f aca="false">IF((G20-L20)&lt;&gt;0,N$1-A20," ")</f>
        <v>-10</v>
      </c>
      <c r="O20" s="5"/>
      <c r="P20" s="19" t="n">
        <f aca="false">IF((F20="s"),I20," ")</f>
        <v>400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105</v>
      </c>
    </row>
    <row r="21" customFormat="false" ht="12" hidden="false" customHeight="false" outlineLevel="0" collapsed="false">
      <c r="A21" s="27" t="n">
        <v>46305</v>
      </c>
      <c r="B21" s="2" t="s">
        <v>140</v>
      </c>
      <c r="E21" s="2" t="s">
        <v>215</v>
      </c>
      <c r="F21" s="2" t="s">
        <v>142</v>
      </c>
      <c r="G21" s="29" t="n">
        <v>1800</v>
      </c>
      <c r="H21" s="6" t="n">
        <f aca="false">IF(G21&lt;&gt;0,G21*H$2/(100+H$2)," ")</f>
        <v>300</v>
      </c>
      <c r="I21" s="6" t="n">
        <f aca="false">IF((G21&lt;&gt;0),G21-H21," ")</f>
        <v>1500</v>
      </c>
      <c r="J21" s="5"/>
      <c r="M21" s="7" t="n">
        <f aca="false">IF(G21&lt;&gt;0,G21-L21," ")</f>
        <v>1800</v>
      </c>
      <c r="N21" s="8" t="n">
        <f aca="false">IF((G21-L21)&lt;&gt;0,N$1-A21," ")</f>
        <v>-10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n">
        <f aca="false">IF((F21="a"),I21," ")</f>
        <v>1500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143</v>
      </c>
    </row>
    <row r="22" customFormat="false" ht="12" hidden="false" customHeight="false" outlineLevel="0" collapsed="false">
      <c r="A22" s="27" t="n">
        <v>46307</v>
      </c>
      <c r="B22" s="2" t="s">
        <v>106</v>
      </c>
      <c r="E22" s="2" t="s">
        <v>107</v>
      </c>
      <c r="F22" s="2" t="s">
        <v>24</v>
      </c>
      <c r="G22" s="29" t="n">
        <v>18</v>
      </c>
      <c r="H22" s="6" t="n">
        <f aca="false">IF(G22&lt;&gt;0,G22*H$2/(100+H$2)," ")</f>
        <v>3</v>
      </c>
      <c r="I22" s="6" t="n">
        <f aca="false">IF((G22&lt;&gt;0),G22-H22," ")</f>
        <v>15</v>
      </c>
      <c r="J22" s="5"/>
      <c r="M22" s="7" t="n">
        <f aca="false">IF(G22&lt;&gt;0,G22-L22," ")</f>
        <v>18</v>
      </c>
      <c r="N22" s="8" t="n">
        <f aca="false">IF((G22-L22)&lt;&gt;0,N$1-A22," ")</f>
        <v>-12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n">
        <f aca="false">IF((F22="v"),I22," ")</f>
        <v>15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90</v>
      </c>
    </row>
    <row r="23" customFormat="false" ht="12" hidden="false" customHeight="false" outlineLevel="0" collapsed="false">
      <c r="A23" s="27" t="n">
        <v>46309</v>
      </c>
      <c r="B23" s="2" t="s">
        <v>108</v>
      </c>
      <c r="E23" s="2" t="s">
        <v>109</v>
      </c>
      <c r="F23" s="2" t="s">
        <v>75</v>
      </c>
      <c r="G23" s="29" t="n">
        <v>36</v>
      </c>
      <c r="H23" s="6" t="n">
        <f aca="false">IF(G23&lt;&gt;0,G23*H$2/(100+H$2)," ")</f>
        <v>6</v>
      </c>
      <c r="I23" s="6" t="n">
        <f aca="false">IF((G23&lt;&gt;0),G23-H23," ")</f>
        <v>30</v>
      </c>
      <c r="J23" s="5"/>
      <c r="M23" s="7" t="n">
        <f aca="false">IF(G23&lt;&gt;0,G23-L23," ")</f>
        <v>36</v>
      </c>
      <c r="N23" s="8" t="n">
        <f aca="false">IF((G23-L23)&lt;&gt;0,N$1-A23," ")</f>
        <v>-14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n">
        <f aca="false">IF((F23="y"),I23," ")</f>
        <v>30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85</v>
      </c>
    </row>
    <row r="24" customFormat="false" ht="12" hidden="false" customHeight="false" outlineLevel="0" collapsed="false">
      <c r="A24" s="27" t="n">
        <v>46309</v>
      </c>
      <c r="B24" s="2" t="s">
        <v>110</v>
      </c>
      <c r="E24" s="2" t="s">
        <v>111</v>
      </c>
      <c r="F24" s="2" t="s">
        <v>95</v>
      </c>
      <c r="G24" s="29" t="n">
        <v>24</v>
      </c>
      <c r="H24" s="6" t="n">
        <f aca="false">IF(G24&lt;&gt;0,G24*H$2/(100+H$2)," ")</f>
        <v>4</v>
      </c>
      <c r="I24" s="6" t="n">
        <f aca="false">IF((G24&lt;&gt;0),G24-H24," ")</f>
        <v>20</v>
      </c>
      <c r="J24" s="5"/>
      <c r="M24" s="7" t="n">
        <f aca="false">IF(G24&lt;&gt;0,G24-L24," ")</f>
        <v>24</v>
      </c>
      <c r="N24" s="8" t="n">
        <f aca="false">IF((G24-L24)&lt;&gt;0,N$1-A24," ")</f>
        <v>-14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n">
        <f aca="false">IF((F24="h"),I24," ")</f>
        <v>20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96</v>
      </c>
    </row>
    <row r="25" customFormat="false" ht="12" hidden="false" customHeight="false" outlineLevel="0" collapsed="false">
      <c r="A25" s="27" t="n">
        <v>46309</v>
      </c>
      <c r="B25" s="2" t="s">
        <v>112</v>
      </c>
      <c r="E25" s="2" t="s">
        <v>113</v>
      </c>
      <c r="F25" s="2" t="s">
        <v>95</v>
      </c>
      <c r="G25" s="29" t="n">
        <v>12</v>
      </c>
      <c r="H25" s="6" t="n">
        <f aca="false">IF(G25&lt;&gt;0,G25*H$2/(100+H$2)," ")</f>
        <v>2</v>
      </c>
      <c r="I25" s="6" t="n">
        <f aca="false">IF((G25&lt;&gt;0),G25-H25," ")</f>
        <v>10</v>
      </c>
      <c r="J25" s="5"/>
      <c r="M25" s="7" t="n">
        <f aca="false">IF(G25&lt;&gt;0,G25-L25," ")</f>
        <v>12</v>
      </c>
      <c r="N25" s="8" t="n">
        <f aca="false">IF((G25-L25)&lt;&gt;0,N$1-A25," ")</f>
        <v>-14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n">
        <f aca="false">IF((F25="h"),I25," ")</f>
        <v>10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96</v>
      </c>
    </row>
    <row r="26" customFormat="false" ht="12" hidden="false" customHeight="false" outlineLevel="0" collapsed="false">
      <c r="A26" s="27" t="n">
        <v>46310</v>
      </c>
      <c r="B26" s="2" t="s">
        <v>19</v>
      </c>
      <c r="E26" s="2" t="s">
        <v>89</v>
      </c>
      <c r="F26" s="2" t="s">
        <v>24</v>
      </c>
      <c r="G26" s="29" t="n">
        <v>150</v>
      </c>
      <c r="H26" s="6" t="n">
        <f aca="false">IF(G26&lt;&gt;0,G26*H$2/(100+H$2)," ")</f>
        <v>25</v>
      </c>
      <c r="I26" s="6" t="n">
        <f aca="false">IF((G26&lt;&gt;0),G26-H26," ")</f>
        <v>125</v>
      </c>
      <c r="J26" s="5"/>
      <c r="M26" s="7" t="n">
        <f aca="false">IF(G26&lt;&gt;0,G26-L26," ")</f>
        <v>150</v>
      </c>
      <c r="N26" s="8" t="n">
        <f aca="false">IF((G26-L26)&lt;&gt;0,N$1-A26," ")</f>
        <v>-15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n">
        <f aca="false">IF((F26="v"),I26," ")</f>
        <v>125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90</v>
      </c>
    </row>
    <row r="27" customFormat="false" ht="12" hidden="false" customHeight="false" outlineLevel="0" collapsed="false">
      <c r="A27" s="27" t="n">
        <v>46310</v>
      </c>
      <c r="B27" s="2" t="s">
        <v>114</v>
      </c>
      <c r="E27" s="2" t="s">
        <v>115</v>
      </c>
      <c r="F27" s="2" t="s">
        <v>65</v>
      </c>
      <c r="G27" s="29" t="n">
        <v>12</v>
      </c>
      <c r="H27" s="6" t="n">
        <f aca="false">IF(G27&lt;&gt;0,G27*H$2/(100+H$2)," ")</f>
        <v>2</v>
      </c>
      <c r="I27" s="6" t="n">
        <f aca="false">IF((G27&lt;&gt;0),G27-H27," ")</f>
        <v>10</v>
      </c>
      <c r="J27" s="5"/>
      <c r="M27" s="7" t="n">
        <f aca="false">IF(G27&lt;&gt;0,G27-L27," ")</f>
        <v>12</v>
      </c>
      <c r="N27" s="8" t="n">
        <f aca="false">IF((G27-L27)&lt;&gt;0,N$1-A27," ")</f>
        <v>-15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n">
        <f aca="false">IF((F27="g"),I27," ")</f>
        <v>10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66</v>
      </c>
    </row>
    <row r="28" customFormat="false" ht="12" hidden="false" customHeight="false" outlineLevel="0" collapsed="false">
      <c r="A28" s="27" t="n">
        <v>46310</v>
      </c>
      <c r="B28" s="2" t="s">
        <v>216</v>
      </c>
      <c r="E28" s="2" t="s">
        <v>217</v>
      </c>
      <c r="F28" s="2" t="s">
        <v>142</v>
      </c>
      <c r="G28" s="29" t="n">
        <v>1200</v>
      </c>
      <c r="H28" s="6" t="n">
        <f aca="false">IF(G28&lt;&gt;0,G28*H$2/(100+H$2)," ")</f>
        <v>200</v>
      </c>
      <c r="I28" s="6" t="n">
        <f aca="false">IF((G28&lt;&gt;0),G28-H28," ")</f>
        <v>1000</v>
      </c>
      <c r="J28" s="5"/>
      <c r="M28" s="7" t="n">
        <f aca="false">IF(G28&lt;&gt;0,G28-L28," ")</f>
        <v>1200</v>
      </c>
      <c r="N28" s="8" t="n">
        <f aca="false">IF((G28-L28)&lt;&gt;0,N$1-A28," ")</f>
        <v>-15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n">
        <f aca="false">IF((F28="a"),I28," ")</f>
        <v>1000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143</v>
      </c>
    </row>
    <row r="29" customFormat="false" ht="12" hidden="false" customHeight="false" outlineLevel="0" collapsed="false">
      <c r="A29" s="27" t="n">
        <v>46313</v>
      </c>
      <c r="B29" s="2" t="s">
        <v>168</v>
      </c>
      <c r="E29" s="2" t="s">
        <v>218</v>
      </c>
      <c r="F29" s="2" t="s">
        <v>95</v>
      </c>
      <c r="G29" s="29" t="n">
        <v>120</v>
      </c>
      <c r="H29" s="6" t="n">
        <f aca="false">IF(G29&lt;&gt;0,G29*H$2/(100+H$2)," ")</f>
        <v>20</v>
      </c>
      <c r="I29" s="6" t="n">
        <f aca="false">IF((G29&lt;&gt;0),G29-H29," ")</f>
        <v>100</v>
      </c>
      <c r="J29" s="5"/>
      <c r="M29" s="7" t="n">
        <f aca="false">IF(G29&lt;&gt;0,G29-L29," ")</f>
        <v>120</v>
      </c>
      <c r="N29" s="8" t="n">
        <f aca="false">IF((G29-L29)&lt;&gt;0,N$1-A29," ")</f>
        <v>-18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n">
        <f aca="false">IF((F29="h"),I29," ")</f>
        <v>100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96</v>
      </c>
    </row>
    <row r="30" customFormat="false" ht="12" hidden="false" customHeight="false" outlineLevel="0" collapsed="false">
      <c r="A30" s="27" t="n">
        <v>46313</v>
      </c>
      <c r="B30" s="2" t="s">
        <v>116</v>
      </c>
      <c r="E30" s="2" t="s">
        <v>89</v>
      </c>
      <c r="F30" s="2" t="s">
        <v>24</v>
      </c>
      <c r="G30" s="29" t="n">
        <v>96</v>
      </c>
      <c r="H30" s="6" t="n">
        <f aca="false">IF(G30&lt;&gt;0,G30*H$2/(100+H$2)," ")</f>
        <v>16</v>
      </c>
      <c r="I30" s="6" t="n">
        <f aca="false">IF((G30&lt;&gt;0),G30-H30," ")</f>
        <v>80</v>
      </c>
      <c r="J30" s="5"/>
      <c r="M30" s="7" t="n">
        <f aca="false">IF(G30&lt;&gt;0,G30-L30," ")</f>
        <v>96</v>
      </c>
      <c r="N30" s="8" t="n">
        <f aca="false">IF((G30-L30)&lt;&gt;0,N$1-A30," ")</f>
        <v>-18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n">
        <f aca="false">IF((F30="v"),I30," ")</f>
        <v>80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90</v>
      </c>
    </row>
    <row r="31" customFormat="false" ht="12" hidden="false" customHeight="false" outlineLevel="0" collapsed="false">
      <c r="A31" s="27" t="n">
        <v>46315</v>
      </c>
      <c r="B31" s="2" t="s">
        <v>117</v>
      </c>
      <c r="E31" s="2" t="s">
        <v>118</v>
      </c>
      <c r="F31" s="2" t="s">
        <v>65</v>
      </c>
      <c r="G31" s="29" t="n">
        <v>60</v>
      </c>
      <c r="H31" s="6" t="n">
        <f aca="false">IF(G31&lt;&gt;0,G31*H$2/(100+H$2)," ")</f>
        <v>10</v>
      </c>
      <c r="I31" s="6" t="n">
        <f aca="false">IF((G31&lt;&gt;0),G31-H31," ")</f>
        <v>50</v>
      </c>
      <c r="J31" s="5"/>
      <c r="M31" s="7" t="n">
        <f aca="false">IF(G31&lt;&gt;0,G31-L31," ")</f>
        <v>60</v>
      </c>
      <c r="N31" s="8" t="n">
        <f aca="false">IF((G31-L31)&lt;&gt;0,N$1-A31," ")</f>
        <v>-20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n">
        <f aca="false">IF((F31="g"),I31," ")</f>
        <v>50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66</v>
      </c>
    </row>
    <row r="32" customFormat="false" ht="12" hidden="false" customHeight="false" outlineLevel="0" collapsed="false">
      <c r="A32" s="27" t="n">
        <v>46315</v>
      </c>
      <c r="B32" s="2" t="s">
        <v>119</v>
      </c>
      <c r="E32" s="2" t="s">
        <v>120</v>
      </c>
      <c r="F32" s="2" t="s">
        <v>121</v>
      </c>
      <c r="G32" s="29" t="n">
        <v>96</v>
      </c>
      <c r="H32" s="6" t="n">
        <f aca="false">IF(G32&lt;&gt;0,G32*H$2/(100+H$2)," ")</f>
        <v>16</v>
      </c>
      <c r="I32" s="6" t="n">
        <f aca="false">IF((G32&lt;&gt;0),G32-H32," ")</f>
        <v>80</v>
      </c>
      <c r="J32" s="5"/>
      <c r="M32" s="7" t="n">
        <f aca="false">IF(G32&lt;&gt;0,G32-L32," ")</f>
        <v>96</v>
      </c>
      <c r="N32" s="8" t="n">
        <f aca="false">IF((G32-L32)&lt;&gt;0,N$1-A32," ")</f>
        <v>-20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n">
        <f aca="false">IF((F32="m"),I32," ")</f>
        <v>80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122</v>
      </c>
    </row>
    <row r="33" customFormat="false" ht="12" hidden="false" customHeight="false" outlineLevel="0" collapsed="false">
      <c r="A33" s="27" t="n">
        <v>46316</v>
      </c>
      <c r="B33" s="2" t="s">
        <v>123</v>
      </c>
      <c r="E33" s="2" t="s">
        <v>124</v>
      </c>
      <c r="F33" s="2" t="s">
        <v>95</v>
      </c>
      <c r="G33" s="29" t="n">
        <v>8</v>
      </c>
      <c r="H33" s="6" t="n">
        <f aca="false">IF(G33&lt;&gt;0,G33*H$2/(100+H$2)," ")</f>
        <v>1.33333333333333</v>
      </c>
      <c r="I33" s="6" t="n">
        <f aca="false">IF((G33&lt;&gt;0),G33-H33," ")</f>
        <v>6.66666666666667</v>
      </c>
      <c r="J33" s="5"/>
      <c r="M33" s="7" t="n">
        <f aca="false">IF(G33&lt;&gt;0,G33-L33," ")</f>
        <v>8</v>
      </c>
      <c r="N33" s="8" t="n">
        <f aca="false">IF((G33-L33)&lt;&gt;0,N$1-A33," ")</f>
        <v>-21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n">
        <f aca="false">IF((F33="h"),I33," ")</f>
        <v>6.66666666666667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96</v>
      </c>
    </row>
    <row r="34" customFormat="false" ht="12" hidden="false" customHeight="false" outlineLevel="0" collapsed="false">
      <c r="A34" s="27" t="n">
        <v>46317</v>
      </c>
      <c r="B34" s="2" t="s">
        <v>125</v>
      </c>
      <c r="E34" s="2" t="s">
        <v>126</v>
      </c>
      <c r="F34" s="2" t="s">
        <v>75</v>
      </c>
      <c r="G34" s="29" t="n">
        <v>18</v>
      </c>
      <c r="H34" s="6" t="n">
        <f aca="false">IF(G34&lt;&gt;0,G34*H$2/(100+H$2)," ")</f>
        <v>3</v>
      </c>
      <c r="I34" s="6" t="n">
        <f aca="false">IF((G34&lt;&gt;0),G34-H34," ")</f>
        <v>15</v>
      </c>
      <c r="J34" s="5"/>
      <c r="M34" s="7" t="n">
        <f aca="false">IF(G34&lt;&gt;0,G34-L34," ")</f>
        <v>18</v>
      </c>
      <c r="N34" s="8" t="n">
        <f aca="false">IF((G34-L34)&lt;&gt;0,N$1-A34," ")</f>
        <v>-22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n">
        <f aca="false">IF((F34="y"),I34," ")</f>
        <v>15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85</v>
      </c>
    </row>
    <row r="35" customFormat="false" ht="12" hidden="false" customHeight="false" outlineLevel="0" collapsed="false">
      <c r="A35" s="27" t="n">
        <v>46320</v>
      </c>
      <c r="B35" s="2" t="s">
        <v>127</v>
      </c>
      <c r="E35" s="2" t="s">
        <v>128</v>
      </c>
      <c r="F35" s="2" t="s">
        <v>75</v>
      </c>
      <c r="G35" s="29" t="n">
        <v>15</v>
      </c>
      <c r="H35" s="6" t="n">
        <f aca="false">IF(G35&lt;&gt;0,G35*H$2/(100+H$2)," ")</f>
        <v>2.5</v>
      </c>
      <c r="I35" s="6" t="n">
        <f aca="false">IF((G35&lt;&gt;0),G35-H35," ")</f>
        <v>12.5</v>
      </c>
      <c r="J35" s="5"/>
      <c r="M35" s="7" t="n">
        <f aca="false">IF(G35&lt;&gt;0,G35-L35," ")</f>
        <v>15</v>
      </c>
      <c r="N35" s="8" t="n">
        <f aca="false">IF((G35-L35)&lt;&gt;0,N$1-A35," ")</f>
        <v>-25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n">
        <f aca="false">IF((F35="y"),I35," ")</f>
        <v>12.5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85</v>
      </c>
    </row>
    <row r="36" customFormat="false" ht="12" hidden="false" customHeight="false" outlineLevel="0" collapsed="false">
      <c r="A36" s="27" t="n">
        <v>46320</v>
      </c>
      <c r="B36" s="2" t="s">
        <v>129</v>
      </c>
      <c r="D36" s="4" t="n">
        <v>95</v>
      </c>
      <c r="E36" s="2" t="s">
        <v>219</v>
      </c>
      <c r="F36" s="2" t="s">
        <v>24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  <c r="BZ36" s="2" t="s">
        <v>90</v>
      </c>
    </row>
    <row r="37" customFormat="false" ht="12" hidden="false" customHeight="false" outlineLevel="0" collapsed="false">
      <c r="A37" s="27" t="n">
        <v>46320</v>
      </c>
      <c r="B37" s="2" t="s">
        <v>220</v>
      </c>
      <c r="C37" s="3" t="s">
        <v>221</v>
      </c>
      <c r="E37" s="2" t="s">
        <v>222</v>
      </c>
      <c r="F37" s="2" t="s">
        <v>149</v>
      </c>
      <c r="G37" s="29" t="n">
        <v>36000</v>
      </c>
      <c r="H37" s="6" t="n">
        <f aca="false">IF(G37&lt;&gt;0,G37*H$2/(100+H$2)," ")</f>
        <v>6000</v>
      </c>
      <c r="I37" s="6" t="n">
        <f aca="false">IF((G37&lt;&gt;0),G37-H37," ")</f>
        <v>30000</v>
      </c>
      <c r="J37" s="5"/>
      <c r="M37" s="7" t="n">
        <f aca="false">IF(G37&lt;&gt;0,G37-L37," ")</f>
        <v>36000</v>
      </c>
      <c r="N37" s="8" t="n">
        <f aca="false">IF((G37-L37)&lt;&gt;0,N$1-A37," ")</f>
        <v>-25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n">
        <f aca="false">IF((F37="fa"),I37," ")</f>
        <v>30000</v>
      </c>
      <c r="AC37" s="19" t="str">
        <f aca="false">IF((F37="e"),I37," ")</f>
        <v> </v>
      </c>
      <c r="BZ37" s="2" t="s">
        <v>150</v>
      </c>
    </row>
    <row r="38" customFormat="false" ht="12" hidden="false" customHeight="false" outlineLevel="0" collapsed="false">
      <c r="A38" s="27" t="n">
        <v>46323</v>
      </c>
      <c r="B38" s="2" t="s">
        <v>19</v>
      </c>
      <c r="E38" s="2" t="s">
        <v>131</v>
      </c>
      <c r="F38" s="2" t="s">
        <v>24</v>
      </c>
      <c r="G38" s="29" t="n">
        <v>120</v>
      </c>
      <c r="H38" s="6" t="n">
        <f aca="false">IF(G38&lt;&gt;0,G38*H$2/(100+H$2)," ")</f>
        <v>20</v>
      </c>
      <c r="I38" s="6" t="n">
        <f aca="false">IF((G38&lt;&gt;0),G38-H38," ")</f>
        <v>100</v>
      </c>
      <c r="J38" s="5"/>
      <c r="M38" s="7" t="n">
        <f aca="false">IF(G38&lt;&gt;0,G38-L38," ")</f>
        <v>120</v>
      </c>
      <c r="N38" s="8" t="n">
        <f aca="false">IF((G38-L38)&lt;&gt;0,N$1-A38," ")</f>
        <v>-28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n">
        <f aca="false">IF((F38="v"),I38," ")</f>
        <v>100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  <c r="BZ38" s="2" t="s">
        <v>90</v>
      </c>
    </row>
    <row r="39" customFormat="false" ht="12" hidden="false" customHeight="false" outlineLevel="0" collapsed="false">
      <c r="A39" s="27" t="n">
        <v>46326</v>
      </c>
      <c r="B39" s="2" t="s">
        <v>15</v>
      </c>
      <c r="E39" s="2" t="s">
        <v>132</v>
      </c>
      <c r="F39" s="2" t="s">
        <v>133</v>
      </c>
      <c r="G39" s="29" t="n">
        <v>300</v>
      </c>
      <c r="H39" s="6" t="n">
        <f aca="false">IF(G39&lt;&gt;0,G39*H$2/(100+H$2)," ")</f>
        <v>50</v>
      </c>
      <c r="I39" s="6" t="n">
        <f aca="false">IF((G39&lt;&gt;0),G39-H39," ")</f>
        <v>250</v>
      </c>
      <c r="J39" s="5"/>
      <c r="M39" s="7" t="n">
        <f aca="false">IF(G39&lt;&gt;0,G39-L39," ")</f>
        <v>300</v>
      </c>
      <c r="N39" s="8" t="n">
        <f aca="false">IF((G39-L39)&lt;&gt;0,N$1-A39," ")</f>
        <v>-31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n">
        <f aca="false">IF((F39="l"),I39," ")</f>
        <v>250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  <c r="BZ39" s="2" t="s">
        <v>134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180</v>
      </c>
      <c r="E1" s="13" t="s">
        <v>3</v>
      </c>
      <c r="F1" s="14"/>
      <c r="G1" s="13" t="n">
        <f aca="false">SUM(G2:G300)</f>
        <v>6936</v>
      </c>
      <c r="H1" s="13" t="n">
        <f aca="false">SUM(H5:H200)</f>
        <v>1139.5</v>
      </c>
      <c r="I1" s="13" t="n">
        <f aca="false">SUM(I2:I200)</f>
        <v>5796.5</v>
      </c>
      <c r="J1" s="15"/>
      <c r="K1" s="16" t="s">
        <v>4</v>
      </c>
      <c r="L1" s="17" t="n">
        <f aca="false">SUM(L5:L300)</f>
        <v>0</v>
      </c>
      <c r="M1" s="17" t="n">
        <f aca="false">SUM(M5:M200)</f>
        <v>6837</v>
      </c>
      <c r="N1" s="18" t="n">
        <f aca="true">TODAY()</f>
        <v>46295</v>
      </c>
      <c r="O1" s="15"/>
      <c r="P1" s="13" t="n">
        <f aca="false">SUM(P5:P300)</f>
        <v>700</v>
      </c>
      <c r="Q1" s="13" t="n">
        <f aca="false">SUM(Q5:Q300)</f>
        <v>2500</v>
      </c>
      <c r="R1" s="13" t="n">
        <f aca="false">SUM(R5:R300)</f>
        <v>207.5</v>
      </c>
      <c r="S1" s="13" t="n">
        <f aca="false">SUM(S5:S300)</f>
        <v>0</v>
      </c>
      <c r="T1" s="13" t="n">
        <f aca="false">SUM(T5:T300)</f>
        <v>1000</v>
      </c>
      <c r="U1" s="13" t="n">
        <f aca="false">SUM(U5:U300)</f>
        <v>0</v>
      </c>
      <c r="V1" s="13" t="n">
        <f aca="false">SUM(V5:V300)</f>
        <v>337.5</v>
      </c>
      <c r="W1" s="13" t="n">
        <f aca="false">SUM(W2:W300)</f>
        <v>569</v>
      </c>
      <c r="X1" s="13" t="n">
        <f aca="false">SUM(X5:X300)</f>
        <v>136.666666666667</v>
      </c>
      <c r="Y1" s="13" t="n">
        <f aca="false">SUM(Y5:Y300)</f>
        <v>0</v>
      </c>
      <c r="Z1" s="13" t="n">
        <f aca="false">SUM(Z5:Z300)</f>
        <v>250</v>
      </c>
      <c r="AA1" s="13" t="n">
        <f aca="false">SUM(AA5:AA300)</f>
        <v>95.8333333333333</v>
      </c>
      <c r="AB1" s="13" t="n">
        <f aca="false">SUM(AB5:AB300)</f>
        <v>0</v>
      </c>
      <c r="AC1" s="41" t="n">
        <f aca="false">SUM(AC5:AC300)</f>
        <v>0</v>
      </c>
      <c r="AD1" s="13" t="n">
        <f aca="false">SUM(AD5:AD300)</f>
        <v>600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G2+Oct!A2</f>
        <v>533.5</v>
      </c>
      <c r="B2" s="44" t="s">
        <v>22</v>
      </c>
      <c r="C2" s="43" t="n">
        <f aca="false">Oct!C2+D1+[1]Nov!$D$1</f>
        <v>970</v>
      </c>
      <c r="D2" s="45" t="s">
        <v>23</v>
      </c>
      <c r="E2" s="20" t="s">
        <v>5</v>
      </c>
      <c r="F2" s="44" t="str">
        <f aca="false">Oct!F2</f>
        <v>v</v>
      </c>
      <c r="G2" s="46" t="n">
        <f aca="false">IF(C2&lt;[2]Admin!$F$22,(C2-Oct!C2)*[2]Admin!$G$21,C2*[2]Admin!$G$21-(C2-[2]Admin!$F$21)*([2]Admin!$G$21-[2]Admin!$G$22)-Oct!A2)</f>
        <v>99</v>
      </c>
      <c r="H2" s="21" t="n">
        <f aca="false">IF([1]Nov!$H$4&gt;0,0,[1]Nov!$H$2)</f>
        <v>20</v>
      </c>
      <c r="I2" s="47" t="n">
        <f aca="false">G2</f>
        <v>99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99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AB1+Oct!AB2</f>
        <v>52500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46327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-32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46327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-32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46327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-32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46327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-32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46327</v>
      </c>
      <c r="B9" s="2" t="s">
        <v>77</v>
      </c>
      <c r="E9" s="2" t="s">
        <v>78</v>
      </c>
      <c r="F9" s="2" t="s">
        <v>71</v>
      </c>
      <c r="G9" s="29" t="n">
        <v>24</v>
      </c>
      <c r="H9" s="6" t="n">
        <f aca="false">IF(G9&lt;&gt;0,G9*H$2/(100+H$2)," ")</f>
        <v>4</v>
      </c>
      <c r="I9" s="6" t="n">
        <f aca="false">IF((G9&lt;&gt;0),G9-H9," ")</f>
        <v>20</v>
      </c>
      <c r="J9" s="5"/>
      <c r="M9" s="7" t="n">
        <f aca="false">IF(G9&lt;&gt;0,G9-L9," ")</f>
        <v>24</v>
      </c>
      <c r="N9" s="8" t="n">
        <f aca="false">IF((G9-L9)&lt;&gt;0,N$1-A9," ")</f>
        <v>-32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20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72</v>
      </c>
    </row>
    <row r="10" customFormat="false" ht="12" hidden="false" customHeight="false" outlineLevel="0" collapsed="false">
      <c r="A10" s="27" t="n">
        <v>46327</v>
      </c>
      <c r="B10" s="2" t="s">
        <v>79</v>
      </c>
      <c r="E10" s="2" t="s">
        <v>80</v>
      </c>
      <c r="F10" s="2" t="s">
        <v>65</v>
      </c>
      <c r="G10" s="29" t="n">
        <v>18</v>
      </c>
      <c r="H10" s="6" t="n">
        <f aca="false">IF(G10&lt;&gt;0,G10*H$2/(100+H$2)," ")</f>
        <v>3</v>
      </c>
      <c r="I10" s="6" t="n">
        <f aca="false">IF((G10&lt;&gt;0),G10-H10," ")</f>
        <v>15</v>
      </c>
      <c r="J10" s="5"/>
      <c r="M10" s="7" t="n">
        <f aca="false">IF(G10&lt;&gt;0,G10-L10," ")</f>
        <v>18</v>
      </c>
      <c r="N10" s="8" t="n">
        <f aca="false">IF((G10-L10)&lt;&gt;0,N$1-A10," ")</f>
        <v>-32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15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66</v>
      </c>
    </row>
    <row r="11" customFormat="false" ht="12" hidden="false" customHeight="false" outlineLevel="0" collapsed="false">
      <c r="A11" s="27" t="n">
        <v>46329</v>
      </c>
      <c r="B11" s="2" t="s">
        <v>81</v>
      </c>
      <c r="E11" s="2" t="s">
        <v>82</v>
      </c>
      <c r="F11" s="2" t="s">
        <v>71</v>
      </c>
      <c r="G11" s="29" t="n">
        <v>180</v>
      </c>
      <c r="H11" s="6" t="n">
        <f aca="false">IF(G11&lt;&gt;0,G11*H$2/(100+H$2)," ")</f>
        <v>30</v>
      </c>
      <c r="I11" s="6" t="n">
        <f aca="false">IF((G11&lt;&gt;0),G11-H11," ")</f>
        <v>150</v>
      </c>
      <c r="J11" s="5"/>
      <c r="M11" s="7" t="n">
        <f aca="false">IF(G11&lt;&gt;0,G11-L11," ")</f>
        <v>180</v>
      </c>
      <c r="N11" s="8" t="n">
        <f aca="false">IF((G11-L11)&lt;&gt;0,N$1-A11," ")</f>
        <v>-34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150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72</v>
      </c>
    </row>
    <row r="12" customFormat="false" ht="12" hidden="false" customHeight="false" outlineLevel="0" collapsed="false">
      <c r="A12" s="27" t="n">
        <v>46329</v>
      </c>
      <c r="B12" s="2" t="s">
        <v>83</v>
      </c>
      <c r="E12" s="2" t="s">
        <v>84</v>
      </c>
      <c r="F12" s="2" t="s">
        <v>75</v>
      </c>
      <c r="G12" s="29" t="n">
        <v>22</v>
      </c>
      <c r="H12" s="6" t="n">
        <f aca="false">IF(G12&lt;&gt;0,G12*H$2/(100+H$2)," ")</f>
        <v>3.66666666666667</v>
      </c>
      <c r="I12" s="6" t="n">
        <f aca="false">IF((G12&lt;&gt;0),G12-H12," ")</f>
        <v>18.3333333333333</v>
      </c>
      <c r="J12" s="5"/>
      <c r="M12" s="7" t="n">
        <f aca="false">IF(G12&lt;&gt;0,G12-L12," ")</f>
        <v>22</v>
      </c>
      <c r="N12" s="8" t="n">
        <f aca="false">IF((G12-L12)&lt;&gt;0,N$1-A12," ")</f>
        <v>-34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n">
        <f aca="false">IF((F12="y"),I12," ")</f>
        <v>18.3333333333333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85</v>
      </c>
    </row>
    <row r="13" customFormat="false" ht="12" hidden="false" customHeight="false" outlineLevel="0" collapsed="false">
      <c r="A13" s="27" t="n">
        <v>46331</v>
      </c>
      <c r="B13" s="2" t="s">
        <v>86</v>
      </c>
      <c r="E13" s="2" t="s">
        <v>87</v>
      </c>
      <c r="F13" s="2" t="s">
        <v>75</v>
      </c>
      <c r="G13" s="29" t="n">
        <v>24</v>
      </c>
      <c r="H13" s="6" t="n">
        <f aca="false">IF(G13&lt;&gt;0,G13*H$2/(100+H$2)," ")</f>
        <v>4</v>
      </c>
      <c r="I13" s="6" t="n">
        <f aca="false">IF((G13&lt;&gt;0),G13-H13," ")</f>
        <v>20</v>
      </c>
      <c r="J13" s="5"/>
      <c r="M13" s="7" t="n">
        <f aca="false">IF(G13&lt;&gt;0,G13-L13," ")</f>
        <v>24</v>
      </c>
      <c r="N13" s="8" t="n">
        <f aca="false">IF((G13-L13)&lt;&gt;0,N$1-A13," ")</f>
        <v>-36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20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46331</v>
      </c>
      <c r="B14" s="2" t="s">
        <v>88</v>
      </c>
      <c r="E14" s="2" t="s">
        <v>89</v>
      </c>
      <c r="F14" s="2" t="s">
        <v>24</v>
      </c>
      <c r="G14" s="29" t="n">
        <v>180</v>
      </c>
      <c r="H14" s="6" t="n">
        <f aca="false">IF(G14&lt;&gt;0,G14*H$2/(100+H$2)," ")</f>
        <v>30</v>
      </c>
      <c r="I14" s="6" t="n">
        <f aca="false">IF((G14&lt;&gt;0),G14-H14," ")</f>
        <v>150</v>
      </c>
      <c r="J14" s="5"/>
      <c r="M14" s="7" t="n">
        <f aca="false">IF(G14&lt;&gt;0,G14-L14," ")</f>
        <v>180</v>
      </c>
      <c r="N14" s="8" t="n">
        <f aca="false">IF((G14-L14)&lt;&gt;0,N$1-A14," ")</f>
        <v>-36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n">
        <f aca="false">IF((F14="v"),I14," ")</f>
        <v>150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90</v>
      </c>
    </row>
    <row r="15" customFormat="false" ht="12" hidden="false" customHeight="false" outlineLevel="0" collapsed="false">
      <c r="A15" s="27" t="n">
        <v>46332</v>
      </c>
      <c r="B15" s="2" t="s">
        <v>135</v>
      </c>
      <c r="E15" s="2" t="s">
        <v>136</v>
      </c>
      <c r="F15" s="2" t="s">
        <v>95</v>
      </c>
      <c r="G15" s="29" t="n">
        <v>72</v>
      </c>
      <c r="H15" s="6" t="n">
        <f aca="false">IF(G15&lt;&gt;0,G15*H$2/(100+H$2)," ")</f>
        <v>12</v>
      </c>
      <c r="I15" s="6" t="n">
        <f aca="false">IF((G15&lt;&gt;0),G15-H15," ")</f>
        <v>60</v>
      </c>
      <c r="J15" s="5"/>
      <c r="M15" s="7" t="n">
        <f aca="false">IF(G15&lt;&gt;0,G15-L15," ")</f>
        <v>72</v>
      </c>
      <c r="N15" s="8" t="n">
        <f aca="false">IF((G15-L15)&lt;&gt;0,N$1-A15," ")</f>
        <v>-37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n">
        <f aca="false">IF((F15="h"),I15," ")</f>
        <v>60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96</v>
      </c>
    </row>
    <row r="16" customFormat="false" ht="12" hidden="false" customHeight="false" outlineLevel="0" collapsed="false">
      <c r="A16" s="27" t="n">
        <v>46334</v>
      </c>
      <c r="B16" s="2" t="s">
        <v>93</v>
      </c>
      <c r="E16" s="2" t="s">
        <v>94</v>
      </c>
      <c r="F16" s="2" t="s">
        <v>95</v>
      </c>
      <c r="G16" s="29" t="n">
        <v>48</v>
      </c>
      <c r="H16" s="6" t="n">
        <f aca="false">IF(G16&lt;&gt;0,G16*H$2/(100+H$2)," ")</f>
        <v>8</v>
      </c>
      <c r="I16" s="6" t="n">
        <f aca="false">IF((G16&lt;&gt;0),G16-H16," ")</f>
        <v>40</v>
      </c>
      <c r="J16" s="5"/>
      <c r="M16" s="7" t="n">
        <f aca="false">IF(G16&lt;&gt;0,G16-L16," ")</f>
        <v>48</v>
      </c>
      <c r="N16" s="8" t="n">
        <f aca="false">IF((G16-L16)&lt;&gt;0,N$1-A16," ")</f>
        <v>-39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n">
        <f aca="false">IF((F16="h"),I16," ")</f>
        <v>40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96</v>
      </c>
    </row>
    <row r="17" customFormat="false" ht="12" hidden="false" customHeight="false" outlineLevel="0" collapsed="false">
      <c r="A17" s="27" t="n">
        <v>46336</v>
      </c>
      <c r="B17" s="2" t="s">
        <v>97</v>
      </c>
      <c r="E17" s="2" t="s">
        <v>98</v>
      </c>
      <c r="F17" s="2" t="s">
        <v>75</v>
      </c>
      <c r="G17" s="29" t="n">
        <v>36</v>
      </c>
      <c r="H17" s="6" t="n">
        <f aca="false">IF(G17&lt;&gt;0,G17*H$2/(100+H$2)," ")</f>
        <v>6</v>
      </c>
      <c r="I17" s="6" t="n">
        <f aca="false">IF((G17&lt;&gt;0),G17-H17," ")</f>
        <v>30</v>
      </c>
      <c r="J17" s="5"/>
      <c r="M17" s="7" t="n">
        <f aca="false">IF(G17&lt;&gt;0,G17-L17," ")</f>
        <v>36</v>
      </c>
      <c r="N17" s="8" t="n">
        <f aca="false">IF((G17-L17)&lt;&gt;0,N$1-A17," ")</f>
        <v>-41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n">
        <f aca="false">IF((F17="y"),I17," ")</f>
        <v>30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85</v>
      </c>
    </row>
    <row r="18" customFormat="false" ht="12" hidden="false" customHeight="false" outlineLevel="0" collapsed="false">
      <c r="A18" s="27" t="n">
        <v>46338</v>
      </c>
      <c r="B18" s="2" t="s">
        <v>106</v>
      </c>
      <c r="E18" s="2" t="s">
        <v>107</v>
      </c>
      <c r="F18" s="2" t="s">
        <v>24</v>
      </c>
      <c r="G18" s="29" t="n">
        <v>18</v>
      </c>
      <c r="H18" s="6" t="n">
        <f aca="false">IF(G18&lt;&gt;0,G18*H$2/(100+H$2)," ")</f>
        <v>3</v>
      </c>
      <c r="I18" s="6" t="n">
        <f aca="false">IF((G18&lt;&gt;0),G18-H18," ")</f>
        <v>15</v>
      </c>
      <c r="J18" s="5"/>
      <c r="M18" s="7" t="n">
        <f aca="false">IF(G18&lt;&gt;0,G18-L18," ")</f>
        <v>18</v>
      </c>
      <c r="N18" s="8" t="n">
        <f aca="false">IF((G18-L18)&lt;&gt;0,N$1-A18," ")</f>
        <v>-43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n">
        <f aca="false">IF((F18="v"),I18," ")</f>
        <v>15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90</v>
      </c>
    </row>
    <row r="19" customFormat="false" ht="12" hidden="false" customHeight="false" outlineLevel="0" collapsed="false">
      <c r="A19" s="27" t="n">
        <v>46340</v>
      </c>
      <c r="B19" s="2" t="s">
        <v>110</v>
      </c>
      <c r="E19" s="2" t="s">
        <v>111</v>
      </c>
      <c r="F19" s="2" t="s">
        <v>95</v>
      </c>
      <c r="G19" s="29" t="n">
        <v>24</v>
      </c>
      <c r="H19" s="6" t="n">
        <f aca="false">IF(G19&lt;&gt;0,G19*H$2/(100+H$2)," ")</f>
        <v>4</v>
      </c>
      <c r="I19" s="6" t="n">
        <f aca="false">IF((G19&lt;&gt;0),G19-H19," ")</f>
        <v>20</v>
      </c>
      <c r="J19" s="5"/>
      <c r="M19" s="7" t="n">
        <f aca="false">IF(G19&lt;&gt;0,G19-L19," ")</f>
        <v>24</v>
      </c>
      <c r="N19" s="8" t="n">
        <f aca="false">IF((G19-L19)&lt;&gt;0,N$1-A19," ")</f>
        <v>-45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n">
        <f aca="false">IF((F19="h"),I19," ")</f>
        <v>20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96</v>
      </c>
    </row>
    <row r="20" customFormat="false" ht="12" hidden="false" customHeight="false" outlineLevel="0" collapsed="false">
      <c r="A20" s="27" t="n">
        <v>46340</v>
      </c>
      <c r="B20" s="2" t="s">
        <v>112</v>
      </c>
      <c r="E20" s="2" t="s">
        <v>113</v>
      </c>
      <c r="F20" s="2" t="s">
        <v>95</v>
      </c>
      <c r="G20" s="29" t="n">
        <v>12</v>
      </c>
      <c r="H20" s="6" t="n">
        <f aca="false">IF(G20&lt;&gt;0,G20*H$2/(100+H$2)," ")</f>
        <v>2</v>
      </c>
      <c r="I20" s="6" t="n">
        <f aca="false">IF((G20&lt;&gt;0),G20-H20," ")</f>
        <v>10</v>
      </c>
      <c r="J20" s="5"/>
      <c r="M20" s="7" t="n">
        <f aca="false">IF(G20&lt;&gt;0,G20-L20," ")</f>
        <v>12</v>
      </c>
      <c r="N20" s="8" t="n">
        <f aca="false">IF((G20-L20)&lt;&gt;0,N$1-A20," ")</f>
        <v>-45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n">
        <f aca="false">IF((F20="h"),I20," ")</f>
        <v>10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96</v>
      </c>
    </row>
    <row r="21" customFormat="false" ht="12" hidden="false" customHeight="false" outlineLevel="0" collapsed="false">
      <c r="A21" s="27" t="n">
        <v>46341</v>
      </c>
      <c r="B21" s="2" t="s">
        <v>19</v>
      </c>
      <c r="E21" s="2" t="s">
        <v>89</v>
      </c>
      <c r="F21" s="2" t="s">
        <v>24</v>
      </c>
      <c r="G21" s="29" t="n">
        <v>150</v>
      </c>
      <c r="H21" s="6" t="n">
        <f aca="false">IF(G21&lt;&gt;0,G21*H$2/(100+H$2)," ")</f>
        <v>25</v>
      </c>
      <c r="I21" s="6" t="n">
        <f aca="false">IF((G21&lt;&gt;0),G21-H21," ")</f>
        <v>125</v>
      </c>
      <c r="J21" s="5"/>
      <c r="M21" s="7" t="n">
        <f aca="false">IF(G21&lt;&gt;0,G21-L21," ")</f>
        <v>150</v>
      </c>
      <c r="N21" s="8" t="n">
        <f aca="false">IF((G21-L21)&lt;&gt;0,N$1-A21," ")</f>
        <v>-46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n">
        <f aca="false">IF((F21="v"),I21," ")</f>
        <v>125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90</v>
      </c>
    </row>
    <row r="22" customFormat="false" ht="12" hidden="false" customHeight="false" outlineLevel="0" collapsed="false">
      <c r="A22" s="27" t="n">
        <v>46341</v>
      </c>
      <c r="B22" s="2" t="s">
        <v>114</v>
      </c>
      <c r="E22" s="2" t="s">
        <v>115</v>
      </c>
      <c r="F22" s="2" t="s">
        <v>65</v>
      </c>
      <c r="G22" s="29" t="n">
        <v>12</v>
      </c>
      <c r="H22" s="6" t="n">
        <f aca="false">IF(G22&lt;&gt;0,G22*H$2/(100+H$2)," ")</f>
        <v>2</v>
      </c>
      <c r="I22" s="6" t="n">
        <f aca="false">IF((G22&lt;&gt;0),G22-H22," ")</f>
        <v>10</v>
      </c>
      <c r="J22" s="5"/>
      <c r="M22" s="7" t="n">
        <f aca="false">IF(G22&lt;&gt;0,G22-L22," ")</f>
        <v>12</v>
      </c>
      <c r="N22" s="8" t="n">
        <f aca="false">IF((G22-L22)&lt;&gt;0,N$1-A22," ")</f>
        <v>-46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n">
        <f aca="false">IF((F22="g"),I22," ")</f>
        <v>10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66</v>
      </c>
    </row>
    <row r="23" customFormat="false" ht="12" hidden="false" customHeight="false" outlineLevel="0" collapsed="false">
      <c r="A23" s="27" t="n">
        <v>46341</v>
      </c>
      <c r="B23" s="2" t="s">
        <v>144</v>
      </c>
      <c r="E23" s="2" t="s">
        <v>145</v>
      </c>
      <c r="F23" s="2" t="s">
        <v>104</v>
      </c>
      <c r="G23" s="29" t="n">
        <v>540</v>
      </c>
      <c r="H23" s="6" t="n">
        <f aca="false">IF(G23&lt;&gt;0,G23*H$2/(100+H$2)," ")</f>
        <v>90</v>
      </c>
      <c r="I23" s="6" t="n">
        <f aca="false">IF((G23&lt;&gt;0),G23-H23," ")</f>
        <v>450</v>
      </c>
      <c r="J23" s="5"/>
      <c r="M23" s="7" t="n">
        <f aca="false">IF(G23&lt;&gt;0,G23-L23," ")</f>
        <v>540</v>
      </c>
      <c r="N23" s="8" t="n">
        <f aca="false">IF((G23-L23)&lt;&gt;0,N$1-A23," ")</f>
        <v>-46</v>
      </c>
      <c r="O23" s="5"/>
      <c r="P23" s="19" t="n">
        <f aca="false">IF((F23="s"),I23," ")</f>
        <v>450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105</v>
      </c>
    </row>
    <row r="24" customFormat="false" ht="12" hidden="false" customHeight="false" outlineLevel="0" collapsed="false">
      <c r="A24" s="27" t="n">
        <v>46341</v>
      </c>
      <c r="B24" s="2" t="s">
        <v>163</v>
      </c>
      <c r="C24" s="3" t="s">
        <v>223</v>
      </c>
      <c r="E24" s="2" t="s">
        <v>224</v>
      </c>
      <c r="F24" s="2" t="s">
        <v>166</v>
      </c>
      <c r="G24" s="29" t="n">
        <v>3000</v>
      </c>
      <c r="H24" s="6" t="n">
        <f aca="false">IF(G24&lt;&gt;0,G24*H$2/(100+H$2)," ")</f>
        <v>500</v>
      </c>
      <c r="I24" s="6" t="n">
        <f aca="false">IF((G24&lt;&gt;0),G24-H24," ")</f>
        <v>2500</v>
      </c>
      <c r="J24" s="5"/>
      <c r="M24" s="7" t="n">
        <f aca="false">IF(G24&lt;&gt;0,G24-L24," ")</f>
        <v>3000</v>
      </c>
      <c r="N24" s="8" t="n">
        <f aca="false">IF((G24-L24)&lt;&gt;0,N$1-A24," ")</f>
        <v>-46</v>
      </c>
      <c r="O24" s="5"/>
      <c r="P24" s="19" t="str">
        <f aca="false">IF((F24="s"),I24," ")</f>
        <v> </v>
      </c>
      <c r="Q24" s="19" t="n">
        <f aca="false">IF((F24="c"),I24," ")</f>
        <v>2500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AD24" s="19" t="n">
        <v>600</v>
      </c>
      <c r="BZ24" s="2" t="s">
        <v>167</v>
      </c>
    </row>
    <row r="25" customFormat="false" ht="12" hidden="false" customHeight="false" outlineLevel="0" collapsed="false">
      <c r="A25" s="27" t="n">
        <v>46342</v>
      </c>
      <c r="B25" s="2" t="s">
        <v>151</v>
      </c>
      <c r="E25" s="2" t="s">
        <v>152</v>
      </c>
      <c r="F25" s="2" t="s">
        <v>65</v>
      </c>
      <c r="G25" s="29" t="n">
        <v>30</v>
      </c>
      <c r="H25" s="6" t="n">
        <f aca="false">IF(G25&lt;&gt;0,G25*H$2/(100+H$2)," ")</f>
        <v>5</v>
      </c>
      <c r="I25" s="6" t="n">
        <f aca="false">IF((G25&lt;&gt;0),G25-H25," ")</f>
        <v>25</v>
      </c>
      <c r="J25" s="5"/>
      <c r="M25" s="7" t="n">
        <f aca="false">IF(G25&lt;&gt;0,G25-L25," ")</f>
        <v>30</v>
      </c>
      <c r="N25" s="8" t="n">
        <f aca="false">IF((G25-L25)&lt;&gt;0,N$1-A25," ")</f>
        <v>-47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n">
        <f aca="false">IF((F25="g"),I25," ")</f>
        <v>25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66</v>
      </c>
    </row>
    <row r="26" customFormat="false" ht="12" hidden="false" customHeight="false" outlineLevel="0" collapsed="false">
      <c r="A26" s="27" t="n">
        <v>46344</v>
      </c>
      <c r="B26" s="2" t="s">
        <v>116</v>
      </c>
      <c r="E26" s="2" t="s">
        <v>89</v>
      </c>
      <c r="F26" s="2" t="s">
        <v>24</v>
      </c>
      <c r="G26" s="29" t="n">
        <v>96</v>
      </c>
      <c r="H26" s="6" t="n">
        <f aca="false">IF(G26&lt;&gt;0,G26*H$2/(100+H$2)," ")</f>
        <v>16</v>
      </c>
      <c r="I26" s="6" t="n">
        <f aca="false">IF((G26&lt;&gt;0),G26-H26," ")</f>
        <v>80</v>
      </c>
      <c r="J26" s="5"/>
      <c r="M26" s="7" t="n">
        <f aca="false">IF(G26&lt;&gt;0,G26-L26," ")</f>
        <v>96</v>
      </c>
      <c r="N26" s="8" t="n">
        <f aca="false">IF((G26-L26)&lt;&gt;0,N$1-A26," ")</f>
        <v>-49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n">
        <f aca="false">IF((F26="v"),I26," ")</f>
        <v>80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90</v>
      </c>
    </row>
    <row r="27" customFormat="false" ht="12" hidden="false" customHeight="false" outlineLevel="0" collapsed="false">
      <c r="A27" s="27" t="n">
        <v>46346</v>
      </c>
      <c r="B27" s="2" t="s">
        <v>117</v>
      </c>
      <c r="E27" s="2" t="s">
        <v>118</v>
      </c>
      <c r="F27" s="2" t="s">
        <v>65</v>
      </c>
      <c r="G27" s="29" t="n">
        <v>60</v>
      </c>
      <c r="H27" s="6" t="n">
        <f aca="false">IF(G27&lt;&gt;0,G27*H$2/(100+H$2)," ")</f>
        <v>10</v>
      </c>
      <c r="I27" s="6" t="n">
        <f aca="false">IF((G27&lt;&gt;0),G27-H27," ")</f>
        <v>50</v>
      </c>
      <c r="J27" s="5"/>
      <c r="M27" s="7" t="n">
        <f aca="false">IF(G27&lt;&gt;0,G27-L27," ")</f>
        <v>60</v>
      </c>
      <c r="N27" s="8" t="n">
        <f aca="false">IF((G27-L27)&lt;&gt;0,N$1-A27," ")</f>
        <v>-51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n">
        <f aca="false">IF((F27="g"),I27," ")</f>
        <v>50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66</v>
      </c>
    </row>
    <row r="28" customFormat="false" ht="12" hidden="false" customHeight="false" outlineLevel="0" collapsed="false">
      <c r="A28" s="27" t="n">
        <v>46346</v>
      </c>
      <c r="B28" s="2" t="s">
        <v>153</v>
      </c>
      <c r="E28" s="2" t="s">
        <v>154</v>
      </c>
      <c r="F28" s="2" t="s">
        <v>65</v>
      </c>
      <c r="G28" s="29" t="n">
        <v>240</v>
      </c>
      <c r="H28" s="6" t="n">
        <f aca="false">IF(G28&lt;&gt;0,G28*H$2/(100+H$2)," ")</f>
        <v>40</v>
      </c>
      <c r="I28" s="6" t="n">
        <f aca="false">IF((G28&lt;&gt;0),G28-H28," ")</f>
        <v>200</v>
      </c>
      <c r="J28" s="5"/>
      <c r="M28" s="7" t="n">
        <f aca="false">IF(G28&lt;&gt;0,G28-L28," ")</f>
        <v>240</v>
      </c>
      <c r="N28" s="8" t="n">
        <f aca="false">IF((G28-L28)&lt;&gt;0,N$1-A28," ")</f>
        <v>-51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200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155</v>
      </c>
    </row>
    <row r="29" customFormat="false" ht="12" hidden="false" customHeight="false" outlineLevel="0" collapsed="false">
      <c r="A29" s="27" t="n">
        <v>46346</v>
      </c>
      <c r="B29" s="2" t="s">
        <v>156</v>
      </c>
      <c r="E29" s="2" t="s">
        <v>157</v>
      </c>
      <c r="F29" s="2" t="s">
        <v>104</v>
      </c>
      <c r="G29" s="29" t="n">
        <v>300</v>
      </c>
      <c r="H29" s="6" t="n">
        <f aca="false">IF(G29&lt;&gt;0,G29*H$2/(100+H$2)," ")</f>
        <v>50</v>
      </c>
      <c r="I29" s="6" t="n">
        <f aca="false">IF((G29&lt;&gt;0),G29-H29," ")</f>
        <v>250</v>
      </c>
      <c r="J29" s="5"/>
      <c r="M29" s="7" t="n">
        <f aca="false">IF(G29&lt;&gt;0,G29-L29," ")</f>
        <v>300</v>
      </c>
      <c r="N29" s="8" t="n">
        <f aca="false">IF((G29-L29)&lt;&gt;0,N$1-A29," ")</f>
        <v>-51</v>
      </c>
      <c r="O29" s="5"/>
      <c r="P29" s="19" t="n">
        <f aca="false">IF((F29="s"),I29," ")</f>
        <v>250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105</v>
      </c>
    </row>
    <row r="30" customFormat="false" ht="12" hidden="false" customHeight="false" outlineLevel="0" collapsed="false">
      <c r="A30" s="27" t="n">
        <v>46347</v>
      </c>
      <c r="B30" s="2" t="s">
        <v>123</v>
      </c>
      <c r="E30" s="2" t="s">
        <v>124</v>
      </c>
      <c r="F30" s="2" t="s">
        <v>95</v>
      </c>
      <c r="G30" s="29" t="n">
        <v>8</v>
      </c>
      <c r="H30" s="6" t="n">
        <f aca="false">IF(G30&lt;&gt;0,G30*H$2/(100+H$2)," ")</f>
        <v>1.33333333333333</v>
      </c>
      <c r="I30" s="6" t="n">
        <f aca="false">IF((G30&lt;&gt;0),G30-H30," ")</f>
        <v>6.66666666666667</v>
      </c>
      <c r="J30" s="5"/>
      <c r="M30" s="7" t="n">
        <f aca="false">IF(G30&lt;&gt;0,G30-L30," ")</f>
        <v>8</v>
      </c>
      <c r="N30" s="8" t="n">
        <f aca="false">IF((G30-L30)&lt;&gt;0,N$1-A30," ")</f>
        <v>-52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n">
        <f aca="false">IF((F30="h"),I30," ")</f>
        <v>6.66666666666667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96</v>
      </c>
    </row>
    <row r="31" customFormat="false" ht="12" hidden="false" customHeight="false" outlineLevel="0" collapsed="false">
      <c r="A31" s="27" t="n">
        <v>46348</v>
      </c>
      <c r="B31" s="2" t="s">
        <v>125</v>
      </c>
      <c r="E31" s="2" t="s">
        <v>126</v>
      </c>
      <c r="F31" s="2" t="s">
        <v>75</v>
      </c>
      <c r="G31" s="29" t="n">
        <v>18</v>
      </c>
      <c r="H31" s="6" t="n">
        <f aca="false">IF(G31&lt;&gt;0,G31*H$2/(100+H$2)," ")</f>
        <v>3</v>
      </c>
      <c r="I31" s="6" t="n">
        <f aca="false">IF((G31&lt;&gt;0),G31-H31," ")</f>
        <v>15</v>
      </c>
      <c r="J31" s="5"/>
      <c r="M31" s="7" t="n">
        <f aca="false">IF(G31&lt;&gt;0,G31-L31," ")</f>
        <v>18</v>
      </c>
      <c r="N31" s="8" t="n">
        <f aca="false">IF((G31-L31)&lt;&gt;0,N$1-A31," ")</f>
        <v>-53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n">
        <f aca="false">IF((F31="y"),I31," ")</f>
        <v>15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85</v>
      </c>
    </row>
    <row r="32" customFormat="false" ht="12" hidden="false" customHeight="false" outlineLevel="0" collapsed="false">
      <c r="A32" s="27" t="n">
        <v>46351</v>
      </c>
      <c r="B32" s="2" t="s">
        <v>127</v>
      </c>
      <c r="E32" s="2" t="s">
        <v>128</v>
      </c>
      <c r="F32" s="2" t="s">
        <v>75</v>
      </c>
      <c r="G32" s="29" t="n">
        <v>15</v>
      </c>
      <c r="H32" s="6" t="n">
        <f aca="false">IF(G32&lt;&gt;0,G32*H$2/(100+H$2)," ")</f>
        <v>2.5</v>
      </c>
      <c r="I32" s="6" t="n">
        <f aca="false">IF((G32&lt;&gt;0),G32-H32," ")</f>
        <v>12.5</v>
      </c>
      <c r="J32" s="5"/>
      <c r="M32" s="7" t="n">
        <f aca="false">IF(G32&lt;&gt;0,G32-L32," ")</f>
        <v>15</v>
      </c>
      <c r="N32" s="8" t="n">
        <f aca="false">IF((G32-L32)&lt;&gt;0,N$1-A32," ")</f>
        <v>-56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n">
        <f aca="false">IF((F32="y"),I32," ")</f>
        <v>12.5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85</v>
      </c>
    </row>
    <row r="33" customFormat="false" ht="12" hidden="false" customHeight="false" outlineLevel="0" collapsed="false">
      <c r="A33" s="27" t="n">
        <v>46351</v>
      </c>
      <c r="B33" s="2" t="s">
        <v>129</v>
      </c>
      <c r="D33" s="4" t="n">
        <v>180</v>
      </c>
      <c r="E33" s="2" t="s">
        <v>175</v>
      </c>
      <c r="F33" s="2" t="s">
        <v>24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90</v>
      </c>
    </row>
    <row r="34" customFormat="false" ht="12" hidden="false" customHeight="false" outlineLevel="0" collapsed="false">
      <c r="A34" s="27" t="n">
        <v>46354</v>
      </c>
      <c r="B34" s="2" t="s">
        <v>19</v>
      </c>
      <c r="E34" s="2" t="s">
        <v>131</v>
      </c>
      <c r="F34" s="2" t="s">
        <v>24</v>
      </c>
      <c r="G34" s="29" t="n">
        <v>120</v>
      </c>
      <c r="H34" s="6" t="n">
        <f aca="false">IF(G34&lt;&gt;0,G34*H$2/(100+H$2)," ")</f>
        <v>20</v>
      </c>
      <c r="I34" s="6" t="n">
        <f aca="false">IF((G34&lt;&gt;0),G34-H34," ")</f>
        <v>100</v>
      </c>
      <c r="J34" s="5"/>
      <c r="M34" s="7" t="n">
        <f aca="false">IF(G34&lt;&gt;0,G34-L34," ")</f>
        <v>120</v>
      </c>
      <c r="N34" s="8" t="n">
        <f aca="false">IF((G34-L34)&lt;&gt;0,N$1-A34," ")</f>
        <v>-59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n">
        <f aca="false">IF((F34="v"),I34," ")</f>
        <v>100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90</v>
      </c>
    </row>
    <row r="35" customFormat="false" ht="12" hidden="false" customHeight="false" outlineLevel="0" collapsed="false">
      <c r="A35" s="27" t="n">
        <v>46356</v>
      </c>
      <c r="B35" s="2" t="s">
        <v>15</v>
      </c>
      <c r="E35" s="2" t="s">
        <v>132</v>
      </c>
      <c r="F35" s="2" t="s">
        <v>133</v>
      </c>
      <c r="G35" s="29" t="n">
        <v>300</v>
      </c>
      <c r="H35" s="6" t="n">
        <f aca="false">IF(G35&lt;&gt;0,G35*H$2/(100+H$2)," ")</f>
        <v>50</v>
      </c>
      <c r="I35" s="6" t="n">
        <f aca="false">IF((G35&lt;&gt;0),G35-H35," ")</f>
        <v>250</v>
      </c>
      <c r="J35" s="5"/>
      <c r="M35" s="7" t="n">
        <f aca="false">IF(G35&lt;&gt;0,G35-L35," ")</f>
        <v>300</v>
      </c>
      <c r="N35" s="8" t="n">
        <f aca="false">IF((G35-L35)&lt;&gt;0,N$1-A35," ")</f>
        <v>-61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n">
        <f aca="false">IF((F35="l"),I35," ")</f>
        <v>250</v>
      </c>
      <c r="AA35" s="19" t="str">
        <f aca="false">IF((F35="y"),I35," ")</f>
        <v> 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134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3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110</v>
      </c>
      <c r="E1" s="13" t="s">
        <v>3</v>
      </c>
      <c r="F1" s="14"/>
      <c r="G1" s="13" t="n">
        <f aca="false">SUM(G2:G300)</f>
        <v>9462.5</v>
      </c>
      <c r="H1" s="13" t="n">
        <f aca="false">SUM(H5:H200)</f>
        <v>1567</v>
      </c>
      <c r="I1" s="13" t="n">
        <f aca="false">SUM(I2:I200)</f>
        <v>7895.5</v>
      </c>
      <c r="J1" s="15"/>
      <c r="K1" s="16" t="s">
        <v>4</v>
      </c>
      <c r="L1" s="17" t="n">
        <f aca="false">SUM(L5:L300)</f>
        <v>0</v>
      </c>
      <c r="M1" s="17" t="n">
        <f aca="false">SUM(M5:M200)</f>
        <v>9402</v>
      </c>
      <c r="N1" s="18" t="n">
        <f aca="true">TODAY()</f>
        <v>46295</v>
      </c>
      <c r="O1" s="15"/>
      <c r="P1" s="13" t="n">
        <f aca="false">SUM(P5:P300)</f>
        <v>400</v>
      </c>
      <c r="Q1" s="13" t="n">
        <f aca="false">SUM(Q5:Q300)</f>
        <v>0</v>
      </c>
      <c r="R1" s="13" t="n">
        <f aca="false">SUM(R5:R300)</f>
        <v>237.5</v>
      </c>
      <c r="S1" s="13" t="n">
        <f aca="false">SUM(S5:S300)</f>
        <v>4166.66666666667</v>
      </c>
      <c r="T1" s="13" t="n">
        <f aca="false">SUM(T5:T300)</f>
        <v>1350</v>
      </c>
      <c r="U1" s="13" t="n">
        <f aca="false">SUM(U5:U300)</f>
        <v>0</v>
      </c>
      <c r="V1" s="13" t="n">
        <f aca="false">SUM(V5:V300)</f>
        <v>212.5</v>
      </c>
      <c r="W1" s="13" t="n">
        <f aca="false">SUM(W2:W300)</f>
        <v>530.5</v>
      </c>
      <c r="X1" s="13" t="n">
        <f aca="false">SUM(X5:X300)</f>
        <v>76.6666666666667</v>
      </c>
      <c r="Y1" s="13" t="n">
        <f aca="false">SUM(Y5:Y300)</f>
        <v>0</v>
      </c>
      <c r="Z1" s="13" t="n">
        <f aca="false">SUM(Z5:Z300)</f>
        <v>389.166666666667</v>
      </c>
      <c r="AA1" s="13" t="n">
        <f aca="false">SUM(AA5:AA300)</f>
        <v>532.5</v>
      </c>
      <c r="AB1" s="13" t="n">
        <f aca="false">SUM(AB5:AB300)</f>
        <v>0</v>
      </c>
      <c r="AC1" s="41" t="n">
        <f aca="false">SUM(AC5:AC300)</f>
        <v>0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G2+Nov!A2</f>
        <v>594</v>
      </c>
      <c r="B2" s="44" t="s">
        <v>22</v>
      </c>
      <c r="C2" s="43" t="n">
        <f aca="false">Nov!C2+D1+[1]Dec!$D$1</f>
        <v>1080</v>
      </c>
      <c r="D2" s="45" t="s">
        <v>23</v>
      </c>
      <c r="E2" s="20" t="s">
        <v>5</v>
      </c>
      <c r="F2" s="44" t="str">
        <f aca="false">Nov!F2</f>
        <v>v</v>
      </c>
      <c r="G2" s="46" t="n">
        <f aca="false">IF(C2&lt;[2]Admin!$F$22,(C2-Nov!C2)*[2]Admin!$G$21,C2*[2]Admin!$G$21-(C2-[2]Admin!$F$21)*([2]Admin!$G$21-[2]Admin!$G$22)-Nov!A2)</f>
        <v>60.5</v>
      </c>
      <c r="H2" s="21" t="n">
        <f aca="false">IF([1]Dec!$H$4&gt;0,0,[1]Dec!$H$2)</f>
        <v>20</v>
      </c>
      <c r="I2" s="47" t="n">
        <f aca="false">G2</f>
        <v>60.5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60.5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AB1+Nov!AB2</f>
        <v>52500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46357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-62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46357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-62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46357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-62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46357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-62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46357</v>
      </c>
      <c r="B9" s="2" t="s">
        <v>77</v>
      </c>
      <c r="E9" s="2" t="s">
        <v>78</v>
      </c>
      <c r="F9" s="2" t="s">
        <v>71</v>
      </c>
      <c r="G9" s="29" t="n">
        <v>24</v>
      </c>
      <c r="H9" s="6" t="n">
        <f aca="false">IF(G9&lt;&gt;0,G9*H$2/(100+H$2)," ")</f>
        <v>4</v>
      </c>
      <c r="I9" s="6" t="n">
        <f aca="false">IF((G9&lt;&gt;0),G9-H9," ")</f>
        <v>20</v>
      </c>
      <c r="J9" s="5"/>
      <c r="M9" s="7" t="n">
        <f aca="false">IF(G9&lt;&gt;0,G9-L9," ")</f>
        <v>24</v>
      </c>
      <c r="N9" s="8" t="n">
        <f aca="false">IF((G9-L9)&lt;&gt;0,N$1-A9," ")</f>
        <v>-62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20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72</v>
      </c>
    </row>
    <row r="10" customFormat="false" ht="12" hidden="false" customHeight="false" outlineLevel="0" collapsed="false">
      <c r="A10" s="27" t="n">
        <v>46357</v>
      </c>
      <c r="B10" s="2" t="s">
        <v>79</v>
      </c>
      <c r="E10" s="2" t="s">
        <v>80</v>
      </c>
      <c r="F10" s="2" t="s">
        <v>65</v>
      </c>
      <c r="G10" s="29" t="n">
        <v>18</v>
      </c>
      <c r="H10" s="6" t="n">
        <f aca="false">IF(G10&lt;&gt;0,G10*H$2/(100+H$2)," ")</f>
        <v>3</v>
      </c>
      <c r="I10" s="6" t="n">
        <f aca="false">IF((G10&lt;&gt;0),G10-H10," ")</f>
        <v>15</v>
      </c>
      <c r="J10" s="5"/>
      <c r="M10" s="7" t="n">
        <f aca="false">IF(G10&lt;&gt;0,G10-L10," ")</f>
        <v>18</v>
      </c>
      <c r="N10" s="8" t="n">
        <f aca="false">IF((G10-L10)&lt;&gt;0,N$1-A10," ")</f>
        <v>-62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15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66</v>
      </c>
    </row>
    <row r="11" customFormat="false" ht="12" hidden="false" customHeight="false" outlineLevel="0" collapsed="false">
      <c r="A11" s="27" t="n">
        <v>46359</v>
      </c>
      <c r="B11" s="2" t="s">
        <v>81</v>
      </c>
      <c r="E11" s="2" t="s">
        <v>82</v>
      </c>
      <c r="F11" s="2" t="s">
        <v>71</v>
      </c>
      <c r="G11" s="29" t="n">
        <v>180</v>
      </c>
      <c r="H11" s="6" t="n">
        <f aca="false">IF(G11&lt;&gt;0,G11*H$2/(100+H$2)," ")</f>
        <v>30</v>
      </c>
      <c r="I11" s="6" t="n">
        <f aca="false">IF((G11&lt;&gt;0),G11-H11," ")</f>
        <v>150</v>
      </c>
      <c r="J11" s="5"/>
      <c r="M11" s="7" t="n">
        <f aca="false">IF(G11&lt;&gt;0,G11-L11," ")</f>
        <v>180</v>
      </c>
      <c r="N11" s="8" t="n">
        <f aca="false">IF((G11-L11)&lt;&gt;0,N$1-A11," ")</f>
        <v>-64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150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72</v>
      </c>
    </row>
    <row r="12" customFormat="false" ht="12" hidden="false" customHeight="false" outlineLevel="0" collapsed="false">
      <c r="A12" s="27" t="n">
        <v>46359</v>
      </c>
      <c r="B12" s="2" t="s">
        <v>83</v>
      </c>
      <c r="E12" s="2" t="s">
        <v>84</v>
      </c>
      <c r="F12" s="2" t="s">
        <v>75</v>
      </c>
      <c r="G12" s="29" t="n">
        <v>22</v>
      </c>
      <c r="H12" s="6" t="n">
        <f aca="false">IF(G12&lt;&gt;0,G12*H$2/(100+H$2)," ")</f>
        <v>3.66666666666667</v>
      </c>
      <c r="I12" s="6" t="n">
        <f aca="false">IF((G12&lt;&gt;0),G12-H12," ")</f>
        <v>18.3333333333333</v>
      </c>
      <c r="J12" s="5"/>
      <c r="M12" s="7" t="n">
        <f aca="false">IF(G12&lt;&gt;0,G12-L12," ")</f>
        <v>22</v>
      </c>
      <c r="N12" s="8" t="n">
        <f aca="false">IF((G12-L12)&lt;&gt;0,N$1-A12," ")</f>
        <v>-64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n">
        <f aca="false">IF((F12="y"),I12," ")</f>
        <v>18.3333333333333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85</v>
      </c>
    </row>
    <row r="13" customFormat="false" ht="12" hidden="false" customHeight="false" outlineLevel="0" collapsed="false">
      <c r="A13" s="27" t="n">
        <v>46361</v>
      </c>
      <c r="B13" s="2" t="s">
        <v>86</v>
      </c>
      <c r="E13" s="2" t="s">
        <v>87</v>
      </c>
      <c r="F13" s="2" t="s">
        <v>75</v>
      </c>
      <c r="G13" s="29" t="n">
        <v>24</v>
      </c>
      <c r="H13" s="6" t="n">
        <f aca="false">IF(G13&lt;&gt;0,G13*H$2/(100+H$2)," ")</f>
        <v>4</v>
      </c>
      <c r="I13" s="6" t="n">
        <f aca="false">IF((G13&lt;&gt;0),G13-H13," ")</f>
        <v>20</v>
      </c>
      <c r="J13" s="5"/>
      <c r="M13" s="7" t="n">
        <f aca="false">IF(G13&lt;&gt;0,G13-L13," ")</f>
        <v>24</v>
      </c>
      <c r="N13" s="8" t="n">
        <f aca="false">IF((G13-L13)&lt;&gt;0,N$1-A13," ")</f>
        <v>-66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20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46361</v>
      </c>
      <c r="B14" s="2" t="s">
        <v>88</v>
      </c>
      <c r="E14" s="2" t="s">
        <v>89</v>
      </c>
      <c r="F14" s="2" t="s">
        <v>24</v>
      </c>
      <c r="G14" s="29" t="n">
        <v>180</v>
      </c>
      <c r="H14" s="6" t="n">
        <f aca="false">IF(G14&lt;&gt;0,G14*H$2/(100+H$2)," ")</f>
        <v>30</v>
      </c>
      <c r="I14" s="6" t="n">
        <f aca="false">IF((G14&lt;&gt;0),G14-H14," ")</f>
        <v>150</v>
      </c>
      <c r="J14" s="5"/>
      <c r="M14" s="7" t="n">
        <f aca="false">IF(G14&lt;&gt;0,G14-L14," ")</f>
        <v>180</v>
      </c>
      <c r="N14" s="8" t="n">
        <f aca="false">IF((G14-L14)&lt;&gt;0,N$1-A14," ")</f>
        <v>-66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n">
        <f aca="false">IF((F14="v"),I14," ")</f>
        <v>150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90</v>
      </c>
    </row>
    <row r="15" customFormat="false" ht="12" hidden="false" customHeight="false" outlineLevel="0" collapsed="false">
      <c r="A15" s="27" t="n">
        <v>46361</v>
      </c>
      <c r="B15" s="2" t="s">
        <v>91</v>
      </c>
      <c r="E15" s="2" t="s">
        <v>92</v>
      </c>
      <c r="F15" s="2" t="s">
        <v>71</v>
      </c>
      <c r="G15" s="29" t="n">
        <v>36</v>
      </c>
      <c r="H15" s="6" t="n">
        <f aca="false">IF(G15&lt;&gt;0,G15*H$2/(100+H$2)," ")</f>
        <v>6</v>
      </c>
      <c r="I15" s="6" t="n">
        <f aca="false">IF((G15&lt;&gt;0),G15-H15," ")</f>
        <v>30</v>
      </c>
      <c r="J15" s="5"/>
      <c r="M15" s="7" t="n">
        <f aca="false">IF(G15&lt;&gt;0,G15-L15," ")</f>
        <v>36</v>
      </c>
      <c r="N15" s="8" t="n">
        <f aca="false">IF((G15-L15)&lt;&gt;0,N$1-A15," ")</f>
        <v>-66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n">
        <f aca="false">IF((F15="o"),I15," ")</f>
        <v>30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72</v>
      </c>
    </row>
    <row r="16" customFormat="false" ht="12" hidden="false" customHeight="false" outlineLevel="0" collapsed="false">
      <c r="A16" s="27" t="n">
        <v>46364</v>
      </c>
      <c r="B16" s="2" t="s">
        <v>93</v>
      </c>
      <c r="E16" s="2" t="s">
        <v>94</v>
      </c>
      <c r="F16" s="2" t="s">
        <v>95</v>
      </c>
      <c r="G16" s="29" t="n">
        <v>48</v>
      </c>
      <c r="H16" s="6" t="n">
        <f aca="false">IF(G16&lt;&gt;0,G16*H$2/(100+H$2)," ")</f>
        <v>8</v>
      </c>
      <c r="I16" s="6" t="n">
        <f aca="false">IF((G16&lt;&gt;0),G16-H16," ")</f>
        <v>40</v>
      </c>
      <c r="J16" s="5"/>
      <c r="M16" s="7" t="n">
        <f aca="false">IF(G16&lt;&gt;0,G16-L16," ")</f>
        <v>48</v>
      </c>
      <c r="N16" s="8" t="n">
        <f aca="false">IF((G16-L16)&lt;&gt;0,N$1-A16," ")</f>
        <v>-69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n">
        <f aca="false">IF((F16="h"),I16," ")</f>
        <v>40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96</v>
      </c>
    </row>
    <row r="17" customFormat="false" ht="12" hidden="false" customHeight="false" outlineLevel="0" collapsed="false">
      <c r="A17" s="27" t="n">
        <v>46366</v>
      </c>
      <c r="B17" s="2" t="s">
        <v>97</v>
      </c>
      <c r="E17" s="2" t="s">
        <v>98</v>
      </c>
      <c r="F17" s="2" t="s">
        <v>75</v>
      </c>
      <c r="G17" s="29" t="n">
        <v>36</v>
      </c>
      <c r="H17" s="6" t="n">
        <f aca="false">IF(G17&lt;&gt;0,G17*H$2/(100+H$2)," ")</f>
        <v>6</v>
      </c>
      <c r="I17" s="6" t="n">
        <f aca="false">IF((G17&lt;&gt;0),G17-H17," ")</f>
        <v>30</v>
      </c>
      <c r="J17" s="5"/>
      <c r="M17" s="7" t="n">
        <f aca="false">IF(G17&lt;&gt;0,G17-L17," ")</f>
        <v>36</v>
      </c>
      <c r="N17" s="8" t="n">
        <f aca="false">IF((G17-L17)&lt;&gt;0,N$1-A17," ")</f>
        <v>-71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n">
        <f aca="false">IF((F17="y"),I17," ")</f>
        <v>30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85</v>
      </c>
    </row>
    <row r="18" customFormat="false" ht="12" hidden="false" customHeight="false" outlineLevel="0" collapsed="false">
      <c r="A18" s="27" t="n">
        <v>46366</v>
      </c>
      <c r="B18" s="2" t="s">
        <v>161</v>
      </c>
      <c r="E18" s="2" t="s">
        <v>162</v>
      </c>
      <c r="F18" s="2" t="s">
        <v>65</v>
      </c>
      <c r="G18" s="29" t="n">
        <v>120</v>
      </c>
      <c r="H18" s="6" t="n">
        <f aca="false">IF(G18&lt;&gt;0,G18*H$2/(100+H$2)," ")</f>
        <v>20</v>
      </c>
      <c r="I18" s="6" t="n">
        <f aca="false">IF((G18&lt;&gt;0),G18-H18," ")</f>
        <v>100</v>
      </c>
      <c r="J18" s="5"/>
      <c r="M18" s="7" t="n">
        <f aca="false">IF(G18&lt;&gt;0,G18-L18," ")</f>
        <v>120</v>
      </c>
      <c r="N18" s="8" t="n">
        <f aca="false">IF((G18-L18)&lt;&gt;0,N$1-A18," ")</f>
        <v>-71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n">
        <f aca="false">IF((F18="g"),I18," ")</f>
        <v>100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66</v>
      </c>
    </row>
    <row r="19" customFormat="false" ht="12" hidden="false" customHeight="false" outlineLevel="0" collapsed="false">
      <c r="A19" s="27" t="n">
        <v>46368</v>
      </c>
      <c r="B19" s="2" t="s">
        <v>106</v>
      </c>
      <c r="E19" s="2" t="s">
        <v>107</v>
      </c>
      <c r="F19" s="2" t="s">
        <v>24</v>
      </c>
      <c r="G19" s="29" t="n">
        <v>18</v>
      </c>
      <c r="H19" s="6" t="n">
        <f aca="false">IF(G19&lt;&gt;0,G19*H$2/(100+H$2)," ")</f>
        <v>3</v>
      </c>
      <c r="I19" s="6" t="n">
        <f aca="false">IF((G19&lt;&gt;0),G19-H19," ")</f>
        <v>15</v>
      </c>
      <c r="J19" s="5"/>
      <c r="M19" s="7" t="n">
        <f aca="false">IF(G19&lt;&gt;0,G19-L19," ")</f>
        <v>18</v>
      </c>
      <c r="N19" s="8" t="n">
        <f aca="false">IF((G19-L19)&lt;&gt;0,N$1-A19," ")</f>
        <v>-73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n">
        <f aca="false">IF((F19="v"),I19," ")</f>
        <v>15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90</v>
      </c>
    </row>
    <row r="20" customFormat="false" ht="12" hidden="false" customHeight="false" outlineLevel="0" collapsed="false">
      <c r="A20" s="27" t="n">
        <v>46370</v>
      </c>
      <c r="B20" s="2" t="s">
        <v>108</v>
      </c>
      <c r="E20" s="2" t="s">
        <v>109</v>
      </c>
      <c r="F20" s="2" t="s">
        <v>75</v>
      </c>
      <c r="G20" s="29" t="n">
        <v>24</v>
      </c>
      <c r="H20" s="6" t="n">
        <f aca="false">IF(G20&lt;&gt;0,G20*H$2/(100+H$2)," ")</f>
        <v>4</v>
      </c>
      <c r="I20" s="6" t="n">
        <f aca="false">IF((G20&lt;&gt;0),G20-H20," ")</f>
        <v>20</v>
      </c>
      <c r="J20" s="5"/>
      <c r="M20" s="7" t="n">
        <f aca="false">IF(G20&lt;&gt;0,G20-L20," ")</f>
        <v>24</v>
      </c>
      <c r="N20" s="8" t="n">
        <f aca="false">IF((G20-L20)&lt;&gt;0,N$1-A20," ")</f>
        <v>-75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n">
        <f aca="false">IF((F20="y"),I20," ")</f>
        <v>20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85</v>
      </c>
    </row>
    <row r="21" customFormat="false" ht="12" hidden="false" customHeight="false" outlineLevel="0" collapsed="false">
      <c r="A21" s="27" t="n">
        <v>46370</v>
      </c>
      <c r="B21" s="2" t="s">
        <v>110</v>
      </c>
      <c r="E21" s="2" t="s">
        <v>111</v>
      </c>
      <c r="F21" s="2" t="s">
        <v>95</v>
      </c>
      <c r="G21" s="29" t="n">
        <v>24</v>
      </c>
      <c r="H21" s="6" t="n">
        <f aca="false">IF(G21&lt;&gt;0,G21*H$2/(100+H$2)," ")</f>
        <v>4</v>
      </c>
      <c r="I21" s="6" t="n">
        <f aca="false">IF((G21&lt;&gt;0),G21-H21," ")</f>
        <v>20</v>
      </c>
      <c r="J21" s="5"/>
      <c r="M21" s="7" t="n">
        <f aca="false">IF(G21&lt;&gt;0,G21-L21," ")</f>
        <v>24</v>
      </c>
      <c r="N21" s="8" t="n">
        <f aca="false">IF((G21-L21)&lt;&gt;0,N$1-A21," ")</f>
        <v>-75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n">
        <f aca="false">IF((F21="h"),I21," ")</f>
        <v>20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96</v>
      </c>
    </row>
    <row r="22" customFormat="false" ht="12" hidden="false" customHeight="false" outlineLevel="0" collapsed="false">
      <c r="A22" s="27" t="n">
        <v>46370</v>
      </c>
      <c r="B22" s="2" t="s">
        <v>112</v>
      </c>
      <c r="E22" s="2" t="s">
        <v>113</v>
      </c>
      <c r="F22" s="2" t="s">
        <v>95</v>
      </c>
      <c r="G22" s="29" t="n">
        <v>12</v>
      </c>
      <c r="H22" s="6" t="n">
        <f aca="false">IF(G22&lt;&gt;0,G22*H$2/(100+H$2)," ")</f>
        <v>2</v>
      </c>
      <c r="I22" s="6" t="n">
        <f aca="false">IF((G22&lt;&gt;0),G22-H22," ")</f>
        <v>10</v>
      </c>
      <c r="J22" s="5"/>
      <c r="M22" s="7" t="n">
        <f aca="false">IF(G22&lt;&gt;0,G22-L22," ")</f>
        <v>12</v>
      </c>
      <c r="N22" s="8" t="n">
        <f aca="false">IF((G22-L22)&lt;&gt;0,N$1-A22," ")</f>
        <v>-75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n">
        <f aca="false">IF((F22="h"),I22," ")</f>
        <v>10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96</v>
      </c>
    </row>
    <row r="23" customFormat="false" ht="12" hidden="false" customHeight="false" outlineLevel="0" collapsed="false">
      <c r="A23" s="27" t="n">
        <v>46371</v>
      </c>
      <c r="B23" s="2" t="s">
        <v>19</v>
      </c>
      <c r="E23" s="2" t="s">
        <v>89</v>
      </c>
      <c r="F23" s="2" t="s">
        <v>24</v>
      </c>
      <c r="G23" s="29" t="n">
        <v>150</v>
      </c>
      <c r="H23" s="6" t="n">
        <f aca="false">IF(G23&lt;&gt;0,G23*H$2/(100+H$2)," ")</f>
        <v>25</v>
      </c>
      <c r="I23" s="6" t="n">
        <f aca="false">IF((G23&lt;&gt;0),G23-H23," ")</f>
        <v>125</v>
      </c>
      <c r="J23" s="5"/>
      <c r="M23" s="7" t="n">
        <f aca="false">IF(G23&lt;&gt;0,G23-L23," ")</f>
        <v>150</v>
      </c>
      <c r="N23" s="8" t="n">
        <f aca="false">IF((G23-L23)&lt;&gt;0,N$1-A23," ")</f>
        <v>-76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n">
        <f aca="false">IF((F23="v"),I23," ")</f>
        <v>125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90</v>
      </c>
    </row>
    <row r="24" customFormat="false" ht="12" hidden="false" customHeight="false" outlineLevel="0" collapsed="false">
      <c r="A24" s="27" t="n">
        <v>46371</v>
      </c>
      <c r="B24" s="2" t="s">
        <v>114</v>
      </c>
      <c r="E24" s="2" t="s">
        <v>115</v>
      </c>
      <c r="F24" s="2" t="s">
        <v>65</v>
      </c>
      <c r="G24" s="29" t="n">
        <v>12</v>
      </c>
      <c r="H24" s="6" t="n">
        <f aca="false">IF(G24&lt;&gt;0,G24*H$2/(100+H$2)," ")</f>
        <v>2</v>
      </c>
      <c r="I24" s="6" t="n">
        <f aca="false">IF((G24&lt;&gt;0),G24-H24," ")</f>
        <v>10</v>
      </c>
      <c r="J24" s="5"/>
      <c r="M24" s="7" t="n">
        <f aca="false">IF(G24&lt;&gt;0,G24-L24," ")</f>
        <v>12</v>
      </c>
      <c r="N24" s="8" t="n">
        <f aca="false">IF((G24-L24)&lt;&gt;0,N$1-A24," ")</f>
        <v>-76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n">
        <f aca="false">IF((F24="g"),I24," ")</f>
        <v>10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66</v>
      </c>
    </row>
    <row r="25" customFormat="false" ht="12" hidden="false" customHeight="false" outlineLevel="0" collapsed="false">
      <c r="A25" s="27" t="n">
        <v>46371</v>
      </c>
      <c r="B25" s="2" t="s">
        <v>225</v>
      </c>
      <c r="E25" s="2" t="s">
        <v>226</v>
      </c>
      <c r="F25" s="2" t="s">
        <v>75</v>
      </c>
      <c r="G25" s="29" t="n">
        <v>500</v>
      </c>
      <c r="H25" s="6" t="n">
        <f aca="false">IF(G25&lt;&gt;0,G25*H$2/(100+H$2)," ")</f>
        <v>83.3333333333333</v>
      </c>
      <c r="I25" s="6" t="n">
        <f aca="false">IF((G25&lt;&gt;0),G25-H25," ")</f>
        <v>416.666666666667</v>
      </c>
      <c r="J25" s="5"/>
      <c r="M25" s="7" t="n">
        <f aca="false">IF(G25&lt;&gt;0,G25-L25," ")</f>
        <v>500</v>
      </c>
      <c r="N25" s="8" t="n">
        <f aca="false">IF((G25-L25)&lt;&gt;0,N$1-A25," ")</f>
        <v>-76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n">
        <f aca="false">IF((F25="y"),I25," ")</f>
        <v>416.666666666667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227</v>
      </c>
    </row>
    <row r="26" customFormat="false" ht="12" hidden="false" customHeight="false" outlineLevel="0" collapsed="false">
      <c r="A26" s="27" t="n">
        <v>46374</v>
      </c>
      <c r="B26" s="2" t="s">
        <v>170</v>
      </c>
      <c r="E26" s="2" t="s">
        <v>171</v>
      </c>
      <c r="F26" s="2" t="s">
        <v>104</v>
      </c>
      <c r="G26" s="29" t="n">
        <v>480</v>
      </c>
      <c r="H26" s="6" t="n">
        <f aca="false">IF(G26&lt;&gt;0,G26*H$2/(100+H$2)," ")</f>
        <v>80</v>
      </c>
      <c r="I26" s="6" t="n">
        <f aca="false">IF((G26&lt;&gt;0),G26-H26," ")</f>
        <v>400</v>
      </c>
      <c r="J26" s="5"/>
      <c r="M26" s="7" t="n">
        <f aca="false">IF(G26&lt;&gt;0,G26-L26," ")</f>
        <v>480</v>
      </c>
      <c r="N26" s="8" t="n">
        <f aca="false">IF((G26-L26)&lt;&gt;0,N$1-A26," ")</f>
        <v>-79</v>
      </c>
      <c r="O26" s="5"/>
      <c r="P26" s="19" t="n">
        <f aca="false">IF((F26="s"),I26," ")</f>
        <v>400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105</v>
      </c>
    </row>
    <row r="27" customFormat="false" ht="12" hidden="false" customHeight="false" outlineLevel="0" collapsed="false">
      <c r="A27" s="27" t="n">
        <v>46374</v>
      </c>
      <c r="B27" s="2" t="s">
        <v>116</v>
      </c>
      <c r="E27" s="2" t="s">
        <v>89</v>
      </c>
      <c r="F27" s="2" t="s">
        <v>24</v>
      </c>
      <c r="G27" s="29" t="n">
        <v>96</v>
      </c>
      <c r="H27" s="6" t="n">
        <f aca="false">IF(G27&lt;&gt;0,G27*H$2/(100+H$2)," ")</f>
        <v>16</v>
      </c>
      <c r="I27" s="6" t="n">
        <f aca="false">IF((G27&lt;&gt;0),G27-H27," ")</f>
        <v>80</v>
      </c>
      <c r="J27" s="5"/>
      <c r="M27" s="7" t="n">
        <f aca="false">IF(G27&lt;&gt;0,G27-L27," ")</f>
        <v>96</v>
      </c>
      <c r="N27" s="8" t="n">
        <f aca="false">IF((G27-L27)&lt;&gt;0,N$1-A27," ")</f>
        <v>-79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n">
        <f aca="false">IF((F27="v"),I27," ")</f>
        <v>80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90</v>
      </c>
    </row>
    <row r="28" customFormat="false" ht="12" hidden="false" customHeight="false" outlineLevel="0" collapsed="false">
      <c r="A28" s="27" t="n">
        <v>46376</v>
      </c>
      <c r="B28" s="2" t="s">
        <v>117</v>
      </c>
      <c r="E28" s="2" t="s">
        <v>118</v>
      </c>
      <c r="F28" s="2" t="s">
        <v>65</v>
      </c>
      <c r="G28" s="29" t="n">
        <v>60</v>
      </c>
      <c r="H28" s="6" t="n">
        <f aca="false">IF(G28&lt;&gt;0,G28*H$2/(100+H$2)," ")</f>
        <v>10</v>
      </c>
      <c r="I28" s="6" t="n">
        <f aca="false">IF((G28&lt;&gt;0),G28-H28," ")</f>
        <v>50</v>
      </c>
      <c r="J28" s="5"/>
      <c r="M28" s="7" t="n">
        <f aca="false">IF(G28&lt;&gt;0,G28-L28," ")</f>
        <v>60</v>
      </c>
      <c r="N28" s="8" t="n">
        <f aca="false">IF((G28-L28)&lt;&gt;0,N$1-A28," ")</f>
        <v>-81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50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66</v>
      </c>
    </row>
    <row r="29" customFormat="false" ht="12" hidden="false" customHeight="false" outlineLevel="0" collapsed="false">
      <c r="A29" s="27" t="n">
        <v>46377</v>
      </c>
      <c r="B29" s="2" t="s">
        <v>123</v>
      </c>
      <c r="E29" s="2" t="s">
        <v>124</v>
      </c>
      <c r="F29" s="2" t="s">
        <v>95</v>
      </c>
      <c r="G29" s="29" t="n">
        <v>8</v>
      </c>
      <c r="H29" s="6" t="n">
        <f aca="false">IF(G29&lt;&gt;0,G29*H$2/(100+H$2)," ")</f>
        <v>1.33333333333333</v>
      </c>
      <c r="I29" s="6" t="n">
        <f aca="false">IF((G29&lt;&gt;0),G29-H29," ")</f>
        <v>6.66666666666667</v>
      </c>
      <c r="J29" s="5"/>
      <c r="M29" s="7" t="n">
        <f aca="false">IF(G29&lt;&gt;0,G29-L29," ")</f>
        <v>8</v>
      </c>
      <c r="N29" s="8" t="n">
        <f aca="false">IF((G29-L29)&lt;&gt;0,N$1-A29," ")</f>
        <v>-82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n">
        <f aca="false">IF((F29="h"),I29," ")</f>
        <v>6.66666666666667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96</v>
      </c>
    </row>
    <row r="30" customFormat="false" ht="12" hidden="false" customHeight="false" outlineLevel="0" collapsed="false">
      <c r="A30" s="27" t="n">
        <v>46378</v>
      </c>
      <c r="B30" s="2" t="s">
        <v>125</v>
      </c>
      <c r="E30" s="2" t="s">
        <v>126</v>
      </c>
      <c r="F30" s="2" t="s">
        <v>75</v>
      </c>
      <c r="G30" s="29" t="n">
        <v>18</v>
      </c>
      <c r="H30" s="6" t="n">
        <f aca="false">IF(G30&lt;&gt;0,G30*H$2/(100+H$2)," ")</f>
        <v>3</v>
      </c>
      <c r="I30" s="6" t="n">
        <f aca="false">IF((G30&lt;&gt;0),G30-H30," ")</f>
        <v>15</v>
      </c>
      <c r="J30" s="5"/>
      <c r="M30" s="7" t="n">
        <f aca="false">IF(G30&lt;&gt;0,G30-L30," ")</f>
        <v>18</v>
      </c>
      <c r="N30" s="8" t="n">
        <f aca="false">IF((G30-L30)&lt;&gt;0,N$1-A30," ")</f>
        <v>-83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n">
        <f aca="false">IF((F30="y"),I30," ")</f>
        <v>15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85</v>
      </c>
    </row>
    <row r="31" customFormat="false" ht="12" hidden="false" customHeight="false" outlineLevel="0" collapsed="false">
      <c r="A31" s="27" t="n">
        <v>46381</v>
      </c>
      <c r="B31" s="2" t="s">
        <v>172</v>
      </c>
      <c r="E31" s="2" t="s">
        <v>173</v>
      </c>
      <c r="F31" s="2" t="s">
        <v>61</v>
      </c>
      <c r="G31" s="29" t="n">
        <v>420</v>
      </c>
      <c r="H31" s="6" t="n">
        <f aca="false">IF(G31&lt;&gt;0,G31*H$2/(100+H$2)," ")</f>
        <v>70</v>
      </c>
      <c r="I31" s="6" t="n">
        <f aca="false">IF((G31&lt;&gt;0),G31-H31," ")</f>
        <v>350</v>
      </c>
      <c r="J31" s="5"/>
      <c r="M31" s="7" t="n">
        <f aca="false">IF(G31&lt;&gt;0,G31-L31," ")</f>
        <v>420</v>
      </c>
      <c r="N31" s="8" t="n">
        <f aca="false">IF((G31-L31)&lt;&gt;0,N$1-A31," ")</f>
        <v>-86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n">
        <f aca="false">IF((F31="p"),I31," ")</f>
        <v>350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174</v>
      </c>
    </row>
    <row r="32" customFormat="false" ht="12" hidden="false" customHeight="false" outlineLevel="0" collapsed="false">
      <c r="A32" s="27" t="n">
        <v>46381</v>
      </c>
      <c r="B32" s="2" t="s">
        <v>127</v>
      </c>
      <c r="E32" s="2" t="s">
        <v>128</v>
      </c>
      <c r="F32" s="2" t="s">
        <v>75</v>
      </c>
      <c r="G32" s="29" t="n">
        <v>15</v>
      </c>
      <c r="H32" s="6" t="n">
        <f aca="false">IF(G32&lt;&gt;0,G32*H$2/(100+H$2)," ")</f>
        <v>2.5</v>
      </c>
      <c r="I32" s="6" t="n">
        <f aca="false">IF((G32&lt;&gt;0),G32-H32," ")</f>
        <v>12.5</v>
      </c>
      <c r="J32" s="5"/>
      <c r="M32" s="7" t="n">
        <f aca="false">IF(G32&lt;&gt;0,G32-L32," ")</f>
        <v>15</v>
      </c>
      <c r="N32" s="8" t="n">
        <f aca="false">IF((G32-L32)&lt;&gt;0,N$1-A32," ")</f>
        <v>-86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n">
        <f aca="false">IF((F32="y"),I32," ")</f>
        <v>12.5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85</v>
      </c>
    </row>
    <row r="33" customFormat="false" ht="12" hidden="false" customHeight="false" outlineLevel="0" collapsed="false">
      <c r="A33" s="27" t="n">
        <v>46381</v>
      </c>
      <c r="B33" s="2" t="s">
        <v>129</v>
      </c>
      <c r="D33" s="4" t="n">
        <v>110</v>
      </c>
      <c r="E33" s="2" t="s">
        <v>228</v>
      </c>
      <c r="F33" s="2" t="s">
        <v>24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90</v>
      </c>
    </row>
    <row r="34" customFormat="false" ht="12" hidden="false" customHeight="false" outlineLevel="0" collapsed="false">
      <c r="A34" s="27" t="n">
        <v>46384</v>
      </c>
      <c r="B34" s="2" t="s">
        <v>19</v>
      </c>
      <c r="E34" s="2" t="s">
        <v>131</v>
      </c>
      <c r="F34" s="2" t="s">
        <v>24</v>
      </c>
      <c r="G34" s="29" t="n">
        <v>120</v>
      </c>
      <c r="H34" s="6" t="n">
        <f aca="false">IF(G34&lt;&gt;0,G34*H$2/(100+H$2)," ")</f>
        <v>20</v>
      </c>
      <c r="I34" s="6" t="n">
        <f aca="false">IF((G34&lt;&gt;0),G34-H34," ")</f>
        <v>100</v>
      </c>
      <c r="J34" s="5"/>
      <c r="M34" s="7" t="n">
        <f aca="false">IF(G34&lt;&gt;0,G34-L34," ")</f>
        <v>120</v>
      </c>
      <c r="N34" s="8" t="n">
        <f aca="false">IF((G34-L34)&lt;&gt;0,N$1-A34," ")</f>
        <v>-89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n">
        <f aca="false">IF((F34="v"),I34," ")</f>
        <v>100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90</v>
      </c>
    </row>
    <row r="35" customFormat="false" ht="12" hidden="false" customHeight="false" outlineLevel="0" collapsed="false">
      <c r="A35" s="27" t="n">
        <v>46387</v>
      </c>
      <c r="B35" s="2" t="s">
        <v>15</v>
      </c>
      <c r="E35" s="2" t="s">
        <v>132</v>
      </c>
      <c r="F35" s="2" t="s">
        <v>133</v>
      </c>
      <c r="G35" s="29" t="n">
        <v>300</v>
      </c>
      <c r="H35" s="6" t="n">
        <f aca="false">IF(G35&lt;&gt;0,G35*H$2/(100+H$2)," ")</f>
        <v>50</v>
      </c>
      <c r="I35" s="6" t="n">
        <f aca="false">IF((G35&lt;&gt;0),G35-H35," ")</f>
        <v>250</v>
      </c>
      <c r="J35" s="5"/>
      <c r="M35" s="7" t="n">
        <f aca="false">IF(G35&lt;&gt;0,G35-L35," ")</f>
        <v>300</v>
      </c>
      <c r="N35" s="8" t="n">
        <f aca="false">IF((G35-L35)&lt;&gt;0,N$1-A35," ")</f>
        <v>-92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n">
        <f aca="false">IF((F35="l"),I35," ")</f>
        <v>250</v>
      </c>
      <c r="AA35" s="19" t="str">
        <f aca="false">IF((F35="y"),I35," ")</f>
        <v> 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134</v>
      </c>
    </row>
    <row r="36" customFormat="false" ht="12" hidden="false" customHeight="false" outlineLevel="0" collapsed="false">
      <c r="A36" s="27" t="n">
        <v>46387</v>
      </c>
      <c r="B36" s="2" t="s">
        <v>229</v>
      </c>
      <c r="E36" s="2" t="s">
        <v>230</v>
      </c>
      <c r="F36" s="2" t="s">
        <v>200</v>
      </c>
      <c r="G36" s="29" t="n">
        <v>5000</v>
      </c>
      <c r="H36" s="6" t="n">
        <f aca="false">IF(G36&lt;&gt;0,G36*H$2/(100+H$2)," ")</f>
        <v>833.333333333333</v>
      </c>
      <c r="I36" s="6" t="n">
        <f aca="false">IF((G36&lt;&gt;0),G36-H36," ")</f>
        <v>4166.66666666667</v>
      </c>
      <c r="J36" s="5"/>
      <c r="M36" s="7" t="n">
        <f aca="false">IF(G36&lt;&gt;0,G36-L36," ")</f>
        <v>5000</v>
      </c>
      <c r="N36" s="8" t="n">
        <f aca="false">IF((G36-L36)&lt;&gt;0,N$1-A36," ")</f>
        <v>-92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n">
        <f aca="false">IF((F36="w"),I36," ")</f>
        <v>4166.66666666667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  <c r="BZ36" s="2" t="s">
        <v>231</v>
      </c>
    </row>
    <row r="37" customFormat="false" ht="12" hidden="false" customHeight="false" outlineLevel="0" collapsed="false">
      <c r="A37" s="27" t="n">
        <v>46387</v>
      </c>
      <c r="B37" s="2" t="s">
        <v>176</v>
      </c>
      <c r="C37" s="3" t="s">
        <v>232</v>
      </c>
      <c r="E37" s="2" t="s">
        <v>178</v>
      </c>
      <c r="F37" s="2" t="s">
        <v>133</v>
      </c>
      <c r="G37" s="29" t="n">
        <v>167</v>
      </c>
      <c r="H37" s="6" t="n">
        <f aca="false">IF(G37&lt;&gt;0,G37*H$2/(100+H$2)," ")</f>
        <v>27.8333333333333</v>
      </c>
      <c r="I37" s="6" t="n">
        <f aca="false">IF((G37&lt;&gt;0),G37-H37," ")</f>
        <v>139.166666666667</v>
      </c>
      <c r="J37" s="5"/>
      <c r="M37" s="7" t="n">
        <f aca="false">IF(G37&lt;&gt;0,G37-L37," ")</f>
        <v>167</v>
      </c>
      <c r="N37" s="8" t="n">
        <f aca="false">IF((G37-L37)&lt;&gt;0,N$1-A37," ")</f>
        <v>-92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n">
        <f aca="false">IF((F37="l"),I37," ")</f>
        <v>139.166666666667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  <c r="BZ37" s="2" t="s">
        <v>179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8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7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99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85</v>
      </c>
      <c r="E1" s="13" t="s">
        <v>3</v>
      </c>
      <c r="F1" s="14"/>
      <c r="G1" s="13" t="n">
        <f aca="false">SUM(G2:G300)</f>
        <v>4519.75</v>
      </c>
      <c r="H1" s="13" t="n">
        <f aca="false">SUM(H5:H200)</f>
        <v>745.5</v>
      </c>
      <c r="I1" s="13" t="n">
        <f aca="false">SUM(I2:I200)</f>
        <v>3774.25</v>
      </c>
      <c r="J1" s="15"/>
      <c r="K1" s="16" t="s">
        <v>4</v>
      </c>
      <c r="L1" s="17" t="n">
        <f aca="false">SUM(L5:L300)</f>
        <v>0</v>
      </c>
      <c r="M1" s="17" t="n">
        <f aca="false">SUM(M5:M200)</f>
        <v>4473</v>
      </c>
      <c r="N1" s="18" t="n">
        <f aca="true">TODAY()</f>
        <v>46295</v>
      </c>
      <c r="O1" s="15"/>
      <c r="P1" s="13" t="n">
        <f aca="false">SUM(P5:P300)</f>
        <v>500</v>
      </c>
      <c r="Q1" s="13" t="n">
        <f aca="false">SUM(Q5:Q300)</f>
        <v>0</v>
      </c>
      <c r="R1" s="13" t="n">
        <f aca="false">SUM(R5:R300)</f>
        <v>357.5</v>
      </c>
      <c r="S1" s="13" t="n">
        <f aca="false">SUM(S5:S300)</f>
        <v>0</v>
      </c>
      <c r="T1" s="13" t="n">
        <f aca="false">SUM(T5:T300)</f>
        <v>1000</v>
      </c>
      <c r="U1" s="13" t="n">
        <f aca="false">SUM(U5:U300)</f>
        <v>120</v>
      </c>
      <c r="V1" s="13" t="n">
        <f aca="false">SUM(V5:V300)</f>
        <v>427.5</v>
      </c>
      <c r="W1" s="13" t="n">
        <f aca="false">SUM(W2:W300)</f>
        <v>546.75</v>
      </c>
      <c r="X1" s="13" t="n">
        <f aca="false">SUM(X5:X300)</f>
        <v>76.6666666666667</v>
      </c>
      <c r="Y1" s="13" t="n">
        <f aca="false">SUM(Y5:Y300)</f>
        <v>400</v>
      </c>
      <c r="Z1" s="13" t="n">
        <f aca="false">SUM(Z5:Z300)</f>
        <v>250</v>
      </c>
      <c r="AA1" s="13" t="n">
        <f aca="false">SUM(AA5:AA300)</f>
        <v>95.8333333333333</v>
      </c>
      <c r="AB1" s="13" t="n">
        <f aca="false">SUM(AB5:AB300)</f>
        <v>0</v>
      </c>
      <c r="AC1" s="41" t="n">
        <f aca="false">SUM(AC5:AC300)</f>
        <v>0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G2+Dec!A2</f>
        <v>640.75</v>
      </c>
      <c r="B2" s="44" t="s">
        <v>22</v>
      </c>
      <c r="C2" s="43" t="n">
        <f aca="false">Dec!C2+D1+[1]Jan!$D$1</f>
        <v>1165</v>
      </c>
      <c r="D2" s="45" t="s">
        <v>23</v>
      </c>
      <c r="E2" s="20" t="s">
        <v>5</v>
      </c>
      <c r="F2" s="44" t="str">
        <f aca="false">Dec!F2</f>
        <v>v</v>
      </c>
      <c r="G2" s="46" t="n">
        <f aca="false">IF(C2&lt;[2]Admin!$F$22,(C2-Dec!C2)*[2]Admin!$G$21,C2*[2]Admin!$G$21-(C2-[2]Admin!$F$21)*([2]Admin!$G$21-[2]Admin!$G$22)-Dec!A2)</f>
        <v>46.75</v>
      </c>
      <c r="H2" s="21" t="n">
        <f aca="false">IF([1]Jan!$H$4&gt;0,0,[1]Jan!$H$2)</f>
        <v>20</v>
      </c>
      <c r="I2" s="47" t="n">
        <f aca="false">G2</f>
        <v>46.75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46.75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AB1+Dec!AB2</f>
        <v>52500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46388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-93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46388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-93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46388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-93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46388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-93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46388</v>
      </c>
      <c r="B9" s="2" t="s">
        <v>77</v>
      </c>
      <c r="E9" s="2" t="s">
        <v>78</v>
      </c>
      <c r="F9" s="2" t="s">
        <v>71</v>
      </c>
      <c r="G9" s="29" t="n">
        <v>24</v>
      </c>
      <c r="H9" s="6" t="n">
        <f aca="false">IF(G9&lt;&gt;0,G9*H$2/(100+H$2)," ")</f>
        <v>4</v>
      </c>
      <c r="I9" s="6" t="n">
        <f aca="false">IF((G9&lt;&gt;0),G9-H9," ")</f>
        <v>20</v>
      </c>
      <c r="J9" s="5"/>
      <c r="M9" s="7" t="n">
        <f aca="false">IF(G9&lt;&gt;0,G9-L9," ")</f>
        <v>24</v>
      </c>
      <c r="N9" s="8" t="n">
        <f aca="false">IF((G9-L9)&lt;&gt;0,N$1-A9," ")</f>
        <v>-93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20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72</v>
      </c>
    </row>
    <row r="10" customFormat="false" ht="12" hidden="false" customHeight="false" outlineLevel="0" collapsed="false">
      <c r="A10" s="27" t="n">
        <v>46388</v>
      </c>
      <c r="B10" s="2" t="s">
        <v>79</v>
      </c>
      <c r="E10" s="2" t="s">
        <v>80</v>
      </c>
      <c r="F10" s="2" t="s">
        <v>65</v>
      </c>
      <c r="G10" s="29" t="n">
        <v>18</v>
      </c>
      <c r="H10" s="6" t="n">
        <f aca="false">IF(G10&lt;&gt;0,G10*H$2/(100+H$2)," ")</f>
        <v>3</v>
      </c>
      <c r="I10" s="6" t="n">
        <f aca="false">IF((G10&lt;&gt;0),G10-H10," ")</f>
        <v>15</v>
      </c>
      <c r="J10" s="5"/>
      <c r="M10" s="7" t="n">
        <f aca="false">IF(G10&lt;&gt;0,G10-L10," ")</f>
        <v>18</v>
      </c>
      <c r="N10" s="8" t="n">
        <f aca="false">IF((G10-L10)&lt;&gt;0,N$1-A10," ")</f>
        <v>-93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15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66</v>
      </c>
    </row>
    <row r="11" customFormat="false" ht="12" hidden="false" customHeight="false" outlineLevel="0" collapsed="false">
      <c r="A11" s="27" t="n">
        <v>46390</v>
      </c>
      <c r="B11" s="2" t="s">
        <v>81</v>
      </c>
      <c r="E11" s="2" t="s">
        <v>82</v>
      </c>
      <c r="F11" s="2" t="s">
        <v>71</v>
      </c>
      <c r="G11" s="29" t="n">
        <v>180</v>
      </c>
      <c r="H11" s="6" t="n">
        <f aca="false">IF(G11&lt;&gt;0,G11*H$2/(100+H$2)," ")</f>
        <v>30</v>
      </c>
      <c r="I11" s="6" t="n">
        <f aca="false">IF((G11&lt;&gt;0),G11-H11," ")</f>
        <v>150</v>
      </c>
      <c r="J11" s="5"/>
      <c r="M11" s="7" t="n">
        <f aca="false">IF(G11&lt;&gt;0,G11-L11," ")</f>
        <v>180</v>
      </c>
      <c r="N11" s="8" t="n">
        <f aca="false">IF((G11-L11)&lt;&gt;0,N$1-A11," ")</f>
        <v>-95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150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72</v>
      </c>
    </row>
    <row r="12" customFormat="false" ht="12" hidden="false" customHeight="false" outlineLevel="0" collapsed="false">
      <c r="A12" s="27" t="n">
        <v>46390</v>
      </c>
      <c r="B12" s="2" t="s">
        <v>83</v>
      </c>
      <c r="E12" s="2" t="s">
        <v>84</v>
      </c>
      <c r="F12" s="2" t="s">
        <v>75</v>
      </c>
      <c r="G12" s="29" t="n">
        <v>22</v>
      </c>
      <c r="H12" s="6" t="n">
        <f aca="false">IF(G12&lt;&gt;0,G12*H$2/(100+H$2)," ")</f>
        <v>3.66666666666667</v>
      </c>
      <c r="I12" s="6" t="n">
        <f aca="false">IF((G12&lt;&gt;0),G12-H12," ")</f>
        <v>18.3333333333333</v>
      </c>
      <c r="J12" s="5"/>
      <c r="M12" s="7" t="n">
        <f aca="false">IF(G12&lt;&gt;0,G12-L12," ")</f>
        <v>22</v>
      </c>
      <c r="N12" s="8" t="n">
        <f aca="false">IF((G12-L12)&lt;&gt;0,N$1-A12," ")</f>
        <v>-95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n">
        <f aca="false">IF((F12="y"),I12," ")</f>
        <v>18.3333333333333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85</v>
      </c>
    </row>
    <row r="13" customFormat="false" ht="12" hidden="false" customHeight="false" outlineLevel="0" collapsed="false">
      <c r="A13" s="27" t="n">
        <v>46392</v>
      </c>
      <c r="B13" s="2" t="s">
        <v>86</v>
      </c>
      <c r="E13" s="2" t="s">
        <v>87</v>
      </c>
      <c r="F13" s="2" t="s">
        <v>75</v>
      </c>
      <c r="G13" s="29" t="n">
        <v>24</v>
      </c>
      <c r="H13" s="6" t="n">
        <f aca="false">IF(G13&lt;&gt;0,G13*H$2/(100+H$2)," ")</f>
        <v>4</v>
      </c>
      <c r="I13" s="6" t="n">
        <f aca="false">IF((G13&lt;&gt;0),G13-H13," ")</f>
        <v>20</v>
      </c>
      <c r="J13" s="5"/>
      <c r="M13" s="7" t="n">
        <f aca="false">IF(G13&lt;&gt;0,G13-L13," ")</f>
        <v>24</v>
      </c>
      <c r="N13" s="8" t="n">
        <f aca="false">IF((G13-L13)&lt;&gt;0,N$1-A13," ")</f>
        <v>-97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20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46392</v>
      </c>
      <c r="B14" s="2" t="s">
        <v>186</v>
      </c>
      <c r="E14" s="2" t="s">
        <v>187</v>
      </c>
      <c r="F14" s="2" t="s">
        <v>142</v>
      </c>
      <c r="G14" s="29" t="n">
        <v>480</v>
      </c>
      <c r="H14" s="6" t="n">
        <f aca="false">IF(G14&lt;&gt;0,G14*H$2/(100+H$2)," ")</f>
        <v>80</v>
      </c>
      <c r="I14" s="6" t="n">
        <f aca="false">IF((G14&lt;&gt;0),G14-H14," ")</f>
        <v>400</v>
      </c>
      <c r="J14" s="5"/>
      <c r="M14" s="7" t="n">
        <f aca="false">IF(G14&lt;&gt;0,G14-L14," ")</f>
        <v>480</v>
      </c>
      <c r="N14" s="8" t="n">
        <f aca="false">IF((G14-L14)&lt;&gt;0,N$1-A14," ")</f>
        <v>-97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n">
        <f aca="false">IF((F14="a"),I14," ")</f>
        <v>400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143</v>
      </c>
    </row>
    <row r="15" customFormat="false" ht="12" hidden="false" customHeight="false" outlineLevel="0" collapsed="false">
      <c r="A15" s="27" t="n">
        <v>46392</v>
      </c>
      <c r="B15" s="2" t="s">
        <v>88</v>
      </c>
      <c r="E15" s="2" t="s">
        <v>89</v>
      </c>
      <c r="F15" s="2" t="s">
        <v>24</v>
      </c>
      <c r="G15" s="29" t="n">
        <v>180</v>
      </c>
      <c r="H15" s="6" t="n">
        <f aca="false">IF(G15&lt;&gt;0,G15*H$2/(100+H$2)," ")</f>
        <v>30</v>
      </c>
      <c r="I15" s="6" t="n">
        <f aca="false">IF((G15&lt;&gt;0),G15-H15," ")</f>
        <v>150</v>
      </c>
      <c r="J15" s="5"/>
      <c r="M15" s="7" t="n">
        <f aca="false">IF(G15&lt;&gt;0,G15-L15," ")</f>
        <v>180</v>
      </c>
      <c r="N15" s="8" t="n">
        <f aca="false">IF((G15-L15)&lt;&gt;0,N$1-A15," ")</f>
        <v>-97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n">
        <f aca="false">IF((F15="v"),I15," ")</f>
        <v>150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90</v>
      </c>
    </row>
    <row r="16" customFormat="false" ht="12" hidden="false" customHeight="false" outlineLevel="0" collapsed="false">
      <c r="A16" s="27" t="n">
        <v>46395</v>
      </c>
      <c r="B16" s="2" t="s">
        <v>93</v>
      </c>
      <c r="E16" s="2" t="s">
        <v>94</v>
      </c>
      <c r="F16" s="2" t="s">
        <v>95</v>
      </c>
      <c r="G16" s="29" t="n">
        <v>48</v>
      </c>
      <c r="H16" s="6" t="n">
        <f aca="false">IF(G16&lt;&gt;0,G16*H$2/(100+H$2)," ")</f>
        <v>8</v>
      </c>
      <c r="I16" s="6" t="n">
        <f aca="false">IF((G16&lt;&gt;0),G16-H16," ")</f>
        <v>40</v>
      </c>
      <c r="J16" s="5"/>
      <c r="M16" s="7" t="n">
        <f aca="false">IF(G16&lt;&gt;0,G16-L16," ")</f>
        <v>48</v>
      </c>
      <c r="N16" s="8" t="n">
        <f aca="false">IF((G16-L16)&lt;&gt;0,N$1-A16," ")</f>
        <v>-100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n">
        <f aca="false">IF((F16="h"),I16," ")</f>
        <v>40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96</v>
      </c>
    </row>
    <row r="17" customFormat="false" ht="12" hidden="false" customHeight="false" outlineLevel="0" collapsed="false">
      <c r="A17" s="27" t="n">
        <v>46395</v>
      </c>
      <c r="B17" s="2" t="s">
        <v>137</v>
      </c>
      <c r="E17" s="2" t="s">
        <v>138</v>
      </c>
      <c r="F17" s="2" t="s">
        <v>71</v>
      </c>
      <c r="G17" s="29" t="n">
        <v>180</v>
      </c>
      <c r="H17" s="6" t="n">
        <f aca="false">IF(G17&lt;&gt;0,G17*H$2/(100+H$2)," ")</f>
        <v>30</v>
      </c>
      <c r="I17" s="6" t="n">
        <f aca="false">IF((G17&lt;&gt;0),G17-H17," ")</f>
        <v>150</v>
      </c>
      <c r="J17" s="5"/>
      <c r="M17" s="7" t="n">
        <f aca="false">IF(G17&lt;&gt;0,G17-L17," ")</f>
        <v>180</v>
      </c>
      <c r="N17" s="8" t="n">
        <f aca="false">IF((G17-L17)&lt;&gt;0,N$1-A17," ")</f>
        <v>-100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n">
        <f aca="false">IF((F17="o"),I17," ")</f>
        <v>150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139</v>
      </c>
    </row>
    <row r="18" customFormat="false" ht="12" hidden="false" customHeight="false" outlineLevel="0" collapsed="false">
      <c r="A18" s="27" t="n">
        <v>46397</v>
      </c>
      <c r="B18" s="2" t="s">
        <v>97</v>
      </c>
      <c r="E18" s="2" t="s">
        <v>98</v>
      </c>
      <c r="F18" s="2" t="s">
        <v>75</v>
      </c>
      <c r="G18" s="29" t="n">
        <v>36</v>
      </c>
      <c r="H18" s="6" t="n">
        <f aca="false">IF(G18&lt;&gt;0,G18*H$2/(100+H$2)," ")</f>
        <v>6</v>
      </c>
      <c r="I18" s="6" t="n">
        <f aca="false">IF((G18&lt;&gt;0),G18-H18," ")</f>
        <v>30</v>
      </c>
      <c r="J18" s="5"/>
      <c r="M18" s="7" t="n">
        <f aca="false">IF(G18&lt;&gt;0,G18-L18," ")</f>
        <v>36</v>
      </c>
      <c r="N18" s="8" t="n">
        <f aca="false">IF((G18-L18)&lt;&gt;0,N$1-A18," ")</f>
        <v>-102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n">
        <f aca="false">IF((F18="y"),I18," ")</f>
        <v>30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85</v>
      </c>
    </row>
    <row r="19" customFormat="false" ht="12" hidden="false" customHeight="false" outlineLevel="0" collapsed="false">
      <c r="A19" s="27" t="n">
        <v>46397</v>
      </c>
      <c r="B19" s="2" t="s">
        <v>99</v>
      </c>
      <c r="E19" s="2" t="s">
        <v>100</v>
      </c>
      <c r="F19" s="2" t="s">
        <v>65</v>
      </c>
      <c r="G19" s="29" t="n">
        <v>180</v>
      </c>
      <c r="H19" s="6" t="n">
        <f aca="false">IF(G19&lt;&gt;0,G19*H$2/(100+H$2)," ")</f>
        <v>30</v>
      </c>
      <c r="I19" s="6" t="n">
        <f aca="false">IF((G19&lt;&gt;0),G19-H19," ")</f>
        <v>150</v>
      </c>
      <c r="J19" s="5"/>
      <c r="M19" s="7" t="n">
        <f aca="false">IF(G19&lt;&gt;0,G19-L19," ")</f>
        <v>180</v>
      </c>
      <c r="N19" s="8" t="n">
        <f aca="false">IF((G19-L19)&lt;&gt;0,N$1-A19," ")</f>
        <v>-102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n">
        <f aca="false">IF((F19="g"),I19," ")</f>
        <v>150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101</v>
      </c>
    </row>
    <row r="20" customFormat="false" ht="12" hidden="false" customHeight="false" outlineLevel="0" collapsed="false">
      <c r="A20" s="27" t="n">
        <v>46397</v>
      </c>
      <c r="B20" s="2" t="s">
        <v>102</v>
      </c>
      <c r="E20" s="2" t="s">
        <v>103</v>
      </c>
      <c r="F20" s="2" t="s">
        <v>104</v>
      </c>
      <c r="G20" s="29" t="n">
        <v>600</v>
      </c>
      <c r="H20" s="6" t="n">
        <f aca="false">IF(G20&lt;&gt;0,G20*H$2/(100+H$2)," ")</f>
        <v>100</v>
      </c>
      <c r="I20" s="6" t="n">
        <f aca="false">IF((G20&lt;&gt;0),G20-H20," ")</f>
        <v>500</v>
      </c>
      <c r="J20" s="5"/>
      <c r="M20" s="7" t="n">
        <f aca="false">IF(G20&lt;&gt;0,G20-L20," ")</f>
        <v>600</v>
      </c>
      <c r="N20" s="8" t="n">
        <f aca="false">IF((G20-L20)&lt;&gt;0,N$1-A20," ")</f>
        <v>-102</v>
      </c>
      <c r="O20" s="5"/>
      <c r="P20" s="19" t="n">
        <f aca="false">IF((F20="s"),I20," ")</f>
        <v>500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105</v>
      </c>
    </row>
    <row r="21" customFormat="false" ht="12" hidden="false" customHeight="false" outlineLevel="0" collapsed="false">
      <c r="A21" s="27" t="n">
        <v>46399</v>
      </c>
      <c r="B21" s="2" t="s">
        <v>106</v>
      </c>
      <c r="E21" s="2" t="s">
        <v>107</v>
      </c>
      <c r="F21" s="2" t="s">
        <v>24</v>
      </c>
      <c r="G21" s="29" t="n">
        <v>18</v>
      </c>
      <c r="H21" s="6" t="n">
        <f aca="false">IF(G21&lt;&gt;0,G21*H$2/(100+H$2)," ")</f>
        <v>3</v>
      </c>
      <c r="I21" s="6" t="n">
        <f aca="false">IF((G21&lt;&gt;0),G21-H21," ")</f>
        <v>15</v>
      </c>
      <c r="J21" s="5"/>
      <c r="M21" s="7" t="n">
        <f aca="false">IF(G21&lt;&gt;0,G21-L21," ")</f>
        <v>18</v>
      </c>
      <c r="N21" s="8" t="n">
        <f aca="false">IF((G21-L21)&lt;&gt;0,N$1-A21," ")</f>
        <v>-104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n">
        <f aca="false">IF((F21="v"),I21," ")</f>
        <v>15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90</v>
      </c>
    </row>
    <row r="22" customFormat="false" ht="12" hidden="false" customHeight="false" outlineLevel="0" collapsed="false">
      <c r="A22" s="27" t="n">
        <v>46401</v>
      </c>
      <c r="B22" s="2" t="s">
        <v>110</v>
      </c>
      <c r="E22" s="2" t="s">
        <v>111</v>
      </c>
      <c r="F22" s="2" t="s">
        <v>95</v>
      </c>
      <c r="G22" s="29" t="n">
        <v>24</v>
      </c>
      <c r="H22" s="6" t="n">
        <f aca="false">IF(G22&lt;&gt;0,G22*H$2/(100+H$2)," ")</f>
        <v>4</v>
      </c>
      <c r="I22" s="6" t="n">
        <f aca="false">IF((G22&lt;&gt;0),G22-H22," ")</f>
        <v>20</v>
      </c>
      <c r="J22" s="5"/>
      <c r="M22" s="7" t="n">
        <f aca="false">IF(G22&lt;&gt;0,G22-L22," ")</f>
        <v>24</v>
      </c>
      <c r="N22" s="8" t="n">
        <f aca="false">IF((G22-L22)&lt;&gt;0,N$1-A22," ")</f>
        <v>-106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n">
        <f aca="false">IF((F22="h"),I22," ")</f>
        <v>20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96</v>
      </c>
    </row>
    <row r="23" customFormat="false" ht="12" hidden="false" customHeight="false" outlineLevel="0" collapsed="false">
      <c r="A23" s="27" t="n">
        <v>46401</v>
      </c>
      <c r="B23" s="2" t="s">
        <v>112</v>
      </c>
      <c r="E23" s="2" t="s">
        <v>113</v>
      </c>
      <c r="F23" s="2" t="s">
        <v>95</v>
      </c>
      <c r="G23" s="29" t="n">
        <v>12</v>
      </c>
      <c r="H23" s="6" t="n">
        <f aca="false">IF(G23&lt;&gt;0,G23*H$2/(100+H$2)," ")</f>
        <v>2</v>
      </c>
      <c r="I23" s="6" t="n">
        <f aca="false">IF((G23&lt;&gt;0),G23-H23," ")</f>
        <v>10</v>
      </c>
      <c r="J23" s="5"/>
      <c r="M23" s="7" t="n">
        <f aca="false">IF(G23&lt;&gt;0,G23-L23," ")</f>
        <v>12</v>
      </c>
      <c r="N23" s="8" t="n">
        <f aca="false">IF((G23-L23)&lt;&gt;0,N$1-A23," ")</f>
        <v>-106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n">
        <f aca="false">IF((F23="h"),I23," ")</f>
        <v>10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96</v>
      </c>
    </row>
    <row r="24" customFormat="false" ht="12" hidden="false" customHeight="false" outlineLevel="0" collapsed="false">
      <c r="A24" s="27" t="n">
        <v>46402</v>
      </c>
      <c r="B24" s="2" t="s">
        <v>19</v>
      </c>
      <c r="E24" s="2" t="s">
        <v>89</v>
      </c>
      <c r="F24" s="2" t="s">
        <v>24</v>
      </c>
      <c r="G24" s="29" t="n">
        <v>150</v>
      </c>
      <c r="H24" s="6" t="n">
        <f aca="false">IF(G24&lt;&gt;0,G24*H$2/(100+H$2)," ")</f>
        <v>25</v>
      </c>
      <c r="I24" s="6" t="n">
        <f aca="false">IF((G24&lt;&gt;0),G24-H24," ")</f>
        <v>125</v>
      </c>
      <c r="J24" s="5"/>
      <c r="M24" s="7" t="n">
        <f aca="false">IF(G24&lt;&gt;0,G24-L24," ")</f>
        <v>150</v>
      </c>
      <c r="N24" s="8" t="n">
        <f aca="false">IF((G24-L24)&lt;&gt;0,N$1-A24," ")</f>
        <v>-107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n">
        <f aca="false">IF((F24="v"),I24," ")</f>
        <v>125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90</v>
      </c>
    </row>
    <row r="25" customFormat="false" ht="12" hidden="false" customHeight="false" outlineLevel="0" collapsed="false">
      <c r="A25" s="27" t="n">
        <v>46402</v>
      </c>
      <c r="B25" s="2" t="s">
        <v>114</v>
      </c>
      <c r="E25" s="2" t="s">
        <v>115</v>
      </c>
      <c r="F25" s="2" t="s">
        <v>65</v>
      </c>
      <c r="G25" s="29" t="n">
        <v>12</v>
      </c>
      <c r="H25" s="6" t="n">
        <f aca="false">IF(G25&lt;&gt;0,G25*H$2/(100+H$2)," ")</f>
        <v>2</v>
      </c>
      <c r="I25" s="6" t="n">
        <f aca="false">IF((G25&lt;&gt;0),G25-H25," ")</f>
        <v>10</v>
      </c>
      <c r="J25" s="5"/>
      <c r="M25" s="7" t="n">
        <f aca="false">IF(G25&lt;&gt;0,G25-L25," ")</f>
        <v>12</v>
      </c>
      <c r="N25" s="8" t="n">
        <f aca="false">IF((G25-L25)&lt;&gt;0,N$1-A25," ")</f>
        <v>-107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n">
        <f aca="false">IF((F25="g"),I25," ")</f>
        <v>10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66</v>
      </c>
    </row>
    <row r="26" customFormat="false" ht="12" hidden="false" customHeight="false" outlineLevel="0" collapsed="false">
      <c r="A26" s="27" t="n">
        <v>46403</v>
      </c>
      <c r="B26" s="2" t="s">
        <v>151</v>
      </c>
      <c r="E26" s="2" t="s">
        <v>152</v>
      </c>
      <c r="F26" s="2" t="s">
        <v>65</v>
      </c>
      <c r="G26" s="29" t="n">
        <v>18</v>
      </c>
      <c r="H26" s="6" t="n">
        <f aca="false">IF(G26&lt;&gt;0,G26*H$2/(100+H$2)," ")</f>
        <v>3</v>
      </c>
      <c r="I26" s="6" t="n">
        <f aca="false">IF((G26&lt;&gt;0),G26-H26," ")</f>
        <v>15</v>
      </c>
      <c r="J26" s="5"/>
      <c r="M26" s="7" t="n">
        <f aca="false">IF(G26&lt;&gt;0,G26-L26," ")</f>
        <v>18</v>
      </c>
      <c r="N26" s="8" t="n">
        <f aca="false">IF((G26-L26)&lt;&gt;0,N$1-A26," ")</f>
        <v>-108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n">
        <f aca="false">IF((F26="g"),I26," ")</f>
        <v>15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66</v>
      </c>
    </row>
    <row r="27" customFormat="false" ht="12" hidden="false" customHeight="false" outlineLevel="0" collapsed="false">
      <c r="A27" s="27" t="n">
        <v>46405</v>
      </c>
      <c r="B27" s="2" t="s">
        <v>116</v>
      </c>
      <c r="E27" s="2" t="s">
        <v>89</v>
      </c>
      <c r="F27" s="2" t="s">
        <v>24</v>
      </c>
      <c r="G27" s="29" t="n">
        <v>96</v>
      </c>
      <c r="H27" s="6" t="n">
        <f aca="false">IF(G27&lt;&gt;0,G27*H$2/(100+H$2)," ")</f>
        <v>16</v>
      </c>
      <c r="I27" s="6" t="n">
        <f aca="false">IF((G27&lt;&gt;0),G27-H27," ")</f>
        <v>80</v>
      </c>
      <c r="J27" s="5"/>
      <c r="M27" s="7" t="n">
        <f aca="false">IF(G27&lt;&gt;0,G27-L27," ")</f>
        <v>96</v>
      </c>
      <c r="N27" s="8" t="n">
        <f aca="false">IF((G27-L27)&lt;&gt;0,N$1-A27," ")</f>
        <v>-110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n">
        <f aca="false">IF((F27="v"),I27," ")</f>
        <v>80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90</v>
      </c>
    </row>
    <row r="28" customFormat="false" ht="12" hidden="false" customHeight="false" outlineLevel="0" collapsed="false">
      <c r="A28" s="27" t="n">
        <v>46407</v>
      </c>
      <c r="B28" s="2" t="s">
        <v>117</v>
      </c>
      <c r="E28" s="2" t="s">
        <v>118</v>
      </c>
      <c r="F28" s="2" t="s">
        <v>65</v>
      </c>
      <c r="G28" s="29" t="n">
        <v>60</v>
      </c>
      <c r="H28" s="6" t="n">
        <f aca="false">IF(G28&lt;&gt;0,G28*H$2/(100+H$2)," ")</f>
        <v>10</v>
      </c>
      <c r="I28" s="6" t="n">
        <f aca="false">IF((G28&lt;&gt;0),G28-H28," ")</f>
        <v>50</v>
      </c>
      <c r="J28" s="5"/>
      <c r="M28" s="7" t="n">
        <f aca="false">IF(G28&lt;&gt;0,G28-L28," ")</f>
        <v>60</v>
      </c>
      <c r="N28" s="8" t="n">
        <f aca="false">IF((G28-L28)&lt;&gt;0,N$1-A28," ")</f>
        <v>-112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50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66</v>
      </c>
    </row>
    <row r="29" customFormat="false" ht="12" hidden="false" customHeight="false" outlineLevel="0" collapsed="false">
      <c r="A29" s="27" t="n">
        <v>46407</v>
      </c>
      <c r="B29" s="2" t="s">
        <v>193</v>
      </c>
      <c r="E29" s="2" t="s">
        <v>194</v>
      </c>
      <c r="F29" s="2" t="s">
        <v>65</v>
      </c>
      <c r="G29" s="29" t="n">
        <v>180</v>
      </c>
      <c r="H29" s="6" t="n">
        <f aca="false">IF(G29&lt;&gt;0,G29*H$2/(100+H$2)," ")</f>
        <v>30</v>
      </c>
      <c r="I29" s="6" t="n">
        <f aca="false">IF((G29&lt;&gt;0),G29-H29," ")</f>
        <v>150</v>
      </c>
      <c r="J29" s="5"/>
      <c r="M29" s="7" t="n">
        <f aca="false">IF(G29&lt;&gt;0,G29-L29," ")</f>
        <v>180</v>
      </c>
      <c r="N29" s="8" t="n">
        <f aca="false">IF((G29-L29)&lt;&gt;0,N$1-A29," ")</f>
        <v>-112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n">
        <f aca="false">IF((F29="g"),I29," ")</f>
        <v>150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155</v>
      </c>
    </row>
    <row r="30" customFormat="false" ht="12" hidden="false" customHeight="false" outlineLevel="0" collapsed="false">
      <c r="A30" s="27" t="n">
        <v>46407</v>
      </c>
      <c r="B30" s="2" t="s">
        <v>119</v>
      </c>
      <c r="E30" s="2" t="s">
        <v>120</v>
      </c>
      <c r="F30" s="2" t="s">
        <v>121</v>
      </c>
      <c r="G30" s="29" t="n">
        <v>144</v>
      </c>
      <c r="H30" s="6" t="n">
        <f aca="false">IF(G30&lt;&gt;0,G30*H$2/(100+H$2)," ")</f>
        <v>24</v>
      </c>
      <c r="I30" s="6" t="n">
        <f aca="false">IF((G30&lt;&gt;0),G30-H30," ")</f>
        <v>120</v>
      </c>
      <c r="J30" s="5"/>
      <c r="M30" s="7" t="n">
        <f aca="false">IF(G30&lt;&gt;0,G30-L30," ")</f>
        <v>144</v>
      </c>
      <c r="N30" s="8" t="n">
        <f aca="false">IF((G30-L30)&lt;&gt;0,N$1-A30," ")</f>
        <v>-112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n">
        <f aca="false">IF((F30="m"),I30," ")</f>
        <v>120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122</v>
      </c>
    </row>
    <row r="31" customFormat="false" ht="12" hidden="false" customHeight="false" outlineLevel="0" collapsed="false">
      <c r="A31" s="27" t="n">
        <v>46408</v>
      </c>
      <c r="B31" s="2" t="s">
        <v>123</v>
      </c>
      <c r="E31" s="2" t="s">
        <v>124</v>
      </c>
      <c r="F31" s="2" t="s">
        <v>95</v>
      </c>
      <c r="G31" s="29" t="n">
        <v>8</v>
      </c>
      <c r="H31" s="6" t="n">
        <f aca="false">IF(G31&lt;&gt;0,G31*H$2/(100+H$2)," ")</f>
        <v>1.33333333333333</v>
      </c>
      <c r="I31" s="6" t="n">
        <f aca="false">IF((G31&lt;&gt;0),G31-H31," ")</f>
        <v>6.66666666666667</v>
      </c>
      <c r="J31" s="5"/>
      <c r="M31" s="7" t="n">
        <f aca="false">IF(G31&lt;&gt;0,G31-L31," ")</f>
        <v>8</v>
      </c>
      <c r="N31" s="8" t="n">
        <f aca="false">IF((G31-L31)&lt;&gt;0,N$1-A31," ")</f>
        <v>-113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n">
        <f aca="false">IF((F31="h"),I31," ")</f>
        <v>6.66666666666667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96</v>
      </c>
    </row>
    <row r="32" customFormat="false" ht="12" hidden="false" customHeight="false" outlineLevel="0" collapsed="false">
      <c r="A32" s="27" t="n">
        <v>46409</v>
      </c>
      <c r="B32" s="2" t="s">
        <v>125</v>
      </c>
      <c r="E32" s="2" t="s">
        <v>126</v>
      </c>
      <c r="F32" s="2" t="s">
        <v>75</v>
      </c>
      <c r="G32" s="29" t="n">
        <v>18</v>
      </c>
      <c r="H32" s="6" t="n">
        <f aca="false">IF(G32&lt;&gt;0,G32*H$2/(100+H$2)," ")</f>
        <v>3</v>
      </c>
      <c r="I32" s="6" t="n">
        <f aca="false">IF((G32&lt;&gt;0),G32-H32," ")</f>
        <v>15</v>
      </c>
      <c r="J32" s="5"/>
      <c r="M32" s="7" t="n">
        <f aca="false">IF(G32&lt;&gt;0,G32-L32," ")</f>
        <v>18</v>
      </c>
      <c r="N32" s="8" t="n">
        <f aca="false">IF((G32-L32)&lt;&gt;0,N$1-A32," ")</f>
        <v>-114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n">
        <f aca="false">IF((F32="y"),I32," ")</f>
        <v>15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85</v>
      </c>
    </row>
    <row r="33" customFormat="false" ht="12" hidden="false" customHeight="false" outlineLevel="0" collapsed="false">
      <c r="A33" s="27" t="n">
        <v>46409</v>
      </c>
      <c r="B33" s="2" t="s">
        <v>158</v>
      </c>
      <c r="E33" s="2" t="s">
        <v>159</v>
      </c>
      <c r="F33" s="2" t="s">
        <v>24</v>
      </c>
      <c r="G33" s="29" t="n">
        <v>36</v>
      </c>
      <c r="H33" s="6" t="n">
        <f aca="false">IF(G33&lt;&gt;0,G33*H$2/(100+H$2)," ")</f>
        <v>6</v>
      </c>
      <c r="I33" s="6" t="n">
        <f aca="false">IF((G33&lt;&gt;0),G33-H33," ")</f>
        <v>30</v>
      </c>
      <c r="J33" s="5"/>
      <c r="M33" s="7" t="n">
        <f aca="false">IF(G33&lt;&gt;0,G33-L33," ")</f>
        <v>36</v>
      </c>
      <c r="N33" s="8" t="n">
        <f aca="false">IF((G33-L33)&lt;&gt;0,N$1-A33," ")</f>
        <v>-114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n">
        <f aca="false">IF((F33="v"),I33," ")</f>
        <v>30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90</v>
      </c>
    </row>
    <row r="34" customFormat="false" ht="12" hidden="false" customHeight="false" outlineLevel="0" collapsed="false">
      <c r="A34" s="27" t="n">
        <v>46412</v>
      </c>
      <c r="B34" s="2" t="s">
        <v>127</v>
      </c>
      <c r="E34" s="2" t="s">
        <v>128</v>
      </c>
      <c r="F34" s="2" t="s">
        <v>75</v>
      </c>
      <c r="G34" s="29" t="n">
        <v>15</v>
      </c>
      <c r="H34" s="6" t="n">
        <f aca="false">IF(G34&lt;&gt;0,G34*H$2/(100+H$2)," ")</f>
        <v>2.5</v>
      </c>
      <c r="I34" s="6" t="n">
        <f aca="false">IF((G34&lt;&gt;0),G34-H34," ")</f>
        <v>12.5</v>
      </c>
      <c r="J34" s="5"/>
      <c r="M34" s="7" t="n">
        <f aca="false">IF(G34&lt;&gt;0,G34-L34," ")</f>
        <v>15</v>
      </c>
      <c r="N34" s="8" t="n">
        <f aca="false">IF((G34-L34)&lt;&gt;0,N$1-A34," ")</f>
        <v>-117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n">
        <f aca="false">IF((F34="y"),I34," ")</f>
        <v>12.5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85</v>
      </c>
    </row>
    <row r="35" customFormat="false" ht="12" hidden="false" customHeight="false" outlineLevel="0" collapsed="false">
      <c r="A35" s="27" t="n">
        <v>46412</v>
      </c>
      <c r="B35" s="2" t="s">
        <v>129</v>
      </c>
      <c r="D35" s="4" t="n">
        <v>85</v>
      </c>
      <c r="E35" s="2" t="s">
        <v>130</v>
      </c>
      <c r="F35" s="2" t="s">
        <v>24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90</v>
      </c>
    </row>
    <row r="36" customFormat="false" ht="12" hidden="false" customHeight="false" outlineLevel="0" collapsed="false">
      <c r="A36" s="27" t="n">
        <v>46415</v>
      </c>
      <c r="B36" s="2" t="s">
        <v>19</v>
      </c>
      <c r="E36" s="2" t="s">
        <v>131</v>
      </c>
      <c r="F36" s="2" t="s">
        <v>24</v>
      </c>
      <c r="G36" s="29" t="n">
        <v>120</v>
      </c>
      <c r="H36" s="6" t="n">
        <f aca="false">IF(G36&lt;&gt;0,G36*H$2/(100+H$2)," ")</f>
        <v>20</v>
      </c>
      <c r="I36" s="6" t="n">
        <f aca="false">IF((G36&lt;&gt;0),G36-H36," ")</f>
        <v>100</v>
      </c>
      <c r="J36" s="5"/>
      <c r="M36" s="7" t="n">
        <f aca="false">IF(G36&lt;&gt;0,G36-L36," ")</f>
        <v>120</v>
      </c>
      <c r="N36" s="8" t="n">
        <f aca="false">IF((G36-L36)&lt;&gt;0,N$1-A36," ")</f>
        <v>-120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n">
        <f aca="false">IF((F36="v"),I36," ")</f>
        <v>100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  <c r="BZ36" s="2" t="s">
        <v>90</v>
      </c>
    </row>
    <row r="37" customFormat="false" ht="12" hidden="false" customHeight="false" outlineLevel="0" collapsed="false">
      <c r="A37" s="27" t="n">
        <v>46418</v>
      </c>
      <c r="B37" s="2" t="s">
        <v>15</v>
      </c>
      <c r="E37" s="2" t="s">
        <v>132</v>
      </c>
      <c r="F37" s="2" t="s">
        <v>133</v>
      </c>
      <c r="G37" s="29" t="n">
        <v>300</v>
      </c>
      <c r="H37" s="6" t="n">
        <f aca="false">IF(G37&lt;&gt;0,G37*H$2/(100+H$2)," ")</f>
        <v>50</v>
      </c>
      <c r="I37" s="6" t="n">
        <f aca="false">IF((G37&lt;&gt;0),G37-H37," ")</f>
        <v>250</v>
      </c>
      <c r="J37" s="5"/>
      <c r="M37" s="7" t="n">
        <f aca="false">IF(G37&lt;&gt;0,G37-L37," ")</f>
        <v>300</v>
      </c>
      <c r="N37" s="8" t="n">
        <f aca="false">IF((G37-L37)&lt;&gt;0,N$1-A37," ")</f>
        <v>-123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n">
        <f aca="false">IF((F37="l"),I37," ")</f>
        <v>250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  <c r="BZ37" s="2" t="s">
        <v>134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70</v>
      </c>
      <c r="E1" s="13" t="s">
        <v>3</v>
      </c>
      <c r="F1" s="14"/>
      <c r="G1" s="13" t="n">
        <f aca="false">SUM(G2:G300)</f>
        <v>4403.5</v>
      </c>
      <c r="H1" s="13" t="n">
        <f aca="false">SUM(H5:H200)</f>
        <v>727.5</v>
      </c>
      <c r="I1" s="13" t="n">
        <f aca="false">SUM(I2:I200)</f>
        <v>3676</v>
      </c>
      <c r="J1" s="15"/>
      <c r="K1" s="16" t="s">
        <v>4</v>
      </c>
      <c r="L1" s="17" t="n">
        <f aca="false">SUM(L5:L300)</f>
        <v>0</v>
      </c>
      <c r="M1" s="17" t="n">
        <f aca="false">SUM(M5:M200)</f>
        <v>4365</v>
      </c>
      <c r="N1" s="18" t="n">
        <f aca="true">TODAY()</f>
        <v>46295</v>
      </c>
      <c r="O1" s="15"/>
      <c r="P1" s="13" t="n">
        <f aca="false">SUM(P5:P300)</f>
        <v>550</v>
      </c>
      <c r="Q1" s="13" t="n">
        <f aca="false">SUM(Q5:Q300)</f>
        <v>0</v>
      </c>
      <c r="R1" s="13" t="n">
        <f aca="false">SUM(R5:R300)</f>
        <v>537.5</v>
      </c>
      <c r="S1" s="13" t="n">
        <f aca="false">SUM(S5:S300)</f>
        <v>0</v>
      </c>
      <c r="T1" s="13" t="n">
        <f aca="false">SUM(T5:T300)</f>
        <v>1000</v>
      </c>
      <c r="U1" s="13" t="n">
        <f aca="false">SUM(U5:U300)</f>
        <v>300</v>
      </c>
      <c r="V1" s="13" t="n">
        <f aca="false">SUM(V5:V300)</f>
        <v>112.5</v>
      </c>
      <c r="W1" s="13" t="n">
        <f aca="false">SUM(W2:W300)</f>
        <v>508.5</v>
      </c>
      <c r="X1" s="13" t="n">
        <f aca="false">SUM(X5:X300)</f>
        <v>306.666666666667</v>
      </c>
      <c r="Y1" s="13" t="n">
        <f aca="false">SUM(Y5:Y300)</f>
        <v>0</v>
      </c>
      <c r="Z1" s="13" t="n">
        <f aca="false">SUM(Z5:Z300)</f>
        <v>250</v>
      </c>
      <c r="AA1" s="13" t="n">
        <f aca="false">SUM(AA5:AA300)</f>
        <v>110.833333333333</v>
      </c>
      <c r="AB1" s="13" t="n">
        <f aca="false">SUM(AB5:AB300)</f>
        <v>0</v>
      </c>
      <c r="AC1" s="41" t="n">
        <f aca="false">SUM(AC5:AC300)</f>
        <v>0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G2+Jan!A2</f>
        <v>679.25</v>
      </c>
      <c r="B2" s="44" t="s">
        <v>22</v>
      </c>
      <c r="C2" s="43" t="n">
        <f aca="false">Jan!C2+D1+[1]Feb!$D$1</f>
        <v>1235</v>
      </c>
      <c r="D2" s="45" t="s">
        <v>23</v>
      </c>
      <c r="E2" s="20" t="s">
        <v>5</v>
      </c>
      <c r="F2" s="44" t="str">
        <f aca="false">Jan!F2</f>
        <v>v</v>
      </c>
      <c r="G2" s="46" t="n">
        <f aca="false">IF(C2&lt;[2]Admin!$F$22,(C2-Jan!C2)*[2]Admin!$G$21,C2*[2]Admin!$G$21-(C2-[2]Admin!$F$21)*([2]Admin!$G$21-[2]Admin!$G$22)-Jan!A2)</f>
        <v>38.5</v>
      </c>
      <c r="H2" s="21" t="n">
        <f aca="false">IF([1]Feb!$H$4&gt;0,0,[1]Feb!$H$2)</f>
        <v>20</v>
      </c>
      <c r="I2" s="47" t="n">
        <f aca="false">G2</f>
        <v>38.5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38.5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AB1+Jan!AB2</f>
        <v>52500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46419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-124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46419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-124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46419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-124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46419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-124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46419</v>
      </c>
      <c r="B9" s="2" t="s">
        <v>77</v>
      </c>
      <c r="E9" s="2" t="s">
        <v>78</v>
      </c>
      <c r="F9" s="2" t="s">
        <v>71</v>
      </c>
      <c r="G9" s="29" t="n">
        <v>24</v>
      </c>
      <c r="H9" s="6" t="n">
        <f aca="false">IF(G9&lt;&gt;0,G9*H$2/(100+H$2)," ")</f>
        <v>4</v>
      </c>
      <c r="I9" s="6" t="n">
        <f aca="false">IF((G9&lt;&gt;0),G9-H9," ")</f>
        <v>20</v>
      </c>
      <c r="J9" s="5"/>
      <c r="M9" s="7" t="n">
        <f aca="false">IF(G9&lt;&gt;0,G9-L9," ")</f>
        <v>24</v>
      </c>
      <c r="N9" s="8" t="n">
        <f aca="false">IF((G9-L9)&lt;&gt;0,N$1-A9," ")</f>
        <v>-124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20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72</v>
      </c>
    </row>
    <row r="10" customFormat="false" ht="12" hidden="false" customHeight="false" outlineLevel="0" collapsed="false">
      <c r="A10" s="27" t="n">
        <v>46419</v>
      </c>
      <c r="B10" s="2" t="s">
        <v>79</v>
      </c>
      <c r="E10" s="2" t="s">
        <v>80</v>
      </c>
      <c r="F10" s="2" t="s">
        <v>65</v>
      </c>
      <c r="G10" s="29" t="n">
        <v>18</v>
      </c>
      <c r="H10" s="6" t="n">
        <f aca="false">IF(G10&lt;&gt;0,G10*H$2/(100+H$2)," ")</f>
        <v>3</v>
      </c>
      <c r="I10" s="6" t="n">
        <f aca="false">IF((G10&lt;&gt;0),G10-H10," ")</f>
        <v>15</v>
      </c>
      <c r="J10" s="5"/>
      <c r="M10" s="7" t="n">
        <f aca="false">IF(G10&lt;&gt;0,G10-L10," ")</f>
        <v>18</v>
      </c>
      <c r="N10" s="8" t="n">
        <f aca="false">IF((G10-L10)&lt;&gt;0,N$1-A10," ")</f>
        <v>-124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15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66</v>
      </c>
    </row>
    <row r="11" customFormat="false" ht="12" hidden="false" customHeight="false" outlineLevel="0" collapsed="false">
      <c r="A11" s="27" t="n">
        <v>46421</v>
      </c>
      <c r="B11" s="2" t="s">
        <v>81</v>
      </c>
      <c r="E11" s="2" t="s">
        <v>82</v>
      </c>
      <c r="F11" s="2" t="s">
        <v>71</v>
      </c>
      <c r="G11" s="29" t="n">
        <v>180</v>
      </c>
      <c r="H11" s="6" t="n">
        <f aca="false">IF(G11&lt;&gt;0,G11*H$2/(100+H$2)," ")</f>
        <v>30</v>
      </c>
      <c r="I11" s="6" t="n">
        <f aca="false">IF((G11&lt;&gt;0),G11-H11," ")</f>
        <v>150</v>
      </c>
      <c r="J11" s="5"/>
      <c r="M11" s="7" t="n">
        <f aca="false">IF(G11&lt;&gt;0,G11-L11," ")</f>
        <v>180</v>
      </c>
      <c r="N11" s="8" t="n">
        <f aca="false">IF((G11-L11)&lt;&gt;0,N$1-A11," ")</f>
        <v>-126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150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72</v>
      </c>
    </row>
    <row r="12" customFormat="false" ht="12" hidden="false" customHeight="false" outlineLevel="0" collapsed="false">
      <c r="A12" s="27" t="n">
        <v>46421</v>
      </c>
      <c r="B12" s="2" t="s">
        <v>83</v>
      </c>
      <c r="E12" s="2" t="s">
        <v>84</v>
      </c>
      <c r="F12" s="2" t="s">
        <v>75</v>
      </c>
      <c r="G12" s="29" t="n">
        <v>22</v>
      </c>
      <c r="H12" s="6" t="n">
        <f aca="false">IF(G12&lt;&gt;0,G12*H$2/(100+H$2)," ")</f>
        <v>3.66666666666667</v>
      </c>
      <c r="I12" s="6" t="n">
        <f aca="false">IF((G12&lt;&gt;0),G12-H12," ")</f>
        <v>18.3333333333333</v>
      </c>
      <c r="J12" s="5"/>
      <c r="M12" s="7" t="n">
        <f aca="false">IF(G12&lt;&gt;0,G12-L12," ")</f>
        <v>22</v>
      </c>
      <c r="N12" s="8" t="n">
        <f aca="false">IF((G12-L12)&lt;&gt;0,N$1-A12," ")</f>
        <v>-126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n">
        <f aca="false">IF((F12="y"),I12," ")</f>
        <v>18.3333333333333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85</v>
      </c>
    </row>
    <row r="13" customFormat="false" ht="12" hidden="false" customHeight="false" outlineLevel="0" collapsed="false">
      <c r="A13" s="27" t="n">
        <v>46423</v>
      </c>
      <c r="B13" s="2" t="s">
        <v>86</v>
      </c>
      <c r="E13" s="2" t="s">
        <v>87</v>
      </c>
      <c r="F13" s="2" t="s">
        <v>75</v>
      </c>
      <c r="G13" s="29" t="n">
        <v>24</v>
      </c>
      <c r="H13" s="6" t="n">
        <f aca="false">IF(G13&lt;&gt;0,G13*H$2/(100+H$2)," ")</f>
        <v>4</v>
      </c>
      <c r="I13" s="6" t="n">
        <f aca="false">IF((G13&lt;&gt;0),G13-H13," ")</f>
        <v>20</v>
      </c>
      <c r="J13" s="5"/>
      <c r="M13" s="7" t="n">
        <f aca="false">IF(G13&lt;&gt;0,G13-L13," ")</f>
        <v>24</v>
      </c>
      <c r="N13" s="8" t="n">
        <f aca="false">IF((G13-L13)&lt;&gt;0,N$1-A13," ")</f>
        <v>-128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20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46423</v>
      </c>
      <c r="B14" s="2" t="s">
        <v>88</v>
      </c>
      <c r="E14" s="2" t="s">
        <v>89</v>
      </c>
      <c r="F14" s="2" t="s">
        <v>24</v>
      </c>
      <c r="G14" s="29" t="n">
        <v>180</v>
      </c>
      <c r="H14" s="6" t="n">
        <f aca="false">IF(G14&lt;&gt;0,G14*H$2/(100+H$2)," ")</f>
        <v>30</v>
      </c>
      <c r="I14" s="6" t="n">
        <f aca="false">IF((G14&lt;&gt;0),G14-H14," ")</f>
        <v>150</v>
      </c>
      <c r="J14" s="5"/>
      <c r="M14" s="7" t="n">
        <f aca="false">IF(G14&lt;&gt;0,G14-L14," ")</f>
        <v>180</v>
      </c>
      <c r="N14" s="8" t="n">
        <f aca="false">IF((G14-L14)&lt;&gt;0,N$1-A14," ")</f>
        <v>-128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n">
        <f aca="false">IF((F14="v"),I14," ")</f>
        <v>150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90</v>
      </c>
    </row>
    <row r="15" customFormat="false" ht="12" hidden="false" customHeight="false" outlineLevel="0" collapsed="false">
      <c r="A15" s="27" t="n">
        <v>46423</v>
      </c>
      <c r="B15" s="2" t="s">
        <v>91</v>
      </c>
      <c r="E15" s="2" t="s">
        <v>92</v>
      </c>
      <c r="F15" s="2" t="s">
        <v>71</v>
      </c>
      <c r="G15" s="29" t="n">
        <v>36</v>
      </c>
      <c r="H15" s="6" t="n">
        <f aca="false">IF(G15&lt;&gt;0,G15*H$2/(100+H$2)," ")</f>
        <v>6</v>
      </c>
      <c r="I15" s="6" t="n">
        <f aca="false">IF((G15&lt;&gt;0),G15-H15," ")</f>
        <v>30</v>
      </c>
      <c r="J15" s="5"/>
      <c r="M15" s="7" t="n">
        <f aca="false">IF(G15&lt;&gt;0,G15-L15," ")</f>
        <v>36</v>
      </c>
      <c r="N15" s="8" t="n">
        <f aca="false">IF((G15-L15)&lt;&gt;0,N$1-A15," ")</f>
        <v>-128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n">
        <f aca="false">IF((F15="o"),I15," ")</f>
        <v>30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72</v>
      </c>
    </row>
    <row r="16" customFormat="false" ht="12" hidden="false" customHeight="false" outlineLevel="0" collapsed="false">
      <c r="A16" s="27" t="n">
        <v>46424</v>
      </c>
      <c r="B16" s="2" t="s">
        <v>135</v>
      </c>
      <c r="E16" s="2" t="s">
        <v>136</v>
      </c>
      <c r="F16" s="2" t="s">
        <v>95</v>
      </c>
      <c r="G16" s="29" t="n">
        <v>36</v>
      </c>
      <c r="H16" s="6" t="n">
        <f aca="false">IF(G16&lt;&gt;0,G16*H$2/(100+H$2)," ")</f>
        <v>6</v>
      </c>
      <c r="I16" s="6" t="n">
        <f aca="false">IF((G16&lt;&gt;0),G16-H16," ")</f>
        <v>30</v>
      </c>
      <c r="J16" s="5"/>
      <c r="M16" s="7" t="n">
        <f aca="false">IF(G16&lt;&gt;0,G16-L16," ")</f>
        <v>36</v>
      </c>
      <c r="N16" s="8" t="n">
        <f aca="false">IF((G16-L16)&lt;&gt;0,N$1-A16," ")</f>
        <v>-129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n">
        <f aca="false">IF((F16="h"),I16," ")</f>
        <v>30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96</v>
      </c>
    </row>
    <row r="17" customFormat="false" ht="12" hidden="false" customHeight="false" outlineLevel="0" collapsed="false">
      <c r="A17" s="27" t="n">
        <v>46426</v>
      </c>
      <c r="B17" s="2" t="s">
        <v>93</v>
      </c>
      <c r="E17" s="2" t="s">
        <v>94</v>
      </c>
      <c r="F17" s="2" t="s">
        <v>95</v>
      </c>
      <c r="G17" s="29" t="n">
        <v>48</v>
      </c>
      <c r="H17" s="6" t="n">
        <f aca="false">IF(G17&lt;&gt;0,G17*H$2/(100+H$2)," ")</f>
        <v>8</v>
      </c>
      <c r="I17" s="6" t="n">
        <f aca="false">IF((G17&lt;&gt;0),G17-H17," ")</f>
        <v>40</v>
      </c>
      <c r="J17" s="5"/>
      <c r="M17" s="7" t="n">
        <f aca="false">IF(G17&lt;&gt;0,G17-L17," ")</f>
        <v>48</v>
      </c>
      <c r="N17" s="8" t="n">
        <f aca="false">IF((G17-L17)&lt;&gt;0,N$1-A17," ")</f>
        <v>-131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n">
        <f aca="false">IF((F17="h"),I17," ")</f>
        <v>40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96</v>
      </c>
    </row>
    <row r="18" customFormat="false" ht="12" hidden="false" customHeight="false" outlineLevel="0" collapsed="false">
      <c r="A18" s="27" t="n">
        <v>46428</v>
      </c>
      <c r="B18" s="2" t="s">
        <v>97</v>
      </c>
      <c r="E18" s="2" t="s">
        <v>98</v>
      </c>
      <c r="F18" s="2" t="s">
        <v>75</v>
      </c>
      <c r="G18" s="29" t="n">
        <v>36</v>
      </c>
      <c r="H18" s="6" t="n">
        <f aca="false">IF(G18&lt;&gt;0,G18*H$2/(100+H$2)," ")</f>
        <v>6</v>
      </c>
      <c r="I18" s="6" t="n">
        <f aca="false">IF((G18&lt;&gt;0),G18-H18," ")</f>
        <v>30</v>
      </c>
      <c r="J18" s="5"/>
      <c r="M18" s="7" t="n">
        <f aca="false">IF(G18&lt;&gt;0,G18-L18," ")</f>
        <v>36</v>
      </c>
      <c r="N18" s="8" t="n">
        <f aca="false">IF((G18-L18)&lt;&gt;0,N$1-A18," ")</f>
        <v>-133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n">
        <f aca="false">IF((F18="y"),I18," ")</f>
        <v>30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85</v>
      </c>
    </row>
    <row r="19" customFormat="false" ht="12" hidden="false" customHeight="false" outlineLevel="0" collapsed="false">
      <c r="A19" s="27" t="n">
        <v>46430</v>
      </c>
      <c r="B19" s="2" t="s">
        <v>106</v>
      </c>
      <c r="E19" s="2" t="s">
        <v>107</v>
      </c>
      <c r="F19" s="2" t="s">
        <v>24</v>
      </c>
      <c r="G19" s="29" t="n">
        <v>18</v>
      </c>
      <c r="H19" s="6" t="n">
        <f aca="false">IF(G19&lt;&gt;0,G19*H$2/(100+H$2)," ")</f>
        <v>3</v>
      </c>
      <c r="I19" s="6" t="n">
        <f aca="false">IF((G19&lt;&gt;0),G19-H19," ")</f>
        <v>15</v>
      </c>
      <c r="J19" s="5"/>
      <c r="M19" s="7" t="n">
        <f aca="false">IF(G19&lt;&gt;0,G19-L19," ")</f>
        <v>18</v>
      </c>
      <c r="N19" s="8" t="n">
        <f aca="false">IF((G19-L19)&lt;&gt;0,N$1-A19," ")</f>
        <v>-135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n">
        <f aca="false">IF((F19="v"),I19," ")</f>
        <v>15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90</v>
      </c>
    </row>
    <row r="20" customFormat="false" ht="12" hidden="false" customHeight="false" outlineLevel="0" collapsed="false">
      <c r="A20" s="27" t="n">
        <v>46430</v>
      </c>
      <c r="B20" s="2" t="s">
        <v>188</v>
      </c>
      <c r="E20" s="2" t="s">
        <v>189</v>
      </c>
      <c r="F20" s="2" t="s">
        <v>71</v>
      </c>
      <c r="G20" s="29" t="n">
        <v>360</v>
      </c>
      <c r="H20" s="6" t="n">
        <f aca="false">IF(G20&lt;&gt;0,G20*H$2/(100+H$2)," ")</f>
        <v>60</v>
      </c>
      <c r="I20" s="6" t="n">
        <f aca="false">IF((G20&lt;&gt;0),G20-H20," ")</f>
        <v>300</v>
      </c>
      <c r="J20" s="5"/>
      <c r="M20" s="7" t="n">
        <f aca="false">IF(G20&lt;&gt;0,G20-L20," ")</f>
        <v>360</v>
      </c>
      <c r="N20" s="8" t="n">
        <f aca="false">IF((G20-L20)&lt;&gt;0,N$1-A20," ")</f>
        <v>-135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n">
        <f aca="false">IF((F20="o"),I20," ")</f>
        <v>300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139</v>
      </c>
    </row>
    <row r="21" customFormat="false" ht="12" hidden="false" customHeight="false" outlineLevel="0" collapsed="false">
      <c r="A21" s="27" t="n">
        <v>46432</v>
      </c>
      <c r="B21" s="2" t="s">
        <v>108</v>
      </c>
      <c r="E21" s="2" t="s">
        <v>109</v>
      </c>
      <c r="F21" s="2" t="s">
        <v>75</v>
      </c>
      <c r="G21" s="29" t="n">
        <v>18</v>
      </c>
      <c r="H21" s="6" t="n">
        <f aca="false">IF(G21&lt;&gt;0,G21*H$2/(100+H$2)," ")</f>
        <v>3</v>
      </c>
      <c r="I21" s="6" t="n">
        <f aca="false">IF((G21&lt;&gt;0),G21-H21," ")</f>
        <v>15</v>
      </c>
      <c r="J21" s="5"/>
      <c r="M21" s="7" t="n">
        <f aca="false">IF(G21&lt;&gt;0,G21-L21," ")</f>
        <v>18</v>
      </c>
      <c r="N21" s="8" t="n">
        <f aca="false">IF((G21-L21)&lt;&gt;0,N$1-A21," ")</f>
        <v>-137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n">
        <f aca="false">IF((F21="y"),I21," ")</f>
        <v>15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85</v>
      </c>
    </row>
    <row r="22" customFormat="false" ht="12" hidden="false" customHeight="false" outlineLevel="0" collapsed="false">
      <c r="A22" s="27" t="n">
        <v>46432</v>
      </c>
      <c r="B22" s="2" t="s">
        <v>110</v>
      </c>
      <c r="E22" s="2" t="s">
        <v>111</v>
      </c>
      <c r="F22" s="2" t="s">
        <v>95</v>
      </c>
      <c r="G22" s="29" t="n">
        <v>24</v>
      </c>
      <c r="H22" s="6" t="n">
        <f aca="false">IF(G22&lt;&gt;0,G22*H$2/(100+H$2)," ")</f>
        <v>4</v>
      </c>
      <c r="I22" s="6" t="n">
        <f aca="false">IF((G22&lt;&gt;0),G22-H22," ")</f>
        <v>20</v>
      </c>
      <c r="J22" s="5"/>
      <c r="M22" s="7" t="n">
        <f aca="false">IF(G22&lt;&gt;0,G22-L22," ")</f>
        <v>24</v>
      </c>
      <c r="N22" s="8" t="n">
        <f aca="false">IF((G22-L22)&lt;&gt;0,N$1-A22," ")</f>
        <v>-137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n">
        <f aca="false">IF((F22="h"),I22," ")</f>
        <v>20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96</v>
      </c>
    </row>
    <row r="23" customFormat="false" ht="12" hidden="false" customHeight="false" outlineLevel="0" collapsed="false">
      <c r="A23" s="27" t="n">
        <v>46432</v>
      </c>
      <c r="B23" s="2" t="s">
        <v>112</v>
      </c>
      <c r="E23" s="2" t="s">
        <v>113</v>
      </c>
      <c r="F23" s="2" t="s">
        <v>95</v>
      </c>
      <c r="G23" s="29" t="n">
        <v>12</v>
      </c>
      <c r="H23" s="6" t="n">
        <f aca="false">IF(G23&lt;&gt;0,G23*H$2/(100+H$2)," ")</f>
        <v>2</v>
      </c>
      <c r="I23" s="6" t="n">
        <f aca="false">IF((G23&lt;&gt;0),G23-H23," ")</f>
        <v>10</v>
      </c>
      <c r="J23" s="5"/>
      <c r="M23" s="7" t="n">
        <f aca="false">IF(G23&lt;&gt;0,G23-L23," ")</f>
        <v>12</v>
      </c>
      <c r="N23" s="8" t="n">
        <f aca="false">IF((G23-L23)&lt;&gt;0,N$1-A23," ")</f>
        <v>-137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n">
        <f aca="false">IF((F23="h"),I23," ")</f>
        <v>10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96</v>
      </c>
    </row>
    <row r="24" customFormat="false" ht="12" hidden="false" customHeight="false" outlineLevel="0" collapsed="false">
      <c r="A24" s="27" t="n">
        <v>46433</v>
      </c>
      <c r="B24" s="2" t="s">
        <v>19</v>
      </c>
      <c r="E24" s="2" t="s">
        <v>89</v>
      </c>
      <c r="F24" s="2" t="s">
        <v>24</v>
      </c>
      <c r="G24" s="29" t="n">
        <v>150</v>
      </c>
      <c r="H24" s="6" t="n">
        <f aca="false">IF(G24&lt;&gt;0,G24*H$2/(100+H$2)," ")</f>
        <v>25</v>
      </c>
      <c r="I24" s="6" t="n">
        <f aca="false">IF((G24&lt;&gt;0),G24-H24," ")</f>
        <v>125</v>
      </c>
      <c r="J24" s="5"/>
      <c r="M24" s="7" t="n">
        <f aca="false">IF(G24&lt;&gt;0,G24-L24," ")</f>
        <v>150</v>
      </c>
      <c r="N24" s="8" t="n">
        <f aca="false">IF((G24-L24)&lt;&gt;0,N$1-A24," ")</f>
        <v>-138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n">
        <f aca="false">IF((F24="v"),I24," ")</f>
        <v>125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90</v>
      </c>
    </row>
    <row r="25" customFormat="false" ht="12" hidden="false" customHeight="false" outlineLevel="0" collapsed="false">
      <c r="A25" s="27" t="n">
        <v>46433</v>
      </c>
      <c r="B25" s="2" t="s">
        <v>114</v>
      </c>
      <c r="E25" s="2" t="s">
        <v>115</v>
      </c>
      <c r="F25" s="2" t="s">
        <v>65</v>
      </c>
      <c r="G25" s="29" t="n">
        <v>12</v>
      </c>
      <c r="H25" s="6" t="n">
        <f aca="false">IF(G25&lt;&gt;0,G25*H$2/(100+H$2)," ")</f>
        <v>2</v>
      </c>
      <c r="I25" s="6" t="n">
        <f aca="false">IF((G25&lt;&gt;0),G25-H25," ")</f>
        <v>10</v>
      </c>
      <c r="J25" s="5"/>
      <c r="M25" s="7" t="n">
        <f aca="false">IF(G25&lt;&gt;0,G25-L25," ")</f>
        <v>12</v>
      </c>
      <c r="N25" s="8" t="n">
        <f aca="false">IF((G25-L25)&lt;&gt;0,N$1-A25," ")</f>
        <v>-138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n">
        <f aca="false">IF((F25="g"),I25," ")</f>
        <v>10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66</v>
      </c>
    </row>
    <row r="26" customFormat="false" ht="12" hidden="false" customHeight="false" outlineLevel="0" collapsed="false">
      <c r="A26" s="27" t="n">
        <v>46433</v>
      </c>
      <c r="B26" s="2" t="s">
        <v>144</v>
      </c>
      <c r="E26" s="2" t="s">
        <v>145</v>
      </c>
      <c r="F26" s="2" t="s">
        <v>104</v>
      </c>
      <c r="G26" s="29" t="n">
        <v>420</v>
      </c>
      <c r="H26" s="6" t="n">
        <f aca="false">IF(G26&lt;&gt;0,G26*H$2/(100+H$2)," ")</f>
        <v>70</v>
      </c>
      <c r="I26" s="6" t="n">
        <f aca="false">IF((G26&lt;&gt;0),G26-H26," ")</f>
        <v>350</v>
      </c>
      <c r="J26" s="5"/>
      <c r="M26" s="7" t="n">
        <f aca="false">IF(G26&lt;&gt;0,G26-L26," ")</f>
        <v>420</v>
      </c>
      <c r="N26" s="8" t="n">
        <f aca="false">IF((G26-L26)&lt;&gt;0,N$1-A26," ")</f>
        <v>-138</v>
      </c>
      <c r="O26" s="5"/>
      <c r="P26" s="19" t="n">
        <f aca="false">IF((F26="s"),I26," ")</f>
        <v>350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105</v>
      </c>
    </row>
    <row r="27" customFormat="false" ht="12" hidden="false" customHeight="false" outlineLevel="0" collapsed="false">
      <c r="A27" s="27" t="n">
        <v>46436</v>
      </c>
      <c r="B27" s="2" t="s">
        <v>196</v>
      </c>
      <c r="E27" s="2" t="s">
        <v>233</v>
      </c>
      <c r="F27" s="2" t="s">
        <v>121</v>
      </c>
      <c r="G27" s="29" t="n">
        <v>360</v>
      </c>
      <c r="H27" s="6" t="n">
        <f aca="false">IF(G27&lt;&gt;0,G27*H$2/(100+H$2)," ")</f>
        <v>60</v>
      </c>
      <c r="I27" s="6" t="n">
        <f aca="false">IF((G27&lt;&gt;0),G27-H27," ")</f>
        <v>300</v>
      </c>
      <c r="J27" s="5"/>
      <c r="M27" s="7" t="n">
        <f aca="false">IF(G27&lt;&gt;0,G27-L27," ")</f>
        <v>360</v>
      </c>
      <c r="N27" s="8" t="n">
        <f aca="false">IF((G27-L27)&lt;&gt;0,N$1-A27," ")</f>
        <v>-141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n">
        <f aca="false">IF((F27="m"),I27," ")</f>
        <v>300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122</v>
      </c>
    </row>
    <row r="28" customFormat="false" ht="12" hidden="false" customHeight="false" outlineLevel="0" collapsed="false">
      <c r="A28" s="27" t="n">
        <v>46436</v>
      </c>
      <c r="B28" s="2" t="s">
        <v>168</v>
      </c>
      <c r="E28" s="2" t="s">
        <v>234</v>
      </c>
      <c r="F28" s="2" t="s">
        <v>95</v>
      </c>
      <c r="G28" s="29" t="n">
        <v>240</v>
      </c>
      <c r="H28" s="6" t="n">
        <f aca="false">IF(G28&lt;&gt;0,G28*H$2/(100+H$2)," ")</f>
        <v>40</v>
      </c>
      <c r="I28" s="6" t="n">
        <f aca="false">IF((G28&lt;&gt;0),G28-H28," ")</f>
        <v>200</v>
      </c>
      <c r="J28" s="5"/>
      <c r="M28" s="7" t="n">
        <f aca="false">IF(G28&lt;&gt;0,G28-L28," ")</f>
        <v>240</v>
      </c>
      <c r="N28" s="8" t="n">
        <f aca="false">IF((G28-L28)&lt;&gt;0,N$1-A28," ")</f>
        <v>-141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n">
        <f aca="false">IF((F28="h"),I28," ")</f>
        <v>200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96</v>
      </c>
    </row>
    <row r="29" customFormat="false" ht="12" hidden="false" customHeight="false" outlineLevel="0" collapsed="false">
      <c r="A29" s="27" t="n">
        <v>46436</v>
      </c>
      <c r="B29" s="2" t="s">
        <v>116</v>
      </c>
      <c r="E29" s="2" t="s">
        <v>89</v>
      </c>
      <c r="F29" s="2" t="s">
        <v>24</v>
      </c>
      <c r="G29" s="29" t="n">
        <v>96</v>
      </c>
      <c r="H29" s="6" t="n">
        <f aca="false">IF(G29&lt;&gt;0,G29*H$2/(100+H$2)," ")</f>
        <v>16</v>
      </c>
      <c r="I29" s="6" t="n">
        <f aca="false">IF((G29&lt;&gt;0),G29-H29," ")</f>
        <v>80</v>
      </c>
      <c r="J29" s="5"/>
      <c r="M29" s="7" t="n">
        <f aca="false">IF(G29&lt;&gt;0,G29-L29," ")</f>
        <v>96</v>
      </c>
      <c r="N29" s="8" t="n">
        <f aca="false">IF((G29-L29)&lt;&gt;0,N$1-A29," ")</f>
        <v>-141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n">
        <f aca="false">IF((F29="v"),I29," ")</f>
        <v>80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90</v>
      </c>
    </row>
    <row r="30" customFormat="false" ht="12" hidden="false" customHeight="false" outlineLevel="0" collapsed="false">
      <c r="A30" s="27" t="n">
        <v>46438</v>
      </c>
      <c r="B30" s="2" t="s">
        <v>117</v>
      </c>
      <c r="E30" s="2" t="s">
        <v>118</v>
      </c>
      <c r="F30" s="2" t="s">
        <v>65</v>
      </c>
      <c r="G30" s="29" t="n">
        <v>60</v>
      </c>
      <c r="H30" s="6" t="n">
        <f aca="false">IF(G30&lt;&gt;0,G30*H$2/(100+H$2)," ")</f>
        <v>10</v>
      </c>
      <c r="I30" s="6" t="n">
        <f aca="false">IF((G30&lt;&gt;0),G30-H30," ")</f>
        <v>50</v>
      </c>
      <c r="J30" s="5"/>
      <c r="M30" s="7" t="n">
        <f aca="false">IF(G30&lt;&gt;0,G30-L30," ")</f>
        <v>60</v>
      </c>
      <c r="N30" s="8" t="n">
        <f aca="false">IF((G30-L30)&lt;&gt;0,N$1-A30," ")</f>
        <v>-143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n">
        <f aca="false">IF((F30="g"),I30," ")</f>
        <v>50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66</v>
      </c>
    </row>
    <row r="31" customFormat="false" ht="12" hidden="false" customHeight="false" outlineLevel="0" collapsed="false">
      <c r="A31" s="27" t="n">
        <v>46438</v>
      </c>
      <c r="B31" s="2" t="s">
        <v>156</v>
      </c>
      <c r="E31" s="2" t="s">
        <v>157</v>
      </c>
      <c r="F31" s="2" t="s">
        <v>104</v>
      </c>
      <c r="G31" s="29" t="n">
        <v>240</v>
      </c>
      <c r="H31" s="6" t="n">
        <f aca="false">IF(G31&lt;&gt;0,G31*H$2/(100+H$2)," ")</f>
        <v>40</v>
      </c>
      <c r="I31" s="6" t="n">
        <f aca="false">IF((G31&lt;&gt;0),G31-H31," ")</f>
        <v>200</v>
      </c>
      <c r="J31" s="5"/>
      <c r="M31" s="7" t="n">
        <f aca="false">IF(G31&lt;&gt;0,G31-L31," ")</f>
        <v>240</v>
      </c>
      <c r="N31" s="8" t="n">
        <f aca="false">IF((G31-L31)&lt;&gt;0,N$1-A31," ")</f>
        <v>-143</v>
      </c>
      <c r="O31" s="5"/>
      <c r="P31" s="19" t="n">
        <f aca="false">IF((F31="s"),I31," ")</f>
        <v>200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105</v>
      </c>
    </row>
    <row r="32" customFormat="false" ht="12" hidden="false" customHeight="false" outlineLevel="0" collapsed="false">
      <c r="A32" s="27" t="n">
        <v>46439</v>
      </c>
      <c r="B32" s="2" t="s">
        <v>123</v>
      </c>
      <c r="E32" s="2" t="s">
        <v>124</v>
      </c>
      <c r="F32" s="2" t="s">
        <v>95</v>
      </c>
      <c r="G32" s="29" t="n">
        <v>8</v>
      </c>
      <c r="H32" s="6" t="n">
        <f aca="false">IF(G32&lt;&gt;0,G32*H$2/(100+H$2)," ")</f>
        <v>1.33333333333333</v>
      </c>
      <c r="I32" s="6" t="n">
        <f aca="false">IF((G32&lt;&gt;0),G32-H32," ")</f>
        <v>6.66666666666667</v>
      </c>
      <c r="J32" s="5"/>
      <c r="M32" s="7" t="n">
        <f aca="false">IF(G32&lt;&gt;0,G32-L32," ")</f>
        <v>8</v>
      </c>
      <c r="N32" s="8" t="n">
        <f aca="false">IF((G32-L32)&lt;&gt;0,N$1-A32," ")</f>
        <v>-144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n">
        <f aca="false">IF((F32="h"),I32," ")</f>
        <v>6.66666666666667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96</v>
      </c>
    </row>
    <row r="33" customFormat="false" ht="12" hidden="false" customHeight="false" outlineLevel="0" collapsed="false">
      <c r="A33" s="27" t="n">
        <v>46440</v>
      </c>
      <c r="B33" s="2" t="s">
        <v>125</v>
      </c>
      <c r="E33" s="2" t="s">
        <v>126</v>
      </c>
      <c r="F33" s="2" t="s">
        <v>75</v>
      </c>
      <c r="G33" s="29" t="n">
        <v>18</v>
      </c>
      <c r="H33" s="6" t="n">
        <f aca="false">IF(G33&lt;&gt;0,G33*H$2/(100+H$2)," ")</f>
        <v>3</v>
      </c>
      <c r="I33" s="6" t="n">
        <f aca="false">IF((G33&lt;&gt;0),G33-H33," ")</f>
        <v>15</v>
      </c>
      <c r="J33" s="5"/>
      <c r="M33" s="7" t="n">
        <f aca="false">IF(G33&lt;&gt;0,G33-L33," ")</f>
        <v>18</v>
      </c>
      <c r="N33" s="8" t="n">
        <f aca="false">IF((G33-L33)&lt;&gt;0,N$1-A33," ")</f>
        <v>-145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n">
        <f aca="false">IF((F33="y"),I33," ")</f>
        <v>15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85</v>
      </c>
    </row>
    <row r="34" customFormat="false" ht="12" hidden="false" customHeight="false" outlineLevel="0" collapsed="false">
      <c r="A34" s="27" t="n">
        <v>46443</v>
      </c>
      <c r="B34" s="2" t="s">
        <v>127</v>
      </c>
      <c r="E34" s="2" t="s">
        <v>128</v>
      </c>
      <c r="F34" s="2" t="s">
        <v>75</v>
      </c>
      <c r="G34" s="29" t="n">
        <v>15</v>
      </c>
      <c r="H34" s="6" t="n">
        <f aca="false">IF(G34&lt;&gt;0,G34*H$2/(100+H$2)," ")</f>
        <v>2.5</v>
      </c>
      <c r="I34" s="6" t="n">
        <f aca="false">IF((G34&lt;&gt;0),G34-H34," ")</f>
        <v>12.5</v>
      </c>
      <c r="J34" s="5"/>
      <c r="M34" s="7" t="n">
        <f aca="false">IF(G34&lt;&gt;0,G34-L34," ")</f>
        <v>15</v>
      </c>
      <c r="N34" s="8" t="n">
        <f aca="false">IF((G34-L34)&lt;&gt;0,N$1-A34," ")</f>
        <v>-148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n">
        <f aca="false">IF((F34="y"),I34," ")</f>
        <v>12.5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85</v>
      </c>
    </row>
    <row r="35" customFormat="false" ht="12" hidden="false" customHeight="false" outlineLevel="0" collapsed="false">
      <c r="A35" s="27" t="n">
        <v>46443</v>
      </c>
      <c r="B35" s="2" t="s">
        <v>129</v>
      </c>
      <c r="D35" s="4" t="n">
        <v>70</v>
      </c>
      <c r="E35" s="2" t="s">
        <v>235</v>
      </c>
      <c r="F35" s="2" t="s">
        <v>24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90</v>
      </c>
    </row>
    <row r="36" customFormat="false" ht="12" hidden="false" customHeight="false" outlineLevel="0" collapsed="false">
      <c r="A36" s="27" t="n">
        <v>46446</v>
      </c>
      <c r="B36" s="2" t="s">
        <v>15</v>
      </c>
      <c r="E36" s="2" t="s">
        <v>132</v>
      </c>
      <c r="F36" s="2" t="s">
        <v>133</v>
      </c>
      <c r="G36" s="29" t="n">
        <v>300</v>
      </c>
      <c r="H36" s="6" t="n">
        <f aca="false">IF(G36&lt;&gt;0,G36*H$2/(100+H$2)," ")</f>
        <v>50</v>
      </c>
      <c r="I36" s="6" t="n">
        <f aca="false">IF((G36&lt;&gt;0),G36-H36," ")</f>
        <v>250</v>
      </c>
      <c r="J36" s="5"/>
      <c r="M36" s="7" t="n">
        <f aca="false">IF(G36&lt;&gt;0,G36-L36," ")</f>
        <v>300</v>
      </c>
      <c r="N36" s="8" t="n">
        <f aca="false">IF((G36-L36)&lt;&gt;0,N$1-A36," ")</f>
        <v>-151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n">
        <f aca="false">IF((F36="l"),I36," ")</f>
        <v>250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  <c r="BZ36" s="2" t="s">
        <v>134</v>
      </c>
    </row>
    <row r="37" customFormat="false" ht="12" hidden="false" customHeight="false" outlineLevel="0" collapsed="false">
      <c r="A37" s="27" t="n">
        <v>46446</v>
      </c>
      <c r="B37" s="2" t="s">
        <v>19</v>
      </c>
      <c r="E37" s="2" t="s">
        <v>131</v>
      </c>
      <c r="F37" s="2" t="s">
        <v>24</v>
      </c>
      <c r="G37" s="29" t="n">
        <v>120</v>
      </c>
      <c r="H37" s="6" t="n">
        <f aca="false">IF(G37&lt;&gt;0,G37*H$2/(100+H$2)," ")</f>
        <v>20</v>
      </c>
      <c r="I37" s="6" t="n">
        <f aca="false">IF((G37&lt;&gt;0),G37-H37," ")</f>
        <v>100</v>
      </c>
      <c r="J37" s="5"/>
      <c r="M37" s="7" t="n">
        <f aca="false">IF(G37&lt;&gt;0,G37-L37," ")</f>
        <v>120</v>
      </c>
      <c r="N37" s="8" t="n">
        <f aca="false">IF((G37-L37)&lt;&gt;0,N$1-A37," ")</f>
        <v>-151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n">
        <f aca="false">IF((F37="v"),I37," ")</f>
        <v>100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  <c r="BZ37" s="2" t="s">
        <v>90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customFormat="false" ht="12.75" hidden="false" customHeight="true" outlineLevel="0" collapsed="false">
      <c r="A1" s="39" t="n">
        <f aca="false">G1-H1-SUM(P1:AC1)</f>
        <v>0</v>
      </c>
      <c r="B1" s="40" t="s">
        <v>21</v>
      </c>
      <c r="C1" s="40"/>
      <c r="D1" s="12" t="n">
        <f aca="false">SUM(D5:D300)</f>
        <v>130</v>
      </c>
      <c r="E1" s="13" t="s">
        <v>3</v>
      </c>
      <c r="F1" s="14"/>
      <c r="G1" s="13" t="n">
        <f aca="false">SUM(G2:G300)</f>
        <v>3739.5</v>
      </c>
      <c r="H1" s="13" t="n">
        <f aca="false">SUM(H5:H200)</f>
        <v>611.333333333333</v>
      </c>
      <c r="I1" s="13" t="n">
        <f aca="false">SUM(I2:I200)</f>
        <v>3128.16666666667</v>
      </c>
      <c r="J1" s="15"/>
      <c r="K1" s="16" t="s">
        <v>4</v>
      </c>
      <c r="L1" s="17" t="n">
        <f aca="false">SUM(L5:L300)</f>
        <v>0</v>
      </c>
      <c r="M1" s="17" t="n">
        <f aca="false">SUM(M5:M200)</f>
        <v>3668</v>
      </c>
      <c r="N1" s="18" t="n">
        <f aca="true">TODAY()</f>
        <v>46295</v>
      </c>
      <c r="O1" s="15"/>
      <c r="P1" s="13" t="n">
        <f aca="false">SUM(P5:P300)</f>
        <v>250</v>
      </c>
      <c r="Q1" s="13" t="n">
        <f aca="false">SUM(Q5:Q300)</f>
        <v>0</v>
      </c>
      <c r="R1" s="13" t="n">
        <f aca="false">SUM(R5:R300)</f>
        <v>207.5</v>
      </c>
      <c r="S1" s="13" t="n">
        <f aca="false">SUM(S5:S300)</f>
        <v>0</v>
      </c>
      <c r="T1" s="13" t="n">
        <f aca="false">SUM(T5:T300)</f>
        <v>1300</v>
      </c>
      <c r="U1" s="13" t="n">
        <f aca="false">SUM(U5:U300)</f>
        <v>0</v>
      </c>
      <c r="V1" s="13" t="n">
        <f aca="false">SUM(V5:V300)</f>
        <v>252.5</v>
      </c>
      <c r="W1" s="13" t="n">
        <f aca="false">SUM(W2:W300)</f>
        <v>591.5</v>
      </c>
      <c r="X1" s="13" t="n">
        <f aca="false">SUM(X5:X300)</f>
        <v>76.6666666666667</v>
      </c>
      <c r="Y1" s="13" t="n">
        <f aca="false">SUM(Y5:Y300)</f>
        <v>0</v>
      </c>
      <c r="Z1" s="13" t="n">
        <f aca="false">SUM(Z5:Z300)</f>
        <v>354.166666666667</v>
      </c>
      <c r="AA1" s="13" t="n">
        <f aca="false">SUM(AA5:AA300)</f>
        <v>95.8333333333333</v>
      </c>
      <c r="AB1" s="13" t="n">
        <f aca="false">SUM(AB5:AB300)</f>
        <v>0</v>
      </c>
      <c r="AC1" s="41" t="n">
        <f aca="false">SUM(AC5:AC300)</f>
        <v>0</v>
      </c>
      <c r="AD1" s="13" t="n">
        <f aca="false">SUM(AD5:AD300)</f>
        <v>0</v>
      </c>
      <c r="AE1" s="42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43" t="n">
        <f aca="false">G2+Feb!A2</f>
        <v>750.75</v>
      </c>
      <c r="B2" s="44" t="s">
        <v>22</v>
      </c>
      <c r="C2" s="43" t="n">
        <f aca="false">Feb!C2+D1+[1]Mar!$D$1</f>
        <v>1365</v>
      </c>
      <c r="D2" s="45" t="s">
        <v>23</v>
      </c>
      <c r="E2" s="20" t="s">
        <v>5</v>
      </c>
      <c r="F2" s="44" t="str">
        <f aca="false">Feb!F2</f>
        <v>v</v>
      </c>
      <c r="G2" s="46" t="n">
        <f aca="false">IF(C2&lt;[2]Admin!$F$22,(C2-Feb!C2)*[2]Admin!$G$21,C2*[2]Admin!$G$21-(C2-[2]Admin!$F$21)*([2]Admin!$G$21-[2]Admin!$G$22)-Feb!A2)</f>
        <v>71.5</v>
      </c>
      <c r="H2" s="21" t="n">
        <f aca="false">IF([1]Mar!$H$4&gt;0,0,[1]Mar!$H$2)</f>
        <v>20</v>
      </c>
      <c r="I2" s="47" t="n">
        <f aca="false">G2</f>
        <v>71.5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8" t="s">
        <v>27</v>
      </c>
      <c r="U2" s="10" t="s">
        <v>28</v>
      </c>
      <c r="V2" s="10" t="s">
        <v>29</v>
      </c>
      <c r="W2" s="49" t="n">
        <f aca="false">IF((F2="v"),I2," ")</f>
        <v>71.5</v>
      </c>
      <c r="X2" s="10" t="s">
        <v>30</v>
      </c>
      <c r="Y2" s="10" t="s">
        <v>31</v>
      </c>
      <c r="Z2" s="10" t="s">
        <v>32</v>
      </c>
      <c r="AA2" s="10" t="s">
        <v>33</v>
      </c>
      <c r="AB2" s="50" t="n">
        <f aca="false">AB1+Feb!AB2</f>
        <v>52500</v>
      </c>
      <c r="AC2" s="41" t="s">
        <v>34</v>
      </c>
      <c r="AD2" s="10" t="s">
        <v>35</v>
      </c>
      <c r="AE2" s="10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36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37</v>
      </c>
      <c r="Q3" s="20" t="s">
        <v>38</v>
      </c>
      <c r="R3" s="20" t="s">
        <v>39</v>
      </c>
      <c r="S3" s="10"/>
      <c r="T3" s="20" t="s">
        <v>40</v>
      </c>
      <c r="U3" s="10"/>
      <c r="V3" s="10"/>
      <c r="W3" s="50" t="s">
        <v>41</v>
      </c>
      <c r="X3" s="10"/>
      <c r="Y3" s="10"/>
      <c r="Z3" s="10"/>
      <c r="AA3" s="10"/>
      <c r="AB3" s="50" t="s">
        <v>42</v>
      </c>
      <c r="AC3" s="41"/>
      <c r="AD3" s="10" t="s">
        <v>43</v>
      </c>
      <c r="AE3" s="10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44</v>
      </c>
      <c r="Q4" s="51" t="s">
        <v>45</v>
      </c>
      <c r="R4" s="51" t="s">
        <v>46</v>
      </c>
      <c r="S4" s="51" t="s">
        <v>47</v>
      </c>
      <c r="T4" s="51" t="s">
        <v>48</v>
      </c>
      <c r="U4" s="51" t="s">
        <v>49</v>
      </c>
      <c r="V4" s="51" t="s">
        <v>50</v>
      </c>
      <c r="W4" s="52" t="s">
        <v>51</v>
      </c>
      <c r="X4" s="51" t="s">
        <v>52</v>
      </c>
      <c r="Y4" s="51" t="s">
        <v>53</v>
      </c>
      <c r="Z4" s="51" t="s">
        <v>54</v>
      </c>
      <c r="AA4" s="51" t="s">
        <v>55</v>
      </c>
      <c r="AB4" s="51" t="s">
        <v>56</v>
      </c>
      <c r="AC4" s="41" t="s">
        <v>57</v>
      </c>
      <c r="AD4" s="10" t="s">
        <v>58</v>
      </c>
      <c r="AE4" s="10" t="s">
        <v>59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 t="n">
        <v>46447</v>
      </c>
      <c r="B5" s="2" t="s">
        <v>13</v>
      </c>
      <c r="E5" s="2" t="s">
        <v>60</v>
      </c>
      <c r="F5" s="2" t="s">
        <v>61</v>
      </c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-152</v>
      </c>
      <c r="O5" s="5"/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1000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 t="str">
        <f aca="false">IF((F5="e"),I5," ")</f>
        <v> 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62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 t="n">
        <v>46447</v>
      </c>
      <c r="B6" s="2" t="s">
        <v>63</v>
      </c>
      <c r="E6" s="2" t="s">
        <v>64</v>
      </c>
      <c r="F6" s="2" t="s">
        <v>65</v>
      </c>
      <c r="G6" s="29" t="n">
        <v>30</v>
      </c>
      <c r="H6" s="6" t="n">
        <f aca="false">IF(G6&lt;&gt;0,G6*H$2/(100+H$2)," ")</f>
        <v>5</v>
      </c>
      <c r="I6" s="6" t="n">
        <f aca="false">IF((G6&lt;&gt;0),G6-H6," ")</f>
        <v>25</v>
      </c>
      <c r="J6" s="5"/>
      <c r="M6" s="7" t="n">
        <f aca="false">IF(G6&lt;&gt;0,G6-L6," ")</f>
        <v>30</v>
      </c>
      <c r="N6" s="8" t="n">
        <f aca="false">IF((G6-L6)&lt;&gt;0,N$1-A6," ")</f>
        <v>-152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25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  <c r="AC6" s="19" t="str">
        <f aca="false">IF((F6="e"),I6," ")</f>
        <v> </v>
      </c>
      <c r="BZ6" s="2" t="s">
        <v>66</v>
      </c>
    </row>
    <row r="7" customFormat="false" ht="12" hidden="false" customHeight="false" outlineLevel="0" collapsed="false">
      <c r="A7" s="27" t="n">
        <v>46447</v>
      </c>
      <c r="B7" s="2" t="s">
        <v>67</v>
      </c>
      <c r="E7" s="2" t="s">
        <v>68</v>
      </c>
      <c r="F7" s="2" t="s">
        <v>65</v>
      </c>
      <c r="G7" s="29" t="n">
        <v>15</v>
      </c>
      <c r="H7" s="6" t="n">
        <f aca="false">IF(G7&lt;&gt;0,G7*H$2/(100+H$2)," ")</f>
        <v>2.5</v>
      </c>
      <c r="I7" s="6" t="n">
        <f aca="false">IF((G7&lt;&gt;0),G7-H7," ")</f>
        <v>12.5</v>
      </c>
      <c r="J7" s="5"/>
      <c r="M7" s="7" t="n">
        <f aca="false">IF(G7&lt;&gt;0,G7-L7," ")</f>
        <v>15</v>
      </c>
      <c r="N7" s="8" t="n">
        <f aca="false">IF((G7-L7)&lt;&gt;0,N$1-A7," ")</f>
        <v>-152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12.5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  <c r="AC7" s="19" t="str">
        <f aca="false">IF((F7="e"),I7," ")</f>
        <v> </v>
      </c>
      <c r="BZ7" s="2" t="s">
        <v>66</v>
      </c>
    </row>
    <row r="8" customFormat="false" ht="12" hidden="false" customHeight="false" outlineLevel="0" collapsed="false">
      <c r="A8" s="27" t="n">
        <v>46447</v>
      </c>
      <c r="B8" s="2" t="s">
        <v>69</v>
      </c>
      <c r="E8" s="2" t="s">
        <v>70</v>
      </c>
      <c r="F8" s="2" t="s">
        <v>71</v>
      </c>
      <c r="G8" s="29" t="n">
        <v>45</v>
      </c>
      <c r="H8" s="6" t="n">
        <f aca="false">IF(G8&lt;&gt;0,G8*H$2/(100+H$2)," ")</f>
        <v>7.5</v>
      </c>
      <c r="I8" s="6" t="n">
        <f aca="false">IF((G8&lt;&gt;0),G8-H8," ")</f>
        <v>37.5</v>
      </c>
      <c r="J8" s="5"/>
      <c r="M8" s="7" t="n">
        <f aca="false">IF(G8&lt;&gt;0,G8-L8," ")</f>
        <v>45</v>
      </c>
      <c r="N8" s="8" t="n">
        <f aca="false">IF((G8-L8)&lt;&gt;0,N$1-A8," ")</f>
        <v>-152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37.5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  <c r="AC8" s="19" t="str">
        <f aca="false">IF((F8="e"),I8," ")</f>
        <v> </v>
      </c>
      <c r="BZ8" s="2" t="s">
        <v>72</v>
      </c>
    </row>
    <row r="9" customFormat="false" ht="12" hidden="false" customHeight="false" outlineLevel="0" collapsed="false">
      <c r="A9" s="27" t="n">
        <v>46447</v>
      </c>
      <c r="B9" s="2" t="s">
        <v>77</v>
      </c>
      <c r="E9" s="2" t="s">
        <v>78</v>
      </c>
      <c r="F9" s="2" t="s">
        <v>71</v>
      </c>
      <c r="G9" s="29" t="n">
        <v>24</v>
      </c>
      <c r="H9" s="6" t="n">
        <f aca="false">IF(G9&lt;&gt;0,G9*H$2/(100+H$2)," ")</f>
        <v>4</v>
      </c>
      <c r="I9" s="6" t="n">
        <f aca="false">IF((G9&lt;&gt;0),G9-H9," ")</f>
        <v>20</v>
      </c>
      <c r="J9" s="5"/>
      <c r="M9" s="7" t="n">
        <f aca="false">IF(G9&lt;&gt;0,G9-L9," ")</f>
        <v>24</v>
      </c>
      <c r="N9" s="8" t="n">
        <f aca="false">IF((G9-L9)&lt;&gt;0,N$1-A9," ")</f>
        <v>-152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20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  <c r="AC9" s="19" t="str">
        <f aca="false">IF((F9="e"),I9," ")</f>
        <v> </v>
      </c>
      <c r="BZ9" s="2" t="s">
        <v>72</v>
      </c>
    </row>
    <row r="10" customFormat="false" ht="12" hidden="false" customHeight="false" outlineLevel="0" collapsed="false">
      <c r="A10" s="27" t="n">
        <v>46447</v>
      </c>
      <c r="B10" s="2" t="s">
        <v>79</v>
      </c>
      <c r="E10" s="2" t="s">
        <v>80</v>
      </c>
      <c r="F10" s="2" t="s">
        <v>65</v>
      </c>
      <c r="G10" s="29" t="n">
        <v>18</v>
      </c>
      <c r="H10" s="6" t="n">
        <f aca="false">IF(G10&lt;&gt;0,G10*H$2/(100+H$2)," ")</f>
        <v>3</v>
      </c>
      <c r="I10" s="6" t="n">
        <f aca="false">IF((G10&lt;&gt;0),G10-H10," ")</f>
        <v>15</v>
      </c>
      <c r="J10" s="5"/>
      <c r="M10" s="7" t="n">
        <f aca="false">IF(G10&lt;&gt;0,G10-L10," ")</f>
        <v>18</v>
      </c>
      <c r="N10" s="8" t="n">
        <f aca="false">IF((G10-L10)&lt;&gt;0,N$1-A10," ")</f>
        <v>-152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15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  <c r="AC10" s="19" t="str">
        <f aca="false">IF((F10="e"),I10," ")</f>
        <v> </v>
      </c>
      <c r="BZ10" s="2" t="s">
        <v>66</v>
      </c>
    </row>
    <row r="11" customFormat="false" ht="12" hidden="false" customHeight="false" outlineLevel="0" collapsed="false">
      <c r="A11" s="27" t="n">
        <v>46449</v>
      </c>
      <c r="B11" s="2" t="s">
        <v>81</v>
      </c>
      <c r="E11" s="2" t="s">
        <v>82</v>
      </c>
      <c r="F11" s="2" t="s">
        <v>71</v>
      </c>
      <c r="G11" s="29" t="n">
        <v>180</v>
      </c>
      <c r="H11" s="6" t="n">
        <f aca="false">IF(G11&lt;&gt;0,G11*H$2/(100+H$2)," ")</f>
        <v>30</v>
      </c>
      <c r="I11" s="6" t="n">
        <f aca="false">IF((G11&lt;&gt;0),G11-H11," ")</f>
        <v>150</v>
      </c>
      <c r="J11" s="5"/>
      <c r="M11" s="7" t="n">
        <f aca="false">IF(G11&lt;&gt;0,G11-L11," ")</f>
        <v>180</v>
      </c>
      <c r="N11" s="8" t="n">
        <f aca="false">IF((G11-L11)&lt;&gt;0,N$1-A11," ")</f>
        <v>-154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150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  <c r="AC11" s="19" t="str">
        <f aca="false">IF((F11="e"),I11," ")</f>
        <v> </v>
      </c>
      <c r="BZ11" s="2" t="s">
        <v>72</v>
      </c>
    </row>
    <row r="12" customFormat="false" ht="12" hidden="false" customHeight="false" outlineLevel="0" collapsed="false">
      <c r="A12" s="27" t="n">
        <v>46449</v>
      </c>
      <c r="B12" s="2" t="s">
        <v>83</v>
      </c>
      <c r="E12" s="2" t="s">
        <v>84</v>
      </c>
      <c r="F12" s="2" t="s">
        <v>75</v>
      </c>
      <c r="G12" s="29" t="n">
        <v>22</v>
      </c>
      <c r="H12" s="6" t="n">
        <f aca="false">IF(G12&lt;&gt;0,G12*H$2/(100+H$2)," ")</f>
        <v>3.66666666666667</v>
      </c>
      <c r="I12" s="6" t="n">
        <f aca="false">IF((G12&lt;&gt;0),G12-H12," ")</f>
        <v>18.3333333333333</v>
      </c>
      <c r="J12" s="5"/>
      <c r="M12" s="7" t="n">
        <f aca="false">IF(G12&lt;&gt;0,G12-L12," ")</f>
        <v>22</v>
      </c>
      <c r="N12" s="8" t="n">
        <f aca="false">IF((G12-L12)&lt;&gt;0,N$1-A12," ")</f>
        <v>-154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n">
        <f aca="false">IF((F12="y"),I12," ")</f>
        <v>18.3333333333333</v>
      </c>
      <c r="AB12" s="19" t="str">
        <f aca="false">IF((F12="fa"),I12," ")</f>
        <v> </v>
      </c>
      <c r="AC12" s="19" t="str">
        <f aca="false">IF((F12="e"),I12," ")</f>
        <v> </v>
      </c>
      <c r="BZ12" s="2" t="s">
        <v>85</v>
      </c>
    </row>
    <row r="13" customFormat="false" ht="12" hidden="false" customHeight="false" outlineLevel="0" collapsed="false">
      <c r="A13" s="27" t="n">
        <v>46451</v>
      </c>
      <c r="B13" s="2" t="s">
        <v>86</v>
      </c>
      <c r="E13" s="2" t="s">
        <v>87</v>
      </c>
      <c r="F13" s="2" t="s">
        <v>75</v>
      </c>
      <c r="G13" s="29" t="n">
        <v>24</v>
      </c>
      <c r="H13" s="6" t="n">
        <f aca="false">IF(G13&lt;&gt;0,G13*H$2/(100+H$2)," ")</f>
        <v>4</v>
      </c>
      <c r="I13" s="6" t="n">
        <f aca="false">IF((G13&lt;&gt;0),G13-H13," ")</f>
        <v>20</v>
      </c>
      <c r="J13" s="5"/>
      <c r="M13" s="7" t="n">
        <f aca="false">IF(G13&lt;&gt;0,G13-L13," ")</f>
        <v>24</v>
      </c>
      <c r="N13" s="8" t="n">
        <f aca="false">IF((G13-L13)&lt;&gt;0,N$1-A13," ")</f>
        <v>-156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n">
        <f aca="false">IF((F13="y"),I13," ")</f>
        <v>20</v>
      </c>
      <c r="AB13" s="19" t="str">
        <f aca="false">IF((F13="fa"),I13," ")</f>
        <v> </v>
      </c>
      <c r="AC13" s="19" t="str">
        <f aca="false">IF((F13="e"),I13," ")</f>
        <v> </v>
      </c>
      <c r="BZ13" s="2" t="s">
        <v>85</v>
      </c>
    </row>
    <row r="14" customFormat="false" ht="12" hidden="false" customHeight="false" outlineLevel="0" collapsed="false">
      <c r="A14" s="27" t="n">
        <v>46451</v>
      </c>
      <c r="B14" s="2" t="s">
        <v>88</v>
      </c>
      <c r="E14" s="2" t="s">
        <v>89</v>
      </c>
      <c r="F14" s="2" t="s">
        <v>24</v>
      </c>
      <c r="G14" s="29" t="n">
        <v>180</v>
      </c>
      <c r="H14" s="6" t="n">
        <f aca="false">IF(G14&lt;&gt;0,G14*H$2/(100+H$2)," ")</f>
        <v>30</v>
      </c>
      <c r="I14" s="6" t="n">
        <f aca="false">IF((G14&lt;&gt;0),G14-H14," ")</f>
        <v>150</v>
      </c>
      <c r="J14" s="5"/>
      <c r="M14" s="7" t="n">
        <f aca="false">IF(G14&lt;&gt;0,G14-L14," ")</f>
        <v>180</v>
      </c>
      <c r="N14" s="8" t="n">
        <f aca="false">IF((G14-L14)&lt;&gt;0,N$1-A14," ")</f>
        <v>-156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n">
        <f aca="false">IF((F14="v"),I14," ")</f>
        <v>150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  <c r="AC14" s="19" t="str">
        <f aca="false">IF((F14="e"),I14," ")</f>
        <v> </v>
      </c>
      <c r="BZ14" s="2" t="s">
        <v>90</v>
      </c>
    </row>
    <row r="15" customFormat="false" ht="12" hidden="false" customHeight="false" outlineLevel="0" collapsed="false">
      <c r="A15" s="27" t="n">
        <v>46454</v>
      </c>
      <c r="B15" s="2" t="s">
        <v>93</v>
      </c>
      <c r="E15" s="2" t="s">
        <v>94</v>
      </c>
      <c r="F15" s="2" t="s">
        <v>95</v>
      </c>
      <c r="G15" s="29" t="n">
        <v>48</v>
      </c>
      <c r="H15" s="6" t="n">
        <f aca="false">IF(G15&lt;&gt;0,G15*H$2/(100+H$2)," ")</f>
        <v>8</v>
      </c>
      <c r="I15" s="6" t="n">
        <f aca="false">IF((G15&lt;&gt;0),G15-H15," ")</f>
        <v>40</v>
      </c>
      <c r="J15" s="5"/>
      <c r="M15" s="7" t="n">
        <f aca="false">IF(G15&lt;&gt;0,G15-L15," ")</f>
        <v>48</v>
      </c>
      <c r="N15" s="8" t="n">
        <f aca="false">IF((G15-L15)&lt;&gt;0,N$1-A15," ")</f>
        <v>-159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n">
        <f aca="false">IF((F15="h"),I15," ")</f>
        <v>40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  <c r="AC15" s="19" t="str">
        <f aca="false">IF((F15="e"),I15," ")</f>
        <v> </v>
      </c>
      <c r="BZ15" s="2" t="s">
        <v>96</v>
      </c>
    </row>
    <row r="16" customFormat="false" ht="12" hidden="false" customHeight="false" outlineLevel="0" collapsed="false">
      <c r="A16" s="27" t="n">
        <v>46456</v>
      </c>
      <c r="B16" s="2" t="s">
        <v>97</v>
      </c>
      <c r="E16" s="2" t="s">
        <v>98</v>
      </c>
      <c r="F16" s="2" t="s">
        <v>75</v>
      </c>
      <c r="G16" s="29" t="n">
        <v>36</v>
      </c>
      <c r="H16" s="6" t="n">
        <f aca="false">IF(G16&lt;&gt;0,G16*H$2/(100+H$2)," ")</f>
        <v>6</v>
      </c>
      <c r="I16" s="6" t="n">
        <f aca="false">IF((G16&lt;&gt;0),G16-H16," ")</f>
        <v>30</v>
      </c>
      <c r="J16" s="5"/>
      <c r="M16" s="7" t="n">
        <f aca="false">IF(G16&lt;&gt;0,G16-L16," ")</f>
        <v>36</v>
      </c>
      <c r="N16" s="8" t="n">
        <f aca="false">IF((G16-L16)&lt;&gt;0,N$1-A16," ")</f>
        <v>-161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n">
        <f aca="false">IF((F16="y"),I16," ")</f>
        <v>30</v>
      </c>
      <c r="AB16" s="19" t="str">
        <f aca="false">IF((F16="fa"),I16," ")</f>
        <v> </v>
      </c>
      <c r="AC16" s="19" t="str">
        <f aca="false">IF((F16="e"),I16," ")</f>
        <v> </v>
      </c>
      <c r="BZ16" s="2" t="s">
        <v>85</v>
      </c>
    </row>
    <row r="17" customFormat="false" ht="12" hidden="false" customHeight="false" outlineLevel="0" collapsed="false">
      <c r="A17" s="27" t="n">
        <v>46456</v>
      </c>
      <c r="B17" s="2" t="s">
        <v>114</v>
      </c>
      <c r="E17" s="2" t="s">
        <v>206</v>
      </c>
      <c r="F17" s="2" t="s">
        <v>65</v>
      </c>
      <c r="G17" s="29" t="n">
        <v>144</v>
      </c>
      <c r="H17" s="6" t="n">
        <f aca="false">IF(G17&lt;&gt;0,G17*H$2/(100+H$2)," ")</f>
        <v>24</v>
      </c>
      <c r="I17" s="6" t="n">
        <f aca="false">IF((G17&lt;&gt;0),G17-H17," ")</f>
        <v>120</v>
      </c>
      <c r="J17" s="5"/>
      <c r="M17" s="7" t="n">
        <f aca="false">IF(G17&lt;&gt;0,G17-L17," ")</f>
        <v>144</v>
      </c>
      <c r="N17" s="8" t="n">
        <f aca="false">IF((G17-L17)&lt;&gt;0,N$1-A17," ")</f>
        <v>-161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n">
        <f aca="false">IF((F17="g"),I17," ")</f>
        <v>120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  <c r="AC17" s="19" t="str">
        <f aca="false">IF((F17="e"),I17," ")</f>
        <v> </v>
      </c>
      <c r="BZ17" s="2" t="s">
        <v>155</v>
      </c>
    </row>
    <row r="18" customFormat="false" ht="12" hidden="false" customHeight="false" outlineLevel="0" collapsed="false">
      <c r="A18" s="27" t="n">
        <v>46458</v>
      </c>
      <c r="B18" s="2" t="s">
        <v>106</v>
      </c>
      <c r="E18" s="2" t="s">
        <v>107</v>
      </c>
      <c r="F18" s="2" t="s">
        <v>24</v>
      </c>
      <c r="G18" s="29" t="n">
        <v>18</v>
      </c>
      <c r="H18" s="6" t="n">
        <f aca="false">IF(G18&lt;&gt;0,G18*H$2/(100+H$2)," ")</f>
        <v>3</v>
      </c>
      <c r="I18" s="6" t="n">
        <f aca="false">IF((G18&lt;&gt;0),G18-H18," ")</f>
        <v>15</v>
      </c>
      <c r="J18" s="5"/>
      <c r="M18" s="7" t="n">
        <f aca="false">IF(G18&lt;&gt;0,G18-L18," ")</f>
        <v>18</v>
      </c>
      <c r="N18" s="8" t="n">
        <f aca="false">IF((G18-L18)&lt;&gt;0,N$1-A18," ")</f>
        <v>-163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n">
        <f aca="false">IF((F18="v"),I18," ")</f>
        <v>15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  <c r="AC18" s="19" t="str">
        <f aca="false">IF((F18="e"),I18," ")</f>
        <v> </v>
      </c>
      <c r="BZ18" s="2" t="s">
        <v>90</v>
      </c>
    </row>
    <row r="19" customFormat="false" ht="12" hidden="false" customHeight="false" outlineLevel="0" collapsed="false">
      <c r="A19" s="27" t="n">
        <v>46460</v>
      </c>
      <c r="B19" s="2" t="s">
        <v>110</v>
      </c>
      <c r="E19" s="2" t="s">
        <v>111</v>
      </c>
      <c r="F19" s="2" t="s">
        <v>95</v>
      </c>
      <c r="G19" s="29" t="n">
        <v>24</v>
      </c>
      <c r="H19" s="6" t="n">
        <f aca="false">IF(G19&lt;&gt;0,G19*H$2/(100+H$2)," ")</f>
        <v>4</v>
      </c>
      <c r="I19" s="6" t="n">
        <f aca="false">IF((G19&lt;&gt;0),G19-H19," ")</f>
        <v>20</v>
      </c>
      <c r="J19" s="5"/>
      <c r="M19" s="7" t="n">
        <f aca="false">IF(G19&lt;&gt;0,G19-L19," ")</f>
        <v>24</v>
      </c>
      <c r="N19" s="8" t="n">
        <f aca="false">IF((G19-L19)&lt;&gt;0,N$1-A19," ")</f>
        <v>-165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n">
        <f aca="false">IF((F19="h"),I19," ")</f>
        <v>20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  <c r="AC19" s="19" t="str">
        <f aca="false">IF((F19="e"),I19," ")</f>
        <v> </v>
      </c>
      <c r="BZ19" s="2" t="s">
        <v>96</v>
      </c>
    </row>
    <row r="20" customFormat="false" ht="12" hidden="false" customHeight="false" outlineLevel="0" collapsed="false">
      <c r="A20" s="27" t="n">
        <v>46460</v>
      </c>
      <c r="B20" s="2" t="s">
        <v>112</v>
      </c>
      <c r="E20" s="2" t="s">
        <v>113</v>
      </c>
      <c r="F20" s="2" t="s">
        <v>95</v>
      </c>
      <c r="G20" s="29" t="n">
        <v>12</v>
      </c>
      <c r="H20" s="6" t="n">
        <f aca="false">IF(G20&lt;&gt;0,G20*H$2/(100+H$2)," ")</f>
        <v>2</v>
      </c>
      <c r="I20" s="6" t="n">
        <f aca="false">IF((G20&lt;&gt;0),G20-H20," ")</f>
        <v>10</v>
      </c>
      <c r="J20" s="5"/>
      <c r="M20" s="7" t="n">
        <f aca="false">IF(G20&lt;&gt;0,G20-L20," ")</f>
        <v>12</v>
      </c>
      <c r="N20" s="8" t="n">
        <f aca="false">IF((G20-L20)&lt;&gt;0,N$1-A20," ")</f>
        <v>-165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n">
        <f aca="false">IF((F20="h"),I20," ")</f>
        <v>10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  <c r="AC20" s="19" t="str">
        <f aca="false">IF((F20="e"),I20," ")</f>
        <v> </v>
      </c>
      <c r="BZ20" s="2" t="s">
        <v>96</v>
      </c>
    </row>
    <row r="21" customFormat="false" ht="12" hidden="false" customHeight="false" outlineLevel="0" collapsed="false">
      <c r="A21" s="27" t="n">
        <v>46461</v>
      </c>
      <c r="B21" s="2" t="s">
        <v>19</v>
      </c>
      <c r="E21" s="2" t="s">
        <v>89</v>
      </c>
      <c r="F21" s="2" t="s">
        <v>24</v>
      </c>
      <c r="G21" s="29" t="n">
        <v>150</v>
      </c>
      <c r="H21" s="6" t="n">
        <f aca="false">IF(G21&lt;&gt;0,G21*H$2/(100+H$2)," ")</f>
        <v>25</v>
      </c>
      <c r="I21" s="6" t="n">
        <f aca="false">IF((G21&lt;&gt;0),G21-H21," ")</f>
        <v>125</v>
      </c>
      <c r="J21" s="5"/>
      <c r="M21" s="7" t="n">
        <f aca="false">IF(G21&lt;&gt;0,G21-L21," ")</f>
        <v>150</v>
      </c>
      <c r="N21" s="8" t="n">
        <f aca="false">IF((G21-L21)&lt;&gt;0,N$1-A21," ")</f>
        <v>-166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n">
        <f aca="false">IF((F21="v"),I21," ")</f>
        <v>125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  <c r="AC21" s="19" t="str">
        <f aca="false">IF((F21="e"),I21," ")</f>
        <v> </v>
      </c>
      <c r="BZ21" s="2" t="s">
        <v>90</v>
      </c>
    </row>
    <row r="22" customFormat="false" ht="12" hidden="false" customHeight="false" outlineLevel="0" collapsed="false">
      <c r="A22" s="27" t="n">
        <v>46461</v>
      </c>
      <c r="B22" s="2" t="s">
        <v>114</v>
      </c>
      <c r="E22" s="2" t="s">
        <v>115</v>
      </c>
      <c r="F22" s="2" t="s">
        <v>65</v>
      </c>
      <c r="G22" s="29" t="n">
        <v>12</v>
      </c>
      <c r="H22" s="6" t="n">
        <f aca="false">IF(G22&lt;&gt;0,G22*H$2/(100+H$2)," ")</f>
        <v>2</v>
      </c>
      <c r="I22" s="6" t="n">
        <f aca="false">IF((G22&lt;&gt;0),G22-H22," ")</f>
        <v>10</v>
      </c>
      <c r="J22" s="5"/>
      <c r="M22" s="7" t="n">
        <f aca="false">IF(G22&lt;&gt;0,G22-L22," ")</f>
        <v>12</v>
      </c>
      <c r="N22" s="8" t="n">
        <f aca="false">IF((G22-L22)&lt;&gt;0,N$1-A22," ")</f>
        <v>-166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n">
        <f aca="false">IF((F22="g"),I22," ")</f>
        <v>10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  <c r="AC22" s="19" t="str">
        <f aca="false">IF((F22="e"),I22," ")</f>
        <v> </v>
      </c>
      <c r="BZ22" s="2" t="s">
        <v>66</v>
      </c>
    </row>
    <row r="23" customFormat="false" ht="12" hidden="false" customHeight="false" outlineLevel="0" collapsed="false">
      <c r="A23" s="27" t="n">
        <v>46462</v>
      </c>
      <c r="B23" s="2" t="s">
        <v>151</v>
      </c>
      <c r="E23" s="2" t="s">
        <v>152</v>
      </c>
      <c r="F23" s="2" t="s">
        <v>65</v>
      </c>
      <c r="G23" s="29" t="n">
        <v>24</v>
      </c>
      <c r="H23" s="6" t="n">
        <f aca="false">IF(G23&lt;&gt;0,G23*H$2/(100+H$2)," ")</f>
        <v>4</v>
      </c>
      <c r="I23" s="6" t="n">
        <f aca="false">IF((G23&lt;&gt;0),G23-H23," ")</f>
        <v>20</v>
      </c>
      <c r="J23" s="5"/>
      <c r="M23" s="7" t="n">
        <f aca="false">IF(G23&lt;&gt;0,G23-L23," ")</f>
        <v>24</v>
      </c>
      <c r="N23" s="8" t="n">
        <f aca="false">IF((G23-L23)&lt;&gt;0,N$1-A23," ")</f>
        <v>-167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n">
        <f aca="false">IF((F23="g"),I23," ")</f>
        <v>20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  <c r="AC23" s="19" t="str">
        <f aca="false">IF((F23="e"),I23," ")</f>
        <v> </v>
      </c>
      <c r="BZ23" s="2" t="s">
        <v>66</v>
      </c>
    </row>
    <row r="24" customFormat="false" ht="12" hidden="false" customHeight="false" outlineLevel="0" collapsed="false">
      <c r="A24" s="27" t="n">
        <v>46464</v>
      </c>
      <c r="B24" s="2" t="s">
        <v>170</v>
      </c>
      <c r="E24" s="2" t="s">
        <v>171</v>
      </c>
      <c r="F24" s="2" t="s">
        <v>104</v>
      </c>
      <c r="G24" s="29" t="n">
        <v>300</v>
      </c>
      <c r="H24" s="6" t="n">
        <f aca="false">IF(G24&lt;&gt;0,G24*H$2/(100+H$2)," ")</f>
        <v>50</v>
      </c>
      <c r="I24" s="6" t="n">
        <f aca="false">IF((G24&lt;&gt;0),G24-H24," ")</f>
        <v>250</v>
      </c>
      <c r="J24" s="5"/>
      <c r="M24" s="7" t="n">
        <f aca="false">IF(G24&lt;&gt;0,G24-L24," ")</f>
        <v>300</v>
      </c>
      <c r="N24" s="8" t="n">
        <f aca="false">IF((G24-L24)&lt;&gt;0,N$1-A24," ")</f>
        <v>-169</v>
      </c>
      <c r="O24" s="5"/>
      <c r="P24" s="19" t="n">
        <f aca="false">IF((F24="s"),I24," ")</f>
        <v>250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  <c r="AC24" s="19" t="str">
        <f aca="false">IF((F24="e"),I24," ")</f>
        <v> </v>
      </c>
      <c r="BZ24" s="2" t="s">
        <v>105</v>
      </c>
    </row>
    <row r="25" customFormat="false" ht="12" hidden="false" customHeight="false" outlineLevel="0" collapsed="false">
      <c r="A25" s="27" t="n">
        <v>46464</v>
      </c>
      <c r="B25" s="2" t="s">
        <v>116</v>
      </c>
      <c r="E25" s="2" t="s">
        <v>89</v>
      </c>
      <c r="F25" s="2" t="s">
        <v>24</v>
      </c>
      <c r="G25" s="29" t="n">
        <v>96</v>
      </c>
      <c r="H25" s="6" t="n">
        <f aca="false">IF(G25&lt;&gt;0,G25*H$2/(100+H$2)," ")</f>
        <v>16</v>
      </c>
      <c r="I25" s="6" t="n">
        <f aca="false">IF((G25&lt;&gt;0),G25-H25," ")</f>
        <v>80</v>
      </c>
      <c r="J25" s="5"/>
      <c r="M25" s="7" t="n">
        <f aca="false">IF(G25&lt;&gt;0,G25-L25," ")</f>
        <v>96</v>
      </c>
      <c r="N25" s="8" t="n">
        <f aca="false">IF((G25-L25)&lt;&gt;0,N$1-A25," ")</f>
        <v>-169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n">
        <f aca="false">IF((F25="v"),I25," ")</f>
        <v>80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  <c r="AC25" s="19" t="str">
        <f aca="false">IF((F25="e"),I25," ")</f>
        <v> </v>
      </c>
      <c r="BZ25" s="2" t="s">
        <v>90</v>
      </c>
    </row>
    <row r="26" customFormat="false" ht="12" hidden="false" customHeight="false" outlineLevel="0" collapsed="false">
      <c r="A26" s="27" t="n">
        <v>46466</v>
      </c>
      <c r="B26" s="2" t="s">
        <v>117</v>
      </c>
      <c r="E26" s="2" t="s">
        <v>118</v>
      </c>
      <c r="F26" s="2" t="s">
        <v>65</v>
      </c>
      <c r="G26" s="29" t="n">
        <v>60</v>
      </c>
      <c r="H26" s="6" t="n">
        <f aca="false">IF(G26&lt;&gt;0,G26*H$2/(100+H$2)," ")</f>
        <v>10</v>
      </c>
      <c r="I26" s="6" t="n">
        <f aca="false">IF((G26&lt;&gt;0),G26-H26," ")</f>
        <v>50</v>
      </c>
      <c r="J26" s="5"/>
      <c r="M26" s="7" t="n">
        <f aca="false">IF(G26&lt;&gt;0,G26-L26," ")</f>
        <v>60</v>
      </c>
      <c r="N26" s="8" t="n">
        <f aca="false">IF((G26-L26)&lt;&gt;0,N$1-A26," ")</f>
        <v>-171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n">
        <f aca="false">IF((F26="g"),I26," ")</f>
        <v>50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  <c r="AC26" s="19" t="str">
        <f aca="false">IF((F26="e"),I26," ")</f>
        <v> </v>
      </c>
      <c r="BZ26" s="2" t="s">
        <v>66</v>
      </c>
    </row>
    <row r="27" customFormat="false" ht="12" hidden="false" customHeight="false" outlineLevel="0" collapsed="false">
      <c r="A27" s="27" t="n">
        <v>46467</v>
      </c>
      <c r="B27" s="2" t="s">
        <v>123</v>
      </c>
      <c r="E27" s="2" t="s">
        <v>124</v>
      </c>
      <c r="F27" s="2" t="s">
        <v>95</v>
      </c>
      <c r="G27" s="29" t="n">
        <v>8</v>
      </c>
      <c r="H27" s="6" t="n">
        <f aca="false">IF(G27&lt;&gt;0,G27*H$2/(100+H$2)," ")</f>
        <v>1.33333333333333</v>
      </c>
      <c r="I27" s="6" t="n">
        <f aca="false">IF((G27&lt;&gt;0),G27-H27," ")</f>
        <v>6.66666666666667</v>
      </c>
      <c r="J27" s="5"/>
      <c r="M27" s="7" t="n">
        <f aca="false">IF(G27&lt;&gt;0,G27-L27," ")</f>
        <v>8</v>
      </c>
      <c r="N27" s="8" t="n">
        <f aca="false">IF((G27-L27)&lt;&gt;0,N$1-A27," ")</f>
        <v>-172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n">
        <f aca="false">IF((F27="h"),I27," ")</f>
        <v>6.66666666666667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  <c r="AC27" s="19" t="str">
        <f aca="false">IF((F27="e"),I27," ")</f>
        <v> </v>
      </c>
      <c r="BZ27" s="2" t="s">
        <v>96</v>
      </c>
    </row>
    <row r="28" customFormat="false" ht="12" hidden="false" customHeight="false" outlineLevel="0" collapsed="false">
      <c r="A28" s="27" t="n">
        <v>46468</v>
      </c>
      <c r="B28" s="2" t="s">
        <v>125</v>
      </c>
      <c r="E28" s="2" t="s">
        <v>126</v>
      </c>
      <c r="F28" s="2" t="s">
        <v>75</v>
      </c>
      <c r="G28" s="29" t="n">
        <v>18</v>
      </c>
      <c r="H28" s="6" t="n">
        <f aca="false">IF(G28&lt;&gt;0,G28*H$2/(100+H$2)," ")</f>
        <v>3</v>
      </c>
      <c r="I28" s="6" t="n">
        <f aca="false">IF((G28&lt;&gt;0),G28-H28," ")</f>
        <v>15</v>
      </c>
      <c r="J28" s="5"/>
      <c r="M28" s="7" t="n">
        <f aca="false">IF(G28&lt;&gt;0,G28-L28," ")</f>
        <v>18</v>
      </c>
      <c r="N28" s="8" t="n">
        <f aca="false">IF((G28-L28)&lt;&gt;0,N$1-A28," ")</f>
        <v>-173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n">
        <f aca="false">IF((F28="y"),I28," ")</f>
        <v>15</v>
      </c>
      <c r="AB28" s="19" t="str">
        <f aca="false">IF((F28="fa"),I28," ")</f>
        <v> </v>
      </c>
      <c r="AC28" s="19" t="str">
        <f aca="false">IF((F28="e"),I28," ")</f>
        <v> </v>
      </c>
      <c r="BZ28" s="2" t="s">
        <v>85</v>
      </c>
    </row>
    <row r="29" customFormat="false" ht="12" hidden="false" customHeight="false" outlineLevel="0" collapsed="false">
      <c r="A29" s="27" t="n">
        <v>46468</v>
      </c>
      <c r="B29" s="2" t="s">
        <v>158</v>
      </c>
      <c r="E29" s="2" t="s">
        <v>159</v>
      </c>
      <c r="F29" s="2" t="s">
        <v>24</v>
      </c>
      <c r="G29" s="29" t="n">
        <v>60</v>
      </c>
      <c r="H29" s="6" t="n">
        <f aca="false">IF(G29&lt;&gt;0,G29*H$2/(100+H$2)," ")</f>
        <v>10</v>
      </c>
      <c r="I29" s="6" t="n">
        <f aca="false">IF((G29&lt;&gt;0),G29-H29," ")</f>
        <v>50</v>
      </c>
      <c r="J29" s="5"/>
      <c r="M29" s="7" t="n">
        <f aca="false">IF(G29&lt;&gt;0,G29-L29," ")</f>
        <v>60</v>
      </c>
      <c r="N29" s="8" t="n">
        <f aca="false">IF((G29-L29)&lt;&gt;0,N$1-A29," ")</f>
        <v>-173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n">
        <f aca="false">IF((F29="v"),I29," ")</f>
        <v>50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  <c r="AC29" s="19" t="str">
        <f aca="false">IF((F29="e"),I29," ")</f>
        <v> </v>
      </c>
      <c r="BZ29" s="2" t="s">
        <v>90</v>
      </c>
    </row>
    <row r="30" customFormat="false" ht="12" hidden="false" customHeight="false" outlineLevel="0" collapsed="false">
      <c r="A30" s="27" t="n">
        <v>46471</v>
      </c>
      <c r="B30" s="2" t="s">
        <v>172</v>
      </c>
      <c r="E30" s="2" t="s">
        <v>173</v>
      </c>
      <c r="F30" s="2" t="s">
        <v>61</v>
      </c>
      <c r="G30" s="29" t="n">
        <v>360</v>
      </c>
      <c r="H30" s="6" t="n">
        <f aca="false">IF(G30&lt;&gt;0,G30*H$2/(100+H$2)," ")</f>
        <v>60</v>
      </c>
      <c r="I30" s="6" t="n">
        <f aca="false">IF((G30&lt;&gt;0),G30-H30," ")</f>
        <v>300</v>
      </c>
      <c r="J30" s="5"/>
      <c r="M30" s="7" t="n">
        <f aca="false">IF(G30&lt;&gt;0,G30-L30," ")</f>
        <v>360</v>
      </c>
      <c r="N30" s="8" t="n">
        <f aca="false">IF((G30-L30)&lt;&gt;0,N$1-A30," ")</f>
        <v>-176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n">
        <f aca="false">IF((F30="p"),I30," ")</f>
        <v>300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  <c r="AC30" s="19" t="str">
        <f aca="false">IF((F30="e"),I30," ")</f>
        <v> </v>
      </c>
      <c r="BZ30" s="2" t="s">
        <v>174</v>
      </c>
    </row>
    <row r="31" customFormat="false" ht="12" hidden="false" customHeight="false" outlineLevel="0" collapsed="false">
      <c r="A31" s="27" t="n">
        <v>46471</v>
      </c>
      <c r="B31" s="2" t="s">
        <v>127</v>
      </c>
      <c r="E31" s="2" t="s">
        <v>128</v>
      </c>
      <c r="F31" s="2" t="s">
        <v>75</v>
      </c>
      <c r="G31" s="29" t="n">
        <v>15</v>
      </c>
      <c r="H31" s="6" t="n">
        <f aca="false">IF(G31&lt;&gt;0,G31*H$2/(100+H$2)," ")</f>
        <v>2.5</v>
      </c>
      <c r="I31" s="6" t="n">
        <f aca="false">IF((G31&lt;&gt;0),G31-H31," ")</f>
        <v>12.5</v>
      </c>
      <c r="J31" s="5"/>
      <c r="M31" s="7" t="n">
        <f aca="false">IF(G31&lt;&gt;0,G31-L31," ")</f>
        <v>15</v>
      </c>
      <c r="N31" s="8" t="n">
        <f aca="false">IF((G31-L31)&lt;&gt;0,N$1-A31," ")</f>
        <v>-176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n">
        <f aca="false">IF((F31="y"),I31," ")</f>
        <v>12.5</v>
      </c>
      <c r="AB31" s="19" t="str">
        <f aca="false">IF((F31="fa"),I31," ")</f>
        <v> </v>
      </c>
      <c r="AC31" s="19" t="str">
        <f aca="false">IF((F31="e"),I31," ")</f>
        <v> </v>
      </c>
      <c r="BZ31" s="2" t="s">
        <v>85</v>
      </c>
    </row>
    <row r="32" customFormat="false" ht="12" hidden="false" customHeight="false" outlineLevel="0" collapsed="false">
      <c r="A32" s="27" t="n">
        <v>46471</v>
      </c>
      <c r="B32" s="2" t="s">
        <v>129</v>
      </c>
      <c r="D32" s="4" t="n">
        <v>130</v>
      </c>
      <c r="E32" s="2" t="s">
        <v>228</v>
      </c>
      <c r="F32" s="2" t="s">
        <v>24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  <c r="AC32" s="19" t="str">
        <f aca="false">IF((F32="e"),I32," ")</f>
        <v> </v>
      </c>
      <c r="BZ32" s="2" t="s">
        <v>90</v>
      </c>
    </row>
    <row r="33" customFormat="false" ht="12" hidden="false" customHeight="false" outlineLevel="0" collapsed="false">
      <c r="A33" s="27" t="n">
        <v>46474</v>
      </c>
      <c r="B33" s="2" t="s">
        <v>19</v>
      </c>
      <c r="E33" s="2" t="s">
        <v>131</v>
      </c>
      <c r="F33" s="2" t="s">
        <v>24</v>
      </c>
      <c r="G33" s="29" t="n">
        <v>120</v>
      </c>
      <c r="H33" s="6" t="n">
        <f aca="false">IF(G33&lt;&gt;0,G33*H$2/(100+H$2)," ")</f>
        <v>20</v>
      </c>
      <c r="I33" s="6" t="n">
        <f aca="false">IF((G33&lt;&gt;0),G33-H33," ")</f>
        <v>100</v>
      </c>
      <c r="J33" s="5"/>
      <c r="M33" s="7" t="n">
        <f aca="false">IF(G33&lt;&gt;0,G33-L33," ")</f>
        <v>120</v>
      </c>
      <c r="N33" s="8" t="n">
        <f aca="false">IF((G33-L33)&lt;&gt;0,N$1-A33," ")</f>
        <v>-179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n">
        <f aca="false">IF((F33="v"),I33," ")</f>
        <v>100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  <c r="AC33" s="19" t="str">
        <f aca="false">IF((F33="e"),I33," ")</f>
        <v> </v>
      </c>
      <c r="BZ33" s="2" t="s">
        <v>90</v>
      </c>
    </row>
    <row r="34" customFormat="false" ht="12" hidden="false" customHeight="false" outlineLevel="0" collapsed="false">
      <c r="A34" s="27" t="n">
        <v>46477</v>
      </c>
      <c r="B34" s="2" t="s">
        <v>15</v>
      </c>
      <c r="E34" s="2" t="s">
        <v>132</v>
      </c>
      <c r="F34" s="2" t="s">
        <v>133</v>
      </c>
      <c r="G34" s="29" t="n">
        <v>300</v>
      </c>
      <c r="H34" s="6" t="n">
        <f aca="false">IF(G34&lt;&gt;0,G34*H$2/(100+H$2)," ")</f>
        <v>50</v>
      </c>
      <c r="I34" s="6" t="n">
        <f aca="false">IF((G34&lt;&gt;0),G34-H34," ")</f>
        <v>250</v>
      </c>
      <c r="J34" s="5"/>
      <c r="M34" s="7" t="n">
        <f aca="false">IF(G34&lt;&gt;0,G34-L34," ")</f>
        <v>300</v>
      </c>
      <c r="N34" s="8" t="n">
        <f aca="false">IF((G34-L34)&lt;&gt;0,N$1-A34," ")</f>
        <v>-182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n">
        <f aca="false">IF((F34="l"),I34," ")</f>
        <v>250</v>
      </c>
      <c r="AA34" s="19" t="str">
        <f aca="false">IF((F34="y"),I34," ")</f>
        <v> </v>
      </c>
      <c r="AB34" s="19" t="str">
        <f aca="false">IF((F34="fa"),I34," ")</f>
        <v> </v>
      </c>
      <c r="AC34" s="19" t="str">
        <f aca="false">IF((F34="e"),I34," ")</f>
        <v> </v>
      </c>
      <c r="BZ34" s="2" t="s">
        <v>134</v>
      </c>
    </row>
    <row r="35" customFormat="false" ht="12" hidden="false" customHeight="false" outlineLevel="0" collapsed="false">
      <c r="A35" s="27" t="n">
        <v>46477</v>
      </c>
      <c r="B35" s="2" t="s">
        <v>176</v>
      </c>
      <c r="C35" s="3" t="s">
        <v>236</v>
      </c>
      <c r="E35" s="2" t="s">
        <v>178</v>
      </c>
      <c r="F35" s="2" t="s">
        <v>133</v>
      </c>
      <c r="G35" s="29" t="n">
        <v>125</v>
      </c>
      <c r="H35" s="6" t="n">
        <f aca="false">IF(G35&lt;&gt;0,G35*H$2/(100+H$2)," ")</f>
        <v>20.8333333333333</v>
      </c>
      <c r="I35" s="6" t="n">
        <f aca="false">IF((G35&lt;&gt;0),G35-H35," ")</f>
        <v>104.166666666667</v>
      </c>
      <c r="J35" s="5"/>
      <c r="M35" s="7" t="n">
        <f aca="false">IF(G35&lt;&gt;0,G35-L35," ")</f>
        <v>125</v>
      </c>
      <c r="N35" s="8" t="n">
        <f aca="false">IF((G35-L35)&lt;&gt;0,N$1-A35," ")</f>
        <v>-182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n">
        <f aca="false">IF((F35="l"),I35," ")</f>
        <v>104.166666666667</v>
      </c>
      <c r="AA35" s="19" t="str">
        <f aca="false">IF((F35="y"),I35," ")</f>
        <v> </v>
      </c>
      <c r="AB35" s="19" t="str">
        <f aca="false">IF((F35="fa"),I35," ")</f>
        <v> </v>
      </c>
      <c r="AC35" s="19" t="str">
        <f aca="false">IF((F35="e"),I35," ")</f>
        <v> </v>
      </c>
      <c r="BZ35" s="2" t="s">
        <v>179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  <c r="AC36" s="19" t="str">
        <f aca="false">IF((F36="e"),I36,"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  <c r="AC37" s="19" t="str">
        <f aca="false">IF((F37="e"),I37,"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  <c r="AC38" s="19" t="str">
        <f aca="false">IF((F38="e"),I38,"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  <c r="AC39" s="19" t="str">
        <f aca="false">IF((F39="e"),I39,"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  <c r="AC40" s="19" t="str">
        <f aca="false">IF((F40="e"),I40,"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  <c r="AC41" s="19" t="str">
        <f aca="false">IF((F41="e"),I41,"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  <c r="AC42" s="19" t="str">
        <f aca="false">IF((F42="e"),I42,"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  <c r="AC43" s="19" t="str">
        <f aca="false">IF((F43="e"),I43,"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  <c r="AC44" s="19" t="str">
        <f aca="false">IF((F44="e"),I44,"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  <c r="AC45" s="19" t="str">
        <f aca="false">IF((F45="e"),I45,"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  <c r="AC46" s="19" t="str">
        <f aca="false">IF((F46="e"),I46,"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  <c r="AC47" s="19" t="str">
        <f aca="false">IF((F47="e"),I47,"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  <c r="AC48" s="19" t="str">
        <f aca="false">IF((F48="e"),I48,"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  <c r="AC49" s="19" t="str">
        <f aca="false">IF((F49="e"),I49,"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  <c r="AC50" s="19" t="str">
        <f aca="false">IF((F50="e"),I50,"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  <c r="AC51" s="19" t="str">
        <f aca="false">IF((F51="e"),I51,"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  <c r="AC52" s="19" t="str">
        <f aca="false">IF((F52="e"),I52,"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  <c r="AC53" s="19" t="str">
        <f aca="false">IF((F53="e"),I53,"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  <c r="AC54" s="19" t="str">
        <f aca="false">IF((F54="e"),I54,"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  <c r="AC55" s="19" t="str">
        <f aca="false">IF((F55="e"),I55,"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  <c r="AC56" s="19" t="str">
        <f aca="false">IF((F56="e"),I56,"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  <c r="AC57" s="19" t="str">
        <f aca="false">IF((F57="e"),I57,"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  <c r="AC58" s="19" t="str">
        <f aca="false">IF((F58="e"),I58,"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  <c r="AC59" s="19" t="str">
        <f aca="false">IF((F59="e"),I59,"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  <c r="AC60" s="19" t="str">
        <f aca="false">IF((F60="e"),I60,"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  <c r="AC61" s="19" t="str">
        <f aca="false">IF((F61="e"),I61,"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  <c r="AC62" s="19" t="str">
        <f aca="false">IF((F62="e"),I62,"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  <c r="AC63" s="19" t="str">
        <f aca="false">IF((F63="e"),I63,"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  <c r="AC64" s="19" t="str">
        <f aca="false">IF((F64="e"),I64,"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  <c r="AC65" s="19" t="str">
        <f aca="false">IF((F65="e"),I65,"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  <c r="AC66" s="19" t="str">
        <f aca="false">IF((F66="e"),I66,"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  <c r="AC67" s="19" t="str">
        <f aca="false">IF((F67="e"),I67,"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  <c r="AC68" s="19" t="str">
        <f aca="false">IF((F68="e"),I68,"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  <c r="AC69" s="19" t="str">
        <f aca="false">IF((F69="e"),I69,"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  <c r="AC70" s="19" t="str">
        <f aca="false">IF((F70="e"),I70,"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  <c r="AC71" s="19" t="str">
        <f aca="false">IF((F71="e"),I71,"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  <c r="AC72" s="19" t="str">
        <f aca="false">IF((F72="e"),I72,"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  <c r="AC73" s="19" t="str">
        <f aca="false">IF((F73="e"),I73,"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  <c r="AC74" s="19" t="str">
        <f aca="false">IF((F74="e"),I74,"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  <c r="AC75" s="19" t="str">
        <f aca="false">IF((F75="e"),I75,"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  <c r="AC76" s="19" t="str">
        <f aca="false">IF((F76="e"),I76,"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  <c r="AC77" s="19" t="str">
        <f aca="false">IF((F77="e"),I77,"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  <c r="AC78" s="19" t="str">
        <f aca="false">IF((F78="e"),I78,"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  <c r="AC79" s="19" t="str">
        <f aca="false">IF((F79="e"),I79,"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  <c r="AC80" s="19" t="str">
        <f aca="false">IF((F80="e"),I80,"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  <c r="AC81" s="19" t="str">
        <f aca="false">IF((F81="e"),I81,"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  <c r="AC82" s="19" t="str">
        <f aca="false">IF((F82="e"),I82,"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  <c r="AC83" s="19" t="str">
        <f aca="false">IF((F83="e"),I83,"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  <c r="AC84" s="19" t="str">
        <f aca="false">IF((F84="e"),I84,"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  <c r="AC85" s="19" t="str">
        <f aca="false">IF((F85="e"),I85,"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  <c r="AC86" s="19" t="str">
        <f aca="false">IF((F86="e"),I86,"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  <c r="AC87" s="19" t="str">
        <f aca="false">IF((F87="e"),I87,"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  <c r="AC88" s="19" t="str">
        <f aca="false">IF((F88="e"),I88,"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  <c r="AC89" s="19" t="str">
        <f aca="false">IF((F89="e"),I89,"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  <c r="AC90" s="19" t="str">
        <f aca="false">IF((F90="e"),I90,"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  <c r="AC91" s="19" t="str">
        <f aca="false">IF((F91="e"),I91,"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  <c r="AC92" s="19" t="str">
        <f aca="false">IF((F92="e"),I92,"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  <c r="AC93" s="19" t="str">
        <f aca="false">IF((F93="e"),I93,"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  <c r="AC94" s="19" t="str">
        <f aca="false">IF((F94="e"),I94,"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  <c r="AC95" s="19" t="str">
        <f aca="false">IF((F95="e"),I95,"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  <c r="AC96" s="19" t="str">
        <f aca="false">IF((F96="e"),I96,"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  <c r="AC97" s="19" t="str">
        <f aca="false">IF((F97="e"),I97,"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  <c r="AC98" s="19" t="str">
        <f aca="false">IF((F98="e"),I98,"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  <c r="AC99" s="19" t="str">
        <f aca="false">IF((F99="e"),I99,"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  <c r="AC100" s="19" t="str">
        <f aca="false">IF((F100="e"),I100,"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  <c r="AC101" s="19" t="str">
        <f aca="false">IF((F101="e"),I101,"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  <c r="AC102" s="19" t="str">
        <f aca="false">IF((F102="e"),I102,"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  <c r="AC103" s="19" t="str">
        <f aca="false">IF((F103="e"),I103,"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  <c r="AC104" s="19" t="str">
        <f aca="false">IF((F104="e"),I104,"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  <c r="AC105" s="19" t="str">
        <f aca="false">IF((F105="e"),I105,"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  <c r="AC106" s="19" t="str">
        <f aca="false">IF((F106="e"),I106,"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  <c r="AC107" s="19" t="str">
        <f aca="false">IF((F107="e"),I107,"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  <c r="AC108" s="19" t="str">
        <f aca="false">IF((F108="e"),I108,"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  <c r="AC109" s="19" t="str">
        <f aca="false">IF((F109="e"),I109,"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  <c r="AC110" s="19" t="str">
        <f aca="false">IF((F110="e"),I110,"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  <c r="AC111" s="19" t="str">
        <f aca="false">IF((F111="e"),I111,"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  <c r="AC112" s="19" t="str">
        <f aca="false">IF((F112="e"),I112,"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  <c r="AC113" s="19" t="str">
        <f aca="false">IF((F113="e"),I113,"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  <c r="AC114" s="19" t="str">
        <f aca="false">IF((F114="e"),I114,"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  <c r="AC115" s="19" t="str">
        <f aca="false">IF((F115="e"),I115,"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  <c r="AC116" s="19" t="str">
        <f aca="false">IF((F116="e"),I116,"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  <c r="AC117" s="19" t="str">
        <f aca="false">IF((F117="e"),I117,"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  <c r="AC118" s="19" t="str">
        <f aca="false">IF((F118="e"),I118,"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  <c r="AC119" s="19" t="str">
        <f aca="false">IF((F119="e"),I119,"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  <c r="AC120" s="19" t="str">
        <f aca="false">IF((F120="e"),I120,"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  <c r="AC121" s="19" t="str">
        <f aca="false">IF((F121="e"),I121,"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  <c r="AC122" s="19" t="str">
        <f aca="false">IF((F122="e"),I122,"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  <c r="AC123" s="19" t="str">
        <f aca="false">IF((F123="e"),I123,"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  <c r="AC124" s="19" t="str">
        <f aca="false">IF((F124="e"),I124,"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  <c r="AC125" s="19" t="str">
        <f aca="false">IF((F125="e"),I125,"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  <c r="AC126" s="19" t="str">
        <f aca="false">IF((F126="e"),I126,"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  <c r="AC127" s="19" t="str">
        <f aca="false">IF((F127="e"),I127,"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  <c r="AC128" s="19" t="str">
        <f aca="false">IF((F128="e"),I128,"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  <c r="AC129" s="19" t="str">
        <f aca="false">IF((F129="e"),I129,"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  <c r="AC130" s="19" t="str">
        <f aca="false">IF((F130="e"),I130,"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  <c r="AC131" s="19" t="str">
        <f aca="false">IF((F131="e"),I131,"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  <c r="AC132" s="19" t="str">
        <f aca="false">IF((F132="e"),I132,"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  <c r="AC133" s="19" t="str">
        <f aca="false">IF((F133="e"),I133,"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  <c r="AC134" s="19" t="str">
        <f aca="false">IF((F134="e"),I134,"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  <c r="AC135" s="19" t="str">
        <f aca="false">IF((F135="e"),I135,"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  <c r="AC136" s="19" t="str">
        <f aca="false">IF((F136="e"),I136,"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  <c r="AC137" s="19" t="str">
        <f aca="false">IF((F137="e"),I137,"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  <c r="AC138" s="19" t="str">
        <f aca="false">IF((F138="e"),I138,"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  <c r="AC139" s="19" t="str">
        <f aca="false">IF((F139="e"),I139,"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  <c r="AC140" s="19" t="str">
        <f aca="false">IF((F140="e"),I140,"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  <c r="AC141" s="19" t="str">
        <f aca="false">IF((F141="e"),I141,"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  <c r="AC142" s="19" t="str">
        <f aca="false">IF((F142="e"),I142,"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  <c r="AC143" s="19" t="str">
        <f aca="false">IF((F143="e"),I143,"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  <c r="AC144" s="19" t="str">
        <f aca="false">IF((F144="e"),I144,"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  <c r="AC145" s="19" t="str">
        <f aca="false">IF((F145="e"),I145,"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  <c r="AC146" s="19" t="str">
        <f aca="false">IF((F146="e"),I146,"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  <c r="AC147" s="19" t="str">
        <f aca="false">IF((F147="e"),I147,"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  <c r="AC148" s="19" t="str">
        <f aca="false">IF((F148="e"),I148,"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  <c r="AC149" s="19" t="str">
        <f aca="false">IF((F149="e"),I149,"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  <c r="AC150" s="19" t="str">
        <f aca="false">IF((F150="e"),I150,"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  <c r="AC151" s="19" t="str">
        <f aca="false">IF((F151="e"),I151,"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  <c r="AC152" s="19" t="str">
        <f aca="false">IF((F152="e"),I152,"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  <c r="AC153" s="19" t="str">
        <f aca="false">IF((F153="e"),I153,"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  <c r="AC154" s="19" t="str">
        <f aca="false">IF((F154="e"),I154,"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  <c r="AC155" s="19" t="str">
        <f aca="false">IF((F155="e"),I155,"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  <c r="AC156" s="19" t="str">
        <f aca="false">IF((F156="e"),I156,"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  <c r="AC157" s="19" t="str">
        <f aca="false">IF((F157="e"),I157,"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  <c r="AC158" s="19" t="str">
        <f aca="false">IF((F158="e"),I158,"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  <c r="AC159" s="19" t="str">
        <f aca="false">IF((F159="e"),I159,"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  <c r="AC160" s="19" t="str">
        <f aca="false">IF((F160="e"),I160,"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  <c r="AC161" s="19" t="str">
        <f aca="false">IF((F161="e"),I161,"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  <c r="AC162" s="19" t="str">
        <f aca="false">IF((F162="e"),I162,"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  <c r="AC163" s="19" t="str">
        <f aca="false">IF((F163="e"),I163,"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  <c r="AC164" s="19" t="str">
        <f aca="false">IF((F164="e"),I164,"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  <c r="AC165" s="19" t="str">
        <f aca="false">IF((F165="e"),I165,"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  <c r="AC166" s="19" t="str">
        <f aca="false">IF((F166="e"),I166,"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  <c r="AC167" s="19" t="str">
        <f aca="false">IF((F167="e"),I167,"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  <c r="AC168" s="19" t="str">
        <f aca="false">IF((F168="e"),I168,"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  <c r="AC169" s="19" t="str">
        <f aca="false">IF((F169="e"),I169,"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  <c r="AC170" s="19" t="str">
        <f aca="false">IF((F170="e"),I170,"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  <c r="AC171" s="19" t="str">
        <f aca="false">IF((F171="e"),I171,"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  <c r="AC172" s="19" t="str">
        <f aca="false">IF((F172="e"),I172,"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  <c r="AC173" s="19" t="str">
        <f aca="false">IF((F173="e"),I173,"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  <c r="AC174" s="19" t="str">
        <f aca="false">IF((F174="e"),I174,"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  <c r="AC175" s="19" t="str">
        <f aca="false">IF((F175="e"),I175,"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  <c r="AC176" s="19" t="str">
        <f aca="false">IF((F176="e"),I176,"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  <c r="AC177" s="19" t="str">
        <f aca="false">IF((F177="e"),I177,"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  <c r="AC178" s="19" t="str">
        <f aca="false">IF((F178="e"),I178,"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  <c r="AC179" s="19" t="str">
        <f aca="false">IF((F179="e"),I179,"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  <c r="AC180" s="19" t="str">
        <f aca="false">IF((F180="e"),I180,"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  <c r="AC181" s="19" t="str">
        <f aca="false">IF((F181="e"),I181,"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  <c r="AC182" s="19" t="str">
        <f aca="false">IF((F182="e"),I182,"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  <c r="AC183" s="19" t="str">
        <f aca="false">IF((F183="e"),I183,"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  <c r="AC184" s="19" t="str">
        <f aca="false">IF((F184="e"),I184,"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  <c r="AC185" s="19" t="str">
        <f aca="false">IF((F185="e"),I185,"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  <c r="AC186" s="19" t="str">
        <f aca="false">IF((F186="e"),I186,"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  <c r="AC187" s="19" t="str">
        <f aca="false">IF((F187="e"),I187,"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  <c r="AC188" s="19" t="str">
        <f aca="false">IF((F188="e"),I188,"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  <c r="AC189" s="19" t="str">
        <f aca="false">IF((F189="e"),I189,"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  <c r="AC190" s="19" t="str">
        <f aca="false">IF((F190="e"),I190,"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  <c r="AC191" s="19" t="str">
        <f aca="false">IF((F191="e"),I191,"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  <c r="AC192" s="19" t="str">
        <f aca="false">IF((F192="e"),I192,"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  <c r="AC193" s="19" t="str">
        <f aca="false">IF((F193="e"),I193,"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  <c r="AC194" s="19" t="str">
        <f aca="false">IF((F194="e"),I194,"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  <c r="AC195" s="19" t="str">
        <f aca="false">IF((F195="e"),I195,"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  <c r="AC196" s="19" t="str">
        <f aca="false">IF((F196="e"),I196,"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  <c r="AC197" s="19" t="str">
        <f aca="false">IF((F197="e"),I197,"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  <c r="AC198" s="19" t="str">
        <f aca="false">IF((F198="e"),I198,"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  <c r="AC199" s="19" t="str">
        <f aca="false">IF((F199="e"),I199,"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  <c r="AC200" s="19" t="str">
        <f aca="false">IF((F200="e"),I200,"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  <c r="AC201" s="19" t="str">
        <f aca="false">IF((F201="e"),I201,"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  <c r="AC202" s="19" t="str">
        <f aca="false">IF((F202="e"),I202,"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  <c r="AC203" s="19" t="str">
        <f aca="false">IF((F203="e"),I203,"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  <c r="AC204" s="19" t="str">
        <f aca="false">IF((F204="e"),I204,"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  <c r="AC205" s="19" t="str">
        <f aca="false">IF((F205="e"),I205,"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  <c r="AC206" s="19" t="str">
        <f aca="false">IF((F206="e"),I206,"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  <c r="AC207" s="19" t="str">
        <f aca="false">IF((F207="e"),I207,"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  <c r="AC208" s="19" t="str">
        <f aca="false">IF((F208="e"),I208,"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  <c r="AC209" s="19" t="str">
        <f aca="false">IF((F209="e"),I209,"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  <c r="AC210" s="19" t="str">
        <f aca="false">IF((F210="e"),I210,"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  <c r="AC211" s="19" t="str">
        <f aca="false">IF((F211="e"),I211,"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  <c r="AC212" s="19" t="str">
        <f aca="false">IF((F212="e"),I212,"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  <c r="AC213" s="19" t="str">
        <f aca="false">IF((F213="e"),I213,"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  <c r="AC214" s="19" t="str">
        <f aca="false">IF((F214="e"),I214,"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  <c r="AC215" s="19" t="str">
        <f aca="false">IF((F215="e"),I215,"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  <c r="AC216" s="19" t="str">
        <f aca="false">IF((F216="e"),I216,"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  <c r="AC217" s="19" t="str">
        <f aca="false">IF((F217="e"),I217,"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  <c r="AC218" s="19" t="str">
        <f aca="false">IF((F218="e"),I218,"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  <c r="AC219" s="19" t="str">
        <f aca="false">IF((F219="e"),I219,"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  <c r="AC220" s="19" t="str">
        <f aca="false">IF((F220="e"),I220,"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  <c r="AC221" s="19" t="str">
        <f aca="false">IF((F221="e"),I221,"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  <c r="AC222" s="19" t="str">
        <f aca="false">IF((F222="e"),I222,"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  <c r="AC223" s="19" t="str">
        <f aca="false">IF((F223="e"),I223,"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  <c r="AC224" s="19" t="str">
        <f aca="false">IF((F224="e"),I224,"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  <c r="AC225" s="19" t="str">
        <f aca="false">IF((F225="e"),I225,"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  <c r="AC226" s="19" t="str">
        <f aca="false">IF((F226="e"),I226,"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  <c r="AC227" s="19" t="str">
        <f aca="false">IF((F227="e"),I227,"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  <c r="AC228" s="19" t="str">
        <f aca="false">IF((F228="e"),I228,"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  <c r="AC229" s="19" t="str">
        <f aca="false">IF((F229="e"),I229,"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  <c r="AC230" s="19" t="str">
        <f aca="false">IF((F230="e"),I230,"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  <c r="AC231" s="19" t="str">
        <f aca="false">IF((F231="e"),I231,"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  <c r="AC232" s="19" t="str">
        <f aca="false">IF((F232="e"),I232,"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  <c r="AC233" s="19" t="str">
        <f aca="false">IF((F233="e"),I233,"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  <c r="AC234" s="19" t="str">
        <f aca="false">IF((F234="e"),I234,"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  <c r="AC235" s="19" t="str">
        <f aca="false">IF((F235="e"),I235,"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  <c r="AC236" s="19" t="str">
        <f aca="false">IF((F236="e"),I236,"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  <c r="AC237" s="19" t="str">
        <f aca="false">IF((F237="e"),I237,"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  <c r="AC238" s="19" t="str">
        <f aca="false">IF((F238="e"),I238,"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  <c r="AC239" s="19" t="str">
        <f aca="false">IF((F239="e"),I239,"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  <c r="AC240" s="19" t="str">
        <f aca="false">IF((F240="e"),I240,"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  <c r="AC241" s="19" t="str">
        <f aca="false">IF((F241="e"),I241,"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  <c r="AC242" s="19" t="str">
        <f aca="false">IF((F242="e"),I242,"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  <c r="AC243" s="19" t="str">
        <f aca="false">IF((F243="e"),I243,"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  <c r="AC244" s="19" t="str">
        <f aca="false">IF((F244="e"),I244,"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  <c r="AC245" s="19" t="str">
        <f aca="false">IF((F245="e"),I245,"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  <c r="AC246" s="19" t="str">
        <f aca="false">IF((F246="e"),I246,"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  <c r="AC247" s="19" t="str">
        <f aca="false">IF((F247="e"),I247,"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  <c r="AC248" s="19" t="str">
        <f aca="false">IF((F248="e"),I248,"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  <c r="AC249" s="19" t="str">
        <f aca="false">IF((F249="e"),I249,"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  <c r="AC250" s="19" t="str">
        <f aca="false">IF((F250="e"),I250,"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  <c r="AC251" s="19" t="str">
        <f aca="false">IF((F251="e"),I251,"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  <c r="AC252" s="19" t="str">
        <f aca="false">IF((F252="e"),I252,"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  <c r="AC253" s="19" t="str">
        <f aca="false">IF((F253="e"),I253,"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  <c r="AC254" s="19" t="str">
        <f aca="false">IF((F254="e"),I254,"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  <c r="AC255" s="19" t="str">
        <f aca="false">IF((F255="e"),I255,"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  <c r="AC256" s="19" t="str">
        <f aca="false">IF((F256="e"),I256,"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  <c r="AC257" s="19" t="str">
        <f aca="false">IF((F257="e"),I257,"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  <c r="AC258" s="19" t="str">
        <f aca="false">IF((F258="e"),I258,"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  <c r="AC259" s="19" t="str">
        <f aca="false">IF((F259="e"),I259,"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  <c r="AC260" s="19" t="str">
        <f aca="false">IF((F260="e"),I260,"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  <c r="AC261" s="19" t="str">
        <f aca="false">IF((F261="e"),I261,"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  <c r="AC262" s="19" t="str">
        <f aca="false">IF((F262="e"),I262,"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  <c r="AC263" s="19" t="str">
        <f aca="false">IF((F263="e"),I263,"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  <c r="AC264" s="19" t="str">
        <f aca="false">IF((F264="e"),I264,"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  <c r="AC265" s="19" t="str">
        <f aca="false">IF((F265="e"),I265,"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  <c r="AC266" s="19" t="str">
        <f aca="false">IF((F266="e"),I266,"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  <c r="AC267" s="19" t="str">
        <f aca="false">IF((F267="e"),I267,"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  <c r="AC268" s="19" t="str">
        <f aca="false">IF((F268="e"),I268,"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  <c r="AC269" s="19" t="str">
        <f aca="false">IF((F269="e"),I269,"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  <c r="AC270" s="19" t="str">
        <f aca="false">IF((F270="e"),I270,"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  <c r="AC271" s="19" t="str">
        <f aca="false">IF((F271="e"),I271,"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  <c r="AC272" s="19" t="str">
        <f aca="false">IF((F272="e"),I272,"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  <c r="AC273" s="19" t="str">
        <f aca="false">IF((F273="e"),I273,"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  <c r="AC274" s="19" t="str">
        <f aca="false">IF((F274="e"),I274,"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  <c r="AC275" s="19" t="str">
        <f aca="false">IF((F275="e"),I275,"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  <c r="AC276" s="19" t="str">
        <f aca="false">IF((F276="e"),I276,"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  <c r="AC277" s="19" t="str">
        <f aca="false">IF((F277="e"),I277,"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  <c r="AC278" s="19" t="str">
        <f aca="false">IF((F278="e"),I278,"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  <c r="AC279" s="19" t="str">
        <f aca="false">IF((F279="e"),I279,"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  <c r="AC280" s="19" t="str">
        <f aca="false">IF((F280="e"),I280,"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  <c r="AC281" s="19" t="str">
        <f aca="false">IF((F281="e"),I281,"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  <c r="AC282" s="19" t="str">
        <f aca="false">IF((F282="e"),I282,"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  <c r="AC283" s="19" t="str">
        <f aca="false">IF((F283="e"),I283,"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  <c r="AC284" s="19" t="str">
        <f aca="false">IF((F284="e"),I284,"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  <c r="AC285" s="19" t="str">
        <f aca="false">IF((F285="e"),I285,"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  <c r="AC286" s="19" t="str">
        <f aca="false">IF((F286="e"),I286,"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  <c r="AC287" s="19" t="str">
        <f aca="false">IF((F287="e"),I287,"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  <c r="AC288" s="19" t="str">
        <f aca="false">IF((F288="e"),I288,"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  <c r="AC289" s="19" t="str">
        <f aca="false">IF((F289="e"),I289,"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  <c r="AC290" s="19" t="str">
        <f aca="false">IF((F290="e"),I290,"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  <c r="AC291" s="19" t="str">
        <f aca="false">IF((F291="e"),I291,"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  <c r="AC292" s="19" t="str">
        <f aca="false">IF((F292="e"),I292,"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  <c r="AC293" s="19" t="str">
        <f aca="false">IF((F293="e"),I293,"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  <c r="AC294" s="19" t="str">
        <f aca="false">IF((F294="e"),I294,"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  <c r="AC295" s="19" t="str">
        <f aca="false">IF((F295="e"),I295,"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  <c r="AC296" s="19" t="str">
        <f aca="false">IF((F296="e"),I296,"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  <c r="AC297" s="19" t="str">
        <f aca="false">IF((F297="e"),I297,"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  <c r="AC298" s="19" t="str">
        <f aca="false">IF((F298="e"),I298,"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  <c r="AC299" s="19" t="str">
        <f aca="false">IF((F299="e"),I299,"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 t="str">
        <f aca="false">IF((G300&lt;&gt;0),"Enter Letter"," ")</f>
        <v> </v>
      </c>
      <c r="G300" s="53"/>
      <c r="H300" s="35" t="str">
        <f aca="false">IF(G300&lt;&gt;0,G300*H$2/(100+H$2)," ")</f>
        <v> </v>
      </c>
      <c r="I300" s="35" t="str">
        <f aca="false">IF((G300&lt;&gt;0),G300-H300," ")</f>
        <v> </v>
      </c>
      <c r="J300" s="54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4"/>
      <c r="P300" s="55" t="str">
        <f aca="false">IF((F300="s"),I300," ")</f>
        <v> </v>
      </c>
      <c r="Q300" s="55" t="str">
        <f aca="false">IF((F300="c"),I300," ")</f>
        <v> </v>
      </c>
      <c r="R300" s="55" t="str">
        <f aca="false">IF((F300="o"),I300," ")</f>
        <v> </v>
      </c>
      <c r="S300" s="55" t="str">
        <f aca="false">IF((F300="w"),I300," ")</f>
        <v> </v>
      </c>
      <c r="T300" s="55" t="str">
        <f aca="false">IF((F300="p"),I300," ")</f>
        <v> </v>
      </c>
      <c r="U300" s="55" t="str">
        <f aca="false">IF((F300="m"),I300," ")</f>
        <v> </v>
      </c>
      <c r="V300" s="55" t="str">
        <f aca="false">IF((F300="g"),I300," ")</f>
        <v> </v>
      </c>
      <c r="W300" s="53" t="str">
        <f aca="false">IF((F300="v"),I300," ")</f>
        <v> </v>
      </c>
      <c r="X300" s="55" t="str">
        <f aca="false">IF((F300="h"),I300," ")</f>
        <v> </v>
      </c>
      <c r="Y300" s="55" t="str">
        <f aca="false">IF((F300="a"),I300," ")</f>
        <v> </v>
      </c>
      <c r="Z300" s="55" t="str">
        <f aca="false">IF((F300="l"),I300," ")</f>
        <v> </v>
      </c>
      <c r="AA300" s="55" t="str">
        <f aca="false">IF((F300="y"),I300," ")</f>
        <v> </v>
      </c>
      <c r="AB300" s="55" t="str">
        <f aca="false">IF((F300="fa"),I300," ")</f>
        <v> </v>
      </c>
      <c r="AC300" s="55" t="str">
        <f aca="false">IF((F300="e"),I300," ")</f>
        <v> </v>
      </c>
      <c r="AD300" s="55"/>
      <c r="AE300" s="55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customFormat="fals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1710</v>
      </c>
      <c r="H1" s="13" t="n">
        <f aca="false">SUM(H5:H300)</f>
        <v>285</v>
      </c>
      <c r="I1" s="13" t="n">
        <f aca="false">SUM(I5:I300)</f>
        <v>1425</v>
      </c>
      <c r="J1" s="15"/>
      <c r="K1" s="16" t="s">
        <v>4</v>
      </c>
      <c r="L1" s="17" t="n">
        <f aca="false">SUM(L5:L300)</f>
        <v>0</v>
      </c>
      <c r="M1" s="17" t="n">
        <f aca="false">SUM(M5:M300)</f>
        <v>1710</v>
      </c>
      <c r="N1" s="18" t="n">
        <f aca="true">TODAY()</f>
        <v>46295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Mar!H2</f>
        <v>20</v>
      </c>
      <c r="I2" s="10" t="s">
        <v>7</v>
      </c>
      <c r="J2" s="15"/>
      <c r="K2" s="16"/>
      <c r="L2" s="22" t="s">
        <v>8</v>
      </c>
      <c r="M2" s="22"/>
      <c r="N2" s="22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customFormat="fals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2" hidden="false" customHeight="false" outlineLevel="0" collapsed="false">
      <c r="A5" s="27"/>
      <c r="B5" s="5" t="s">
        <v>13</v>
      </c>
      <c r="C5" s="28" t="s">
        <v>237</v>
      </c>
      <c r="F5" s="2"/>
      <c r="G5" s="29" t="n">
        <v>1200</v>
      </c>
      <c r="H5" s="6" t="n">
        <f aca="false">IF(G5&lt;&gt;0,G5*H$2/(100+H$2)," ")</f>
        <v>200</v>
      </c>
      <c r="I5" s="6" t="n">
        <f aca="false">IF((G5&lt;&gt;0),G5-H5," ")</f>
        <v>1000</v>
      </c>
      <c r="J5" s="5"/>
      <c r="M5" s="7" t="n">
        <f aca="false">IF(G5&lt;&gt;0,G5-L5," ")</f>
        <v>1200</v>
      </c>
      <c r="N5" s="8" t="n">
        <f aca="false">IF((G5-L5)&lt;&gt;0,N$1-A5," ")</f>
        <v>46295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7"/>
      <c r="B6" s="2" t="s">
        <v>15</v>
      </c>
      <c r="C6" s="3" t="s">
        <v>238</v>
      </c>
      <c r="F6" s="2"/>
      <c r="G6" s="6" t="n">
        <v>300</v>
      </c>
      <c r="H6" s="6" t="n">
        <f aca="false">IF(G6&lt;&gt;0,G6*H$2/(100+H$2)," ")</f>
        <v>50</v>
      </c>
      <c r="I6" s="6" t="n">
        <f aca="false">IF((G6&lt;&gt;0),G6-H6," ")</f>
        <v>250</v>
      </c>
      <c r="M6" s="7" t="n">
        <f aca="false">IF(G6&lt;&gt;0,G6-L6," ")</f>
        <v>300</v>
      </c>
      <c r="N6" s="8" t="n">
        <f aca="false">IF((G6-L6)&lt;&gt;0,N$1-A6," ")</f>
        <v>46295</v>
      </c>
    </row>
    <row r="7" customFormat="false" ht="12" hidden="false" customHeight="false" outlineLevel="0" collapsed="false">
      <c r="A7" s="27"/>
      <c r="B7" s="2" t="s">
        <v>117</v>
      </c>
      <c r="C7" s="3" t="s">
        <v>239</v>
      </c>
      <c r="F7" s="2"/>
      <c r="G7" s="6" t="n">
        <v>60</v>
      </c>
      <c r="H7" s="6" t="n">
        <f aca="false">IF(G7&lt;&gt;0,G7*H$2/(100+H$2)," ")</f>
        <v>10</v>
      </c>
      <c r="I7" s="6" t="n">
        <f aca="false">IF((G7&lt;&gt;0),G7-H7," ")</f>
        <v>50</v>
      </c>
      <c r="M7" s="7" t="n">
        <f aca="false">IF(G7&lt;&gt;0,G7-L7," ")</f>
        <v>60</v>
      </c>
      <c r="N7" s="8" t="n">
        <f aca="false">IF((G7-L7)&lt;&gt;0,N$1-A7," ")</f>
        <v>46295</v>
      </c>
    </row>
    <row r="8" customFormat="false" ht="12" hidden="false" customHeight="false" outlineLevel="0" collapsed="false">
      <c r="A8" s="27"/>
      <c r="B8" s="2" t="s">
        <v>19</v>
      </c>
      <c r="C8" s="3" t="s">
        <v>240</v>
      </c>
      <c r="F8" s="2"/>
      <c r="G8" s="6" t="n">
        <v>150</v>
      </c>
      <c r="H8" s="6" t="n">
        <f aca="false">IF(G8&lt;&gt;0,G8*H$2/(100+H$2)," ")</f>
        <v>25</v>
      </c>
      <c r="I8" s="6" t="n">
        <f aca="false">IF((G8&lt;&gt;0),G8-H8," ")</f>
        <v>125</v>
      </c>
      <c r="M8" s="7" t="n">
        <f aca="false">IF(G8&lt;&gt;0,G8-L8," ")</f>
        <v>150</v>
      </c>
      <c r="N8" s="8" t="n">
        <f aca="false">IF((G8-L8)&lt;&gt;0,N$1-A8," ")</f>
        <v>46295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5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2007-03-02T12:17:48Z</cp:lastPrinted>
  <dcterms:modified xsi:type="dcterms:W3CDTF">2025-04-03T22:49:56Z</dcterms:modified>
  <cp:revision>0</cp:revision>
  <dc:subject/>
  <dc:title>Self employed purchases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