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<sst xmlns="http://schemas.openxmlformats.org/spreadsheetml/2006/main" count="2250" uniqueCount="241">
  <si>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</si>
  <si>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</si>
  <si>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</si>
  <si>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</si>
  <si>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</si>
  <si>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</si>
  <si>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</si>
  <si>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</si>
  <si>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</si>
  <si>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</si>
  <si>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</si>
  <si>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</si>
  <si>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</si>
  <si>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</si>
  <si>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</si>
  <si>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</si>
  <si>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</si>
  <si>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</si>
  <si>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</si>
  <si>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</si>
  <si>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</si>
  <si>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</si>
  <si>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</si>
  <si>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</si>
  <si>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</si>
  <si>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</si>
  <si>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</si>
  <si>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</si>
  <si>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</si>
  <si>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</si>
  <si>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</si>
  <si>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</si>
  <si>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</si>
  <si>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</si>
  <si>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Business Entertainment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</si>
  <si>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</si>
  <si>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</si>
  <si>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</si>
  <si>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</si>
  <si>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</si>
  <si>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</si>
  <si>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</si>
  <si>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</si>
  <si>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</si>
  <si>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</si>
  <si>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</si>
  <si>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</si>
  <si>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</si>
  <si>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</si>
  <si>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</si>
  <si>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</si>
  <si>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</si>
  <si>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</si>
  <si>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</si>
  <si>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</si>
  <si>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</si>
  <si>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</si>
  <si>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E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</si>
  <si>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</si>
  <si>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</si>
  <si>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</si>
  <si>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</si>
  <si>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</si>
  <si>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</si>
  <si>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</si>
  <si>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</si>
  <si>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</si>
  <si>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</si>
  <si>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</si>
  <si>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</si>
  <si>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</si>
  <si>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</si>
  <si>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</si>
  <si>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</si>
  <si>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</si>
  <si>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</si>
  <si>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</si>
  <si>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</si>
  <si>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</si>
  <si>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</si>
  <si>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</si>
  <si>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</si>
  <si>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</si>
  <si>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</si>
  <si>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</si>
  <si>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</si>
  <si>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</si>
  <si>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</si>
  <si>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</si>
  <si>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</si>
  <si>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</si>
  <si>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</si>
  <si>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</si>
  <si>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</si>
  <si>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</si>
  <si>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</si>
  <si>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</si>
  <si>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</si>
  <si>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</si>
  <si>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</si>
  <si>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</si>
  <si>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</si>
  <si>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</si>
  <si>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</si>
  <si>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</si>
  <si>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</si>
  <si>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</si>
  <si>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</si>
  <si>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</si>
  <si>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</si>
  <si>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</si>
  <si>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</si>
  <si>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</si>
  <si>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</si>
  <si>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</si>
  <si>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</si>
  <si>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</si>
  <si>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</si>
  <si>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</si>
  <si>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</si>
  <si>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</si>
  <si>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</si>
  <si>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</si>
  <si>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</si>
  <si>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</si>
  <si>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</si>
  <si>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</si>
  <si>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</si>
  <si>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</si>
  <si>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</si>
  <si>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</si>
  <si>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</si>
  <si>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</si>
  <si>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</si>
  <si>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</si>
  <si>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</si>
  <si>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</si>
  <si>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</si>
  <si>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</si>
  <si>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</si>
  <si>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</si>
  <si>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</si>
  <si>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</si>
  <si>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</si>
  <si>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</si>
  <si>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</si>
  <si>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</si>
  <si>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</si>
  <si>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</si>
  <si>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</si>
  <si>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</si>
  <si>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</si>
  <si>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</si>
  <si>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</si>
  <si>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</si>
  <si>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</si>
  <si>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</si>
  <si>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</si>
  <si>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</si>
  <si>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</si>
  <si>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</si>
  <si>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</si>
  <si>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</si>
  <si>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</si>
  <si>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</si>
  <si>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</si>
  <si>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</si>
  <si>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</si>
  <si>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</si>
  <si>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</si>
  <si>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</si>
  <si>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</si>
  <si>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</si>
  <si>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</si>
  <si>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</si>
  <si>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</si>
  <si>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</si>
  <si>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</si>
  <si>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</si>
  <si>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</si>
  <si>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</si>
  <si>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</si>
  <si>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</si>
  <si>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</si>
  <si>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</si>
  <si>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</si>
  <si>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</si>
  <si>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</si>
  <si>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</si>
  <si>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</si>
  <si>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</si>
  <si>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</si>
  <si>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</si>
  <si>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</si>
  <si>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</si>
  <si>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</si>
  <si>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</si>
  <si>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</si>
  <si>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</si>
  <si>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</si>
  <si>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</si>
  <si>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</si>
  <si>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The Ivy</t>
  </si>
  <si>
    <t xml:space="preserve">Client dinner, project kickoff</t>
  </si>
  <si>
    <t xml:space="preserve">e</t>
  </si>
  <si>
    <t xml:space="preserve">5502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</si>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</sst>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46279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14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46279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46279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46279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46279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46279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5" t="n">
        <v>46113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IF((G5-L5)&lt;&gt;0,N$1-A22," ")</f>
        <v>153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46113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46113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46113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46113</v>
      </c>
      <c r="B9" s="2" t="s">
        <v>73</v>
      </c>
      <c r="E9" s="2" t="s">
        <v>74</v>
      </c>
      <c r="F9" s="2" t="s">
        <v>75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166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46113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166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46113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166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46115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164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46115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164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46117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162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46117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162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46117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162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46120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159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46122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46122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157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46122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157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46124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155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46126</v>
      </c>
      <c r="B22" s="2" t="s">
        <v>108</v>
      </c>
      <c r="E22" s="2" t="s">
        <v>109</v>
      </c>
      <c r="F22" s="2" t="s">
        <v>75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153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85</v>
      </c>
    </row>
    <row r="23" customFormat="false" ht="12" hidden="false" customHeight="false" outlineLevel="0" collapsed="false">
      <c r="A23" s="27" t="n">
        <v>46126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153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46126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46127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152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46127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152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46130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149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46132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147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46132</v>
      </c>
      <c r="B29" s="2" t="s">
        <v>119</v>
      </c>
      <c r="E29" s="2" t="s">
        <v>120</v>
      </c>
      <c r="F29" s="2" t="s">
        <v>121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147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122</v>
      </c>
    </row>
    <row r="30" customFormat="false" ht="12" hidden="false" customHeight="false" outlineLevel="0" collapsed="false">
      <c r="A30" s="27" t="n">
        <v>46133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146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46134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145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46137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142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46137</v>
      </c>
      <c r="B33" s="2" t="s">
        <v>129</v>
      </c>
      <c r="D33" s="4" t="n">
        <v>85</v>
      </c>
      <c r="E33" s="2" t="s">
        <v>130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46140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139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46142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137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46279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46143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136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46143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46143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46143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46143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46143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46145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46145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46147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46147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46148</v>
      </c>
      <c r="B15" s="2" t="s">
        <v>135</v>
      </c>
      <c r="E15" s="2" t="s">
        <v>136</v>
      </c>
      <c r="F15" s="2" t="s">
        <v>95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131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46150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129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46150</v>
      </c>
      <c r="B17" s="2" t="s">
        <v>137</v>
      </c>
      <c r="E17" s="2" t="s">
        <v>138</v>
      </c>
      <c r="F17" s="2" t="s">
        <v>71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129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46152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46152</v>
      </c>
      <c r="B19" s="2" t="s">
        <v>140</v>
      </c>
      <c r="E19" s="2" t="s">
        <v>141</v>
      </c>
      <c r="F19" s="2" t="s">
        <v>142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127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143</v>
      </c>
    </row>
    <row r="20" customFormat="false" ht="12" hidden="false" customHeight="false" outlineLevel="0" collapsed="false">
      <c r="A20" s="27" t="n">
        <v>46154</v>
      </c>
      <c r="B20" s="2" t="s">
        <v>106</v>
      </c>
      <c r="E20" s="2" t="s">
        <v>107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125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90</v>
      </c>
    </row>
    <row r="21" customFormat="false" ht="12" hidden="false" customHeight="false" outlineLevel="0" collapsed="false">
      <c r="A21" s="27" t="n">
        <v>46156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123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46156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46157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122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46157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122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46157</v>
      </c>
      <c r="B25" s="2" t="s">
        <v>144</v>
      </c>
      <c r="E25" s="2" t="s">
        <v>145</v>
      </c>
      <c r="F25" s="2" t="s">
        <v>104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122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46157</v>
      </c>
      <c r="B26" s="2" t="s">
        <v>146</v>
      </c>
      <c r="C26" s="3" t="s">
        <v>147</v>
      </c>
      <c r="E26" s="2" t="s">
        <v>148</v>
      </c>
      <c r="F26" s="2" t="s">
        <v>149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122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AC26" s="19" t="str">
        <f aca="false">IF((F26="e"),I26," ")</f>
        <v> </v>
      </c>
      <c r="BZ26" s="2" t="s">
        <v>150</v>
      </c>
    </row>
    <row r="27" customFormat="false" ht="12" hidden="false" customHeight="false" outlineLevel="0" collapsed="false">
      <c r="A27" s="27" t="n">
        <v>46158</v>
      </c>
      <c r="B27" s="2" t="s">
        <v>151</v>
      </c>
      <c r="E27" s="2" t="s">
        <v>152</v>
      </c>
      <c r="F27" s="2" t="s">
        <v>65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121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46160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119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46162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46162</v>
      </c>
      <c r="B30" s="2" t="s">
        <v>153</v>
      </c>
      <c r="E30" s="2" t="s">
        <v>154</v>
      </c>
      <c r="F30" s="2" t="s">
        <v>65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117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155</v>
      </c>
    </row>
    <row r="31" customFormat="false" ht="12" hidden="false" customHeight="false" outlineLevel="0" collapsed="false">
      <c r="A31" s="27" t="n">
        <v>46162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117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46163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46164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115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46164</v>
      </c>
      <c r="B34" s="2" t="s">
        <v>158</v>
      </c>
      <c r="E34" s="2" t="s">
        <v>159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115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46167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112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46167</v>
      </c>
      <c r="B36" s="2" t="s">
        <v>129</v>
      </c>
      <c r="D36" s="4" t="n">
        <v>120</v>
      </c>
      <c r="E36" s="2" t="s">
        <v>160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46170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46173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106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46279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 t="n">
        <f aca="false">SUM(AC5:AC300)</f>
        <v>0</v>
      </c>
      <c r="AD1" s="13" t="n">
        <f aca="false">SUM(AD5:AD300)</f>
        <v>1000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46174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105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46174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105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46174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105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46174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105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46174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105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46174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105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46176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103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46176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103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46178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101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46178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101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46178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101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46181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98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46183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96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46183</v>
      </c>
      <c r="B18" s="2" t="s">
        <v>161</v>
      </c>
      <c r="E18" s="2" t="s">
        <v>162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96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46185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94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46187</v>
      </c>
      <c r="B20" s="2" t="s">
        <v>108</v>
      </c>
      <c r="E20" s="2" t="s">
        <v>109</v>
      </c>
      <c r="F20" s="2" t="s">
        <v>75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92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46187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92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46187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92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46188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91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46188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91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46188</v>
      </c>
      <c r="B25" s="2" t="s">
        <v>163</v>
      </c>
      <c r="C25" s="3" t="s">
        <v>164</v>
      </c>
      <c r="E25" s="2" t="s">
        <v>165</v>
      </c>
      <c r="F25" s="2" t="s">
        <v>166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91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AD25" s="19" t="n">
        <v>1000</v>
      </c>
      <c r="BZ25" s="2" t="s">
        <v>167</v>
      </c>
    </row>
    <row r="26" customFormat="false" ht="12" hidden="false" customHeight="false" outlineLevel="0" collapsed="false">
      <c r="A26" s="27" t="n">
        <v>46191</v>
      </c>
      <c r="B26" s="2" t="s">
        <v>168</v>
      </c>
      <c r="E26" s="2" t="s">
        <v>169</v>
      </c>
      <c r="F26" s="2" t="s">
        <v>95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88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96</v>
      </c>
    </row>
    <row r="27" customFormat="false" ht="12" hidden="false" customHeight="false" outlineLevel="0" collapsed="false">
      <c r="A27" s="27" t="n">
        <v>46191</v>
      </c>
      <c r="B27" s="2" t="s">
        <v>170</v>
      </c>
      <c r="E27" s="2" t="s">
        <v>171</v>
      </c>
      <c r="F27" s="2" t="s">
        <v>104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88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105</v>
      </c>
    </row>
    <row r="28" customFormat="false" ht="12" hidden="false" customHeight="false" outlineLevel="0" collapsed="false">
      <c r="A28" s="27" t="n">
        <v>46191</v>
      </c>
      <c r="B28" s="2" t="s">
        <v>116</v>
      </c>
      <c r="E28" s="2" t="s">
        <v>89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88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90</v>
      </c>
    </row>
    <row r="29" customFormat="false" ht="12" hidden="false" customHeight="false" outlineLevel="0" collapsed="false">
      <c r="A29" s="27" t="n">
        <v>46193</v>
      </c>
      <c r="B29" s="2" t="s">
        <v>117</v>
      </c>
      <c r="E29" s="2" t="s">
        <v>118</v>
      </c>
      <c r="F29" s="2" t="s">
        <v>65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86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66</v>
      </c>
    </row>
    <row r="30" customFormat="false" ht="12" hidden="false" customHeight="false" outlineLevel="0" collapsed="false">
      <c r="A30" s="27" t="n">
        <v>46194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85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46195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84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46198</v>
      </c>
      <c r="B32" s="2" t="s">
        <v>172</v>
      </c>
      <c r="E32" s="2" t="s">
        <v>173</v>
      </c>
      <c r="F32" s="2" t="s">
        <v>61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81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46198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81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46198</v>
      </c>
      <c r="B34" s="2" t="s">
        <v>129</v>
      </c>
      <c r="D34" s="4" t="n">
        <v>200</v>
      </c>
      <c r="E34" s="2" t="s">
        <v>175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46201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46203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76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46203</v>
      </c>
      <c r="B37" s="2" t="s">
        <v>176</v>
      </c>
      <c r="C37" s="3" t="s">
        <v>177</v>
      </c>
      <c r="E37" s="2" t="s">
        <v>178</v>
      </c>
      <c r="F37" s="2" t="s">
        <v>133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76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46174</v>
      </c>
      <c r="B38" s="2" t="s">
        <v>180</v>
      </c>
      <c r="C38" s="3" t="s">
        <v>181</v>
      </c>
      <c r="E38" s="2" t="s">
        <v>182</v>
      </c>
      <c r="F38" s="2" t="s">
        <v>149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105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46279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46204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75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46204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75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46204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75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46204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75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46204</v>
      </c>
      <c r="B9" s="2" t="s">
        <v>183</v>
      </c>
      <c r="E9" s="2" t="s">
        <v>184</v>
      </c>
      <c r="F9" s="2" t="s">
        <v>133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75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185</v>
      </c>
    </row>
    <row r="10" customFormat="false" ht="12" hidden="false" customHeight="false" outlineLevel="0" collapsed="false">
      <c r="A10" s="27" t="n">
        <v>46204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75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46204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75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46206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73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46206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73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46208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46208</v>
      </c>
      <c r="B15" s="2" t="s">
        <v>186</v>
      </c>
      <c r="E15" s="2" t="s">
        <v>187</v>
      </c>
      <c r="F15" s="2" t="s">
        <v>142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71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143</v>
      </c>
    </row>
    <row r="16" customFormat="false" ht="12" hidden="false" customHeight="false" outlineLevel="0" collapsed="false">
      <c r="A16" s="27" t="n">
        <v>46208</v>
      </c>
      <c r="B16" s="2" t="s">
        <v>88</v>
      </c>
      <c r="E16" s="2" t="s">
        <v>89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71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90</v>
      </c>
    </row>
    <row r="17" customFormat="false" ht="12" hidden="false" customHeight="false" outlineLevel="0" collapsed="false">
      <c r="A17" s="27" t="n">
        <v>46211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68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46213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66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46213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66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46213</v>
      </c>
      <c r="B20" s="2" t="s">
        <v>102</v>
      </c>
      <c r="E20" s="2" t="s">
        <v>103</v>
      </c>
      <c r="F20" s="2" t="s">
        <v>104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66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46215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64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46215</v>
      </c>
      <c r="B22" s="2" t="s">
        <v>188</v>
      </c>
      <c r="E22" s="2" t="s">
        <v>189</v>
      </c>
      <c r="F22" s="2" t="s">
        <v>71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64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139</v>
      </c>
    </row>
    <row r="23" customFormat="false" ht="12" hidden="false" customHeight="false" outlineLevel="0" collapsed="false">
      <c r="A23" s="27" t="n">
        <v>46217</v>
      </c>
      <c r="B23" s="2" t="s">
        <v>110</v>
      </c>
      <c r="E23" s="2" t="s">
        <v>111</v>
      </c>
      <c r="F23" s="2" t="s">
        <v>95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62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46217</v>
      </c>
      <c r="B24" s="2" t="s">
        <v>112</v>
      </c>
      <c r="E24" s="2" t="s">
        <v>113</v>
      </c>
      <c r="F24" s="2" t="s">
        <v>95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62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46218</v>
      </c>
      <c r="B25" s="2" t="s">
        <v>19</v>
      </c>
      <c r="E25" s="2" t="s">
        <v>89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61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46218</v>
      </c>
      <c r="B26" s="2" t="s">
        <v>114</v>
      </c>
      <c r="E26" s="2" t="s">
        <v>115</v>
      </c>
      <c r="F26" s="2" t="s">
        <v>65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61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46218</v>
      </c>
      <c r="B27" s="2" t="s">
        <v>190</v>
      </c>
      <c r="C27" s="3" t="s">
        <v>191</v>
      </c>
      <c r="E27" s="2" t="s">
        <v>192</v>
      </c>
      <c r="F27" s="2" t="s">
        <v>149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61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AC27" s="19" t="str">
        <f aca="false">IF((F27="e"),I27," ")</f>
        <v> </v>
      </c>
      <c r="BZ27" s="2" t="s">
        <v>150</v>
      </c>
    </row>
    <row r="28" customFormat="false" ht="12" hidden="false" customHeight="false" outlineLevel="0" collapsed="false">
      <c r="A28" s="27" t="n">
        <v>46219</v>
      </c>
      <c r="B28" s="2" t="s">
        <v>151</v>
      </c>
      <c r="E28" s="2" t="s">
        <v>152</v>
      </c>
      <c r="F28" s="2" t="s">
        <v>65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46221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58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46223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56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46223</v>
      </c>
      <c r="B31" s="2" t="s">
        <v>193</v>
      </c>
      <c r="E31" s="2" t="s">
        <v>194</v>
      </c>
      <c r="F31" s="2" t="s">
        <v>65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56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155</v>
      </c>
    </row>
    <row r="32" customFormat="false" ht="12" hidden="false" customHeight="false" outlineLevel="0" collapsed="false">
      <c r="A32" s="27" t="n">
        <v>46223</v>
      </c>
      <c r="B32" s="2" t="s">
        <v>119</v>
      </c>
      <c r="E32" s="2" t="s">
        <v>120</v>
      </c>
      <c r="F32" s="2" t="s">
        <v>121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56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46224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55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46225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54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46228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51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46228</v>
      </c>
      <c r="B36" s="2" t="s">
        <v>129</v>
      </c>
      <c r="D36" s="4" t="n">
        <v>45</v>
      </c>
      <c r="E36" s="2" t="s">
        <v>195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46231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 t="n">
        <v>46234</v>
      </c>
      <c r="B38" s="2" t="s">
        <v>15</v>
      </c>
      <c r="E38" s="2" t="s">
        <v>132</v>
      </c>
      <c r="F38" s="2" t="s">
        <v>133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134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4755.25</v>
      </c>
      <c r="H1" s="13" t="n">
        <f aca="false">SUM(H5:H200)</f>
        <v>786.166666666667</v>
      </c>
      <c r="I1" s="13" t="n">
        <f aca="false">SUM(I2:I200)</f>
        <v>3969.08333333333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4717</v>
      </c>
      <c r="N1" s="18" t="n">
        <f aca="true">TODAY()</f>
        <v>46279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 t="n">
        <f aca="false">SUM(AC5:AC300)</f>
        <v>291.666666666667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46235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44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46235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46235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46235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46235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46235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46237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46237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46239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46239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46239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46240</v>
      </c>
      <c r="B16" s="2" t="s">
        <v>135</v>
      </c>
      <c r="E16" s="2" t="s">
        <v>136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46242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46244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46246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46248</v>
      </c>
      <c r="B20" s="2" t="s">
        <v>108</v>
      </c>
      <c r="E20" s="2" t="s">
        <v>109</v>
      </c>
      <c r="F20" s="2" t="s">
        <v>75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46248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46248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46249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46249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46249</v>
      </c>
      <c r="B25" s="2" t="s">
        <v>144</v>
      </c>
      <c r="E25" s="2" t="s">
        <v>145</v>
      </c>
      <c r="F25" s="2" t="s">
        <v>104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30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105</v>
      </c>
    </row>
    <row r="26" customFormat="false" ht="12" hidden="false" customHeight="false" outlineLevel="0" collapsed="false">
      <c r="A26" s="27" t="n">
        <v>46252</v>
      </c>
      <c r="B26" s="2" t="s">
        <v>196</v>
      </c>
      <c r="E26" s="2" t="s">
        <v>197</v>
      </c>
      <c r="F26" s="2" t="s">
        <v>121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27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122</v>
      </c>
    </row>
    <row r="27" customFormat="false" ht="12" hidden="false" customHeight="false" outlineLevel="0" collapsed="false">
      <c r="A27" s="27" t="n">
        <v>46252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46254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46254</v>
      </c>
      <c r="B29" s="2" t="s">
        <v>198</v>
      </c>
      <c r="E29" s="2" t="s">
        <v>199</v>
      </c>
      <c r="F29" s="2" t="s">
        <v>200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25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201</v>
      </c>
    </row>
    <row r="30" customFormat="false" ht="12" hidden="false" customHeight="false" outlineLevel="0" collapsed="false">
      <c r="A30" s="27" t="n">
        <v>46254</v>
      </c>
      <c r="B30" s="2" t="s">
        <v>156</v>
      </c>
      <c r="E30" s="2" t="s">
        <v>157</v>
      </c>
      <c r="F30" s="2" t="s">
        <v>104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25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105</v>
      </c>
    </row>
    <row r="31" customFormat="false" ht="12" hidden="false" customHeight="false" outlineLevel="0" collapsed="false">
      <c r="A31" s="27" t="n">
        <v>46255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46256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46259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46259</v>
      </c>
      <c r="B34" s="2" t="s">
        <v>129</v>
      </c>
      <c r="D34" s="4" t="n">
        <v>85</v>
      </c>
      <c r="E34" s="2" t="s">
        <v>130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46262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46265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46246</v>
      </c>
      <c r="B37" s="2" t="s">
        <v>202</v>
      </c>
      <c r="E37" s="2" t="s">
        <v>203</v>
      </c>
      <c r="F37" s="2" t="s">
        <v>204</v>
      </c>
      <c r="G37" s="29" t="n">
        <v>350</v>
      </c>
      <c r="H37" s="6" t="n">
        <f aca="false">IF(G37&lt;&gt;0,G37*H$2/(100+H$2)," ")</f>
        <v>58.3333333333333</v>
      </c>
      <c r="I37" s="6" t="n">
        <f aca="false">IF((G37&lt;&gt;0),G37-H37," ")</f>
        <v>291.666666666667</v>
      </c>
      <c r="J37" s="5"/>
      <c r="M37" s="7" t="n">
        <f aca="false">IF(G37&lt;&gt;0,G37-L37," ")</f>
        <v>350</v>
      </c>
      <c r="N37" s="8" t="n">
        <f aca="false">IF((G37-L37)&lt;&gt;0,N$1-A37," ")</f>
        <v>33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n">
        <f aca="false">IF((F37="e"),I37," ")</f>
        <v>291.666666666667</v>
      </c>
      <c r="BZ37" s="2" t="s">
        <v>205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46279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46266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13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46266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46266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46266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46266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46266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46268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46268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46270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46270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46273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46273</v>
      </c>
      <c r="B16" s="2" t="s">
        <v>137</v>
      </c>
      <c r="E16" s="2" t="s">
        <v>138</v>
      </c>
      <c r="F16" s="2" t="s">
        <v>71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139</v>
      </c>
    </row>
    <row r="17" customFormat="false" ht="12" hidden="false" customHeight="false" outlineLevel="0" collapsed="false">
      <c r="A17" s="27" t="n">
        <v>46275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46275</v>
      </c>
      <c r="B18" s="2" t="s">
        <v>114</v>
      </c>
      <c r="E18" s="2" t="s">
        <v>206</v>
      </c>
      <c r="F18" s="2" t="s">
        <v>65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155</v>
      </c>
    </row>
    <row r="19" customFormat="false" ht="12" hidden="false" customHeight="false" outlineLevel="0" collapsed="false">
      <c r="A19" s="27" t="n">
        <v>46277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46279</v>
      </c>
      <c r="B20" s="2" t="s">
        <v>110</v>
      </c>
      <c r="E20" s="2" t="s">
        <v>111</v>
      </c>
      <c r="F20" s="2" t="s">
        <v>95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46279</v>
      </c>
      <c r="B21" s="2" t="s">
        <v>112</v>
      </c>
      <c r="E21" s="2" t="s">
        <v>113</v>
      </c>
      <c r="F21" s="2" t="s">
        <v>95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46280</v>
      </c>
      <c r="B22" s="2" t="s">
        <v>19</v>
      </c>
      <c r="E22" s="2" t="s">
        <v>89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-1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46280</v>
      </c>
      <c r="B23" s="2" t="s">
        <v>114</v>
      </c>
      <c r="E23" s="2" t="s">
        <v>115</v>
      </c>
      <c r="F23" s="2" t="s">
        <v>65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46280</v>
      </c>
      <c r="B24" s="2" t="s">
        <v>207</v>
      </c>
      <c r="E24" s="2" t="s">
        <v>208</v>
      </c>
      <c r="F24" s="2" t="s">
        <v>133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-1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134</v>
      </c>
    </row>
    <row r="25" customFormat="false" ht="12" hidden="false" customHeight="false" outlineLevel="0" collapsed="false">
      <c r="A25" s="27" t="n">
        <v>46281</v>
      </c>
      <c r="B25" s="2" t="s">
        <v>151</v>
      </c>
      <c r="E25" s="2" t="s">
        <v>152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46283</v>
      </c>
      <c r="B26" s="2" t="s">
        <v>170</v>
      </c>
      <c r="E26" s="2" t="s">
        <v>171</v>
      </c>
      <c r="F26" s="2" t="s">
        <v>104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-4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46283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46285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46286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46287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46287</v>
      </c>
      <c r="B31" s="2" t="s">
        <v>158</v>
      </c>
      <c r="E31" s="2" t="s">
        <v>159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-8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90</v>
      </c>
    </row>
    <row r="32" customFormat="false" ht="12" hidden="false" customHeight="false" outlineLevel="0" collapsed="false">
      <c r="A32" s="27" t="n">
        <v>46290</v>
      </c>
      <c r="B32" s="2" t="s">
        <v>172</v>
      </c>
      <c r="E32" s="2" t="s">
        <v>173</v>
      </c>
      <c r="F32" s="2" t="s">
        <v>61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-11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174</v>
      </c>
    </row>
    <row r="33" customFormat="false" ht="12" hidden="false" customHeight="false" outlineLevel="0" collapsed="false">
      <c r="A33" s="27" t="n">
        <v>46290</v>
      </c>
      <c r="B33" s="2" t="s">
        <v>127</v>
      </c>
      <c r="E33" s="2" t="s">
        <v>128</v>
      </c>
      <c r="F33" s="2" t="s">
        <v>75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-11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46290</v>
      </c>
      <c r="B34" s="2" t="s">
        <v>129</v>
      </c>
      <c r="D34" s="4" t="n">
        <v>160</v>
      </c>
      <c r="E34" s="2" t="s">
        <v>209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46293</v>
      </c>
      <c r="B35" s="2" t="s">
        <v>19</v>
      </c>
      <c r="E35" s="2" t="s">
        <v>131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-14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46295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46295</v>
      </c>
      <c r="B37" s="2" t="s">
        <v>176</v>
      </c>
      <c r="C37" s="3" t="s">
        <v>210</v>
      </c>
      <c r="E37" s="2" t="s">
        <v>178</v>
      </c>
      <c r="F37" s="2" t="s">
        <v>133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-16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 t="n">
        <v>46266</v>
      </c>
      <c r="B38" s="2" t="s">
        <v>180</v>
      </c>
      <c r="C38" s="3" t="s">
        <v>211</v>
      </c>
      <c r="E38" s="2" t="s">
        <v>212</v>
      </c>
      <c r="F38" s="2" t="s">
        <v>149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13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AC38" s="19" t="str">
        <f aca="false">IF((F38="e"),I38," ")</f>
        <v> </v>
      </c>
      <c r="BZ38" s="2" t="s">
        <v>150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46279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46296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-17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46296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46296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46296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46296</v>
      </c>
      <c r="B9" s="2" t="s">
        <v>213</v>
      </c>
      <c r="E9" s="2" t="s">
        <v>214</v>
      </c>
      <c r="F9" s="2" t="s">
        <v>75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-17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AC9" s="19" t="str">
        <f aca="false">IF((F9="e"),I9," ")</f>
        <v> </v>
      </c>
      <c r="BZ9" s="2" t="s">
        <v>76</v>
      </c>
    </row>
    <row r="10" customFormat="false" ht="12" hidden="false" customHeight="false" outlineLevel="0" collapsed="false">
      <c r="A10" s="27" t="n">
        <v>46296</v>
      </c>
      <c r="B10" s="2" t="s">
        <v>77</v>
      </c>
      <c r="E10" s="2" t="s">
        <v>78</v>
      </c>
      <c r="F10" s="2" t="s">
        <v>71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-17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72</v>
      </c>
    </row>
    <row r="11" customFormat="false" ht="12" hidden="false" customHeight="false" outlineLevel="0" collapsed="false">
      <c r="A11" s="27" t="n">
        <v>46296</v>
      </c>
      <c r="B11" s="2" t="s">
        <v>79</v>
      </c>
      <c r="E11" s="2" t="s">
        <v>80</v>
      </c>
      <c r="F11" s="2" t="s">
        <v>65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-17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66</v>
      </c>
    </row>
    <row r="12" customFormat="false" ht="12" hidden="false" customHeight="false" outlineLevel="0" collapsed="false">
      <c r="A12" s="27" t="n">
        <v>46298</v>
      </c>
      <c r="B12" s="2" t="s">
        <v>81</v>
      </c>
      <c r="E12" s="2" t="s">
        <v>82</v>
      </c>
      <c r="F12" s="2" t="s">
        <v>71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-19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72</v>
      </c>
    </row>
    <row r="13" customFormat="false" ht="12" hidden="false" customHeight="false" outlineLevel="0" collapsed="false">
      <c r="A13" s="27" t="n">
        <v>46298</v>
      </c>
      <c r="B13" s="2" t="s">
        <v>83</v>
      </c>
      <c r="E13" s="2" t="s">
        <v>84</v>
      </c>
      <c r="F13" s="2" t="s">
        <v>75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-19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46300</v>
      </c>
      <c r="B14" s="2" t="s">
        <v>86</v>
      </c>
      <c r="E14" s="2" t="s">
        <v>87</v>
      </c>
      <c r="F14" s="2" t="s">
        <v>75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-21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85</v>
      </c>
    </row>
    <row r="15" customFormat="false" ht="12" hidden="false" customHeight="false" outlineLevel="0" collapsed="false">
      <c r="A15" s="27" t="n">
        <v>46300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-21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46300</v>
      </c>
      <c r="B16" s="2" t="s">
        <v>91</v>
      </c>
      <c r="E16" s="2" t="s">
        <v>92</v>
      </c>
      <c r="F16" s="2" t="s">
        <v>71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-21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72</v>
      </c>
    </row>
    <row r="17" customFormat="false" ht="12" hidden="false" customHeight="false" outlineLevel="0" collapsed="false">
      <c r="A17" s="27" t="n">
        <v>46303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46305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-26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46305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-26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46305</v>
      </c>
      <c r="B20" s="2" t="s">
        <v>102</v>
      </c>
      <c r="E20" s="2" t="s">
        <v>103</v>
      </c>
      <c r="F20" s="2" t="s">
        <v>104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-26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46305</v>
      </c>
      <c r="B21" s="2" t="s">
        <v>140</v>
      </c>
      <c r="E21" s="2" t="s">
        <v>215</v>
      </c>
      <c r="F21" s="2" t="s">
        <v>142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-26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143</v>
      </c>
    </row>
    <row r="22" customFormat="false" ht="12" hidden="false" customHeight="false" outlineLevel="0" collapsed="false">
      <c r="A22" s="27" t="n">
        <v>46307</v>
      </c>
      <c r="B22" s="2" t="s">
        <v>106</v>
      </c>
      <c r="E22" s="2" t="s">
        <v>107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-28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90</v>
      </c>
    </row>
    <row r="23" customFormat="false" ht="12" hidden="false" customHeight="false" outlineLevel="0" collapsed="false">
      <c r="A23" s="27" t="n">
        <v>46309</v>
      </c>
      <c r="B23" s="2" t="s">
        <v>108</v>
      </c>
      <c r="E23" s="2" t="s">
        <v>109</v>
      </c>
      <c r="F23" s="2" t="s">
        <v>75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-30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85</v>
      </c>
    </row>
    <row r="24" customFormat="false" ht="12" hidden="false" customHeight="false" outlineLevel="0" collapsed="false">
      <c r="A24" s="27" t="n">
        <v>46309</v>
      </c>
      <c r="B24" s="2" t="s">
        <v>110</v>
      </c>
      <c r="E24" s="2" t="s">
        <v>111</v>
      </c>
      <c r="F24" s="2" t="s">
        <v>95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-30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96</v>
      </c>
    </row>
    <row r="25" customFormat="false" ht="12" hidden="false" customHeight="false" outlineLevel="0" collapsed="false">
      <c r="A25" s="27" t="n">
        <v>46309</v>
      </c>
      <c r="B25" s="2" t="s">
        <v>112</v>
      </c>
      <c r="E25" s="2" t="s">
        <v>113</v>
      </c>
      <c r="F25" s="2" t="s">
        <v>95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-30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96</v>
      </c>
    </row>
    <row r="26" customFormat="false" ht="12" hidden="false" customHeight="false" outlineLevel="0" collapsed="false">
      <c r="A26" s="27" t="n">
        <v>46310</v>
      </c>
      <c r="B26" s="2" t="s">
        <v>19</v>
      </c>
      <c r="E26" s="2" t="s">
        <v>89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-31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46310</v>
      </c>
      <c r="B27" s="2" t="s">
        <v>114</v>
      </c>
      <c r="E27" s="2" t="s">
        <v>115</v>
      </c>
      <c r="F27" s="2" t="s">
        <v>65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-31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46310</v>
      </c>
      <c r="B28" s="2" t="s">
        <v>216</v>
      </c>
      <c r="E28" s="2" t="s">
        <v>217</v>
      </c>
      <c r="F28" s="2" t="s">
        <v>142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-31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143</v>
      </c>
    </row>
    <row r="29" customFormat="false" ht="12" hidden="false" customHeight="false" outlineLevel="0" collapsed="false">
      <c r="A29" s="27" t="n">
        <v>46313</v>
      </c>
      <c r="B29" s="2" t="s">
        <v>168</v>
      </c>
      <c r="E29" s="2" t="s">
        <v>218</v>
      </c>
      <c r="F29" s="2" t="s">
        <v>95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-34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46313</v>
      </c>
      <c r="B30" s="2" t="s">
        <v>116</v>
      </c>
      <c r="E30" s="2" t="s">
        <v>89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-34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90</v>
      </c>
    </row>
    <row r="31" customFormat="false" ht="12" hidden="false" customHeight="false" outlineLevel="0" collapsed="false">
      <c r="A31" s="27" t="n">
        <v>46315</v>
      </c>
      <c r="B31" s="2" t="s">
        <v>117</v>
      </c>
      <c r="E31" s="2" t="s">
        <v>118</v>
      </c>
      <c r="F31" s="2" t="s">
        <v>65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-36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66</v>
      </c>
    </row>
    <row r="32" customFormat="false" ht="12" hidden="false" customHeight="false" outlineLevel="0" collapsed="false">
      <c r="A32" s="27" t="n">
        <v>46315</v>
      </c>
      <c r="B32" s="2" t="s">
        <v>119</v>
      </c>
      <c r="E32" s="2" t="s">
        <v>120</v>
      </c>
      <c r="F32" s="2" t="s">
        <v>121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-36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122</v>
      </c>
    </row>
    <row r="33" customFormat="false" ht="12" hidden="false" customHeight="false" outlineLevel="0" collapsed="false">
      <c r="A33" s="27" t="n">
        <v>46316</v>
      </c>
      <c r="B33" s="2" t="s">
        <v>123</v>
      </c>
      <c r="E33" s="2" t="s">
        <v>124</v>
      </c>
      <c r="F33" s="2" t="s">
        <v>95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-37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96</v>
      </c>
    </row>
    <row r="34" customFormat="false" ht="12" hidden="false" customHeight="false" outlineLevel="0" collapsed="false">
      <c r="A34" s="27" t="n">
        <v>46317</v>
      </c>
      <c r="B34" s="2" t="s">
        <v>125</v>
      </c>
      <c r="E34" s="2" t="s">
        <v>126</v>
      </c>
      <c r="F34" s="2" t="s">
        <v>75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-38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46320</v>
      </c>
      <c r="B35" s="2" t="s">
        <v>127</v>
      </c>
      <c r="E35" s="2" t="s">
        <v>128</v>
      </c>
      <c r="F35" s="2" t="s">
        <v>75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-41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85</v>
      </c>
    </row>
    <row r="36" customFormat="false" ht="12" hidden="false" customHeight="false" outlineLevel="0" collapsed="false">
      <c r="A36" s="27" t="n">
        <v>46320</v>
      </c>
      <c r="B36" s="2" t="s">
        <v>129</v>
      </c>
      <c r="D36" s="4" t="n">
        <v>95</v>
      </c>
      <c r="E36" s="2" t="s">
        <v>219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46320</v>
      </c>
      <c r="B37" s="2" t="s">
        <v>220</v>
      </c>
      <c r="C37" s="3" t="s">
        <v>221</v>
      </c>
      <c r="E37" s="2" t="s">
        <v>222</v>
      </c>
      <c r="F37" s="2" t="s">
        <v>149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-41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AC37" s="19" t="str">
        <f aca="false">IF((F37="e"),I37," ")</f>
        <v> </v>
      </c>
      <c r="BZ37" s="2" t="s">
        <v>150</v>
      </c>
    </row>
    <row r="38" customFormat="false" ht="12" hidden="false" customHeight="false" outlineLevel="0" collapsed="false">
      <c r="A38" s="27" t="n">
        <v>46323</v>
      </c>
      <c r="B38" s="2" t="s">
        <v>19</v>
      </c>
      <c r="E38" s="2" t="s">
        <v>131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-44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  <c r="BZ38" s="2" t="s">
        <v>90</v>
      </c>
    </row>
    <row r="39" customFormat="false" ht="12" hidden="false" customHeight="false" outlineLevel="0" collapsed="false">
      <c r="A39" s="27" t="n">
        <v>46326</v>
      </c>
      <c r="B39" s="2" t="s">
        <v>15</v>
      </c>
      <c r="E39" s="2" t="s">
        <v>132</v>
      </c>
      <c r="F39" s="2" t="s">
        <v>133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-47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  <c r="BZ39" s="2" t="s">
        <v>134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46279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600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46327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-48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46327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-48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46327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-48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46327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-48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46327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-48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46327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-48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46329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-50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46329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-50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46331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-52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46331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-52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46332</v>
      </c>
      <c r="B15" s="2" t="s">
        <v>135</v>
      </c>
      <c r="E15" s="2" t="s">
        <v>136</v>
      </c>
      <c r="F15" s="2" t="s">
        <v>95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-53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46334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-55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46336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46338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46340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-61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46340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-61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46341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46341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46341</v>
      </c>
      <c r="B23" s="2" t="s">
        <v>144</v>
      </c>
      <c r="E23" s="2" t="s">
        <v>145</v>
      </c>
      <c r="F23" s="2" t="s">
        <v>104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-62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105</v>
      </c>
    </row>
    <row r="24" customFormat="false" ht="12" hidden="false" customHeight="false" outlineLevel="0" collapsed="false">
      <c r="A24" s="27" t="n">
        <v>46341</v>
      </c>
      <c r="B24" s="2" t="s">
        <v>163</v>
      </c>
      <c r="C24" s="3" t="s">
        <v>223</v>
      </c>
      <c r="E24" s="2" t="s">
        <v>224</v>
      </c>
      <c r="F24" s="2" t="s">
        <v>166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-62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AD24" s="19" t="n">
        <v>600</v>
      </c>
      <c r="BZ24" s="2" t="s">
        <v>167</v>
      </c>
    </row>
    <row r="25" customFormat="false" ht="12" hidden="false" customHeight="false" outlineLevel="0" collapsed="false">
      <c r="A25" s="27" t="n">
        <v>46342</v>
      </c>
      <c r="B25" s="2" t="s">
        <v>151</v>
      </c>
      <c r="E25" s="2" t="s">
        <v>152</v>
      </c>
      <c r="F25" s="2" t="s">
        <v>65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-63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46344</v>
      </c>
      <c r="B26" s="2" t="s">
        <v>116</v>
      </c>
      <c r="E26" s="2" t="s">
        <v>89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-65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90</v>
      </c>
    </row>
    <row r="27" customFormat="false" ht="12" hidden="false" customHeight="false" outlineLevel="0" collapsed="false">
      <c r="A27" s="27" t="n">
        <v>46346</v>
      </c>
      <c r="B27" s="2" t="s">
        <v>117</v>
      </c>
      <c r="E27" s="2" t="s">
        <v>118</v>
      </c>
      <c r="F27" s="2" t="s">
        <v>65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-67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66</v>
      </c>
    </row>
    <row r="28" customFormat="false" ht="12" hidden="false" customHeight="false" outlineLevel="0" collapsed="false">
      <c r="A28" s="27" t="n">
        <v>46346</v>
      </c>
      <c r="B28" s="2" t="s">
        <v>153</v>
      </c>
      <c r="E28" s="2" t="s">
        <v>154</v>
      </c>
      <c r="F28" s="2" t="s">
        <v>65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155</v>
      </c>
    </row>
    <row r="29" customFormat="false" ht="12" hidden="false" customHeight="false" outlineLevel="0" collapsed="false">
      <c r="A29" s="27" t="n">
        <v>46346</v>
      </c>
      <c r="B29" s="2" t="s">
        <v>156</v>
      </c>
      <c r="E29" s="2" t="s">
        <v>157</v>
      </c>
      <c r="F29" s="2" t="s">
        <v>104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-67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105</v>
      </c>
    </row>
    <row r="30" customFormat="false" ht="12" hidden="false" customHeight="false" outlineLevel="0" collapsed="false">
      <c r="A30" s="27" t="n">
        <v>46347</v>
      </c>
      <c r="B30" s="2" t="s">
        <v>123</v>
      </c>
      <c r="E30" s="2" t="s">
        <v>124</v>
      </c>
      <c r="F30" s="2" t="s">
        <v>95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-68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96</v>
      </c>
    </row>
    <row r="31" customFormat="false" ht="12" hidden="false" customHeight="false" outlineLevel="0" collapsed="false">
      <c r="A31" s="27" t="n">
        <v>46348</v>
      </c>
      <c r="B31" s="2" t="s">
        <v>125</v>
      </c>
      <c r="E31" s="2" t="s">
        <v>126</v>
      </c>
      <c r="F31" s="2" t="s">
        <v>75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-69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46351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46351</v>
      </c>
      <c r="B33" s="2" t="s">
        <v>129</v>
      </c>
      <c r="D33" s="4" t="n">
        <v>180</v>
      </c>
      <c r="E33" s="2" t="s">
        <v>175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46354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-75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46356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-77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46279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46357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-78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46357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-78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46357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-78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46357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-78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46357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-78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46357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-78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46359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-80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46359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-80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46361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-82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46361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-82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46361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-82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46364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-85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46366</v>
      </c>
      <c r="B17" s="2" t="s">
        <v>97</v>
      </c>
      <c r="E17" s="2" t="s">
        <v>98</v>
      </c>
      <c r="F17" s="2" t="s">
        <v>75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-87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85</v>
      </c>
    </row>
    <row r="18" customFormat="false" ht="12" hidden="false" customHeight="false" outlineLevel="0" collapsed="false">
      <c r="A18" s="27" t="n">
        <v>46366</v>
      </c>
      <c r="B18" s="2" t="s">
        <v>161</v>
      </c>
      <c r="E18" s="2" t="s">
        <v>162</v>
      </c>
      <c r="F18" s="2" t="s">
        <v>65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-87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66</v>
      </c>
    </row>
    <row r="19" customFormat="false" ht="12" hidden="false" customHeight="false" outlineLevel="0" collapsed="false">
      <c r="A19" s="27" t="n">
        <v>46368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-89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46370</v>
      </c>
      <c r="B20" s="2" t="s">
        <v>108</v>
      </c>
      <c r="E20" s="2" t="s">
        <v>109</v>
      </c>
      <c r="F20" s="2" t="s">
        <v>75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-91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85</v>
      </c>
    </row>
    <row r="21" customFormat="false" ht="12" hidden="false" customHeight="false" outlineLevel="0" collapsed="false">
      <c r="A21" s="27" t="n">
        <v>46370</v>
      </c>
      <c r="B21" s="2" t="s">
        <v>110</v>
      </c>
      <c r="E21" s="2" t="s">
        <v>111</v>
      </c>
      <c r="F21" s="2" t="s">
        <v>95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-91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96</v>
      </c>
    </row>
    <row r="22" customFormat="false" ht="12" hidden="false" customHeight="false" outlineLevel="0" collapsed="false">
      <c r="A22" s="27" t="n">
        <v>46370</v>
      </c>
      <c r="B22" s="2" t="s">
        <v>112</v>
      </c>
      <c r="E22" s="2" t="s">
        <v>113</v>
      </c>
      <c r="F22" s="2" t="s">
        <v>95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46371</v>
      </c>
      <c r="B23" s="2" t="s">
        <v>19</v>
      </c>
      <c r="E23" s="2" t="s">
        <v>89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-92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90</v>
      </c>
    </row>
    <row r="24" customFormat="false" ht="12" hidden="false" customHeight="false" outlineLevel="0" collapsed="false">
      <c r="A24" s="27" t="n">
        <v>46371</v>
      </c>
      <c r="B24" s="2" t="s">
        <v>114</v>
      </c>
      <c r="E24" s="2" t="s">
        <v>115</v>
      </c>
      <c r="F24" s="2" t="s">
        <v>65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-92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66</v>
      </c>
    </row>
    <row r="25" customFormat="false" ht="12" hidden="false" customHeight="false" outlineLevel="0" collapsed="false">
      <c r="A25" s="27" t="n">
        <v>46371</v>
      </c>
      <c r="B25" s="2" t="s">
        <v>225</v>
      </c>
      <c r="E25" s="2" t="s">
        <v>226</v>
      </c>
      <c r="F25" s="2" t="s">
        <v>75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-92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227</v>
      </c>
    </row>
    <row r="26" customFormat="false" ht="12" hidden="false" customHeight="false" outlineLevel="0" collapsed="false">
      <c r="A26" s="27" t="n">
        <v>46374</v>
      </c>
      <c r="B26" s="2" t="s">
        <v>170</v>
      </c>
      <c r="E26" s="2" t="s">
        <v>171</v>
      </c>
      <c r="F26" s="2" t="s">
        <v>104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-95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46374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-95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46376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-97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46377</v>
      </c>
      <c r="B29" s="2" t="s">
        <v>123</v>
      </c>
      <c r="E29" s="2" t="s">
        <v>124</v>
      </c>
      <c r="F29" s="2" t="s">
        <v>95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-98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96</v>
      </c>
    </row>
    <row r="30" customFormat="false" ht="12" hidden="false" customHeight="false" outlineLevel="0" collapsed="false">
      <c r="A30" s="27" t="n">
        <v>46378</v>
      </c>
      <c r="B30" s="2" t="s">
        <v>125</v>
      </c>
      <c r="E30" s="2" t="s">
        <v>126</v>
      </c>
      <c r="F30" s="2" t="s">
        <v>75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-99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85</v>
      </c>
    </row>
    <row r="31" customFormat="false" ht="12" hidden="false" customHeight="false" outlineLevel="0" collapsed="false">
      <c r="A31" s="27" t="n">
        <v>46381</v>
      </c>
      <c r="B31" s="2" t="s">
        <v>172</v>
      </c>
      <c r="E31" s="2" t="s">
        <v>173</v>
      </c>
      <c r="F31" s="2" t="s">
        <v>61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-102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174</v>
      </c>
    </row>
    <row r="32" customFormat="false" ht="12" hidden="false" customHeight="false" outlineLevel="0" collapsed="false">
      <c r="A32" s="27" t="n">
        <v>46381</v>
      </c>
      <c r="B32" s="2" t="s">
        <v>127</v>
      </c>
      <c r="E32" s="2" t="s">
        <v>128</v>
      </c>
      <c r="F32" s="2" t="s">
        <v>75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-102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46381</v>
      </c>
      <c r="B33" s="2" t="s">
        <v>129</v>
      </c>
      <c r="D33" s="4" t="n">
        <v>110</v>
      </c>
      <c r="E33" s="2" t="s">
        <v>228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46384</v>
      </c>
      <c r="B34" s="2" t="s">
        <v>19</v>
      </c>
      <c r="E34" s="2" t="s">
        <v>131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-105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90</v>
      </c>
    </row>
    <row r="35" customFormat="false" ht="12" hidden="false" customHeight="false" outlineLevel="0" collapsed="false">
      <c r="A35" s="27" t="n">
        <v>46387</v>
      </c>
      <c r="B35" s="2" t="s">
        <v>15</v>
      </c>
      <c r="E35" s="2" t="s">
        <v>132</v>
      </c>
      <c r="F35" s="2" t="s">
        <v>133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-108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134</v>
      </c>
    </row>
    <row r="36" customFormat="false" ht="12" hidden="false" customHeight="false" outlineLevel="0" collapsed="false">
      <c r="A36" s="27" t="n">
        <v>46387</v>
      </c>
      <c r="B36" s="2" t="s">
        <v>229</v>
      </c>
      <c r="E36" s="2" t="s">
        <v>230</v>
      </c>
      <c r="F36" s="2" t="s">
        <v>200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-108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231</v>
      </c>
    </row>
    <row r="37" customFormat="false" ht="12" hidden="false" customHeight="false" outlineLevel="0" collapsed="false">
      <c r="A37" s="27" t="n">
        <v>46387</v>
      </c>
      <c r="B37" s="2" t="s">
        <v>176</v>
      </c>
      <c r="C37" s="3" t="s">
        <v>232</v>
      </c>
      <c r="E37" s="2" t="s">
        <v>178</v>
      </c>
      <c r="F37" s="2" t="s">
        <v>133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-108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179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46279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46388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-109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46388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-109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46388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-109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46388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-109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46388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-109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46388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-109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46390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46390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46392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-113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46392</v>
      </c>
      <c r="B14" s="2" t="s">
        <v>186</v>
      </c>
      <c r="E14" s="2" t="s">
        <v>187</v>
      </c>
      <c r="F14" s="2" t="s">
        <v>142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-113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143</v>
      </c>
    </row>
    <row r="15" customFormat="false" ht="12" hidden="false" customHeight="false" outlineLevel="0" collapsed="false">
      <c r="A15" s="27" t="n">
        <v>46392</v>
      </c>
      <c r="B15" s="2" t="s">
        <v>88</v>
      </c>
      <c r="E15" s="2" t="s">
        <v>89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-113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90</v>
      </c>
    </row>
    <row r="16" customFormat="false" ht="12" hidden="false" customHeight="false" outlineLevel="0" collapsed="false">
      <c r="A16" s="27" t="n">
        <v>46395</v>
      </c>
      <c r="B16" s="2" t="s">
        <v>93</v>
      </c>
      <c r="E16" s="2" t="s">
        <v>94</v>
      </c>
      <c r="F16" s="2" t="s">
        <v>95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-116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46395</v>
      </c>
      <c r="B17" s="2" t="s">
        <v>137</v>
      </c>
      <c r="E17" s="2" t="s">
        <v>138</v>
      </c>
      <c r="F17" s="2" t="s">
        <v>71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-116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139</v>
      </c>
    </row>
    <row r="18" customFormat="false" ht="12" hidden="false" customHeight="false" outlineLevel="0" collapsed="false">
      <c r="A18" s="27" t="n">
        <v>46397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-118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46397</v>
      </c>
      <c r="B19" s="2" t="s">
        <v>99</v>
      </c>
      <c r="E19" s="2" t="s">
        <v>100</v>
      </c>
      <c r="F19" s="2" t="s">
        <v>65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-118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101</v>
      </c>
    </row>
    <row r="20" customFormat="false" ht="12" hidden="false" customHeight="false" outlineLevel="0" collapsed="false">
      <c r="A20" s="27" t="n">
        <v>46397</v>
      </c>
      <c r="B20" s="2" t="s">
        <v>102</v>
      </c>
      <c r="E20" s="2" t="s">
        <v>103</v>
      </c>
      <c r="F20" s="2" t="s">
        <v>104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-118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105</v>
      </c>
    </row>
    <row r="21" customFormat="false" ht="12" hidden="false" customHeight="false" outlineLevel="0" collapsed="false">
      <c r="A21" s="27" t="n">
        <v>46399</v>
      </c>
      <c r="B21" s="2" t="s">
        <v>106</v>
      </c>
      <c r="E21" s="2" t="s">
        <v>107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-120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46401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-122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46401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46402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46402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-123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46403</v>
      </c>
      <c r="B26" s="2" t="s">
        <v>151</v>
      </c>
      <c r="E26" s="2" t="s">
        <v>152</v>
      </c>
      <c r="F26" s="2" t="s">
        <v>65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-124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46405</v>
      </c>
      <c r="B27" s="2" t="s">
        <v>116</v>
      </c>
      <c r="E27" s="2" t="s">
        <v>89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-126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90</v>
      </c>
    </row>
    <row r="28" customFormat="false" ht="12" hidden="false" customHeight="false" outlineLevel="0" collapsed="false">
      <c r="A28" s="27" t="n">
        <v>46407</v>
      </c>
      <c r="B28" s="2" t="s">
        <v>117</v>
      </c>
      <c r="E28" s="2" t="s">
        <v>118</v>
      </c>
      <c r="F28" s="2" t="s">
        <v>65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-128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66</v>
      </c>
    </row>
    <row r="29" customFormat="false" ht="12" hidden="false" customHeight="false" outlineLevel="0" collapsed="false">
      <c r="A29" s="27" t="n">
        <v>46407</v>
      </c>
      <c r="B29" s="2" t="s">
        <v>193</v>
      </c>
      <c r="E29" s="2" t="s">
        <v>194</v>
      </c>
      <c r="F29" s="2" t="s">
        <v>65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-128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155</v>
      </c>
    </row>
    <row r="30" customFormat="false" ht="12" hidden="false" customHeight="false" outlineLevel="0" collapsed="false">
      <c r="A30" s="27" t="n">
        <v>46407</v>
      </c>
      <c r="B30" s="2" t="s">
        <v>119</v>
      </c>
      <c r="E30" s="2" t="s">
        <v>120</v>
      </c>
      <c r="F30" s="2" t="s">
        <v>121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-128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122</v>
      </c>
    </row>
    <row r="31" customFormat="false" ht="12" hidden="false" customHeight="false" outlineLevel="0" collapsed="false">
      <c r="A31" s="27" t="n">
        <v>46408</v>
      </c>
      <c r="B31" s="2" t="s">
        <v>123</v>
      </c>
      <c r="E31" s="2" t="s">
        <v>124</v>
      </c>
      <c r="F31" s="2" t="s">
        <v>95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-129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96</v>
      </c>
    </row>
    <row r="32" customFormat="false" ht="12" hidden="false" customHeight="false" outlineLevel="0" collapsed="false">
      <c r="A32" s="27" t="n">
        <v>46409</v>
      </c>
      <c r="B32" s="2" t="s">
        <v>125</v>
      </c>
      <c r="E32" s="2" t="s">
        <v>126</v>
      </c>
      <c r="F32" s="2" t="s">
        <v>75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-130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85</v>
      </c>
    </row>
    <row r="33" customFormat="false" ht="12" hidden="false" customHeight="false" outlineLevel="0" collapsed="false">
      <c r="A33" s="27" t="n">
        <v>46409</v>
      </c>
      <c r="B33" s="2" t="s">
        <v>158</v>
      </c>
      <c r="E33" s="2" t="s">
        <v>159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-130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46412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46412</v>
      </c>
      <c r="B35" s="2" t="s">
        <v>129</v>
      </c>
      <c r="D35" s="4" t="n">
        <v>85</v>
      </c>
      <c r="E35" s="2" t="s">
        <v>130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46415</v>
      </c>
      <c r="B36" s="2" t="s">
        <v>19</v>
      </c>
      <c r="E36" s="2" t="s">
        <v>131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-136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90</v>
      </c>
    </row>
    <row r="37" customFormat="false" ht="12" hidden="false" customHeight="false" outlineLevel="0" collapsed="false">
      <c r="A37" s="27" t="n">
        <v>46418</v>
      </c>
      <c r="B37" s="2" t="s">
        <v>15</v>
      </c>
      <c r="E37" s="2" t="s">
        <v>132</v>
      </c>
      <c r="F37" s="2" t="s">
        <v>133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-139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134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46279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46419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-140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46419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46419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46419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46419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46419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46421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46421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46423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-144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46423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-144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46423</v>
      </c>
      <c r="B15" s="2" t="s">
        <v>91</v>
      </c>
      <c r="E15" s="2" t="s">
        <v>92</v>
      </c>
      <c r="F15" s="2" t="s">
        <v>71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-144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72</v>
      </c>
    </row>
    <row r="16" customFormat="false" ht="12" hidden="false" customHeight="false" outlineLevel="0" collapsed="false">
      <c r="A16" s="27" t="n">
        <v>46424</v>
      </c>
      <c r="B16" s="2" t="s">
        <v>135</v>
      </c>
      <c r="E16" s="2" t="s">
        <v>136</v>
      </c>
      <c r="F16" s="2" t="s">
        <v>95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-145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96</v>
      </c>
    </row>
    <row r="17" customFormat="false" ht="12" hidden="false" customHeight="false" outlineLevel="0" collapsed="false">
      <c r="A17" s="27" t="n">
        <v>46426</v>
      </c>
      <c r="B17" s="2" t="s">
        <v>93</v>
      </c>
      <c r="E17" s="2" t="s">
        <v>94</v>
      </c>
      <c r="F17" s="2" t="s">
        <v>95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-147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96</v>
      </c>
    </row>
    <row r="18" customFormat="false" ht="12" hidden="false" customHeight="false" outlineLevel="0" collapsed="false">
      <c r="A18" s="27" t="n">
        <v>46428</v>
      </c>
      <c r="B18" s="2" t="s">
        <v>97</v>
      </c>
      <c r="E18" s="2" t="s">
        <v>98</v>
      </c>
      <c r="F18" s="2" t="s">
        <v>75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-149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85</v>
      </c>
    </row>
    <row r="19" customFormat="false" ht="12" hidden="false" customHeight="false" outlineLevel="0" collapsed="false">
      <c r="A19" s="27" t="n">
        <v>46430</v>
      </c>
      <c r="B19" s="2" t="s">
        <v>106</v>
      </c>
      <c r="E19" s="2" t="s">
        <v>107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-151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90</v>
      </c>
    </row>
    <row r="20" customFormat="false" ht="12" hidden="false" customHeight="false" outlineLevel="0" collapsed="false">
      <c r="A20" s="27" t="n">
        <v>46430</v>
      </c>
      <c r="B20" s="2" t="s">
        <v>188</v>
      </c>
      <c r="E20" s="2" t="s">
        <v>189</v>
      </c>
      <c r="F20" s="2" t="s">
        <v>71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-151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139</v>
      </c>
    </row>
    <row r="21" customFormat="false" ht="12" hidden="false" customHeight="false" outlineLevel="0" collapsed="false">
      <c r="A21" s="27" t="n">
        <v>46432</v>
      </c>
      <c r="B21" s="2" t="s">
        <v>108</v>
      </c>
      <c r="E21" s="2" t="s">
        <v>109</v>
      </c>
      <c r="F21" s="2" t="s">
        <v>75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-153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85</v>
      </c>
    </row>
    <row r="22" customFormat="false" ht="12" hidden="false" customHeight="false" outlineLevel="0" collapsed="false">
      <c r="A22" s="27" t="n">
        <v>46432</v>
      </c>
      <c r="B22" s="2" t="s">
        <v>110</v>
      </c>
      <c r="E22" s="2" t="s">
        <v>111</v>
      </c>
      <c r="F22" s="2" t="s">
        <v>95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-153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96</v>
      </c>
    </row>
    <row r="23" customFormat="false" ht="12" hidden="false" customHeight="false" outlineLevel="0" collapsed="false">
      <c r="A23" s="27" t="n">
        <v>46432</v>
      </c>
      <c r="B23" s="2" t="s">
        <v>112</v>
      </c>
      <c r="E23" s="2" t="s">
        <v>113</v>
      </c>
      <c r="F23" s="2" t="s">
        <v>95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-153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96</v>
      </c>
    </row>
    <row r="24" customFormat="false" ht="12" hidden="false" customHeight="false" outlineLevel="0" collapsed="false">
      <c r="A24" s="27" t="n">
        <v>46433</v>
      </c>
      <c r="B24" s="2" t="s">
        <v>19</v>
      </c>
      <c r="E24" s="2" t="s">
        <v>89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-154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90</v>
      </c>
    </row>
    <row r="25" customFormat="false" ht="12" hidden="false" customHeight="false" outlineLevel="0" collapsed="false">
      <c r="A25" s="27" t="n">
        <v>46433</v>
      </c>
      <c r="B25" s="2" t="s">
        <v>114</v>
      </c>
      <c r="E25" s="2" t="s">
        <v>115</v>
      </c>
      <c r="F25" s="2" t="s">
        <v>65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-154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66</v>
      </c>
    </row>
    <row r="26" customFormat="false" ht="12" hidden="false" customHeight="false" outlineLevel="0" collapsed="false">
      <c r="A26" s="27" t="n">
        <v>46433</v>
      </c>
      <c r="B26" s="2" t="s">
        <v>144</v>
      </c>
      <c r="E26" s="2" t="s">
        <v>145</v>
      </c>
      <c r="F26" s="2" t="s">
        <v>104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-154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105</v>
      </c>
    </row>
    <row r="27" customFormat="false" ht="12" hidden="false" customHeight="false" outlineLevel="0" collapsed="false">
      <c r="A27" s="27" t="n">
        <v>46436</v>
      </c>
      <c r="B27" s="2" t="s">
        <v>196</v>
      </c>
      <c r="E27" s="2" t="s">
        <v>233</v>
      </c>
      <c r="F27" s="2" t="s">
        <v>121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-157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122</v>
      </c>
    </row>
    <row r="28" customFormat="false" ht="12" hidden="false" customHeight="false" outlineLevel="0" collapsed="false">
      <c r="A28" s="27" t="n">
        <v>46436</v>
      </c>
      <c r="B28" s="2" t="s">
        <v>168</v>
      </c>
      <c r="E28" s="2" t="s">
        <v>234</v>
      </c>
      <c r="F28" s="2" t="s">
        <v>95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-157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96</v>
      </c>
    </row>
    <row r="29" customFormat="false" ht="12" hidden="false" customHeight="false" outlineLevel="0" collapsed="false">
      <c r="A29" s="27" t="n">
        <v>46436</v>
      </c>
      <c r="B29" s="2" t="s">
        <v>116</v>
      </c>
      <c r="E29" s="2" t="s">
        <v>89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-157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46438</v>
      </c>
      <c r="B30" s="2" t="s">
        <v>117</v>
      </c>
      <c r="E30" s="2" t="s">
        <v>118</v>
      </c>
      <c r="F30" s="2" t="s">
        <v>65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-159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66</v>
      </c>
    </row>
    <row r="31" customFormat="false" ht="12" hidden="false" customHeight="false" outlineLevel="0" collapsed="false">
      <c r="A31" s="27" t="n">
        <v>46438</v>
      </c>
      <c r="B31" s="2" t="s">
        <v>156</v>
      </c>
      <c r="E31" s="2" t="s">
        <v>157</v>
      </c>
      <c r="F31" s="2" t="s">
        <v>104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-159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105</v>
      </c>
    </row>
    <row r="32" customFormat="false" ht="12" hidden="false" customHeight="false" outlineLevel="0" collapsed="false">
      <c r="A32" s="27" t="n">
        <v>46439</v>
      </c>
      <c r="B32" s="2" t="s">
        <v>123</v>
      </c>
      <c r="E32" s="2" t="s">
        <v>124</v>
      </c>
      <c r="F32" s="2" t="s">
        <v>95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-160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96</v>
      </c>
    </row>
    <row r="33" customFormat="false" ht="12" hidden="false" customHeight="false" outlineLevel="0" collapsed="false">
      <c r="A33" s="27" t="n">
        <v>46440</v>
      </c>
      <c r="B33" s="2" t="s">
        <v>125</v>
      </c>
      <c r="E33" s="2" t="s">
        <v>126</v>
      </c>
      <c r="F33" s="2" t="s">
        <v>75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-161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85</v>
      </c>
    </row>
    <row r="34" customFormat="false" ht="12" hidden="false" customHeight="false" outlineLevel="0" collapsed="false">
      <c r="A34" s="27" t="n">
        <v>46443</v>
      </c>
      <c r="B34" s="2" t="s">
        <v>127</v>
      </c>
      <c r="E34" s="2" t="s">
        <v>128</v>
      </c>
      <c r="F34" s="2" t="s">
        <v>75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-164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85</v>
      </c>
    </row>
    <row r="35" customFormat="false" ht="12" hidden="false" customHeight="false" outlineLevel="0" collapsed="false">
      <c r="A35" s="27" t="n">
        <v>46443</v>
      </c>
      <c r="B35" s="2" t="s">
        <v>129</v>
      </c>
      <c r="D35" s="4" t="n">
        <v>70</v>
      </c>
      <c r="E35" s="2" t="s">
        <v>235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90</v>
      </c>
    </row>
    <row r="36" customFormat="false" ht="12" hidden="false" customHeight="false" outlineLevel="0" collapsed="false">
      <c r="A36" s="27" t="n">
        <v>46446</v>
      </c>
      <c r="B36" s="2" t="s">
        <v>15</v>
      </c>
      <c r="E36" s="2" t="s">
        <v>132</v>
      </c>
      <c r="F36" s="2" t="s">
        <v>133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-167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  <c r="BZ36" s="2" t="s">
        <v>134</v>
      </c>
    </row>
    <row r="37" customFormat="false" ht="12" hidden="false" customHeight="false" outlineLevel="0" collapsed="false">
      <c r="A37" s="27" t="n">
        <v>46446</v>
      </c>
      <c r="B37" s="2" t="s">
        <v>19</v>
      </c>
      <c r="E37" s="2" t="s">
        <v>131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-167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  <c r="BZ37" s="2" t="s">
        <v>90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customFormat="false" ht="12.75" hidden="false" customHeight="true" outlineLevel="0" collapsed="false">
      <c r="A1" s="39" t="n">
        <f aca="false">G1-H1-SUM(P1:AC1)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46279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 t="n">
        <f aca="false">SUM(AC5:AC300)</f>
        <v>0</v>
      </c>
      <c r="AD1" s="13" t="n">
        <f aca="false">SUM(AD5:AD300)</f>
        <v>0</v>
      </c>
      <c r="AE1" s="42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 t="s">
        <v>34</v>
      </c>
      <c r="AD2" s="10" t="s">
        <v>35</v>
      </c>
      <c r="AE2" s="10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36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37</v>
      </c>
      <c r="Q3" s="20" t="s">
        <v>38</v>
      </c>
      <c r="R3" s="20" t="s">
        <v>39</v>
      </c>
      <c r="S3" s="10"/>
      <c r="T3" s="20" t="s">
        <v>40</v>
      </c>
      <c r="U3" s="10"/>
      <c r="V3" s="10"/>
      <c r="W3" s="50" t="s">
        <v>41</v>
      </c>
      <c r="X3" s="10"/>
      <c r="Y3" s="10"/>
      <c r="Z3" s="10"/>
      <c r="AA3" s="10"/>
      <c r="AB3" s="50" t="s">
        <v>42</v>
      </c>
      <c r="AC3" s="41"/>
      <c r="AD3" s="10" t="s">
        <v>43</v>
      </c>
      <c r="AE3" s="10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44</v>
      </c>
      <c r="Q4" s="51" t="s">
        <v>45</v>
      </c>
      <c r="R4" s="51" t="s">
        <v>46</v>
      </c>
      <c r="S4" s="51" t="s">
        <v>47</v>
      </c>
      <c r="T4" s="51" t="s">
        <v>48</v>
      </c>
      <c r="U4" s="51" t="s">
        <v>49</v>
      </c>
      <c r="V4" s="51" t="s">
        <v>50</v>
      </c>
      <c r="W4" s="52" t="s">
        <v>51</v>
      </c>
      <c r="X4" s="51" t="s">
        <v>52</v>
      </c>
      <c r="Y4" s="51" t="s">
        <v>53</v>
      </c>
      <c r="Z4" s="51" t="s">
        <v>54</v>
      </c>
      <c r="AA4" s="51" t="s">
        <v>55</v>
      </c>
      <c r="AB4" s="51" t="s">
        <v>56</v>
      </c>
      <c r="AC4" s="41" t="s">
        <v>57</v>
      </c>
      <c r="AD4" s="10" t="s">
        <v>58</v>
      </c>
      <c r="AE4" s="10" t="s">
        <v>59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 t="n">
        <v>46447</v>
      </c>
      <c r="B5" s="2" t="s">
        <v>13</v>
      </c>
      <c r="E5" s="2" t="s">
        <v>60</v>
      </c>
      <c r="F5" s="2" t="s">
        <v>61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-168</v>
      </c>
      <c r="O5" s="5"/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 t="str">
        <f aca="false">IF((F5="e"),I5," ")</f>
        <v> 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 t="s">
        <v>62</v>
      </c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 t="n">
        <v>46447</v>
      </c>
      <c r="B6" s="2" t="s">
        <v>63</v>
      </c>
      <c r="E6" s="2" t="s">
        <v>64</v>
      </c>
      <c r="F6" s="2" t="s">
        <v>65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-168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AC6" s="19" t="str">
        <f aca="false">IF((F6="e"),I6," ")</f>
        <v> </v>
      </c>
      <c r="BZ6" s="2" t="s">
        <v>66</v>
      </c>
    </row>
    <row r="7" customFormat="false" ht="12" hidden="false" customHeight="false" outlineLevel="0" collapsed="false">
      <c r="A7" s="27" t="n">
        <v>46447</v>
      </c>
      <c r="B7" s="2" t="s">
        <v>67</v>
      </c>
      <c r="E7" s="2" t="s">
        <v>68</v>
      </c>
      <c r="F7" s="2" t="s">
        <v>65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-168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AC7" s="19" t="str">
        <f aca="false">IF((F7="e"),I7," ")</f>
        <v> </v>
      </c>
      <c r="BZ7" s="2" t="s">
        <v>66</v>
      </c>
    </row>
    <row r="8" customFormat="false" ht="12" hidden="false" customHeight="false" outlineLevel="0" collapsed="false">
      <c r="A8" s="27" t="n">
        <v>46447</v>
      </c>
      <c r="B8" s="2" t="s">
        <v>69</v>
      </c>
      <c r="E8" s="2" t="s">
        <v>70</v>
      </c>
      <c r="F8" s="2" t="s">
        <v>71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-168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AC8" s="19" t="str">
        <f aca="false">IF((F8="e"),I8," ")</f>
        <v> </v>
      </c>
      <c r="BZ8" s="2" t="s">
        <v>72</v>
      </c>
    </row>
    <row r="9" customFormat="false" ht="12" hidden="false" customHeight="false" outlineLevel="0" collapsed="false">
      <c r="A9" s="27" t="n">
        <v>46447</v>
      </c>
      <c r="B9" s="2" t="s">
        <v>77</v>
      </c>
      <c r="E9" s="2" t="s">
        <v>78</v>
      </c>
      <c r="F9" s="2" t="s">
        <v>71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-168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AC9" s="19" t="str">
        <f aca="false">IF((F9="e"),I9," ")</f>
        <v> </v>
      </c>
      <c r="BZ9" s="2" t="s">
        <v>72</v>
      </c>
    </row>
    <row r="10" customFormat="false" ht="12" hidden="false" customHeight="false" outlineLevel="0" collapsed="false">
      <c r="A10" s="27" t="n">
        <v>46447</v>
      </c>
      <c r="B10" s="2" t="s">
        <v>79</v>
      </c>
      <c r="E10" s="2" t="s">
        <v>80</v>
      </c>
      <c r="F10" s="2" t="s">
        <v>65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-168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AC10" s="19" t="str">
        <f aca="false">IF((F10="e"),I10," ")</f>
        <v> </v>
      </c>
      <c r="BZ10" s="2" t="s">
        <v>66</v>
      </c>
    </row>
    <row r="11" customFormat="false" ht="12" hidden="false" customHeight="false" outlineLevel="0" collapsed="false">
      <c r="A11" s="27" t="n">
        <v>46449</v>
      </c>
      <c r="B11" s="2" t="s">
        <v>81</v>
      </c>
      <c r="E11" s="2" t="s">
        <v>82</v>
      </c>
      <c r="F11" s="2" t="s">
        <v>71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-170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AC11" s="19" t="str">
        <f aca="false">IF((F11="e"),I11," ")</f>
        <v> </v>
      </c>
      <c r="BZ11" s="2" t="s">
        <v>72</v>
      </c>
    </row>
    <row r="12" customFormat="false" ht="12" hidden="false" customHeight="false" outlineLevel="0" collapsed="false">
      <c r="A12" s="27" t="n">
        <v>46449</v>
      </c>
      <c r="B12" s="2" t="s">
        <v>83</v>
      </c>
      <c r="E12" s="2" t="s">
        <v>84</v>
      </c>
      <c r="F12" s="2" t="s">
        <v>75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-170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AC12" s="19" t="str">
        <f aca="false">IF((F12="e"),I12," ")</f>
        <v> </v>
      </c>
      <c r="BZ12" s="2" t="s">
        <v>85</v>
      </c>
    </row>
    <row r="13" customFormat="false" ht="12" hidden="false" customHeight="false" outlineLevel="0" collapsed="false">
      <c r="A13" s="27" t="n">
        <v>46451</v>
      </c>
      <c r="B13" s="2" t="s">
        <v>86</v>
      </c>
      <c r="E13" s="2" t="s">
        <v>87</v>
      </c>
      <c r="F13" s="2" t="s">
        <v>75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-172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AC13" s="19" t="str">
        <f aca="false">IF((F13="e"),I13," ")</f>
        <v> </v>
      </c>
      <c r="BZ13" s="2" t="s">
        <v>85</v>
      </c>
    </row>
    <row r="14" customFormat="false" ht="12" hidden="false" customHeight="false" outlineLevel="0" collapsed="false">
      <c r="A14" s="27" t="n">
        <v>46451</v>
      </c>
      <c r="B14" s="2" t="s">
        <v>88</v>
      </c>
      <c r="E14" s="2" t="s">
        <v>89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-172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AC14" s="19" t="str">
        <f aca="false">IF((F14="e"),I14," ")</f>
        <v> </v>
      </c>
      <c r="BZ14" s="2" t="s">
        <v>90</v>
      </c>
    </row>
    <row r="15" customFormat="false" ht="12" hidden="false" customHeight="false" outlineLevel="0" collapsed="false">
      <c r="A15" s="27" t="n">
        <v>46454</v>
      </c>
      <c r="B15" s="2" t="s">
        <v>93</v>
      </c>
      <c r="E15" s="2" t="s">
        <v>94</v>
      </c>
      <c r="F15" s="2" t="s">
        <v>95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-175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AC15" s="19" t="str">
        <f aca="false">IF((F15="e"),I15," ")</f>
        <v> </v>
      </c>
      <c r="BZ15" s="2" t="s">
        <v>96</v>
      </c>
    </row>
    <row r="16" customFormat="false" ht="12" hidden="false" customHeight="false" outlineLevel="0" collapsed="false">
      <c r="A16" s="27" t="n">
        <v>46456</v>
      </c>
      <c r="B16" s="2" t="s">
        <v>97</v>
      </c>
      <c r="E16" s="2" t="s">
        <v>98</v>
      </c>
      <c r="F16" s="2" t="s">
        <v>75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-177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AC16" s="19" t="str">
        <f aca="false">IF((F16="e"),I16," ")</f>
        <v> </v>
      </c>
      <c r="BZ16" s="2" t="s">
        <v>85</v>
      </c>
    </row>
    <row r="17" customFormat="false" ht="12" hidden="false" customHeight="false" outlineLevel="0" collapsed="false">
      <c r="A17" s="27" t="n">
        <v>46456</v>
      </c>
      <c r="B17" s="2" t="s">
        <v>114</v>
      </c>
      <c r="E17" s="2" t="s">
        <v>206</v>
      </c>
      <c r="F17" s="2" t="s">
        <v>65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-177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AC17" s="19" t="str">
        <f aca="false">IF((F17="e"),I17," ")</f>
        <v> </v>
      </c>
      <c r="BZ17" s="2" t="s">
        <v>155</v>
      </c>
    </row>
    <row r="18" customFormat="false" ht="12" hidden="false" customHeight="false" outlineLevel="0" collapsed="false">
      <c r="A18" s="27" t="n">
        <v>46458</v>
      </c>
      <c r="B18" s="2" t="s">
        <v>106</v>
      </c>
      <c r="E18" s="2" t="s">
        <v>107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-179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AC18" s="19" t="str">
        <f aca="false">IF((F18="e"),I18," ")</f>
        <v> </v>
      </c>
      <c r="BZ18" s="2" t="s">
        <v>90</v>
      </c>
    </row>
    <row r="19" customFormat="false" ht="12" hidden="false" customHeight="false" outlineLevel="0" collapsed="false">
      <c r="A19" s="27" t="n">
        <v>46460</v>
      </c>
      <c r="B19" s="2" t="s">
        <v>110</v>
      </c>
      <c r="E19" s="2" t="s">
        <v>111</v>
      </c>
      <c r="F19" s="2" t="s">
        <v>95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-181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AC19" s="19" t="str">
        <f aca="false">IF((F19="e"),I19," ")</f>
        <v> </v>
      </c>
      <c r="BZ19" s="2" t="s">
        <v>96</v>
      </c>
    </row>
    <row r="20" customFormat="false" ht="12" hidden="false" customHeight="false" outlineLevel="0" collapsed="false">
      <c r="A20" s="27" t="n">
        <v>46460</v>
      </c>
      <c r="B20" s="2" t="s">
        <v>112</v>
      </c>
      <c r="E20" s="2" t="s">
        <v>113</v>
      </c>
      <c r="F20" s="2" t="s">
        <v>95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-181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AC20" s="19" t="str">
        <f aca="false">IF((F20="e"),I20," ")</f>
        <v> </v>
      </c>
      <c r="BZ20" s="2" t="s">
        <v>96</v>
      </c>
    </row>
    <row r="21" customFormat="false" ht="12" hidden="false" customHeight="false" outlineLevel="0" collapsed="false">
      <c r="A21" s="27" t="n">
        <v>46461</v>
      </c>
      <c r="B21" s="2" t="s">
        <v>19</v>
      </c>
      <c r="E21" s="2" t="s">
        <v>89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-182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AC21" s="19" t="str">
        <f aca="false">IF((F21="e"),I21," ")</f>
        <v> </v>
      </c>
      <c r="BZ21" s="2" t="s">
        <v>90</v>
      </c>
    </row>
    <row r="22" customFormat="false" ht="12" hidden="false" customHeight="false" outlineLevel="0" collapsed="false">
      <c r="A22" s="27" t="n">
        <v>46461</v>
      </c>
      <c r="B22" s="2" t="s">
        <v>114</v>
      </c>
      <c r="E22" s="2" t="s">
        <v>115</v>
      </c>
      <c r="F22" s="2" t="s">
        <v>65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-182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AC22" s="19" t="str">
        <f aca="false">IF((F22="e"),I22," ")</f>
        <v> </v>
      </c>
      <c r="BZ22" s="2" t="s">
        <v>66</v>
      </c>
    </row>
    <row r="23" customFormat="false" ht="12" hidden="false" customHeight="false" outlineLevel="0" collapsed="false">
      <c r="A23" s="27" t="n">
        <v>46462</v>
      </c>
      <c r="B23" s="2" t="s">
        <v>151</v>
      </c>
      <c r="E23" s="2" t="s">
        <v>152</v>
      </c>
      <c r="F23" s="2" t="s">
        <v>65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-183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AC23" s="19" t="str">
        <f aca="false">IF((F23="e"),I23," ")</f>
        <v> </v>
      </c>
      <c r="BZ23" s="2" t="s">
        <v>66</v>
      </c>
    </row>
    <row r="24" customFormat="false" ht="12" hidden="false" customHeight="false" outlineLevel="0" collapsed="false">
      <c r="A24" s="27" t="n">
        <v>46464</v>
      </c>
      <c r="B24" s="2" t="s">
        <v>170</v>
      </c>
      <c r="E24" s="2" t="s">
        <v>171</v>
      </c>
      <c r="F24" s="2" t="s">
        <v>104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-185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C24" s="19" t="str">
        <f aca="false">IF((F24="e"),I24," ")</f>
        <v> </v>
      </c>
      <c r="BZ24" s="2" t="s">
        <v>105</v>
      </c>
    </row>
    <row r="25" customFormat="false" ht="12" hidden="false" customHeight="false" outlineLevel="0" collapsed="false">
      <c r="A25" s="27" t="n">
        <v>46464</v>
      </c>
      <c r="B25" s="2" t="s">
        <v>116</v>
      </c>
      <c r="E25" s="2" t="s">
        <v>89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-185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C25" s="19" t="str">
        <f aca="false">IF((F25="e"),I25," ")</f>
        <v> </v>
      </c>
      <c r="BZ25" s="2" t="s">
        <v>90</v>
      </c>
    </row>
    <row r="26" customFormat="false" ht="12" hidden="false" customHeight="false" outlineLevel="0" collapsed="false">
      <c r="A26" s="27" t="n">
        <v>46466</v>
      </c>
      <c r="B26" s="2" t="s">
        <v>117</v>
      </c>
      <c r="E26" s="2" t="s">
        <v>118</v>
      </c>
      <c r="F26" s="2" t="s">
        <v>65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-187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AC26" s="19" t="str">
        <f aca="false">IF((F26="e"),I26," ")</f>
        <v> </v>
      </c>
      <c r="BZ26" s="2" t="s">
        <v>66</v>
      </c>
    </row>
    <row r="27" customFormat="false" ht="12" hidden="false" customHeight="false" outlineLevel="0" collapsed="false">
      <c r="A27" s="27" t="n">
        <v>46467</v>
      </c>
      <c r="B27" s="2" t="s">
        <v>123</v>
      </c>
      <c r="E27" s="2" t="s">
        <v>124</v>
      </c>
      <c r="F27" s="2" t="s">
        <v>95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-188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AC27" s="19" t="str">
        <f aca="false">IF((F27="e"),I27," ")</f>
        <v> </v>
      </c>
      <c r="BZ27" s="2" t="s">
        <v>96</v>
      </c>
    </row>
    <row r="28" customFormat="false" ht="12" hidden="false" customHeight="false" outlineLevel="0" collapsed="false">
      <c r="A28" s="27" t="n">
        <v>46468</v>
      </c>
      <c r="B28" s="2" t="s">
        <v>125</v>
      </c>
      <c r="E28" s="2" t="s">
        <v>126</v>
      </c>
      <c r="F28" s="2" t="s">
        <v>75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-189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AC28" s="19" t="str">
        <f aca="false">IF((F28="e"),I28," ")</f>
        <v> </v>
      </c>
      <c r="BZ28" s="2" t="s">
        <v>85</v>
      </c>
    </row>
    <row r="29" customFormat="false" ht="12" hidden="false" customHeight="false" outlineLevel="0" collapsed="false">
      <c r="A29" s="27" t="n">
        <v>46468</v>
      </c>
      <c r="B29" s="2" t="s">
        <v>158</v>
      </c>
      <c r="E29" s="2" t="s">
        <v>159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-189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AC29" s="19" t="str">
        <f aca="false">IF((F29="e"),I29," ")</f>
        <v> </v>
      </c>
      <c r="BZ29" s="2" t="s">
        <v>90</v>
      </c>
    </row>
    <row r="30" customFormat="false" ht="12" hidden="false" customHeight="false" outlineLevel="0" collapsed="false">
      <c r="A30" s="27" t="n">
        <v>46471</v>
      </c>
      <c r="B30" s="2" t="s">
        <v>172</v>
      </c>
      <c r="E30" s="2" t="s">
        <v>173</v>
      </c>
      <c r="F30" s="2" t="s">
        <v>61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-192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AC30" s="19" t="str">
        <f aca="false">IF((F30="e"),I30," ")</f>
        <v> </v>
      </c>
      <c r="BZ30" s="2" t="s">
        <v>174</v>
      </c>
    </row>
    <row r="31" customFormat="false" ht="12" hidden="false" customHeight="false" outlineLevel="0" collapsed="false">
      <c r="A31" s="27" t="n">
        <v>46471</v>
      </c>
      <c r="B31" s="2" t="s">
        <v>127</v>
      </c>
      <c r="E31" s="2" t="s">
        <v>128</v>
      </c>
      <c r="F31" s="2" t="s">
        <v>75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-192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AC31" s="19" t="str">
        <f aca="false">IF((F31="e"),I31," ")</f>
        <v> </v>
      </c>
      <c r="BZ31" s="2" t="s">
        <v>85</v>
      </c>
    </row>
    <row r="32" customFormat="false" ht="12" hidden="false" customHeight="false" outlineLevel="0" collapsed="false">
      <c r="A32" s="27" t="n">
        <v>46471</v>
      </c>
      <c r="B32" s="2" t="s">
        <v>129</v>
      </c>
      <c r="D32" s="4" t="n">
        <v>130</v>
      </c>
      <c r="E32" s="2" t="s">
        <v>228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AC32" s="19" t="str">
        <f aca="false">IF((F32="e"),I32," ")</f>
        <v> </v>
      </c>
      <c r="BZ32" s="2" t="s">
        <v>90</v>
      </c>
    </row>
    <row r="33" customFormat="false" ht="12" hidden="false" customHeight="false" outlineLevel="0" collapsed="false">
      <c r="A33" s="27" t="n">
        <v>46474</v>
      </c>
      <c r="B33" s="2" t="s">
        <v>19</v>
      </c>
      <c r="E33" s="2" t="s">
        <v>131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-195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AC33" s="19" t="str">
        <f aca="false">IF((F33="e"),I33," ")</f>
        <v> </v>
      </c>
      <c r="BZ33" s="2" t="s">
        <v>90</v>
      </c>
    </row>
    <row r="34" customFormat="false" ht="12" hidden="false" customHeight="false" outlineLevel="0" collapsed="false">
      <c r="A34" s="27" t="n">
        <v>46477</v>
      </c>
      <c r="B34" s="2" t="s">
        <v>15</v>
      </c>
      <c r="E34" s="2" t="s">
        <v>132</v>
      </c>
      <c r="F34" s="2" t="s">
        <v>133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-198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AC34" s="19" t="str">
        <f aca="false">IF((F34="e"),I34," ")</f>
        <v> </v>
      </c>
      <c r="BZ34" s="2" t="s">
        <v>134</v>
      </c>
    </row>
    <row r="35" customFormat="false" ht="12" hidden="false" customHeight="false" outlineLevel="0" collapsed="false">
      <c r="A35" s="27" t="n">
        <v>46477</v>
      </c>
      <c r="B35" s="2" t="s">
        <v>176</v>
      </c>
      <c r="C35" s="3" t="s">
        <v>236</v>
      </c>
      <c r="E35" s="2" t="s">
        <v>178</v>
      </c>
      <c r="F35" s="2" t="s">
        <v>133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-198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AC35" s="19" t="str">
        <f aca="false">IF((F35="e"),I35," ")</f>
        <v> </v>
      </c>
      <c r="BZ35" s="2" t="s">
        <v>179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AC36" s="19" t="str">
        <f aca="false">IF((F36="e"),I36,"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AC37" s="19" t="str">
        <f aca="false">IF((F37="e"),I37,"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AC38" s="19" t="str">
        <f aca="false">IF((F38="e"),I38,"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  <c r="AC39" s="19" t="str">
        <f aca="false">IF((F39="e"),I39,"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  <c r="AC40" s="19" t="str">
        <f aca="false">IF((F40="e"),I40,"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  <c r="AC41" s="19" t="str">
        <f aca="false">IF((F41="e"),I41,"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  <c r="AC42" s="19" t="str">
        <f aca="false">IF((F42="e"),I42,"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  <c r="AC43" s="19" t="str">
        <f aca="false">IF((F43="e"),I43,"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  <c r="AC44" s="19" t="str">
        <f aca="false">IF((F44="e"),I44,"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  <c r="AC45" s="19" t="str">
        <f aca="false">IF((F45="e"),I45,"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  <c r="AC46" s="19" t="str">
        <f aca="false">IF((F46="e"),I46,"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  <c r="AC47" s="19" t="str">
        <f aca="false">IF((F47="e"),I47,"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  <c r="AC48" s="19" t="str">
        <f aca="false">IF((F48="e"),I48,"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  <c r="AC49" s="19" t="str">
        <f aca="false">IF((F49="e"),I49,"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  <c r="AC50" s="19" t="str">
        <f aca="false">IF((F50="e"),I50,"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  <c r="AC51" s="19" t="str">
        <f aca="false">IF((F51="e"),I51,"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  <c r="AC52" s="19" t="str">
        <f aca="false">IF((F52="e"),I52,"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  <c r="AC53" s="19" t="str">
        <f aca="false">IF((F53="e"),I53,"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  <c r="AC54" s="19" t="str">
        <f aca="false">IF((F54="e"),I54,"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  <c r="AC55" s="19" t="str">
        <f aca="false">IF((F55="e"),I55,"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  <c r="AC56" s="19" t="str">
        <f aca="false">IF((F56="e"),I56,"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  <c r="AC57" s="19" t="str">
        <f aca="false">IF((F57="e"),I57,"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  <c r="AC58" s="19" t="str">
        <f aca="false">IF((F58="e"),I58,"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  <c r="AC59" s="19" t="str">
        <f aca="false">IF((F59="e"),I59,"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  <c r="AC60" s="19" t="str">
        <f aca="false">IF((F60="e"),I60,"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  <c r="AC61" s="19" t="str">
        <f aca="false">IF((F61="e"),I61,"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  <c r="AC62" s="19" t="str">
        <f aca="false">IF((F62="e"),I62,"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  <c r="AC63" s="19" t="str">
        <f aca="false">IF((F63="e"),I63,"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  <c r="AC64" s="19" t="str">
        <f aca="false">IF((F64="e"),I64,"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  <c r="AC65" s="19" t="str">
        <f aca="false">IF((F65="e"),I65,"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  <c r="AC66" s="19" t="str">
        <f aca="false">IF((F66="e"),I66,"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  <c r="AC67" s="19" t="str">
        <f aca="false">IF((F67="e"),I67,"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  <c r="AC68" s="19" t="str">
        <f aca="false">IF((F68="e"),I68,"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  <c r="AC69" s="19" t="str">
        <f aca="false">IF((F69="e"),I69,"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  <c r="AC70" s="19" t="str">
        <f aca="false">IF((F70="e"),I70,"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  <c r="AC71" s="19" t="str">
        <f aca="false">IF((F71="e"),I71,"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  <c r="AC72" s="19" t="str">
        <f aca="false">IF((F72="e"),I72,"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  <c r="AC73" s="19" t="str">
        <f aca="false">IF((F73="e"),I73,"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  <c r="AC74" s="19" t="str">
        <f aca="false">IF((F74="e"),I74,"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  <c r="AC75" s="19" t="str">
        <f aca="false">IF((F75="e"),I75,"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  <c r="AC76" s="19" t="str">
        <f aca="false">IF((F76="e"),I76,"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  <c r="AC77" s="19" t="str">
        <f aca="false">IF((F77="e"),I77,"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  <c r="AC78" s="19" t="str">
        <f aca="false">IF((F78="e"),I78,"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  <c r="AC79" s="19" t="str">
        <f aca="false">IF((F79="e"),I79,"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  <c r="AC80" s="19" t="str">
        <f aca="false">IF((F80="e"),I80,"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  <c r="AC81" s="19" t="str">
        <f aca="false">IF((F81="e"),I81,"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  <c r="AC82" s="19" t="str">
        <f aca="false">IF((F82="e"),I82,"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  <c r="AC83" s="19" t="str">
        <f aca="false">IF((F83="e"),I83,"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  <c r="AC84" s="19" t="str">
        <f aca="false">IF((F84="e"),I84,"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  <c r="AC85" s="19" t="str">
        <f aca="false">IF((F85="e"),I85,"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  <c r="AC86" s="19" t="str">
        <f aca="false">IF((F86="e"),I86,"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  <c r="AC87" s="19" t="str">
        <f aca="false">IF((F87="e"),I87,"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  <c r="AC88" s="19" t="str">
        <f aca="false">IF((F88="e"),I88,"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  <c r="AC89" s="19" t="str">
        <f aca="false">IF((F89="e"),I89,"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  <c r="AC90" s="19" t="str">
        <f aca="false">IF((F90="e"),I90,"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  <c r="AC91" s="19" t="str">
        <f aca="false">IF((F91="e"),I91,"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  <c r="AC92" s="19" t="str">
        <f aca="false">IF((F92="e"),I92,"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  <c r="AC93" s="19" t="str">
        <f aca="false">IF((F93="e"),I93,"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  <c r="AC94" s="19" t="str">
        <f aca="false">IF((F94="e"),I94,"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  <c r="AC95" s="19" t="str">
        <f aca="false">IF((F95="e"),I95,"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  <c r="AC96" s="19" t="str">
        <f aca="false">IF((F96="e"),I96,"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  <c r="AC97" s="19" t="str">
        <f aca="false">IF((F97="e"),I97,"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  <c r="AC98" s="19" t="str">
        <f aca="false">IF((F98="e"),I98,"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  <c r="AC99" s="19" t="str">
        <f aca="false">IF((F99="e"),I99,"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  <c r="AC100" s="19" t="str">
        <f aca="false">IF((F100="e"),I100,"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  <c r="AC101" s="19" t="str">
        <f aca="false">IF((F101="e"),I101,"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  <c r="AC102" s="19" t="str">
        <f aca="false">IF((F102="e"),I102,"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  <c r="AC103" s="19" t="str">
        <f aca="false">IF((F103="e"),I103,"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  <c r="AC104" s="19" t="str">
        <f aca="false">IF((F104="e"),I104,"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  <c r="AC105" s="19" t="str">
        <f aca="false">IF((F105="e"),I105,"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  <c r="AC106" s="19" t="str">
        <f aca="false">IF((F106="e"),I106,"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  <c r="AC107" s="19" t="str">
        <f aca="false">IF((F107="e"),I107,"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  <c r="AC108" s="19" t="str">
        <f aca="false">IF((F108="e"),I108,"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  <c r="AC109" s="19" t="str">
        <f aca="false">IF((F109="e"),I109,"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  <c r="AC110" s="19" t="str">
        <f aca="false">IF((F110="e"),I110,"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  <c r="AC111" s="19" t="str">
        <f aca="false">IF((F111="e"),I111,"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  <c r="AC112" s="19" t="str">
        <f aca="false">IF((F112="e"),I112,"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  <c r="AC113" s="19" t="str">
        <f aca="false">IF((F113="e"),I113,"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  <c r="AC114" s="19" t="str">
        <f aca="false">IF((F114="e"),I114,"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  <c r="AC115" s="19" t="str">
        <f aca="false">IF((F115="e"),I115,"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  <c r="AC116" s="19" t="str">
        <f aca="false">IF((F116="e"),I116,"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  <c r="AC117" s="19" t="str">
        <f aca="false">IF((F117="e"),I117,"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  <c r="AC118" s="19" t="str">
        <f aca="false">IF((F118="e"),I118,"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  <c r="AC119" s="19" t="str">
        <f aca="false">IF((F119="e"),I119,"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  <c r="AC120" s="19" t="str">
        <f aca="false">IF((F120="e"),I120,"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  <c r="AC121" s="19" t="str">
        <f aca="false">IF((F121="e"),I121,"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  <c r="AC122" s="19" t="str">
        <f aca="false">IF((F122="e"),I122,"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  <c r="AC123" s="19" t="str">
        <f aca="false">IF((F123="e"),I123,"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  <c r="AC124" s="19" t="str">
        <f aca="false">IF((F124="e"),I124,"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  <c r="AC125" s="19" t="str">
        <f aca="false">IF((F125="e"),I125,"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  <c r="AC126" s="19" t="str">
        <f aca="false">IF((F126="e"),I126,"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  <c r="AC127" s="19" t="str">
        <f aca="false">IF((F127="e"),I127,"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  <c r="AC128" s="19" t="str">
        <f aca="false">IF((F128="e"),I128,"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  <c r="AC129" s="19" t="str">
        <f aca="false">IF((F129="e"),I129,"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  <c r="AC130" s="19" t="str">
        <f aca="false">IF((F130="e"),I130,"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  <c r="AC131" s="19" t="str">
        <f aca="false">IF((F131="e"),I131,"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  <c r="AC132" s="19" t="str">
        <f aca="false">IF((F132="e"),I132,"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  <c r="AC133" s="19" t="str">
        <f aca="false">IF((F133="e"),I133,"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  <c r="AC134" s="19" t="str">
        <f aca="false">IF((F134="e"),I134,"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  <c r="AC135" s="19" t="str">
        <f aca="false">IF((F135="e"),I135,"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  <c r="AC136" s="19" t="str">
        <f aca="false">IF((F136="e"),I136,"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  <c r="AC137" s="19" t="str">
        <f aca="false">IF((F137="e"),I137,"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  <c r="AC138" s="19" t="str">
        <f aca="false">IF((F138="e"),I138,"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  <c r="AC139" s="19" t="str">
        <f aca="false">IF((F139="e"),I139,"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  <c r="AC140" s="19" t="str">
        <f aca="false">IF((F140="e"),I140,"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  <c r="AC141" s="19" t="str">
        <f aca="false">IF((F141="e"),I141,"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  <c r="AC142" s="19" t="str">
        <f aca="false">IF((F142="e"),I142,"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  <c r="AC143" s="19" t="str">
        <f aca="false">IF((F143="e"),I143,"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  <c r="AC144" s="19" t="str">
        <f aca="false">IF((F144="e"),I144,"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  <c r="AC145" s="19" t="str">
        <f aca="false">IF((F145="e"),I145,"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  <c r="AC146" s="19" t="str">
        <f aca="false">IF((F146="e"),I146,"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  <c r="AC147" s="19" t="str">
        <f aca="false">IF((F147="e"),I147,"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  <c r="AC148" s="19" t="str">
        <f aca="false">IF((F148="e"),I148,"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  <c r="AC149" s="19" t="str">
        <f aca="false">IF((F149="e"),I149,"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  <c r="AC150" s="19" t="str">
        <f aca="false">IF((F150="e"),I150,"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  <c r="AC151" s="19" t="str">
        <f aca="false">IF((F151="e"),I151,"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  <c r="AC152" s="19" t="str">
        <f aca="false">IF((F152="e"),I152,"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  <c r="AC153" s="19" t="str">
        <f aca="false">IF((F153="e"),I153,"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  <c r="AC154" s="19" t="str">
        <f aca="false">IF((F154="e"),I154,"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  <c r="AC155" s="19" t="str">
        <f aca="false">IF((F155="e"),I155,"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  <c r="AC156" s="19" t="str">
        <f aca="false">IF((F156="e"),I156,"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  <c r="AC157" s="19" t="str">
        <f aca="false">IF((F157="e"),I157,"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  <c r="AC158" s="19" t="str">
        <f aca="false">IF((F158="e"),I158,"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  <c r="AC159" s="19" t="str">
        <f aca="false">IF((F159="e"),I159,"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  <c r="AC160" s="19" t="str">
        <f aca="false">IF((F160="e"),I160,"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  <c r="AC161" s="19" t="str">
        <f aca="false">IF((F161="e"),I161,"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  <c r="AC162" s="19" t="str">
        <f aca="false">IF((F162="e"),I162,"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  <c r="AC163" s="19" t="str">
        <f aca="false">IF((F163="e"),I163,"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  <c r="AC164" s="19" t="str">
        <f aca="false">IF((F164="e"),I164,"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  <c r="AC165" s="19" t="str">
        <f aca="false">IF((F165="e"),I165,"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  <c r="AC166" s="19" t="str">
        <f aca="false">IF((F166="e"),I166,"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  <c r="AC167" s="19" t="str">
        <f aca="false">IF((F167="e"),I167,"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  <c r="AC168" s="19" t="str">
        <f aca="false">IF((F168="e"),I168,"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  <c r="AC169" s="19" t="str">
        <f aca="false">IF((F169="e"),I169,"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  <c r="AC170" s="19" t="str">
        <f aca="false">IF((F170="e"),I170,"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  <c r="AC171" s="19" t="str">
        <f aca="false">IF((F171="e"),I171,"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  <c r="AC172" s="19" t="str">
        <f aca="false">IF((F172="e"),I172,"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  <c r="AC173" s="19" t="str">
        <f aca="false">IF((F173="e"),I173,"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  <c r="AC174" s="19" t="str">
        <f aca="false">IF((F174="e"),I174,"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  <c r="AC175" s="19" t="str">
        <f aca="false">IF((F175="e"),I175,"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  <c r="AC176" s="19" t="str">
        <f aca="false">IF((F176="e"),I176,"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  <c r="AC177" s="19" t="str">
        <f aca="false">IF((F177="e"),I177,"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  <c r="AC178" s="19" t="str">
        <f aca="false">IF((F178="e"),I178,"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  <c r="AC179" s="19" t="str">
        <f aca="false">IF((F179="e"),I179,"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  <c r="AC180" s="19" t="str">
        <f aca="false">IF((F180="e"),I180,"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  <c r="AC181" s="19" t="str">
        <f aca="false">IF((F181="e"),I181,"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  <c r="AC182" s="19" t="str">
        <f aca="false">IF((F182="e"),I182,"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  <c r="AC183" s="19" t="str">
        <f aca="false">IF((F183="e"),I183,"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  <c r="AC184" s="19" t="str">
        <f aca="false">IF((F184="e"),I184,"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  <c r="AC185" s="19" t="str">
        <f aca="false">IF((F185="e"),I185,"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  <c r="AC186" s="19" t="str">
        <f aca="false">IF((F186="e"),I186,"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  <c r="AC187" s="19" t="str">
        <f aca="false">IF((F187="e"),I187,"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  <c r="AC188" s="19" t="str">
        <f aca="false">IF((F188="e"),I188,"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  <c r="AC189" s="19" t="str">
        <f aca="false">IF((F189="e"),I189,"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  <c r="AC190" s="19" t="str">
        <f aca="false">IF((F190="e"),I190,"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  <c r="AC191" s="19" t="str">
        <f aca="false">IF((F191="e"),I191,"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  <c r="AC192" s="19" t="str">
        <f aca="false">IF((F192="e"),I192,"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  <c r="AC193" s="19" t="str">
        <f aca="false">IF((F193="e"),I193,"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  <c r="AC194" s="19" t="str">
        <f aca="false">IF((F194="e"),I194,"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  <c r="AC195" s="19" t="str">
        <f aca="false">IF((F195="e"),I195,"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  <c r="AC196" s="19" t="str">
        <f aca="false">IF((F196="e"),I196,"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  <c r="AC197" s="19" t="str">
        <f aca="false">IF((F197="e"),I197,"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  <c r="AC198" s="19" t="str">
        <f aca="false">IF((F198="e"),I198,"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  <c r="AC199" s="19" t="str">
        <f aca="false">IF((F199="e"),I199,"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  <c r="AC200" s="19" t="str">
        <f aca="false">IF((F200="e"),I200,"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  <c r="AC201" s="19" t="str">
        <f aca="false">IF((F201="e"),I201,"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  <c r="AC202" s="19" t="str">
        <f aca="false">IF((F202="e"),I202,"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  <c r="AC203" s="19" t="str">
        <f aca="false">IF((F203="e"),I203,"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  <c r="AC204" s="19" t="str">
        <f aca="false">IF((F204="e"),I204,"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  <c r="AC205" s="19" t="str">
        <f aca="false">IF((F205="e"),I205,"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  <c r="AC206" s="19" t="str">
        <f aca="false">IF((F206="e"),I206,"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  <c r="AC207" s="19" t="str">
        <f aca="false">IF((F207="e"),I207,"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  <c r="AC208" s="19" t="str">
        <f aca="false">IF((F208="e"),I208,"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  <c r="AC209" s="19" t="str">
        <f aca="false">IF((F209="e"),I209,"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  <c r="AC210" s="19" t="str">
        <f aca="false">IF((F210="e"),I210,"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  <c r="AC211" s="19" t="str">
        <f aca="false">IF((F211="e"),I211,"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  <c r="AC212" s="19" t="str">
        <f aca="false">IF((F212="e"),I212,"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  <c r="AC213" s="19" t="str">
        <f aca="false">IF((F213="e"),I213,"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  <c r="AC214" s="19" t="str">
        <f aca="false">IF((F214="e"),I214,"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  <c r="AC215" s="19" t="str">
        <f aca="false">IF((F215="e"),I215,"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  <c r="AC216" s="19" t="str">
        <f aca="false">IF((F216="e"),I216,"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  <c r="AC217" s="19" t="str">
        <f aca="false">IF((F217="e"),I217,"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  <c r="AC218" s="19" t="str">
        <f aca="false">IF((F218="e"),I218,"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  <c r="AC219" s="19" t="str">
        <f aca="false">IF((F219="e"),I219,"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  <c r="AC220" s="19" t="str">
        <f aca="false">IF((F220="e"),I220,"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  <c r="AC221" s="19" t="str">
        <f aca="false">IF((F221="e"),I221,"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  <c r="AC222" s="19" t="str">
        <f aca="false">IF((F222="e"),I222,"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  <c r="AC223" s="19" t="str">
        <f aca="false">IF((F223="e"),I223,"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  <c r="AC224" s="19" t="str">
        <f aca="false">IF((F224="e"),I224,"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  <c r="AC225" s="19" t="str">
        <f aca="false">IF((F225="e"),I225,"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  <c r="AC226" s="19" t="str">
        <f aca="false">IF((F226="e"),I226,"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  <c r="AC227" s="19" t="str">
        <f aca="false">IF((F227="e"),I227,"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  <c r="AC228" s="19" t="str">
        <f aca="false">IF((F228="e"),I228,"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  <c r="AC229" s="19" t="str">
        <f aca="false">IF((F229="e"),I229,"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  <c r="AC230" s="19" t="str">
        <f aca="false">IF((F230="e"),I230,"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  <c r="AC231" s="19" t="str">
        <f aca="false">IF((F231="e"),I231,"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  <c r="AC232" s="19" t="str">
        <f aca="false">IF((F232="e"),I232,"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  <c r="AC233" s="19" t="str">
        <f aca="false">IF((F233="e"),I233,"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  <c r="AC234" s="19" t="str">
        <f aca="false">IF((F234="e"),I234,"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  <c r="AC235" s="19" t="str">
        <f aca="false">IF((F235="e"),I235,"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  <c r="AC236" s="19" t="str">
        <f aca="false">IF((F236="e"),I236,"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  <c r="AC237" s="19" t="str">
        <f aca="false">IF((F237="e"),I237,"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  <c r="AC238" s="19" t="str">
        <f aca="false">IF((F238="e"),I238,"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  <c r="AC239" s="19" t="str">
        <f aca="false">IF((F239="e"),I239,"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  <c r="AC240" s="19" t="str">
        <f aca="false">IF((F240="e"),I240,"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  <c r="AC241" s="19" t="str">
        <f aca="false">IF((F241="e"),I241,"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  <c r="AC242" s="19" t="str">
        <f aca="false">IF((F242="e"),I242,"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  <c r="AC243" s="19" t="str">
        <f aca="false">IF((F243="e"),I243,"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  <c r="AC244" s="19" t="str">
        <f aca="false">IF((F244="e"),I244,"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  <c r="AC245" s="19" t="str">
        <f aca="false">IF((F245="e"),I245,"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  <c r="AC246" s="19" t="str">
        <f aca="false">IF((F246="e"),I246,"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  <c r="AC247" s="19" t="str">
        <f aca="false">IF((F247="e"),I247,"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  <c r="AC248" s="19" t="str">
        <f aca="false">IF((F248="e"),I248,"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  <c r="AC249" s="19" t="str">
        <f aca="false">IF((F249="e"),I249,"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  <c r="AC250" s="19" t="str">
        <f aca="false">IF((F250="e"),I250,"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  <c r="AC251" s="19" t="str">
        <f aca="false">IF((F251="e"),I251,"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  <c r="AC252" s="19" t="str">
        <f aca="false">IF((F252="e"),I252,"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  <c r="AC253" s="19" t="str">
        <f aca="false">IF((F253="e"),I253,"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  <c r="AC254" s="19" t="str">
        <f aca="false">IF((F254="e"),I254,"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  <c r="AC255" s="19" t="str">
        <f aca="false">IF((F255="e"),I255,"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  <c r="AC256" s="19" t="str">
        <f aca="false">IF((F256="e"),I256,"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  <c r="AC257" s="19" t="str">
        <f aca="false">IF((F257="e"),I257,"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  <c r="AC258" s="19" t="str">
        <f aca="false">IF((F258="e"),I258,"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  <c r="AC259" s="19" t="str">
        <f aca="false">IF((F259="e"),I259,"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  <c r="AC260" s="19" t="str">
        <f aca="false">IF((F260="e"),I260,"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  <c r="AC261" s="19" t="str">
        <f aca="false">IF((F261="e"),I261,"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  <c r="AC262" s="19" t="str">
        <f aca="false">IF((F262="e"),I262,"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  <c r="AC263" s="19" t="str">
        <f aca="false">IF((F263="e"),I263,"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  <c r="AC264" s="19" t="str">
        <f aca="false">IF((F264="e"),I264,"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  <c r="AC265" s="19" t="str">
        <f aca="false">IF((F265="e"),I265,"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  <c r="AC266" s="19" t="str">
        <f aca="false">IF((F266="e"),I266,"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  <c r="AC267" s="19" t="str">
        <f aca="false">IF((F267="e"),I267,"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  <c r="AC268" s="19" t="str">
        <f aca="false">IF((F268="e"),I268,"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  <c r="AC269" s="19" t="str">
        <f aca="false">IF((F269="e"),I269,"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  <c r="AC270" s="19" t="str">
        <f aca="false">IF((F270="e"),I270,"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  <c r="AC271" s="19" t="str">
        <f aca="false">IF((F271="e"),I271,"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  <c r="AC272" s="19" t="str">
        <f aca="false">IF((F272="e"),I272,"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  <c r="AC273" s="19" t="str">
        <f aca="false">IF((F273="e"),I273,"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  <c r="AC274" s="19" t="str">
        <f aca="false">IF((F274="e"),I274,"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  <c r="AC275" s="19" t="str">
        <f aca="false">IF((F275="e"),I275,"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  <c r="AC276" s="19" t="str">
        <f aca="false">IF((F276="e"),I276,"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  <c r="AC277" s="19" t="str">
        <f aca="false">IF((F277="e"),I277,"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  <c r="AC278" s="19" t="str">
        <f aca="false">IF((F278="e"),I278,"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  <c r="AC279" s="19" t="str">
        <f aca="false">IF((F279="e"),I279,"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  <c r="AC280" s="19" t="str">
        <f aca="false">IF((F280="e"),I280,"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  <c r="AC281" s="19" t="str">
        <f aca="false">IF((F281="e"),I281,"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  <c r="AC282" s="19" t="str">
        <f aca="false">IF((F282="e"),I282,"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  <c r="AC283" s="19" t="str">
        <f aca="false">IF((F283="e"),I283,"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  <c r="AC284" s="19" t="str">
        <f aca="false">IF((F284="e"),I284,"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  <c r="AC285" s="19" t="str">
        <f aca="false">IF((F285="e"),I285,"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  <c r="AC286" s="19" t="str">
        <f aca="false">IF((F286="e"),I286,"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  <c r="AC287" s="19" t="str">
        <f aca="false">IF((F287="e"),I287,"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  <c r="AC288" s="19" t="str">
        <f aca="false">IF((F288="e"),I288,"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  <c r="AC289" s="19" t="str">
        <f aca="false">IF((F289="e"),I289,"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  <c r="AC290" s="19" t="str">
        <f aca="false">IF((F290="e"),I290,"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  <c r="AC291" s="19" t="str">
        <f aca="false">IF((F291="e"),I291,"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  <c r="AC292" s="19" t="str">
        <f aca="false">IF((F292="e"),I292,"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  <c r="AC293" s="19" t="str">
        <f aca="false">IF((F293="e"),I293,"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  <c r="AC294" s="19" t="str">
        <f aca="false">IF((F294="e"),I294,"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  <c r="AC295" s="19" t="str">
        <f aca="false">IF((F295="e"),I295,"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  <c r="AC296" s="19" t="str">
        <f aca="false">IF((F296="e"),I296,"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  <c r="AC297" s="19" t="str">
        <f aca="false">IF((F297="e"),I297,"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  <c r="AC298" s="19" t="str">
        <f aca="false">IF((F298="e"),I298,"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  <c r="AC299" s="19" t="str">
        <f aca="false">IF((F299="e"),I299,"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 t="str">
        <f aca="false">IF((G300&lt;&gt;0),"Enter Letter"," ")</f>
        <v> </v>
      </c>
      <c r="G300" s="53"/>
      <c r="H300" s="35" t="str">
        <f aca="false">IF(G300&lt;&gt;0,G300*H$2/(100+H$2)," ")</f>
        <v> </v>
      </c>
      <c r="I300" s="35" t="str">
        <f aca="false">IF((G300&lt;&gt;0),G300-H300," ")</f>
        <v> </v>
      </c>
      <c r="J300" s="54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4"/>
      <c r="P300" s="55" t="str">
        <f aca="false">IF((F300="s"),I300," ")</f>
        <v> </v>
      </c>
      <c r="Q300" s="55" t="str">
        <f aca="false">IF((F300="c"),I300," ")</f>
        <v> </v>
      </c>
      <c r="R300" s="55" t="str">
        <f aca="false">IF((F300="o"),I300," ")</f>
        <v> </v>
      </c>
      <c r="S300" s="55" t="str">
        <f aca="false">IF((F300="w"),I300," ")</f>
        <v> </v>
      </c>
      <c r="T300" s="55" t="str">
        <f aca="false">IF((F300="p"),I300," ")</f>
        <v> </v>
      </c>
      <c r="U300" s="55" t="str">
        <f aca="false">IF((F300="m"),I300," ")</f>
        <v> </v>
      </c>
      <c r="V300" s="55" t="str">
        <f aca="false">IF((F300="g"),I300," ")</f>
        <v> </v>
      </c>
      <c r="W300" s="53" t="str">
        <f aca="false">IF((F300="v"),I300," ")</f>
        <v> </v>
      </c>
      <c r="X300" s="55" t="str">
        <f aca="false">IF((F300="h"),I300," ")</f>
        <v> </v>
      </c>
      <c r="Y300" s="55" t="str">
        <f aca="false">IF((F300="a"),I300," ")</f>
        <v> </v>
      </c>
      <c r="Z300" s="55" t="str">
        <f aca="false">IF((F300="l"),I300," ")</f>
        <v> </v>
      </c>
      <c r="AA300" s="55" t="str">
        <f aca="false">IF((F300="y"),I300," ")</f>
        <v> </v>
      </c>
      <c r="AB300" s="55" t="str">
        <f aca="false">IF((F300="fa"),I300," ")</f>
        <v> </v>
      </c>
      <c r="AC300" s="55" t="str">
        <f aca="false">IF((F300="e"),I300," ")</f>
        <v> </v>
      </c>
      <c r="AD300" s="55"/>
      <c r="AE300" s="55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customFormat="fals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46279</v>
      </c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V1" s="19"/>
      <c r="CW1" s="19"/>
      <c r="CX1" s="19"/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K1" s="19"/>
      <c r="EL1" s="19"/>
      <c r="EM1" s="19"/>
      <c r="EN1" s="19"/>
      <c r="EO1" s="19"/>
      <c r="EP1" s="19"/>
      <c r="EQ1" s="19"/>
      <c r="ER1" s="19"/>
      <c r="ES1" s="19"/>
      <c r="ET1" s="19"/>
      <c r="EU1" s="19"/>
      <c r="EV1" s="19"/>
      <c r="EW1" s="19"/>
      <c r="EX1" s="19"/>
      <c r="EY1" s="19"/>
      <c r="EZ1" s="19"/>
      <c r="FA1" s="19"/>
      <c r="FB1" s="19"/>
      <c r="FC1" s="19"/>
      <c r="FD1" s="19"/>
      <c r="FE1" s="19"/>
      <c r="FF1" s="19"/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S1" s="19"/>
      <c r="GT1" s="19"/>
      <c r="GU1" s="19"/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  <c r="IH1" s="19"/>
      <c r="II1" s="19"/>
      <c r="IJ1" s="19"/>
      <c r="IK1" s="19"/>
      <c r="IL1" s="19"/>
      <c r="IM1" s="19"/>
      <c r="IN1" s="19"/>
      <c r="IO1" s="19"/>
      <c r="IP1" s="19"/>
      <c r="IQ1" s="19"/>
      <c r="IR1" s="19"/>
      <c r="IS1" s="19"/>
      <c r="IT1" s="19"/>
      <c r="IU1" s="19"/>
      <c r="IV1" s="19"/>
      <c r="IW1" s="19"/>
    </row>
    <row r="2" customFormat="fals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</row>
    <row r="3" customFormat="fals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</row>
    <row r="4" customFormat="fals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2" hidden="false" customHeight="false" outlineLevel="0" collapsed="false">
      <c r="A5" s="27"/>
      <c r="B5" s="5" t="s">
        <v>13</v>
      </c>
      <c r="C5" s="28" t="s">
        <v>237</v>
      </c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J5" s="5"/>
      <c r="M5" s="7" t="n">
        <f aca="false">IF(G5&lt;&gt;0,G5-L5," ")</f>
        <v>1200</v>
      </c>
      <c r="N5" s="8" t="n">
        <f aca="false">IF((G5-L5)&lt;&gt;0,N$1-A5," ")</f>
        <v>46279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" hidden="false" customHeight="false" outlineLevel="0" collapsed="false">
      <c r="A6" s="27"/>
      <c r="B6" s="2" t="s">
        <v>15</v>
      </c>
      <c r="C6" s="3" t="s">
        <v>238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46279</v>
      </c>
    </row>
    <row r="7" customFormat="false" ht="12" hidden="false" customHeight="false" outlineLevel="0" collapsed="false">
      <c r="A7" s="27"/>
      <c r="B7" s="2" t="s">
        <v>117</v>
      </c>
      <c r="C7" s="3" t="s">
        <v>239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46279</v>
      </c>
    </row>
    <row r="8" customFormat="false" ht="12" hidden="false" customHeight="false" outlineLevel="0" collapsed="false">
      <c r="A8" s="27"/>
      <c r="B8" s="2" t="s">
        <v>19</v>
      </c>
      <c r="C8" s="3" t="s">
        <v>240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46279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