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<sst xmlns="http://schemas.openxmlformats.org/spreadsheetml/2006/main" count="2222" uniqueCount="235">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</sst>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46264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46264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46264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46264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46264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851.875</v>
      </c>
      <c r="I1" s="13" t="n">
        <f aca="false">SUM(I2:I200)</f>
        <v>4259.375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46264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501.875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22</v>
      </c>
      <c r="C2" s="43" t="n">
        <f aca="false">0+D1+[1]Apr!$D$1</f>
        <v>0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503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45748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516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45748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516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45748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516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45748</v>
      </c>
      <c r="B9" s="2" t="s">
        <v>71</v>
      </c>
      <c r="E9" s="2" t="s">
        <v>72</v>
      </c>
      <c r="F9" s="2" t="s">
        <v>73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516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45748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516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45748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516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45750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514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45750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514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45752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512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45752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512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45752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512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45755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509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45757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507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45757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507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45757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507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45759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505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45761</v>
      </c>
      <c r="B22" s="2" t="s">
        <v>106</v>
      </c>
      <c r="E22" s="2" t="s">
        <v>107</v>
      </c>
      <c r="F22" s="2" t="s">
        <v>73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503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BZ22" s="2" t="s">
        <v>83</v>
      </c>
    </row>
    <row r="23" customFormat="false" ht="12" hidden="false" customHeight="false" outlineLevel="0" collapsed="false">
      <c r="A23" s="27" t="n">
        <v>45761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503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45761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503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45762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502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45762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502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45765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499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45767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497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45767</v>
      </c>
      <c r="B29" s="2" t="s">
        <v>117</v>
      </c>
      <c r="E29" s="2" t="s">
        <v>118</v>
      </c>
      <c r="F29" s="2" t="s">
        <v>119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497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120</v>
      </c>
    </row>
    <row r="30" customFormat="false" ht="12" hidden="false" customHeight="false" outlineLevel="0" collapsed="false">
      <c r="A30" s="27" t="n">
        <v>45768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496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45769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495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45772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492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45772</v>
      </c>
      <c r="B33" s="2" t="s">
        <v>127</v>
      </c>
      <c r="E33" s="2" t="s">
        <v>128</v>
      </c>
      <c r="F33" s="2" t="s">
        <v>24</v>
      </c>
      <c r="G33" s="29" t="n">
        <v>38.25</v>
      </c>
      <c r="H33" s="6" t="n">
        <f aca="false">IF(G33&lt;&gt;0,G33*H$2/(100+H$2)," ")</f>
        <v>6.375</v>
      </c>
      <c r="I33" s="6" t="n">
        <f aca="false">IF((G33&lt;&gt;0),G33-H33," ")</f>
        <v>31.875</v>
      </c>
      <c r="J33" s="5"/>
      <c r="M33" s="7" t="n">
        <f aca="false">IF(G33&lt;&gt;0,G33-L33," ")</f>
        <v>38.25</v>
      </c>
      <c r="N33" s="8" t="n">
        <f aca="false">IF((G33-L33)&lt;&gt;0,N$1-A33," ")</f>
        <v>492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31.875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45775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489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45777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487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1062.5</v>
      </c>
      <c r="I1" s="13" t="n">
        <f aca="false">SUM(I2:I200)</f>
        <v>5312.5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46264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555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22</v>
      </c>
      <c r="C2" s="43" t="n">
        <f aca="false">Apr!C2+D1+[1]May!$D$1</f>
        <v>0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486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45778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486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45778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486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45778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486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45778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486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45778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486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45780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484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45780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484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45782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482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45782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482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45783</v>
      </c>
      <c r="B15" s="2" t="s">
        <v>133</v>
      </c>
      <c r="E15" s="2" t="s">
        <v>134</v>
      </c>
      <c r="F15" s="2" t="s">
        <v>93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481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45785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479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45785</v>
      </c>
      <c r="B17" s="2" t="s">
        <v>135</v>
      </c>
      <c r="E17" s="2" t="s">
        <v>136</v>
      </c>
      <c r="F17" s="2" t="s">
        <v>69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479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45787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477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45787</v>
      </c>
      <c r="B19" s="2" t="s">
        <v>138</v>
      </c>
      <c r="E19" s="2" t="s">
        <v>139</v>
      </c>
      <c r="F19" s="2" t="s">
        <v>140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477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141</v>
      </c>
    </row>
    <row r="20" customFormat="false" ht="12" hidden="false" customHeight="false" outlineLevel="0" collapsed="false">
      <c r="A20" s="27" t="n">
        <v>45789</v>
      </c>
      <c r="B20" s="2" t="s">
        <v>104</v>
      </c>
      <c r="E20" s="2" t="s">
        <v>105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475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88</v>
      </c>
    </row>
    <row r="21" customFormat="false" ht="12" hidden="false" customHeight="false" outlineLevel="0" collapsed="false">
      <c r="A21" s="27" t="n">
        <v>45791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473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45791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473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45792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472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45792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472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45792</v>
      </c>
      <c r="B25" s="2" t="s">
        <v>142</v>
      </c>
      <c r="E25" s="2" t="s">
        <v>143</v>
      </c>
      <c r="F25" s="2" t="s">
        <v>102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472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45792</v>
      </c>
      <c r="B26" s="2" t="s">
        <v>144</v>
      </c>
      <c r="C26" s="3" t="s">
        <v>145</v>
      </c>
      <c r="E26" s="2" t="s">
        <v>146</v>
      </c>
      <c r="F26" s="2" t="s">
        <v>147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472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BZ26" s="2" t="s">
        <v>148</v>
      </c>
    </row>
    <row r="27" customFormat="false" ht="12" hidden="false" customHeight="false" outlineLevel="0" collapsed="false">
      <c r="A27" s="27" t="n">
        <v>45793</v>
      </c>
      <c r="B27" s="2" t="s">
        <v>149</v>
      </c>
      <c r="E27" s="2" t="s">
        <v>150</v>
      </c>
      <c r="F27" s="2" t="s">
        <v>63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471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45795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469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45797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467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45797</v>
      </c>
      <c r="B30" s="2" t="s">
        <v>151</v>
      </c>
      <c r="E30" s="2" t="s">
        <v>152</v>
      </c>
      <c r="F30" s="2" t="s">
        <v>63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467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153</v>
      </c>
    </row>
    <row r="31" customFormat="false" ht="12" hidden="false" customHeight="false" outlineLevel="0" collapsed="false">
      <c r="A31" s="27" t="n">
        <v>45797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467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45798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466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45799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465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45799</v>
      </c>
      <c r="B34" s="2" t="s">
        <v>156</v>
      </c>
      <c r="E34" s="2" t="s">
        <v>157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465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45802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462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45802</v>
      </c>
      <c r="B36" s="2" t="s">
        <v>127</v>
      </c>
      <c r="E36" s="2" t="s">
        <v>158</v>
      </c>
      <c r="F36" s="2" t="s">
        <v>24</v>
      </c>
      <c r="G36" s="29" t="n">
        <v>54</v>
      </c>
      <c r="H36" s="6" t="n">
        <f aca="false">IF(G36&lt;&gt;0,G36*H$2/(100+H$2)," ")</f>
        <v>9</v>
      </c>
      <c r="I36" s="6" t="n">
        <f aca="false">IF((G36&lt;&gt;0),G36-H36," ")</f>
        <v>45</v>
      </c>
      <c r="J36" s="5"/>
      <c r="M36" s="7" t="n">
        <f aca="false">IF(G36&lt;&gt;0,G36-L36," ")</f>
        <v>54</v>
      </c>
      <c r="N36" s="8" t="n">
        <f aca="false">IF((G36-L36)&lt;&gt;0,N$1-A36," ")</f>
        <v>462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45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45805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459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45808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456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4109.5</v>
      </c>
      <c r="I1" s="13" t="n">
        <f aca="false">SUM(I2:I200)</f>
        <v>20547.5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24657</v>
      </c>
      <c r="N1" s="18" t="n">
        <f aca="true">TODAY()</f>
        <v>46264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545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/>
      <c r="AD1" s="13" t="n">
        <f aca="false">SUM(AD5:AD300)</f>
        <v>1000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22</v>
      </c>
      <c r="C2" s="43" t="n">
        <f aca="false">May!C2+D1+[1]Jun!$D$1</f>
        <v>0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455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45809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455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45809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455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45809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455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45809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455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45809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455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45811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453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45811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453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45813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451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45813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451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45813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451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45816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448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45818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446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45818</v>
      </c>
      <c r="B18" s="2" t="s">
        <v>159</v>
      </c>
      <c r="E18" s="2" t="s">
        <v>160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446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45820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444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45822</v>
      </c>
      <c r="B20" s="2" t="s">
        <v>106</v>
      </c>
      <c r="E20" s="2" t="s">
        <v>107</v>
      </c>
      <c r="F20" s="2" t="s">
        <v>73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442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45822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442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45822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442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45823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441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45823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441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45823</v>
      </c>
      <c r="B25" s="2" t="s">
        <v>161</v>
      </c>
      <c r="C25" s="3" t="s">
        <v>162</v>
      </c>
      <c r="E25" s="2" t="s">
        <v>163</v>
      </c>
      <c r="F25" s="2" t="s">
        <v>164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441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D25" s="19" t="n">
        <v>1000</v>
      </c>
      <c r="BZ25" s="2" t="s">
        <v>165</v>
      </c>
    </row>
    <row r="26" customFormat="false" ht="12" hidden="false" customHeight="false" outlineLevel="0" collapsed="false">
      <c r="A26" s="27" t="n">
        <v>45826</v>
      </c>
      <c r="B26" s="2" t="s">
        <v>166</v>
      </c>
      <c r="E26" s="2" t="s">
        <v>167</v>
      </c>
      <c r="F26" s="2" t="s">
        <v>93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438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94</v>
      </c>
    </row>
    <row r="27" customFormat="false" ht="12" hidden="false" customHeight="false" outlineLevel="0" collapsed="false">
      <c r="A27" s="27" t="n">
        <v>45826</v>
      </c>
      <c r="B27" s="2" t="s">
        <v>168</v>
      </c>
      <c r="E27" s="2" t="s">
        <v>169</v>
      </c>
      <c r="F27" s="2" t="s">
        <v>102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438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103</v>
      </c>
    </row>
    <row r="28" customFormat="false" ht="12" hidden="false" customHeight="false" outlineLevel="0" collapsed="false">
      <c r="A28" s="27" t="n">
        <v>45826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438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45828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436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45829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435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45830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434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45833</v>
      </c>
      <c r="B32" s="2" t="s">
        <v>170</v>
      </c>
      <c r="E32" s="2" t="s">
        <v>171</v>
      </c>
      <c r="F32" s="2" t="s">
        <v>59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431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45833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431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45833</v>
      </c>
      <c r="B34" s="2" t="s">
        <v>127</v>
      </c>
      <c r="E34" s="2" t="s">
        <v>173</v>
      </c>
      <c r="F34" s="2" t="s">
        <v>24</v>
      </c>
      <c r="G34" s="29" t="n">
        <v>90</v>
      </c>
      <c r="H34" s="6" t="n">
        <f aca="false">IF(G34&lt;&gt;0,G34*H$2/(100+H$2)," ")</f>
        <v>15</v>
      </c>
      <c r="I34" s="6" t="n">
        <f aca="false">IF((G34&lt;&gt;0),G34-H34," ")</f>
        <v>75</v>
      </c>
      <c r="J34" s="5"/>
      <c r="M34" s="7" t="n">
        <f aca="false">IF(G34&lt;&gt;0,G34-L34," ")</f>
        <v>90</v>
      </c>
      <c r="N34" s="8" t="n">
        <f aca="false">IF((G34-L34)&lt;&gt;0,N$1-A34," ")</f>
        <v>431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75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45836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428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45838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426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45838</v>
      </c>
      <c r="B37" s="2" t="s">
        <v>174</v>
      </c>
      <c r="C37" s="3" t="s">
        <v>175</v>
      </c>
      <c r="E37" s="2" t="s">
        <v>176</v>
      </c>
      <c r="F37" s="2" t="s">
        <v>131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426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45809</v>
      </c>
      <c r="B38" s="2" t="s">
        <v>178</v>
      </c>
      <c r="C38" s="3" t="s">
        <v>179</v>
      </c>
      <c r="E38" s="2" t="s">
        <v>180</v>
      </c>
      <c r="F38" s="2" t="s">
        <v>147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455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1509.875</v>
      </c>
      <c r="I1" s="13" t="n">
        <f aca="false">SUM(I2:I200)</f>
        <v>7549.375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46264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486.875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22</v>
      </c>
      <c r="C2" s="43" t="n">
        <f aca="false">Jun!C2+D1+[1]Jul!$D$1</f>
        <v>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425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45839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425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45839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425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45839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425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45839</v>
      </c>
      <c r="B9" s="2" t="s">
        <v>181</v>
      </c>
      <c r="E9" s="2" t="s">
        <v>182</v>
      </c>
      <c r="F9" s="2" t="s">
        <v>131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425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BZ9" s="2" t="s">
        <v>183</v>
      </c>
    </row>
    <row r="10" customFormat="false" ht="12" hidden="false" customHeight="false" outlineLevel="0" collapsed="false">
      <c r="A10" s="27" t="n">
        <v>45839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425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45839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425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45841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423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45841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423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45843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421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45843</v>
      </c>
      <c r="B15" s="2" t="s">
        <v>184</v>
      </c>
      <c r="E15" s="2" t="s">
        <v>185</v>
      </c>
      <c r="F15" s="2" t="s">
        <v>140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421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141</v>
      </c>
    </row>
    <row r="16" customFormat="false" ht="12" hidden="false" customHeight="false" outlineLevel="0" collapsed="false">
      <c r="A16" s="27" t="n">
        <v>45843</v>
      </c>
      <c r="B16" s="2" t="s">
        <v>86</v>
      </c>
      <c r="E16" s="2" t="s">
        <v>87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421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88</v>
      </c>
    </row>
    <row r="17" customFormat="false" ht="12" hidden="false" customHeight="false" outlineLevel="0" collapsed="false">
      <c r="A17" s="27" t="n">
        <v>45846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418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45848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416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45848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416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45848</v>
      </c>
      <c r="B20" s="2" t="s">
        <v>100</v>
      </c>
      <c r="E20" s="2" t="s">
        <v>101</v>
      </c>
      <c r="F20" s="2" t="s">
        <v>102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416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45850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414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45850</v>
      </c>
      <c r="B22" s="2" t="s">
        <v>186</v>
      </c>
      <c r="E22" s="2" t="s">
        <v>187</v>
      </c>
      <c r="F22" s="2" t="s">
        <v>69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414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137</v>
      </c>
    </row>
    <row r="23" customFormat="false" ht="12" hidden="false" customHeight="false" outlineLevel="0" collapsed="false">
      <c r="A23" s="27" t="n">
        <v>45852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412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45852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412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45853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411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45853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411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45853</v>
      </c>
      <c r="B27" s="2" t="s">
        <v>188</v>
      </c>
      <c r="C27" s="3" t="s">
        <v>189</v>
      </c>
      <c r="E27" s="2" t="s">
        <v>190</v>
      </c>
      <c r="F27" s="2" t="s">
        <v>147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411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BZ27" s="2" t="s">
        <v>148</v>
      </c>
    </row>
    <row r="28" customFormat="false" ht="12" hidden="false" customHeight="false" outlineLevel="0" collapsed="false">
      <c r="A28" s="27" t="n">
        <v>45854</v>
      </c>
      <c r="B28" s="2" t="s">
        <v>149</v>
      </c>
      <c r="E28" s="2" t="s">
        <v>150</v>
      </c>
      <c r="F28" s="2" t="s">
        <v>63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410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45856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408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45858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406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45858</v>
      </c>
      <c r="B31" s="2" t="s">
        <v>191</v>
      </c>
      <c r="E31" s="2" t="s">
        <v>192</v>
      </c>
      <c r="F31" s="2" t="s">
        <v>63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406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153</v>
      </c>
    </row>
    <row r="32" customFormat="false" ht="12" hidden="false" customHeight="false" outlineLevel="0" collapsed="false">
      <c r="A32" s="27" t="n">
        <v>45858</v>
      </c>
      <c r="B32" s="2" t="s">
        <v>117</v>
      </c>
      <c r="E32" s="2" t="s">
        <v>118</v>
      </c>
      <c r="F32" s="2" t="s">
        <v>119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406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45859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405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45860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404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45863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401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45863</v>
      </c>
      <c r="B36" s="2" t="s">
        <v>127</v>
      </c>
      <c r="E36" s="2" t="s">
        <v>193</v>
      </c>
      <c r="F36" s="2" t="s">
        <v>24</v>
      </c>
      <c r="G36" s="29" t="n">
        <v>20.25</v>
      </c>
      <c r="H36" s="6" t="n">
        <f aca="false">IF(G36&lt;&gt;0,G36*H$2/(100+H$2)," ")</f>
        <v>3.375</v>
      </c>
      <c r="I36" s="6" t="n">
        <f aca="false">IF((G36&lt;&gt;0),G36-H36," ")</f>
        <v>16.875</v>
      </c>
      <c r="J36" s="5"/>
      <c r="M36" s="7" t="n">
        <f aca="false">IF(G36&lt;&gt;0,G36-L36," ")</f>
        <v>20.25</v>
      </c>
      <c r="N36" s="8" t="n">
        <f aca="false">IF((G36-L36)&lt;&gt;0,N$1-A36," ")</f>
        <v>401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16.875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45866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398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45869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395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734.208333333333</v>
      </c>
      <c r="I1" s="13" t="n">
        <f aca="false">SUM(I2:I200)</f>
        <v>3671.04166666667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46264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501.875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22</v>
      </c>
      <c r="C2" s="43" t="n">
        <f aca="false">Jul!C2+D1+[1]Aug!$D$1</f>
        <v>0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394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45870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394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45870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394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45870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394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45870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394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45870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394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45872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392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45872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392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45874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390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45874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390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45874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390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45875</v>
      </c>
      <c r="B16" s="2" t="s">
        <v>133</v>
      </c>
      <c r="E16" s="2" t="s">
        <v>134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389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45877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387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45879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385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45881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383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45883</v>
      </c>
      <c r="B20" s="2" t="s">
        <v>106</v>
      </c>
      <c r="E20" s="2" t="s">
        <v>107</v>
      </c>
      <c r="F20" s="2" t="s">
        <v>73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381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45883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381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45883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381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45884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380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45884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380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45884</v>
      </c>
      <c r="B25" s="2" t="s">
        <v>142</v>
      </c>
      <c r="E25" s="2" t="s">
        <v>143</v>
      </c>
      <c r="F25" s="2" t="s">
        <v>102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380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45887</v>
      </c>
      <c r="B26" s="2" t="s">
        <v>194</v>
      </c>
      <c r="E26" s="2" t="s">
        <v>195</v>
      </c>
      <c r="F26" s="2" t="s">
        <v>119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377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120</v>
      </c>
    </row>
    <row r="27" customFormat="false" ht="12" hidden="false" customHeight="false" outlineLevel="0" collapsed="false">
      <c r="A27" s="27" t="n">
        <v>45887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377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45889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375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45889</v>
      </c>
      <c r="B29" s="2" t="s">
        <v>196</v>
      </c>
      <c r="E29" s="2" t="s">
        <v>197</v>
      </c>
      <c r="F29" s="2" t="s">
        <v>198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375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199</v>
      </c>
    </row>
    <row r="30" customFormat="false" ht="12" hidden="false" customHeight="false" outlineLevel="0" collapsed="false">
      <c r="A30" s="27" t="n">
        <v>45889</v>
      </c>
      <c r="B30" s="2" t="s">
        <v>154</v>
      </c>
      <c r="E30" s="2" t="s">
        <v>155</v>
      </c>
      <c r="F30" s="2" t="s">
        <v>102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375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103</v>
      </c>
    </row>
    <row r="31" customFormat="false" ht="12" hidden="false" customHeight="false" outlineLevel="0" collapsed="false">
      <c r="A31" s="27" t="n">
        <v>45890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374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45891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373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45894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370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45894</v>
      </c>
      <c r="B34" s="2" t="s">
        <v>127</v>
      </c>
      <c r="E34" s="2" t="s">
        <v>128</v>
      </c>
      <c r="F34" s="2" t="s">
        <v>24</v>
      </c>
      <c r="G34" s="29" t="n">
        <v>38.25</v>
      </c>
      <c r="H34" s="6" t="n">
        <f aca="false">IF(G34&lt;&gt;0,G34*H$2/(100+H$2)," ")</f>
        <v>6.375</v>
      </c>
      <c r="I34" s="6" t="n">
        <f aca="false">IF((G34&lt;&gt;0),G34-H34," ")</f>
        <v>31.875</v>
      </c>
      <c r="J34" s="5"/>
      <c r="M34" s="7" t="n">
        <f aca="false">IF(G34&lt;&gt;0,G34-L34," ")</f>
        <v>38.25</v>
      </c>
      <c r="N34" s="8" t="n">
        <f aca="false">IF((G34-L34)&lt;&gt;0,N$1-A34," ")</f>
        <v>370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31.875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45897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367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45900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364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2229.16666666667</v>
      </c>
      <c r="I1" s="13" t="n">
        <f aca="false">SUM(I2:I200)</f>
        <v>11145.8333333333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13375</v>
      </c>
      <c r="N1" s="18" t="n">
        <f aca="true">TODAY()</f>
        <v>46264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590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22</v>
      </c>
      <c r="C2" s="43" t="n">
        <f aca="false">Aug!C2+D1+[1]Sep!$D$1</f>
        <v>0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45901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363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45901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363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45901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363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45901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363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45901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363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45903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361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45903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361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45905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359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45905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359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45908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356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45908</v>
      </c>
      <c r="B16" s="2" t="s">
        <v>135</v>
      </c>
      <c r="E16" s="2" t="s">
        <v>136</v>
      </c>
      <c r="F16" s="2" t="s">
        <v>69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356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137</v>
      </c>
    </row>
    <row r="17" customFormat="false" ht="12" hidden="false" customHeight="false" outlineLevel="0" collapsed="false">
      <c r="A17" s="27" t="n">
        <v>45910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354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45910</v>
      </c>
      <c r="B18" s="2" t="s">
        <v>112</v>
      </c>
      <c r="E18" s="2" t="s">
        <v>200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354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153</v>
      </c>
    </row>
    <row r="19" customFormat="false" ht="12" hidden="false" customHeight="false" outlineLevel="0" collapsed="false">
      <c r="A19" s="27" t="n">
        <v>45912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352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45914</v>
      </c>
      <c r="B20" s="2" t="s">
        <v>108</v>
      </c>
      <c r="E20" s="2" t="s">
        <v>109</v>
      </c>
      <c r="F20" s="2" t="s">
        <v>93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350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45914</v>
      </c>
      <c r="B21" s="2" t="s">
        <v>110</v>
      </c>
      <c r="E21" s="2" t="s">
        <v>111</v>
      </c>
      <c r="F21" s="2" t="s">
        <v>93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350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45915</v>
      </c>
      <c r="B22" s="2" t="s">
        <v>19</v>
      </c>
      <c r="E22" s="2" t="s">
        <v>87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349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45915</v>
      </c>
      <c r="B23" s="2" t="s">
        <v>112</v>
      </c>
      <c r="E23" s="2" t="s">
        <v>113</v>
      </c>
      <c r="F23" s="2" t="s">
        <v>63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349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45915</v>
      </c>
      <c r="B24" s="2" t="s">
        <v>201</v>
      </c>
      <c r="E24" s="2" t="s">
        <v>202</v>
      </c>
      <c r="F24" s="2" t="s">
        <v>131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349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132</v>
      </c>
    </row>
    <row r="25" customFormat="false" ht="12" hidden="false" customHeight="false" outlineLevel="0" collapsed="false">
      <c r="A25" s="27" t="n">
        <v>45916</v>
      </c>
      <c r="B25" s="2" t="s">
        <v>149</v>
      </c>
      <c r="E25" s="2" t="s">
        <v>150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348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45918</v>
      </c>
      <c r="B26" s="2" t="s">
        <v>168</v>
      </c>
      <c r="E26" s="2" t="s">
        <v>169</v>
      </c>
      <c r="F26" s="2" t="s">
        <v>102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346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45918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346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45920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344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45921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343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45922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342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45922</v>
      </c>
      <c r="B31" s="2" t="s">
        <v>156</v>
      </c>
      <c r="E31" s="2" t="s">
        <v>157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342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88</v>
      </c>
    </row>
    <row r="32" customFormat="false" ht="12" hidden="false" customHeight="false" outlineLevel="0" collapsed="false">
      <c r="A32" s="27" t="n">
        <v>45925</v>
      </c>
      <c r="B32" s="2" t="s">
        <v>170</v>
      </c>
      <c r="E32" s="2" t="s">
        <v>171</v>
      </c>
      <c r="F32" s="2" t="s">
        <v>59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339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45925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339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45925</v>
      </c>
      <c r="B34" s="2" t="s">
        <v>127</v>
      </c>
      <c r="E34" s="2" t="s">
        <v>203</v>
      </c>
      <c r="F34" s="2" t="s">
        <v>24</v>
      </c>
      <c r="G34" s="29" t="n">
        <v>72</v>
      </c>
      <c r="H34" s="6" t="n">
        <f aca="false">IF(G34&lt;&gt;0,G34*H$2/(100+H$2)," ")</f>
        <v>12</v>
      </c>
      <c r="I34" s="6" t="n">
        <f aca="false">IF((G34&lt;&gt;0),G34-H34," ")</f>
        <v>60</v>
      </c>
      <c r="J34" s="5"/>
      <c r="M34" s="7" t="n">
        <f aca="false">IF(G34&lt;&gt;0,G34-L34," ")</f>
        <v>72</v>
      </c>
      <c r="N34" s="8" t="n">
        <f aca="false">IF((G34-L34)&lt;&gt;0,N$1-A34," ")</f>
        <v>339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60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45928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336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45930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334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45930</v>
      </c>
      <c r="B37" s="2" t="s">
        <v>174</v>
      </c>
      <c r="C37" s="3" t="s">
        <v>204</v>
      </c>
      <c r="E37" s="2" t="s">
        <v>176</v>
      </c>
      <c r="F37" s="2" t="s">
        <v>131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334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45901</v>
      </c>
      <c r="B38" s="2" t="s">
        <v>178</v>
      </c>
      <c r="C38" s="3" t="s">
        <v>205</v>
      </c>
      <c r="E38" s="2" t="s">
        <v>206</v>
      </c>
      <c r="F38" s="2" t="s">
        <v>147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363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7167.625</v>
      </c>
      <c r="I1" s="13" t="n">
        <f aca="false">SUM(I2:I200)</f>
        <v>35838.125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46264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505.625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22</v>
      </c>
      <c r="C2" s="43" t="n">
        <f aca="false">Sep!C2+D1+[1]Oct!$D$1</f>
        <v>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45931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333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45931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333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45931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333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45931</v>
      </c>
      <c r="B9" s="2" t="s">
        <v>207</v>
      </c>
      <c r="E9" s="2" t="s">
        <v>208</v>
      </c>
      <c r="F9" s="2" t="s">
        <v>73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333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45931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333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45931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333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45933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331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45933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331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45935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329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45935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329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45935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329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45938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326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45940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324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45940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324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45940</v>
      </c>
      <c r="B20" s="2" t="s">
        <v>100</v>
      </c>
      <c r="E20" s="2" t="s">
        <v>101</v>
      </c>
      <c r="F20" s="2" t="s">
        <v>102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324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45940</v>
      </c>
      <c r="B21" s="2" t="s">
        <v>138</v>
      </c>
      <c r="E21" s="2" t="s">
        <v>209</v>
      </c>
      <c r="F21" s="2" t="s">
        <v>140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324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141</v>
      </c>
    </row>
    <row r="22" customFormat="false" ht="12" hidden="false" customHeight="false" outlineLevel="0" collapsed="false">
      <c r="A22" s="27" t="n">
        <v>45942</v>
      </c>
      <c r="B22" s="2" t="s">
        <v>104</v>
      </c>
      <c r="E22" s="2" t="s">
        <v>105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322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45944</v>
      </c>
      <c r="B23" s="2" t="s">
        <v>106</v>
      </c>
      <c r="E23" s="2" t="s">
        <v>107</v>
      </c>
      <c r="F23" s="2" t="s">
        <v>73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320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BZ23" s="2" t="s">
        <v>83</v>
      </c>
    </row>
    <row r="24" customFormat="false" ht="12" hidden="false" customHeight="false" outlineLevel="0" collapsed="false">
      <c r="A24" s="27" t="n">
        <v>45944</v>
      </c>
      <c r="B24" s="2" t="s">
        <v>108</v>
      </c>
      <c r="E24" s="2" t="s">
        <v>109</v>
      </c>
      <c r="F24" s="2" t="s">
        <v>93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320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45944</v>
      </c>
      <c r="B25" s="2" t="s">
        <v>110</v>
      </c>
      <c r="E25" s="2" t="s">
        <v>111</v>
      </c>
      <c r="F25" s="2" t="s">
        <v>93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320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94</v>
      </c>
    </row>
    <row r="26" customFormat="false" ht="12" hidden="false" customHeight="false" outlineLevel="0" collapsed="false">
      <c r="A26" s="27" t="n">
        <v>45945</v>
      </c>
      <c r="B26" s="2" t="s">
        <v>19</v>
      </c>
      <c r="E26" s="2" t="s">
        <v>87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319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45945</v>
      </c>
      <c r="B27" s="2" t="s">
        <v>112</v>
      </c>
      <c r="E27" s="2" t="s">
        <v>113</v>
      </c>
      <c r="F27" s="2" t="s">
        <v>63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319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45945</v>
      </c>
      <c r="B28" s="2" t="s">
        <v>210</v>
      </c>
      <c r="E28" s="2" t="s">
        <v>211</v>
      </c>
      <c r="F28" s="2" t="s">
        <v>140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319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141</v>
      </c>
    </row>
    <row r="29" customFormat="false" ht="12" hidden="false" customHeight="false" outlineLevel="0" collapsed="false">
      <c r="A29" s="27" t="n">
        <v>45948</v>
      </c>
      <c r="B29" s="2" t="s">
        <v>166</v>
      </c>
      <c r="E29" s="2" t="s">
        <v>212</v>
      </c>
      <c r="F29" s="2" t="s">
        <v>93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316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45948</v>
      </c>
      <c r="B30" s="2" t="s">
        <v>114</v>
      </c>
      <c r="E30" s="2" t="s">
        <v>87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316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88</v>
      </c>
    </row>
    <row r="31" customFormat="false" ht="12" hidden="false" customHeight="false" outlineLevel="0" collapsed="false">
      <c r="A31" s="27" t="n">
        <v>45950</v>
      </c>
      <c r="B31" s="2" t="s">
        <v>115</v>
      </c>
      <c r="E31" s="2" t="s">
        <v>116</v>
      </c>
      <c r="F31" s="2" t="s">
        <v>63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314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64</v>
      </c>
    </row>
    <row r="32" customFormat="false" ht="12" hidden="false" customHeight="false" outlineLevel="0" collapsed="false">
      <c r="A32" s="27" t="n">
        <v>45950</v>
      </c>
      <c r="B32" s="2" t="s">
        <v>117</v>
      </c>
      <c r="E32" s="2" t="s">
        <v>118</v>
      </c>
      <c r="F32" s="2" t="s">
        <v>119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314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45951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313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45952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312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45955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309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45955</v>
      </c>
      <c r="B36" s="2" t="s">
        <v>127</v>
      </c>
      <c r="E36" s="2" t="s">
        <v>213</v>
      </c>
      <c r="F36" s="2" t="s">
        <v>24</v>
      </c>
      <c r="G36" s="29" t="n">
        <v>42.75</v>
      </c>
      <c r="H36" s="6" t="n">
        <f aca="false">IF(G36&lt;&gt;0,G36*H$2/(100+H$2)," ")</f>
        <v>7.125</v>
      </c>
      <c r="I36" s="6" t="n">
        <f aca="false">IF((G36&lt;&gt;0),G36-H36," ")</f>
        <v>35.625</v>
      </c>
      <c r="J36" s="5"/>
      <c r="M36" s="7" t="n">
        <f aca="false">IF(G36&lt;&gt;0,G36-L36," ")</f>
        <v>42.75</v>
      </c>
      <c r="N36" s="8" t="n">
        <f aca="false">IF((G36-L36)&lt;&gt;0,N$1-A36," ")</f>
        <v>309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35.625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45955</v>
      </c>
      <c r="B37" s="2" t="s">
        <v>214</v>
      </c>
      <c r="C37" s="3" t="s">
        <v>215</v>
      </c>
      <c r="E37" s="2" t="s">
        <v>216</v>
      </c>
      <c r="F37" s="2" t="s">
        <v>147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309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BZ37" s="2" t="s">
        <v>148</v>
      </c>
    </row>
    <row r="38" customFormat="false" ht="12" hidden="false" customHeight="false" outlineLevel="0" collapsed="false">
      <c r="A38" s="27" t="n">
        <v>45958</v>
      </c>
      <c r="B38" s="2" t="s">
        <v>19</v>
      </c>
      <c r="E38" s="2" t="s">
        <v>129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306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88</v>
      </c>
    </row>
    <row r="39" customFormat="false" ht="12" hidden="false" customHeight="false" outlineLevel="0" collapsed="false">
      <c r="A39" s="27" t="n">
        <v>45961</v>
      </c>
      <c r="B39" s="2" t="s">
        <v>15</v>
      </c>
      <c r="E39" s="2" t="s">
        <v>130</v>
      </c>
      <c r="F39" s="2" t="s">
        <v>131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303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BZ39" s="2" t="s">
        <v>132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1153</v>
      </c>
      <c r="I1" s="13" t="n">
        <f aca="false">SUM(I2:I200)</f>
        <v>5765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46264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537.5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600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22</v>
      </c>
      <c r="C2" s="43" t="n">
        <f aca="false">Oct!C2+D1+[1]Nov!$D$1</f>
        <v>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45962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302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45962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302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45962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302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45962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302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45962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302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45964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300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45964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300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45966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298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45966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298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45967</v>
      </c>
      <c r="B15" s="2" t="s">
        <v>133</v>
      </c>
      <c r="E15" s="2" t="s">
        <v>134</v>
      </c>
      <c r="F15" s="2" t="s">
        <v>93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297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45969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295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45971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293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45973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291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45975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289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45975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289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45976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288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45976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288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45976</v>
      </c>
      <c r="B23" s="2" t="s">
        <v>142</v>
      </c>
      <c r="E23" s="2" t="s">
        <v>143</v>
      </c>
      <c r="F23" s="2" t="s">
        <v>102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288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103</v>
      </c>
    </row>
    <row r="24" customFormat="false" ht="12" hidden="false" customHeight="false" outlineLevel="0" collapsed="false">
      <c r="A24" s="27" t="n">
        <v>45976</v>
      </c>
      <c r="B24" s="2" t="s">
        <v>161</v>
      </c>
      <c r="C24" s="3" t="s">
        <v>217</v>
      </c>
      <c r="E24" s="2" t="s">
        <v>218</v>
      </c>
      <c r="F24" s="2" t="s">
        <v>164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288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D24" s="19" t="n">
        <v>600</v>
      </c>
      <c r="BZ24" s="2" t="s">
        <v>165</v>
      </c>
    </row>
    <row r="25" customFormat="false" ht="12" hidden="false" customHeight="false" outlineLevel="0" collapsed="false">
      <c r="A25" s="27" t="n">
        <v>45977</v>
      </c>
      <c r="B25" s="2" t="s">
        <v>149</v>
      </c>
      <c r="E25" s="2" t="s">
        <v>150</v>
      </c>
      <c r="F25" s="2" t="s">
        <v>63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287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45979</v>
      </c>
      <c r="B26" s="2" t="s">
        <v>114</v>
      </c>
      <c r="E26" s="2" t="s">
        <v>87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285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45981</v>
      </c>
      <c r="B27" s="2" t="s">
        <v>115</v>
      </c>
      <c r="E27" s="2" t="s">
        <v>116</v>
      </c>
      <c r="F27" s="2" t="s">
        <v>63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283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45981</v>
      </c>
      <c r="B28" s="2" t="s">
        <v>151</v>
      </c>
      <c r="E28" s="2" t="s">
        <v>152</v>
      </c>
      <c r="F28" s="2" t="s">
        <v>63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283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153</v>
      </c>
    </row>
    <row r="29" customFormat="false" ht="12" hidden="false" customHeight="false" outlineLevel="0" collapsed="false">
      <c r="A29" s="27" t="n">
        <v>45981</v>
      </c>
      <c r="B29" s="2" t="s">
        <v>154</v>
      </c>
      <c r="E29" s="2" t="s">
        <v>155</v>
      </c>
      <c r="F29" s="2" t="s">
        <v>102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283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103</v>
      </c>
    </row>
    <row r="30" customFormat="false" ht="12" hidden="false" customHeight="false" outlineLevel="0" collapsed="false">
      <c r="A30" s="27" t="n">
        <v>45982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282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45983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281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45986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278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45986</v>
      </c>
      <c r="B33" s="2" t="s">
        <v>127</v>
      </c>
      <c r="E33" s="2" t="s">
        <v>173</v>
      </c>
      <c r="F33" s="2" t="s">
        <v>24</v>
      </c>
      <c r="G33" s="29" t="n">
        <v>81</v>
      </c>
      <c r="H33" s="6" t="n">
        <f aca="false">IF(G33&lt;&gt;0,G33*H$2/(100+H$2)," ")</f>
        <v>13.5</v>
      </c>
      <c r="I33" s="6" t="n">
        <f aca="false">IF((G33&lt;&gt;0),G33-H33," ")</f>
        <v>67.5</v>
      </c>
      <c r="J33" s="5"/>
      <c r="M33" s="7" t="n">
        <f aca="false">IF(G33&lt;&gt;0,G33-L33," ")</f>
        <v>81</v>
      </c>
      <c r="N33" s="8" t="n">
        <f aca="false">IF((G33-L33)&lt;&gt;0,N$1-A33," ")</f>
        <v>278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67.5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45989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275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45991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273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1575.25</v>
      </c>
      <c r="I1" s="13" t="n">
        <f aca="false">SUM(I2:I200)</f>
        <v>7876.25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46264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511.25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22</v>
      </c>
      <c r="C2" s="43" t="n">
        <f aca="false">Nov!C2+D1+[1]Dec!$D$1</f>
        <v>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45992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272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45992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272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45992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272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45992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272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45992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272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45994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270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45994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270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45996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268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45996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268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45996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268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45999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265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46001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263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46001</v>
      </c>
      <c r="B18" s="2" t="s">
        <v>159</v>
      </c>
      <c r="E18" s="2" t="s">
        <v>160</v>
      </c>
      <c r="F18" s="2" t="s">
        <v>63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263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46003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261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46005</v>
      </c>
      <c r="B20" s="2" t="s">
        <v>106</v>
      </c>
      <c r="E20" s="2" t="s">
        <v>107</v>
      </c>
      <c r="F20" s="2" t="s">
        <v>73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259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46005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259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46005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259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46006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258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46006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258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46006</v>
      </c>
      <c r="B25" s="2" t="s">
        <v>219</v>
      </c>
      <c r="E25" s="2" t="s">
        <v>220</v>
      </c>
      <c r="F25" s="2" t="s">
        <v>73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258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BZ25" s="2" t="s">
        <v>221</v>
      </c>
    </row>
    <row r="26" customFormat="false" ht="12" hidden="false" customHeight="false" outlineLevel="0" collapsed="false">
      <c r="A26" s="27" t="n">
        <v>46009</v>
      </c>
      <c r="B26" s="2" t="s">
        <v>168</v>
      </c>
      <c r="E26" s="2" t="s">
        <v>169</v>
      </c>
      <c r="F26" s="2" t="s">
        <v>102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255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46009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255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46011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253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46012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252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46013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251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46016</v>
      </c>
      <c r="B31" s="2" t="s">
        <v>170</v>
      </c>
      <c r="E31" s="2" t="s">
        <v>171</v>
      </c>
      <c r="F31" s="2" t="s">
        <v>59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248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172</v>
      </c>
    </row>
    <row r="32" customFormat="false" ht="12" hidden="false" customHeight="false" outlineLevel="0" collapsed="false">
      <c r="A32" s="27" t="n">
        <v>46016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248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46016</v>
      </c>
      <c r="B33" s="2" t="s">
        <v>127</v>
      </c>
      <c r="E33" s="2" t="s">
        <v>222</v>
      </c>
      <c r="F33" s="2" t="s">
        <v>24</v>
      </c>
      <c r="G33" s="29" t="n">
        <v>49.5</v>
      </c>
      <c r="H33" s="6" t="n">
        <f aca="false">IF(G33&lt;&gt;0,G33*H$2/(100+H$2)," ")</f>
        <v>8.25</v>
      </c>
      <c r="I33" s="6" t="n">
        <f aca="false">IF((G33&lt;&gt;0),G33-H33," ")</f>
        <v>41.25</v>
      </c>
      <c r="J33" s="5"/>
      <c r="M33" s="7" t="n">
        <f aca="false">IF(G33&lt;&gt;0,G33-L33," ")</f>
        <v>49.5</v>
      </c>
      <c r="N33" s="8" t="n">
        <f aca="false">IF((G33-L33)&lt;&gt;0,N$1-A33," ")</f>
        <v>248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41.25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46019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245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46022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242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 t="n">
        <v>46022</v>
      </c>
      <c r="B36" s="2" t="s">
        <v>223</v>
      </c>
      <c r="E36" s="2" t="s">
        <v>224</v>
      </c>
      <c r="F36" s="2" t="s">
        <v>198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242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225</v>
      </c>
    </row>
    <row r="37" customFormat="false" ht="12" hidden="false" customHeight="false" outlineLevel="0" collapsed="false">
      <c r="A37" s="27" t="n">
        <v>46022</v>
      </c>
      <c r="B37" s="2" t="s">
        <v>174</v>
      </c>
      <c r="C37" s="3" t="s">
        <v>226</v>
      </c>
      <c r="E37" s="2" t="s">
        <v>176</v>
      </c>
      <c r="F37" s="2" t="s">
        <v>131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242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751.875</v>
      </c>
      <c r="I1" s="13" t="n">
        <f aca="false">SUM(I2:I200)</f>
        <v>3759.375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46264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531.875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22</v>
      </c>
      <c r="C2" s="43" t="n">
        <f aca="false">Dec!C2+D1+[1]Jan!$D$1</f>
        <v>0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46023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241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46023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241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46023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241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46023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241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46023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241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46025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239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46025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239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46027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237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46027</v>
      </c>
      <c r="B14" s="2" t="s">
        <v>184</v>
      </c>
      <c r="E14" s="2" t="s">
        <v>185</v>
      </c>
      <c r="F14" s="2" t="s">
        <v>140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237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141</v>
      </c>
    </row>
    <row r="15" customFormat="false" ht="12" hidden="false" customHeight="false" outlineLevel="0" collapsed="false">
      <c r="A15" s="27" t="n">
        <v>46027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237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46030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234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46030</v>
      </c>
      <c r="B17" s="2" t="s">
        <v>135</v>
      </c>
      <c r="E17" s="2" t="s">
        <v>136</v>
      </c>
      <c r="F17" s="2" t="s">
        <v>69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234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46032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232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46032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232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46032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232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46034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230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46036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228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46036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228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46037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227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46037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227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46038</v>
      </c>
      <c r="B26" s="2" t="s">
        <v>149</v>
      </c>
      <c r="E26" s="2" t="s">
        <v>150</v>
      </c>
      <c r="F26" s="2" t="s">
        <v>63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226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46040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224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46042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222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46042</v>
      </c>
      <c r="B29" s="2" t="s">
        <v>191</v>
      </c>
      <c r="E29" s="2" t="s">
        <v>192</v>
      </c>
      <c r="F29" s="2" t="s">
        <v>63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222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153</v>
      </c>
    </row>
    <row r="30" customFormat="false" ht="12" hidden="false" customHeight="false" outlineLevel="0" collapsed="false">
      <c r="A30" s="27" t="n">
        <v>46042</v>
      </c>
      <c r="B30" s="2" t="s">
        <v>117</v>
      </c>
      <c r="E30" s="2" t="s">
        <v>118</v>
      </c>
      <c r="F30" s="2" t="s">
        <v>119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222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120</v>
      </c>
    </row>
    <row r="31" customFormat="false" ht="12" hidden="false" customHeight="false" outlineLevel="0" collapsed="false">
      <c r="A31" s="27" t="n">
        <v>46043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221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46044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220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46044</v>
      </c>
      <c r="B33" s="2" t="s">
        <v>156</v>
      </c>
      <c r="E33" s="2" t="s">
        <v>157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220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46047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217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46047</v>
      </c>
      <c r="B35" s="2" t="s">
        <v>127</v>
      </c>
      <c r="E35" s="2" t="s">
        <v>128</v>
      </c>
      <c r="F35" s="2" t="s">
        <v>24</v>
      </c>
      <c r="G35" s="29" t="n">
        <v>38.25</v>
      </c>
      <c r="H35" s="6" t="n">
        <f aca="false">IF(G35&lt;&gt;0,G35*H$2/(100+H$2)," ")</f>
        <v>6.375</v>
      </c>
      <c r="I35" s="6" t="n">
        <f aca="false">IF((G35&lt;&gt;0),G35-H35," ")</f>
        <v>31.875</v>
      </c>
      <c r="J35" s="5"/>
      <c r="M35" s="7" t="n">
        <f aca="false">IF(G35&lt;&gt;0,G35-L35," ")</f>
        <v>38.25</v>
      </c>
      <c r="N35" s="8" t="n">
        <f aca="false">IF((G35-L35)&lt;&gt;0,N$1-A35," ")</f>
        <v>217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31.875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46050</v>
      </c>
      <c r="B36" s="2" t="s">
        <v>19</v>
      </c>
      <c r="E36" s="2" t="s">
        <v>129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214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46053</v>
      </c>
      <c r="B37" s="2" t="s">
        <v>15</v>
      </c>
      <c r="E37" s="2" t="s">
        <v>130</v>
      </c>
      <c r="F37" s="2" t="s">
        <v>131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211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132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732.75</v>
      </c>
      <c r="I1" s="13" t="n">
        <f aca="false">SUM(I2:I200)</f>
        <v>3663.75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46264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496.25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22</v>
      </c>
      <c r="C2" s="43" t="n">
        <f aca="false">Jan!C2+D1+[1]Feb!$D$1</f>
        <v>0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46054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210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46054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210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46054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210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46054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210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46054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210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46056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208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46056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208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46058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206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46058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206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46058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206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46059</v>
      </c>
      <c r="B16" s="2" t="s">
        <v>133</v>
      </c>
      <c r="E16" s="2" t="s">
        <v>134</v>
      </c>
      <c r="F16" s="2" t="s">
        <v>93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205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46061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203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46063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201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46065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199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46065</v>
      </c>
      <c r="B20" s="2" t="s">
        <v>186</v>
      </c>
      <c r="E20" s="2" t="s">
        <v>187</v>
      </c>
      <c r="F20" s="2" t="s">
        <v>69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199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137</v>
      </c>
    </row>
    <row r="21" customFormat="false" ht="12" hidden="false" customHeight="false" outlineLevel="0" collapsed="false">
      <c r="A21" s="27" t="n">
        <v>46067</v>
      </c>
      <c r="B21" s="2" t="s">
        <v>106</v>
      </c>
      <c r="E21" s="2" t="s">
        <v>107</v>
      </c>
      <c r="F21" s="2" t="s">
        <v>73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197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BZ21" s="2" t="s">
        <v>83</v>
      </c>
    </row>
    <row r="22" customFormat="false" ht="12" hidden="false" customHeight="false" outlineLevel="0" collapsed="false">
      <c r="A22" s="27" t="n">
        <v>46067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197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46067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197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46068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196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46068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196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46068</v>
      </c>
      <c r="B26" s="2" t="s">
        <v>142</v>
      </c>
      <c r="E26" s="2" t="s">
        <v>143</v>
      </c>
      <c r="F26" s="2" t="s">
        <v>102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196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46071</v>
      </c>
      <c r="B27" s="2" t="s">
        <v>194</v>
      </c>
      <c r="E27" s="2" t="s">
        <v>227</v>
      </c>
      <c r="F27" s="2" t="s">
        <v>119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193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120</v>
      </c>
    </row>
    <row r="28" customFormat="false" ht="12" hidden="false" customHeight="false" outlineLevel="0" collapsed="false">
      <c r="A28" s="27" t="n">
        <v>46071</v>
      </c>
      <c r="B28" s="2" t="s">
        <v>166</v>
      </c>
      <c r="E28" s="2" t="s">
        <v>228</v>
      </c>
      <c r="F28" s="2" t="s">
        <v>93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193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94</v>
      </c>
    </row>
    <row r="29" customFormat="false" ht="12" hidden="false" customHeight="false" outlineLevel="0" collapsed="false">
      <c r="A29" s="27" t="n">
        <v>46071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193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46073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191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46073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191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46074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190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46075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189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46078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186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46078</v>
      </c>
      <c r="B35" s="2" t="s">
        <v>127</v>
      </c>
      <c r="E35" s="2" t="s">
        <v>229</v>
      </c>
      <c r="F35" s="2" t="s">
        <v>24</v>
      </c>
      <c r="G35" s="29" t="n">
        <v>31.5</v>
      </c>
      <c r="H35" s="6" t="n">
        <f aca="false">IF(G35&lt;&gt;0,G35*H$2/(100+H$2)," ")</f>
        <v>5.25</v>
      </c>
      <c r="I35" s="6" t="n">
        <f aca="false">IF((G35&lt;&gt;0),G35-H35," ")</f>
        <v>26.25</v>
      </c>
      <c r="J35" s="5"/>
      <c r="M35" s="7" t="n">
        <f aca="false">IF(G35&lt;&gt;0,G35-L35," ")</f>
        <v>31.5</v>
      </c>
      <c r="N35" s="8" t="n">
        <f aca="false">IF((G35-L35)&lt;&gt;0,N$1-A35," ")</f>
        <v>186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26.25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46081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183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46081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183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621.083333333333</v>
      </c>
      <c r="I1" s="13" t="n">
        <f aca="false">SUM(I2:I200)</f>
        <v>3105.41666666667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46264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568.75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22</v>
      </c>
      <c r="C2" s="43" t="n">
        <f aca="false">Feb!C2+D1+[1]Mar!$D$1</f>
        <v>0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46082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182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46082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182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46082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182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46082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182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46082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182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46084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180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46084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180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46086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178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46086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178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46089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175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46091</v>
      </c>
      <c r="B16" s="2" t="s">
        <v>95</v>
      </c>
      <c r="E16" s="2" t="s">
        <v>96</v>
      </c>
      <c r="F16" s="2" t="s">
        <v>73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173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BZ16" s="2" t="s">
        <v>83</v>
      </c>
    </row>
    <row r="17" customFormat="false" ht="12" hidden="false" customHeight="false" outlineLevel="0" collapsed="false">
      <c r="A17" s="27" t="n">
        <v>46091</v>
      </c>
      <c r="B17" s="2" t="s">
        <v>112</v>
      </c>
      <c r="E17" s="2" t="s">
        <v>200</v>
      </c>
      <c r="F17" s="2" t="s">
        <v>63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173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153</v>
      </c>
    </row>
    <row r="18" customFormat="false" ht="12" hidden="false" customHeight="false" outlineLevel="0" collapsed="false">
      <c r="A18" s="27" t="n">
        <v>46093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171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46095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169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46095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169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46096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168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46096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168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46097</v>
      </c>
      <c r="B23" s="2" t="s">
        <v>149</v>
      </c>
      <c r="E23" s="2" t="s">
        <v>150</v>
      </c>
      <c r="F23" s="2" t="s">
        <v>63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167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46099</v>
      </c>
      <c r="B24" s="2" t="s">
        <v>168</v>
      </c>
      <c r="E24" s="2" t="s">
        <v>169</v>
      </c>
      <c r="F24" s="2" t="s">
        <v>102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165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103</v>
      </c>
    </row>
    <row r="25" customFormat="false" ht="12" hidden="false" customHeight="false" outlineLevel="0" collapsed="false">
      <c r="A25" s="27" t="n">
        <v>46099</v>
      </c>
      <c r="B25" s="2" t="s">
        <v>114</v>
      </c>
      <c r="E25" s="2" t="s">
        <v>87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165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46101</v>
      </c>
      <c r="B26" s="2" t="s">
        <v>115</v>
      </c>
      <c r="E26" s="2" t="s">
        <v>116</v>
      </c>
      <c r="F26" s="2" t="s">
        <v>63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163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46102</v>
      </c>
      <c r="B27" s="2" t="s">
        <v>121</v>
      </c>
      <c r="E27" s="2" t="s">
        <v>122</v>
      </c>
      <c r="F27" s="2" t="s">
        <v>93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162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94</v>
      </c>
    </row>
    <row r="28" customFormat="false" ht="12" hidden="false" customHeight="false" outlineLevel="0" collapsed="false">
      <c r="A28" s="27" t="n">
        <v>46103</v>
      </c>
      <c r="B28" s="2" t="s">
        <v>123</v>
      </c>
      <c r="E28" s="2" t="s">
        <v>124</v>
      </c>
      <c r="F28" s="2" t="s">
        <v>73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161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BZ28" s="2" t="s">
        <v>83</v>
      </c>
    </row>
    <row r="29" customFormat="false" ht="12" hidden="false" customHeight="false" outlineLevel="0" collapsed="false">
      <c r="A29" s="27" t="n">
        <v>46103</v>
      </c>
      <c r="B29" s="2" t="s">
        <v>156</v>
      </c>
      <c r="E29" s="2" t="s">
        <v>157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161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46106</v>
      </c>
      <c r="B30" s="2" t="s">
        <v>170</v>
      </c>
      <c r="E30" s="2" t="s">
        <v>171</v>
      </c>
      <c r="F30" s="2" t="s">
        <v>59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158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172</v>
      </c>
    </row>
    <row r="31" customFormat="false" ht="12" hidden="false" customHeight="false" outlineLevel="0" collapsed="false">
      <c r="A31" s="27" t="n">
        <v>46106</v>
      </c>
      <c r="B31" s="2" t="s">
        <v>125</v>
      </c>
      <c r="E31" s="2" t="s">
        <v>126</v>
      </c>
      <c r="F31" s="2" t="s">
        <v>73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158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46106</v>
      </c>
      <c r="B32" s="2" t="s">
        <v>127</v>
      </c>
      <c r="E32" s="2" t="s">
        <v>222</v>
      </c>
      <c r="F32" s="2" t="s">
        <v>24</v>
      </c>
      <c r="G32" s="29" t="n">
        <v>58.5</v>
      </c>
      <c r="H32" s="6" t="n">
        <f aca="false">IF(G32&lt;&gt;0,G32*H$2/(100+H$2)," ")</f>
        <v>9.75</v>
      </c>
      <c r="I32" s="6" t="n">
        <f aca="false">IF((G32&lt;&gt;0),G32-H32," ")</f>
        <v>48.75</v>
      </c>
      <c r="J32" s="5"/>
      <c r="M32" s="7" t="n">
        <f aca="false">IF(G32&lt;&gt;0,G32-L32," ")</f>
        <v>58.5</v>
      </c>
      <c r="N32" s="8" t="n">
        <f aca="false">IF((G32-L32)&lt;&gt;0,N$1-A32," ")</f>
        <v>158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n">
        <f aca="false">IF((F32="v"),I32," ")</f>
        <v>48.75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88</v>
      </c>
    </row>
    <row r="33" customFormat="false" ht="12" hidden="false" customHeight="false" outlineLevel="0" collapsed="false">
      <c r="A33" s="27" t="n">
        <v>46109</v>
      </c>
      <c r="B33" s="2" t="s">
        <v>19</v>
      </c>
      <c r="E33" s="2" t="s">
        <v>129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155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46112</v>
      </c>
      <c r="B34" s="2" t="s">
        <v>15</v>
      </c>
      <c r="E34" s="2" t="s">
        <v>130</v>
      </c>
      <c r="F34" s="2" t="s">
        <v>131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152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132</v>
      </c>
    </row>
    <row r="35" customFormat="false" ht="12" hidden="false" customHeight="false" outlineLevel="0" collapsed="false">
      <c r="A35" s="27" t="n">
        <v>46112</v>
      </c>
      <c r="B35" s="2" t="s">
        <v>174</v>
      </c>
      <c r="C35" s="3" t="s">
        <v>230</v>
      </c>
      <c r="E35" s="2" t="s">
        <v>176</v>
      </c>
      <c r="F35" s="2" t="s">
        <v>131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152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177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46264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231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46264</v>
      </c>
    </row>
    <row r="6" customFormat="false" ht="12" hidden="false" customHeight="false" outlineLevel="0" collapsed="false">
      <c r="A6" s="27"/>
      <c r="B6" s="2" t="s">
        <v>15</v>
      </c>
      <c r="C6" s="3" t="s">
        <v>232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46264</v>
      </c>
    </row>
    <row r="7" customFormat="false" ht="12" hidden="false" customHeight="false" outlineLevel="0" collapsed="false">
      <c r="A7" s="27"/>
      <c r="B7" s="2" t="s">
        <v>115</v>
      </c>
      <c r="C7" s="3" t="s">
        <v>233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46264</v>
      </c>
    </row>
    <row r="8" customFormat="false" ht="12" hidden="false" customHeight="false" outlineLevel="0" collapsed="false">
      <c r="A8" s="27"/>
      <c r="B8" s="2" t="s">
        <v>19</v>
      </c>
      <c r="C8" s="3" t="s">
        <v>234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46264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