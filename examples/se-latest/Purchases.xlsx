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<sst xmlns="http://schemas.openxmlformats.org/spreadsheetml/2006/main" count="1417" uniqueCount="129">
  <si>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</si>
  <si>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</si>
  <si>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</si>
  <si>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</si>
  <si>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</si>
  <si>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</si>
  <si>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</si>
  <si>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</si>
  <si>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</si>
  <si>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</si>
  <si>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</si>
  <si>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</si>
  <si>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</si>
  <si>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</si>
  <si>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</si>
  <si>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</si>
  <si>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</si>
  <si>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</si>
  <si>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</si>
  <si>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</si>
  <si>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</si>
  <si>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</si>
  <si>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</si>
  <si>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</si>
  <si>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</si>
  <si>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</si>
  <si>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</si>
  <si>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</si>
  <si>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</si>
  <si>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</si>
  <si>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</si>
  <si>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</si>
  <si>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</si>
  <si>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</si>
  <si>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</si>
  <si>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</si>
  <si>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</si>
  <si>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</si>
  <si>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</si>
  <si>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</si>
  <si>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</si>
  <si>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</si>
  <si>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</si>
  <si>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</si>
  <si>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</si>
  <si>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</si>
  <si>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</si>
  <si>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</si>
  <si>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</si>
  <si>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</si>
  <si>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</si>
  <si>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</si>
  <si>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</si>
  <si>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</si>
  <si>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</si>
  <si>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</si>
  <si>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</si>
  <si>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</si>
  <si>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p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</si>
  <si>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</si>
  <si>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</si>
  <si>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</si>
  <si>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</si>
  <si>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</si>
  <si>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</si>
  <si>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y</t>
  </si>
  <si>
    <t xml:space="preserve">Cloudflare</t>
  </si>
  <si>
    <t xml:space="preserve">Zoom</t>
  </si>
  <si>
    <t xml:space="preserve">AWS</t>
  </si>
  <si>
    <t xml:space="preserve">Argos</t>
  </si>
  <si>
    <t xml:space="preserve">Ryman</t>
  </si>
  <si>
    <t xml:space="preserve">BP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</si>
  <si>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</si>
  <si>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</si>
  <si>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</si>
  <si>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</si>
  <si>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</si>
  <si>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</si>
  <si>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</si>
  <si>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</si>
  <si>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</si>
  <si>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</si>
  <si>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</si>
  <si>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</si>
  <si>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</si>
  <si>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</si>
  <si>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</si>
  <si>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</si>
  <si>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</si>
  <si>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</si>
  <si>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</si>
  <si>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</si>
  <si>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</si>
  <si>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</si>
  <si>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</si>
  <si>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</si>
  <si>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</si>
  <si>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</si>
  <si>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</si>
  <si>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</si>
  <si>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</si>
  <si>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</si>
  <si>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</si>
  <si>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</si>
  <si>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</si>
  <si>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</si>
  <si>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</si>
  <si>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</si>
  <si>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</si>
  <si>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</si>
  <si>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Directors loan</t>
  </si>
  <si>
    <t xml:space="preserve">J. Smith Consulting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</si>
  <si>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</si>
  <si>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</si>
  <si>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</si>
  <si>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</si>
  <si>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</si>
  <si>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</si>
  <si>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</si>
  <si>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</si>
  <si>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</si>
  <si>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</si>
  <si>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</si>
  <si>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</si>
  <si>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Director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</si>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</sst>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2220</v>
      </c>
      <c r="H1" s="13" t="n">
        <f aca="false">SUM(H5:H300)</f>
        <v>370</v>
      </c>
      <c r="I1" s="13" t="n">
        <f aca="false">SUM(I5:I300)</f>
        <v>1850</v>
      </c>
      <c r="J1" s="15"/>
      <c r="K1" s="16" t="s">
        <v>4</v>
      </c>
      <c r="L1" s="17" t="n">
        <f aca="false">SUM(L5:L300)</f>
        <v>0</v>
      </c>
      <c r="M1" s="17" t="n">
        <f aca="false">SUM(M5:M300)</f>
        <v>2220</v>
      </c>
      <c r="N1" s="18" t="n">
        <f aca="true">TODAY()</f>
        <v>46263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4"/>
      <c r="E5" s="2"/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46263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46263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F7" s="2"/>
      <c r="G7" s="6" t="n">
        <v>600</v>
      </c>
      <c r="H7" s="6" t="n">
        <f aca="false">IF(G7&lt;&gt;0,G7*H$2/(100+H$2)," ")</f>
        <v>100</v>
      </c>
      <c r="I7" s="6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46263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F8" s="2"/>
      <c r="G8" s="6" t="n">
        <v>120</v>
      </c>
      <c r="H8" s="6" t="n">
        <f aca="false">IF(G8&lt;&gt;0,G8*H$2/(100+H$2)," ")</f>
        <v>20</v>
      </c>
      <c r="I8" s="6" t="n">
        <f aca="false">IF((G8&lt;&gt;0),G8-H8," ")</f>
        <v>100</v>
      </c>
      <c r="M8" s="7" t="n">
        <f aca="false">IF(G8&lt;&gt;0,G8-L8," ")</f>
        <v>120</v>
      </c>
      <c r="N8" s="8" t="n">
        <f aca="false">IF((G8-L8)&lt;&gt;0,N$1-A8," ")</f>
        <v>46263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851.875</v>
      </c>
      <c r="I1" s="13" t="n">
        <f aca="false">SUM(I2:I200)</f>
        <v>4259.375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5111.25</v>
      </c>
      <c r="N1" s="18" t="n">
        <f aca="true">TODAY()</f>
        <v>46263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100</v>
      </c>
      <c r="V1" s="13" t="n">
        <f aca="false">SUM(V5:V300)</f>
        <v>262.5</v>
      </c>
      <c r="W1" s="13" t="n">
        <f aca="false">SUM(W2:W300)</f>
        <v>501.875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1330.83333333333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</f>
        <v>0</v>
      </c>
      <c r="B2" s="44" t="s">
        <v>22</v>
      </c>
      <c r="C2" s="43" t="n">
        <f aca="false">0+D1+[1]Apr!$D$1</f>
        <v>0</v>
      </c>
      <c r="D2" s="45" t="s">
        <v>23</v>
      </c>
      <c r="E2" s="20" t="s">
        <v>5</v>
      </c>
      <c r="F2" s="44" t="s">
        <v>24</v>
      </c>
      <c r="G2" s="46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</f>
        <v>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IF((G5-L5)&lt;&gt;0,N$1-A22," ")</f>
        <v>502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515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45748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515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45748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515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45748</v>
      </c>
      <c r="B9" s="2" t="s">
        <v>64</v>
      </c>
      <c r="F9" s="2" t="s">
        <v>65</v>
      </c>
      <c r="G9" s="29" t="n">
        <v>1440</v>
      </c>
      <c r="H9" s="6" t="n">
        <f aca="false">IF(G9&lt;&gt;0,G9*H$2/(100+H$2)," ")</f>
        <v>240</v>
      </c>
      <c r="I9" s="6" t="n">
        <f aca="false">IF((G9&lt;&gt;0),G9-H9," ")</f>
        <v>1200</v>
      </c>
      <c r="J9" s="5"/>
      <c r="M9" s="7" t="n">
        <f aca="false">IF(G9&lt;&gt;0,G9-L9," ")</f>
        <v>1440</v>
      </c>
      <c r="N9" s="8" t="n">
        <f aca="false">IF((G9-L9)&lt;&gt;0,N$1-A9," ")</f>
        <v>515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1200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45748</v>
      </c>
      <c r="B10" s="2" t="s">
        <v>66</v>
      </c>
      <c r="F10" s="2" t="s">
        <v>63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515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45748</v>
      </c>
      <c r="B11" s="2" t="s">
        <v>67</v>
      </c>
      <c r="F11" s="2" t="s">
        <v>60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515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45750</v>
      </c>
      <c r="B12" s="2" t="s">
        <v>68</v>
      </c>
      <c r="F12" s="2" t="s">
        <v>63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513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45750</v>
      </c>
      <c r="B13" s="2" t="s">
        <v>69</v>
      </c>
      <c r="F13" s="2" t="s">
        <v>65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513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45752</v>
      </c>
      <c r="B14" s="2" t="s">
        <v>70</v>
      </c>
      <c r="F14" s="2" t="s">
        <v>65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511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45752</v>
      </c>
      <c r="B15" s="2" t="s">
        <v>71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511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45752</v>
      </c>
      <c r="B16" s="2" t="s">
        <v>72</v>
      </c>
      <c r="F16" s="2" t="s">
        <v>63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511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45755</v>
      </c>
      <c r="B17" s="2" t="s">
        <v>73</v>
      </c>
      <c r="F17" s="2" t="s">
        <v>74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508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45757</v>
      </c>
      <c r="B18" s="2" t="s">
        <v>75</v>
      </c>
      <c r="F18" s="2" t="s">
        <v>65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506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45757</v>
      </c>
      <c r="B19" s="2" t="s">
        <v>76</v>
      </c>
      <c r="F19" s="2" t="s">
        <v>60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506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45757</v>
      </c>
      <c r="B20" s="2" t="s">
        <v>77</v>
      </c>
      <c r="F20" s="2" t="s">
        <v>78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506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45759</v>
      </c>
      <c r="B21" s="2" t="s">
        <v>79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504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45761</v>
      </c>
      <c r="B22" s="2" t="s">
        <v>80</v>
      </c>
      <c r="F22" s="2" t="s">
        <v>65</v>
      </c>
      <c r="G22" s="29" t="n">
        <v>42</v>
      </c>
      <c r="H22" s="6" t="n">
        <f aca="false">IF(G22&lt;&gt;0,G22*H$2/(100+H$2)," ")</f>
        <v>7</v>
      </c>
      <c r="I22" s="6" t="n">
        <f aca="false">IF((G22&lt;&gt;0),G22-H22," ")</f>
        <v>35</v>
      </c>
      <c r="J22" s="5"/>
      <c r="M22" s="7" t="n">
        <f aca="false">IF(G22&lt;&gt;0,G22-L22," ")</f>
        <v>42</v>
      </c>
      <c r="N22" s="8" t="n">
        <f aca="false">IF((G22-L22)&lt;&gt;0,N$1-A22," ")</f>
        <v>502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n">
        <f aca="false">IF((F22="y"),I22," ")</f>
        <v>35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45761</v>
      </c>
      <c r="B23" s="2" t="s">
        <v>81</v>
      </c>
      <c r="F23" s="2" t="s">
        <v>74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502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45761</v>
      </c>
      <c r="B24" s="2" t="s">
        <v>82</v>
      </c>
      <c r="F24" s="2" t="s">
        <v>74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502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45762</v>
      </c>
      <c r="B25" s="2" t="s">
        <v>19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501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45762</v>
      </c>
      <c r="B26" s="2" t="s">
        <v>83</v>
      </c>
      <c r="F26" s="2" t="s">
        <v>60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501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45765</v>
      </c>
      <c r="B27" s="2" t="s">
        <v>84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498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45767</v>
      </c>
      <c r="B28" s="2" t="s">
        <v>85</v>
      </c>
      <c r="F28" s="2" t="s">
        <v>60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496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45767</v>
      </c>
      <c r="B29" s="2" t="s">
        <v>86</v>
      </c>
      <c r="F29" s="2" t="s">
        <v>87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496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100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45768</v>
      </c>
      <c r="B30" s="2" t="s">
        <v>88</v>
      </c>
      <c r="F30" s="2" t="s">
        <v>74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495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45769</v>
      </c>
      <c r="B31" s="2" t="s">
        <v>89</v>
      </c>
      <c r="F31" s="2" t="s">
        <v>65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494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45772</v>
      </c>
      <c r="B32" s="2" t="s">
        <v>90</v>
      </c>
      <c r="F32" s="2" t="s">
        <v>65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491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45772</v>
      </c>
      <c r="B33" s="2" t="s">
        <v>91</v>
      </c>
      <c r="F33" s="2" t="s">
        <v>24</v>
      </c>
      <c r="G33" s="29" t="n">
        <v>38.25</v>
      </c>
      <c r="H33" s="6" t="n">
        <f aca="false">IF(G33&lt;&gt;0,G33*H$2/(100+H$2)," ")</f>
        <v>6.375</v>
      </c>
      <c r="I33" s="6" t="n">
        <f aca="false">IF((G33&lt;&gt;0),G33-H33," ")</f>
        <v>31.875</v>
      </c>
      <c r="J33" s="5"/>
      <c r="M33" s="7" t="n">
        <f aca="false">IF(G33&lt;&gt;0,G33-L33," ")</f>
        <v>38.25</v>
      </c>
      <c r="N33" s="8" t="n">
        <f aca="false">IF((G33-L33)&lt;&gt;0,N$1-A33," ")</f>
        <v>491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31.875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45775</v>
      </c>
      <c r="B34" s="2" t="s">
        <v>19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488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45777</v>
      </c>
      <c r="B35" s="2" t="s">
        <v>15</v>
      </c>
      <c r="F35" s="2" t="s">
        <v>92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486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1062.5</v>
      </c>
      <c r="I1" s="13" t="n">
        <f aca="false">SUM(I2:I200)</f>
        <v>5312.5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6375</v>
      </c>
      <c r="N1" s="18" t="n">
        <f aca="true">TODAY()</f>
        <v>46263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407.5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277.5</v>
      </c>
      <c r="W1" s="13" t="n">
        <f aca="false">SUM(W2:W300)</f>
        <v>555</v>
      </c>
      <c r="X1" s="13" t="n">
        <f aca="false">SUM(X5:X300)</f>
        <v>126.666666666667</v>
      </c>
      <c r="Y1" s="13" t="n">
        <f aca="false">SUM(Y5:Y300)</f>
        <v>500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1500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G2+Apr!A2</f>
        <v>0</v>
      </c>
      <c r="B2" s="44" t="s">
        <v>22</v>
      </c>
      <c r="C2" s="43" t="n">
        <f aca="false">Apr!C2+D1+[1]May!$D$1</f>
        <v>0</v>
      </c>
      <c r="D2" s="45" t="s">
        <v>23</v>
      </c>
      <c r="E2" s="20" t="s">
        <v>5</v>
      </c>
      <c r="F2" s="44" t="str">
        <f aca="false">Apr!F2</f>
        <v>v</v>
      </c>
      <c r="G2" s="46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AB1+Apr!AB2</f>
        <v>1500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485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45778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485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485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45778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485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45778</v>
      </c>
      <c r="B9" s="2" t="s">
        <v>66</v>
      </c>
      <c r="F9" s="2" t="s">
        <v>63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485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45778</v>
      </c>
      <c r="B10" s="2" t="s">
        <v>67</v>
      </c>
      <c r="F10" s="2" t="s">
        <v>60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485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45780</v>
      </c>
      <c r="B11" s="2" t="s">
        <v>68</v>
      </c>
      <c r="F11" s="2" t="s">
        <v>63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483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45780</v>
      </c>
      <c r="B12" s="2" t="s">
        <v>69</v>
      </c>
      <c r="F12" s="2" t="s">
        <v>65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483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45782</v>
      </c>
      <c r="B13" s="2" t="s">
        <v>70</v>
      </c>
      <c r="F13" s="2" t="s">
        <v>65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481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45782</v>
      </c>
      <c r="B14" s="2" t="s">
        <v>71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481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45783</v>
      </c>
      <c r="B15" s="2" t="s">
        <v>93</v>
      </c>
      <c r="F15" s="2" t="s">
        <v>74</v>
      </c>
      <c r="G15" s="29" t="n">
        <v>60</v>
      </c>
      <c r="H15" s="6" t="n">
        <f aca="false">IF(G15&lt;&gt;0,G15*H$2/(100+H$2)," ")</f>
        <v>10</v>
      </c>
      <c r="I15" s="6" t="n">
        <f aca="false">IF((G15&lt;&gt;0),G15-H15," ")</f>
        <v>50</v>
      </c>
      <c r="J15" s="5"/>
      <c r="M15" s="7" t="n">
        <f aca="false">IF(G15&lt;&gt;0,G15-L15," ")</f>
        <v>60</v>
      </c>
      <c r="N15" s="8" t="n">
        <f aca="false">IF((G15-L15)&lt;&gt;0,N$1-A15," ")</f>
        <v>480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50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45785</v>
      </c>
      <c r="B16" s="2" t="s">
        <v>73</v>
      </c>
      <c r="F16" s="2" t="s">
        <v>74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478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45785</v>
      </c>
      <c r="B17" s="2" t="s">
        <v>94</v>
      </c>
      <c r="F17" s="2" t="s">
        <v>63</v>
      </c>
      <c r="G17" s="29" t="n">
        <v>240</v>
      </c>
      <c r="H17" s="6" t="n">
        <f aca="false">IF(G17&lt;&gt;0,G17*H$2/(100+H$2)," ")</f>
        <v>40</v>
      </c>
      <c r="I17" s="6" t="n">
        <f aca="false">IF((G17&lt;&gt;0),G17-H17," ")</f>
        <v>200</v>
      </c>
      <c r="J17" s="5"/>
      <c r="M17" s="7" t="n">
        <f aca="false">IF(G17&lt;&gt;0,G17-L17," ")</f>
        <v>240</v>
      </c>
      <c r="N17" s="8" t="n">
        <f aca="false">IF((G17-L17)&lt;&gt;0,N$1-A17," ")</f>
        <v>478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200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45787</v>
      </c>
      <c r="B18" s="2" t="s">
        <v>75</v>
      </c>
      <c r="F18" s="2" t="s">
        <v>65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476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45787</v>
      </c>
      <c r="B19" s="2" t="s">
        <v>95</v>
      </c>
      <c r="F19" s="2" t="s">
        <v>96</v>
      </c>
      <c r="G19" s="29" t="n">
        <v>600</v>
      </c>
      <c r="H19" s="6" t="n">
        <f aca="false">IF(G19&lt;&gt;0,G19*H$2/(100+H$2)," ")</f>
        <v>100</v>
      </c>
      <c r="I19" s="6" t="n">
        <f aca="false">IF((G19&lt;&gt;0),G19-H19," ")</f>
        <v>500</v>
      </c>
      <c r="J19" s="5"/>
      <c r="M19" s="7" t="n">
        <f aca="false">IF(G19&lt;&gt;0,G19-L19," ")</f>
        <v>600</v>
      </c>
      <c r="N19" s="8" t="n">
        <f aca="false">IF((G19-L19)&lt;&gt;0,N$1-A19," ")</f>
        <v>476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500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45789</v>
      </c>
      <c r="B20" s="2" t="s">
        <v>79</v>
      </c>
      <c r="F20" s="2" t="s">
        <v>24</v>
      </c>
      <c r="G20" s="29" t="n">
        <v>18</v>
      </c>
      <c r="H20" s="6" t="n">
        <f aca="false">IF(G20&lt;&gt;0,G20*H$2/(100+H$2)," ")</f>
        <v>3</v>
      </c>
      <c r="I20" s="6" t="n">
        <f aca="false">IF((G20&lt;&gt;0),G20-H20," ")</f>
        <v>15</v>
      </c>
      <c r="J20" s="5"/>
      <c r="M20" s="7" t="n">
        <f aca="false">IF(G20&lt;&gt;0,G20-L20," ")</f>
        <v>18</v>
      </c>
      <c r="N20" s="8" t="n">
        <f aca="false">IF((G20-L20)&lt;&gt;0,N$1-A20," ")</f>
        <v>474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n">
        <f aca="false">IF((F20="v"),I20," ")</f>
        <v>15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45791</v>
      </c>
      <c r="B21" s="2" t="s">
        <v>81</v>
      </c>
      <c r="F21" s="2" t="s">
        <v>74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472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45791</v>
      </c>
      <c r="B22" s="2" t="s">
        <v>82</v>
      </c>
      <c r="F22" s="2" t="s">
        <v>74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472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45792</v>
      </c>
      <c r="B23" s="2" t="s">
        <v>19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471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45792</v>
      </c>
      <c r="B24" s="2" t="s">
        <v>83</v>
      </c>
      <c r="F24" s="2" t="s">
        <v>60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471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45792</v>
      </c>
      <c r="B25" s="2" t="s">
        <v>97</v>
      </c>
      <c r="F25" s="2" t="s">
        <v>78</v>
      </c>
      <c r="G25" s="29" t="n">
        <v>480</v>
      </c>
      <c r="H25" s="6" t="n">
        <f aca="false">IF(G25&lt;&gt;0,G25*H$2/(100+H$2)," ")</f>
        <v>80</v>
      </c>
      <c r="I25" s="6" t="n">
        <f aca="false">IF((G25&lt;&gt;0),G25-H25," ")</f>
        <v>400</v>
      </c>
      <c r="J25" s="5"/>
      <c r="M25" s="7" t="n">
        <f aca="false">IF(G25&lt;&gt;0,G25-L25," ")</f>
        <v>480</v>
      </c>
      <c r="N25" s="8" t="n">
        <f aca="false">IF((G25-L25)&lt;&gt;0,N$1-A25," ")</f>
        <v>471</v>
      </c>
      <c r="O25" s="5"/>
      <c r="P25" s="19" t="n">
        <f aca="false">IF((F25="s"),I25," ")</f>
        <v>400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45792</v>
      </c>
      <c r="B26" s="2" t="s">
        <v>98</v>
      </c>
      <c r="F26" s="2" t="s">
        <v>99</v>
      </c>
      <c r="G26" s="29" t="n">
        <v>1800</v>
      </c>
      <c r="H26" s="6" t="n">
        <f aca="false">IF(G26&lt;&gt;0,G26*H$2/(100+H$2)," ")</f>
        <v>300</v>
      </c>
      <c r="I26" s="6" t="n">
        <f aca="false">IF((G26&lt;&gt;0),G26-H26," ")</f>
        <v>1500</v>
      </c>
      <c r="J26" s="5"/>
      <c r="M26" s="7" t="n">
        <f aca="false">IF(G26&lt;&gt;0,G26-L26," ")</f>
        <v>1800</v>
      </c>
      <c r="N26" s="8" t="n">
        <f aca="false">IF((G26-L26)&lt;&gt;0,N$1-A26," ")</f>
        <v>471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1500</v>
      </c>
    </row>
    <row r="27" customFormat="false" ht="12" hidden="false" customHeight="false" outlineLevel="0" collapsed="false">
      <c r="A27" s="27" t="n">
        <v>45793</v>
      </c>
      <c r="B27" s="2" t="s">
        <v>100</v>
      </c>
      <c r="F27" s="2" t="s">
        <v>60</v>
      </c>
      <c r="G27" s="29" t="n">
        <v>18</v>
      </c>
      <c r="H27" s="6" t="n">
        <f aca="false">IF(G27&lt;&gt;0,G27*H$2/(100+H$2)," ")</f>
        <v>3</v>
      </c>
      <c r="I27" s="6" t="n">
        <f aca="false">IF((G27&lt;&gt;0),G27-H27," ")</f>
        <v>15</v>
      </c>
      <c r="J27" s="5"/>
      <c r="M27" s="7" t="n">
        <f aca="false">IF(G27&lt;&gt;0,G27-L27," ")</f>
        <v>18</v>
      </c>
      <c r="N27" s="8" t="n">
        <f aca="false">IF((G27-L27)&lt;&gt;0,N$1-A27," ")</f>
        <v>470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15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45795</v>
      </c>
      <c r="B28" s="2" t="s">
        <v>84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468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45797</v>
      </c>
      <c r="B29" s="2" t="s">
        <v>85</v>
      </c>
      <c r="F29" s="2" t="s">
        <v>60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466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45797</v>
      </c>
      <c r="B30" s="2" t="s">
        <v>101</v>
      </c>
      <c r="F30" s="2" t="s">
        <v>60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466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150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45797</v>
      </c>
      <c r="B31" s="2" t="s">
        <v>102</v>
      </c>
      <c r="F31" s="2" t="s">
        <v>78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466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45798</v>
      </c>
      <c r="B32" s="2" t="s">
        <v>88</v>
      </c>
      <c r="F32" s="2" t="s">
        <v>74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465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45799</v>
      </c>
      <c r="B33" s="2" t="s">
        <v>89</v>
      </c>
      <c r="F33" s="2" t="s">
        <v>65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464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45799</v>
      </c>
      <c r="B34" s="2" t="s">
        <v>103</v>
      </c>
      <c r="F34" s="2" t="s">
        <v>24</v>
      </c>
      <c r="G34" s="29" t="n">
        <v>48</v>
      </c>
      <c r="H34" s="6" t="n">
        <f aca="false">IF(G34&lt;&gt;0,G34*H$2/(100+H$2)," ")</f>
        <v>8</v>
      </c>
      <c r="I34" s="6" t="n">
        <f aca="false">IF((G34&lt;&gt;0),G34-H34," ")</f>
        <v>40</v>
      </c>
      <c r="J34" s="5"/>
      <c r="M34" s="7" t="n">
        <f aca="false">IF(G34&lt;&gt;0,G34-L34," ")</f>
        <v>48</v>
      </c>
      <c r="N34" s="8" t="n">
        <f aca="false">IF((G34-L34)&lt;&gt;0,N$1-A34," ")</f>
        <v>464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40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45802</v>
      </c>
      <c r="B35" s="2" t="s">
        <v>90</v>
      </c>
      <c r="F35" s="2" t="s">
        <v>65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461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45802</v>
      </c>
      <c r="B36" s="2" t="s">
        <v>91</v>
      </c>
      <c r="F36" s="2" t="s">
        <v>24</v>
      </c>
      <c r="G36" s="29" t="n">
        <v>54</v>
      </c>
      <c r="H36" s="6" t="n">
        <f aca="false">IF(G36&lt;&gt;0,G36*H$2/(100+H$2)," ")</f>
        <v>9</v>
      </c>
      <c r="I36" s="6" t="n">
        <f aca="false">IF((G36&lt;&gt;0),G36-H36," ")</f>
        <v>45</v>
      </c>
      <c r="J36" s="5"/>
      <c r="M36" s="7" t="n">
        <f aca="false">IF(G36&lt;&gt;0,G36-L36," ")</f>
        <v>54</v>
      </c>
      <c r="N36" s="8" t="n">
        <f aca="false">IF((G36-L36)&lt;&gt;0,N$1-A36," ")</f>
        <v>461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45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45805</v>
      </c>
      <c r="B37" s="2" t="s">
        <v>19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458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45808</v>
      </c>
      <c r="B38" s="2" t="s">
        <v>15</v>
      </c>
      <c r="F38" s="2" t="s">
        <v>92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455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9057</v>
      </c>
      <c r="H1" s="13" t="n">
        <f aca="false">SUM(H5:H200)</f>
        <v>1509.5</v>
      </c>
      <c r="I1" s="13" t="n">
        <f aca="false">SUM(I2:I200)</f>
        <v>7547.5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9057</v>
      </c>
      <c r="N1" s="18" t="n">
        <f aca="true">TODAY()</f>
        <v>46263</v>
      </c>
      <c r="O1" s="15"/>
      <c r="P1" s="13" t="n">
        <f aca="false">SUM(P5:P300)</f>
        <v>300</v>
      </c>
      <c r="Q1" s="13" t="n">
        <f aca="false">SUM(Q5:Q300)</f>
        <v>4166.66666666667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192.5</v>
      </c>
      <c r="W1" s="13" t="n">
        <f aca="false">SUM(W2:W300)</f>
        <v>545</v>
      </c>
      <c r="X1" s="13" t="n">
        <f aca="false">SUM(X5:X300)</f>
        <v>226.666666666667</v>
      </c>
      <c r="Y1" s="13" t="n">
        <f aca="false">SUM(Y5:Y300)</f>
        <v>0</v>
      </c>
      <c r="Z1" s="13" t="n">
        <f aca="false">SUM(Z5:Z300)</f>
        <v>458.333333333333</v>
      </c>
      <c r="AA1" s="13" t="n">
        <f aca="false">SUM(AA5:AA300)</f>
        <v>120.833333333333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G2+May!A2</f>
        <v>0</v>
      </c>
      <c r="B2" s="44" t="s">
        <v>22</v>
      </c>
      <c r="C2" s="43" t="n">
        <f aca="false">May!C2+D1+[1]Jun!$D$1</f>
        <v>0</v>
      </c>
      <c r="D2" s="45" t="s">
        <v>23</v>
      </c>
      <c r="E2" s="20" t="s">
        <v>5</v>
      </c>
      <c r="F2" s="44" t="str">
        <f aca="false">May!F2</f>
        <v>v</v>
      </c>
      <c r="G2" s="46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AB1+May!AB2</f>
        <v>1500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454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45809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454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454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45809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454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45809</v>
      </c>
      <c r="B9" s="2" t="s">
        <v>66</v>
      </c>
      <c r="F9" s="2" t="s">
        <v>63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454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45809</v>
      </c>
      <c r="B10" s="2" t="s">
        <v>67</v>
      </c>
      <c r="F10" s="2" t="s">
        <v>60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454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45811</v>
      </c>
      <c r="B11" s="2" t="s">
        <v>68</v>
      </c>
      <c r="F11" s="2" t="s">
        <v>63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452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45811</v>
      </c>
      <c r="B12" s="2" t="s">
        <v>69</v>
      </c>
      <c r="F12" s="2" t="s">
        <v>65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452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45813</v>
      </c>
      <c r="B13" s="2" t="s">
        <v>70</v>
      </c>
      <c r="F13" s="2" t="s">
        <v>65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450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45813</v>
      </c>
      <c r="B14" s="2" t="s">
        <v>71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450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45813</v>
      </c>
      <c r="B15" s="2" t="s">
        <v>72</v>
      </c>
      <c r="F15" s="2" t="s">
        <v>63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450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45816</v>
      </c>
      <c r="B16" s="2" t="s">
        <v>73</v>
      </c>
      <c r="F16" s="2" t="s">
        <v>74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447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45818</v>
      </c>
      <c r="B17" s="2" t="s">
        <v>75</v>
      </c>
      <c r="F17" s="2" t="s">
        <v>65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445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45818</v>
      </c>
      <c r="B18" s="2" t="s">
        <v>104</v>
      </c>
      <c r="F18" s="2" t="s">
        <v>60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445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45820</v>
      </c>
      <c r="B19" s="2" t="s">
        <v>79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443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45822</v>
      </c>
      <c r="B20" s="2" t="s">
        <v>80</v>
      </c>
      <c r="F20" s="2" t="s">
        <v>65</v>
      </c>
      <c r="G20" s="29" t="n">
        <v>30</v>
      </c>
      <c r="H20" s="6" t="n">
        <f aca="false">IF(G20&lt;&gt;0,G20*H$2/(100+H$2)," ")</f>
        <v>5</v>
      </c>
      <c r="I20" s="6" t="n">
        <f aca="false">IF((G20&lt;&gt;0),G20-H20," ")</f>
        <v>25</v>
      </c>
      <c r="J20" s="5"/>
      <c r="M20" s="7" t="n">
        <f aca="false">IF(G20&lt;&gt;0,G20-L20," ")</f>
        <v>30</v>
      </c>
      <c r="N20" s="8" t="n">
        <f aca="false">IF((G20-L20)&lt;&gt;0,N$1-A20," ")</f>
        <v>441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25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45822</v>
      </c>
      <c r="B21" s="2" t="s">
        <v>81</v>
      </c>
      <c r="F21" s="2" t="s">
        <v>74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441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45822</v>
      </c>
      <c r="B22" s="2" t="s">
        <v>82</v>
      </c>
      <c r="F22" s="2" t="s">
        <v>74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441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45823</v>
      </c>
      <c r="B23" s="2" t="s">
        <v>19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440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45823</v>
      </c>
      <c r="B24" s="2" t="s">
        <v>83</v>
      </c>
      <c r="F24" s="2" t="s">
        <v>60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440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45823</v>
      </c>
      <c r="B25" s="2" t="s">
        <v>105</v>
      </c>
      <c r="F25" s="2" t="s">
        <v>106</v>
      </c>
      <c r="G25" s="29" t="n">
        <v>5000</v>
      </c>
      <c r="H25" s="6" t="n">
        <f aca="false">IF(G25&lt;&gt;0,G25*H$2/(100+H$2)," ")</f>
        <v>833.333333333333</v>
      </c>
      <c r="I25" s="6" t="n">
        <f aca="false">IF((G25&lt;&gt;0),G25-H25," ")</f>
        <v>4166.66666666667</v>
      </c>
      <c r="J25" s="5"/>
      <c r="M25" s="7" t="n">
        <f aca="false">IF(G25&lt;&gt;0,G25-L25," ")</f>
        <v>5000</v>
      </c>
      <c r="N25" s="8" t="n">
        <f aca="false">IF((G25-L25)&lt;&gt;0,N$1-A25," ")</f>
        <v>440</v>
      </c>
      <c r="O25" s="5"/>
      <c r="P25" s="19" t="str">
        <f aca="false">IF((F25="s"),I25," ")</f>
        <v> </v>
      </c>
      <c r="Q25" s="19" t="n">
        <f aca="false">IF((F25="c"),I25," ")</f>
        <v>4166.66666666667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45826</v>
      </c>
      <c r="B26" s="2" t="s">
        <v>107</v>
      </c>
      <c r="F26" s="2" t="s">
        <v>74</v>
      </c>
      <c r="G26" s="29" t="n">
        <v>180</v>
      </c>
      <c r="H26" s="6" t="n">
        <f aca="false">IF(G26&lt;&gt;0,G26*H$2/(100+H$2)," ")</f>
        <v>30</v>
      </c>
      <c r="I26" s="6" t="n">
        <f aca="false">IF((G26&lt;&gt;0),G26-H26," ")</f>
        <v>150</v>
      </c>
      <c r="J26" s="5"/>
      <c r="M26" s="7" t="n">
        <f aca="false">IF(G26&lt;&gt;0,G26-L26," ")</f>
        <v>180</v>
      </c>
      <c r="N26" s="8" t="n">
        <f aca="false">IF((G26-L26)&lt;&gt;0,N$1-A26," ")</f>
        <v>437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n">
        <f aca="false">IF((F26="h"),I26," ")</f>
        <v>150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45826</v>
      </c>
      <c r="B27" s="2" t="s">
        <v>108</v>
      </c>
      <c r="F27" s="2" t="s">
        <v>78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437</v>
      </c>
      <c r="O27" s="5"/>
      <c r="P27" s="19" t="n">
        <f aca="false">IF((F27="s"),I27," ")</f>
        <v>300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45826</v>
      </c>
      <c r="B28" s="2" t="s">
        <v>84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437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45828</v>
      </c>
      <c r="B29" s="2" t="s">
        <v>85</v>
      </c>
      <c r="F29" s="2" t="s">
        <v>60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435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45829</v>
      </c>
      <c r="B30" s="2" t="s">
        <v>88</v>
      </c>
      <c r="F30" s="2" t="s">
        <v>74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434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45830</v>
      </c>
      <c r="B31" s="2" t="s">
        <v>89</v>
      </c>
      <c r="F31" s="2" t="s">
        <v>65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433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45833</v>
      </c>
      <c r="B32" s="2" t="s">
        <v>109</v>
      </c>
      <c r="F32" s="2" t="s">
        <v>58</v>
      </c>
      <c r="G32" s="29" t="n">
        <v>360</v>
      </c>
      <c r="H32" s="6" t="n">
        <f aca="false">IF(G32&lt;&gt;0,G32*H$2/(100+H$2)," ")</f>
        <v>60</v>
      </c>
      <c r="I32" s="6" t="n">
        <f aca="false">IF((G32&lt;&gt;0),G32-H32," ")</f>
        <v>300</v>
      </c>
      <c r="J32" s="5"/>
      <c r="M32" s="7" t="n">
        <f aca="false">IF(G32&lt;&gt;0,G32-L32," ")</f>
        <v>360</v>
      </c>
      <c r="N32" s="8" t="n">
        <f aca="false">IF((G32-L32)&lt;&gt;0,N$1-A32," ")</f>
        <v>430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45833</v>
      </c>
      <c r="B33" s="2" t="s">
        <v>90</v>
      </c>
      <c r="F33" s="2" t="s">
        <v>65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430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45833</v>
      </c>
      <c r="B34" s="2" t="s">
        <v>91</v>
      </c>
      <c r="F34" s="2" t="s">
        <v>24</v>
      </c>
      <c r="G34" s="29" t="n">
        <v>90</v>
      </c>
      <c r="H34" s="6" t="n">
        <f aca="false">IF(G34&lt;&gt;0,G34*H$2/(100+H$2)," ")</f>
        <v>15</v>
      </c>
      <c r="I34" s="6" t="n">
        <f aca="false">IF((G34&lt;&gt;0),G34-H34," ")</f>
        <v>75</v>
      </c>
      <c r="J34" s="5"/>
      <c r="M34" s="7" t="n">
        <f aca="false">IF(G34&lt;&gt;0,G34-L34," ")</f>
        <v>90</v>
      </c>
      <c r="N34" s="8" t="n">
        <f aca="false">IF((G34-L34)&lt;&gt;0,N$1-A34," ")</f>
        <v>430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75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45836</v>
      </c>
      <c r="B35" s="2" t="s">
        <v>19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427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45838</v>
      </c>
      <c r="B36" s="2" t="s">
        <v>15</v>
      </c>
      <c r="F36" s="2" t="s">
        <v>92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425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45838</v>
      </c>
      <c r="B37" s="2" t="s">
        <v>110</v>
      </c>
      <c r="F37" s="2" t="s">
        <v>92</v>
      </c>
      <c r="G37" s="29" t="n">
        <v>250</v>
      </c>
      <c r="H37" s="6" t="n">
        <f aca="false">IF(G37&lt;&gt;0,G37*H$2/(100+H$2)," ")</f>
        <v>41.6666666666667</v>
      </c>
      <c r="I37" s="6" t="n">
        <f aca="false">IF((G37&lt;&gt;0),G37-H37," ")</f>
        <v>208.333333333333</v>
      </c>
      <c r="J37" s="5"/>
      <c r="M37" s="7" t="n">
        <f aca="false">IF(G37&lt;&gt;0,G37-L37," ")</f>
        <v>250</v>
      </c>
      <c r="N37" s="8" t="n">
        <f aca="false">IF((G37-L37)&lt;&gt;0,N$1-A37," ")</f>
        <v>425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208.333333333333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1509.875</v>
      </c>
      <c r="I1" s="13" t="n">
        <f aca="false">SUM(I2:I200)</f>
        <v>7549.375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9059.25</v>
      </c>
      <c r="N1" s="18" t="n">
        <f aca="true">TODAY()</f>
        <v>46263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607.5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150</v>
      </c>
      <c r="V1" s="13" t="n">
        <f aca="false">SUM(V5:V300)</f>
        <v>382.5</v>
      </c>
      <c r="W1" s="13" t="n">
        <f aca="false">SUM(W2:W300)</f>
        <v>486.875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2750</v>
      </c>
      <c r="AA1" s="13" t="n">
        <f aca="false">SUM(AA5:AA300)</f>
        <v>95.8333333333333</v>
      </c>
      <c r="AB1" s="13" t="n">
        <f aca="false">SUM(AB5:AB300)</f>
        <v>1000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G2+Jun!A2</f>
        <v>0</v>
      </c>
      <c r="B2" s="44" t="s">
        <v>22</v>
      </c>
      <c r="C2" s="43" t="n">
        <f aca="false">Jun!C2+D1+[1]Jul!$D$1</f>
        <v>0</v>
      </c>
      <c r="D2" s="45" t="s">
        <v>23</v>
      </c>
      <c r="E2" s="20" t="s">
        <v>5</v>
      </c>
      <c r="F2" s="44" t="str">
        <f aca="false">Jun!F2</f>
        <v>v</v>
      </c>
      <c r="G2" s="46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AB1+Jun!AB2</f>
        <v>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424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45839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424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45839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424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45839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424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111</v>
      </c>
      <c r="F9" s="2" t="s">
        <v>92</v>
      </c>
      <c r="G9" s="29" t="n">
        <v>3000</v>
      </c>
      <c r="H9" s="6" t="n">
        <f aca="false">IF(G9&lt;&gt;0,G9*H$2/(100+H$2)," ")</f>
        <v>500</v>
      </c>
      <c r="I9" s="6" t="n">
        <f aca="false">IF((G9&lt;&gt;0),G9-H9," ")</f>
        <v>2500</v>
      </c>
      <c r="J9" s="5"/>
      <c r="M9" s="7" t="n">
        <f aca="false">IF(G9&lt;&gt;0,G9-L9," ")</f>
        <v>3000</v>
      </c>
      <c r="N9" s="8" t="n">
        <f aca="false">IF((G9-L9)&lt;&gt;0,N$1-A9," ")</f>
        <v>424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n">
        <f aca="false">IF((F9="l"),I9," ")</f>
        <v>2500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45839</v>
      </c>
      <c r="B10" s="2" t="s">
        <v>66</v>
      </c>
      <c r="F10" s="2" t="s">
        <v>63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424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45839</v>
      </c>
      <c r="B11" s="2" t="s">
        <v>67</v>
      </c>
      <c r="F11" s="2" t="s">
        <v>60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424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45841</v>
      </c>
      <c r="B12" s="2" t="s">
        <v>68</v>
      </c>
      <c r="F12" s="2" t="s">
        <v>63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422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45841</v>
      </c>
      <c r="B13" s="2" t="s">
        <v>69</v>
      </c>
      <c r="F13" s="2" t="s">
        <v>65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422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45843</v>
      </c>
      <c r="B14" s="2" t="s">
        <v>70</v>
      </c>
      <c r="F14" s="2" t="s">
        <v>65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420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45843</v>
      </c>
      <c r="B15" s="2" t="s">
        <v>112</v>
      </c>
      <c r="F15" s="2" t="s">
        <v>96</v>
      </c>
      <c r="G15" s="29" t="n">
        <v>480</v>
      </c>
      <c r="H15" s="6" t="n">
        <f aca="false">IF(G15&lt;&gt;0,G15*H$2/(100+H$2)," ")</f>
        <v>80</v>
      </c>
      <c r="I15" s="6" t="n">
        <f aca="false">IF((G15&lt;&gt;0),G15-H15," ")</f>
        <v>400</v>
      </c>
      <c r="J15" s="5"/>
      <c r="M15" s="7" t="n">
        <f aca="false">IF(G15&lt;&gt;0,G15-L15," ")</f>
        <v>480</v>
      </c>
      <c r="N15" s="8" t="n">
        <f aca="false">IF((G15-L15)&lt;&gt;0,N$1-A15," ")</f>
        <v>420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400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45843</v>
      </c>
      <c r="B16" s="2" t="s">
        <v>71</v>
      </c>
      <c r="F16" s="2" t="s">
        <v>24</v>
      </c>
      <c r="G16" s="29" t="n">
        <v>180</v>
      </c>
      <c r="H16" s="6" t="n">
        <f aca="false">IF(G16&lt;&gt;0,G16*H$2/(100+H$2)," ")</f>
        <v>30</v>
      </c>
      <c r="I16" s="6" t="n">
        <f aca="false">IF((G16&lt;&gt;0),G16-H16," ")</f>
        <v>150</v>
      </c>
      <c r="J16" s="5"/>
      <c r="M16" s="7" t="n">
        <f aca="false">IF(G16&lt;&gt;0,G16-L16," ")</f>
        <v>180</v>
      </c>
      <c r="N16" s="8" t="n">
        <f aca="false">IF((G16-L16)&lt;&gt;0,N$1-A16," ")</f>
        <v>420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n">
        <f aca="false">IF((F16="v"),I16," ")</f>
        <v>150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45846</v>
      </c>
      <c r="B17" s="2" t="s">
        <v>73</v>
      </c>
      <c r="F17" s="2" t="s">
        <v>74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417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45848</v>
      </c>
      <c r="B18" s="2" t="s">
        <v>75</v>
      </c>
      <c r="F18" s="2" t="s">
        <v>65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415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45848</v>
      </c>
      <c r="B19" s="2" t="s">
        <v>76</v>
      </c>
      <c r="F19" s="2" t="s">
        <v>60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415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45848</v>
      </c>
      <c r="B20" s="2" t="s">
        <v>77</v>
      </c>
      <c r="F20" s="2" t="s">
        <v>78</v>
      </c>
      <c r="G20" s="29" t="n">
        <v>720</v>
      </c>
      <c r="H20" s="6" t="n">
        <f aca="false">IF(G20&lt;&gt;0,G20*H$2/(100+H$2)," ")</f>
        <v>120</v>
      </c>
      <c r="I20" s="6" t="n">
        <f aca="false">IF((G20&lt;&gt;0),G20-H20," ")</f>
        <v>600</v>
      </c>
      <c r="J20" s="5"/>
      <c r="M20" s="7" t="n">
        <f aca="false">IF(G20&lt;&gt;0,G20-L20," ")</f>
        <v>720</v>
      </c>
      <c r="N20" s="8" t="n">
        <f aca="false">IF((G20-L20)&lt;&gt;0,N$1-A20," ")</f>
        <v>415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45850</v>
      </c>
      <c r="B21" s="2" t="s">
        <v>79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413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45850</v>
      </c>
      <c r="B22" s="2" t="s">
        <v>113</v>
      </c>
      <c r="F22" s="2" t="s">
        <v>63</v>
      </c>
      <c r="G22" s="29" t="n">
        <v>480</v>
      </c>
      <c r="H22" s="6" t="n">
        <f aca="false">IF(G22&lt;&gt;0,G22*H$2/(100+H$2)," ")</f>
        <v>80</v>
      </c>
      <c r="I22" s="6" t="n">
        <f aca="false">IF((G22&lt;&gt;0),G22-H22," ")</f>
        <v>400</v>
      </c>
      <c r="J22" s="5"/>
      <c r="M22" s="7" t="n">
        <f aca="false">IF(G22&lt;&gt;0,G22-L22," ")</f>
        <v>480</v>
      </c>
      <c r="N22" s="8" t="n">
        <f aca="false">IF((G22-L22)&lt;&gt;0,N$1-A22," ")</f>
        <v>413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n">
        <f aca="false">IF((F22="o"),I22," ")</f>
        <v>400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45852</v>
      </c>
      <c r="B23" s="2" t="s">
        <v>81</v>
      </c>
      <c r="F23" s="2" t="s">
        <v>74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411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45852</v>
      </c>
      <c r="B24" s="2" t="s">
        <v>82</v>
      </c>
      <c r="F24" s="2" t="s">
        <v>74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411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45853</v>
      </c>
      <c r="B25" s="2" t="s">
        <v>19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410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45853</v>
      </c>
      <c r="B26" s="2" t="s">
        <v>83</v>
      </c>
      <c r="F26" s="2" t="s">
        <v>60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410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45853</v>
      </c>
      <c r="B27" s="2" t="s">
        <v>114</v>
      </c>
      <c r="F27" s="2" t="s">
        <v>99</v>
      </c>
      <c r="G27" s="29" t="n">
        <v>1200</v>
      </c>
      <c r="H27" s="6" t="n">
        <f aca="false">IF(G27&lt;&gt;0,G27*H$2/(100+H$2)," ")</f>
        <v>200</v>
      </c>
      <c r="I27" s="6" t="n">
        <f aca="false">IF((G27&lt;&gt;0),G27-H27," ")</f>
        <v>1000</v>
      </c>
      <c r="J27" s="5"/>
      <c r="M27" s="7" t="n">
        <f aca="false">IF(G27&lt;&gt;0,G27-L27," ")</f>
        <v>1200</v>
      </c>
      <c r="N27" s="8" t="n">
        <f aca="false">IF((G27-L27)&lt;&gt;0,N$1-A27," ")</f>
        <v>410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1000</v>
      </c>
    </row>
    <row r="28" customFormat="false" ht="12" hidden="false" customHeight="false" outlineLevel="0" collapsed="false">
      <c r="A28" s="27" t="n">
        <v>45854</v>
      </c>
      <c r="B28" s="2" t="s">
        <v>100</v>
      </c>
      <c r="F28" s="2" t="s">
        <v>60</v>
      </c>
      <c r="G28" s="29" t="n">
        <v>24</v>
      </c>
      <c r="H28" s="6" t="n">
        <f aca="false">IF(G28&lt;&gt;0,G28*H$2/(100+H$2)," ")</f>
        <v>4</v>
      </c>
      <c r="I28" s="6" t="n">
        <f aca="false">IF((G28&lt;&gt;0),G28-H28," ")</f>
        <v>20</v>
      </c>
      <c r="J28" s="5"/>
      <c r="M28" s="7" t="n">
        <f aca="false">IF(G28&lt;&gt;0,G28-L28," ")</f>
        <v>24</v>
      </c>
      <c r="N28" s="8" t="n">
        <f aca="false">IF((G28-L28)&lt;&gt;0,N$1-A28," ")</f>
        <v>409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45856</v>
      </c>
      <c r="B29" s="2" t="s">
        <v>84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407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45858</v>
      </c>
      <c r="B30" s="2" t="s">
        <v>85</v>
      </c>
      <c r="F30" s="2" t="s">
        <v>60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405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45858</v>
      </c>
      <c r="B31" s="2" t="s">
        <v>115</v>
      </c>
      <c r="F31" s="2" t="s">
        <v>60</v>
      </c>
      <c r="G31" s="29" t="n">
        <v>120</v>
      </c>
      <c r="H31" s="6" t="n">
        <f aca="false">IF(G31&lt;&gt;0,G31*H$2/(100+H$2)," ")</f>
        <v>20</v>
      </c>
      <c r="I31" s="6" t="n">
        <f aca="false">IF((G31&lt;&gt;0),G31-H31," ")</f>
        <v>100</v>
      </c>
      <c r="J31" s="5"/>
      <c r="M31" s="7" t="n">
        <f aca="false">IF(G31&lt;&gt;0,G31-L31," ")</f>
        <v>120</v>
      </c>
      <c r="N31" s="8" t="n">
        <f aca="false">IF((G31-L31)&lt;&gt;0,N$1-A31," ")</f>
        <v>405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100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45858</v>
      </c>
      <c r="B32" s="2" t="s">
        <v>86</v>
      </c>
      <c r="F32" s="2" t="s">
        <v>87</v>
      </c>
      <c r="G32" s="29" t="n">
        <v>180</v>
      </c>
      <c r="H32" s="6" t="n">
        <f aca="false">IF(G32&lt;&gt;0,G32*H$2/(100+H$2)," ")</f>
        <v>30</v>
      </c>
      <c r="I32" s="6" t="n">
        <f aca="false">IF((G32&lt;&gt;0),G32-H32," ")</f>
        <v>150</v>
      </c>
      <c r="J32" s="5"/>
      <c r="M32" s="7" t="n">
        <f aca="false">IF(G32&lt;&gt;0,G32-L32," ")</f>
        <v>180</v>
      </c>
      <c r="N32" s="8" t="n">
        <f aca="false">IF((G32-L32)&lt;&gt;0,N$1-A32," ")</f>
        <v>405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150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45859</v>
      </c>
      <c r="B33" s="2" t="s">
        <v>88</v>
      </c>
      <c r="F33" s="2" t="s">
        <v>74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404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45860</v>
      </c>
      <c r="B34" s="2" t="s">
        <v>89</v>
      </c>
      <c r="F34" s="2" t="s">
        <v>65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403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45863</v>
      </c>
      <c r="B35" s="2" t="s">
        <v>90</v>
      </c>
      <c r="F35" s="2" t="s">
        <v>65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400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45863</v>
      </c>
      <c r="B36" s="2" t="s">
        <v>91</v>
      </c>
      <c r="F36" s="2" t="s">
        <v>24</v>
      </c>
      <c r="G36" s="29" t="n">
        <v>20.25</v>
      </c>
      <c r="H36" s="6" t="n">
        <f aca="false">IF(G36&lt;&gt;0,G36*H$2/(100+H$2)," ")</f>
        <v>3.375</v>
      </c>
      <c r="I36" s="6" t="n">
        <f aca="false">IF((G36&lt;&gt;0),G36-H36," ")</f>
        <v>16.875</v>
      </c>
      <c r="J36" s="5"/>
      <c r="M36" s="7" t="n">
        <f aca="false">IF(G36&lt;&gt;0,G36-L36," ")</f>
        <v>20.25</v>
      </c>
      <c r="N36" s="8" t="n">
        <f aca="false">IF((G36-L36)&lt;&gt;0,N$1-A36," ")</f>
        <v>400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16.875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45866</v>
      </c>
      <c r="B37" s="2" t="s">
        <v>19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397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45869</v>
      </c>
      <c r="B38" s="2" t="s">
        <v>15</v>
      </c>
      <c r="F38" s="2" t="s">
        <v>92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394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734.208333333333</v>
      </c>
      <c r="I1" s="13" t="n">
        <f aca="false">SUM(I2:I200)</f>
        <v>3671.04166666667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4405.25</v>
      </c>
      <c r="N1" s="18" t="n">
        <f aca="true">TODAY()</f>
        <v>46263</v>
      </c>
      <c r="O1" s="15"/>
      <c r="P1" s="13" t="n">
        <f aca="false">SUM(P5:P300)</f>
        <v>450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666.666666666667</v>
      </c>
      <c r="T1" s="13" t="n">
        <f aca="false">SUM(T5:T300)</f>
        <v>1000</v>
      </c>
      <c r="U1" s="13" t="n">
        <f aca="false">SUM(U5:U300)</f>
        <v>200</v>
      </c>
      <c r="V1" s="13" t="n">
        <f aca="false">SUM(V5:V300)</f>
        <v>112.5</v>
      </c>
      <c r="W1" s="13" t="n">
        <f aca="false">SUM(W2:W300)</f>
        <v>501.875</v>
      </c>
      <c r="X1" s="13" t="n">
        <f aca="false">SUM(X5:X300)</f>
        <v>116.666666666667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135.833333333333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G2+Jul!A2</f>
        <v>0</v>
      </c>
      <c r="B2" s="44" t="s">
        <v>22</v>
      </c>
      <c r="C2" s="43" t="n">
        <f aca="false">Jul!C2+D1+[1]Aug!$D$1</f>
        <v>0</v>
      </c>
      <c r="D2" s="45" t="s">
        <v>23</v>
      </c>
      <c r="E2" s="20" t="s">
        <v>5</v>
      </c>
      <c r="F2" s="44" t="str">
        <f aca="false">Jul!F2</f>
        <v>v</v>
      </c>
      <c r="G2" s="46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AB1+Jul!AB2</f>
        <v>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393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45870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393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45870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393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45870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393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45870</v>
      </c>
      <c r="B9" s="2" t="s">
        <v>66</v>
      </c>
      <c r="F9" s="2" t="s">
        <v>63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393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45870</v>
      </c>
      <c r="B10" s="2" t="s">
        <v>67</v>
      </c>
      <c r="F10" s="2" t="s">
        <v>60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393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45872</v>
      </c>
      <c r="B11" s="2" t="s">
        <v>68</v>
      </c>
      <c r="F11" s="2" t="s">
        <v>63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391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45872</v>
      </c>
      <c r="B12" s="2" t="s">
        <v>69</v>
      </c>
      <c r="F12" s="2" t="s">
        <v>65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391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45874</v>
      </c>
      <c r="B13" s="2" t="s">
        <v>70</v>
      </c>
      <c r="F13" s="2" t="s">
        <v>65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389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45874</v>
      </c>
      <c r="B14" s="2" t="s">
        <v>71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389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45874</v>
      </c>
      <c r="B15" s="2" t="s">
        <v>72</v>
      </c>
      <c r="F15" s="2" t="s">
        <v>63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389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45875</v>
      </c>
      <c r="B16" s="2" t="s">
        <v>93</v>
      </c>
      <c r="F16" s="2" t="s">
        <v>74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388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45877</v>
      </c>
      <c r="B17" s="2" t="s">
        <v>73</v>
      </c>
      <c r="F17" s="2" t="s">
        <v>74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386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45879</v>
      </c>
      <c r="B18" s="2" t="s">
        <v>75</v>
      </c>
      <c r="F18" s="2" t="s">
        <v>65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384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45881</v>
      </c>
      <c r="B19" s="2" t="s">
        <v>79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382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45883</v>
      </c>
      <c r="B20" s="2" t="s">
        <v>80</v>
      </c>
      <c r="F20" s="2" t="s">
        <v>65</v>
      </c>
      <c r="G20" s="29" t="n">
        <v>48</v>
      </c>
      <c r="H20" s="6" t="n">
        <f aca="false">IF(G20&lt;&gt;0,G20*H$2/(100+H$2)," ")</f>
        <v>8</v>
      </c>
      <c r="I20" s="6" t="n">
        <f aca="false">IF((G20&lt;&gt;0),G20-H20," ")</f>
        <v>40</v>
      </c>
      <c r="J20" s="5"/>
      <c r="M20" s="7" t="n">
        <f aca="false">IF(G20&lt;&gt;0,G20-L20," ")</f>
        <v>48</v>
      </c>
      <c r="N20" s="8" t="n">
        <f aca="false">IF((G20-L20)&lt;&gt;0,N$1-A20," ")</f>
        <v>380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40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45883</v>
      </c>
      <c r="B21" s="2" t="s">
        <v>81</v>
      </c>
      <c r="F21" s="2" t="s">
        <v>74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380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45883</v>
      </c>
      <c r="B22" s="2" t="s">
        <v>82</v>
      </c>
      <c r="F22" s="2" t="s">
        <v>74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380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45884</v>
      </c>
      <c r="B23" s="2" t="s">
        <v>19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379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45884</v>
      </c>
      <c r="B24" s="2" t="s">
        <v>83</v>
      </c>
      <c r="F24" s="2" t="s">
        <v>60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379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45884</v>
      </c>
      <c r="B25" s="2" t="s">
        <v>97</v>
      </c>
      <c r="F25" s="2" t="s">
        <v>78</v>
      </c>
      <c r="G25" s="29" t="n">
        <v>360</v>
      </c>
      <c r="H25" s="6" t="n">
        <f aca="false">IF(G25&lt;&gt;0,G25*H$2/(100+H$2)," ")</f>
        <v>60</v>
      </c>
      <c r="I25" s="6" t="n">
        <f aca="false">IF((G25&lt;&gt;0),G25-H25," ")</f>
        <v>300</v>
      </c>
      <c r="J25" s="5"/>
      <c r="M25" s="7" t="n">
        <f aca="false">IF(G25&lt;&gt;0,G25-L25," ")</f>
        <v>360</v>
      </c>
      <c r="N25" s="8" t="n">
        <f aca="false">IF((G25-L25)&lt;&gt;0,N$1-A25," ")</f>
        <v>379</v>
      </c>
      <c r="O25" s="5"/>
      <c r="P25" s="19" t="n">
        <f aca="false">IF((F25="s"),I25," ")</f>
        <v>300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45887</v>
      </c>
      <c r="B26" s="2" t="s">
        <v>116</v>
      </c>
      <c r="F26" s="2" t="s">
        <v>87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376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200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45887</v>
      </c>
      <c r="B27" s="2" t="s">
        <v>84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376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45889</v>
      </c>
      <c r="B28" s="2" t="s">
        <v>85</v>
      </c>
      <c r="F28" s="2" t="s">
        <v>60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374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45889</v>
      </c>
      <c r="B29" s="2" t="s">
        <v>117</v>
      </c>
      <c r="F29" s="2" t="s">
        <v>118</v>
      </c>
      <c r="G29" s="29" t="n">
        <v>800</v>
      </c>
      <c r="H29" s="6" t="n">
        <f aca="false">IF(G29&lt;&gt;0,G29*H$2/(100+H$2)," ")</f>
        <v>133.333333333333</v>
      </c>
      <c r="I29" s="6" t="n">
        <f aca="false">IF((G29&lt;&gt;0),G29-H29," ")</f>
        <v>666.666666666667</v>
      </c>
      <c r="J29" s="5"/>
      <c r="M29" s="7" t="n">
        <f aca="false">IF(G29&lt;&gt;0,G29-L29," ")</f>
        <v>800</v>
      </c>
      <c r="N29" s="8" t="n">
        <f aca="false">IF((G29-L29)&lt;&gt;0,N$1-A29," ")</f>
        <v>374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666.666666666667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45889</v>
      </c>
      <c r="B30" s="2" t="s">
        <v>102</v>
      </c>
      <c r="F30" s="2" t="s">
        <v>78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374</v>
      </c>
      <c r="O30" s="5"/>
      <c r="P30" s="19" t="n">
        <f aca="false">IF((F30="s"),I30," ")</f>
        <v>150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45890</v>
      </c>
      <c r="B31" s="2" t="s">
        <v>88</v>
      </c>
      <c r="F31" s="2" t="s">
        <v>74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373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45891</v>
      </c>
      <c r="B32" s="2" t="s">
        <v>89</v>
      </c>
      <c r="F32" s="2" t="s">
        <v>65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372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45894</v>
      </c>
      <c r="B33" s="2" t="s">
        <v>90</v>
      </c>
      <c r="F33" s="2" t="s">
        <v>65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369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45894</v>
      </c>
      <c r="B34" s="2" t="s">
        <v>91</v>
      </c>
      <c r="F34" s="2" t="s">
        <v>24</v>
      </c>
      <c r="G34" s="29" t="n">
        <v>38.25</v>
      </c>
      <c r="H34" s="6" t="n">
        <f aca="false">IF(G34&lt;&gt;0,G34*H$2/(100+H$2)," ")</f>
        <v>6.375</v>
      </c>
      <c r="I34" s="6" t="n">
        <f aca="false">IF((G34&lt;&gt;0),G34-H34," ")</f>
        <v>31.875</v>
      </c>
      <c r="J34" s="5"/>
      <c r="M34" s="7" t="n">
        <f aca="false">IF(G34&lt;&gt;0,G34-L34," ")</f>
        <v>38.25</v>
      </c>
      <c r="N34" s="8" t="n">
        <f aca="false">IF((G34-L34)&lt;&gt;0,N$1-A34," ")</f>
        <v>369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31.875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45897</v>
      </c>
      <c r="B35" s="2" t="s">
        <v>19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366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45900</v>
      </c>
      <c r="B36" s="2" t="s">
        <v>15</v>
      </c>
      <c r="F36" s="2" t="s">
        <v>92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363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4975</v>
      </c>
      <c r="H1" s="13" t="n">
        <f aca="false">SUM(H5:H200)</f>
        <v>829.166666666667</v>
      </c>
      <c r="I1" s="13" t="n">
        <f aca="false">SUM(I2:I200)</f>
        <v>4145.83333333333</v>
      </c>
      <c r="J1" s="15"/>
      <c r="K1" s="16" t="s">
        <v>4</v>
      </c>
      <c r="L1" s="17" t="n">
        <f aca="false">SUM(L5:L300)</f>
        <v>0</v>
      </c>
      <c r="M1" s="17" t="n">
        <f aca="false">SUM(M5:M200)</f>
        <v>4975</v>
      </c>
      <c r="N1" s="18" t="n">
        <f aca="true">TODAY()</f>
        <v>46263</v>
      </c>
      <c r="O1" s="15"/>
      <c r="P1" s="13" t="n">
        <f aca="false">SUM(P5:P300)</f>
        <v>200</v>
      </c>
      <c r="Q1" s="13" t="n">
        <f aca="false">SUM(Q5:Q300)</f>
        <v>0</v>
      </c>
      <c r="R1" s="13" t="n">
        <f aca="false">SUM(R5:R300)</f>
        <v>507.5</v>
      </c>
      <c r="S1" s="13" t="n">
        <f aca="false">SUM(S5:S300)</f>
        <v>0</v>
      </c>
      <c r="T1" s="13" t="n">
        <f aca="false">SUM(T5:T300)</f>
        <v>1250</v>
      </c>
      <c r="U1" s="13" t="n">
        <f aca="false">SUM(U5:U300)</f>
        <v>0</v>
      </c>
      <c r="V1" s="13" t="n">
        <f aca="false">SUM(V5:V300)</f>
        <v>202.5</v>
      </c>
      <c r="W1" s="13" t="n">
        <f aca="false">SUM(W2:W300)</f>
        <v>590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1223.33333333333</v>
      </c>
      <c r="AA1" s="13" t="n">
        <f aca="false">SUM(AA5:AA300)</f>
        <v>95.8333333333333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G2+Aug!A2</f>
        <v>0</v>
      </c>
      <c r="B2" s="44" t="s">
        <v>22</v>
      </c>
      <c r="C2" s="43" t="n">
        <f aca="false">Aug!C2+D1+[1]Sep!$D$1</f>
        <v>0</v>
      </c>
      <c r="D2" s="45" t="s">
        <v>23</v>
      </c>
      <c r="E2" s="20" t="s">
        <v>5</v>
      </c>
      <c r="F2" s="44" t="str">
        <f aca="false">Aug!F2</f>
        <v>v</v>
      </c>
      <c r="G2" s="46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AB1+Aug!AB2</f>
        <v>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362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45901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362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45901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362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362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45901</v>
      </c>
      <c r="B9" s="2" t="s">
        <v>66</v>
      </c>
      <c r="F9" s="2" t="s">
        <v>63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362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45901</v>
      </c>
      <c r="B10" s="2" t="s">
        <v>67</v>
      </c>
      <c r="F10" s="2" t="s">
        <v>60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362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45903</v>
      </c>
      <c r="B11" s="2" t="s">
        <v>68</v>
      </c>
      <c r="F11" s="2" t="s">
        <v>63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360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45903</v>
      </c>
      <c r="B12" s="2" t="s">
        <v>69</v>
      </c>
      <c r="F12" s="2" t="s">
        <v>65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360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45905</v>
      </c>
      <c r="B13" s="2" t="s">
        <v>70</v>
      </c>
      <c r="F13" s="2" t="s">
        <v>65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358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45905</v>
      </c>
      <c r="B14" s="2" t="s">
        <v>71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358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45908</v>
      </c>
      <c r="B15" s="2" t="s">
        <v>73</v>
      </c>
      <c r="F15" s="2" t="s">
        <v>74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355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45908</v>
      </c>
      <c r="B16" s="2" t="s">
        <v>94</v>
      </c>
      <c r="F16" s="2" t="s">
        <v>63</v>
      </c>
      <c r="G16" s="29" t="n">
        <v>360</v>
      </c>
      <c r="H16" s="6" t="n">
        <f aca="false">IF(G16&lt;&gt;0,G16*H$2/(100+H$2)," ")</f>
        <v>60</v>
      </c>
      <c r="I16" s="6" t="n">
        <f aca="false">IF((G16&lt;&gt;0),G16-H16," ")</f>
        <v>300</v>
      </c>
      <c r="J16" s="5"/>
      <c r="M16" s="7" t="n">
        <f aca="false">IF(G16&lt;&gt;0,G16-L16," ")</f>
        <v>360</v>
      </c>
      <c r="N16" s="8" t="n">
        <f aca="false">IF((G16-L16)&lt;&gt;0,N$1-A16," ")</f>
        <v>355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45910</v>
      </c>
      <c r="B17" s="2" t="s">
        <v>75</v>
      </c>
      <c r="F17" s="2" t="s">
        <v>65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353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45910</v>
      </c>
      <c r="B18" s="2" t="s">
        <v>83</v>
      </c>
      <c r="F18" s="2" t="s">
        <v>60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353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45912</v>
      </c>
      <c r="B19" s="2" t="s">
        <v>79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351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45914</v>
      </c>
      <c r="B20" s="2" t="s">
        <v>81</v>
      </c>
      <c r="F20" s="2" t="s">
        <v>74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349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20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45914</v>
      </c>
      <c r="B21" s="2" t="s">
        <v>82</v>
      </c>
      <c r="F21" s="2" t="s">
        <v>74</v>
      </c>
      <c r="G21" s="29" t="n">
        <v>12</v>
      </c>
      <c r="H21" s="6" t="n">
        <f aca="false">IF(G21&lt;&gt;0,G21*H$2/(100+H$2)," ")</f>
        <v>2</v>
      </c>
      <c r="I21" s="6" t="n">
        <f aca="false">IF((G21&lt;&gt;0),G21-H21," ")</f>
        <v>10</v>
      </c>
      <c r="J21" s="5"/>
      <c r="M21" s="7" t="n">
        <f aca="false">IF(G21&lt;&gt;0,G21-L21," ")</f>
        <v>12</v>
      </c>
      <c r="N21" s="8" t="n">
        <f aca="false">IF((G21-L21)&lt;&gt;0,N$1-A21," ")</f>
        <v>349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10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45915</v>
      </c>
      <c r="B22" s="2" t="s">
        <v>19</v>
      </c>
      <c r="F22" s="2" t="s">
        <v>24</v>
      </c>
      <c r="G22" s="29" t="n">
        <v>150</v>
      </c>
      <c r="H22" s="6" t="n">
        <f aca="false">IF(G22&lt;&gt;0,G22*H$2/(100+H$2)," ")</f>
        <v>25</v>
      </c>
      <c r="I22" s="6" t="n">
        <f aca="false">IF((G22&lt;&gt;0),G22-H22," ")</f>
        <v>125</v>
      </c>
      <c r="J22" s="5"/>
      <c r="M22" s="7" t="n">
        <f aca="false">IF(G22&lt;&gt;0,G22-L22," ")</f>
        <v>150</v>
      </c>
      <c r="N22" s="8" t="n">
        <f aca="false">IF((G22-L22)&lt;&gt;0,N$1-A22," ")</f>
        <v>348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125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45915</v>
      </c>
      <c r="B23" s="2" t="s">
        <v>83</v>
      </c>
      <c r="F23" s="2" t="s">
        <v>60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348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45915</v>
      </c>
      <c r="B24" s="2" t="s">
        <v>119</v>
      </c>
      <c r="F24" s="2" t="s">
        <v>92</v>
      </c>
      <c r="G24" s="29" t="n">
        <v>960</v>
      </c>
      <c r="H24" s="6" t="n">
        <f aca="false">IF(G24&lt;&gt;0,G24*H$2/(100+H$2)," ")</f>
        <v>160</v>
      </c>
      <c r="I24" s="6" t="n">
        <f aca="false">IF((G24&lt;&gt;0),G24-H24," ")</f>
        <v>800</v>
      </c>
      <c r="J24" s="5"/>
      <c r="M24" s="7" t="n">
        <f aca="false">IF(G24&lt;&gt;0,G24-L24," ")</f>
        <v>960</v>
      </c>
      <c r="N24" s="8" t="n">
        <f aca="false">IF((G24-L24)&lt;&gt;0,N$1-A24," ")</f>
        <v>348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800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45916</v>
      </c>
      <c r="B25" s="2" t="s">
        <v>100</v>
      </c>
      <c r="F25" s="2" t="s">
        <v>60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347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45918</v>
      </c>
      <c r="B26" s="2" t="s">
        <v>108</v>
      </c>
      <c r="F26" s="2" t="s">
        <v>78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345</v>
      </c>
      <c r="O26" s="5"/>
      <c r="P26" s="19" t="n">
        <f aca="false">IF((F26="s"),I26," ")</f>
        <v>200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45918</v>
      </c>
      <c r="B27" s="2" t="s">
        <v>84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345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45920</v>
      </c>
      <c r="B28" s="2" t="s">
        <v>85</v>
      </c>
      <c r="F28" s="2" t="s">
        <v>60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343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45921</v>
      </c>
      <c r="B29" s="2" t="s">
        <v>88</v>
      </c>
      <c r="F29" s="2" t="s">
        <v>74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342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45922</v>
      </c>
      <c r="B30" s="2" t="s">
        <v>89</v>
      </c>
      <c r="F30" s="2" t="s">
        <v>65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341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45922</v>
      </c>
      <c r="B31" s="2" t="s">
        <v>103</v>
      </c>
      <c r="F31" s="2" t="s">
        <v>24</v>
      </c>
      <c r="G31" s="29" t="n">
        <v>72</v>
      </c>
      <c r="H31" s="6" t="n">
        <f aca="false">IF(G31&lt;&gt;0,G31*H$2/(100+H$2)," ")</f>
        <v>12</v>
      </c>
      <c r="I31" s="6" t="n">
        <f aca="false">IF((G31&lt;&gt;0),G31-H31," ")</f>
        <v>60</v>
      </c>
      <c r="J31" s="5"/>
      <c r="M31" s="7" t="n">
        <f aca="false">IF(G31&lt;&gt;0,G31-L31," ")</f>
        <v>72</v>
      </c>
      <c r="N31" s="8" t="n">
        <f aca="false">IF((G31-L31)&lt;&gt;0,N$1-A31," ")</f>
        <v>341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n">
        <f aca="false">IF((F31="v"),I31," ")</f>
        <v>60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45925</v>
      </c>
      <c r="B32" s="2" t="s">
        <v>109</v>
      </c>
      <c r="F32" s="2" t="s">
        <v>58</v>
      </c>
      <c r="G32" s="29" t="n">
        <v>300</v>
      </c>
      <c r="H32" s="6" t="n">
        <f aca="false">IF(G32&lt;&gt;0,G32*H$2/(100+H$2)," ")</f>
        <v>50</v>
      </c>
      <c r="I32" s="6" t="n">
        <f aca="false">IF((G32&lt;&gt;0),G32-H32," ")</f>
        <v>250</v>
      </c>
      <c r="J32" s="5"/>
      <c r="M32" s="7" t="n">
        <f aca="false">IF(G32&lt;&gt;0,G32-L32," ")</f>
        <v>300</v>
      </c>
      <c r="N32" s="8" t="n">
        <f aca="false">IF((G32-L32)&lt;&gt;0,N$1-A32," ")</f>
        <v>338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250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45925</v>
      </c>
      <c r="B33" s="2" t="s">
        <v>90</v>
      </c>
      <c r="F33" s="2" t="s">
        <v>65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338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45925</v>
      </c>
      <c r="B34" s="2" t="s">
        <v>91</v>
      </c>
      <c r="F34" s="2" t="s">
        <v>24</v>
      </c>
      <c r="G34" s="29" t="n">
        <v>72</v>
      </c>
      <c r="H34" s="6" t="n">
        <f aca="false">IF(G34&lt;&gt;0,G34*H$2/(100+H$2)," ")</f>
        <v>12</v>
      </c>
      <c r="I34" s="6" t="n">
        <f aca="false">IF((G34&lt;&gt;0),G34-H34," ")</f>
        <v>60</v>
      </c>
      <c r="J34" s="5"/>
      <c r="M34" s="7" t="n">
        <f aca="false">IF(G34&lt;&gt;0,G34-L34," ")</f>
        <v>72</v>
      </c>
      <c r="N34" s="8" t="n">
        <f aca="false">IF((G34-L34)&lt;&gt;0,N$1-A34," ")</f>
        <v>338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60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45928</v>
      </c>
      <c r="B35" s="2" t="s">
        <v>19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335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45930</v>
      </c>
      <c r="B36" s="2" t="s">
        <v>15</v>
      </c>
      <c r="F36" s="2" t="s">
        <v>92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333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45930</v>
      </c>
      <c r="B37" s="2" t="s">
        <v>110</v>
      </c>
      <c r="F37" s="2" t="s">
        <v>92</v>
      </c>
      <c r="G37" s="29" t="n">
        <v>208</v>
      </c>
      <c r="H37" s="6" t="n">
        <f aca="false">IF(G37&lt;&gt;0,G37*H$2/(100+H$2)," ")</f>
        <v>34.6666666666667</v>
      </c>
      <c r="I37" s="6" t="n">
        <f aca="false">IF((G37&lt;&gt;0),G37-H37," ")</f>
        <v>173.333333333333</v>
      </c>
      <c r="J37" s="5"/>
      <c r="M37" s="7" t="n">
        <f aca="false">IF(G37&lt;&gt;0,G37-L37," ")</f>
        <v>208</v>
      </c>
      <c r="N37" s="8" t="n">
        <f aca="false">IF((G37-L37)&lt;&gt;0,N$1-A37," ")</f>
        <v>333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173.333333333333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7167.625</v>
      </c>
      <c r="I1" s="13" t="n">
        <f aca="false">SUM(I2:I200)</f>
        <v>35838.125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43005.75</v>
      </c>
      <c r="N1" s="18" t="n">
        <f aca="true">TODAY()</f>
        <v>46263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80</v>
      </c>
      <c r="V1" s="13" t="n">
        <f aca="false">SUM(V5:V300)</f>
        <v>262.5</v>
      </c>
      <c r="W1" s="13" t="n">
        <f aca="false">SUM(W2:W300)</f>
        <v>505.625</v>
      </c>
      <c r="X1" s="13" t="n">
        <f aca="false">SUM(X5:X300)</f>
        <v>176.666666666667</v>
      </c>
      <c r="Y1" s="13" t="n">
        <f aca="false">SUM(Y5:Y300)</f>
        <v>2500</v>
      </c>
      <c r="Z1" s="13" t="n">
        <f aca="false">SUM(Z5:Z300)</f>
        <v>250</v>
      </c>
      <c r="AA1" s="13" t="n">
        <f aca="false">SUM(AA5:AA300)</f>
        <v>425.833333333333</v>
      </c>
      <c r="AB1" s="13" t="n">
        <f aca="false">SUM(AB5:AB300)</f>
        <v>30000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G2+Sep!A2</f>
        <v>0</v>
      </c>
      <c r="B2" s="44" t="s">
        <v>22</v>
      </c>
      <c r="C2" s="43" t="n">
        <f aca="false">Sep!C2+D1+[1]Oct!$D$1</f>
        <v>0</v>
      </c>
      <c r="D2" s="45" t="s">
        <v>23</v>
      </c>
      <c r="E2" s="20" t="s">
        <v>5</v>
      </c>
      <c r="F2" s="44" t="str">
        <f aca="false">Sep!F2</f>
        <v>v</v>
      </c>
      <c r="G2" s="46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AB1+Sep!AB2</f>
        <v>32500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332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332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45931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332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45931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332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45931</v>
      </c>
      <c r="B9" s="2" t="s">
        <v>120</v>
      </c>
      <c r="F9" s="2" t="s">
        <v>65</v>
      </c>
      <c r="G9" s="29" t="n">
        <v>360</v>
      </c>
      <c r="H9" s="6" t="n">
        <f aca="false">IF(G9&lt;&gt;0,G9*H$2/(100+H$2)," ")</f>
        <v>60</v>
      </c>
      <c r="I9" s="6" t="n">
        <f aca="false">IF((G9&lt;&gt;0),G9-H9," ")</f>
        <v>300</v>
      </c>
      <c r="J9" s="5"/>
      <c r="M9" s="7" t="n">
        <f aca="false">IF(G9&lt;&gt;0,G9-L9," ")</f>
        <v>360</v>
      </c>
      <c r="N9" s="8" t="n">
        <f aca="false">IF((G9-L9)&lt;&gt;0,N$1-A9," ")</f>
        <v>332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300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45931</v>
      </c>
      <c r="B10" s="2" t="s">
        <v>66</v>
      </c>
      <c r="F10" s="2" t="s">
        <v>63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332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45931</v>
      </c>
      <c r="B11" s="2" t="s">
        <v>67</v>
      </c>
      <c r="F11" s="2" t="s">
        <v>60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332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45933</v>
      </c>
      <c r="B12" s="2" t="s">
        <v>68</v>
      </c>
      <c r="F12" s="2" t="s">
        <v>63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330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45933</v>
      </c>
      <c r="B13" s="2" t="s">
        <v>69</v>
      </c>
      <c r="F13" s="2" t="s">
        <v>65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330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45935</v>
      </c>
      <c r="B14" s="2" t="s">
        <v>70</v>
      </c>
      <c r="F14" s="2" t="s">
        <v>65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328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45935</v>
      </c>
      <c r="B15" s="2" t="s">
        <v>71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328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45935</v>
      </c>
      <c r="B16" s="2" t="s">
        <v>72</v>
      </c>
      <c r="F16" s="2" t="s">
        <v>63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328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45938</v>
      </c>
      <c r="B17" s="2" t="s">
        <v>73</v>
      </c>
      <c r="F17" s="2" t="s">
        <v>74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325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45940</v>
      </c>
      <c r="B18" s="2" t="s">
        <v>75</v>
      </c>
      <c r="F18" s="2" t="s">
        <v>65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323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45940</v>
      </c>
      <c r="B19" s="2" t="s">
        <v>76</v>
      </c>
      <c r="F19" s="2" t="s">
        <v>60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323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45940</v>
      </c>
      <c r="B20" s="2" t="s">
        <v>77</v>
      </c>
      <c r="F20" s="2" t="s">
        <v>78</v>
      </c>
      <c r="G20" s="29" t="n">
        <v>480</v>
      </c>
      <c r="H20" s="6" t="n">
        <f aca="false">IF(G20&lt;&gt;0,G20*H$2/(100+H$2)," ")</f>
        <v>80</v>
      </c>
      <c r="I20" s="6" t="n">
        <f aca="false">IF((G20&lt;&gt;0),G20-H20," ")</f>
        <v>400</v>
      </c>
      <c r="J20" s="5"/>
      <c r="M20" s="7" t="n">
        <f aca="false">IF(G20&lt;&gt;0,G20-L20," ")</f>
        <v>480</v>
      </c>
      <c r="N20" s="8" t="n">
        <f aca="false">IF((G20-L20)&lt;&gt;0,N$1-A20," ")</f>
        <v>323</v>
      </c>
      <c r="O20" s="5"/>
      <c r="P20" s="19" t="n">
        <f aca="false">IF((F20="s"),I20," ")</f>
        <v>400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45940</v>
      </c>
      <c r="B21" s="2" t="s">
        <v>95</v>
      </c>
      <c r="F21" s="2" t="s">
        <v>96</v>
      </c>
      <c r="G21" s="29" t="n">
        <v>1800</v>
      </c>
      <c r="H21" s="6" t="n">
        <f aca="false">IF(G21&lt;&gt;0,G21*H$2/(100+H$2)," ")</f>
        <v>300</v>
      </c>
      <c r="I21" s="6" t="n">
        <f aca="false">IF((G21&lt;&gt;0),G21-H21," ")</f>
        <v>1500</v>
      </c>
      <c r="J21" s="5"/>
      <c r="M21" s="7" t="n">
        <f aca="false">IF(G21&lt;&gt;0,G21-L21," ")</f>
        <v>1800</v>
      </c>
      <c r="N21" s="8" t="n">
        <f aca="false">IF((G21-L21)&lt;&gt;0,N$1-A21," ")</f>
        <v>323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1500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45942</v>
      </c>
      <c r="B22" s="2" t="s">
        <v>79</v>
      </c>
      <c r="F22" s="2" t="s">
        <v>24</v>
      </c>
      <c r="G22" s="29" t="n">
        <v>18</v>
      </c>
      <c r="H22" s="6" t="n">
        <f aca="false">IF(G22&lt;&gt;0,G22*H$2/(100+H$2)," ")</f>
        <v>3</v>
      </c>
      <c r="I22" s="6" t="n">
        <f aca="false">IF((G22&lt;&gt;0),G22-H22," ")</f>
        <v>15</v>
      </c>
      <c r="J22" s="5"/>
      <c r="M22" s="7" t="n">
        <f aca="false">IF(G22&lt;&gt;0,G22-L22," ")</f>
        <v>18</v>
      </c>
      <c r="N22" s="8" t="n">
        <f aca="false">IF((G22-L22)&lt;&gt;0,N$1-A22," ")</f>
        <v>321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45944</v>
      </c>
      <c r="B23" s="2" t="s">
        <v>80</v>
      </c>
      <c r="F23" s="2" t="s">
        <v>65</v>
      </c>
      <c r="G23" s="29" t="n">
        <v>36</v>
      </c>
      <c r="H23" s="6" t="n">
        <f aca="false">IF(G23&lt;&gt;0,G23*H$2/(100+H$2)," ")</f>
        <v>6</v>
      </c>
      <c r="I23" s="6" t="n">
        <f aca="false">IF((G23&lt;&gt;0),G23-H23," ")</f>
        <v>30</v>
      </c>
      <c r="J23" s="5"/>
      <c r="M23" s="7" t="n">
        <f aca="false">IF(G23&lt;&gt;0,G23-L23," ")</f>
        <v>36</v>
      </c>
      <c r="N23" s="8" t="n">
        <f aca="false">IF((G23-L23)&lt;&gt;0,N$1-A23," ")</f>
        <v>319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n">
        <f aca="false">IF((F23="y"),I23," ")</f>
        <v>30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45944</v>
      </c>
      <c r="B24" s="2" t="s">
        <v>81</v>
      </c>
      <c r="F24" s="2" t="s">
        <v>74</v>
      </c>
      <c r="G24" s="29" t="n">
        <v>24</v>
      </c>
      <c r="H24" s="6" t="n">
        <f aca="false">IF(G24&lt;&gt;0,G24*H$2/(100+H$2)," ")</f>
        <v>4</v>
      </c>
      <c r="I24" s="6" t="n">
        <f aca="false">IF((G24&lt;&gt;0),G24-H24," ")</f>
        <v>20</v>
      </c>
      <c r="J24" s="5"/>
      <c r="M24" s="7" t="n">
        <f aca="false">IF(G24&lt;&gt;0,G24-L24," ")</f>
        <v>24</v>
      </c>
      <c r="N24" s="8" t="n">
        <f aca="false">IF((G24-L24)&lt;&gt;0,N$1-A24," ")</f>
        <v>319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20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45944</v>
      </c>
      <c r="B25" s="2" t="s">
        <v>82</v>
      </c>
      <c r="F25" s="2" t="s">
        <v>74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319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n">
        <f aca="false">IF((F25="h"),I25," ")</f>
        <v>10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45945</v>
      </c>
      <c r="B26" s="2" t="s">
        <v>19</v>
      </c>
      <c r="F26" s="2" t="s">
        <v>24</v>
      </c>
      <c r="G26" s="29" t="n">
        <v>150</v>
      </c>
      <c r="H26" s="6" t="n">
        <f aca="false">IF(G26&lt;&gt;0,G26*H$2/(100+H$2)," ")</f>
        <v>25</v>
      </c>
      <c r="I26" s="6" t="n">
        <f aca="false">IF((G26&lt;&gt;0),G26-H26," ")</f>
        <v>125</v>
      </c>
      <c r="J26" s="5"/>
      <c r="M26" s="7" t="n">
        <f aca="false">IF(G26&lt;&gt;0,G26-L26," ")</f>
        <v>150</v>
      </c>
      <c r="N26" s="8" t="n">
        <f aca="false">IF((G26-L26)&lt;&gt;0,N$1-A26," ")</f>
        <v>318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125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45945</v>
      </c>
      <c r="B27" s="2" t="s">
        <v>83</v>
      </c>
      <c r="F27" s="2" t="s">
        <v>60</v>
      </c>
      <c r="G27" s="29" t="n">
        <v>12</v>
      </c>
      <c r="H27" s="6" t="n">
        <f aca="false">IF(G27&lt;&gt;0,G27*H$2/(100+H$2)," ")</f>
        <v>2</v>
      </c>
      <c r="I27" s="6" t="n">
        <f aca="false">IF((G27&lt;&gt;0),G27-H27," ")</f>
        <v>10</v>
      </c>
      <c r="J27" s="5"/>
      <c r="M27" s="7" t="n">
        <f aca="false">IF(G27&lt;&gt;0,G27-L27," ")</f>
        <v>12</v>
      </c>
      <c r="N27" s="8" t="n">
        <f aca="false">IF((G27-L27)&lt;&gt;0,N$1-A27," ")</f>
        <v>318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45945</v>
      </c>
      <c r="B28" s="2" t="s">
        <v>121</v>
      </c>
      <c r="F28" s="2" t="s">
        <v>96</v>
      </c>
      <c r="G28" s="29" t="n">
        <v>1200</v>
      </c>
      <c r="H28" s="6" t="n">
        <f aca="false">IF(G28&lt;&gt;0,G28*H$2/(100+H$2)," ")</f>
        <v>200</v>
      </c>
      <c r="I28" s="6" t="n">
        <f aca="false">IF((G28&lt;&gt;0),G28-H28," ")</f>
        <v>1000</v>
      </c>
      <c r="J28" s="5"/>
      <c r="M28" s="7" t="n">
        <f aca="false">IF(G28&lt;&gt;0,G28-L28," ")</f>
        <v>1200</v>
      </c>
      <c r="N28" s="8" t="n">
        <f aca="false">IF((G28-L28)&lt;&gt;0,N$1-A28," ")</f>
        <v>318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1000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45948</v>
      </c>
      <c r="B29" s="2" t="s">
        <v>107</v>
      </c>
      <c r="F29" s="2" t="s">
        <v>74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315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100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45948</v>
      </c>
      <c r="B30" s="2" t="s">
        <v>84</v>
      </c>
      <c r="F30" s="2" t="s">
        <v>24</v>
      </c>
      <c r="G30" s="29" t="n">
        <v>96</v>
      </c>
      <c r="H30" s="6" t="n">
        <f aca="false">IF(G30&lt;&gt;0,G30*H$2/(100+H$2)," ")</f>
        <v>16</v>
      </c>
      <c r="I30" s="6" t="n">
        <f aca="false">IF((G30&lt;&gt;0),G30-H30," ")</f>
        <v>80</v>
      </c>
      <c r="J30" s="5"/>
      <c r="M30" s="7" t="n">
        <f aca="false">IF(G30&lt;&gt;0,G30-L30," ")</f>
        <v>96</v>
      </c>
      <c r="N30" s="8" t="n">
        <f aca="false">IF((G30-L30)&lt;&gt;0,N$1-A30," ")</f>
        <v>315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n">
        <f aca="false">IF((F30="v"),I30," ")</f>
        <v>80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45950</v>
      </c>
      <c r="B31" s="2" t="s">
        <v>85</v>
      </c>
      <c r="F31" s="2" t="s">
        <v>60</v>
      </c>
      <c r="G31" s="29" t="n">
        <v>60</v>
      </c>
      <c r="H31" s="6" t="n">
        <f aca="false">IF(G31&lt;&gt;0,G31*H$2/(100+H$2)," ")</f>
        <v>10</v>
      </c>
      <c r="I31" s="6" t="n">
        <f aca="false">IF((G31&lt;&gt;0),G31-H31," ")</f>
        <v>50</v>
      </c>
      <c r="J31" s="5"/>
      <c r="M31" s="7" t="n">
        <f aca="false">IF(G31&lt;&gt;0,G31-L31," ")</f>
        <v>60</v>
      </c>
      <c r="N31" s="8" t="n">
        <f aca="false">IF((G31-L31)&lt;&gt;0,N$1-A31," ")</f>
        <v>313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50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45950</v>
      </c>
      <c r="B32" s="2" t="s">
        <v>86</v>
      </c>
      <c r="F32" s="2" t="s">
        <v>87</v>
      </c>
      <c r="G32" s="29" t="n">
        <v>96</v>
      </c>
      <c r="H32" s="6" t="n">
        <f aca="false">IF(G32&lt;&gt;0,G32*H$2/(100+H$2)," ")</f>
        <v>16</v>
      </c>
      <c r="I32" s="6" t="n">
        <f aca="false">IF((G32&lt;&gt;0),G32-H32," ")</f>
        <v>80</v>
      </c>
      <c r="J32" s="5"/>
      <c r="M32" s="7" t="n">
        <f aca="false">IF(G32&lt;&gt;0,G32-L32," ")</f>
        <v>96</v>
      </c>
      <c r="N32" s="8" t="n">
        <f aca="false">IF((G32-L32)&lt;&gt;0,N$1-A32," ")</f>
        <v>313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80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45951</v>
      </c>
      <c r="B33" s="2" t="s">
        <v>88</v>
      </c>
      <c r="F33" s="2" t="s">
        <v>74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312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45952</v>
      </c>
      <c r="B34" s="2" t="s">
        <v>89</v>
      </c>
      <c r="F34" s="2" t="s">
        <v>65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311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45955</v>
      </c>
      <c r="B35" s="2" t="s">
        <v>90</v>
      </c>
      <c r="F35" s="2" t="s">
        <v>65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308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45955</v>
      </c>
      <c r="B36" s="2" t="s">
        <v>91</v>
      </c>
      <c r="F36" s="2" t="s">
        <v>24</v>
      </c>
      <c r="G36" s="29" t="n">
        <v>42.75</v>
      </c>
      <c r="H36" s="6" t="n">
        <f aca="false">IF(G36&lt;&gt;0,G36*H$2/(100+H$2)," ")</f>
        <v>7.125</v>
      </c>
      <c r="I36" s="6" t="n">
        <f aca="false">IF((G36&lt;&gt;0),G36-H36," ")</f>
        <v>35.625</v>
      </c>
      <c r="J36" s="5"/>
      <c r="M36" s="7" t="n">
        <f aca="false">IF(G36&lt;&gt;0,G36-L36," ")</f>
        <v>42.75</v>
      </c>
      <c r="N36" s="8" t="n">
        <f aca="false">IF((G36-L36)&lt;&gt;0,N$1-A36," ")</f>
        <v>308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35.625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45955</v>
      </c>
      <c r="B37" s="2" t="s">
        <v>122</v>
      </c>
      <c r="F37" s="2" t="s">
        <v>99</v>
      </c>
      <c r="G37" s="29" t="n">
        <v>36000</v>
      </c>
      <c r="H37" s="6" t="n">
        <f aca="false">IF(G37&lt;&gt;0,G37*H$2/(100+H$2)," ")</f>
        <v>6000</v>
      </c>
      <c r="I37" s="6" t="n">
        <f aca="false">IF((G37&lt;&gt;0),G37-H37," ")</f>
        <v>30000</v>
      </c>
      <c r="J37" s="5"/>
      <c r="M37" s="7" t="n">
        <f aca="false">IF(G37&lt;&gt;0,G37-L37," ")</f>
        <v>36000</v>
      </c>
      <c r="N37" s="8" t="n">
        <f aca="false">IF((G37-L37)&lt;&gt;0,N$1-A37," ")</f>
        <v>308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30000</v>
      </c>
    </row>
    <row r="38" customFormat="false" ht="12" hidden="false" customHeight="false" outlineLevel="0" collapsed="false">
      <c r="A38" s="27" t="n">
        <v>45958</v>
      </c>
      <c r="B38" s="2" t="s">
        <v>19</v>
      </c>
      <c r="F38" s="2" t="s">
        <v>24</v>
      </c>
      <c r="G38" s="29" t="n">
        <v>120</v>
      </c>
      <c r="H38" s="6" t="n">
        <f aca="false">IF(G38&lt;&gt;0,G38*H$2/(100+H$2)," ")</f>
        <v>20</v>
      </c>
      <c r="I38" s="6" t="n">
        <f aca="false">IF((G38&lt;&gt;0),G38-H38," ")</f>
        <v>100</v>
      </c>
      <c r="J38" s="5"/>
      <c r="M38" s="7" t="n">
        <f aca="false">IF(G38&lt;&gt;0,G38-L38," ")</f>
        <v>120</v>
      </c>
      <c r="N38" s="8" t="n">
        <f aca="false">IF((G38-L38)&lt;&gt;0,N$1-A38," ")</f>
        <v>305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n">
        <f aca="false">IF((F38="v"),I38," ")</f>
        <v>100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 t="n">
        <v>45961</v>
      </c>
      <c r="B39" s="2" t="s">
        <v>15</v>
      </c>
      <c r="F39" s="2" t="s">
        <v>92</v>
      </c>
      <c r="G39" s="29" t="n">
        <v>300</v>
      </c>
      <c r="H39" s="6" t="n">
        <f aca="false">IF(G39&lt;&gt;0,G39*H$2/(100+H$2)," ")</f>
        <v>50</v>
      </c>
      <c r="I39" s="6" t="n">
        <f aca="false">IF((G39&lt;&gt;0),G39-H39," ")</f>
        <v>250</v>
      </c>
      <c r="J39" s="5"/>
      <c r="M39" s="7" t="n">
        <f aca="false">IF(G39&lt;&gt;0,G39-L39," ")</f>
        <v>300</v>
      </c>
      <c r="N39" s="8" t="n">
        <f aca="false">IF((G39-L39)&lt;&gt;0,N$1-A39," ")</f>
        <v>302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250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1153</v>
      </c>
      <c r="I1" s="13" t="n">
        <f aca="false">SUM(I2:I200)</f>
        <v>5765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6918</v>
      </c>
      <c r="N1" s="18" t="n">
        <f aca="true">TODAY()</f>
        <v>46263</v>
      </c>
      <c r="O1" s="15"/>
      <c r="P1" s="13" t="n">
        <f aca="false">SUM(P5:P300)</f>
        <v>700</v>
      </c>
      <c r="Q1" s="13" t="n">
        <f aca="false">SUM(Q5:Q300)</f>
        <v>2500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337.5</v>
      </c>
      <c r="W1" s="13" t="n">
        <f aca="false">SUM(W2:W300)</f>
        <v>537.5</v>
      </c>
      <c r="X1" s="13" t="n">
        <f aca="false">SUM(X5:X300)</f>
        <v>136.666666666667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G2+Oct!A2</f>
        <v>0</v>
      </c>
      <c r="B2" s="44" t="s">
        <v>22</v>
      </c>
      <c r="C2" s="43" t="n">
        <f aca="false">Oct!C2+D1+[1]Nov!$D$1</f>
        <v>0</v>
      </c>
      <c r="D2" s="45" t="s">
        <v>23</v>
      </c>
      <c r="E2" s="20" t="s">
        <v>5</v>
      </c>
      <c r="F2" s="44" t="str">
        <f aca="false">Oct!F2</f>
        <v>v</v>
      </c>
      <c r="G2" s="46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AB1+Oct!AB2</f>
        <v>32500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301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45962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301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45962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301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45962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301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45962</v>
      </c>
      <c r="B9" s="2" t="s">
        <v>66</v>
      </c>
      <c r="F9" s="2" t="s">
        <v>63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301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45962</v>
      </c>
      <c r="B10" s="2" t="s">
        <v>67</v>
      </c>
      <c r="F10" s="2" t="s">
        <v>60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301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45964</v>
      </c>
      <c r="B11" s="2" t="s">
        <v>68</v>
      </c>
      <c r="F11" s="2" t="s">
        <v>63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299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45964</v>
      </c>
      <c r="B12" s="2" t="s">
        <v>69</v>
      </c>
      <c r="F12" s="2" t="s">
        <v>65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299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45966</v>
      </c>
      <c r="B13" s="2" t="s">
        <v>70</v>
      </c>
      <c r="F13" s="2" t="s">
        <v>65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297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45966</v>
      </c>
      <c r="B14" s="2" t="s">
        <v>71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297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45967</v>
      </c>
      <c r="B15" s="2" t="s">
        <v>93</v>
      </c>
      <c r="F15" s="2" t="s">
        <v>74</v>
      </c>
      <c r="G15" s="29" t="n">
        <v>72</v>
      </c>
      <c r="H15" s="6" t="n">
        <f aca="false">IF(G15&lt;&gt;0,G15*H$2/(100+H$2)," ")</f>
        <v>12</v>
      </c>
      <c r="I15" s="6" t="n">
        <f aca="false">IF((G15&lt;&gt;0),G15-H15," ")</f>
        <v>60</v>
      </c>
      <c r="J15" s="5"/>
      <c r="M15" s="7" t="n">
        <f aca="false">IF(G15&lt;&gt;0,G15-L15," ")</f>
        <v>72</v>
      </c>
      <c r="N15" s="8" t="n">
        <f aca="false">IF((G15-L15)&lt;&gt;0,N$1-A15," ")</f>
        <v>296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45969</v>
      </c>
      <c r="B16" s="2" t="s">
        <v>73</v>
      </c>
      <c r="F16" s="2" t="s">
        <v>74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294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45971</v>
      </c>
      <c r="B17" s="2" t="s">
        <v>75</v>
      </c>
      <c r="F17" s="2" t="s">
        <v>65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292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45973</v>
      </c>
      <c r="B18" s="2" t="s">
        <v>79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290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45975</v>
      </c>
      <c r="B19" s="2" t="s">
        <v>81</v>
      </c>
      <c r="F19" s="2" t="s">
        <v>74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288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45975</v>
      </c>
      <c r="B20" s="2" t="s">
        <v>82</v>
      </c>
      <c r="F20" s="2" t="s">
        <v>74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288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45976</v>
      </c>
      <c r="B21" s="2" t="s">
        <v>19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287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45976</v>
      </c>
      <c r="B22" s="2" t="s">
        <v>83</v>
      </c>
      <c r="F22" s="2" t="s">
        <v>60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287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45976</v>
      </c>
      <c r="B23" s="2" t="s">
        <v>97</v>
      </c>
      <c r="F23" s="2" t="s">
        <v>78</v>
      </c>
      <c r="G23" s="29" t="n">
        <v>540</v>
      </c>
      <c r="H23" s="6" t="n">
        <f aca="false">IF(G23&lt;&gt;0,G23*H$2/(100+H$2)," ")</f>
        <v>90</v>
      </c>
      <c r="I23" s="6" t="n">
        <f aca="false">IF((G23&lt;&gt;0),G23-H23," ")</f>
        <v>450</v>
      </c>
      <c r="J23" s="5"/>
      <c r="M23" s="7" t="n">
        <f aca="false">IF(G23&lt;&gt;0,G23-L23," ")</f>
        <v>540</v>
      </c>
      <c r="N23" s="8" t="n">
        <f aca="false">IF((G23-L23)&lt;&gt;0,N$1-A23," ")</f>
        <v>287</v>
      </c>
      <c r="O23" s="5"/>
      <c r="P23" s="19" t="n">
        <f aca="false">IF((F23="s"),I23," ")</f>
        <v>450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45976</v>
      </c>
      <c r="B24" s="2" t="s">
        <v>105</v>
      </c>
      <c r="F24" s="2" t="s">
        <v>106</v>
      </c>
      <c r="G24" s="29" t="n">
        <v>3000</v>
      </c>
      <c r="H24" s="6" t="n">
        <f aca="false">IF(G24&lt;&gt;0,G24*H$2/(100+H$2)," ")</f>
        <v>500</v>
      </c>
      <c r="I24" s="6" t="n">
        <f aca="false">IF((G24&lt;&gt;0),G24-H24," ")</f>
        <v>2500</v>
      </c>
      <c r="J24" s="5"/>
      <c r="M24" s="7" t="n">
        <f aca="false">IF(G24&lt;&gt;0,G24-L24," ")</f>
        <v>3000</v>
      </c>
      <c r="N24" s="8" t="n">
        <f aca="false">IF((G24-L24)&lt;&gt;0,N$1-A24," ")</f>
        <v>287</v>
      </c>
      <c r="O24" s="5"/>
      <c r="P24" s="19" t="str">
        <f aca="false">IF((F24="s"),I24," ")</f>
        <v> </v>
      </c>
      <c r="Q24" s="19" t="n">
        <f aca="false">IF((F24="c"),I24," ")</f>
        <v>2500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45977</v>
      </c>
      <c r="B25" s="2" t="s">
        <v>100</v>
      </c>
      <c r="F25" s="2" t="s">
        <v>60</v>
      </c>
      <c r="G25" s="29" t="n">
        <v>30</v>
      </c>
      <c r="H25" s="6" t="n">
        <f aca="false">IF(G25&lt;&gt;0,G25*H$2/(100+H$2)," ")</f>
        <v>5</v>
      </c>
      <c r="I25" s="6" t="n">
        <f aca="false">IF((G25&lt;&gt;0),G25-H25," ")</f>
        <v>25</v>
      </c>
      <c r="J25" s="5"/>
      <c r="M25" s="7" t="n">
        <f aca="false">IF(G25&lt;&gt;0,G25-L25," ")</f>
        <v>30</v>
      </c>
      <c r="N25" s="8" t="n">
        <f aca="false">IF((G25-L25)&lt;&gt;0,N$1-A25," ")</f>
        <v>286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25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45979</v>
      </c>
      <c r="B26" s="2" t="s">
        <v>84</v>
      </c>
      <c r="F26" s="2" t="s">
        <v>24</v>
      </c>
      <c r="G26" s="29" t="n">
        <v>96</v>
      </c>
      <c r="H26" s="6" t="n">
        <f aca="false">IF(G26&lt;&gt;0,G26*H$2/(100+H$2)," ")</f>
        <v>16</v>
      </c>
      <c r="I26" s="6" t="n">
        <f aca="false">IF((G26&lt;&gt;0),G26-H26," ")</f>
        <v>80</v>
      </c>
      <c r="J26" s="5"/>
      <c r="M26" s="7" t="n">
        <f aca="false">IF(G26&lt;&gt;0,G26-L26," ")</f>
        <v>96</v>
      </c>
      <c r="N26" s="8" t="n">
        <f aca="false">IF((G26-L26)&lt;&gt;0,N$1-A26," ")</f>
        <v>284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80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45981</v>
      </c>
      <c r="B27" s="2" t="s">
        <v>85</v>
      </c>
      <c r="F27" s="2" t="s">
        <v>60</v>
      </c>
      <c r="G27" s="29" t="n">
        <v>60</v>
      </c>
      <c r="H27" s="6" t="n">
        <f aca="false">IF(G27&lt;&gt;0,G27*H$2/(100+H$2)," ")</f>
        <v>10</v>
      </c>
      <c r="I27" s="6" t="n">
        <f aca="false">IF((G27&lt;&gt;0),G27-H27," ")</f>
        <v>50</v>
      </c>
      <c r="J27" s="5"/>
      <c r="M27" s="7" t="n">
        <f aca="false">IF(G27&lt;&gt;0,G27-L27," ")</f>
        <v>60</v>
      </c>
      <c r="N27" s="8" t="n">
        <f aca="false">IF((G27-L27)&lt;&gt;0,N$1-A27," ")</f>
        <v>282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50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45981</v>
      </c>
      <c r="B28" s="2" t="s">
        <v>101</v>
      </c>
      <c r="F28" s="2" t="s">
        <v>60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282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45981</v>
      </c>
      <c r="B29" s="2" t="s">
        <v>102</v>
      </c>
      <c r="F29" s="2" t="s">
        <v>78</v>
      </c>
      <c r="G29" s="29" t="n">
        <v>300</v>
      </c>
      <c r="H29" s="6" t="n">
        <f aca="false">IF(G29&lt;&gt;0,G29*H$2/(100+H$2)," ")</f>
        <v>50</v>
      </c>
      <c r="I29" s="6" t="n">
        <f aca="false">IF((G29&lt;&gt;0),G29-H29," ")</f>
        <v>250</v>
      </c>
      <c r="J29" s="5"/>
      <c r="M29" s="7" t="n">
        <f aca="false">IF(G29&lt;&gt;0,G29-L29," ")</f>
        <v>300</v>
      </c>
      <c r="N29" s="8" t="n">
        <f aca="false">IF((G29-L29)&lt;&gt;0,N$1-A29," ")</f>
        <v>282</v>
      </c>
      <c r="O29" s="5"/>
      <c r="P29" s="19" t="n">
        <f aca="false">IF((F29="s"),I29," ")</f>
        <v>250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45982</v>
      </c>
      <c r="B30" s="2" t="s">
        <v>88</v>
      </c>
      <c r="F30" s="2" t="s">
        <v>74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281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45983</v>
      </c>
      <c r="B31" s="2" t="s">
        <v>89</v>
      </c>
      <c r="F31" s="2" t="s">
        <v>65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280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45986</v>
      </c>
      <c r="B32" s="2" t="s">
        <v>90</v>
      </c>
      <c r="F32" s="2" t="s">
        <v>65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277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45986</v>
      </c>
      <c r="B33" s="2" t="s">
        <v>91</v>
      </c>
      <c r="F33" s="2" t="s">
        <v>24</v>
      </c>
      <c r="G33" s="29" t="n">
        <v>81</v>
      </c>
      <c r="H33" s="6" t="n">
        <f aca="false">IF(G33&lt;&gt;0,G33*H$2/(100+H$2)," ")</f>
        <v>13.5</v>
      </c>
      <c r="I33" s="6" t="n">
        <f aca="false">IF((G33&lt;&gt;0),G33-H33," ")</f>
        <v>67.5</v>
      </c>
      <c r="J33" s="5"/>
      <c r="M33" s="7" t="n">
        <f aca="false">IF(G33&lt;&gt;0,G33-L33," ")</f>
        <v>81</v>
      </c>
      <c r="N33" s="8" t="n">
        <f aca="false">IF((G33-L33)&lt;&gt;0,N$1-A33," ")</f>
        <v>277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67.5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45989</v>
      </c>
      <c r="B34" s="2" t="s">
        <v>19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274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45991</v>
      </c>
      <c r="B35" s="2" t="s">
        <v>15</v>
      </c>
      <c r="F35" s="2" t="s">
        <v>92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272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1575.25</v>
      </c>
      <c r="I1" s="13" t="n">
        <f aca="false">SUM(I2:I200)</f>
        <v>7876.25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9451.5</v>
      </c>
      <c r="N1" s="18" t="n">
        <f aca="true">TODAY()</f>
        <v>46263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4166.66666666667</v>
      </c>
      <c r="T1" s="13" t="n">
        <f aca="false">SUM(T5:T300)</f>
        <v>1350</v>
      </c>
      <c r="U1" s="13" t="n">
        <f aca="false">SUM(U5:U300)</f>
        <v>0</v>
      </c>
      <c r="V1" s="13" t="n">
        <f aca="false">SUM(V5:V300)</f>
        <v>212.5</v>
      </c>
      <c r="W1" s="13" t="n">
        <f aca="false">SUM(W2:W300)</f>
        <v>511.25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389.166666666667</v>
      </c>
      <c r="AA1" s="13" t="n">
        <f aca="false">SUM(AA5:AA300)</f>
        <v>532.5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G2+Nov!A2</f>
        <v>0</v>
      </c>
      <c r="B2" s="44" t="s">
        <v>22</v>
      </c>
      <c r="C2" s="43" t="n">
        <f aca="false">Nov!C2+D1+[1]Dec!$D$1</f>
        <v>0</v>
      </c>
      <c r="D2" s="45" t="s">
        <v>23</v>
      </c>
      <c r="E2" s="20" t="s">
        <v>5</v>
      </c>
      <c r="F2" s="44" t="str">
        <f aca="false">Nov!F2</f>
        <v>v</v>
      </c>
      <c r="G2" s="46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AB1+Nov!AB2</f>
        <v>32500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271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271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45992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271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45992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271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45992</v>
      </c>
      <c r="B9" s="2" t="s">
        <v>66</v>
      </c>
      <c r="F9" s="2" t="s">
        <v>63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271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45992</v>
      </c>
      <c r="B10" s="2" t="s">
        <v>67</v>
      </c>
      <c r="F10" s="2" t="s">
        <v>60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271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45994</v>
      </c>
      <c r="B11" s="2" t="s">
        <v>68</v>
      </c>
      <c r="F11" s="2" t="s">
        <v>63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269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45994</v>
      </c>
      <c r="B12" s="2" t="s">
        <v>69</v>
      </c>
      <c r="F12" s="2" t="s">
        <v>65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269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45996</v>
      </c>
      <c r="B13" s="2" t="s">
        <v>70</v>
      </c>
      <c r="F13" s="2" t="s">
        <v>65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267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45996</v>
      </c>
      <c r="B14" s="2" t="s">
        <v>71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267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45996</v>
      </c>
      <c r="B15" s="2" t="s">
        <v>72</v>
      </c>
      <c r="F15" s="2" t="s">
        <v>63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267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45999</v>
      </c>
      <c r="B16" s="2" t="s">
        <v>73</v>
      </c>
      <c r="F16" s="2" t="s">
        <v>74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264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46001</v>
      </c>
      <c r="B17" s="2" t="s">
        <v>75</v>
      </c>
      <c r="F17" s="2" t="s">
        <v>65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262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46001</v>
      </c>
      <c r="B18" s="2" t="s">
        <v>104</v>
      </c>
      <c r="F18" s="2" t="s">
        <v>60</v>
      </c>
      <c r="G18" s="29" t="n">
        <v>120</v>
      </c>
      <c r="H18" s="6" t="n">
        <f aca="false">IF(G18&lt;&gt;0,G18*H$2/(100+H$2)," ")</f>
        <v>20</v>
      </c>
      <c r="I18" s="6" t="n">
        <f aca="false">IF((G18&lt;&gt;0),G18-H18," ")</f>
        <v>100</v>
      </c>
      <c r="J18" s="5"/>
      <c r="M18" s="7" t="n">
        <f aca="false">IF(G18&lt;&gt;0,G18-L18," ")</f>
        <v>120</v>
      </c>
      <c r="N18" s="8" t="n">
        <f aca="false">IF((G18-L18)&lt;&gt;0,N$1-A18," ")</f>
        <v>262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100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46003</v>
      </c>
      <c r="B19" s="2" t="s">
        <v>79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260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46005</v>
      </c>
      <c r="B20" s="2" t="s">
        <v>80</v>
      </c>
      <c r="F20" s="2" t="s">
        <v>65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258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20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46005</v>
      </c>
      <c r="B21" s="2" t="s">
        <v>81</v>
      </c>
      <c r="F21" s="2" t="s">
        <v>74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258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46005</v>
      </c>
      <c r="B22" s="2" t="s">
        <v>82</v>
      </c>
      <c r="F22" s="2" t="s">
        <v>74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258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46006</v>
      </c>
      <c r="B23" s="2" t="s">
        <v>19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257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46006</v>
      </c>
      <c r="B24" s="2" t="s">
        <v>83</v>
      </c>
      <c r="F24" s="2" t="s">
        <v>60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257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46006</v>
      </c>
      <c r="B25" s="2" t="s">
        <v>123</v>
      </c>
      <c r="F25" s="2" t="s">
        <v>65</v>
      </c>
      <c r="G25" s="29" t="n">
        <v>500</v>
      </c>
      <c r="H25" s="6" t="n">
        <f aca="false">IF(G25&lt;&gt;0,G25*H$2/(100+H$2)," ")</f>
        <v>83.3333333333333</v>
      </c>
      <c r="I25" s="6" t="n">
        <f aca="false">IF((G25&lt;&gt;0),G25-H25," ")</f>
        <v>416.666666666667</v>
      </c>
      <c r="J25" s="5"/>
      <c r="M25" s="7" t="n">
        <f aca="false">IF(G25&lt;&gt;0,G25-L25," ")</f>
        <v>500</v>
      </c>
      <c r="N25" s="8" t="n">
        <f aca="false">IF((G25-L25)&lt;&gt;0,N$1-A25," ")</f>
        <v>257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416.666666666667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46009</v>
      </c>
      <c r="B26" s="2" t="s">
        <v>108</v>
      </c>
      <c r="F26" s="2" t="s">
        <v>78</v>
      </c>
      <c r="G26" s="29" t="n">
        <v>480</v>
      </c>
      <c r="H26" s="6" t="n">
        <f aca="false">IF(G26&lt;&gt;0,G26*H$2/(100+H$2)," ")</f>
        <v>80</v>
      </c>
      <c r="I26" s="6" t="n">
        <f aca="false">IF((G26&lt;&gt;0),G26-H26," ")</f>
        <v>400</v>
      </c>
      <c r="J26" s="5"/>
      <c r="M26" s="7" t="n">
        <f aca="false">IF(G26&lt;&gt;0,G26-L26," ")</f>
        <v>480</v>
      </c>
      <c r="N26" s="8" t="n">
        <f aca="false">IF((G26-L26)&lt;&gt;0,N$1-A26," ")</f>
        <v>254</v>
      </c>
      <c r="O26" s="5"/>
      <c r="P26" s="19" t="n">
        <f aca="false">IF((F26="s"),I26," ")</f>
        <v>400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46009</v>
      </c>
      <c r="B27" s="2" t="s">
        <v>84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254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46011</v>
      </c>
      <c r="B28" s="2" t="s">
        <v>85</v>
      </c>
      <c r="F28" s="2" t="s">
        <v>60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252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46012</v>
      </c>
      <c r="B29" s="2" t="s">
        <v>88</v>
      </c>
      <c r="F29" s="2" t="s">
        <v>74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251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46013</v>
      </c>
      <c r="B30" s="2" t="s">
        <v>89</v>
      </c>
      <c r="F30" s="2" t="s">
        <v>65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250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46016</v>
      </c>
      <c r="B31" s="2" t="s">
        <v>109</v>
      </c>
      <c r="F31" s="2" t="s">
        <v>58</v>
      </c>
      <c r="G31" s="29" t="n">
        <v>420</v>
      </c>
      <c r="H31" s="6" t="n">
        <f aca="false">IF(G31&lt;&gt;0,G31*H$2/(100+H$2)," ")</f>
        <v>70</v>
      </c>
      <c r="I31" s="6" t="n">
        <f aca="false">IF((G31&lt;&gt;0),G31-H31," ")</f>
        <v>350</v>
      </c>
      <c r="J31" s="5"/>
      <c r="M31" s="7" t="n">
        <f aca="false">IF(G31&lt;&gt;0,G31-L31," ")</f>
        <v>420</v>
      </c>
      <c r="N31" s="8" t="n">
        <f aca="false">IF((G31-L31)&lt;&gt;0,N$1-A31," ")</f>
        <v>247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350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46016</v>
      </c>
      <c r="B32" s="2" t="s">
        <v>90</v>
      </c>
      <c r="F32" s="2" t="s">
        <v>65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247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46016</v>
      </c>
      <c r="B33" s="2" t="s">
        <v>91</v>
      </c>
      <c r="F33" s="2" t="s">
        <v>24</v>
      </c>
      <c r="G33" s="29" t="n">
        <v>49.5</v>
      </c>
      <c r="H33" s="6" t="n">
        <f aca="false">IF(G33&lt;&gt;0,G33*H$2/(100+H$2)," ")</f>
        <v>8.25</v>
      </c>
      <c r="I33" s="6" t="n">
        <f aca="false">IF((G33&lt;&gt;0),G33-H33," ")</f>
        <v>41.25</v>
      </c>
      <c r="J33" s="5"/>
      <c r="M33" s="7" t="n">
        <f aca="false">IF(G33&lt;&gt;0,G33-L33," ")</f>
        <v>49.5</v>
      </c>
      <c r="N33" s="8" t="n">
        <f aca="false">IF((G33-L33)&lt;&gt;0,N$1-A33," ")</f>
        <v>247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41.25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46019</v>
      </c>
      <c r="B34" s="2" t="s">
        <v>19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244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46022</v>
      </c>
      <c r="B35" s="2" t="s">
        <v>15</v>
      </c>
      <c r="F35" s="2" t="s">
        <v>92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241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46022</v>
      </c>
      <c r="B36" s="2" t="s">
        <v>124</v>
      </c>
      <c r="F36" s="2" t="s">
        <v>118</v>
      </c>
      <c r="G36" s="29" t="n">
        <v>5000</v>
      </c>
      <c r="H36" s="6" t="n">
        <f aca="false">IF(G36&lt;&gt;0,G36*H$2/(100+H$2)," ")</f>
        <v>833.333333333333</v>
      </c>
      <c r="I36" s="6" t="n">
        <f aca="false">IF((G36&lt;&gt;0),G36-H36," ")</f>
        <v>4166.66666666667</v>
      </c>
      <c r="J36" s="5"/>
      <c r="M36" s="7" t="n">
        <f aca="false">IF(G36&lt;&gt;0,G36-L36," ")</f>
        <v>5000</v>
      </c>
      <c r="N36" s="8" t="n">
        <f aca="false">IF((G36-L36)&lt;&gt;0,N$1-A36," ")</f>
        <v>241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4166.66666666667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46022</v>
      </c>
      <c r="B37" s="2" t="s">
        <v>110</v>
      </c>
      <c r="F37" s="2" t="s">
        <v>92</v>
      </c>
      <c r="G37" s="29" t="n">
        <v>167</v>
      </c>
      <c r="H37" s="6" t="n">
        <f aca="false">IF(G37&lt;&gt;0,G37*H$2/(100+H$2)," ")</f>
        <v>27.8333333333333</v>
      </c>
      <c r="I37" s="6" t="n">
        <f aca="false">IF((G37&lt;&gt;0),G37-H37," ")</f>
        <v>139.166666666667</v>
      </c>
      <c r="J37" s="5"/>
      <c r="M37" s="7" t="n">
        <f aca="false">IF(G37&lt;&gt;0,G37-L37," ")</f>
        <v>167</v>
      </c>
      <c r="N37" s="8" t="n">
        <f aca="false">IF((G37-L37)&lt;&gt;0,N$1-A37," ")</f>
        <v>241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139.166666666667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751.875</v>
      </c>
      <c r="I1" s="13" t="n">
        <f aca="false">SUM(I2:I200)</f>
        <v>3759.375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4511.25</v>
      </c>
      <c r="N1" s="18" t="n">
        <f aca="true">TODAY()</f>
        <v>46263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357.5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120</v>
      </c>
      <c r="V1" s="13" t="n">
        <f aca="false">SUM(V5:V300)</f>
        <v>427.5</v>
      </c>
      <c r="W1" s="13" t="n">
        <f aca="false">SUM(W2:W300)</f>
        <v>531.875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G2+Dec!A2</f>
        <v>0</v>
      </c>
      <c r="B2" s="44" t="s">
        <v>22</v>
      </c>
      <c r="C2" s="43" t="n">
        <f aca="false">Dec!C2+D1+[1]Jan!$D$1</f>
        <v>0</v>
      </c>
      <c r="D2" s="45" t="s">
        <v>23</v>
      </c>
      <c r="E2" s="20" t="s">
        <v>5</v>
      </c>
      <c r="F2" s="44" t="str">
        <f aca="false">Dec!F2</f>
        <v>v</v>
      </c>
      <c r="G2" s="46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AB1+Dec!AB2</f>
        <v>32500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240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46023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240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46023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240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46023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240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46023</v>
      </c>
      <c r="B9" s="2" t="s">
        <v>66</v>
      </c>
      <c r="F9" s="2" t="s">
        <v>63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240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46023</v>
      </c>
      <c r="B10" s="2" t="s">
        <v>67</v>
      </c>
      <c r="F10" s="2" t="s">
        <v>60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240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46025</v>
      </c>
      <c r="B11" s="2" t="s">
        <v>68</v>
      </c>
      <c r="F11" s="2" t="s">
        <v>63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238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46025</v>
      </c>
      <c r="B12" s="2" t="s">
        <v>69</v>
      </c>
      <c r="F12" s="2" t="s">
        <v>65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238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46027</v>
      </c>
      <c r="B13" s="2" t="s">
        <v>70</v>
      </c>
      <c r="F13" s="2" t="s">
        <v>65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236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46027</v>
      </c>
      <c r="B14" s="2" t="s">
        <v>112</v>
      </c>
      <c r="F14" s="2" t="s">
        <v>96</v>
      </c>
      <c r="G14" s="29" t="n">
        <v>480</v>
      </c>
      <c r="H14" s="6" t="n">
        <f aca="false">IF(G14&lt;&gt;0,G14*H$2/(100+H$2)," ")</f>
        <v>80</v>
      </c>
      <c r="I14" s="6" t="n">
        <f aca="false">IF((G14&lt;&gt;0),G14-H14," ")</f>
        <v>400</v>
      </c>
      <c r="J14" s="5"/>
      <c r="M14" s="7" t="n">
        <f aca="false">IF(G14&lt;&gt;0,G14-L14," ")</f>
        <v>480</v>
      </c>
      <c r="N14" s="8" t="n">
        <f aca="false">IF((G14-L14)&lt;&gt;0,N$1-A14," ")</f>
        <v>236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400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46027</v>
      </c>
      <c r="B15" s="2" t="s">
        <v>71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236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46030</v>
      </c>
      <c r="B16" s="2" t="s">
        <v>73</v>
      </c>
      <c r="F16" s="2" t="s">
        <v>74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233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46030</v>
      </c>
      <c r="B17" s="2" t="s">
        <v>94</v>
      </c>
      <c r="F17" s="2" t="s">
        <v>63</v>
      </c>
      <c r="G17" s="29" t="n">
        <v>180</v>
      </c>
      <c r="H17" s="6" t="n">
        <f aca="false">IF(G17&lt;&gt;0,G17*H$2/(100+H$2)," ")</f>
        <v>30</v>
      </c>
      <c r="I17" s="6" t="n">
        <f aca="false">IF((G17&lt;&gt;0),G17-H17," ")</f>
        <v>150</v>
      </c>
      <c r="J17" s="5"/>
      <c r="M17" s="7" t="n">
        <f aca="false">IF(G17&lt;&gt;0,G17-L17," ")</f>
        <v>180</v>
      </c>
      <c r="N17" s="8" t="n">
        <f aca="false">IF((G17-L17)&lt;&gt;0,N$1-A17," ")</f>
        <v>233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150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46032</v>
      </c>
      <c r="B18" s="2" t="s">
        <v>75</v>
      </c>
      <c r="F18" s="2" t="s">
        <v>65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231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46032</v>
      </c>
      <c r="B19" s="2" t="s">
        <v>76</v>
      </c>
      <c r="F19" s="2" t="s">
        <v>60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231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46032</v>
      </c>
      <c r="B20" s="2" t="s">
        <v>77</v>
      </c>
      <c r="F20" s="2" t="s">
        <v>78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231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46034</v>
      </c>
      <c r="B21" s="2" t="s">
        <v>79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229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46036</v>
      </c>
      <c r="B22" s="2" t="s">
        <v>81</v>
      </c>
      <c r="F22" s="2" t="s">
        <v>74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227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46036</v>
      </c>
      <c r="B23" s="2" t="s">
        <v>82</v>
      </c>
      <c r="F23" s="2" t="s">
        <v>74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227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46037</v>
      </c>
      <c r="B24" s="2" t="s">
        <v>19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226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46037</v>
      </c>
      <c r="B25" s="2" t="s">
        <v>83</v>
      </c>
      <c r="F25" s="2" t="s">
        <v>60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226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46038</v>
      </c>
      <c r="B26" s="2" t="s">
        <v>100</v>
      </c>
      <c r="F26" s="2" t="s">
        <v>60</v>
      </c>
      <c r="G26" s="29" t="n">
        <v>18</v>
      </c>
      <c r="H26" s="6" t="n">
        <f aca="false">IF(G26&lt;&gt;0,G26*H$2/(100+H$2)," ")</f>
        <v>3</v>
      </c>
      <c r="I26" s="6" t="n">
        <f aca="false">IF((G26&lt;&gt;0),G26-H26," ")</f>
        <v>15</v>
      </c>
      <c r="J26" s="5"/>
      <c r="M26" s="7" t="n">
        <f aca="false">IF(G26&lt;&gt;0,G26-L26," ")</f>
        <v>18</v>
      </c>
      <c r="N26" s="8" t="n">
        <f aca="false">IF((G26-L26)&lt;&gt;0,N$1-A26," ")</f>
        <v>225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15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46040</v>
      </c>
      <c r="B27" s="2" t="s">
        <v>84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223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46042</v>
      </c>
      <c r="B28" s="2" t="s">
        <v>85</v>
      </c>
      <c r="F28" s="2" t="s">
        <v>60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221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46042</v>
      </c>
      <c r="B29" s="2" t="s">
        <v>115</v>
      </c>
      <c r="F29" s="2" t="s">
        <v>60</v>
      </c>
      <c r="G29" s="29" t="n">
        <v>180</v>
      </c>
      <c r="H29" s="6" t="n">
        <f aca="false">IF(G29&lt;&gt;0,G29*H$2/(100+H$2)," ")</f>
        <v>30</v>
      </c>
      <c r="I29" s="6" t="n">
        <f aca="false">IF((G29&lt;&gt;0),G29-H29," ")</f>
        <v>150</v>
      </c>
      <c r="J29" s="5"/>
      <c r="M29" s="7" t="n">
        <f aca="false">IF(G29&lt;&gt;0,G29-L29," ")</f>
        <v>180</v>
      </c>
      <c r="N29" s="8" t="n">
        <f aca="false">IF((G29-L29)&lt;&gt;0,N$1-A29," ")</f>
        <v>221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150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46042</v>
      </c>
      <c r="B30" s="2" t="s">
        <v>86</v>
      </c>
      <c r="F30" s="2" t="s">
        <v>87</v>
      </c>
      <c r="G30" s="29" t="n">
        <v>144</v>
      </c>
      <c r="H30" s="6" t="n">
        <f aca="false">IF(G30&lt;&gt;0,G30*H$2/(100+H$2)," ")</f>
        <v>24</v>
      </c>
      <c r="I30" s="6" t="n">
        <f aca="false">IF((G30&lt;&gt;0),G30-H30," ")</f>
        <v>120</v>
      </c>
      <c r="J30" s="5"/>
      <c r="M30" s="7" t="n">
        <f aca="false">IF(G30&lt;&gt;0,G30-L30," ")</f>
        <v>144</v>
      </c>
      <c r="N30" s="8" t="n">
        <f aca="false">IF((G30-L30)&lt;&gt;0,N$1-A30," ")</f>
        <v>221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120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46043</v>
      </c>
      <c r="B31" s="2" t="s">
        <v>88</v>
      </c>
      <c r="F31" s="2" t="s">
        <v>74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220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46044</v>
      </c>
      <c r="B32" s="2" t="s">
        <v>89</v>
      </c>
      <c r="F32" s="2" t="s">
        <v>65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219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46044</v>
      </c>
      <c r="B33" s="2" t="s">
        <v>103</v>
      </c>
      <c r="F33" s="2" t="s">
        <v>24</v>
      </c>
      <c r="G33" s="29" t="n">
        <v>36</v>
      </c>
      <c r="H33" s="6" t="n">
        <f aca="false">IF(G33&lt;&gt;0,G33*H$2/(100+H$2)," ")</f>
        <v>6</v>
      </c>
      <c r="I33" s="6" t="n">
        <f aca="false">IF((G33&lt;&gt;0),G33-H33," ")</f>
        <v>30</v>
      </c>
      <c r="J33" s="5"/>
      <c r="M33" s="7" t="n">
        <f aca="false">IF(G33&lt;&gt;0,G33-L33," ")</f>
        <v>36</v>
      </c>
      <c r="N33" s="8" t="n">
        <f aca="false">IF((G33-L33)&lt;&gt;0,N$1-A33," ")</f>
        <v>219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30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46047</v>
      </c>
      <c r="B34" s="2" t="s">
        <v>90</v>
      </c>
      <c r="F34" s="2" t="s">
        <v>65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216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46047</v>
      </c>
      <c r="B35" s="2" t="s">
        <v>91</v>
      </c>
      <c r="F35" s="2" t="s">
        <v>24</v>
      </c>
      <c r="G35" s="29" t="n">
        <v>38.25</v>
      </c>
      <c r="H35" s="6" t="n">
        <f aca="false">IF(G35&lt;&gt;0,G35*H$2/(100+H$2)," ")</f>
        <v>6.375</v>
      </c>
      <c r="I35" s="6" t="n">
        <f aca="false">IF((G35&lt;&gt;0),G35-H35," ")</f>
        <v>31.875</v>
      </c>
      <c r="J35" s="5"/>
      <c r="M35" s="7" t="n">
        <f aca="false">IF(G35&lt;&gt;0,G35-L35," ")</f>
        <v>38.25</v>
      </c>
      <c r="N35" s="8" t="n">
        <f aca="false">IF((G35-L35)&lt;&gt;0,N$1-A35," ")</f>
        <v>216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31.875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46050</v>
      </c>
      <c r="B36" s="2" t="s">
        <v>19</v>
      </c>
      <c r="F36" s="2" t="s">
        <v>24</v>
      </c>
      <c r="G36" s="29" t="n">
        <v>120</v>
      </c>
      <c r="H36" s="6" t="n">
        <f aca="false">IF(G36&lt;&gt;0,G36*H$2/(100+H$2)," ")</f>
        <v>20</v>
      </c>
      <c r="I36" s="6" t="n">
        <f aca="false">IF((G36&lt;&gt;0),G36-H36," ")</f>
        <v>100</v>
      </c>
      <c r="J36" s="5"/>
      <c r="M36" s="7" t="n">
        <f aca="false">IF(G36&lt;&gt;0,G36-L36," ")</f>
        <v>120</v>
      </c>
      <c r="N36" s="8" t="n">
        <f aca="false">IF((G36-L36)&lt;&gt;0,N$1-A36," ")</f>
        <v>213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100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46053</v>
      </c>
      <c r="B37" s="2" t="s">
        <v>15</v>
      </c>
      <c r="F37" s="2" t="s">
        <v>92</v>
      </c>
      <c r="G37" s="29" t="n">
        <v>300</v>
      </c>
      <c r="H37" s="6" t="n">
        <f aca="false">IF(G37&lt;&gt;0,G37*H$2/(100+H$2)," ")</f>
        <v>50</v>
      </c>
      <c r="I37" s="6" t="n">
        <f aca="false">IF((G37&lt;&gt;0),G37-H37," ")</f>
        <v>250</v>
      </c>
      <c r="J37" s="5"/>
      <c r="M37" s="7" t="n">
        <f aca="false">IF(G37&lt;&gt;0,G37-L37," ")</f>
        <v>300</v>
      </c>
      <c r="N37" s="8" t="n">
        <f aca="false">IF((G37-L37)&lt;&gt;0,N$1-A37," ")</f>
        <v>210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732.75</v>
      </c>
      <c r="I1" s="13" t="n">
        <f aca="false">SUM(I2:I200)</f>
        <v>3663.75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4396.5</v>
      </c>
      <c r="N1" s="18" t="n">
        <f aca="true">TODAY()</f>
        <v>46263</v>
      </c>
      <c r="O1" s="15"/>
      <c r="P1" s="13" t="n">
        <f aca="false">SUM(P5:P300)</f>
        <v>550</v>
      </c>
      <c r="Q1" s="13" t="n">
        <f aca="false">SUM(Q5:Q300)</f>
        <v>0</v>
      </c>
      <c r="R1" s="13" t="n">
        <f aca="false">SUM(R5:R300)</f>
        <v>537.5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300</v>
      </c>
      <c r="V1" s="13" t="n">
        <f aca="false">SUM(V5:V300)</f>
        <v>112.5</v>
      </c>
      <c r="W1" s="13" t="n">
        <f aca="false">SUM(W2:W300)</f>
        <v>496.25</v>
      </c>
      <c r="X1" s="13" t="n">
        <f aca="false">SUM(X5:X300)</f>
        <v>306.666666666667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110.833333333333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G2+Jan!A2</f>
        <v>0</v>
      </c>
      <c r="B2" s="44" t="s">
        <v>22</v>
      </c>
      <c r="C2" s="43" t="n">
        <f aca="false">Jan!C2+D1+[1]Feb!$D$1</f>
        <v>0</v>
      </c>
      <c r="D2" s="45" t="s">
        <v>23</v>
      </c>
      <c r="E2" s="20" t="s">
        <v>5</v>
      </c>
      <c r="F2" s="44" t="str">
        <f aca="false">Jan!F2</f>
        <v>v</v>
      </c>
      <c r="G2" s="46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AB1+Jan!AB2</f>
        <v>32500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209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46054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209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46054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209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46054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209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46054</v>
      </c>
      <c r="B9" s="2" t="s">
        <v>66</v>
      </c>
      <c r="F9" s="2" t="s">
        <v>63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209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46054</v>
      </c>
      <c r="B10" s="2" t="s">
        <v>67</v>
      </c>
      <c r="F10" s="2" t="s">
        <v>60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209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46056</v>
      </c>
      <c r="B11" s="2" t="s">
        <v>68</v>
      </c>
      <c r="F11" s="2" t="s">
        <v>63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207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46056</v>
      </c>
      <c r="B12" s="2" t="s">
        <v>69</v>
      </c>
      <c r="F12" s="2" t="s">
        <v>65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207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46058</v>
      </c>
      <c r="B13" s="2" t="s">
        <v>70</v>
      </c>
      <c r="F13" s="2" t="s">
        <v>65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205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46058</v>
      </c>
      <c r="B14" s="2" t="s">
        <v>71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205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46058</v>
      </c>
      <c r="B15" s="2" t="s">
        <v>72</v>
      </c>
      <c r="F15" s="2" t="s">
        <v>63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205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46059</v>
      </c>
      <c r="B16" s="2" t="s">
        <v>93</v>
      </c>
      <c r="F16" s="2" t="s">
        <v>74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204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30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46061</v>
      </c>
      <c r="B17" s="2" t="s">
        <v>73</v>
      </c>
      <c r="F17" s="2" t="s">
        <v>74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202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46063</v>
      </c>
      <c r="B18" s="2" t="s">
        <v>75</v>
      </c>
      <c r="F18" s="2" t="s">
        <v>65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200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46065</v>
      </c>
      <c r="B19" s="2" t="s">
        <v>79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198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46065</v>
      </c>
      <c r="B20" s="2" t="s">
        <v>113</v>
      </c>
      <c r="F20" s="2" t="s">
        <v>63</v>
      </c>
      <c r="G20" s="29" t="n">
        <v>360</v>
      </c>
      <c r="H20" s="6" t="n">
        <f aca="false">IF(G20&lt;&gt;0,G20*H$2/(100+H$2)," ")</f>
        <v>60</v>
      </c>
      <c r="I20" s="6" t="n">
        <f aca="false">IF((G20&lt;&gt;0),G20-H20," ")</f>
        <v>300</v>
      </c>
      <c r="J20" s="5"/>
      <c r="M20" s="7" t="n">
        <f aca="false">IF(G20&lt;&gt;0,G20-L20," ")</f>
        <v>360</v>
      </c>
      <c r="N20" s="8" t="n">
        <f aca="false">IF((G20-L20)&lt;&gt;0,N$1-A20," ")</f>
        <v>198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n">
        <f aca="false">IF((F20="o"),I20," ")</f>
        <v>300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46067</v>
      </c>
      <c r="B21" s="2" t="s">
        <v>80</v>
      </c>
      <c r="F21" s="2" t="s">
        <v>65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196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n">
        <f aca="false">IF((F21="y"),I21," ")</f>
        <v>15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46067</v>
      </c>
      <c r="B22" s="2" t="s">
        <v>81</v>
      </c>
      <c r="F22" s="2" t="s">
        <v>74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196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46067</v>
      </c>
      <c r="B23" s="2" t="s">
        <v>82</v>
      </c>
      <c r="F23" s="2" t="s">
        <v>74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196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46068</v>
      </c>
      <c r="B24" s="2" t="s">
        <v>19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195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46068</v>
      </c>
      <c r="B25" s="2" t="s">
        <v>83</v>
      </c>
      <c r="F25" s="2" t="s">
        <v>60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195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46068</v>
      </c>
      <c r="B26" s="2" t="s">
        <v>97</v>
      </c>
      <c r="F26" s="2" t="s">
        <v>78</v>
      </c>
      <c r="G26" s="29" t="n">
        <v>420</v>
      </c>
      <c r="H26" s="6" t="n">
        <f aca="false">IF(G26&lt;&gt;0,G26*H$2/(100+H$2)," ")</f>
        <v>70</v>
      </c>
      <c r="I26" s="6" t="n">
        <f aca="false">IF((G26&lt;&gt;0),G26-H26," ")</f>
        <v>350</v>
      </c>
      <c r="J26" s="5"/>
      <c r="M26" s="7" t="n">
        <f aca="false">IF(G26&lt;&gt;0,G26-L26," ")</f>
        <v>420</v>
      </c>
      <c r="N26" s="8" t="n">
        <f aca="false">IF((G26-L26)&lt;&gt;0,N$1-A26," ")</f>
        <v>195</v>
      </c>
      <c r="O26" s="5"/>
      <c r="P26" s="19" t="n">
        <f aca="false">IF((F26="s"),I26," ")</f>
        <v>350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46071</v>
      </c>
      <c r="B27" s="2" t="s">
        <v>116</v>
      </c>
      <c r="F27" s="2" t="s">
        <v>87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192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300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46071</v>
      </c>
      <c r="B28" s="2" t="s">
        <v>107</v>
      </c>
      <c r="F28" s="2" t="s">
        <v>74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192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n">
        <f aca="false">IF((F28="h"),I28," ")</f>
        <v>200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46071</v>
      </c>
      <c r="B29" s="2" t="s">
        <v>84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192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46073</v>
      </c>
      <c r="B30" s="2" t="s">
        <v>85</v>
      </c>
      <c r="F30" s="2" t="s">
        <v>60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190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46073</v>
      </c>
      <c r="B31" s="2" t="s">
        <v>102</v>
      </c>
      <c r="F31" s="2" t="s">
        <v>78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190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46074</v>
      </c>
      <c r="B32" s="2" t="s">
        <v>88</v>
      </c>
      <c r="F32" s="2" t="s">
        <v>74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189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46075</v>
      </c>
      <c r="B33" s="2" t="s">
        <v>89</v>
      </c>
      <c r="F33" s="2" t="s">
        <v>65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188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46078</v>
      </c>
      <c r="B34" s="2" t="s">
        <v>90</v>
      </c>
      <c r="F34" s="2" t="s">
        <v>65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185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46078</v>
      </c>
      <c r="B35" s="2" t="s">
        <v>91</v>
      </c>
      <c r="F35" s="2" t="s">
        <v>24</v>
      </c>
      <c r="G35" s="29" t="n">
        <v>31.5</v>
      </c>
      <c r="H35" s="6" t="n">
        <f aca="false">IF(G35&lt;&gt;0,G35*H$2/(100+H$2)," ")</f>
        <v>5.25</v>
      </c>
      <c r="I35" s="6" t="n">
        <f aca="false">IF((G35&lt;&gt;0),G35-H35," ")</f>
        <v>26.25</v>
      </c>
      <c r="J35" s="5"/>
      <c r="M35" s="7" t="n">
        <f aca="false">IF(G35&lt;&gt;0,G35-L35," ")</f>
        <v>31.5</v>
      </c>
      <c r="N35" s="8" t="n">
        <f aca="false">IF((G35-L35)&lt;&gt;0,N$1-A35," ")</f>
        <v>185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26.25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46081</v>
      </c>
      <c r="B36" s="2" t="s">
        <v>15</v>
      </c>
      <c r="F36" s="2" t="s">
        <v>92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182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46081</v>
      </c>
      <c r="B37" s="2" t="s">
        <v>19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182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621.083333333333</v>
      </c>
      <c r="I1" s="13" t="n">
        <f aca="false">SUM(I2:I200)</f>
        <v>3105.41666666667</v>
      </c>
      <c r="J1" s="15"/>
      <c r="K1" s="16" t="s">
        <v>4</v>
      </c>
      <c r="L1" s="17" t="n">
        <f aca="false">SUM(L5:L300)</f>
        <v>0</v>
      </c>
      <c r="M1" s="17" t="n">
        <f aca="false">SUM(M5:M200)</f>
        <v>3726.5</v>
      </c>
      <c r="N1" s="18" t="n">
        <f aca="true">TODAY()</f>
        <v>46263</v>
      </c>
      <c r="O1" s="15"/>
      <c r="P1" s="13" t="n">
        <f aca="false">SUM(P5:P300)</f>
        <v>250</v>
      </c>
      <c r="Q1" s="13" t="n">
        <f aca="false">SUM(Q5:Q300)</f>
        <v>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252.5</v>
      </c>
      <c r="W1" s="13" t="n">
        <f aca="false">SUM(W2:W300)</f>
        <v>568.75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354.166666666667</v>
      </c>
      <c r="AA1" s="13" t="n">
        <f aca="false">SUM(AA5:AA300)</f>
        <v>95.8333333333333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G2+Feb!A2</f>
        <v>0</v>
      </c>
      <c r="B2" s="44" t="s">
        <v>22</v>
      </c>
      <c r="C2" s="43" t="n">
        <f aca="false">Feb!C2+D1+[1]Mar!$D$1</f>
        <v>0</v>
      </c>
      <c r="D2" s="45" t="s">
        <v>23</v>
      </c>
      <c r="E2" s="20" t="s">
        <v>5</v>
      </c>
      <c r="F2" s="44" t="str">
        <f aca="false">Feb!F2</f>
        <v>v</v>
      </c>
      <c r="G2" s="46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AB1+Feb!AB2</f>
        <v>32500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181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181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46082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181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46082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181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46082</v>
      </c>
      <c r="B9" s="2" t="s">
        <v>66</v>
      </c>
      <c r="F9" s="2" t="s">
        <v>63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181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46082</v>
      </c>
      <c r="B10" s="2" t="s">
        <v>67</v>
      </c>
      <c r="F10" s="2" t="s">
        <v>60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181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46084</v>
      </c>
      <c r="B11" s="2" t="s">
        <v>68</v>
      </c>
      <c r="F11" s="2" t="s">
        <v>63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179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46084</v>
      </c>
      <c r="B12" s="2" t="s">
        <v>69</v>
      </c>
      <c r="F12" s="2" t="s">
        <v>65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179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46086</v>
      </c>
      <c r="B13" s="2" t="s">
        <v>70</v>
      </c>
      <c r="F13" s="2" t="s">
        <v>65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177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46086</v>
      </c>
      <c r="B14" s="2" t="s">
        <v>71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177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46089</v>
      </c>
      <c r="B15" s="2" t="s">
        <v>73</v>
      </c>
      <c r="F15" s="2" t="s">
        <v>74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174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46091</v>
      </c>
      <c r="B16" s="2" t="s">
        <v>75</v>
      </c>
      <c r="F16" s="2" t="s">
        <v>65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172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n">
        <f aca="false">IF((F16="y"),I16," ")</f>
        <v>30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46091</v>
      </c>
      <c r="B17" s="2" t="s">
        <v>83</v>
      </c>
      <c r="F17" s="2" t="s">
        <v>60</v>
      </c>
      <c r="G17" s="29" t="n">
        <v>144</v>
      </c>
      <c r="H17" s="6" t="n">
        <f aca="false">IF(G17&lt;&gt;0,G17*H$2/(100+H$2)," ")</f>
        <v>24</v>
      </c>
      <c r="I17" s="6" t="n">
        <f aca="false">IF((G17&lt;&gt;0),G17-H17," ")</f>
        <v>120</v>
      </c>
      <c r="J17" s="5"/>
      <c r="M17" s="7" t="n">
        <f aca="false">IF(G17&lt;&gt;0,G17-L17," ")</f>
        <v>144</v>
      </c>
      <c r="N17" s="8" t="n">
        <f aca="false">IF((G17-L17)&lt;&gt;0,N$1-A17," ")</f>
        <v>172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n">
        <f aca="false">IF((F17="g"),I17," ")</f>
        <v>120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46093</v>
      </c>
      <c r="B18" s="2" t="s">
        <v>79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170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46095</v>
      </c>
      <c r="B19" s="2" t="s">
        <v>81</v>
      </c>
      <c r="F19" s="2" t="s">
        <v>74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168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46095</v>
      </c>
      <c r="B20" s="2" t="s">
        <v>82</v>
      </c>
      <c r="F20" s="2" t="s">
        <v>74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168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46096</v>
      </c>
      <c r="B21" s="2" t="s">
        <v>19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167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46096</v>
      </c>
      <c r="B22" s="2" t="s">
        <v>83</v>
      </c>
      <c r="F22" s="2" t="s">
        <v>60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167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46097</v>
      </c>
      <c r="B23" s="2" t="s">
        <v>100</v>
      </c>
      <c r="F23" s="2" t="s">
        <v>60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166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46099</v>
      </c>
      <c r="B24" s="2" t="s">
        <v>108</v>
      </c>
      <c r="F24" s="2" t="s">
        <v>78</v>
      </c>
      <c r="G24" s="29" t="n">
        <v>300</v>
      </c>
      <c r="H24" s="6" t="n">
        <f aca="false">IF(G24&lt;&gt;0,G24*H$2/(100+H$2)," ")</f>
        <v>50</v>
      </c>
      <c r="I24" s="6" t="n">
        <f aca="false">IF((G24&lt;&gt;0),G24-H24," ")</f>
        <v>250</v>
      </c>
      <c r="J24" s="5"/>
      <c r="M24" s="7" t="n">
        <f aca="false">IF(G24&lt;&gt;0,G24-L24," ")</f>
        <v>300</v>
      </c>
      <c r="N24" s="8" t="n">
        <f aca="false">IF((G24-L24)&lt;&gt;0,N$1-A24," ")</f>
        <v>164</v>
      </c>
      <c r="O24" s="5"/>
      <c r="P24" s="19" t="n">
        <f aca="false">IF((F24="s"),I24," ")</f>
        <v>250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46099</v>
      </c>
      <c r="B25" s="2" t="s">
        <v>84</v>
      </c>
      <c r="F25" s="2" t="s">
        <v>24</v>
      </c>
      <c r="G25" s="29" t="n">
        <v>96</v>
      </c>
      <c r="H25" s="6" t="n">
        <f aca="false">IF(G25&lt;&gt;0,G25*H$2/(100+H$2)," ")</f>
        <v>16</v>
      </c>
      <c r="I25" s="6" t="n">
        <f aca="false">IF((G25&lt;&gt;0),G25-H25," ")</f>
        <v>80</v>
      </c>
      <c r="J25" s="5"/>
      <c r="M25" s="7" t="n">
        <f aca="false">IF(G25&lt;&gt;0,G25-L25," ")</f>
        <v>96</v>
      </c>
      <c r="N25" s="8" t="n">
        <f aca="false">IF((G25-L25)&lt;&gt;0,N$1-A25," ")</f>
        <v>164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80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46101</v>
      </c>
      <c r="B26" s="2" t="s">
        <v>85</v>
      </c>
      <c r="F26" s="2" t="s">
        <v>60</v>
      </c>
      <c r="G26" s="29" t="n">
        <v>60</v>
      </c>
      <c r="H26" s="6" t="n">
        <f aca="false">IF(G26&lt;&gt;0,G26*H$2/(100+H$2)," ")</f>
        <v>10</v>
      </c>
      <c r="I26" s="6" t="n">
        <f aca="false">IF((G26&lt;&gt;0),G26-H26," ")</f>
        <v>50</v>
      </c>
      <c r="J26" s="5"/>
      <c r="M26" s="7" t="n">
        <f aca="false">IF(G26&lt;&gt;0,G26-L26," ")</f>
        <v>60</v>
      </c>
      <c r="N26" s="8" t="n">
        <f aca="false">IF((G26-L26)&lt;&gt;0,N$1-A26," ")</f>
        <v>162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50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46102</v>
      </c>
      <c r="B27" s="2" t="s">
        <v>88</v>
      </c>
      <c r="F27" s="2" t="s">
        <v>74</v>
      </c>
      <c r="G27" s="29" t="n">
        <v>8</v>
      </c>
      <c r="H27" s="6" t="n">
        <f aca="false">IF(G27&lt;&gt;0,G27*H$2/(100+H$2)," ")</f>
        <v>1.33333333333333</v>
      </c>
      <c r="I27" s="6" t="n">
        <f aca="false">IF((G27&lt;&gt;0),G27-H27," ")</f>
        <v>6.66666666666667</v>
      </c>
      <c r="J27" s="5"/>
      <c r="M27" s="7" t="n">
        <f aca="false">IF(G27&lt;&gt;0,G27-L27," ")</f>
        <v>8</v>
      </c>
      <c r="N27" s="8" t="n">
        <f aca="false">IF((G27-L27)&lt;&gt;0,N$1-A27," ")</f>
        <v>161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n">
        <f aca="false">IF((F27="h"),I27," ")</f>
        <v>6.66666666666667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46103</v>
      </c>
      <c r="B28" s="2" t="s">
        <v>89</v>
      </c>
      <c r="F28" s="2" t="s">
        <v>65</v>
      </c>
      <c r="G28" s="29" t="n">
        <v>18</v>
      </c>
      <c r="H28" s="6" t="n">
        <f aca="false">IF(G28&lt;&gt;0,G28*H$2/(100+H$2)," ")</f>
        <v>3</v>
      </c>
      <c r="I28" s="6" t="n">
        <f aca="false">IF((G28&lt;&gt;0),G28-H28," ")</f>
        <v>15</v>
      </c>
      <c r="J28" s="5"/>
      <c r="M28" s="7" t="n">
        <f aca="false">IF(G28&lt;&gt;0,G28-L28," ")</f>
        <v>18</v>
      </c>
      <c r="N28" s="8" t="n">
        <f aca="false">IF((G28-L28)&lt;&gt;0,N$1-A28," ")</f>
        <v>160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n">
        <f aca="false">IF((F28="y"),I28," ")</f>
        <v>15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46103</v>
      </c>
      <c r="B29" s="2" t="s">
        <v>103</v>
      </c>
      <c r="F29" s="2" t="s">
        <v>24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160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50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46106</v>
      </c>
      <c r="B30" s="2" t="s">
        <v>109</v>
      </c>
      <c r="F30" s="2" t="s">
        <v>58</v>
      </c>
      <c r="G30" s="29" t="n">
        <v>360</v>
      </c>
      <c r="H30" s="6" t="n">
        <f aca="false">IF(G30&lt;&gt;0,G30*H$2/(100+H$2)," ")</f>
        <v>60</v>
      </c>
      <c r="I30" s="6" t="n">
        <f aca="false">IF((G30&lt;&gt;0),G30-H30," ")</f>
        <v>300</v>
      </c>
      <c r="J30" s="5"/>
      <c r="M30" s="7" t="n">
        <f aca="false">IF(G30&lt;&gt;0,G30-L30," ")</f>
        <v>360</v>
      </c>
      <c r="N30" s="8" t="n">
        <f aca="false">IF((G30-L30)&lt;&gt;0,N$1-A30," ")</f>
        <v>157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300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46106</v>
      </c>
      <c r="B31" s="2" t="s">
        <v>90</v>
      </c>
      <c r="F31" s="2" t="s">
        <v>65</v>
      </c>
      <c r="G31" s="29" t="n">
        <v>15</v>
      </c>
      <c r="H31" s="6" t="n">
        <f aca="false">IF(G31&lt;&gt;0,G31*H$2/(100+H$2)," ")</f>
        <v>2.5</v>
      </c>
      <c r="I31" s="6" t="n">
        <f aca="false">IF((G31&lt;&gt;0),G31-H31," ")</f>
        <v>12.5</v>
      </c>
      <c r="J31" s="5"/>
      <c r="M31" s="7" t="n">
        <f aca="false">IF(G31&lt;&gt;0,G31-L31," ")</f>
        <v>15</v>
      </c>
      <c r="N31" s="8" t="n">
        <f aca="false">IF((G31-L31)&lt;&gt;0,N$1-A31," ")</f>
        <v>157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12.5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46106</v>
      </c>
      <c r="B32" s="2" t="s">
        <v>91</v>
      </c>
      <c r="F32" s="2" t="s">
        <v>24</v>
      </c>
      <c r="G32" s="29" t="n">
        <v>58.5</v>
      </c>
      <c r="H32" s="6" t="n">
        <f aca="false">IF(G32&lt;&gt;0,G32*H$2/(100+H$2)," ")</f>
        <v>9.75</v>
      </c>
      <c r="I32" s="6" t="n">
        <f aca="false">IF((G32&lt;&gt;0),G32-H32," ")</f>
        <v>48.75</v>
      </c>
      <c r="J32" s="5"/>
      <c r="M32" s="7" t="n">
        <f aca="false">IF(G32&lt;&gt;0,G32-L32," ")</f>
        <v>58.5</v>
      </c>
      <c r="N32" s="8" t="n">
        <f aca="false">IF((G32-L32)&lt;&gt;0,N$1-A32," ")</f>
        <v>157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n">
        <f aca="false">IF((F32="v"),I32," ")</f>
        <v>48.75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46109</v>
      </c>
      <c r="B33" s="2" t="s">
        <v>19</v>
      </c>
      <c r="F33" s="2" t="s">
        <v>24</v>
      </c>
      <c r="G33" s="29" t="n">
        <v>120</v>
      </c>
      <c r="H33" s="6" t="n">
        <f aca="false">IF(G33&lt;&gt;0,G33*H$2/(100+H$2)," ")</f>
        <v>20</v>
      </c>
      <c r="I33" s="6" t="n">
        <f aca="false">IF((G33&lt;&gt;0),G33-H33," ")</f>
        <v>100</v>
      </c>
      <c r="J33" s="5"/>
      <c r="M33" s="7" t="n">
        <f aca="false">IF(G33&lt;&gt;0,G33-L33," ")</f>
        <v>120</v>
      </c>
      <c r="N33" s="8" t="n">
        <f aca="false">IF((G33-L33)&lt;&gt;0,N$1-A33," ")</f>
        <v>154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100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46112</v>
      </c>
      <c r="B34" s="2" t="s">
        <v>15</v>
      </c>
      <c r="F34" s="2" t="s">
        <v>92</v>
      </c>
      <c r="G34" s="29" t="n">
        <v>300</v>
      </c>
      <c r="H34" s="6" t="n">
        <f aca="false">IF(G34&lt;&gt;0,G34*H$2/(100+H$2)," ")</f>
        <v>50</v>
      </c>
      <c r="I34" s="6" t="n">
        <f aca="false">IF((G34&lt;&gt;0),G34-H34," ")</f>
        <v>250</v>
      </c>
      <c r="J34" s="5"/>
      <c r="M34" s="7" t="n">
        <f aca="false">IF(G34&lt;&gt;0,G34-L34," ")</f>
        <v>300</v>
      </c>
      <c r="N34" s="8" t="n">
        <f aca="false">IF((G34-L34)&lt;&gt;0,N$1-A34," ")</f>
        <v>151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250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46112</v>
      </c>
      <c r="B35" s="2" t="s">
        <v>110</v>
      </c>
      <c r="F35" s="2" t="s">
        <v>92</v>
      </c>
      <c r="G35" s="29" t="n">
        <v>125</v>
      </c>
      <c r="H35" s="6" t="n">
        <f aca="false">IF(G35&lt;&gt;0,G35*H$2/(100+H$2)," ")</f>
        <v>20.8333333333333</v>
      </c>
      <c r="I35" s="6" t="n">
        <f aca="false">IF((G35&lt;&gt;0),G35-H35," ")</f>
        <v>104.166666666667</v>
      </c>
      <c r="J35" s="5"/>
      <c r="M35" s="7" t="n">
        <f aca="false">IF(G35&lt;&gt;0,G35-L35," ")</f>
        <v>125</v>
      </c>
      <c r="N35" s="8" t="n">
        <f aca="false">IF((G35-L35)&lt;&gt;0,N$1-A35," ")</f>
        <v>151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104.166666666667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1710</v>
      </c>
      <c r="H1" s="13" t="n">
        <f aca="false">SUM(H5:H300)</f>
        <v>285</v>
      </c>
      <c r="I1" s="13" t="n">
        <f aca="false">SUM(I5:I300)</f>
        <v>1425</v>
      </c>
      <c r="J1" s="15"/>
      <c r="K1" s="16" t="s">
        <v>4</v>
      </c>
      <c r="L1" s="17" t="n">
        <f aca="false">SUM(L5:L300)</f>
        <v>0</v>
      </c>
      <c r="M1" s="17" t="n">
        <f aca="false">SUM(M5:M300)</f>
        <v>1710</v>
      </c>
      <c r="N1" s="18" t="n">
        <f aca="true">TODAY()</f>
        <v>46263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125</v>
      </c>
      <c r="D5" s="4"/>
      <c r="E5" s="2"/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46263</v>
      </c>
    </row>
    <row r="6" customFormat="false" ht="12" hidden="false" customHeight="false" outlineLevel="0" collapsed="false">
      <c r="A6" s="27"/>
      <c r="B6" s="2" t="s">
        <v>15</v>
      </c>
      <c r="C6" s="3" t="s">
        <v>126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46263</v>
      </c>
    </row>
    <row r="7" customFormat="false" ht="12" hidden="false" customHeight="false" outlineLevel="0" collapsed="false">
      <c r="A7" s="27"/>
      <c r="B7" s="2" t="s">
        <v>85</v>
      </c>
      <c r="C7" s="3" t="s">
        <v>127</v>
      </c>
      <c r="F7" s="2"/>
      <c r="G7" s="6" t="n">
        <v>60</v>
      </c>
      <c r="H7" s="6" t="n">
        <f aca="false">IF(G7&lt;&gt;0,G7*H$2/(100+H$2)," ")</f>
        <v>10</v>
      </c>
      <c r="I7" s="6" t="n">
        <f aca="false">IF((G7&lt;&gt;0),G7-H7," ")</f>
        <v>50</v>
      </c>
      <c r="M7" s="7" t="n">
        <f aca="false">IF(G7&lt;&gt;0,G7-L7," ")</f>
        <v>60</v>
      </c>
      <c r="N7" s="8" t="n">
        <f aca="false">IF((G7-L7)&lt;&gt;0,N$1-A7," ")</f>
        <v>46263</v>
      </c>
    </row>
    <row r="8" customFormat="false" ht="12" hidden="false" customHeight="false" outlineLevel="0" collapsed="false">
      <c r="A8" s="27"/>
      <c r="B8" s="2" t="s">
        <v>19</v>
      </c>
      <c r="C8" s="3" t="s">
        <v>128</v>
      </c>
      <c r="F8" s="2"/>
      <c r="G8" s="6" t="n">
        <v>150</v>
      </c>
      <c r="H8" s="6" t="n">
        <f aca="false">IF(G8&lt;&gt;0,G8*H$2/(100+H$2)," ")</f>
        <v>25</v>
      </c>
      <c r="I8" s="6" t="n">
        <f aca="false">IF((G8&lt;&gt;0),G8-H8," ")</f>
        <v>125</v>
      </c>
      <c r="M8" s="7" t="n">
        <f aca="false">IF(G8&lt;&gt;0,G8-L8," ")</f>
        <v>150</v>
      </c>
      <c r="N8" s="8" t="n">
        <f aca="false">IF((G8-L8)&lt;&gt;0,N$1-A8," ")</f>
        <v>46263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