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<sst xmlns="http://schemas.openxmlformats.org/spreadsheetml/2006/main" count="715" uniqueCount="78">
  <si>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</si>
  <si>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</si>
  <si>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</si>
  <si>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</si>
  <si>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</si>
  <si>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</si>
  <si>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</si>
  <si>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</si>
  <si>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</si>
  <si>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</si>
  <si>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</si>
  <si>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</si>
  <si>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</si>
  <si>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</si>
  <si>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</si>
  <si>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</si>
  <si>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</si>
  <si>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</si>
  <si>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</si>
  <si>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</si>
  <si>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</si>
  <si>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</si>
  <si>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</si>
  <si>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</si>
  <si>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</si>
  <si>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</si>
  <si>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</si>
  <si>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</si>
  <si>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</si>
  <si>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</si>
  <si>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</si>
  <si>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</si>
  <si>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</si>
  <si>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</si>
  <si>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</si>
  <si>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</si>
  <si>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</si>
  <si>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</si>
  <si>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</si>
  <si>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</si>
  <si>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</si>
  <si>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</si>
  <si>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</si>
  <si>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</si>
  <si>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</si>
  <si>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</si>
  <si>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</si>
  <si>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</si>
  <si>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</si>
  <si>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</si>
  <si>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TechParts Ltd</t>
  </si>
  <si>
    <t xml:space="preserve">s</t>
  </si>
  <si>
    <t xml:space="preserve">Landlord</t>
  </si>
  <si>
    <t xml:space="preserve">p</t>
  </si>
  <si>
    <t xml:space="preserve">BT Business</t>
  </si>
  <si>
    <t xml:space="preserve">g</t>
  </si>
  <si>
    <t xml:space="preserve">Shell</t>
  </si>
  <si>
    <t xml:space="preserve">Smith &amp; Co</t>
  </si>
  <si>
    <t xml:space="preserve">l</t>
  </si>
  <si>
    <t xml:space="preserve">Cloud Hosting Inc</t>
  </si>
  <si>
    <t xml:space="preserve">o</t>
  </si>
  <si>
    <t xml:space="preserve">Google Ads</t>
  </si>
  <si>
    <t xml:space="preserve">a</t>
  </si>
  <si>
    <t xml:space="preserve">Dell</t>
  </si>
  <si>
    <t xml:space="preserve">fa</t>
  </si>
  <si>
    <t xml:space="preserve">Freelance Dev Co</t>
  </si>
  <si>
    <t xml:space="preserve">c</t>
  </si>
  <si>
    <t xml:space="preserve">HP Capital</t>
  </si>
  <si>
    <t xml:space="preserve">h</t>
  </si>
  <si>
    <t xml:space="preserve">Toyota</t>
  </si>
  <si>
    <t xml:space="preserve">Casual worker</t>
  </si>
  <si>
    <t xml:space="preserve">w</t>
  </si>
  <si>
    <t xml:space="preserve">IT Fix Ltd</t>
  </si>
  <si>
    <t xml:space="preserve">m</t>
  </si>
  <si>
    <t xml:space="preserve">British Heart Foundation</t>
  </si>
  <si>
    <t xml:space="preserve">y</t>
  </si>
  <si>
    <t xml:space="preserve">LinkedIn</t>
  </si>
  <si>
    <t xml:space="preserve">Building Services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</si>
</sst>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46115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C5" s="28"/>
      <c r="D5" s="4"/>
      <c r="E5" s="2"/>
      <c r="F5" s="2"/>
      <c r="G5" s="29"/>
      <c r="H5" s="6" t="str">
        <f aca="false">IF(G5&lt;&gt;0,G5*H$2/(100+H$2)," ")</f>
        <v> 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2460</v>
      </c>
      <c r="H1" s="13" t="n">
        <f aca="false">SUM(H5:H200)</f>
        <v>0</v>
      </c>
      <c r="I1" s="13" t="n">
        <f aca="false">SUM(I2:I200)</f>
        <v>2460</v>
      </c>
      <c r="J1" s="15"/>
      <c r="K1" s="16" t="s">
        <v>4</v>
      </c>
      <c r="L1" s="17" t="n">
        <f aca="false">SUM(L5:L300)</f>
        <v>0</v>
      </c>
      <c r="M1" s="17" t="n">
        <f aca="false">SUM(M5:M200)</f>
        <v>2460</v>
      </c>
      <c r="N1" s="18" t="n">
        <f aca="true">TODAY()</f>
        <v>46115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1200</v>
      </c>
      <c r="U1" s="13" t="n">
        <f aca="false">SUM(U5:U300)</f>
        <v>0</v>
      </c>
      <c r="V1" s="13" t="n">
        <f aca="false">SUM(V5:V300)</f>
        <v>60</v>
      </c>
      <c r="W1" s="13" t="n">
        <f aca="false">SUM(W2:W300)</f>
        <v>300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</f>
        <v>0</v>
      </c>
      <c r="B2" s="44" t="s">
        <v>14</v>
      </c>
      <c r="C2" s="43" t="n">
        <f aca="false">0+D1+[1]Apr!$D$1</f>
        <v>0</v>
      </c>
      <c r="D2" s="45" t="s">
        <v>15</v>
      </c>
      <c r="E2" s="20" t="s">
        <v>5</v>
      </c>
      <c r="F2" s="44" t="s">
        <v>16</v>
      </c>
      <c r="G2" s="46" t="n">
        <f aca="false">IF(C2&lt;[2]Admin!$F$22,(C2-0)*[2]Admin!$G$21,(C2*[2]Admin!$G$21-(C2-[2]Admin!$F$21)*([2]Admin!$G$21-[2]Admin!$G$22)-0))</f>
        <v>0</v>
      </c>
      <c r="H2" s="21" t="n">
        <f aca="false">IF([1]Apr!$H$4&gt;0,0,[1]Apr!$H$2)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5" t="n">
        <v>45755</v>
      </c>
      <c r="B5" s="2" t="s">
        <v>50</v>
      </c>
      <c r="F5" s="5" t="s">
        <v>51</v>
      </c>
      <c r="G5" s="29" t="n">
        <v>600</v>
      </c>
      <c r="I5" s="6" t="n">
        <f aca="false">IF((G5&lt;&gt;0),G5-H5," ")</f>
        <v>600</v>
      </c>
      <c r="K5" s="6"/>
      <c r="L5" s="6"/>
      <c r="M5" s="7" t="n">
        <f aca="false">IF(G5&lt;&gt;0,G5-L5," ")</f>
        <v>600</v>
      </c>
      <c r="N5" s="8" t="n">
        <f aca="false">IF((G5-L5)&lt;&gt;0,N$1-A22," ")</f>
        <v>46115</v>
      </c>
      <c r="P5" s="19" t="n">
        <f aca="false">IF((F5="s"),I5," ")</f>
        <v>600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45748</v>
      </c>
      <c r="B6" s="2" t="s">
        <v>52</v>
      </c>
      <c r="F6" s="5" t="s">
        <v>53</v>
      </c>
      <c r="G6" s="29" t="n">
        <v>1200</v>
      </c>
      <c r="I6" s="6" t="n">
        <f aca="false">IF((G6&lt;&gt;0),G6-H6," ")</f>
        <v>1200</v>
      </c>
      <c r="J6" s="5"/>
      <c r="M6" s="7" t="n">
        <f aca="false">IF(G6&lt;&gt;0,G6-L6," ")</f>
        <v>1200</v>
      </c>
      <c r="N6" s="8" t="n">
        <f aca="false">IF((G6-L6)&lt;&gt;0,N$1-A6," ")</f>
        <v>367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n">
        <f aca="false">IF((F6="p"),I6," ")</f>
        <v>1200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45772</v>
      </c>
      <c r="B7" s="2" t="s">
        <v>54</v>
      </c>
      <c r="F7" s="5" t="s">
        <v>55</v>
      </c>
      <c r="G7" s="29" t="n">
        <v>60</v>
      </c>
      <c r="I7" s="6" t="n">
        <f aca="false">IF((G7&lt;&gt;0),G7-H7," ")</f>
        <v>60</v>
      </c>
      <c r="J7" s="5"/>
      <c r="M7" s="7" t="n">
        <f aca="false">IF(G7&lt;&gt;0,G7-L7," ")</f>
        <v>60</v>
      </c>
      <c r="N7" s="8" t="n">
        <f aca="false">IF((G7-L7)&lt;&gt;0,N$1-A7," ")</f>
        <v>343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60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45762</v>
      </c>
      <c r="B8" s="2" t="s">
        <v>56</v>
      </c>
      <c r="F8" s="5" t="s">
        <v>16</v>
      </c>
      <c r="G8" s="29" t="n">
        <v>300</v>
      </c>
      <c r="I8" s="6" t="n">
        <f aca="false">IF((G8&lt;&gt;0),G8-H8," ")</f>
        <v>300</v>
      </c>
      <c r="J8" s="5"/>
      <c r="M8" s="7" t="n">
        <f aca="false">IF(G8&lt;&gt;0,G8-L8," ")</f>
        <v>300</v>
      </c>
      <c r="N8" s="8" t="n">
        <f aca="false">IF((G8-L8)&lt;&gt;0,N$1-A8," ")</f>
        <v>353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n">
        <f aca="false">IF((F8="v"),I8," ")</f>
        <v>300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45775</v>
      </c>
      <c r="B9" s="2" t="s">
        <v>57</v>
      </c>
      <c r="F9" s="5" t="s">
        <v>58</v>
      </c>
      <c r="G9" s="29" t="n">
        <v>300</v>
      </c>
      <c r="I9" s="6" t="n">
        <f aca="false">IF((G9&lt;&gt;0),G9-H9," ")</f>
        <v>300</v>
      </c>
      <c r="J9" s="5"/>
      <c r="M9" s="7" t="n">
        <f aca="false">IF(G9&lt;&gt;0,G9-L9," ")</f>
        <v>300</v>
      </c>
      <c r="N9" s="8" t="n">
        <f aca="false">IF((G9-L9)&lt;&gt;0,N$1-A9," ")</f>
        <v>340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n">
        <f aca="false">IF((F9="l"),I9," ")</f>
        <v>300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3120</v>
      </c>
      <c r="H1" s="13" t="n">
        <f aca="false">SUM(H5:H200)</f>
        <v>0</v>
      </c>
      <c r="I1" s="13" t="n">
        <f aca="false">SUM(I2:I200)</f>
        <v>3120</v>
      </c>
      <c r="J1" s="15"/>
      <c r="K1" s="16" t="s">
        <v>4</v>
      </c>
      <c r="L1" s="17" t="n">
        <f aca="false">SUM(L5:L300)</f>
        <v>0</v>
      </c>
      <c r="M1" s="17" t="n">
        <f aca="false">SUM(M5:M200)</f>
        <v>3120</v>
      </c>
      <c r="N1" s="18" t="n">
        <f aca="true">TODAY()</f>
        <v>46115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360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60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600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1800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G2+Apr!A2</f>
        <v>0</v>
      </c>
      <c r="B2" s="44" t="s">
        <v>14</v>
      </c>
      <c r="C2" s="43" t="n">
        <f aca="false">Apr!C2+D1+[1]May!$D$1</f>
        <v>0</v>
      </c>
      <c r="D2" s="45" t="s">
        <v>15</v>
      </c>
      <c r="E2" s="20" t="s">
        <v>5</v>
      </c>
      <c r="F2" s="44" t="str">
        <f aca="false">Apr!F2</f>
        <v>v</v>
      </c>
      <c r="G2" s="46" t="n">
        <f aca="false">IF(C2&lt;[2]Admin!$F$22,(C2-Apr!C2)*[2]Admin!$G$21,C2*[2]Admin!$G$21-(C2-[2]Admin!$F$21)*([2]Admin!$G$21-[2]Admin!$G$22)-Apr!G2)</f>
        <v>0</v>
      </c>
      <c r="H2" s="21" t="n">
        <f aca="false">IF([1]May!$H$4&gt;0,0,[1]May!$H$2)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AB1+Apr!AB2</f>
        <v>1800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45797</v>
      </c>
      <c r="B5" s="5" t="s">
        <v>59</v>
      </c>
      <c r="F5" s="5" t="s">
        <v>60</v>
      </c>
      <c r="G5" s="29" t="n">
        <v>360</v>
      </c>
      <c r="I5" s="6" t="n">
        <f aca="false">IF((G5&lt;&gt;0),G5-H5," ")</f>
        <v>360</v>
      </c>
      <c r="K5" s="6"/>
      <c r="L5" s="6"/>
      <c r="M5" s="7" t="n">
        <f aca="false">IF(G5&lt;&gt;0,G5-L5," ")</f>
        <v>360</v>
      </c>
      <c r="N5" s="8" t="n">
        <f aca="false">IF((G5-L5)&lt;&gt;0,N$1-A5," ")</f>
        <v>318</v>
      </c>
      <c r="P5" s="19" t="str">
        <f aca="false">IF((F5="s"),I5," ")</f>
        <v> </v>
      </c>
      <c r="Q5" s="19" t="str">
        <f aca="false">IF((F5="c"),I5," ")</f>
        <v> </v>
      </c>
      <c r="R5" s="19" t="n">
        <f aca="false">IF((F5="o"),I5," ")</f>
        <v>360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45802</v>
      </c>
      <c r="B6" s="2" t="s">
        <v>54</v>
      </c>
      <c r="F6" s="5" t="s">
        <v>55</v>
      </c>
      <c r="G6" s="29" t="n">
        <v>60</v>
      </c>
      <c r="I6" s="6" t="n">
        <f aca="false">IF((G6&lt;&gt;0),G6-H6," ")</f>
        <v>60</v>
      </c>
      <c r="J6" s="5"/>
      <c r="M6" s="7" t="n">
        <f aca="false">IF(G6&lt;&gt;0,G6-L6," ")</f>
        <v>60</v>
      </c>
      <c r="N6" s="8" t="n">
        <f aca="false">IF((G6-L6)&lt;&gt;0,N$1-A6," ")</f>
        <v>313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60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45778</v>
      </c>
      <c r="B7" s="2" t="s">
        <v>61</v>
      </c>
      <c r="F7" s="5" t="s">
        <v>62</v>
      </c>
      <c r="G7" s="29" t="n">
        <v>600</v>
      </c>
      <c r="I7" s="6" t="n">
        <f aca="false">IF((G7&lt;&gt;0),G7-H7," ")</f>
        <v>600</v>
      </c>
      <c r="J7" s="5"/>
      <c r="M7" s="7" t="n">
        <f aca="false">IF(G7&lt;&gt;0,G7-L7," ")</f>
        <v>600</v>
      </c>
      <c r="N7" s="8" t="n">
        <f aca="false">IF((G7-L7)&lt;&gt;0,N$1-A7," ")</f>
        <v>337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n">
        <f aca="false">IF((F7="a"),I7," ")</f>
        <v>600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45805</v>
      </c>
      <c r="B8" s="2" t="s">
        <v>57</v>
      </c>
      <c r="F8" s="5" t="s">
        <v>58</v>
      </c>
      <c r="G8" s="29" t="n">
        <v>300</v>
      </c>
      <c r="I8" s="6" t="n">
        <f aca="false">IF((G8&lt;&gt;0),G8-H8," ")</f>
        <v>300</v>
      </c>
      <c r="J8" s="5"/>
      <c r="M8" s="7" t="n">
        <f aca="false">IF(G8&lt;&gt;0,G8-L8," ")</f>
        <v>300</v>
      </c>
      <c r="N8" s="8" t="n">
        <f aca="false">IF((G8-L8)&lt;&gt;0,N$1-A8," ")</f>
        <v>310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n">
        <f aca="false">IF((F8="l"),I8," ")</f>
        <v>300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45782</v>
      </c>
      <c r="B9" s="2" t="s">
        <v>63</v>
      </c>
      <c r="F9" s="5" t="s">
        <v>64</v>
      </c>
      <c r="G9" s="29" t="n">
        <v>1800</v>
      </c>
      <c r="I9" s="6" t="n">
        <f aca="false">IF((G9&lt;&gt;0),G9-H9," ")</f>
        <v>1800</v>
      </c>
      <c r="J9" s="5"/>
      <c r="M9" s="7" t="n">
        <f aca="false">IF(G9&lt;&gt;0,G9-L9," ")</f>
        <v>1800</v>
      </c>
      <c r="N9" s="8" t="n">
        <f aca="false">IF((G9-L9)&lt;&gt;0,N$1-A9," ")</f>
        <v>333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n">
        <f aca="false">IF((F9="fa"),I9," ")</f>
        <v>1800</v>
      </c>
    </row>
    <row r="10" customFormat="false" ht="12" hidden="false" customHeight="false" outlineLevel="0" collapsed="false">
      <c r="A10" s="27"/>
      <c r="F10" s="2"/>
      <c r="G10" s="29"/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4680</v>
      </c>
      <c r="H1" s="13" t="n">
        <f aca="false">SUM(H5:H200)</f>
        <v>0</v>
      </c>
      <c r="I1" s="13" t="n">
        <f aca="false">SUM(I2:I200)</f>
        <v>4680</v>
      </c>
      <c r="J1" s="15"/>
      <c r="K1" s="16" t="s">
        <v>4</v>
      </c>
      <c r="L1" s="17" t="n">
        <f aca="false">SUM(L5:L300)</f>
        <v>0</v>
      </c>
      <c r="M1" s="17" t="n">
        <f aca="false">SUM(M5:M200)</f>
        <v>4680</v>
      </c>
      <c r="N1" s="18" t="n">
        <f aca="true">TODAY()</f>
        <v>46115</v>
      </c>
      <c r="O1" s="15"/>
      <c r="P1" s="13" t="n">
        <f aca="false">SUM(P5:P300)</f>
        <v>0</v>
      </c>
      <c r="Q1" s="13" t="n">
        <f aca="false">SUM(Q5:Q300)</f>
        <v>3600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60</v>
      </c>
      <c r="W1" s="13" t="n">
        <f aca="false">SUM(W2:W300)</f>
        <v>0</v>
      </c>
      <c r="X1" s="13" t="n">
        <f aca="false">SUM(X5:X300)</f>
        <v>720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G2+May!A2</f>
        <v>0</v>
      </c>
      <c r="B2" s="44" t="s">
        <v>14</v>
      </c>
      <c r="C2" s="43" t="n">
        <f aca="false">May!C2+D1+[1]Jun!$D$1</f>
        <v>0</v>
      </c>
      <c r="D2" s="45" t="s">
        <v>15</v>
      </c>
      <c r="E2" s="20" t="s">
        <v>5</v>
      </c>
      <c r="F2" s="44" t="str">
        <f aca="false">May!F2</f>
        <v>v</v>
      </c>
      <c r="G2" s="46" t="n">
        <f aca="false">IF(C2&lt;[2]Admin!$F$22,(C2-May!C2)*[2]Admin!$G$21,C2*[2]Admin!$G$21-(C2-[2]Admin!$F$21)*([2]Admin!$G$21-[2]Admin!$G$22)-May!A2)</f>
        <v>0</v>
      </c>
      <c r="H2" s="21" t="n">
        <f aca="false">IF([1]Jun!$H$4&gt;0,0,[1]Jun!$H$2)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AB1+May!AB2</f>
        <v>1800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45823</v>
      </c>
      <c r="B5" s="5" t="s">
        <v>65</v>
      </c>
      <c r="F5" s="5" t="s">
        <v>66</v>
      </c>
      <c r="G5" s="29" t="n">
        <v>3600</v>
      </c>
      <c r="I5" s="6" t="n">
        <f aca="false">IF((G5&lt;&gt;0),G5-H5," ")</f>
        <v>3600</v>
      </c>
      <c r="K5" s="6"/>
      <c r="L5" s="6"/>
      <c r="M5" s="7" t="n">
        <f aca="false">IF(G5&lt;&gt;0,G5-L5," ")</f>
        <v>3600</v>
      </c>
      <c r="N5" s="8" t="n">
        <f aca="false">IF((G5-L5)&lt;&gt;0,N$1-A5," ")</f>
        <v>292</v>
      </c>
      <c r="P5" s="19" t="str">
        <f aca="false">IF((F5="s"),I5," ")</f>
        <v> </v>
      </c>
      <c r="Q5" s="19" t="n">
        <f aca="false">IF((F5="c"),I5," ")</f>
        <v>3600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45833</v>
      </c>
      <c r="B6" s="2" t="s">
        <v>54</v>
      </c>
      <c r="F6" s="5" t="s">
        <v>55</v>
      </c>
      <c r="G6" s="29" t="n">
        <v>60</v>
      </c>
      <c r="I6" s="6" t="n">
        <f aca="false">IF((G6&lt;&gt;0),G6-H6," ")</f>
        <v>60</v>
      </c>
      <c r="J6" s="5"/>
      <c r="M6" s="7" t="n">
        <f aca="false">IF(G6&lt;&gt;0,G6-L6," ")</f>
        <v>60</v>
      </c>
      <c r="N6" s="8" t="n">
        <f aca="false">IF((G6-L6)&lt;&gt;0,N$1-A6," ")</f>
        <v>282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60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45809</v>
      </c>
      <c r="B7" s="2" t="s">
        <v>67</v>
      </c>
      <c r="F7" s="5" t="s">
        <v>68</v>
      </c>
      <c r="G7" s="29" t="n">
        <v>720</v>
      </c>
      <c r="I7" s="6" t="n">
        <f aca="false">IF((G7&lt;&gt;0),G7-H7," ")</f>
        <v>720</v>
      </c>
      <c r="J7" s="5"/>
      <c r="M7" s="7" t="n">
        <f aca="false">IF(G7&lt;&gt;0,G7-L7," ")</f>
        <v>720</v>
      </c>
      <c r="N7" s="8" t="n">
        <f aca="false">IF((G7-L7)&lt;&gt;0,N$1-A7," ")</f>
        <v>306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n">
        <f aca="false">IF((F7="h"),I7," ")</f>
        <v>720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45836</v>
      </c>
      <c r="B8" s="2" t="s">
        <v>57</v>
      </c>
      <c r="F8" s="5" t="s">
        <v>58</v>
      </c>
      <c r="G8" s="29" t="n">
        <v>300</v>
      </c>
      <c r="I8" s="6" t="n">
        <f aca="false">IF((G8&lt;&gt;0),G8-H8," ")</f>
        <v>300</v>
      </c>
      <c r="J8" s="5"/>
      <c r="M8" s="7" t="n">
        <f aca="false">IF(G8&lt;&gt;0,G8-L8," ")</f>
        <v>300</v>
      </c>
      <c r="N8" s="8" t="n">
        <f aca="false">IF((G8-L8)&lt;&gt;0,N$1-A8," ")</f>
        <v>279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n">
        <f aca="false">IF((F8="l"),I8," ")</f>
        <v>300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19860</v>
      </c>
      <c r="H1" s="13" t="n">
        <f aca="false">SUM(H5:H200)</f>
        <v>0</v>
      </c>
      <c r="I1" s="13" t="n">
        <f aca="false">SUM(I2:I200)</f>
        <v>19860</v>
      </c>
      <c r="J1" s="15"/>
      <c r="K1" s="16" t="s">
        <v>4</v>
      </c>
      <c r="L1" s="17" t="n">
        <f aca="false">SUM(L5:L300)</f>
        <v>0</v>
      </c>
      <c r="M1" s="17" t="n">
        <f aca="false">SUM(M5:M200)</f>
        <v>19860</v>
      </c>
      <c r="N1" s="18" t="n">
        <f aca="true">TODAY()</f>
        <v>46115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1200</v>
      </c>
      <c r="U1" s="13" t="n">
        <f aca="false">SUM(U5:U300)</f>
        <v>0</v>
      </c>
      <c r="V1" s="13" t="n">
        <f aca="false">SUM(V5:V300)</f>
        <v>60</v>
      </c>
      <c r="W1" s="13" t="n">
        <f aca="false">SUM(W2:W300)</f>
        <v>300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18000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G2+Jun!A2</f>
        <v>0</v>
      </c>
      <c r="B2" s="44" t="s">
        <v>14</v>
      </c>
      <c r="C2" s="43" t="n">
        <f aca="false">Jun!C2+D1+[1]Jul!$D$1</f>
        <v>0</v>
      </c>
      <c r="D2" s="45" t="s">
        <v>15</v>
      </c>
      <c r="E2" s="20" t="s">
        <v>5</v>
      </c>
      <c r="F2" s="44" t="str">
        <f aca="false">Jun!F2</f>
        <v>v</v>
      </c>
      <c r="G2" s="46" t="n">
        <f aca="false">IF(C2&lt;[2]Admin!$F$22,(C2-Jun!C2)*[2]Admin!$G$21,C2*[2]Admin!$G$21-(C2-[2]Admin!$F$21)*([2]Admin!$G$21-[2]Admin!$G$22)-Jun!A2)</f>
        <v>0</v>
      </c>
      <c r="H2" s="21" t="n">
        <f aca="false">IF([1]Jul!$H$4&gt;0,0,[1]Jul!$H$2)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AB1+Jun!AB2</f>
        <v>19800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45839</v>
      </c>
      <c r="B5" s="5" t="s">
        <v>52</v>
      </c>
      <c r="F5" s="5" t="s">
        <v>53</v>
      </c>
      <c r="G5" s="29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276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1200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45863</v>
      </c>
      <c r="B6" s="2" t="s">
        <v>54</v>
      </c>
      <c r="F6" s="5" t="s">
        <v>55</v>
      </c>
      <c r="G6" s="29" t="n">
        <v>60</v>
      </c>
      <c r="I6" s="6" t="n">
        <f aca="false">IF((G6&lt;&gt;0),G6-H6," ")</f>
        <v>60</v>
      </c>
      <c r="J6" s="5"/>
      <c r="M6" s="7" t="n">
        <f aca="false">IF(G6&lt;&gt;0,G6-L6," ")</f>
        <v>60</v>
      </c>
      <c r="N6" s="8" t="n">
        <f aca="false">IF((G6-L6)&lt;&gt;0,N$1-A6," ")</f>
        <v>252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60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45853</v>
      </c>
      <c r="B7" s="2" t="s">
        <v>56</v>
      </c>
      <c r="F7" s="5" t="s">
        <v>16</v>
      </c>
      <c r="G7" s="29" t="n">
        <v>300</v>
      </c>
      <c r="I7" s="6" t="n">
        <f aca="false">IF((G7&lt;&gt;0),G7-H7," ")</f>
        <v>300</v>
      </c>
      <c r="J7" s="5"/>
      <c r="M7" s="7" t="n">
        <f aca="false">IF(G7&lt;&gt;0,G7-L7," ")</f>
        <v>300</v>
      </c>
      <c r="N7" s="8" t="n">
        <f aca="false">IF((G7-L7)&lt;&gt;0,N$1-A7," ")</f>
        <v>262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n">
        <f aca="false">IF((F7="v"),I7," ")</f>
        <v>300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45866</v>
      </c>
      <c r="B8" s="2" t="s">
        <v>57</v>
      </c>
      <c r="F8" s="5" t="s">
        <v>58</v>
      </c>
      <c r="G8" s="29" t="n">
        <v>300</v>
      </c>
      <c r="I8" s="6" t="n">
        <f aca="false">IF((G8&lt;&gt;0),G8-H8," ")</f>
        <v>300</v>
      </c>
      <c r="J8" s="5"/>
      <c r="M8" s="7" t="n">
        <f aca="false">IF(G8&lt;&gt;0,G8-L8," ")</f>
        <v>300</v>
      </c>
      <c r="N8" s="8" t="n">
        <f aca="false">IF((G8-L8)&lt;&gt;0,N$1-A8," ")</f>
        <v>249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n">
        <f aca="false">IF((F8="l"),I8," ")</f>
        <v>300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45839</v>
      </c>
      <c r="B9" s="2" t="s">
        <v>69</v>
      </c>
      <c r="F9" s="5" t="s">
        <v>64</v>
      </c>
      <c r="G9" s="29" t="n">
        <v>18000</v>
      </c>
      <c r="I9" s="6" t="n">
        <f aca="false">IF((G9&lt;&gt;0),G9-H9," ")</f>
        <v>18000</v>
      </c>
      <c r="J9" s="5"/>
      <c r="M9" s="7" t="n">
        <f aca="false">IF(G9&lt;&gt;0,G9-L9," ")</f>
        <v>18000</v>
      </c>
      <c r="N9" s="8" t="n">
        <f aca="false">IF((G9-L9)&lt;&gt;0,N$1-A9," ")</f>
        <v>276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n">
        <f aca="false">IF((F9="fa"),I9," ")</f>
        <v>18000</v>
      </c>
    </row>
    <row r="10" customFormat="false" ht="12" hidden="false" customHeight="false" outlineLevel="0" collapsed="false">
      <c r="A10" s="27"/>
      <c r="F10" s="2"/>
      <c r="G10" s="29"/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1160</v>
      </c>
      <c r="H1" s="13" t="n">
        <f aca="false">SUM(H5:H200)</f>
        <v>0</v>
      </c>
      <c r="I1" s="13" t="n">
        <f aca="false">SUM(I2:I200)</f>
        <v>1160</v>
      </c>
      <c r="J1" s="15"/>
      <c r="K1" s="16" t="s">
        <v>4</v>
      </c>
      <c r="L1" s="17" t="n">
        <f aca="false">SUM(L5:L300)</f>
        <v>0</v>
      </c>
      <c r="M1" s="17" t="n">
        <f aca="false">SUM(M5:M200)</f>
        <v>1160</v>
      </c>
      <c r="N1" s="18" t="n">
        <f aca="true">TODAY()</f>
        <v>46115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800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60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G2+Jul!A2</f>
        <v>0</v>
      </c>
      <c r="B2" s="44" t="s">
        <v>14</v>
      </c>
      <c r="C2" s="43" t="n">
        <f aca="false">Jul!C2+D1+[1]Aug!$D$1</f>
        <v>0</v>
      </c>
      <c r="D2" s="45" t="s">
        <v>15</v>
      </c>
      <c r="E2" s="20" t="s">
        <v>5</v>
      </c>
      <c r="F2" s="44" t="str">
        <f aca="false">Jul!F2</f>
        <v>v</v>
      </c>
      <c r="G2" s="46" t="n">
        <f aca="false">IF(C2&lt;[2]Admin!$F$22,(C2-Jul!C2)*[2]Admin!$G$21,C2*[2]Admin!$G$21-(C2-[2]Admin!$F$21)*([2]Admin!$G$21-[2]Admin!$G$22)-Jul!A2)</f>
        <v>0</v>
      </c>
      <c r="H2" s="21" t="n">
        <f aca="false">IF([1]Aug!$H$4&gt;0,0,[1]Aug!$H$2)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AB1+Jul!AB2</f>
        <v>19800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45894</v>
      </c>
      <c r="B5" s="5" t="s">
        <v>70</v>
      </c>
      <c r="F5" s="5" t="s">
        <v>71</v>
      </c>
      <c r="G5" s="29" t="n">
        <v>800</v>
      </c>
      <c r="I5" s="6" t="n">
        <f aca="false">IF((G5&lt;&gt;0),G5-H5," ")</f>
        <v>800</v>
      </c>
      <c r="K5" s="6"/>
      <c r="L5" s="6"/>
      <c r="M5" s="7" t="n">
        <f aca="false">IF(G5&lt;&gt;0,G5-L5," ")</f>
        <v>800</v>
      </c>
      <c r="N5" s="8" t="n">
        <f aca="false">IF((G5-L5)&lt;&gt;0,N$1-A5," ")</f>
        <v>221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n">
        <f aca="false">IF((F5="w"),I5," ")</f>
        <v>800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45894</v>
      </c>
      <c r="B6" s="2" t="s">
        <v>54</v>
      </c>
      <c r="F6" s="5" t="s">
        <v>55</v>
      </c>
      <c r="G6" s="29" t="n">
        <v>60</v>
      </c>
      <c r="I6" s="6" t="n">
        <f aca="false">IF((G6&lt;&gt;0),G6-H6," ")</f>
        <v>60</v>
      </c>
      <c r="J6" s="5"/>
      <c r="M6" s="7" t="n">
        <f aca="false">IF(G6&lt;&gt;0,G6-L6," ")</f>
        <v>60</v>
      </c>
      <c r="N6" s="8" t="n">
        <f aca="false">IF((G6-L6)&lt;&gt;0,N$1-A6," ")</f>
        <v>221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60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45897</v>
      </c>
      <c r="B7" s="2" t="s">
        <v>57</v>
      </c>
      <c r="F7" s="5" t="s">
        <v>58</v>
      </c>
      <c r="G7" s="29" t="n">
        <v>300</v>
      </c>
      <c r="I7" s="6" t="n">
        <f aca="false">IF((G7&lt;&gt;0),G7-H7," ")</f>
        <v>300</v>
      </c>
      <c r="J7" s="5"/>
      <c r="M7" s="7" t="n">
        <f aca="false">IF(G7&lt;&gt;0,G7-L7," ")</f>
        <v>300</v>
      </c>
      <c r="N7" s="8" t="n">
        <f aca="false">IF((G7-L7)&lt;&gt;0,N$1-A7," ")</f>
        <v>218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n">
        <f aca="false">IF((F7="l"),I7," ")</f>
        <v>300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3960</v>
      </c>
      <c r="H1" s="13" t="n">
        <f aca="false">SUM(H5:H200)</f>
        <v>0</v>
      </c>
      <c r="I1" s="13" t="n">
        <f aca="false">SUM(I2:I200)</f>
        <v>3960</v>
      </c>
      <c r="J1" s="15"/>
      <c r="K1" s="16" t="s">
        <v>4</v>
      </c>
      <c r="L1" s="17" t="n">
        <f aca="false">SUM(L5:L300)</f>
        <v>0</v>
      </c>
      <c r="M1" s="17" t="n">
        <f aca="false">SUM(M5:M200)</f>
        <v>3960</v>
      </c>
      <c r="N1" s="18" t="n">
        <f aca="true">TODAY()</f>
        <v>46115</v>
      </c>
      <c r="O1" s="15"/>
      <c r="P1" s="13" t="n">
        <f aca="false">SUM(P5:P300)</f>
        <v>0</v>
      </c>
      <c r="Q1" s="13" t="n">
        <f aca="false">SUM(Q5:Q300)</f>
        <v>2400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480</v>
      </c>
      <c r="V1" s="13" t="n">
        <f aca="false">SUM(V5:V300)</f>
        <v>60</v>
      </c>
      <c r="W1" s="13" t="n">
        <f aca="false">SUM(W2:W300)</f>
        <v>0</v>
      </c>
      <c r="X1" s="13" t="n">
        <f aca="false">SUM(X5:X300)</f>
        <v>720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G2+Aug!A2</f>
        <v>0</v>
      </c>
      <c r="B2" s="44" t="s">
        <v>14</v>
      </c>
      <c r="C2" s="43" t="n">
        <f aca="false">Aug!C2+D1+[1]Sep!$D$1</f>
        <v>0</v>
      </c>
      <c r="D2" s="45" t="s">
        <v>15</v>
      </c>
      <c r="E2" s="20" t="s">
        <v>5</v>
      </c>
      <c r="F2" s="44" t="str">
        <f aca="false">Aug!F2</f>
        <v>v</v>
      </c>
      <c r="G2" s="46" t="n">
        <f aca="false">IF(C2&lt;[2]Admin!$F$22,(C2-Aug!C2)*[2]Admin!$G$21,C2*[2]Admin!$G$21-(C2-[2]Admin!$F$21)*([2]Admin!$G$21-[2]Admin!$G$22)-Aug!A2)</f>
        <v>0</v>
      </c>
      <c r="H2" s="21" t="n">
        <f aca="false">IF([1]Sep!$H$4&gt;0,0,[1]Sep!$H$2)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AB1+Aug!AB2</f>
        <v>19800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45920</v>
      </c>
      <c r="B5" s="5" t="s">
        <v>65</v>
      </c>
      <c r="F5" s="5" t="s">
        <v>66</v>
      </c>
      <c r="G5" s="29" t="n">
        <v>2400</v>
      </c>
      <c r="I5" s="6" t="n">
        <f aca="false">IF((G5&lt;&gt;0),G5-H5," ")</f>
        <v>2400</v>
      </c>
      <c r="K5" s="6"/>
      <c r="L5" s="6"/>
      <c r="M5" s="7" t="n">
        <f aca="false">IF(G5&lt;&gt;0,G5-L5," ")</f>
        <v>2400</v>
      </c>
      <c r="N5" s="8" t="n">
        <f aca="false">IF((G5-L5)&lt;&gt;0,N$1-A5," ")</f>
        <v>195</v>
      </c>
      <c r="P5" s="19" t="str">
        <f aca="false">IF((F5="s"),I5," ")</f>
        <v> </v>
      </c>
      <c r="Q5" s="19" t="n">
        <f aca="false">IF((F5="c"),I5," ")</f>
        <v>2400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45910</v>
      </c>
      <c r="B6" s="2" t="s">
        <v>72</v>
      </c>
      <c r="F6" s="5" t="s">
        <v>73</v>
      </c>
      <c r="G6" s="29" t="n">
        <v>480</v>
      </c>
      <c r="I6" s="6" t="n">
        <f aca="false">IF((G6&lt;&gt;0),G6-H6," ")</f>
        <v>480</v>
      </c>
      <c r="J6" s="5"/>
      <c r="M6" s="7" t="n">
        <f aca="false">IF(G6&lt;&gt;0,G6-L6," ")</f>
        <v>480</v>
      </c>
      <c r="N6" s="8" t="n">
        <f aca="false">IF((G6-L6)&lt;&gt;0,N$1-A6," ")</f>
        <v>205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n">
        <f aca="false">IF((F6="m"),I6," ")</f>
        <v>480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45925</v>
      </c>
      <c r="B7" s="2" t="s">
        <v>54</v>
      </c>
      <c r="F7" s="5" t="s">
        <v>55</v>
      </c>
      <c r="G7" s="29" t="n">
        <v>60</v>
      </c>
      <c r="I7" s="6" t="n">
        <f aca="false">IF((G7&lt;&gt;0),G7-H7," ")</f>
        <v>60</v>
      </c>
      <c r="J7" s="5"/>
      <c r="M7" s="7" t="n">
        <f aca="false">IF(G7&lt;&gt;0,G7-L7," ")</f>
        <v>60</v>
      </c>
      <c r="N7" s="8" t="n">
        <f aca="false">IF((G7-L7)&lt;&gt;0,N$1-A7," ")</f>
        <v>190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60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45901</v>
      </c>
      <c r="B8" s="2" t="s">
        <v>67</v>
      </c>
      <c r="F8" s="5" t="s">
        <v>68</v>
      </c>
      <c r="G8" s="29" t="n">
        <v>720</v>
      </c>
      <c r="I8" s="6" t="n">
        <f aca="false">IF((G8&lt;&gt;0),G8-H8," ")</f>
        <v>720</v>
      </c>
      <c r="J8" s="5"/>
      <c r="M8" s="7" t="n">
        <f aca="false">IF(G8&lt;&gt;0,G8-L8," ")</f>
        <v>720</v>
      </c>
      <c r="N8" s="8" t="n">
        <f aca="false">IF((G8-L8)&lt;&gt;0,N$1-A8," ")</f>
        <v>214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n">
        <f aca="false">IF((F8="h"),I8," ")</f>
        <v>720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45928</v>
      </c>
      <c r="B9" s="2" t="s">
        <v>57</v>
      </c>
      <c r="F9" s="5" t="s">
        <v>58</v>
      </c>
      <c r="G9" s="29" t="n">
        <v>300</v>
      </c>
      <c r="I9" s="6" t="n">
        <f aca="false">IF((G9&lt;&gt;0),G9-H9," ")</f>
        <v>300</v>
      </c>
      <c r="J9" s="5"/>
      <c r="M9" s="7" t="n">
        <f aca="false">IF(G9&lt;&gt;0,G9-L9," ")</f>
        <v>300</v>
      </c>
      <c r="N9" s="8" t="n">
        <f aca="false">IF((G9-L9)&lt;&gt;0,N$1-A9," ")</f>
        <v>187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n">
        <f aca="false">IF((F9="l"),I9," ")</f>
        <v>300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2340</v>
      </c>
      <c r="H1" s="13" t="n">
        <f aca="false">SUM(H5:H200)</f>
        <v>0</v>
      </c>
      <c r="I1" s="13" t="n">
        <f aca="false">SUM(I2:I200)</f>
        <v>2340</v>
      </c>
      <c r="J1" s="15"/>
      <c r="K1" s="16" t="s">
        <v>4</v>
      </c>
      <c r="L1" s="17" t="n">
        <f aca="false">SUM(L5:L300)</f>
        <v>0</v>
      </c>
      <c r="M1" s="17" t="n">
        <f aca="false">SUM(M5:M200)</f>
        <v>2340</v>
      </c>
      <c r="N1" s="18" t="n">
        <f aca="true">TODAY()</f>
        <v>46115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1200</v>
      </c>
      <c r="U1" s="13" t="n">
        <f aca="false">SUM(U5:U300)</f>
        <v>0</v>
      </c>
      <c r="V1" s="13" t="n">
        <f aca="false">SUM(V5:V300)</f>
        <v>60</v>
      </c>
      <c r="W1" s="13" t="n">
        <f aca="false">SUM(W2:W300)</f>
        <v>300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G2+Sep!A2</f>
        <v>0</v>
      </c>
      <c r="B2" s="44" t="s">
        <v>14</v>
      </c>
      <c r="C2" s="43" t="n">
        <f aca="false">Sep!C2+D1+[1]Oct!$D$1</f>
        <v>0</v>
      </c>
      <c r="D2" s="45" t="s">
        <v>15</v>
      </c>
      <c r="E2" s="20" t="s">
        <v>5</v>
      </c>
      <c r="F2" s="44" t="str">
        <f aca="false">Sep!F2</f>
        <v>v</v>
      </c>
      <c r="G2" s="46" t="n">
        <f aca="false">IF(C2&lt;[2]Admin!$F$22,(C2-Sep!C2)*[2]Admin!$G$21,C2*[2]Admin!$G$21-(C2-[2]Admin!$F$21)*([2]Admin!$G$21-[2]Admin!$G$22)-Sep!A2)</f>
        <v>0</v>
      </c>
      <c r="H2" s="21" t="n">
        <f aca="false">IF([1]Oct!$H$4&gt;0,0,[1]Oct!$H$2)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AB1+Sep!AB2</f>
        <v>19800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45935</v>
      </c>
      <c r="B5" s="5" t="s">
        <v>50</v>
      </c>
      <c r="F5" s="5" t="s">
        <v>51</v>
      </c>
      <c r="G5" s="29" t="n">
        <v>480</v>
      </c>
      <c r="I5" s="6" t="n">
        <f aca="false">IF((G5&lt;&gt;0),G5-H5," ")</f>
        <v>480</v>
      </c>
      <c r="K5" s="6"/>
      <c r="L5" s="6"/>
      <c r="M5" s="7" t="n">
        <f aca="false">IF(G5&lt;&gt;0,G5-L5," ")</f>
        <v>480</v>
      </c>
      <c r="N5" s="8" t="n">
        <f aca="false">IF((G5-L5)&lt;&gt;0,N$1-A5," ")</f>
        <v>180</v>
      </c>
      <c r="P5" s="19" t="n">
        <f aca="false">IF((F5="s"),I5," ")</f>
        <v>480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45931</v>
      </c>
      <c r="B6" s="2" t="s">
        <v>52</v>
      </c>
      <c r="F6" s="5" t="s">
        <v>53</v>
      </c>
      <c r="G6" s="29" t="n">
        <v>1200</v>
      </c>
      <c r="I6" s="6" t="n">
        <f aca="false">IF((G6&lt;&gt;0),G6-H6," ")</f>
        <v>1200</v>
      </c>
      <c r="J6" s="5"/>
      <c r="M6" s="7" t="n">
        <f aca="false">IF(G6&lt;&gt;0,G6-L6," ")</f>
        <v>1200</v>
      </c>
      <c r="N6" s="8" t="n">
        <f aca="false">IF((G6-L6)&lt;&gt;0,N$1-A6," ")</f>
        <v>184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n">
        <f aca="false">IF((F6="p"),I6," ")</f>
        <v>1200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45955</v>
      </c>
      <c r="B7" s="2" t="s">
        <v>54</v>
      </c>
      <c r="F7" s="5" t="s">
        <v>55</v>
      </c>
      <c r="G7" s="29" t="n">
        <v>60</v>
      </c>
      <c r="I7" s="6" t="n">
        <f aca="false">IF((G7&lt;&gt;0),G7-H7," ")</f>
        <v>60</v>
      </c>
      <c r="J7" s="5"/>
      <c r="M7" s="7" t="n">
        <f aca="false">IF(G7&lt;&gt;0,G7-L7," ")</f>
        <v>60</v>
      </c>
      <c r="N7" s="8" t="n">
        <f aca="false">IF((G7-L7)&lt;&gt;0,N$1-A7," ")</f>
        <v>160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60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45945</v>
      </c>
      <c r="B8" s="2" t="s">
        <v>56</v>
      </c>
      <c r="F8" s="5" t="s">
        <v>16</v>
      </c>
      <c r="G8" s="29" t="n">
        <v>300</v>
      </c>
      <c r="I8" s="6" t="n">
        <f aca="false">IF((G8&lt;&gt;0),G8-H8," ")</f>
        <v>300</v>
      </c>
      <c r="J8" s="5"/>
      <c r="M8" s="7" t="n">
        <f aca="false">IF(G8&lt;&gt;0,G8-L8," ")</f>
        <v>300</v>
      </c>
      <c r="N8" s="8" t="n">
        <f aca="false">IF((G8-L8)&lt;&gt;0,N$1-A8," ")</f>
        <v>170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n">
        <f aca="false">IF((F8="v"),I8," ")</f>
        <v>300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45958</v>
      </c>
      <c r="B9" s="2" t="s">
        <v>57</v>
      </c>
      <c r="F9" s="5" t="s">
        <v>58</v>
      </c>
      <c r="G9" s="29" t="n">
        <v>300</v>
      </c>
      <c r="I9" s="6" t="n">
        <f aca="false">IF((G9&lt;&gt;0),G9-H9," ")</f>
        <v>300</v>
      </c>
      <c r="J9" s="5"/>
      <c r="M9" s="7" t="n">
        <f aca="false">IF(G9&lt;&gt;0,G9-L9," ")</f>
        <v>300</v>
      </c>
      <c r="N9" s="8" t="n">
        <f aca="false">IF((G9-L9)&lt;&gt;0,N$1-A9," ")</f>
        <v>157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n">
        <f aca="false">IF((F9="l"),I9," ")</f>
        <v>300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720</v>
      </c>
      <c r="H1" s="13" t="n">
        <f aca="false">SUM(H5:H200)</f>
        <v>0</v>
      </c>
      <c r="I1" s="13" t="n">
        <f aca="false">SUM(I2:I200)</f>
        <v>720</v>
      </c>
      <c r="J1" s="15"/>
      <c r="K1" s="16" t="s">
        <v>4</v>
      </c>
      <c r="L1" s="17" t="n">
        <f aca="false">SUM(L5:L300)</f>
        <v>0</v>
      </c>
      <c r="M1" s="17" t="n">
        <f aca="false">SUM(M5:M200)</f>
        <v>720</v>
      </c>
      <c r="N1" s="18" t="n">
        <f aca="true">TODAY()</f>
        <v>46115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360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60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G2+Oct!A2</f>
        <v>0</v>
      </c>
      <c r="B2" s="44" t="s">
        <v>14</v>
      </c>
      <c r="C2" s="43" t="n">
        <f aca="false">Oct!C2+D1+[1]Nov!$D$1</f>
        <v>0</v>
      </c>
      <c r="D2" s="45" t="s">
        <v>15</v>
      </c>
      <c r="E2" s="20" t="s">
        <v>5</v>
      </c>
      <c r="F2" s="44" t="str">
        <f aca="false">Oct!F2</f>
        <v>v</v>
      </c>
      <c r="G2" s="46" t="n">
        <f aca="false">IF(C2&lt;[2]Admin!$F$22,(C2-Oct!C2)*[2]Admin!$G$21,C2*[2]Admin!$G$21-(C2-[2]Admin!$F$21)*([2]Admin!$G$21-[2]Admin!$G$22)-Oct!A2)</f>
        <v>0</v>
      </c>
      <c r="H2" s="21" t="n">
        <f aca="false">IF([1]Nov!$H$4&gt;0,0,[1]Nov!$H$2)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AB1+Oct!AB2</f>
        <v>19800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45981</v>
      </c>
      <c r="B5" s="5" t="s">
        <v>59</v>
      </c>
      <c r="F5" s="5" t="s">
        <v>60</v>
      </c>
      <c r="G5" s="29" t="n">
        <v>360</v>
      </c>
      <c r="I5" s="6" t="n">
        <f aca="false">IF((G5&lt;&gt;0),G5-H5," ")</f>
        <v>360</v>
      </c>
      <c r="K5" s="6"/>
      <c r="L5" s="6"/>
      <c r="M5" s="7" t="n">
        <f aca="false">IF(G5&lt;&gt;0,G5-L5," ")</f>
        <v>360</v>
      </c>
      <c r="N5" s="8" t="n">
        <f aca="false">IF((G5-L5)&lt;&gt;0,N$1-A5," ")</f>
        <v>134</v>
      </c>
      <c r="P5" s="19" t="str">
        <f aca="false">IF((F5="s"),I5," ")</f>
        <v> </v>
      </c>
      <c r="Q5" s="19" t="str">
        <f aca="false">IF((F5="c"),I5," ")</f>
        <v> </v>
      </c>
      <c r="R5" s="19" t="n">
        <f aca="false">IF((F5="o"),I5," ")</f>
        <v>360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45986</v>
      </c>
      <c r="B6" s="2" t="s">
        <v>54</v>
      </c>
      <c r="F6" s="5" t="s">
        <v>55</v>
      </c>
      <c r="G6" s="29" t="n">
        <v>60</v>
      </c>
      <c r="I6" s="6" t="n">
        <f aca="false">IF((G6&lt;&gt;0),G6-H6," ")</f>
        <v>60</v>
      </c>
      <c r="J6" s="5"/>
      <c r="M6" s="7" t="n">
        <f aca="false">IF(G6&lt;&gt;0,G6-L6," ")</f>
        <v>60</v>
      </c>
      <c r="N6" s="8" t="n">
        <f aca="false">IF((G6-L6)&lt;&gt;0,N$1-A6," ")</f>
        <v>129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60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45989</v>
      </c>
      <c r="B7" s="2" t="s">
        <v>57</v>
      </c>
      <c r="F7" s="5" t="s">
        <v>58</v>
      </c>
      <c r="G7" s="29" t="n">
        <v>300</v>
      </c>
      <c r="I7" s="6" t="n">
        <f aca="false">IF((G7&lt;&gt;0),G7-H7," ")</f>
        <v>300</v>
      </c>
      <c r="J7" s="5"/>
      <c r="M7" s="7" t="n">
        <f aca="false">IF(G7&lt;&gt;0,G7-L7," ")</f>
        <v>300</v>
      </c>
      <c r="N7" s="8" t="n">
        <f aca="false">IF((G7-L7)&lt;&gt;0,N$1-A7," ")</f>
        <v>126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n">
        <f aca="false">IF((F7="l"),I7," ")</f>
        <v>300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1580</v>
      </c>
      <c r="H1" s="13" t="n">
        <f aca="false">SUM(H5:H200)</f>
        <v>0</v>
      </c>
      <c r="I1" s="13" t="n">
        <f aca="false">SUM(I2:I200)</f>
        <v>1580</v>
      </c>
      <c r="J1" s="15"/>
      <c r="K1" s="16" t="s">
        <v>4</v>
      </c>
      <c r="L1" s="17" t="n">
        <f aca="false">SUM(L5:L300)</f>
        <v>0</v>
      </c>
      <c r="M1" s="17" t="n">
        <f aca="false">SUM(M5:M200)</f>
        <v>1580</v>
      </c>
      <c r="N1" s="18" t="n">
        <f aca="true">TODAY()</f>
        <v>46115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60</v>
      </c>
      <c r="W1" s="13" t="n">
        <f aca="false">SUM(W2:W300)</f>
        <v>0</v>
      </c>
      <c r="X1" s="13" t="n">
        <f aca="false">SUM(X5:X300)</f>
        <v>720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500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G2+Nov!A2</f>
        <v>0</v>
      </c>
      <c r="B2" s="44" t="s">
        <v>14</v>
      </c>
      <c r="C2" s="43" t="n">
        <f aca="false">Nov!C2+D1+[1]Dec!$D$1</f>
        <v>0</v>
      </c>
      <c r="D2" s="45" t="s">
        <v>15</v>
      </c>
      <c r="E2" s="20" t="s">
        <v>5</v>
      </c>
      <c r="F2" s="44" t="str">
        <f aca="false">Nov!F2</f>
        <v>v</v>
      </c>
      <c r="G2" s="46" t="n">
        <f aca="false">IF(C2&lt;[2]Admin!$F$22,(C2-Nov!C2)*[2]Admin!$G$21,C2*[2]Admin!$G$21-(C2-[2]Admin!$F$21)*([2]Admin!$G$21-[2]Admin!$G$22)-Nov!A2)</f>
        <v>0</v>
      </c>
      <c r="H2" s="21" t="n">
        <f aca="false">IF([1]Dec!$H$4&gt;0,0,[1]Dec!$H$2)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AB1+Nov!AB2</f>
        <v>19800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46016</v>
      </c>
      <c r="B5" s="5" t="s">
        <v>54</v>
      </c>
      <c r="F5" s="5" t="s">
        <v>55</v>
      </c>
      <c r="G5" s="29" t="n">
        <v>60</v>
      </c>
      <c r="I5" s="6" t="n">
        <f aca="false">IF((G5&lt;&gt;0),G5-H5," ")</f>
        <v>60</v>
      </c>
      <c r="K5" s="6"/>
      <c r="L5" s="6"/>
      <c r="M5" s="7" t="n">
        <f aca="false">IF(G5&lt;&gt;0,G5-L5," ")</f>
        <v>60</v>
      </c>
      <c r="N5" s="8" t="n">
        <f aca="false">IF((G5-L5)&lt;&gt;0,N$1-A5," ")</f>
        <v>99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n">
        <f aca="false">IF((F5="g"),I5," ")</f>
        <v>60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45992</v>
      </c>
      <c r="B6" s="2" t="s">
        <v>67</v>
      </c>
      <c r="F6" s="5" t="s">
        <v>68</v>
      </c>
      <c r="G6" s="29" t="n">
        <v>720</v>
      </c>
      <c r="I6" s="6" t="n">
        <f aca="false">IF((G6&lt;&gt;0),G6-H6," ")</f>
        <v>720</v>
      </c>
      <c r="J6" s="5"/>
      <c r="M6" s="7" t="n">
        <f aca="false">IF(G6&lt;&gt;0,G6-L6," ")</f>
        <v>720</v>
      </c>
      <c r="N6" s="8" t="n">
        <f aca="false">IF((G6-L6)&lt;&gt;0,N$1-A6," ")</f>
        <v>123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n">
        <f aca="false">IF((F6="h"),I6," ")</f>
        <v>720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46019</v>
      </c>
      <c r="B7" s="2" t="s">
        <v>57</v>
      </c>
      <c r="F7" s="5" t="s">
        <v>58</v>
      </c>
      <c r="G7" s="29" t="n">
        <v>300</v>
      </c>
      <c r="I7" s="6" t="n">
        <f aca="false">IF((G7&lt;&gt;0),G7-H7," ")</f>
        <v>300</v>
      </c>
      <c r="J7" s="5"/>
      <c r="M7" s="7" t="n">
        <f aca="false">IF(G7&lt;&gt;0,G7-L7," ")</f>
        <v>300</v>
      </c>
      <c r="N7" s="8" t="n">
        <f aca="false">IF((G7-L7)&lt;&gt;0,N$1-A7," ")</f>
        <v>96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n">
        <f aca="false">IF((F7="l"),I7," ")</f>
        <v>300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46006</v>
      </c>
      <c r="B8" s="2" t="s">
        <v>74</v>
      </c>
      <c r="F8" s="5" t="s">
        <v>75</v>
      </c>
      <c r="G8" s="29" t="n">
        <v>500</v>
      </c>
      <c r="I8" s="6" t="n">
        <f aca="false">IF((G8&lt;&gt;0),G8-H8," ")</f>
        <v>500</v>
      </c>
      <c r="J8" s="5"/>
      <c r="M8" s="7" t="n">
        <f aca="false">IF(G8&lt;&gt;0,G8-L8," ")</f>
        <v>500</v>
      </c>
      <c r="N8" s="8" t="n">
        <f aca="false">IF((G8-L8)&lt;&gt;0,N$1-A8," ")</f>
        <v>109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n">
        <f aca="false">IF((F8="y"),I8," ")</f>
        <v>500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2460</v>
      </c>
      <c r="H1" s="13" t="n">
        <f aca="false">SUM(H5:H200)</f>
        <v>0</v>
      </c>
      <c r="I1" s="13" t="n">
        <f aca="false">SUM(I2:I200)</f>
        <v>2460</v>
      </c>
      <c r="J1" s="15"/>
      <c r="K1" s="16" t="s">
        <v>4</v>
      </c>
      <c r="L1" s="17" t="n">
        <f aca="false">SUM(L5:L300)</f>
        <v>0</v>
      </c>
      <c r="M1" s="17" t="n">
        <f aca="false">SUM(M5:M200)</f>
        <v>2460</v>
      </c>
      <c r="N1" s="18" t="n">
        <f aca="true">TODAY()</f>
        <v>46115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1200</v>
      </c>
      <c r="U1" s="13" t="n">
        <f aca="false">SUM(U5:U300)</f>
        <v>0</v>
      </c>
      <c r="V1" s="13" t="n">
        <f aca="false">SUM(V5:V300)</f>
        <v>60</v>
      </c>
      <c r="W1" s="13" t="n">
        <f aca="false">SUM(W2:W300)</f>
        <v>300</v>
      </c>
      <c r="X1" s="13" t="n">
        <f aca="false">SUM(X5:X300)</f>
        <v>0</v>
      </c>
      <c r="Y1" s="13" t="n">
        <f aca="false">SUM(Y5:Y300)</f>
        <v>600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G2+Dec!A2</f>
        <v>0</v>
      </c>
      <c r="B2" s="44" t="s">
        <v>14</v>
      </c>
      <c r="C2" s="43" t="n">
        <f aca="false">Dec!C2+D1+[1]Jan!$D$1</f>
        <v>0</v>
      </c>
      <c r="D2" s="45" t="s">
        <v>15</v>
      </c>
      <c r="E2" s="20" t="s">
        <v>5</v>
      </c>
      <c r="F2" s="44" t="str">
        <f aca="false">Dec!F2</f>
        <v>v</v>
      </c>
      <c r="G2" s="46" t="n">
        <f aca="false">IF(C2&lt;[2]Admin!$F$22,(C2-Dec!C2)*[2]Admin!$G$21,C2*[2]Admin!$G$21-(C2-[2]Admin!$F$21)*([2]Admin!$G$21-[2]Admin!$G$22)-Dec!A2)</f>
        <v>0</v>
      </c>
      <c r="H2" s="21" t="n">
        <f aca="false">IF([1]Jan!$H$4&gt;0,0,[1]Jan!$H$2)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AB1+Dec!AB2</f>
        <v>19800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46023</v>
      </c>
      <c r="B5" s="5" t="s">
        <v>52</v>
      </c>
      <c r="F5" s="5" t="s">
        <v>53</v>
      </c>
      <c r="G5" s="29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92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1200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46047</v>
      </c>
      <c r="B6" s="2" t="s">
        <v>54</v>
      </c>
      <c r="F6" s="5" t="s">
        <v>55</v>
      </c>
      <c r="G6" s="29" t="n">
        <v>60</v>
      </c>
      <c r="I6" s="6" t="n">
        <f aca="false">IF((G6&lt;&gt;0),G6-H6," ")</f>
        <v>60</v>
      </c>
      <c r="J6" s="5"/>
      <c r="M6" s="7" t="n">
        <f aca="false">IF(G6&lt;&gt;0,G6-L6," ")</f>
        <v>60</v>
      </c>
      <c r="N6" s="8" t="n">
        <f aca="false">IF((G6-L6)&lt;&gt;0,N$1-A6," ")</f>
        <v>68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60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46037</v>
      </c>
      <c r="B7" s="2" t="s">
        <v>56</v>
      </c>
      <c r="F7" s="5" t="s">
        <v>16</v>
      </c>
      <c r="G7" s="29" t="n">
        <v>300</v>
      </c>
      <c r="I7" s="6" t="n">
        <f aca="false">IF((G7&lt;&gt;0),G7-H7," ")</f>
        <v>300</v>
      </c>
      <c r="J7" s="5"/>
      <c r="M7" s="7" t="n">
        <f aca="false">IF(G7&lt;&gt;0,G7-L7," ")</f>
        <v>300</v>
      </c>
      <c r="N7" s="8" t="n">
        <f aca="false">IF((G7-L7)&lt;&gt;0,N$1-A7," ")</f>
        <v>78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n">
        <f aca="false">IF((F7="v"),I7," ")</f>
        <v>300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46032</v>
      </c>
      <c r="B8" s="2" t="s">
        <v>76</v>
      </c>
      <c r="F8" s="5" t="s">
        <v>62</v>
      </c>
      <c r="G8" s="29" t="n">
        <v>600</v>
      </c>
      <c r="I8" s="6" t="n">
        <f aca="false">IF((G8&lt;&gt;0),G8-H8," ")</f>
        <v>600</v>
      </c>
      <c r="J8" s="5"/>
      <c r="M8" s="7" t="n">
        <f aca="false">IF(G8&lt;&gt;0,G8-L8," ")</f>
        <v>600</v>
      </c>
      <c r="N8" s="8" t="n">
        <f aca="false">IF((G8-L8)&lt;&gt;0,N$1-A8," ")</f>
        <v>83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n">
        <f aca="false">IF((F8="a"),I8," ")</f>
        <v>600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46050</v>
      </c>
      <c r="B9" s="2" t="s">
        <v>57</v>
      </c>
      <c r="F9" s="5" t="s">
        <v>58</v>
      </c>
      <c r="G9" s="29" t="n">
        <v>300</v>
      </c>
      <c r="I9" s="6" t="n">
        <f aca="false">IF((G9&lt;&gt;0),G9-H9," ")</f>
        <v>300</v>
      </c>
      <c r="J9" s="5"/>
      <c r="M9" s="7" t="n">
        <f aca="false">IF(G9&lt;&gt;0,G9-L9," ")</f>
        <v>300</v>
      </c>
      <c r="N9" s="8" t="n">
        <f aca="false">IF((G9-L9)&lt;&gt;0,N$1-A9," ")</f>
        <v>65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n">
        <f aca="false">IF((F9="l"),I9," ")</f>
        <v>300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720</v>
      </c>
      <c r="H1" s="13" t="n">
        <f aca="false">SUM(H5:H200)</f>
        <v>0</v>
      </c>
      <c r="I1" s="13" t="n">
        <f aca="false">SUM(I2:I200)</f>
        <v>720</v>
      </c>
      <c r="J1" s="15"/>
      <c r="K1" s="16" t="s">
        <v>4</v>
      </c>
      <c r="L1" s="17" t="n">
        <f aca="false">SUM(L5:L300)</f>
        <v>0</v>
      </c>
      <c r="M1" s="17" t="n">
        <f aca="false">SUM(M5:M200)</f>
        <v>720</v>
      </c>
      <c r="N1" s="18" t="n">
        <f aca="true">TODAY()</f>
        <v>46115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360</v>
      </c>
      <c r="V1" s="13" t="n">
        <f aca="false">SUM(V5:V300)</f>
        <v>60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G2+Jan!A2</f>
        <v>0</v>
      </c>
      <c r="B2" s="44" t="s">
        <v>14</v>
      </c>
      <c r="C2" s="43" t="n">
        <f aca="false">Jan!C2+D1+[1]Feb!$D$1</f>
        <v>0</v>
      </c>
      <c r="D2" s="45" t="s">
        <v>15</v>
      </c>
      <c r="E2" s="20" t="s">
        <v>5</v>
      </c>
      <c r="F2" s="44" t="str">
        <f aca="false">Jan!F2</f>
        <v>v</v>
      </c>
      <c r="G2" s="46" t="n">
        <f aca="false">IF(C2&lt;[2]Admin!$F$22,(C2-Jan!C2)*[2]Admin!$G$21,C2*[2]Admin!$G$21-(C2-[2]Admin!$F$21)*([2]Admin!$G$21-[2]Admin!$G$22)-Jan!A2)</f>
        <v>0</v>
      </c>
      <c r="H2" s="21" t="n">
        <f aca="false">IF([1]Feb!$H$4&gt;0,0,[1]Feb!$H$2)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AB1+Jan!AB2</f>
        <v>19800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46063</v>
      </c>
      <c r="B5" s="5" t="s">
        <v>77</v>
      </c>
      <c r="F5" s="5" t="s">
        <v>73</v>
      </c>
      <c r="G5" s="29" t="n">
        <v>360</v>
      </c>
      <c r="I5" s="6" t="n">
        <f aca="false">IF((G5&lt;&gt;0),G5-H5," ")</f>
        <v>360</v>
      </c>
      <c r="K5" s="6"/>
      <c r="L5" s="6"/>
      <c r="M5" s="7" t="n">
        <f aca="false">IF(G5&lt;&gt;0,G5-L5," ")</f>
        <v>360</v>
      </c>
      <c r="N5" s="8" t="n">
        <f aca="false">IF((G5-L5)&lt;&gt;0,N$1-A5," ")</f>
        <v>52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n">
        <f aca="false">IF((F5="m"),I5," ")</f>
        <v>360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46078</v>
      </c>
      <c r="B6" s="2" t="s">
        <v>54</v>
      </c>
      <c r="F6" s="5" t="s">
        <v>55</v>
      </c>
      <c r="G6" s="29" t="n">
        <v>60</v>
      </c>
      <c r="I6" s="6" t="n">
        <f aca="false">IF((G6&lt;&gt;0),G6-H6," ")</f>
        <v>60</v>
      </c>
      <c r="J6" s="5"/>
      <c r="M6" s="7" t="n">
        <f aca="false">IF(G6&lt;&gt;0,G6-L6," ")</f>
        <v>60</v>
      </c>
      <c r="N6" s="8" t="n">
        <f aca="false">IF((G6-L6)&lt;&gt;0,N$1-A6," ")</f>
        <v>37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60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46081</v>
      </c>
      <c r="B7" s="2" t="s">
        <v>57</v>
      </c>
      <c r="F7" s="5" t="s">
        <v>58</v>
      </c>
      <c r="G7" s="29" t="n">
        <v>300</v>
      </c>
      <c r="I7" s="6" t="n">
        <f aca="false">IF((G7&lt;&gt;0),G7-H7," ")</f>
        <v>300</v>
      </c>
      <c r="J7" s="5"/>
      <c r="M7" s="7" t="n">
        <f aca="false">IF(G7&lt;&gt;0,G7-L7," ")</f>
        <v>300</v>
      </c>
      <c r="N7" s="8" t="n">
        <f aca="false">IF((G7-L7)&lt;&gt;0,N$1-A7," ")</f>
        <v>34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n">
        <f aca="false">IF((F7="l"),I7," ")</f>
        <v>300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1080</v>
      </c>
      <c r="H1" s="13" t="n">
        <f aca="false">SUM(H5:H200)</f>
        <v>0</v>
      </c>
      <c r="I1" s="13" t="n">
        <f aca="false">SUM(I2:I200)</f>
        <v>1080</v>
      </c>
      <c r="J1" s="15"/>
      <c r="K1" s="16" t="s">
        <v>4</v>
      </c>
      <c r="L1" s="17" t="n">
        <f aca="false">SUM(L5:L300)</f>
        <v>0</v>
      </c>
      <c r="M1" s="17" t="n">
        <f aca="false">SUM(M5:M200)</f>
        <v>1080</v>
      </c>
      <c r="N1" s="18" t="n">
        <f aca="true">TODAY()</f>
        <v>46115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60</v>
      </c>
      <c r="W1" s="13" t="n">
        <f aca="false">SUM(W2:W300)</f>
        <v>0</v>
      </c>
      <c r="X1" s="13" t="n">
        <f aca="false">SUM(X5:X300)</f>
        <v>720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G2+Feb!A2</f>
        <v>0</v>
      </c>
      <c r="B2" s="44" t="s">
        <v>14</v>
      </c>
      <c r="C2" s="43" t="n">
        <f aca="false">Feb!C2+D1+[1]Mar!$D$1</f>
        <v>0</v>
      </c>
      <c r="D2" s="45" t="s">
        <v>15</v>
      </c>
      <c r="E2" s="20" t="s">
        <v>5</v>
      </c>
      <c r="F2" s="44" t="str">
        <f aca="false">Feb!F2</f>
        <v>v</v>
      </c>
      <c r="G2" s="46" t="n">
        <f aca="false">IF(C2&lt;[2]Admin!$F$22,(C2-Feb!C2)*[2]Admin!$G$21,C2*[2]Admin!$G$21-(C2-[2]Admin!$F$21)*([2]Admin!$G$21-[2]Admin!$G$22)-Feb!A2)</f>
        <v>0</v>
      </c>
      <c r="H2" s="21" t="n">
        <f aca="false">IF([1]Mar!$H$4&gt;0,0,[1]Mar!$H$2)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AB1+Feb!AB2</f>
        <v>19800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46106</v>
      </c>
      <c r="B5" s="5" t="s">
        <v>54</v>
      </c>
      <c r="F5" s="5" t="s">
        <v>55</v>
      </c>
      <c r="G5" s="29" t="n">
        <v>60</v>
      </c>
      <c r="I5" s="6" t="n">
        <f aca="false">IF((G5&lt;&gt;0),G5-H5," ")</f>
        <v>60</v>
      </c>
      <c r="K5" s="6"/>
      <c r="L5" s="6"/>
      <c r="M5" s="7" t="n">
        <f aca="false">IF(G5&lt;&gt;0,G5-L5," ")</f>
        <v>60</v>
      </c>
      <c r="N5" s="8" t="n">
        <f aca="false">IF((G5-L5)&lt;&gt;0,N$1-A5," ")</f>
        <v>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n">
        <f aca="false">IF((F5="g"),I5," ")</f>
        <v>60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46082</v>
      </c>
      <c r="B6" s="2" t="s">
        <v>67</v>
      </c>
      <c r="F6" s="5" t="s">
        <v>68</v>
      </c>
      <c r="G6" s="29" t="n">
        <v>720</v>
      </c>
      <c r="I6" s="6" t="n">
        <f aca="false">IF((G6&lt;&gt;0),G6-H6," ")</f>
        <v>720</v>
      </c>
      <c r="J6" s="5"/>
      <c r="M6" s="7" t="n">
        <f aca="false">IF(G6&lt;&gt;0,G6-L6," ")</f>
        <v>720</v>
      </c>
      <c r="N6" s="8" t="n">
        <f aca="false">IF((G6-L6)&lt;&gt;0,N$1-A6," ")</f>
        <v>33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n">
        <f aca="false">IF((F6="h"),I6," ")</f>
        <v>720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46109</v>
      </c>
      <c r="B7" s="2" t="s">
        <v>57</v>
      </c>
      <c r="F7" s="5" t="s">
        <v>58</v>
      </c>
      <c r="G7" s="29" t="n">
        <v>300</v>
      </c>
      <c r="I7" s="6" t="n">
        <f aca="false">IF((G7&lt;&gt;0),G7-H7," ")</f>
        <v>300</v>
      </c>
      <c r="J7" s="5"/>
      <c r="M7" s="7" t="n">
        <f aca="false">IF(G7&lt;&gt;0,G7-L7," ")</f>
        <v>300</v>
      </c>
      <c r="N7" s="8" t="n">
        <f aca="false">IF((G7-L7)&lt;&gt;0,N$1-A7," ")</f>
        <v>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n">
        <f aca="false">IF((F7="l"),I7," ")</f>
        <v>300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46115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C5" s="28"/>
      <c r="D5" s="4"/>
      <c r="E5" s="2"/>
      <c r="F5" s="2"/>
      <c r="G5" s="29"/>
      <c r="H5" s="6" t="str">
        <f aca="false">IF(G5&lt;&gt;0,G5*H$2/(100+H$2)," ")</f>
        <v> 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