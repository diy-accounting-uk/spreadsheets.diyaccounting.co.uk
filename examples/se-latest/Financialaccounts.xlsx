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<sst xmlns="http://schemas.openxmlformats.org/spreadsheetml/2006/main" count="799" uniqueCount="436">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</sst>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3360</v>
          </cell>
          <cell r="S1">
            <v>20640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8" customFormat="false" ht="12" hidden="false" customHeight="false" outlineLevel="0" collapsed="false">
      <c r="A58" s="1" t="s">
        <v>38</v>
      </c>
    </row>
    <row r="59" customFormat="false" ht="12" hidden="false" customHeight="false" outlineLevel="0" collapsed="false">
      <c r="A59" s="1" t="s">
        <v>39</v>
      </c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40</v>
      </c>
      <c r="B1" s="51"/>
      <c r="C1" s="51"/>
      <c r="D1" s="51"/>
      <c r="E1" s="51"/>
      <c r="F1" s="51"/>
      <c r="G1" s="52" t="s">
        <v>41</v>
      </c>
      <c r="H1" s="52"/>
      <c r="I1" s="52"/>
      <c r="J1" s="52"/>
      <c r="K1" s="52"/>
      <c r="L1" s="52"/>
      <c r="M1" s="52"/>
      <c r="N1" s="52"/>
      <c r="O1" s="53" t="s">
        <v>42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43</v>
      </c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45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46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47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48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49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50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51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52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53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54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55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56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57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58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59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60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61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62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63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64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65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66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67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Account'!B26," ")</f>
        <v>7984.25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Account'!B31," ")</f>
        <v>3900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68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69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70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71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72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73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74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155770.316666667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75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76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77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78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79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183429.683333333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80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81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82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83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84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85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86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87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88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89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90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91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92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93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94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95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96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97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98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99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100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119429.683333333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101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102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103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104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105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121513.016666666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106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107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108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109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110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111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112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121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121"/>
      <c r="I1" s="121"/>
      <c r="J1" s="121"/>
      <c r="K1" s="121"/>
      <c r="L1" s="121"/>
      <c r="M1" s="121"/>
      <c r="N1" s="122" t="s">
        <v>120</v>
      </c>
      <c r="O1" s="122"/>
      <c r="P1" s="122"/>
      <c r="Q1" s="122"/>
      <c r="R1" s="122"/>
      <c r="S1" s="122"/>
      <c r="T1" s="122"/>
      <c r="U1" s="122"/>
      <c r="V1" s="122"/>
      <c r="W1" s="122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121"/>
      <c r="H2" s="121"/>
      <c r="I2" s="121"/>
      <c r="J2" s="121"/>
      <c r="K2" s="121"/>
      <c r="L2" s="121"/>
      <c r="M2" s="121"/>
      <c r="N2" s="54" t="s">
        <v>43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3" t="str">
        <f aca="false">IF('Business Details'!C5&gt;0,'Business Details'!C5," ")</f>
        <v>Precision Code Trading</v>
      </c>
      <c r="D8" s="123"/>
      <c r="E8" s="123"/>
      <c r="F8" s="123"/>
      <c r="G8" s="123"/>
      <c r="H8" s="123"/>
      <c r="I8" s="123"/>
      <c r="J8" s="123"/>
      <c r="K8" s="63"/>
      <c r="L8" s="63"/>
      <c r="M8" s="63"/>
      <c r="N8" s="63"/>
      <c r="O8" s="123" t="str">
        <f aca="false">IF('Business Details'!O5&gt;0,'Business Details'!O5," ")</f>
        <v> </v>
      </c>
      <c r="P8" s="123"/>
      <c r="Q8" s="63"/>
      <c r="R8" s="123" t="str">
        <f aca="false">IF('Business Details'!R5&gt;0,'Business Details'!R5," ")</f>
        <v> </v>
      </c>
      <c r="S8" s="123"/>
      <c r="T8" s="123"/>
      <c r="U8" s="123"/>
      <c r="V8" s="63"/>
      <c r="W8" s="67"/>
    </row>
    <row r="9" customFormat="false" ht="9.75" hidden="false" customHeight="true" outlineLevel="0" collapsed="false">
      <c r="A9" s="79"/>
      <c r="B9" s="63"/>
      <c r="C9" s="124"/>
      <c r="D9" s="124"/>
      <c r="E9" s="124"/>
      <c r="F9" s="124"/>
      <c r="G9" s="124"/>
      <c r="H9" s="124"/>
      <c r="I9" s="124"/>
      <c r="J9" s="124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3" t="str">
        <f aca="false">IF('Business Details'!C7&gt;0,'Business Details'!C7," ")</f>
        <v> </v>
      </c>
      <c r="D10" s="123"/>
      <c r="E10" s="123"/>
      <c r="F10" s="123"/>
      <c r="G10" s="123"/>
      <c r="H10" s="123"/>
      <c r="I10" s="123"/>
      <c r="J10" s="123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5" t="s">
        <v>4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3" t="str">
        <f aca="false">IF('Business Details'!C12&gt;0,'Business Details'!C12," ")</f>
        <v> </v>
      </c>
      <c r="D15" s="123"/>
      <c r="E15" s="123"/>
      <c r="F15" s="123"/>
      <c r="G15" s="123"/>
      <c r="H15" s="123"/>
      <c r="I15" s="123"/>
      <c r="J15" s="123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4"/>
      <c r="D16" s="124"/>
      <c r="E16" s="124"/>
      <c r="F16" s="124"/>
      <c r="G16" s="124"/>
      <c r="H16" s="124"/>
      <c r="I16" s="124"/>
      <c r="J16" s="124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3" t="str">
        <f aca="false">IF('Business Details'!C14&gt;0,'Business Details'!C14," ")</f>
        <v> </v>
      </c>
      <c r="D17" s="123"/>
      <c r="E17" s="123"/>
      <c r="F17" s="123"/>
      <c r="G17" s="123"/>
      <c r="H17" s="123"/>
      <c r="I17" s="123"/>
      <c r="J17" s="123"/>
      <c r="K17" s="63"/>
      <c r="L17" s="63"/>
      <c r="M17" s="63"/>
      <c r="N17" s="126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3" t="str">
        <f aca="false">IF('Business Details'!C17&gt;0,'Business Details'!C17," ")</f>
        <v>IT consultancy and software development</v>
      </c>
      <c r="D20" s="123"/>
      <c r="E20" s="123"/>
      <c r="F20" s="123"/>
      <c r="G20" s="123"/>
      <c r="H20" s="123"/>
      <c r="I20" s="123"/>
      <c r="J20" s="123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4"/>
      <c r="D21" s="124"/>
      <c r="E21" s="124"/>
      <c r="F21" s="124"/>
      <c r="G21" s="124"/>
      <c r="H21" s="124"/>
      <c r="I21" s="124"/>
      <c r="J21" s="124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3" t="str">
        <f aca="false">IF('Business Details'!C19&gt;0,'Business Details'!C19," ")</f>
        <v> </v>
      </c>
      <c r="D22" s="123"/>
      <c r="E22" s="123"/>
      <c r="F22" s="123"/>
      <c r="G22" s="123"/>
      <c r="H22" s="123"/>
      <c r="I22" s="123"/>
      <c r="J22" s="123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4"/>
      <c r="D23" s="124"/>
      <c r="E23" s="124"/>
      <c r="F23" s="124"/>
      <c r="G23" s="124"/>
      <c r="H23" s="124"/>
      <c r="I23" s="124"/>
      <c r="J23" s="124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3" t="str">
        <f aca="false">IF('Business Details'!C21&gt;0,'Business Details'!C21," ")</f>
        <v> </v>
      </c>
      <c r="D24" s="123"/>
      <c r="E24" s="123"/>
      <c r="F24" s="123"/>
      <c r="G24" s="123"/>
      <c r="H24" s="123"/>
      <c r="I24" s="123"/>
      <c r="J24" s="123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3" t="str">
        <f aca="false">IF('Business Details'!C25&gt;0,'Business Details'!C25," ")</f>
        <v> </v>
      </c>
      <c r="D28" s="123"/>
      <c r="E28" s="123"/>
      <c r="F28" s="123"/>
      <c r="G28" s="123"/>
      <c r="H28" s="123"/>
      <c r="I28" s="123"/>
      <c r="J28" s="123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8" customFormat="true" ht="12" hidden="false" customHeight="true" outlineLevel="0" collapsed="false">
      <c r="A29" s="127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3" t="str">
        <f aca="false">IF('Business Details'!C27&gt;0,'Business Details'!C27," ")</f>
        <v> </v>
      </c>
      <c r="D30" s="123"/>
      <c r="E30" s="123"/>
      <c r="F30" s="123"/>
      <c r="G30" s="123"/>
      <c r="H30" s="123"/>
      <c r="I30" s="123"/>
      <c r="J30" s="123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6" t="str">
        <f aca="false">IF('Business Details'!C30&gt;0,'Business Details'!C30," ")</f>
        <v> </v>
      </c>
      <c r="D33" s="126"/>
      <c r="E33" s="124"/>
      <c r="F33" s="126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9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9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9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56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30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30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68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70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64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13912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13740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169510.316666667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13740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75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169689.683333333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80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1" t="s">
        <v>84</v>
      </c>
      <c r="D136" s="64"/>
      <c r="E136" s="64"/>
      <c r="F136" s="64"/>
      <c r="G136" s="64"/>
      <c r="H136" s="132"/>
      <c r="I136" s="132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3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2" t="n">
        <f aca="false">Admin!G5</f>
        <v>0.14</v>
      </c>
      <c r="H141" s="132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3360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IF(([1]Schedule!$R$1+[1]Schedule!$S$1)&lt;1000,[1]Schedule!$S$1,0)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1" t="s">
        <v>163</v>
      </c>
      <c r="D146" s="64"/>
      <c r="E146" s="64"/>
      <c r="F146" s="64"/>
      <c r="G146" s="64"/>
      <c r="H146" s="132"/>
      <c r="I146" s="132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167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168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64000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169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170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171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172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173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174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175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176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177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178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179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180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181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182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13740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119429.683333333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183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184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185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186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187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188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189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4" t="s">
        <v>190</v>
      </c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191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192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5"/>
      <c r="D187" s="135"/>
      <c r="E187" s="135"/>
      <c r="F187" s="135"/>
      <c r="G187" s="64"/>
      <c r="H187" s="64"/>
      <c r="I187" s="64"/>
      <c r="J187" s="64"/>
      <c r="K187" s="64"/>
      <c r="L187" s="64"/>
      <c r="M187" s="63"/>
      <c r="N187" s="80" t="s">
        <v>193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6"/>
      <c r="E188" s="136"/>
      <c r="F188" s="136"/>
      <c r="G188" s="99"/>
      <c r="H188" s="64"/>
      <c r="I188" s="64"/>
      <c r="J188" s="63"/>
      <c r="K188" s="63"/>
      <c r="L188" s="64"/>
      <c r="M188" s="63"/>
      <c r="N188" s="92" t="s">
        <v>194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195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5"/>
      <c r="D190" s="135"/>
      <c r="E190" s="135"/>
      <c r="F190" s="135"/>
      <c r="G190" s="64"/>
      <c r="H190" s="64"/>
      <c r="I190" s="64"/>
      <c r="J190" s="64"/>
      <c r="K190" s="64"/>
      <c r="L190" s="64"/>
      <c r="M190" s="63"/>
      <c r="N190" s="97" t="s">
        <v>33</v>
      </c>
      <c r="O190" s="137" t="s">
        <v>196</v>
      </c>
      <c r="P190" s="138"/>
      <c r="Q190" s="138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197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198</v>
      </c>
      <c r="O192" s="63"/>
      <c r="P192" s="63"/>
      <c r="Q192" s="139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199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200</v>
      </c>
      <c r="O193" s="112"/>
      <c r="P193" s="112"/>
      <c r="Q193" s="112"/>
      <c r="R193" s="140"/>
      <c r="S193" s="141"/>
      <c r="T193" s="141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201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119429.683333333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7" t="s">
        <v>196</v>
      </c>
      <c r="E197" s="138"/>
      <c r="F197" s="138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203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5"/>
      <c r="E201" s="135"/>
      <c r="F201" s="135"/>
      <c r="G201" s="99"/>
      <c r="H201" s="64"/>
      <c r="I201" s="64"/>
      <c r="J201" s="63"/>
      <c r="K201" s="63"/>
      <c r="L201" s="75" t="n">
        <v>75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5"/>
      <c r="E206" s="135"/>
      <c r="F206" s="135"/>
      <c r="G206" s="99"/>
      <c r="H206" s="64"/>
      <c r="I206" s="64"/>
      <c r="J206" s="63"/>
      <c r="K206" s="63"/>
      <c r="L206" s="75" t="n">
        <v>76</v>
      </c>
      <c r="M206" s="63"/>
      <c r="N206" s="64" t="s">
        <v>102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200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207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121513.016666666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208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209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210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2"/>
      <c r="M215" s="73"/>
      <c r="N215" s="143"/>
      <c r="O215" s="144"/>
      <c r="P215" s="144"/>
      <c r="Q215" s="144"/>
      <c r="R215" s="145"/>
      <c r="S215" s="146"/>
      <c r="T215" s="146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211</v>
      </c>
      <c r="D216" s="64"/>
      <c r="E216" s="64"/>
      <c r="F216" s="147" t="str">
        <f aca="false">Admin!G2</f>
        <v>2026-27</v>
      </c>
      <c r="G216" s="64" t="s">
        <v>200</v>
      </c>
      <c r="H216" s="64"/>
      <c r="I216" s="64"/>
      <c r="J216" s="63"/>
      <c r="K216" s="64"/>
      <c r="L216" s="75" t="n">
        <v>79</v>
      </c>
      <c r="M216" s="63"/>
      <c r="N216" s="64" t="s">
        <v>212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213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109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8" t="s">
        <v>214</v>
      </c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2"/>
      <c r="M227" s="73"/>
      <c r="N227" s="143"/>
      <c r="O227" s="144"/>
      <c r="P227" s="144"/>
      <c r="Q227" s="144"/>
      <c r="R227" s="145"/>
      <c r="S227" s="146"/>
      <c r="T227" s="146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215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216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217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218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219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220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30" t="s">
        <v>221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30" t="s">
        <v>222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223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224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225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226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227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228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229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30" t="s">
        <v>230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231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232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9" t="s">
        <v>33</v>
      </c>
      <c r="O255" s="150" t="s">
        <v>196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30" t="s">
        <v>233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234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235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9" t="s">
        <v>33</v>
      </c>
      <c r="O261" s="137" t="s">
        <v>196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236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237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9" t="s">
        <v>33</v>
      </c>
      <c r="O265" s="137" t="s">
        <v>196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238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239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240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241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7" t="s">
        <v>196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242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243</v>
      </c>
      <c r="B280" s="104"/>
      <c r="C280" s="104"/>
      <c r="D280" s="104"/>
      <c r="E280" s="104"/>
      <c r="F280" s="104"/>
      <c r="G280" s="104"/>
      <c r="H280" s="104"/>
      <c r="I280" s="104"/>
      <c r="J280" s="151" t="n">
        <f aca="false">Admin!N20</f>
        <v>12570</v>
      </c>
      <c r="K280" s="104" t="s">
        <v>244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2" t="s">
        <v>245</v>
      </c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246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247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248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249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250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251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252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253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82"/>
    </row>
    <row r="299" customFormat="false" ht="12" hidden="false" customHeight="false" outlineLevel="0" collapsed="false">
      <c r="A299" s="79"/>
      <c r="B299" s="6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82"/>
    </row>
    <row r="300" customFormat="false" ht="12" hidden="false" customHeight="false" outlineLevel="0" collapsed="false">
      <c r="A300" s="79"/>
      <c r="B300" s="6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82"/>
    </row>
    <row r="301" customFormat="false" ht="12" hidden="false" customHeight="false" outlineLevel="0" collapsed="false">
      <c r="A301" s="79"/>
      <c r="B301" s="6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82"/>
    </row>
    <row r="302" customFormat="false" ht="12" hidden="false" customHeight="false" outlineLevel="0" collapsed="false">
      <c r="A302" s="79"/>
      <c r="B302" s="6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82"/>
    </row>
    <row r="303" customFormat="false" ht="12" hidden="false" customHeight="false" outlineLevel="0" collapsed="false">
      <c r="A303" s="79"/>
      <c r="B303" s="6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82"/>
    </row>
    <row r="304" customFormat="false" ht="12" hidden="false" customHeight="false" outlineLevel="0" collapsed="false">
      <c r="A304" s="79"/>
      <c r="B304" s="6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82"/>
    </row>
    <row r="305" customFormat="false" ht="12" hidden="false" customHeight="false" outlineLevel="0" collapsed="false">
      <c r="A305" s="79"/>
      <c r="B305" s="6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82"/>
    </row>
    <row r="306" customFormat="false" ht="12" hidden="false" customHeight="false" outlineLevel="0" collapsed="false">
      <c r="A306" s="79"/>
      <c r="B306" s="6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82"/>
    </row>
    <row r="307" customFormat="false" ht="12" hidden="false" customHeight="false" outlineLevel="0" collapsed="false">
      <c r="A307" s="79"/>
      <c r="B307" s="6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82"/>
    </row>
    <row r="308" customFormat="false" ht="12" hidden="false" customHeight="false" outlineLevel="0" collapsed="false">
      <c r="A308" s="79"/>
      <c r="B308" s="6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82"/>
    </row>
    <row r="309" customFormat="false" ht="12" hidden="false" customHeight="false" outlineLevel="0" collapsed="false">
      <c r="A309" s="79"/>
      <c r="B309" s="6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82"/>
    </row>
    <row r="310" customFormat="false" ht="12" hidden="false" customHeight="false" outlineLevel="0" collapsed="false">
      <c r="A310" s="79"/>
      <c r="B310" s="6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82"/>
    </row>
    <row r="311" customFormat="false" ht="12" hidden="false" customHeight="false" outlineLevel="0" collapsed="false">
      <c r="A311" s="79"/>
      <c r="B311" s="6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82"/>
    </row>
    <row r="312" customFormat="false" ht="12" hidden="false" customHeight="false" outlineLevel="0" collapsed="false">
      <c r="A312" s="79"/>
      <c r="B312" s="6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82"/>
    </row>
    <row r="313" customFormat="false" ht="12" hidden="false" customHeight="false" outlineLevel="0" collapsed="false">
      <c r="A313" s="79"/>
      <c r="B313" s="6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82"/>
    </row>
    <row r="314" customFormat="false" ht="12" hidden="false" customHeight="false" outlineLevel="0" collapsed="false">
      <c r="A314" s="79"/>
      <c r="B314" s="6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82"/>
    </row>
    <row r="315" customFormat="false" ht="12" hidden="false" customHeight="false" outlineLevel="0" collapsed="false">
      <c r="A315" s="79"/>
      <c r="B315" s="6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82"/>
    </row>
    <row r="316" customFormat="false" ht="12" hidden="false" customHeight="false" outlineLevel="0" collapsed="false">
      <c r="A316" s="79"/>
      <c r="B316" s="6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82"/>
    </row>
    <row r="317" customFormat="false" ht="12" hidden="false" customHeight="false" outlineLevel="0" collapsed="false">
      <c r="A317" s="79"/>
      <c r="B317" s="6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82"/>
    </row>
    <row r="318" customFormat="false" ht="12" hidden="false" customHeight="false" outlineLevel="0" collapsed="false">
      <c r="A318" s="79"/>
      <c r="B318" s="6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82"/>
    </row>
    <row r="319" customFormat="false" ht="12" hidden="false" customHeight="false" outlineLevel="0" collapsed="false">
      <c r="A319" s="79"/>
      <c r="B319" s="6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82"/>
    </row>
    <row r="320" customFormat="false" ht="12" hidden="false" customHeight="false" outlineLevel="0" collapsed="false">
      <c r="A320" s="79"/>
      <c r="B320" s="6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82"/>
    </row>
    <row r="321" customFormat="false" ht="12" hidden="false" customHeight="false" outlineLevel="0" collapsed="false">
      <c r="A321" s="79"/>
      <c r="B321" s="6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82"/>
    </row>
    <row r="322" customFormat="false" ht="12" hidden="false" customHeight="false" outlineLevel="0" collapsed="false">
      <c r="A322" s="79"/>
      <c r="B322" s="6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82"/>
    </row>
    <row r="323" customFormat="false" ht="12" hidden="false" customHeight="false" outlineLevel="0" collapsed="false">
      <c r="A323" s="79"/>
      <c r="B323" s="6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25.82"/>
    <col collapsed="false" customWidth="true" hidden="false" outlineLevel="0" max="2" min="2" style="154" width="9.66"/>
    <col collapsed="false" customWidth="true" hidden="false" outlineLevel="0" max="14" min="3" style="155" width="8.49"/>
    <col collapsed="false" customWidth="true" hidden="false" outlineLevel="0" max="15" min="15" style="155" width="0.82"/>
    <col collapsed="false" customWidth="false" hidden="false" outlineLevel="0" max="257" min="16" style="155" width="9.15"/>
  </cols>
  <sheetData>
    <row r="1" customFormat="false" ht="6" hidden="false" customHeight="true" outlineLevel="0" collapsed="false">
      <c r="A1" s="156"/>
      <c r="B1" s="157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9"/>
      <c r="O1" s="160"/>
    </row>
    <row r="2" customFormat="false" ht="12" hidden="false" customHeight="true" outlineLevel="0" collapsed="false">
      <c r="A2" s="161" t="s">
        <v>254</v>
      </c>
      <c r="B2" s="162" t="s">
        <v>255</v>
      </c>
      <c r="C2" s="163" t="n">
        <f aca="false">Admin!B5</f>
        <v>46142</v>
      </c>
      <c r="D2" s="164" t="n">
        <f aca="false">Admin!B6</f>
        <v>46173</v>
      </c>
      <c r="E2" s="164" t="n">
        <f aca="false">Admin!B7</f>
        <v>46203</v>
      </c>
      <c r="F2" s="163" t="n">
        <f aca="false">Admin!B8</f>
        <v>46234</v>
      </c>
      <c r="G2" s="164" t="n">
        <f aca="false">Admin!B9</f>
        <v>46265</v>
      </c>
      <c r="H2" s="164" t="n">
        <f aca="false">Admin!B10</f>
        <v>46295</v>
      </c>
      <c r="I2" s="163" t="n">
        <f aca="false">Admin!B11</f>
        <v>46326</v>
      </c>
      <c r="J2" s="164" t="n">
        <f aca="false">Admin!B12</f>
        <v>46356</v>
      </c>
      <c r="K2" s="164" t="n">
        <f aca="false">Admin!B13</f>
        <v>46387</v>
      </c>
      <c r="L2" s="163" t="n">
        <f aca="false">Admin!B14</f>
        <v>46418</v>
      </c>
      <c r="M2" s="164" t="n">
        <f aca="false">Admin!B15</f>
        <v>46446</v>
      </c>
      <c r="N2" s="164" t="n">
        <f aca="false">Admin!B16</f>
        <v>46477</v>
      </c>
      <c r="O2" s="165"/>
    </row>
    <row r="3" customFormat="false" ht="12" hidden="false" customHeight="true" outlineLevel="0" collapsed="false">
      <c r="A3" s="161"/>
      <c r="B3" s="166" t="n">
        <f aca="false">Admin!B$17</f>
        <v>46482</v>
      </c>
      <c r="C3" s="163"/>
      <c r="D3" s="164"/>
      <c r="E3" s="164"/>
      <c r="F3" s="163"/>
      <c r="G3" s="164"/>
      <c r="H3" s="164"/>
      <c r="I3" s="163"/>
      <c r="J3" s="164"/>
      <c r="K3" s="164"/>
      <c r="L3" s="163"/>
      <c r="M3" s="164"/>
      <c r="N3" s="164"/>
      <c r="O3" s="165"/>
    </row>
    <row r="4" customFormat="false" ht="12" hidden="false" customHeight="false" outlineLevel="0" collapsed="false">
      <c r="A4" s="161"/>
      <c r="B4" s="167" t="s">
        <v>33</v>
      </c>
      <c r="C4" s="167" t="s">
        <v>33</v>
      </c>
      <c r="D4" s="167" t="s">
        <v>33</v>
      </c>
      <c r="E4" s="167" t="s">
        <v>33</v>
      </c>
      <c r="F4" s="168" t="s">
        <v>33</v>
      </c>
      <c r="G4" s="167" t="s">
        <v>33</v>
      </c>
      <c r="H4" s="167" t="s">
        <v>33</v>
      </c>
      <c r="I4" s="168" t="s">
        <v>33</v>
      </c>
      <c r="J4" s="167" t="s">
        <v>33</v>
      </c>
      <c r="K4" s="167" t="s">
        <v>33</v>
      </c>
      <c r="L4" s="168" t="s">
        <v>33</v>
      </c>
      <c r="M4" s="169" t="s">
        <v>33</v>
      </c>
      <c r="N4" s="167" t="s">
        <v>33</v>
      </c>
      <c r="O4" s="165"/>
    </row>
    <row r="5" customFormat="false" ht="12" hidden="false" customHeight="false" outlineLevel="0" collapsed="false">
      <c r="A5" s="170" t="s">
        <v>256</v>
      </c>
      <c r="B5" s="171" t="n">
        <f aca="false">SUM(C5:N5)</f>
        <v>311600</v>
      </c>
      <c r="C5" s="172" t="n">
        <f aca="false">[2]Apr!$P$1</f>
        <v>25333.3333333333</v>
      </c>
      <c r="D5" s="172" t="n">
        <f aca="false">[2]May!$P$1</f>
        <v>25633.3333333333</v>
      </c>
      <c r="E5" s="173" t="n">
        <f aca="false">[2]Jun!$P$1</f>
        <v>26533.3333333333</v>
      </c>
      <c r="F5" s="172" t="n">
        <f aca="false">[2]Jul!$P$1</f>
        <v>25633.3333333333</v>
      </c>
      <c r="G5" s="172" t="n">
        <f aca="false">[2]Aug!$P$1</f>
        <v>27133.3333333333</v>
      </c>
      <c r="H5" s="173" t="n">
        <f aca="false">[2]Sep!$P$1</f>
        <v>25033.3333333333</v>
      </c>
      <c r="I5" s="172" t="n">
        <f aca="false">[2]Oct!$P$1</f>
        <v>27133.3333333333</v>
      </c>
      <c r="J5" s="172" t="n">
        <f aca="false">[2]Nov!$P$1</f>
        <v>25633.3333333333</v>
      </c>
      <c r="K5" s="173" t="n">
        <f aca="false">[2]Dec!$P$1</f>
        <v>26533.3333333333</v>
      </c>
      <c r="L5" s="172" t="n">
        <f aca="false">[2]Jan!$P$1</f>
        <v>25633.3333333333</v>
      </c>
      <c r="M5" s="172" t="n">
        <f aca="false">[2]Feb!$P$1</f>
        <v>26333.3333333333</v>
      </c>
      <c r="N5" s="172" t="n">
        <f aca="false">[2]Mar!$P$1</f>
        <v>25033.3333333333</v>
      </c>
      <c r="O5" s="165"/>
    </row>
    <row r="6" customFormat="false" ht="12" hidden="false" customHeight="false" outlineLevel="0" collapsed="false">
      <c r="A6" s="170" t="s">
        <v>257</v>
      </c>
      <c r="B6" s="171" t="n">
        <f aca="false">SUM(C6:N6)</f>
        <v>13600</v>
      </c>
      <c r="C6" s="172" t="n">
        <f aca="false">[2]Apr!$Q$1</f>
        <v>1800</v>
      </c>
      <c r="D6" s="172" t="n">
        <f aca="false">[2]May!$Q$1</f>
        <v>800</v>
      </c>
      <c r="E6" s="173" t="n">
        <f aca="false">[2]Jun!$Q$1</f>
        <v>800</v>
      </c>
      <c r="F6" s="172" t="n">
        <f aca="false">[2]Jul!$Q$1</f>
        <v>1800</v>
      </c>
      <c r="G6" s="172" t="n">
        <f aca="false">[2]Aug!$Q$1</f>
        <v>800</v>
      </c>
      <c r="H6" s="173" t="n">
        <f aca="false">[2]Sep!$Q$1</f>
        <v>800</v>
      </c>
      <c r="I6" s="172" t="n">
        <f aca="false">[2]Oct!$Q$1</f>
        <v>1800</v>
      </c>
      <c r="J6" s="172" t="n">
        <f aca="false">[2]Nov!$Q$1</f>
        <v>800</v>
      </c>
      <c r="K6" s="173" t="n">
        <f aca="false">[2]Dec!$Q$1</f>
        <v>800</v>
      </c>
      <c r="L6" s="172" t="n">
        <f aca="false">[2]Jan!$Q$1</f>
        <v>1800</v>
      </c>
      <c r="M6" s="172" t="n">
        <f aca="false">[2]Feb!$Q$1</f>
        <v>800</v>
      </c>
      <c r="N6" s="172" t="n">
        <f aca="false">[2]Mar!$Q$1</f>
        <v>800</v>
      </c>
      <c r="O6" s="165"/>
    </row>
    <row r="7" customFormat="false" ht="12" hidden="false" customHeight="false" outlineLevel="0" collapsed="false">
      <c r="A7" s="170" t="s">
        <v>258</v>
      </c>
      <c r="B7" s="171" t="n">
        <f aca="false">SUM(C7:N7)</f>
        <v>10300</v>
      </c>
      <c r="C7" s="172" t="n">
        <f aca="false">[2]Apr!$R$1</f>
        <v>0</v>
      </c>
      <c r="D7" s="172" t="n">
        <f aca="false">[2]May!$R$1</f>
        <v>1000</v>
      </c>
      <c r="E7" s="173" t="n">
        <f aca="false">[2]Jun!$R$1</f>
        <v>2000</v>
      </c>
      <c r="F7" s="172" t="n">
        <f aca="false">[2]Jul!$R$1</f>
        <v>0</v>
      </c>
      <c r="G7" s="172" t="n">
        <f aca="false">[2]Aug!$R$1</f>
        <v>0</v>
      </c>
      <c r="H7" s="173" t="n">
        <f aca="false">[2]Sep!$R$1</f>
        <v>1800</v>
      </c>
      <c r="I7" s="172" t="n">
        <f aca="false">[2]Oct!$R$1</f>
        <v>0</v>
      </c>
      <c r="J7" s="172" t="n">
        <f aca="false">[2]Nov!$R$1</f>
        <v>3000</v>
      </c>
      <c r="K7" s="173" t="n">
        <f aca="false">[2]Dec!$R$1</f>
        <v>0</v>
      </c>
      <c r="L7" s="172" t="n">
        <f aca="false">[2]Jan!$R$1</f>
        <v>1000</v>
      </c>
      <c r="M7" s="172" t="n">
        <f aca="false">[2]Feb!$R$1</f>
        <v>1500</v>
      </c>
      <c r="N7" s="172" t="n">
        <f aca="false">[2]Mar!$R$1</f>
        <v>0</v>
      </c>
      <c r="O7" s="165"/>
    </row>
    <row r="8" customFormat="false" ht="12" hidden="false" customHeight="false" outlineLevel="0" collapsed="false">
      <c r="A8" s="170" t="s">
        <v>259</v>
      </c>
      <c r="B8" s="171" t="n">
        <f aca="false">SUM(C8:N8)</f>
        <v>3700</v>
      </c>
      <c r="C8" s="172" t="n">
        <f aca="false">[2]Apr!$S$1</f>
        <v>700</v>
      </c>
      <c r="D8" s="172" t="n">
        <f aca="false">[2]May!$S$1</f>
        <v>0</v>
      </c>
      <c r="E8" s="173" t="n">
        <f aca="false">[2]Jun!$S$1</f>
        <v>0</v>
      </c>
      <c r="F8" s="172" t="n">
        <f aca="false">[2]Jul!$S$1</f>
        <v>700</v>
      </c>
      <c r="G8" s="172" t="n">
        <f aca="false">[2]Aug!$S$1</f>
        <v>0</v>
      </c>
      <c r="H8" s="173" t="n">
        <f aca="false">[2]Sep!$S$1</f>
        <v>500</v>
      </c>
      <c r="I8" s="172" t="n">
        <f aca="false">[2]Oct!$S$1</f>
        <v>700</v>
      </c>
      <c r="J8" s="172" t="n">
        <f aca="false">[2]Nov!$S$1</f>
        <v>0</v>
      </c>
      <c r="K8" s="173" t="n">
        <f aca="false">[2]Dec!$S$1</f>
        <v>0</v>
      </c>
      <c r="L8" s="172" t="n">
        <f aca="false">[2]Jan!$S$1</f>
        <v>1100</v>
      </c>
      <c r="M8" s="172" t="n">
        <f aca="false">[2]Feb!$S$1</f>
        <v>0</v>
      </c>
      <c r="N8" s="172" t="n">
        <f aca="false">[2]Mar!$S$1</f>
        <v>0</v>
      </c>
      <c r="O8" s="165"/>
    </row>
    <row r="9" s="177" customFormat="true" ht="12" hidden="false" customHeight="false" outlineLevel="0" collapsed="false">
      <c r="A9" s="174" t="s">
        <v>260</v>
      </c>
      <c r="B9" s="171" t="n">
        <f aca="false">SUM(B5:B8)</f>
        <v>339200</v>
      </c>
      <c r="C9" s="171" t="n">
        <f aca="false">SUM(C5:C8)</f>
        <v>27833.3333333333</v>
      </c>
      <c r="D9" s="171" t="n">
        <f aca="false">SUM(D5:D8)</f>
        <v>27433.3333333333</v>
      </c>
      <c r="E9" s="171" t="n">
        <f aca="false">SUM(E5:E8)</f>
        <v>29333.3333333333</v>
      </c>
      <c r="F9" s="175" t="n">
        <f aca="false">SUM(F5:F8)</f>
        <v>28133.3333333333</v>
      </c>
      <c r="G9" s="171" t="n">
        <f aca="false">SUM(G5:G8)</f>
        <v>27933.3333333333</v>
      </c>
      <c r="H9" s="171" t="n">
        <f aca="false">SUM(H5:H8)</f>
        <v>28133.3333333333</v>
      </c>
      <c r="I9" s="175" t="n">
        <f aca="false">SUM(I5:I8)</f>
        <v>29633.3333333333</v>
      </c>
      <c r="J9" s="171" t="n">
        <f aca="false">SUM(J5:J8)</f>
        <v>29433.3333333333</v>
      </c>
      <c r="K9" s="171" t="n">
        <f aca="false">SUM(K5:K8)</f>
        <v>27333.3333333333</v>
      </c>
      <c r="L9" s="175" t="n">
        <f aca="false">SUM(L5:L8)</f>
        <v>29533.3333333333</v>
      </c>
      <c r="M9" s="171" t="n">
        <f aca="false">SUM(M5:M8)</f>
        <v>28633.3333333333</v>
      </c>
      <c r="N9" s="171" t="n">
        <f aca="false">SUM(N5:N8)</f>
        <v>25833.3333333333</v>
      </c>
      <c r="O9" s="176"/>
    </row>
    <row r="10" s="179" customFormat="true" ht="6" hidden="false" customHeight="true" outlineLevel="0" collapsed="false">
      <c r="A10" s="174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6"/>
    </row>
    <row r="11" customFormat="false" ht="12" hidden="false" customHeight="false" outlineLevel="0" collapsed="false">
      <c r="A11" s="170" t="s">
        <v>261</v>
      </c>
      <c r="B11" s="171" t="n">
        <f aca="false">SUM(C11:N11)</f>
        <v>2083.33333333333</v>
      </c>
      <c r="C11" s="172" t="n">
        <f aca="false">[2]Apr!$T$1</f>
        <v>0</v>
      </c>
      <c r="D11" s="172" t="n">
        <f aca="false">[2]May!$T$1</f>
        <v>0</v>
      </c>
      <c r="E11" s="173" t="n">
        <f aca="false">[2]Jun!$T$1</f>
        <v>0</v>
      </c>
      <c r="F11" s="172" t="n">
        <f aca="false">[2]Jul!$T$1</f>
        <v>0</v>
      </c>
      <c r="G11" s="172" t="n">
        <f aca="false">[2]Aug!$T$1</f>
        <v>2083.33333333333</v>
      </c>
      <c r="H11" s="173" t="n">
        <f aca="false">[2]Sep!$T$1</f>
        <v>0</v>
      </c>
      <c r="I11" s="172" t="n">
        <f aca="false">[2]Oct!$T$1</f>
        <v>0</v>
      </c>
      <c r="J11" s="172" t="n">
        <f aca="false">[2]Nov!$T$1</f>
        <v>0</v>
      </c>
      <c r="K11" s="173" t="n">
        <f aca="false">[2]Dec!$T$1</f>
        <v>0</v>
      </c>
      <c r="L11" s="172" t="n">
        <f aca="false">[2]Jan!$T$1</f>
        <v>0</v>
      </c>
      <c r="M11" s="172" t="n">
        <f aca="false">[2]Feb!$T$1</f>
        <v>0</v>
      </c>
      <c r="N11" s="172" t="n">
        <f aca="false">[2]Mar!$T$1</f>
        <v>0</v>
      </c>
      <c r="O11" s="165"/>
    </row>
    <row r="12" s="159" customFormat="true" ht="6" hidden="false" customHeight="true" outlineLevel="0" collapsed="false">
      <c r="A12" s="170"/>
      <c r="B12" s="178"/>
      <c r="C12" s="178"/>
      <c r="D12" s="178"/>
      <c r="E12" s="180"/>
      <c r="F12" s="178"/>
      <c r="G12" s="178"/>
      <c r="H12" s="178"/>
      <c r="I12" s="178"/>
      <c r="J12" s="178"/>
      <c r="K12" s="178"/>
      <c r="L12" s="178"/>
      <c r="M12" s="178"/>
      <c r="N12" s="178"/>
      <c r="O12" s="165"/>
    </row>
    <row r="13" s="177" customFormat="true" ht="10.5" hidden="false" customHeight="true" outlineLevel="0" collapsed="false">
      <c r="A13" s="181" t="s">
        <v>262</v>
      </c>
      <c r="B13" s="178"/>
      <c r="C13" s="178"/>
      <c r="D13" s="178"/>
      <c r="E13" s="180"/>
      <c r="F13" s="178"/>
      <c r="G13" s="178"/>
      <c r="H13" s="178"/>
      <c r="I13" s="178"/>
      <c r="J13" s="178"/>
      <c r="K13" s="178"/>
      <c r="L13" s="178"/>
      <c r="M13" s="178"/>
      <c r="N13" s="178"/>
      <c r="O13" s="176"/>
    </row>
    <row r="14" customFormat="false" ht="12" hidden="false" customHeight="false" outlineLevel="0" collapsed="false">
      <c r="A14" s="170" t="s">
        <v>263</v>
      </c>
      <c r="B14" s="171" t="n">
        <f aca="false">SUM(C14:N14)</f>
        <v>9450</v>
      </c>
      <c r="C14" s="172" t="n">
        <f aca="false">[3]Apr!$P$1+StockControl!AB6-StockControl!AB8</f>
        <v>500</v>
      </c>
      <c r="D14" s="172" t="n">
        <f aca="false">[3]May!$P$1+StockControl!AB8-StockControl!AB10</f>
        <v>600</v>
      </c>
      <c r="E14" s="173" t="n">
        <f aca="false">[3]Jun!$P$1+StockControl!AB10-StockControl!AB12</f>
        <v>300</v>
      </c>
      <c r="F14" s="172" t="n">
        <f aca="false">[3]Jul!$P$1+StockControl!AB12-StockControl!AB14</f>
        <v>600</v>
      </c>
      <c r="G14" s="172" t="n">
        <f aca="false">[3]Aug!$P$1+StockControl!AB14-StockControl!AB16</f>
        <v>450</v>
      </c>
      <c r="H14" s="173" t="n">
        <f aca="false">[3]Sep!$P$1+StockControl!AB16-StockControl!AB18</f>
        <v>200</v>
      </c>
      <c r="I14" s="172" t="n">
        <f aca="false">[3]Oct!$P$1+StockControl!AB18-StockControl!AB20</f>
        <v>400</v>
      </c>
      <c r="J14" s="172" t="n">
        <f aca="false">[3]Nov!$P$1+StockControl!AB20-StockControl!AB22</f>
        <v>700</v>
      </c>
      <c r="K14" s="173" t="n">
        <f aca="false">[3]Dec!$P$1+StockControl!AB22-StockControl!AB24</f>
        <v>400</v>
      </c>
      <c r="L14" s="172" t="n">
        <f aca="false">[3]Jan!$P$1+StockControl!AB24-StockControl!AB26</f>
        <v>500</v>
      </c>
      <c r="M14" s="172" t="n">
        <f aca="false">[3]Feb!$P$1+StockControl!AB26-StockControl!AB28</f>
        <v>550</v>
      </c>
      <c r="N14" s="172" t="n">
        <f aca="false">[3]Mar!$P$1+StockControl!AB28-StockControl!AB30</f>
        <v>4250</v>
      </c>
      <c r="O14" s="165"/>
    </row>
    <row r="15" customFormat="false" ht="12" hidden="false" customHeight="false" outlineLevel="0" collapsed="false">
      <c r="A15" s="170" t="s">
        <v>264</v>
      </c>
      <c r="B15" s="171" t="n">
        <f aca="false">SUM(C15:N15)</f>
        <v>6666.66666666667</v>
      </c>
      <c r="C15" s="172" t="n">
        <f aca="false">[3]Apr!$Q$1</f>
        <v>0</v>
      </c>
      <c r="D15" s="172" t="n">
        <f aca="false">[3]May!$Q$1</f>
        <v>0</v>
      </c>
      <c r="E15" s="173" t="n">
        <f aca="false">[3]Jun!$Q$1</f>
        <v>4166.66666666667</v>
      </c>
      <c r="F15" s="172" t="n">
        <f aca="false">[3]Jul!$Q$1</f>
        <v>0</v>
      </c>
      <c r="G15" s="172" t="n">
        <f aca="false">[3]Aug!$Q$1</f>
        <v>0</v>
      </c>
      <c r="H15" s="173" t="n">
        <f aca="false">[3]Sep!$Q$1</f>
        <v>0</v>
      </c>
      <c r="I15" s="172" t="n">
        <f aca="false">[3]Oct!$Q$1</f>
        <v>0</v>
      </c>
      <c r="J15" s="172" t="n">
        <f aca="false">[3]Nov!$Q$1</f>
        <v>2500</v>
      </c>
      <c r="K15" s="173" t="n">
        <f aca="false">[3]Dec!$Q$1</f>
        <v>0</v>
      </c>
      <c r="L15" s="172" t="n">
        <f aca="false">[3]Jan!$Q$1</f>
        <v>0</v>
      </c>
      <c r="M15" s="172" t="n">
        <f aca="false">[3]Feb!$Q$1</f>
        <v>0</v>
      </c>
      <c r="N15" s="172" t="n">
        <f aca="false">[3]Mar!$Q$1</f>
        <v>0</v>
      </c>
      <c r="O15" s="165"/>
    </row>
    <row r="16" customFormat="false" ht="12" hidden="false" customHeight="false" outlineLevel="0" collapsed="false">
      <c r="A16" s="170" t="s">
        <v>265</v>
      </c>
      <c r="B16" s="171" t="n">
        <f aca="false">SUM(C16:N16)</f>
        <v>4020</v>
      </c>
      <c r="C16" s="172" t="n">
        <f aca="false">[3]Apr!$R$1</f>
        <v>237.5</v>
      </c>
      <c r="D16" s="172" t="n">
        <f aca="false">[3]May!$R$1</f>
        <v>407.5</v>
      </c>
      <c r="E16" s="173" t="n">
        <f aca="false">[3]Jun!$R$1</f>
        <v>237.5</v>
      </c>
      <c r="F16" s="172" t="n">
        <f aca="false">[3]Jul!$R$1</f>
        <v>607.5</v>
      </c>
      <c r="G16" s="172" t="n">
        <f aca="false">[3]Aug!$R$1</f>
        <v>237.5</v>
      </c>
      <c r="H16" s="173" t="n">
        <f aca="false">[3]Sep!$R$1</f>
        <v>507.5</v>
      </c>
      <c r="I16" s="172" t="n">
        <f aca="false">[3]Oct!$R$1</f>
        <v>237.5</v>
      </c>
      <c r="J16" s="172" t="n">
        <f aca="false">[3]Nov!$R$1</f>
        <v>207.5</v>
      </c>
      <c r="K16" s="173" t="n">
        <f aca="false">[3]Dec!$R$1</f>
        <v>237.5</v>
      </c>
      <c r="L16" s="172" t="n">
        <f aca="false">[3]Jan!$R$1</f>
        <v>357.5</v>
      </c>
      <c r="M16" s="172" t="n">
        <f aca="false">[3]Feb!$R$1</f>
        <v>537.5</v>
      </c>
      <c r="N16" s="172" t="n">
        <f aca="false">[3]Mar!$R$1</f>
        <v>207.5</v>
      </c>
      <c r="O16" s="165"/>
    </row>
    <row r="17" s="177" customFormat="true" ht="12" hidden="false" customHeight="false" outlineLevel="0" collapsed="false">
      <c r="A17" s="174" t="s">
        <v>266</v>
      </c>
      <c r="B17" s="171" t="n">
        <f aca="false">SUM(B14:B16)</f>
        <v>20136.6666666667</v>
      </c>
      <c r="C17" s="171" t="n">
        <f aca="false">SUM(C14:C16)</f>
        <v>737.5</v>
      </c>
      <c r="D17" s="171" t="n">
        <f aca="false">SUM(D14:D16)</f>
        <v>1007.5</v>
      </c>
      <c r="E17" s="171" t="n">
        <f aca="false">SUM(E14:E16)</f>
        <v>4704.16666666667</v>
      </c>
      <c r="F17" s="175" t="n">
        <f aca="false">SUM(F14:F16)</f>
        <v>1207.5</v>
      </c>
      <c r="G17" s="171" t="n">
        <f aca="false">SUM(G14:G16)</f>
        <v>687.5</v>
      </c>
      <c r="H17" s="171" t="n">
        <f aca="false">SUM(H14:H16)</f>
        <v>707.5</v>
      </c>
      <c r="I17" s="175" t="n">
        <f aca="false">SUM(I14:I16)</f>
        <v>637.5</v>
      </c>
      <c r="J17" s="171" t="n">
        <f aca="false">SUM(J14:J16)</f>
        <v>3407.5</v>
      </c>
      <c r="K17" s="171" t="n">
        <f aca="false">SUM(K14:K16)</f>
        <v>637.5</v>
      </c>
      <c r="L17" s="175" t="n">
        <f aca="false">SUM(L14:L16)</f>
        <v>857.5</v>
      </c>
      <c r="M17" s="171" t="n">
        <f aca="false">SUM(M14:M16)</f>
        <v>1087.5</v>
      </c>
      <c r="N17" s="171" t="n">
        <f aca="false">SUM(N14:N16)</f>
        <v>4457.5</v>
      </c>
      <c r="O17" s="176"/>
    </row>
    <row r="18" s="177" customFormat="true" ht="7.5" hidden="false" customHeight="true" outlineLevel="0" collapsed="false">
      <c r="A18" s="174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6"/>
    </row>
    <row r="19" s="177" customFormat="true" ht="12" hidden="false" customHeight="false" outlineLevel="0" collapsed="false">
      <c r="A19" s="174" t="s">
        <v>267</v>
      </c>
      <c r="B19" s="171" t="n">
        <f aca="false">B9+B11-B17</f>
        <v>321146.666666666</v>
      </c>
      <c r="C19" s="171" t="n">
        <f aca="false">C9+C11-C17</f>
        <v>27095.8333333333</v>
      </c>
      <c r="D19" s="171" t="n">
        <f aca="false">D9+D11-D17</f>
        <v>26425.8333333333</v>
      </c>
      <c r="E19" s="171" t="n">
        <f aca="false">E9+E11-E17</f>
        <v>24629.1666666666</v>
      </c>
      <c r="F19" s="175" t="n">
        <f aca="false">F9+F11-F17</f>
        <v>26925.8333333333</v>
      </c>
      <c r="G19" s="171" t="n">
        <f aca="false">G9+G11-G17</f>
        <v>29329.1666666666</v>
      </c>
      <c r="H19" s="171" t="n">
        <f aca="false">H9+H11-H17</f>
        <v>27425.8333333333</v>
      </c>
      <c r="I19" s="175" t="n">
        <f aca="false">I9+I11-I17</f>
        <v>28995.8333333333</v>
      </c>
      <c r="J19" s="171" t="n">
        <f aca="false">J9+J11-J17</f>
        <v>26025.8333333333</v>
      </c>
      <c r="K19" s="171" t="n">
        <f aca="false">K9+K11-K17</f>
        <v>26695.8333333333</v>
      </c>
      <c r="L19" s="175" t="n">
        <f aca="false">L9+L11-L17</f>
        <v>28675.8333333333</v>
      </c>
      <c r="M19" s="171" t="n">
        <f aca="false">M9+M11-M17</f>
        <v>27545.8333333333</v>
      </c>
      <c r="N19" s="171" t="n">
        <f aca="false">N9+N11-N17</f>
        <v>21375.8333333333</v>
      </c>
      <c r="O19" s="176"/>
    </row>
    <row r="20" s="177" customFormat="true" ht="10.5" hidden="false" customHeight="true" outlineLevel="0" collapsed="false">
      <c r="A20" s="181" t="s">
        <v>268</v>
      </c>
      <c r="B20" s="178"/>
      <c r="C20" s="182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2"/>
      <c r="O20" s="176"/>
    </row>
    <row r="21" customFormat="false" ht="12" hidden="false" customHeight="false" outlineLevel="0" collapsed="false">
      <c r="A21" s="170" t="s">
        <v>269</v>
      </c>
      <c r="B21" s="171" t="n">
        <f aca="false">SUM(C21:N21)</f>
        <v>92735.7333333333</v>
      </c>
      <c r="C21" s="172" t="n">
        <f aca="false">[3]Apr!$S$1+Wagesinterface!C4+Wagesinterface!H4-Wagesinterface!I4</f>
        <v>7325.2</v>
      </c>
      <c r="D21" s="172" t="n">
        <f aca="false">[3]May!$S$1+Wagesinterface!C5+Wagesinterface!H5-Wagesinterface!I5</f>
        <v>7325.2</v>
      </c>
      <c r="E21" s="173" t="n">
        <f aca="false">[3]Jun!$S$1+Wagesinterface!C6+Wagesinterface!H6-Wagesinterface!I6</f>
        <v>7325.2</v>
      </c>
      <c r="F21" s="172" t="n">
        <f aca="false">[3]Jul!$S$1+Wagesinterface!C7+Wagesinterface!H7-Wagesinterface!I7</f>
        <v>7325.2</v>
      </c>
      <c r="G21" s="172" t="n">
        <f aca="false">[3]Aug!$S$1+Wagesinterface!C8+Wagesinterface!H8-Wagesinterface!I8</f>
        <v>7991.86666666667</v>
      </c>
      <c r="H21" s="173" t="n">
        <f aca="false">[3]Sep!$S$1+Wagesinterface!C9+Wagesinterface!H9-Wagesinterface!I9</f>
        <v>7325.2</v>
      </c>
      <c r="I21" s="172" t="n">
        <f aca="false">[3]Oct!$S$1+Wagesinterface!C10+Wagesinterface!H10-Wagesinterface!I10</f>
        <v>7325.2</v>
      </c>
      <c r="J21" s="172" t="n">
        <f aca="false">[3]Nov!$S$1+Wagesinterface!C11+Wagesinterface!H11-Wagesinterface!I11</f>
        <v>7325.2</v>
      </c>
      <c r="K21" s="173" t="n">
        <f aca="false">[3]Dec!$S$1+Wagesinterface!C12+Wagesinterface!H12-Wagesinterface!I12</f>
        <v>11491.8666666667</v>
      </c>
      <c r="L21" s="172" t="n">
        <f aca="false">[3]Jan!$S$1+Wagesinterface!C13+Wagesinterface!H13-Wagesinterface!I13</f>
        <v>7325.2</v>
      </c>
      <c r="M21" s="172" t="n">
        <f aca="false">[3]Feb!$S$1+Wagesinterface!C14+Wagesinterface!H14-Wagesinterface!I14</f>
        <v>7325.2</v>
      </c>
      <c r="N21" s="172" t="n">
        <f aca="false">[3]Mar!$S$1+Wagesinterface!C15+Wagesinterface!H15-Wagesinterface!I15</f>
        <v>7325.2</v>
      </c>
      <c r="O21" s="165"/>
    </row>
    <row r="22" customFormat="false" ht="12" hidden="false" customHeight="false" outlineLevel="0" collapsed="false">
      <c r="A22" s="183" t="s">
        <v>270</v>
      </c>
      <c r="B22" s="171" t="n">
        <f aca="false">SUM(C22:N22)</f>
        <v>13200</v>
      </c>
      <c r="C22" s="172" t="n">
        <f aca="false">[3]Apr!$T$1</f>
        <v>1000</v>
      </c>
      <c r="D22" s="172" t="n">
        <f aca="false">[3]May!$T$1</f>
        <v>1000</v>
      </c>
      <c r="E22" s="173" t="n">
        <f aca="false">[3]Jun!$T$1</f>
        <v>1300</v>
      </c>
      <c r="F22" s="172" t="n">
        <f aca="false">[3]Jul!$T$1</f>
        <v>1000</v>
      </c>
      <c r="G22" s="172" t="n">
        <f aca="false">[3]Aug!$T$1</f>
        <v>1000</v>
      </c>
      <c r="H22" s="173" t="n">
        <f aca="false">[3]Sep!$T$1</f>
        <v>1250</v>
      </c>
      <c r="I22" s="172" t="n">
        <f aca="false">[3]Oct!$T$1</f>
        <v>1000</v>
      </c>
      <c r="J22" s="172" t="n">
        <f aca="false">[3]Nov!$T$1</f>
        <v>1000</v>
      </c>
      <c r="K22" s="173" t="n">
        <f aca="false">[3]Dec!$T$1</f>
        <v>1350</v>
      </c>
      <c r="L22" s="172" t="n">
        <f aca="false">[3]Jan!$T$1</f>
        <v>1000</v>
      </c>
      <c r="M22" s="172" t="n">
        <f aca="false">[3]Feb!$T$1</f>
        <v>1000</v>
      </c>
      <c r="N22" s="172" t="n">
        <f aca="false">[3]Mar!$T$1</f>
        <v>1300</v>
      </c>
      <c r="O22" s="165"/>
    </row>
    <row r="23" customFormat="false" ht="12" hidden="false" customHeight="false" outlineLevel="0" collapsed="false">
      <c r="A23" s="183" t="s">
        <v>271</v>
      </c>
      <c r="B23" s="171" t="n">
        <f aca="false">SUM(C23:N23)</f>
        <v>950</v>
      </c>
      <c r="C23" s="172" t="n">
        <f aca="false">[3]Apr!$U$1</f>
        <v>100</v>
      </c>
      <c r="D23" s="172" t="n">
        <f aca="false">[3]May!$U$1</f>
        <v>0</v>
      </c>
      <c r="E23" s="173" t="n">
        <f aca="false">[3]Jun!$U$1</f>
        <v>0</v>
      </c>
      <c r="F23" s="172" t="n">
        <f aca="false">[3]Jul!$U$1</f>
        <v>150</v>
      </c>
      <c r="G23" s="172" t="n">
        <f aca="false">[3]Aug!$U$1</f>
        <v>200</v>
      </c>
      <c r="H23" s="173" t="n">
        <f aca="false">[3]Sep!$U$1</f>
        <v>0</v>
      </c>
      <c r="I23" s="172" t="n">
        <f aca="false">[3]Oct!$U$1</f>
        <v>80</v>
      </c>
      <c r="J23" s="172" t="n">
        <f aca="false">[3]Nov!$U$1</f>
        <v>0</v>
      </c>
      <c r="K23" s="173" t="n">
        <f aca="false">[3]Dec!$U$1</f>
        <v>0</v>
      </c>
      <c r="L23" s="172" t="n">
        <f aca="false">[3]Jan!$U$1</f>
        <v>120</v>
      </c>
      <c r="M23" s="172" t="n">
        <f aca="false">[3]Feb!$U$1</f>
        <v>300</v>
      </c>
      <c r="N23" s="172" t="n">
        <f aca="false">[3]Mar!$U$1</f>
        <v>0</v>
      </c>
      <c r="O23" s="165"/>
    </row>
    <row r="24" customFormat="false" ht="12" hidden="false" customHeight="false" outlineLevel="0" collapsed="false">
      <c r="A24" s="183" t="s">
        <v>272</v>
      </c>
      <c r="B24" s="171" t="n">
        <f aca="false">SUM(C24:N24)</f>
        <v>3035</v>
      </c>
      <c r="C24" s="172" t="n">
        <f aca="false">[3]Apr!$V$1</f>
        <v>262.5</v>
      </c>
      <c r="D24" s="172" t="n">
        <f aca="false">[3]May!$V$1</f>
        <v>277.5</v>
      </c>
      <c r="E24" s="173" t="n">
        <f aca="false">[3]Jun!$V$1</f>
        <v>192.5</v>
      </c>
      <c r="F24" s="172" t="n">
        <f aca="false">[3]Jul!$V$1</f>
        <v>382.5</v>
      </c>
      <c r="G24" s="172" t="n">
        <f aca="false">[3]Aug!$V$1</f>
        <v>112.5</v>
      </c>
      <c r="H24" s="173" t="n">
        <f aca="false">[3]Sep!$V$1</f>
        <v>202.5</v>
      </c>
      <c r="I24" s="172" t="n">
        <f aca="false">[3]Oct!$V$1</f>
        <v>262.5</v>
      </c>
      <c r="J24" s="172" t="n">
        <f aca="false">[3]Nov!$V$1</f>
        <v>337.5</v>
      </c>
      <c r="K24" s="173" t="n">
        <f aca="false">[3]Dec!$V$1</f>
        <v>212.5</v>
      </c>
      <c r="L24" s="172" t="n">
        <f aca="false">[3]Jan!$V$1</f>
        <v>427.5</v>
      </c>
      <c r="M24" s="172" t="n">
        <f aca="false">[3]Feb!$V$1</f>
        <v>112.5</v>
      </c>
      <c r="N24" s="172" t="n">
        <f aca="false">[3]Mar!$V$1</f>
        <v>252.5</v>
      </c>
      <c r="O24" s="165"/>
    </row>
    <row r="25" customFormat="false" ht="12" hidden="false" customHeight="false" outlineLevel="0" collapsed="false">
      <c r="A25" s="183" t="s">
        <v>273</v>
      </c>
      <c r="B25" s="171" t="n">
        <f aca="false">SUM(C25:N25)</f>
        <v>6434.25</v>
      </c>
      <c r="C25" s="172" t="n">
        <f aca="false">[3]Apr!$W$1</f>
        <v>508.25</v>
      </c>
      <c r="D25" s="172" t="n">
        <f aca="false">[3]May!$W$1</f>
        <v>564</v>
      </c>
      <c r="E25" s="173" t="n">
        <f aca="false">[3]Jun!$W$1</f>
        <v>560</v>
      </c>
      <c r="F25" s="172" t="n">
        <f aca="false">[3]Jul!$W$1</f>
        <v>490.25</v>
      </c>
      <c r="G25" s="172" t="n">
        <f aca="false">[3]Aug!$W$1</f>
        <v>508.25</v>
      </c>
      <c r="H25" s="173" t="n">
        <f aca="false">[3]Sep!$W$1</f>
        <v>602</v>
      </c>
      <c r="I25" s="172" t="n">
        <f aca="false">[3]Oct!$W$1</f>
        <v>512.75</v>
      </c>
      <c r="J25" s="172" t="n">
        <f aca="false">[3]Nov!$W$1</f>
        <v>551</v>
      </c>
      <c r="K25" s="173" t="n">
        <f aca="false">[3]Dec!$W$1</f>
        <v>519.5</v>
      </c>
      <c r="L25" s="172" t="n">
        <f aca="false">[3]Jan!$W$1</f>
        <v>538.25</v>
      </c>
      <c r="M25" s="172" t="n">
        <f aca="false">[3]Feb!$W$1</f>
        <v>501.5</v>
      </c>
      <c r="N25" s="172" t="n">
        <f aca="false">[3]Mar!$W$1</f>
        <v>578.5</v>
      </c>
      <c r="O25" s="165"/>
    </row>
    <row r="26" customFormat="false" ht="12" hidden="false" customHeight="false" outlineLevel="0" collapsed="false">
      <c r="A26" s="183" t="s">
        <v>274</v>
      </c>
      <c r="B26" s="171" t="n">
        <f aca="false">SUM(C26:N26)</f>
        <v>1550</v>
      </c>
      <c r="C26" s="172" t="n">
        <f aca="false">[3]Apr!$X$1</f>
        <v>76.6666666666667</v>
      </c>
      <c r="D26" s="172" t="n">
        <f aca="false">[3]May!$X$1</f>
        <v>126.666666666667</v>
      </c>
      <c r="E26" s="173" t="n">
        <f aca="false">[3]Jun!$X$1</f>
        <v>226.666666666667</v>
      </c>
      <c r="F26" s="172" t="n">
        <f aca="false">[3]Jul!$X$1</f>
        <v>76.6666666666667</v>
      </c>
      <c r="G26" s="172" t="n">
        <f aca="false">[3]Aug!$X$1</f>
        <v>116.666666666667</v>
      </c>
      <c r="H26" s="173" t="n">
        <f aca="false">[3]Sep!$X$1</f>
        <v>76.6666666666667</v>
      </c>
      <c r="I26" s="172" t="n">
        <f aca="false">[3]Oct!$X$1</f>
        <v>176.666666666667</v>
      </c>
      <c r="J26" s="172" t="n">
        <f aca="false">[3]Nov!$X$1</f>
        <v>136.666666666667</v>
      </c>
      <c r="K26" s="173" t="n">
        <f aca="false">[3]Dec!$X$1</f>
        <v>76.6666666666667</v>
      </c>
      <c r="L26" s="172" t="n">
        <f aca="false">[3]Jan!$X$1</f>
        <v>76.6666666666667</v>
      </c>
      <c r="M26" s="172" t="n">
        <f aca="false">[3]Feb!$X$1</f>
        <v>306.666666666667</v>
      </c>
      <c r="N26" s="172" t="n">
        <f aca="false">[3]Mar!$X$1</f>
        <v>76.6666666666667</v>
      </c>
      <c r="O26" s="165"/>
    </row>
    <row r="27" customFormat="false" ht="12" hidden="false" customHeight="false" outlineLevel="0" collapsed="false">
      <c r="A27" s="183" t="s">
        <v>275</v>
      </c>
      <c r="B27" s="171" t="n">
        <f aca="false">SUM(C27:N27)</f>
        <v>3800</v>
      </c>
      <c r="C27" s="172" t="n">
        <f aca="false">[3]Apr!$Y$1</f>
        <v>0</v>
      </c>
      <c r="D27" s="172" t="n">
        <f aca="false">[3]May!$Y$1</f>
        <v>500</v>
      </c>
      <c r="E27" s="173" t="n">
        <f aca="false">[3]Jun!$Y$1</f>
        <v>0</v>
      </c>
      <c r="F27" s="172" t="n">
        <f aca="false">[3]Jul!$Y$1</f>
        <v>400</v>
      </c>
      <c r="G27" s="172" t="n">
        <f aca="false">[3]Aug!$Y$1</f>
        <v>0</v>
      </c>
      <c r="H27" s="173" t="n">
        <f aca="false">[3]Sep!$Y$1</f>
        <v>0</v>
      </c>
      <c r="I27" s="172" t="n">
        <f aca="false">[3]Oct!$Y$1</f>
        <v>2500</v>
      </c>
      <c r="J27" s="172" t="n">
        <f aca="false">[3]Nov!$Y$1</f>
        <v>0</v>
      </c>
      <c r="K27" s="173" t="n">
        <f aca="false">[3]Dec!$Y$1</f>
        <v>0</v>
      </c>
      <c r="L27" s="172" t="n">
        <f aca="false">[3]Jan!$Y$1</f>
        <v>400</v>
      </c>
      <c r="M27" s="172" t="n">
        <f aca="false">[3]Feb!$Y$1</f>
        <v>0</v>
      </c>
      <c r="N27" s="172" t="n">
        <f aca="false">[3]Mar!$Y$1</f>
        <v>0</v>
      </c>
      <c r="O27" s="165"/>
    </row>
    <row r="28" customFormat="false" ht="12" hidden="false" customHeight="false" outlineLevel="0" collapsed="false">
      <c r="A28" s="183" t="s">
        <v>276</v>
      </c>
      <c r="B28" s="171" t="n">
        <f aca="false">SUM(C28:N28)</f>
        <v>6925</v>
      </c>
      <c r="C28" s="172" t="n">
        <f aca="false">[3]Apr!$Z$1</f>
        <v>250</v>
      </c>
      <c r="D28" s="172" t="n">
        <f aca="false">[3]May!$Z$1</f>
        <v>250</v>
      </c>
      <c r="E28" s="173" t="n">
        <f aca="false">[3]Jun!$Z$1</f>
        <v>458.333333333333</v>
      </c>
      <c r="F28" s="172" t="n">
        <f aca="false">[3]Jul!$Z$1</f>
        <v>2750</v>
      </c>
      <c r="G28" s="172" t="n">
        <f aca="false">[3]Aug!$Z$1</f>
        <v>250</v>
      </c>
      <c r="H28" s="173" t="n">
        <f aca="false">[3]Sep!$Z$1</f>
        <v>1223.33333333333</v>
      </c>
      <c r="I28" s="172" t="n">
        <f aca="false">[3]Oct!$Z$1</f>
        <v>250</v>
      </c>
      <c r="J28" s="172" t="n">
        <f aca="false">[3]Nov!$Z$1</f>
        <v>250</v>
      </c>
      <c r="K28" s="173" t="n">
        <f aca="false">[3]Dec!$Z$1</f>
        <v>389.166666666667</v>
      </c>
      <c r="L28" s="172" t="n">
        <f aca="false">[3]Jan!$Z$1</f>
        <v>250</v>
      </c>
      <c r="M28" s="172" t="n">
        <f aca="false">[3]Feb!$Z$1</f>
        <v>250</v>
      </c>
      <c r="N28" s="172" t="n">
        <f aca="false">[3]Mar!$Z$1</f>
        <v>354.166666666667</v>
      </c>
      <c r="O28" s="165"/>
    </row>
    <row r="29" customFormat="false" ht="12" hidden="false" customHeight="false" outlineLevel="0" collapsed="false">
      <c r="A29" s="183" t="s">
        <v>277</v>
      </c>
      <c r="B29" s="171" t="n">
        <f aca="false">SUM(C29:N29)</f>
        <v>-300</v>
      </c>
      <c r="C29" s="172" t="n">
        <f aca="false">-[2]Apr!$U$1</f>
        <v>-0</v>
      </c>
      <c r="D29" s="172" t="n">
        <f aca="false">-[2]May!$U$1</f>
        <v>-0</v>
      </c>
      <c r="E29" s="173" t="n">
        <f aca="false">-[2]Jun!$U$1</f>
        <v>-0</v>
      </c>
      <c r="F29" s="172" t="n">
        <f aca="false">-[2]Jul!$U$1</f>
        <v>-0</v>
      </c>
      <c r="G29" s="172" t="n">
        <f aca="false">-[2]Aug!$U$1</f>
        <v>-0</v>
      </c>
      <c r="H29" s="173" t="n">
        <f aca="false">-[2]Sep!$U$1</f>
        <v>-0</v>
      </c>
      <c r="I29" s="172" t="n">
        <f aca="false">-[2]Oct!$U$1</f>
        <v>-0</v>
      </c>
      <c r="J29" s="172" t="n">
        <f aca="false">-[2]Nov!$U$1</f>
        <v>-0</v>
      </c>
      <c r="K29" s="173" t="n">
        <f aca="false">-[2]Dec!$U$1</f>
        <v>-0</v>
      </c>
      <c r="L29" s="172" t="n">
        <f aca="false">-[2]Jan!$U$1</f>
        <v>-0</v>
      </c>
      <c r="M29" s="172" t="n">
        <f aca="false">-[2]Feb!$U$1</f>
        <v>-0</v>
      </c>
      <c r="N29" s="172" t="n">
        <f aca="false">-[2]Mar!$U$1</f>
        <v>-300</v>
      </c>
      <c r="O29" s="165"/>
    </row>
    <row r="30" customFormat="false" ht="12" hidden="false" customHeight="false" outlineLevel="0" collapsed="false">
      <c r="A30" s="183" t="s">
        <v>278</v>
      </c>
      <c r="B30" s="171" t="n">
        <f aca="false">SUM(C30:N30)</f>
        <v>0</v>
      </c>
      <c r="C30" s="172" t="n">
        <f aca="false">[4]Apr!$Z$1</f>
        <v>0</v>
      </c>
      <c r="D30" s="172" t="n">
        <f aca="false">[4]May!$Z$1</f>
        <v>0</v>
      </c>
      <c r="E30" s="173" t="n">
        <f aca="false">[4]Jun!$Z$1</f>
        <v>0</v>
      </c>
      <c r="F30" s="172" t="n">
        <f aca="false">[4]Jul!$Z$1</f>
        <v>0</v>
      </c>
      <c r="G30" s="172" t="n">
        <f aca="false">[4]Aug!$Z$1</f>
        <v>0</v>
      </c>
      <c r="H30" s="173" t="n">
        <f aca="false">[4]Sep!$Z$1</f>
        <v>0</v>
      </c>
      <c r="I30" s="172" t="n">
        <f aca="false">[4]Oct!$Z$1</f>
        <v>0</v>
      </c>
      <c r="J30" s="172" t="n">
        <f aca="false">[4]Nov!$Z$1</f>
        <v>0</v>
      </c>
      <c r="K30" s="173" t="n">
        <f aca="false">[4]Dec!$Z$1</f>
        <v>0</v>
      </c>
      <c r="L30" s="172" t="n">
        <f aca="false">[4]Jan!$Z$1</f>
        <v>0</v>
      </c>
      <c r="M30" s="172" t="n">
        <f aca="false">[4]Feb!$Z$1</f>
        <v>0</v>
      </c>
      <c r="N30" s="172" t="n">
        <f aca="false">[4]Mar!$Z$1</f>
        <v>0</v>
      </c>
      <c r="O30" s="165"/>
    </row>
    <row r="31" customFormat="false" ht="12" hidden="false" customHeight="false" outlineLevel="0" collapsed="false">
      <c r="A31" s="183" t="s">
        <v>279</v>
      </c>
      <c r="B31" s="171" t="n">
        <f aca="false">SUM(C31:N31)</f>
        <v>3900</v>
      </c>
      <c r="C31" s="172" t="n">
        <f aca="false">[5]Apr!$V$1+[4]Apr!$Y$1</f>
        <v>0</v>
      </c>
      <c r="D31" s="172" t="n">
        <f aca="false">[5]May!$V$1+[4]May!$Y$1</f>
        <v>25</v>
      </c>
      <c r="E31" s="173" t="n">
        <f aca="false">[5]Jun!$V$1+[4]Jun!$Y$1</f>
        <v>2250</v>
      </c>
      <c r="F31" s="172" t="n">
        <f aca="false">[5]Jul!$V$1+[4]Jul!$Y$1</f>
        <v>0</v>
      </c>
      <c r="G31" s="172" t="n">
        <f aca="false">[5]Aug!$V$1+[4]Aug!$Y$1</f>
        <v>0</v>
      </c>
      <c r="H31" s="173" t="n">
        <f aca="false">[5]Sep!$V$1+[4]Sep!$Y$1</f>
        <v>1308</v>
      </c>
      <c r="I31" s="172" t="n">
        <f aca="false">[5]Oct!$V$1+[4]Oct!$Y$1</f>
        <v>0</v>
      </c>
      <c r="J31" s="172" t="n">
        <f aca="false">[5]Nov!$V$1+[4]Nov!$Y$1</f>
        <v>25</v>
      </c>
      <c r="K31" s="173" t="n">
        <f aca="false">[5]Dec!$V$1+[4]Dec!$Y$1</f>
        <v>167</v>
      </c>
      <c r="L31" s="172" t="n">
        <f aca="false">[5]Jan!$V$1+[4]Jan!$Y$1</f>
        <v>0</v>
      </c>
      <c r="M31" s="172" t="n">
        <f aca="false">[5]Feb!$V$1+[4]Feb!$Y$1</f>
        <v>0</v>
      </c>
      <c r="N31" s="172" t="n">
        <f aca="false">[5]Mar!$V$1+[4]Mar!$Y$1</f>
        <v>125</v>
      </c>
      <c r="O31" s="165"/>
    </row>
    <row r="32" customFormat="false" ht="12" hidden="false" customHeight="false" outlineLevel="0" collapsed="false">
      <c r="A32" s="183" t="s">
        <v>280</v>
      </c>
      <c r="B32" s="171" t="n">
        <f aca="false">SUM(C32:N32)</f>
        <v>3231.66666666666</v>
      </c>
      <c r="C32" s="172" t="n">
        <f aca="false">[3]Apr!$AA$1</f>
        <v>1330.83333333333</v>
      </c>
      <c r="D32" s="172" t="n">
        <f aca="false">[3]May!$AA$1</f>
        <v>95.8333333333333</v>
      </c>
      <c r="E32" s="173" t="n">
        <f aca="false">[3]Jun!$AA$1</f>
        <v>120.833333333333</v>
      </c>
      <c r="F32" s="172" t="n">
        <f aca="false">[3]Jul!$AA$1</f>
        <v>95.8333333333333</v>
      </c>
      <c r="G32" s="172" t="n">
        <f aca="false">[3]Aug!$AA$1</f>
        <v>135.833333333333</v>
      </c>
      <c r="H32" s="173" t="n">
        <f aca="false">[3]Sep!$AA$1</f>
        <v>95.8333333333333</v>
      </c>
      <c r="I32" s="172" t="n">
        <f aca="false">[3]Oct!$AA$1</f>
        <v>425.833333333333</v>
      </c>
      <c r="J32" s="172" t="n">
        <f aca="false">[3]Nov!$AA$1</f>
        <v>95.8333333333333</v>
      </c>
      <c r="K32" s="173" t="n">
        <f aca="false">[3]Dec!$AA$1</f>
        <v>532.5</v>
      </c>
      <c r="L32" s="172" t="n">
        <f aca="false">[3]Jan!$AA$1</f>
        <v>95.8333333333333</v>
      </c>
      <c r="M32" s="172" t="n">
        <f aca="false">[3]Feb!$AA$1</f>
        <v>110.833333333333</v>
      </c>
      <c r="N32" s="172" t="n">
        <f aca="false">[3]Mar!$AA$1</f>
        <v>95.8333333333333</v>
      </c>
      <c r="O32" s="165"/>
    </row>
    <row r="33" customFormat="false" ht="12" hidden="false" customHeight="false" outlineLevel="0" collapsed="false">
      <c r="A33" s="170" t="s">
        <v>281</v>
      </c>
      <c r="B33" s="171" t="n">
        <f aca="false">SUM(C33:N33)</f>
        <v>172</v>
      </c>
      <c r="C33" s="172" t="n">
        <f aca="false">-([1]Schedule!$V$1-[1]Schedule!$W$1+[1]Schedule!$X$1)/12</f>
        <v>14.3333333333333</v>
      </c>
      <c r="D33" s="172" t="n">
        <f aca="false">-([1]Schedule!$V$1-[1]Schedule!$W$1+[1]Schedule!$X$1)/12</f>
        <v>14.3333333333333</v>
      </c>
      <c r="E33" s="173" t="n">
        <f aca="false">-([1]Schedule!$V$1-[1]Schedule!$W$1+[1]Schedule!$X$1)/12</f>
        <v>14.3333333333333</v>
      </c>
      <c r="F33" s="172" t="n">
        <f aca="false">-([1]Schedule!$V$1-[1]Schedule!$W$1+[1]Schedule!$X$1)/12</f>
        <v>14.3333333333333</v>
      </c>
      <c r="G33" s="172" t="n">
        <f aca="false">-([1]Schedule!$V$1-[1]Schedule!$W$1+[1]Schedule!$X$1)/12</f>
        <v>14.3333333333333</v>
      </c>
      <c r="H33" s="173" t="n">
        <f aca="false">-([1]Schedule!$V$1-[1]Schedule!$W$1+[1]Schedule!$X$1)/12</f>
        <v>14.3333333333333</v>
      </c>
      <c r="I33" s="172" t="n">
        <f aca="false">-([1]Schedule!$V$1-[1]Schedule!$W$1+[1]Schedule!$X$1)/12</f>
        <v>14.3333333333333</v>
      </c>
      <c r="J33" s="172" t="n">
        <f aca="false">-([1]Schedule!$V$1-[1]Schedule!$W$1+[1]Schedule!$X$1)/12</f>
        <v>14.3333333333333</v>
      </c>
      <c r="K33" s="173" t="n">
        <f aca="false">-([1]Schedule!$V$1-[1]Schedule!$W$1+[1]Schedule!$X$1)/12</f>
        <v>14.3333333333333</v>
      </c>
      <c r="L33" s="172" t="n">
        <f aca="false">-([1]Schedule!$V$1-[1]Schedule!$W$1+[1]Schedule!$X$1)/12</f>
        <v>14.3333333333333</v>
      </c>
      <c r="M33" s="172" t="n">
        <f aca="false">-([1]Schedule!$V$1-[1]Schedule!$W$1+[1]Schedule!$X$1)/12</f>
        <v>14.3333333333333</v>
      </c>
      <c r="N33" s="172" t="n">
        <f aca="false">-([1]Schedule!$V$1-[1]Schedule!$W$1+[1]Schedule!$X$1)/12</f>
        <v>14.3333333333333</v>
      </c>
      <c r="O33" s="165"/>
    </row>
    <row r="34" customFormat="false" ht="12" hidden="false" customHeight="false" outlineLevel="0" collapsed="false">
      <c r="A34" s="170" t="s">
        <v>282</v>
      </c>
      <c r="B34" s="171" t="n">
        <f aca="false">SUM(C34:N34)</f>
        <v>13740</v>
      </c>
      <c r="C34" s="172" t="n">
        <f aca="false">([1]Schedule!$I$1)/12</f>
        <v>1145</v>
      </c>
      <c r="D34" s="172" t="n">
        <f aca="false">([1]Schedule!$I$1)/12</f>
        <v>1145</v>
      </c>
      <c r="E34" s="173" t="n">
        <f aca="false">([1]Schedule!$I$1)/12</f>
        <v>1145</v>
      </c>
      <c r="F34" s="172" t="n">
        <f aca="false">([1]Schedule!$I$1)/12</f>
        <v>1145</v>
      </c>
      <c r="G34" s="172" t="n">
        <f aca="false">([1]Schedule!$I$1)/12</f>
        <v>1145</v>
      </c>
      <c r="H34" s="173" t="n">
        <f aca="false">([1]Schedule!$I$1)/12</f>
        <v>1145</v>
      </c>
      <c r="I34" s="172" t="n">
        <f aca="false">([1]Schedule!$I$1)/12</f>
        <v>1145</v>
      </c>
      <c r="J34" s="172" t="n">
        <f aca="false">([1]Schedule!$I$1)/12</f>
        <v>1145</v>
      </c>
      <c r="K34" s="173" t="n">
        <f aca="false">([1]Schedule!$I$1)/12</f>
        <v>1145</v>
      </c>
      <c r="L34" s="172" t="n">
        <f aca="false">([1]Schedule!$I$1)/12</f>
        <v>1145</v>
      </c>
      <c r="M34" s="172" t="n">
        <f aca="false">([1]Schedule!$I$1)/12</f>
        <v>1145</v>
      </c>
      <c r="N34" s="172" t="n">
        <f aca="false">([1]Schedule!$I$1)/12</f>
        <v>1145</v>
      </c>
      <c r="O34" s="165"/>
    </row>
    <row r="35" customFormat="false" ht="12" hidden="false" customHeight="false" outlineLevel="0" collapsed="false">
      <c r="A35" s="174" t="s">
        <v>268</v>
      </c>
      <c r="B35" s="171" t="n">
        <f aca="false">SUM(B21:B34)</f>
        <v>149373.65</v>
      </c>
      <c r="C35" s="171" t="n">
        <f aca="false">SUM(C21:C34)</f>
        <v>12012.7833333333</v>
      </c>
      <c r="D35" s="171" t="n">
        <f aca="false">SUM(D21:D34)</f>
        <v>11323.5333333333</v>
      </c>
      <c r="E35" s="171" t="n">
        <f aca="false">SUM(E21:E34)</f>
        <v>13592.8666666667</v>
      </c>
      <c r="F35" s="175" t="n">
        <f aca="false">SUM(F21:F34)</f>
        <v>13829.7833333333</v>
      </c>
      <c r="G35" s="171" t="n">
        <f aca="false">SUM(G21:G34)</f>
        <v>11474.45</v>
      </c>
      <c r="H35" s="171" t="n">
        <f aca="false">SUM(H21:H34)</f>
        <v>13242.8666666667</v>
      </c>
      <c r="I35" s="175" t="n">
        <f aca="false">SUM(I21:I34)</f>
        <v>13692.2833333333</v>
      </c>
      <c r="J35" s="171" t="n">
        <f aca="false">SUM(J21:J34)</f>
        <v>10880.5333333333</v>
      </c>
      <c r="K35" s="171" t="n">
        <f aca="false">SUM(K21:K34)</f>
        <v>15898.5333333333</v>
      </c>
      <c r="L35" s="175" t="n">
        <f aca="false">SUM(L21:L34)</f>
        <v>11392.7833333333</v>
      </c>
      <c r="M35" s="171" t="n">
        <f aca="false">SUM(M21:M34)</f>
        <v>11066.0333333333</v>
      </c>
      <c r="N35" s="171" t="n">
        <f aca="false">SUM(N21:N34)</f>
        <v>10967.2</v>
      </c>
      <c r="O35" s="165"/>
    </row>
    <row r="36" customFormat="false" ht="7.5" hidden="false" customHeight="true" outlineLevel="0" collapsed="false">
      <c r="A36" s="184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65"/>
    </row>
    <row r="37" customFormat="false" ht="12" hidden="false" customHeight="false" outlineLevel="0" collapsed="false">
      <c r="A37" s="174" t="s">
        <v>283</v>
      </c>
      <c r="B37" s="171" t="n">
        <f aca="false">B19-B35</f>
        <v>171773.016666666</v>
      </c>
      <c r="C37" s="171" t="n">
        <f aca="false">C19-C35</f>
        <v>15083.05</v>
      </c>
      <c r="D37" s="171" t="n">
        <f aca="false">D19-D35</f>
        <v>15102.3</v>
      </c>
      <c r="E37" s="171" t="n">
        <f aca="false">E19-E35</f>
        <v>11036.3</v>
      </c>
      <c r="F37" s="175" t="n">
        <f aca="false">F19-F35</f>
        <v>13096.05</v>
      </c>
      <c r="G37" s="171" t="n">
        <f aca="false">G19-G35</f>
        <v>17854.7166666666</v>
      </c>
      <c r="H37" s="171" t="n">
        <f aca="false">H19-H35</f>
        <v>14182.9666666666</v>
      </c>
      <c r="I37" s="175" t="n">
        <f aca="false">I19-I35</f>
        <v>15303.55</v>
      </c>
      <c r="J37" s="171" t="n">
        <f aca="false">J19-J35</f>
        <v>15145.3</v>
      </c>
      <c r="K37" s="171" t="n">
        <f aca="false">K19-K35</f>
        <v>10797.3</v>
      </c>
      <c r="L37" s="175" t="n">
        <f aca="false">L19-L35</f>
        <v>17283.05</v>
      </c>
      <c r="M37" s="171" t="n">
        <f aca="false">M19-M35</f>
        <v>16479.8</v>
      </c>
      <c r="N37" s="171" t="n">
        <f aca="false">N19-N35</f>
        <v>10408.6333333333</v>
      </c>
      <c r="O37" s="165"/>
    </row>
    <row r="38" customFormat="false" ht="12" hidden="false" customHeight="false" outlineLevel="0" collapsed="false">
      <c r="A38" s="170" t="s">
        <v>284</v>
      </c>
      <c r="B38" s="171" t="n">
        <f aca="false">SUM(C38:N38)</f>
        <v>0</v>
      </c>
      <c r="C38" s="172" t="n">
        <f aca="false">[4]Apr!$J$1</f>
        <v>0</v>
      </c>
      <c r="D38" s="172" t="n">
        <f aca="false">[4]May!$J$1</f>
        <v>0</v>
      </c>
      <c r="E38" s="173" t="n">
        <f aca="false">[4]Jun!$J$1</f>
        <v>0</v>
      </c>
      <c r="F38" s="172" t="n">
        <f aca="false">[4]Jul!$J$1</f>
        <v>0</v>
      </c>
      <c r="G38" s="172" t="n">
        <f aca="false">[4]Aug!$J$1</f>
        <v>0</v>
      </c>
      <c r="H38" s="173" t="n">
        <f aca="false">[4]Sep!$J$1</f>
        <v>0</v>
      </c>
      <c r="I38" s="172" t="n">
        <f aca="false">[4]Oct!$J$1</f>
        <v>0</v>
      </c>
      <c r="J38" s="172" t="n">
        <f aca="false">[4]Nov!$J$1</f>
        <v>0</v>
      </c>
      <c r="K38" s="173" t="n">
        <f aca="false">[4]Dec!$J$1</f>
        <v>0</v>
      </c>
      <c r="L38" s="172" t="n">
        <f aca="false">[4]Jan!$J$1</f>
        <v>0</v>
      </c>
      <c r="M38" s="172" t="n">
        <f aca="false">[4]Feb!$J$1</f>
        <v>0</v>
      </c>
      <c r="N38" s="172" t="n">
        <f aca="false">[4]Mar!$J$1</f>
        <v>0</v>
      </c>
      <c r="O38" s="165"/>
    </row>
    <row r="39" customFormat="false" ht="12" hidden="false" customHeight="false" outlineLevel="0" collapsed="false">
      <c r="A39" s="174" t="s">
        <v>285</v>
      </c>
      <c r="B39" s="171" t="n">
        <f aca="false">B37+B38</f>
        <v>171773.016666666</v>
      </c>
      <c r="C39" s="171" t="n">
        <f aca="false">C37+C38</f>
        <v>15083.05</v>
      </c>
      <c r="D39" s="171" t="n">
        <f aca="false">D37+D38</f>
        <v>15102.3</v>
      </c>
      <c r="E39" s="171" t="n">
        <f aca="false">E37+E38</f>
        <v>11036.3</v>
      </c>
      <c r="F39" s="175" t="n">
        <f aca="false">F37+F38</f>
        <v>13096.05</v>
      </c>
      <c r="G39" s="171" t="n">
        <f aca="false">G37+G38</f>
        <v>17854.7166666666</v>
      </c>
      <c r="H39" s="171" t="n">
        <f aca="false">H37+H38</f>
        <v>14182.9666666666</v>
      </c>
      <c r="I39" s="175" t="n">
        <f aca="false">I37+I38</f>
        <v>15303.55</v>
      </c>
      <c r="J39" s="171" t="n">
        <f aca="false">J37+J38</f>
        <v>15145.3</v>
      </c>
      <c r="K39" s="171" t="n">
        <f aca="false">K37+K38</f>
        <v>10797.3</v>
      </c>
      <c r="L39" s="175" t="n">
        <f aca="false">L37+L38</f>
        <v>17283.05</v>
      </c>
      <c r="M39" s="171" t="n">
        <f aca="false">M37+M38</f>
        <v>16479.8</v>
      </c>
      <c r="N39" s="171" t="n">
        <f aca="false">N37+N38</f>
        <v>10408.6333333333</v>
      </c>
      <c r="O39" s="165"/>
    </row>
    <row r="40" customFormat="false" ht="7.5" hidden="false" customHeight="true" outlineLevel="0" collapsed="false">
      <c r="A40" s="185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7"/>
    </row>
    <row r="41" customFormat="false" ht="12" hidden="false" customHeight="false" outlineLevel="0" collapsed="false">
      <c r="A41" s="188" t="s">
        <v>286</v>
      </c>
      <c r="B41" s="157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60"/>
    </row>
    <row r="42" customFormat="false" ht="12" hidden="false" customHeight="false" outlineLevel="0" collapsed="false">
      <c r="A42" s="183" t="s">
        <v>287</v>
      </c>
      <c r="B42" s="178" t="n">
        <f aca="false">SUM(C42:N42)</f>
        <v>27000</v>
      </c>
      <c r="C42" s="178" t="n">
        <f aca="false">[5]Apr!$X$1+[4]Apr!$AB$1</f>
        <v>1000</v>
      </c>
      <c r="D42" s="178" t="n">
        <f aca="false">[5]May!$X$1+[4]May!$AB$1</f>
        <v>1000</v>
      </c>
      <c r="E42" s="178" t="n">
        <f aca="false">[5]Jun!$X$1+[4]Jun!$AB$1</f>
        <v>1000</v>
      </c>
      <c r="F42" s="178" t="n">
        <f aca="false">[5]Jul!$X$1+[4]Jul!$AB$1</f>
        <v>4000</v>
      </c>
      <c r="G42" s="178" t="n">
        <f aca="false">[5]Aug!$X$1+[4]Aug!$AB$1</f>
        <v>1000</v>
      </c>
      <c r="H42" s="178" t="n">
        <f aca="false">[5]Sep!$X$1+[4]Sep!$AB$1</f>
        <v>1000</v>
      </c>
      <c r="I42" s="178" t="n">
        <f aca="false">[5]Oct!$X$1+[4]Oct!$AB$1</f>
        <v>4000</v>
      </c>
      <c r="J42" s="178" t="n">
        <f aca="false">[5]Nov!$X$1+[4]Nov!$AB$1</f>
        <v>1000</v>
      </c>
      <c r="K42" s="178" t="n">
        <f aca="false">[5]Dec!$X$1+[4]Dec!$AB$1</f>
        <v>1000</v>
      </c>
      <c r="L42" s="178" t="n">
        <f aca="false">[5]Jan!$X$1+[4]Jan!$AB$1</f>
        <v>4000</v>
      </c>
      <c r="M42" s="178" t="n">
        <f aca="false">[5]Feb!$X$1+[4]Feb!$AB$1</f>
        <v>1000</v>
      </c>
      <c r="N42" s="178" t="n">
        <f aca="false">[5]Mar!$X$1+[4]Mar!$AB$1</f>
        <v>7000</v>
      </c>
      <c r="O42" s="165"/>
    </row>
    <row r="43" customFormat="false" ht="12" hidden="false" customHeight="false" outlineLevel="0" collapsed="false">
      <c r="A43" s="183" t="s">
        <v>288</v>
      </c>
      <c r="B43" s="178" t="n">
        <f aca="false">SUM(C43:N43)</f>
        <v>0</v>
      </c>
      <c r="C43" s="178" t="n">
        <f aca="false">-[2]Apr!$W$1</f>
        <v>-0</v>
      </c>
      <c r="D43" s="178" t="n">
        <f aca="false">-[2]May!$W$1</f>
        <v>-0</v>
      </c>
      <c r="E43" s="178" t="n">
        <f aca="false">-[2]Jun!$W$1</f>
        <v>-0</v>
      </c>
      <c r="F43" s="178" t="n">
        <f aca="false">-[2]Jul!$W$1</f>
        <v>-0</v>
      </c>
      <c r="G43" s="178" t="n">
        <f aca="false">-[2]Aug!$W$1</f>
        <v>-0</v>
      </c>
      <c r="H43" s="178" t="n">
        <f aca="false">-[2]Sep!$W$1</f>
        <v>-0</v>
      </c>
      <c r="I43" s="178" t="n">
        <f aca="false">-[2]Oct!$W$1</f>
        <v>-0</v>
      </c>
      <c r="J43" s="178" t="n">
        <f aca="false">-[2]Nov!$W$1</f>
        <v>-0</v>
      </c>
      <c r="K43" s="178" t="n">
        <f aca="false">-[2]Dec!$W$1</f>
        <v>-0</v>
      </c>
      <c r="L43" s="178" t="n">
        <f aca="false">-[2]Jan!$W$1</f>
        <v>-0</v>
      </c>
      <c r="M43" s="178" t="n">
        <f aca="false">-[2]Feb!$W$1</f>
        <v>-0</v>
      </c>
      <c r="N43" s="178" t="n">
        <f aca="false">-[2]Mar!$W$1</f>
        <v>-0</v>
      </c>
      <c r="O43" s="165"/>
    </row>
    <row r="44" customFormat="false" ht="12" hidden="false" customHeight="false" outlineLevel="0" collapsed="false">
      <c r="A44" s="183" t="s">
        <v>289</v>
      </c>
      <c r="B44" s="178" t="n">
        <f aca="false">SUM(C44:N44)</f>
        <v>44133.3103333331</v>
      </c>
      <c r="C44" s="178" t="n">
        <f aca="false">IF(C9&gt;0,'Profit Forecast'!C$46/12,0)</f>
        <v>3677.77586111109</v>
      </c>
      <c r="D44" s="178" t="n">
        <f aca="false">IF(D9&gt;0,'Profit Forecast'!C$46/12,0)</f>
        <v>3677.77586111109</v>
      </c>
      <c r="E44" s="178" t="n">
        <f aca="false">IF(E9&gt;0,'Profit Forecast'!C$46/12,0)</f>
        <v>3677.77586111109</v>
      </c>
      <c r="F44" s="178" t="n">
        <f aca="false">IF(F9&gt;0,'Profit Forecast'!C$46/12,0)</f>
        <v>3677.77586111109</v>
      </c>
      <c r="G44" s="178" t="n">
        <f aca="false">IF(G9&gt;0,'Profit Forecast'!C$46/12,0)</f>
        <v>3677.77586111109</v>
      </c>
      <c r="H44" s="178" t="n">
        <f aca="false">IF(H9&gt;0,'Profit Forecast'!C$46/12,0)</f>
        <v>3677.77586111109</v>
      </c>
      <c r="I44" s="178" t="n">
        <f aca="false">IF(I9&gt;0,'Profit Forecast'!C$46/12,0)</f>
        <v>3677.77586111109</v>
      </c>
      <c r="J44" s="178" t="n">
        <f aca="false">IF(J9&gt;0,'Profit Forecast'!C$46/12,0)</f>
        <v>3677.77586111109</v>
      </c>
      <c r="K44" s="178" t="n">
        <f aca="false">IF(K9&gt;0,'Profit Forecast'!C$46/12,0)</f>
        <v>3677.77586111109</v>
      </c>
      <c r="L44" s="178" t="n">
        <f aca="false">IF(L9&gt;0,'Profit Forecast'!C$46/12,0)</f>
        <v>3677.77586111109</v>
      </c>
      <c r="M44" s="178" t="n">
        <f aca="false">IF(M9&gt;0,'Profit Forecast'!C$46/12,0)</f>
        <v>3677.77586111109</v>
      </c>
      <c r="N44" s="178" t="n">
        <f aca="false">IF(N9&gt;0,'Profit Forecast'!C$46/12,0)</f>
        <v>3677.77586111109</v>
      </c>
      <c r="O44" s="165"/>
    </row>
    <row r="45" customFormat="false" ht="12" hidden="false" customHeight="false" outlineLevel="0" collapsed="false">
      <c r="A45" s="189" t="s">
        <v>290</v>
      </c>
      <c r="B45" s="190" t="n">
        <f aca="false">SUM(C45:N45)</f>
        <v>100639.706333333</v>
      </c>
      <c r="C45" s="191" t="n">
        <f aca="false">C39-C42-C44</f>
        <v>10405.2741388889</v>
      </c>
      <c r="D45" s="192" t="n">
        <f aca="false">D39-D42-D44</f>
        <v>10424.5241388889</v>
      </c>
      <c r="E45" s="192" t="n">
        <f aca="false">E39-E42-E44</f>
        <v>6358.52413888887</v>
      </c>
      <c r="F45" s="192" t="n">
        <f aca="false">F39-F42-F44</f>
        <v>5418.27413888888</v>
      </c>
      <c r="G45" s="192" t="n">
        <f aca="false">G39-G42-G44</f>
        <v>13176.9408055555</v>
      </c>
      <c r="H45" s="192" t="n">
        <f aca="false">H39-H42-H44</f>
        <v>9505.19080555555</v>
      </c>
      <c r="I45" s="192" t="n">
        <f aca="false">I39-I42-I44</f>
        <v>7625.77413888888</v>
      </c>
      <c r="J45" s="192" t="n">
        <f aca="false">J39-J42-J44</f>
        <v>10467.5241388889</v>
      </c>
      <c r="K45" s="192" t="n">
        <f aca="false">K39-K42-K44</f>
        <v>6119.52413888887</v>
      </c>
      <c r="L45" s="192" t="n">
        <f aca="false">L39-L42-L44</f>
        <v>9605.27413888888</v>
      </c>
      <c r="M45" s="192" t="n">
        <f aca="false">M39-M42-M44</f>
        <v>11802.0241388889</v>
      </c>
      <c r="N45" s="192" t="n">
        <f aca="false">N39-N42-N44</f>
        <v>-269.142527777791</v>
      </c>
      <c r="O45" s="165"/>
    </row>
    <row r="46" customFormat="false" ht="12" hidden="false" customHeight="false" outlineLevel="0" collapsed="false">
      <c r="A46" s="183" t="s">
        <v>239</v>
      </c>
      <c r="B46" s="178" t="n">
        <f aca="false">SUM(C46:N46)</f>
        <v>5000</v>
      </c>
      <c r="C46" s="178" t="n">
        <f aca="false">[5]Apr!$J$1+[4]Apr!$L$1</f>
        <v>0</v>
      </c>
      <c r="D46" s="178" t="n">
        <f aca="false">[5]May!$J$1+[4]May!$L$1</f>
        <v>0</v>
      </c>
      <c r="E46" s="178" t="n">
        <f aca="false">[5]Jun!$J$1+[4]Jun!$L$1</f>
        <v>0</v>
      </c>
      <c r="F46" s="178" t="n">
        <f aca="false">[5]Jul!$J$1+[4]Jul!$L$1</f>
        <v>0</v>
      </c>
      <c r="G46" s="178" t="n">
        <f aca="false">[5]Aug!$J$1+[4]Aug!$L$1</f>
        <v>0</v>
      </c>
      <c r="H46" s="178" t="n">
        <f aca="false">[5]Sep!$J$1+[4]Sep!$L$1</f>
        <v>0</v>
      </c>
      <c r="I46" s="178" t="n">
        <f aca="false">[5]Oct!$J$1+[4]Oct!$L$1</f>
        <v>0</v>
      </c>
      <c r="J46" s="178" t="n">
        <f aca="false">[5]Nov!$J$1+[4]Nov!$L$1</f>
        <v>0</v>
      </c>
      <c r="K46" s="178" t="n">
        <f aca="false">[5]Dec!$J$1+[4]Dec!$L$1</f>
        <v>0</v>
      </c>
      <c r="L46" s="178" t="n">
        <f aca="false">[5]Jan!$J$1+[4]Jan!$L$1</f>
        <v>5000</v>
      </c>
      <c r="M46" s="178" t="n">
        <f aca="false">[5]Feb!$J$1+[4]Feb!$L$1</f>
        <v>0</v>
      </c>
      <c r="N46" s="178" t="n">
        <f aca="false">[5]Mar!$J$1+[4]Mar!$L$1</f>
        <v>0</v>
      </c>
      <c r="O46" s="165"/>
    </row>
    <row r="47" customFormat="false" ht="6" hidden="false" customHeight="true" outlineLevel="0" collapsed="false">
      <c r="A47" s="185"/>
      <c r="B47" s="193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87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5" width="1.66"/>
    <col collapsed="false" customWidth="true" hidden="false" outlineLevel="0" max="2" min="2" style="195" width="22.32"/>
    <col collapsed="false" customWidth="false" hidden="false" outlineLevel="0" max="3" min="3" style="195" width="9.15"/>
    <col collapsed="false" customWidth="true" hidden="false" outlineLevel="0" max="4" min="4" style="195" width="10.15"/>
    <col collapsed="false" customWidth="false" hidden="false" outlineLevel="0" max="7" min="5" style="195" width="9.15"/>
    <col collapsed="false" customWidth="true" hidden="false" outlineLevel="0" max="8" min="8" style="195" width="23.66"/>
    <col collapsed="false" customWidth="true" hidden="false" outlineLevel="0" max="9" min="9" style="195" width="1.66"/>
    <col collapsed="false" customWidth="false" hidden="false" outlineLevel="0" max="257" min="10" style="195" width="9.15"/>
  </cols>
  <sheetData>
    <row r="1" customFormat="false" ht="6" hidden="false" customHeight="true" outlineLevel="0" collapsed="false">
      <c r="A1" s="196"/>
      <c r="B1" s="196"/>
      <c r="C1" s="196"/>
      <c r="D1" s="196"/>
      <c r="E1" s="196"/>
      <c r="F1" s="196"/>
      <c r="G1" s="196"/>
      <c r="H1" s="196"/>
      <c r="I1" s="196"/>
      <c r="J1" s="197"/>
    </row>
    <row r="2" s="197" customFormat="true" ht="12" hidden="false" customHeight="true" outlineLevel="0" collapsed="false">
      <c r="A2" s="196"/>
      <c r="B2" s="198" t="s">
        <v>291</v>
      </c>
      <c r="C2" s="198" t="s">
        <v>292</v>
      </c>
      <c r="D2" s="198" t="s">
        <v>293</v>
      </c>
      <c r="E2" s="198" t="s">
        <v>294</v>
      </c>
      <c r="F2" s="198" t="s">
        <v>295</v>
      </c>
      <c r="G2" s="198" t="s">
        <v>296</v>
      </c>
      <c r="H2" s="198" t="s">
        <v>297</v>
      </c>
      <c r="I2" s="196"/>
    </row>
    <row r="3" customFormat="false" ht="12" hidden="false" customHeight="true" outlineLevel="0" collapsed="false">
      <c r="A3" s="196"/>
      <c r="B3" s="198"/>
      <c r="C3" s="198"/>
      <c r="D3" s="198"/>
      <c r="E3" s="198"/>
      <c r="F3" s="198"/>
      <c r="G3" s="198"/>
      <c r="H3" s="198"/>
      <c r="I3" s="196"/>
    </row>
    <row r="4" s="199" customFormat="true" ht="6" hidden="false" customHeight="true" outlineLevel="0" collapsed="false">
      <c r="A4" s="196"/>
      <c r="B4" s="196"/>
      <c r="C4" s="196"/>
      <c r="D4" s="196"/>
      <c r="E4" s="196"/>
      <c r="F4" s="196"/>
      <c r="G4" s="196"/>
      <c r="H4" s="196"/>
      <c r="I4" s="196"/>
    </row>
    <row r="5" customFormat="false" ht="12.75" hidden="false" customHeight="false" outlineLevel="0" collapsed="false">
      <c r="A5" s="196"/>
      <c r="B5" s="196" t="s">
        <v>298</v>
      </c>
      <c r="C5" s="200" t="n">
        <f aca="false">SUM('Profit &amp; Loss Account'!C5:E7)</f>
        <v>83899.9999999999</v>
      </c>
      <c r="D5" s="200" t="n">
        <f aca="false">SUM('Profit &amp; Loss Account'!F5:H7)</f>
        <v>82999.9999999999</v>
      </c>
      <c r="E5" s="200" t="n">
        <f aca="false">SUM('Profit &amp; Loss Account'!I5:K7)</f>
        <v>85699.9999999999</v>
      </c>
      <c r="F5" s="200" t="n">
        <f aca="false">SUM('Profit &amp; Loss Account'!L5:N7)</f>
        <v>82899.9999999999</v>
      </c>
      <c r="G5" s="201" t="n">
        <f aca="false">SUM(C5:F5)</f>
        <v>335500</v>
      </c>
      <c r="H5" s="196"/>
      <c r="I5" s="196"/>
    </row>
    <row r="6" customFormat="false" ht="13.5" hidden="false" customHeight="true" outlineLevel="0" collapsed="false">
      <c r="A6" s="196"/>
      <c r="B6" s="196" t="s">
        <v>299</v>
      </c>
      <c r="C6" s="200" t="n">
        <f aca="false">SUM('Profit &amp; Loss Account'!C8:E8)+SUM('Profit &amp; Loss Account'!C11:E11)+SUM('Profit &amp; Loss Account'!C38:E38)</f>
        <v>700</v>
      </c>
      <c r="D6" s="200" t="n">
        <f aca="false">SUM('Profit &amp; Loss Account'!F8:H8)+SUM('Profit &amp; Loss Account'!F11:H11)+SUM('Profit &amp; Loss Account'!F38:H38)</f>
        <v>3283.33333333333</v>
      </c>
      <c r="E6" s="200" t="n">
        <f aca="false">SUM('Profit &amp; Loss Account'!I8:K8)+SUM('Profit &amp; Loss Account'!I11:K11)+SUM('Profit &amp; Loss Account'!I38:K38)</f>
        <v>700</v>
      </c>
      <c r="F6" s="200" t="n">
        <f aca="false">SUM('Profit &amp; Loss Account'!L8:N8)+SUM('Profit &amp; Loss Account'!L11:N11)+SUM('Profit &amp; Loss Account'!L38:N38)</f>
        <v>1100</v>
      </c>
      <c r="G6" s="201" t="n">
        <f aca="false">SUM(C6:F6)</f>
        <v>5783.33333333333</v>
      </c>
      <c r="H6" s="196"/>
      <c r="I6" s="196"/>
    </row>
    <row r="7" customFormat="false" ht="12.75" hidden="false" customHeight="false" outlineLevel="0" collapsed="false">
      <c r="A7" s="196"/>
      <c r="B7" s="196" t="s">
        <v>300</v>
      </c>
      <c r="C7" s="200" t="n">
        <f aca="false">SUM('Profit &amp; Loss Account'!C14:E14)+SUM('Profit &amp; Loss Account'!C16:E16)</f>
        <v>2282.5</v>
      </c>
      <c r="D7" s="200" t="n">
        <f aca="false">SUM('Profit &amp; Loss Account'!F14:H14)+SUM('Profit &amp; Loss Account'!F16:H16)</f>
        <v>2602.5</v>
      </c>
      <c r="E7" s="200" t="n">
        <f aca="false">SUM('Profit &amp; Loss Account'!I14:K14)+SUM('Profit &amp; Loss Account'!I16:K16)</f>
        <v>2182.5</v>
      </c>
      <c r="F7" s="200" t="n">
        <f aca="false">SUM('Profit &amp; Loss Account'!L14:N14)+SUM('Profit &amp; Loss Account'!L16:N16)</f>
        <v>6402.5</v>
      </c>
      <c r="G7" s="201" t="n">
        <f aca="false">SUM(C7:F7)</f>
        <v>13470</v>
      </c>
      <c r="H7" s="196"/>
      <c r="I7" s="196"/>
    </row>
    <row r="8" s="202" customFormat="true" ht="12.75" hidden="false" customHeight="false" outlineLevel="0" collapsed="false">
      <c r="A8" s="196"/>
      <c r="B8" s="196"/>
      <c r="C8" s="196"/>
      <c r="D8" s="196"/>
      <c r="E8" s="196"/>
      <c r="F8" s="196"/>
      <c r="G8" s="196"/>
      <c r="H8" s="196"/>
      <c r="I8" s="196"/>
    </row>
    <row r="9" customFormat="false" ht="6" hidden="false" customHeight="true" outlineLevel="0" collapsed="false">
      <c r="A9" s="196"/>
      <c r="B9" s="196"/>
      <c r="C9" s="196"/>
      <c r="D9" s="196"/>
      <c r="E9" s="196"/>
      <c r="F9" s="196"/>
      <c r="G9" s="196"/>
      <c r="H9" s="196"/>
      <c r="I9" s="196"/>
    </row>
    <row r="10" customFormat="false" ht="12.75" hidden="false" customHeight="false" outlineLevel="0" collapsed="false">
      <c r="A10" s="196"/>
      <c r="B10" s="203" t="s">
        <v>301</v>
      </c>
      <c r="C10" s="196"/>
      <c r="D10" s="196"/>
      <c r="E10" s="196"/>
      <c r="F10" s="196"/>
      <c r="G10" s="196"/>
      <c r="H10" s="196"/>
      <c r="I10" s="196"/>
    </row>
    <row r="11" customFormat="false" ht="6" hidden="false" customHeight="true" outlineLevel="0" collapsed="false">
      <c r="A11" s="196"/>
      <c r="B11" s="196"/>
      <c r="C11" s="196"/>
      <c r="D11" s="196"/>
      <c r="E11" s="196"/>
      <c r="F11" s="196"/>
      <c r="G11" s="196"/>
      <c r="H11" s="196"/>
      <c r="I11" s="196"/>
    </row>
    <row r="12" customFormat="false" ht="12.75" hidden="false" customHeight="false" outlineLevel="0" collapsed="false">
      <c r="A12" s="196"/>
      <c r="B12" s="196" t="s">
        <v>302</v>
      </c>
      <c r="C12" s="201" t="n">
        <f aca="false">SUM('Profit &amp; Loss Account'!C21:E21)</f>
        <v>21975.6</v>
      </c>
      <c r="D12" s="201" t="n">
        <f aca="false">SUM('Profit &amp; Loss Account'!F21:H21)</f>
        <v>22642.2666666667</v>
      </c>
      <c r="E12" s="201" t="n">
        <f aca="false">SUM('Profit &amp; Loss Account'!I21:K21)</f>
        <v>26142.2666666667</v>
      </c>
      <c r="F12" s="201" t="n">
        <f aca="false">SUM('Profit &amp; Loss Account'!L21:N21)</f>
        <v>21975.6</v>
      </c>
      <c r="G12" s="201" t="n">
        <f aca="false">SUM(C12:F12)</f>
        <v>92735.7333333333</v>
      </c>
      <c r="H12" s="196"/>
      <c r="I12" s="196"/>
    </row>
    <row r="13" customFormat="false" ht="12.75" hidden="false" customHeight="false" outlineLevel="0" collapsed="false">
      <c r="A13" s="196"/>
      <c r="B13" s="196" t="s">
        <v>303</v>
      </c>
      <c r="C13" s="201" t="n">
        <f aca="false">SUM('Profit &amp; Loss Account'!C22:E22)</f>
        <v>3300</v>
      </c>
      <c r="D13" s="201" t="n">
        <f aca="false">SUM('Profit &amp; Loss Account'!F22:H22)</f>
        <v>3250</v>
      </c>
      <c r="E13" s="201" t="n">
        <f aca="false">SUM('Profit &amp; Loss Account'!I22:K22)</f>
        <v>3350</v>
      </c>
      <c r="F13" s="201" t="n">
        <f aca="false">SUM('Profit &amp; Loss Account'!L22:N22)</f>
        <v>3300</v>
      </c>
      <c r="G13" s="201" t="n">
        <f aca="false">SUM(C13:F13)</f>
        <v>13200</v>
      </c>
      <c r="H13" s="196"/>
      <c r="I13" s="196"/>
    </row>
    <row r="14" customFormat="false" ht="12.75" hidden="false" customHeight="false" outlineLevel="0" collapsed="false">
      <c r="A14" s="196"/>
      <c r="B14" s="196" t="s">
        <v>304</v>
      </c>
      <c r="C14" s="201" t="n">
        <f aca="false">SUM('Profit &amp; Loss Account'!C23:E23)</f>
        <v>100</v>
      </c>
      <c r="D14" s="201" t="n">
        <f aca="false">SUM('Profit &amp; Loss Account'!F23:H23)</f>
        <v>350</v>
      </c>
      <c r="E14" s="201" t="n">
        <f aca="false">SUM('Profit &amp; Loss Account'!I23:K23)</f>
        <v>80</v>
      </c>
      <c r="F14" s="201" t="n">
        <f aca="false">SUM('Profit &amp; Loss Account'!L23:N23)</f>
        <v>420</v>
      </c>
      <c r="G14" s="201" t="n">
        <f aca="false">SUM(C14:F14)</f>
        <v>950</v>
      </c>
      <c r="H14" s="196"/>
      <c r="I14" s="196"/>
    </row>
    <row r="15" customFormat="false" ht="12.75" hidden="false" customHeight="false" outlineLevel="0" collapsed="false">
      <c r="A15" s="196"/>
      <c r="B15" s="196" t="s">
        <v>305</v>
      </c>
      <c r="C15" s="201" t="n">
        <f aca="false">SUM('Profit &amp; Loss Account'!C24:E24)</f>
        <v>732.5</v>
      </c>
      <c r="D15" s="201" t="n">
        <f aca="false">SUM('Profit &amp; Loss Account'!F24:H24)</f>
        <v>697.5</v>
      </c>
      <c r="E15" s="201" t="n">
        <f aca="false">SUM('Profit &amp; Loss Account'!I24:K24)</f>
        <v>812.5</v>
      </c>
      <c r="F15" s="201" t="n">
        <f aca="false">SUM('Profit &amp; Loss Account'!L24:N24)</f>
        <v>792.5</v>
      </c>
      <c r="G15" s="201" t="n">
        <f aca="false">SUM(C15:F15)</f>
        <v>3035</v>
      </c>
      <c r="H15" s="196"/>
      <c r="I15" s="196"/>
    </row>
    <row r="16" customFormat="false" ht="12.75" hidden="false" customHeight="false" outlineLevel="0" collapsed="false">
      <c r="A16" s="196"/>
      <c r="B16" s="196" t="s">
        <v>306</v>
      </c>
      <c r="C16" s="201" t="n">
        <f aca="false">SUM('Profit &amp; Loss Account'!C31:E31)</f>
        <v>2275</v>
      </c>
      <c r="D16" s="201" t="n">
        <f aca="false">SUM('Profit &amp; Loss Account'!F31:H31)</f>
        <v>1308</v>
      </c>
      <c r="E16" s="201" t="n">
        <f aca="false">SUM('Profit &amp; Loss Account'!I31:K31)</f>
        <v>192</v>
      </c>
      <c r="F16" s="201" t="n">
        <f aca="false">SUM('Profit &amp; Loss Account'!L31:N31)</f>
        <v>125</v>
      </c>
      <c r="G16" s="201" t="n">
        <f aca="false">SUM(C16:F16)</f>
        <v>3900</v>
      </c>
      <c r="H16" s="196"/>
      <c r="I16" s="196"/>
    </row>
    <row r="17" customFormat="false" ht="12.75" hidden="false" customHeight="false" outlineLevel="0" collapsed="false">
      <c r="A17" s="196"/>
      <c r="B17" s="196" t="s">
        <v>307</v>
      </c>
      <c r="C17" s="201" t="n">
        <f aca="false">SUM('Profit &amp; Loss Account'!C25:E26)</f>
        <v>2062.25</v>
      </c>
      <c r="D17" s="201" t="n">
        <f aca="false">SUM('Profit &amp; Loss Account'!F25:H26)</f>
        <v>1870.5</v>
      </c>
      <c r="E17" s="201" t="n">
        <f aca="false">SUM('Profit &amp; Loss Account'!I25:K26)</f>
        <v>1973.25</v>
      </c>
      <c r="F17" s="201" t="n">
        <f aca="false">SUM('Profit &amp; Loss Account'!L25:N26)</f>
        <v>2078.25</v>
      </c>
      <c r="G17" s="201" t="n">
        <f aca="false">SUM(C17:F17)</f>
        <v>7984.25</v>
      </c>
      <c r="H17" s="196"/>
      <c r="I17" s="196"/>
    </row>
    <row r="18" customFormat="false" ht="12.75" hidden="false" customHeight="false" outlineLevel="0" collapsed="false">
      <c r="A18" s="196"/>
      <c r="B18" s="196" t="s">
        <v>308</v>
      </c>
      <c r="C18" s="201" t="n">
        <f aca="false">SUM('Profit &amp; Loss Account'!C27:E27)</f>
        <v>500</v>
      </c>
      <c r="D18" s="201" t="n">
        <f aca="false">SUM('Profit &amp; Loss Account'!F27:H27)</f>
        <v>400</v>
      </c>
      <c r="E18" s="201" t="n">
        <f aca="false">SUM('Profit &amp; Loss Account'!I27:K27)</f>
        <v>2500</v>
      </c>
      <c r="F18" s="201" t="n">
        <f aca="false">SUM('Profit &amp; Loss Account'!L27:N27)</f>
        <v>400</v>
      </c>
      <c r="G18" s="201" t="n">
        <f aca="false">SUM(C18:F18)</f>
        <v>3800</v>
      </c>
      <c r="H18" s="196"/>
      <c r="I18" s="196"/>
    </row>
    <row r="19" customFormat="false" ht="12.75" hidden="false" customHeight="false" outlineLevel="0" collapsed="false">
      <c r="A19" s="196"/>
      <c r="B19" s="196" t="s">
        <v>309</v>
      </c>
      <c r="C19" s="201" t="n">
        <f aca="false">SUM('Profit &amp; Loss Account'!C28:E28)</f>
        <v>958.333333333333</v>
      </c>
      <c r="D19" s="201" t="n">
        <f aca="false">SUM('Profit &amp; Loss Account'!F28:H28)</f>
        <v>4223.33333333333</v>
      </c>
      <c r="E19" s="201" t="n">
        <f aca="false">SUM('Profit &amp; Loss Account'!I28:K28)</f>
        <v>889.166666666667</v>
      </c>
      <c r="F19" s="201" t="n">
        <f aca="false">SUM('Profit &amp; Loss Account'!L28:N28)</f>
        <v>854.166666666667</v>
      </c>
      <c r="G19" s="201" t="n">
        <f aca="false">SUM(C19:F19)</f>
        <v>6925</v>
      </c>
      <c r="H19" s="196"/>
      <c r="I19" s="196"/>
    </row>
    <row r="20" customFormat="false" ht="12.75" hidden="false" customHeight="false" outlineLevel="0" collapsed="false">
      <c r="A20" s="196"/>
      <c r="B20" s="196" t="s">
        <v>310</v>
      </c>
      <c r="C20" s="201" t="n">
        <f aca="false">SUM('Profit &amp; Loss Account'!C29:E29)</f>
        <v>0</v>
      </c>
      <c r="D20" s="201" t="n">
        <f aca="false">SUM('Profit &amp; Loss Account'!F29:H29)</f>
        <v>0</v>
      </c>
      <c r="E20" s="201" t="n">
        <f aca="false">SUM('Profit &amp; Loss Account'!I29:K29)</f>
        <v>0</v>
      </c>
      <c r="F20" s="201" t="n">
        <f aca="false">SUM('Profit &amp; Loss Account'!L29:N29)</f>
        <v>-300</v>
      </c>
      <c r="G20" s="201" t="n">
        <f aca="false">SUM(C20:F20)</f>
        <v>-300</v>
      </c>
      <c r="H20" s="196"/>
      <c r="I20" s="196"/>
    </row>
    <row r="21" customFormat="false" ht="12.75" hidden="false" customHeight="false" outlineLevel="0" collapsed="false">
      <c r="A21" s="196"/>
      <c r="B21" s="196" t="s">
        <v>311</v>
      </c>
      <c r="C21" s="201" t="n">
        <f aca="false">SUM('Profit &amp; Loss Account'!C30:E30)</f>
        <v>0</v>
      </c>
      <c r="D21" s="201" t="n">
        <f aca="false">SUM('Profit &amp; Loss Account'!F30:H30)</f>
        <v>0</v>
      </c>
      <c r="E21" s="201" t="n">
        <f aca="false">SUM('Profit &amp; Loss Account'!I30:K30)</f>
        <v>0</v>
      </c>
      <c r="F21" s="201" t="n">
        <f aca="false">SUM('Profit &amp; Loss Account'!L30:N30)</f>
        <v>0</v>
      </c>
      <c r="G21" s="201" t="n">
        <f aca="false">SUM(C21:F21)</f>
        <v>0</v>
      </c>
      <c r="H21" s="196"/>
      <c r="I21" s="196"/>
    </row>
    <row r="22" customFormat="false" ht="12.75" hidden="false" customHeight="false" outlineLevel="0" collapsed="false">
      <c r="A22" s="196"/>
      <c r="B22" s="196" t="s">
        <v>312</v>
      </c>
      <c r="C22" s="201" t="n">
        <f aca="false">SUM('Profit &amp; Loss Account'!C32:E32)</f>
        <v>1547.5</v>
      </c>
      <c r="D22" s="201" t="n">
        <f aca="false">SUM('Profit &amp; Loss Account'!F32:H32)</f>
        <v>327.5</v>
      </c>
      <c r="E22" s="201" t="n">
        <f aca="false">SUM('Profit &amp; Loss Account'!I32:K32)</f>
        <v>1054.16666666667</v>
      </c>
      <c r="F22" s="201" t="n">
        <f aca="false">SUM('Profit &amp; Loss Account'!L32:N32)</f>
        <v>302.5</v>
      </c>
      <c r="G22" s="201" t="n">
        <f aca="false">SUM(C22:F22)</f>
        <v>3231.66666666666</v>
      </c>
      <c r="H22" s="196"/>
      <c r="I22" s="196"/>
    </row>
    <row r="23" customFormat="false" ht="12.75" hidden="false" customHeight="false" outlineLevel="0" collapsed="false">
      <c r="A23" s="196"/>
      <c r="B23" s="196"/>
      <c r="C23" s="196"/>
      <c r="D23" s="196"/>
      <c r="E23" s="196"/>
      <c r="F23" s="196"/>
      <c r="G23" s="196"/>
      <c r="H23" s="196"/>
      <c r="I23" s="196"/>
    </row>
    <row r="24" customFormat="false" ht="13.5" hidden="false" customHeight="true" outlineLevel="0" collapsed="false">
      <c r="A24" s="196"/>
      <c r="B24" s="196" t="s">
        <v>313</v>
      </c>
      <c r="C24" s="201" t="n">
        <f aca="false">SUM('Profit &amp; Loss Account'!C15:E15)</f>
        <v>4166.66666666667</v>
      </c>
      <c r="D24" s="201" t="n">
        <f aca="false">SUM('Profit &amp; Loss Account'!F15:H15)</f>
        <v>0</v>
      </c>
      <c r="E24" s="201" t="n">
        <f aca="false">SUM('Profit &amp; Loss Account'!I15:K15)</f>
        <v>2500</v>
      </c>
      <c r="F24" s="201" t="n">
        <f aca="false">SUM('Profit &amp; Loss Account'!L15:N15)</f>
        <v>0</v>
      </c>
      <c r="G24" s="201" t="n">
        <f aca="false">SUM(C24:F24)</f>
        <v>6666.66666666667</v>
      </c>
      <c r="H24" s="196"/>
      <c r="I24" s="196"/>
    </row>
    <row r="25" customFormat="false" ht="12.75" hidden="false" customHeight="false" outlineLevel="0" collapsed="false">
      <c r="A25" s="196"/>
      <c r="B25" s="196" t="s">
        <v>314</v>
      </c>
      <c r="C25" s="201" t="n">
        <v>0</v>
      </c>
      <c r="D25" s="201" t="n">
        <v>0</v>
      </c>
      <c r="E25" s="201" t="n">
        <v>0</v>
      </c>
      <c r="F25" s="201" t="n">
        <v>0</v>
      </c>
      <c r="G25" s="201" t="n">
        <f aca="false">SUM(C25:F25)</f>
        <v>0</v>
      </c>
      <c r="H25" s="196" t="s">
        <v>315</v>
      </c>
      <c r="I25" s="196"/>
    </row>
    <row r="26" customFormat="false" ht="13.5" hidden="false" customHeight="true" outlineLevel="0" collapsed="false">
      <c r="A26" s="196"/>
      <c r="B26" s="196" t="s">
        <v>282</v>
      </c>
      <c r="C26" s="201" t="n">
        <f aca="false">SUM('Profit &amp; Loss Account'!C33:E34)</f>
        <v>3478</v>
      </c>
      <c r="D26" s="201" t="n">
        <f aca="false">SUM('Profit &amp; Loss Account'!F33:H34)</f>
        <v>3478</v>
      </c>
      <c r="E26" s="201" t="n">
        <f aca="false">SUM('Profit &amp; Loss Account'!I33:K34)</f>
        <v>3478</v>
      </c>
      <c r="F26" s="201" t="n">
        <f aca="false">SUM('Profit &amp; Loss Account'!L33:N34)</f>
        <v>3478</v>
      </c>
      <c r="G26" s="201" t="n">
        <f aca="false">SUM(C26:F26)</f>
        <v>13912</v>
      </c>
      <c r="H26" s="196"/>
      <c r="I26" s="196"/>
    </row>
    <row r="27" customFormat="false" ht="12.75" hidden="false" customHeight="false" outlineLevel="0" collapsed="false">
      <c r="A27" s="196"/>
      <c r="B27" s="196"/>
      <c r="C27" s="196"/>
      <c r="D27" s="196"/>
      <c r="E27" s="196"/>
      <c r="F27" s="196"/>
      <c r="G27" s="196"/>
      <c r="H27" s="196"/>
      <c r="I27" s="196"/>
    </row>
    <row r="28" customFormat="false" ht="6" hidden="false" customHeight="true" outlineLevel="0" collapsed="false">
      <c r="A28" s="196"/>
      <c r="B28" s="196"/>
      <c r="C28" s="196"/>
      <c r="D28" s="196"/>
      <c r="E28" s="196"/>
      <c r="F28" s="196"/>
      <c r="G28" s="196"/>
      <c r="H28" s="196"/>
      <c r="I28" s="196"/>
    </row>
    <row r="29" customFormat="false" ht="12.75" hidden="false" customHeight="false" outlineLevel="0" collapsed="false">
      <c r="A29" s="196"/>
      <c r="B29" s="203" t="s">
        <v>316</v>
      </c>
      <c r="C29" s="204" t="n">
        <f aca="false">SUM(C7,C12,C13,C14,C15,C16,C17,C18,C19,C20,C21,C22,C24,C25,C26)</f>
        <v>43378.35</v>
      </c>
      <c r="D29" s="204" t="n">
        <f aca="false">SUM(D7,D12,D13,D14,D15,D16,D17,D18,D19,D20,D21,D22,D24,D25,D26)</f>
        <v>41149.6</v>
      </c>
      <c r="E29" s="204" t="n">
        <f aca="false">SUM(E7,E12,E13,E14,E15,E16,E17,E18,E19,E20,E21,E22,E24,E25,E26)</f>
        <v>45153.85</v>
      </c>
      <c r="F29" s="204" t="n">
        <f aca="false">SUM(F7,F12,F13,F14,F15,F16,F17,F18,F19,F20,F21,F22,F24,F25,F26)</f>
        <v>39828.5166666667</v>
      </c>
      <c r="G29" s="204" t="n">
        <f aca="false">SUM(G7,G12,G13,G14,G15,G16,G17,G18,G19,G20,G21,G22,G24,G25,G26)</f>
        <v>169510.316666667</v>
      </c>
      <c r="H29" s="205"/>
      <c r="I29" s="196"/>
    </row>
    <row r="30" customFormat="false" ht="6" hidden="false" customHeight="true" outlineLevel="0" collapsed="false">
      <c r="A30" s="196"/>
      <c r="B30" s="196"/>
      <c r="C30" s="196"/>
      <c r="D30" s="196"/>
      <c r="E30" s="196"/>
      <c r="F30" s="196"/>
      <c r="G30" s="196"/>
      <c r="H30" s="196"/>
      <c r="I30" s="196"/>
    </row>
    <row r="31" customFormat="false" ht="12.75" hidden="false" customHeight="false" outlineLevel="0" collapsed="false">
      <c r="A31" s="196"/>
      <c r="B31" s="196"/>
      <c r="C31" s="196"/>
      <c r="D31" s="196"/>
      <c r="E31" s="196"/>
      <c r="F31" s="196"/>
      <c r="G31" s="196"/>
      <c r="H31" s="196"/>
      <c r="I31" s="196"/>
    </row>
    <row r="32" customFormat="false" ht="6" hidden="false" customHeight="true" outlineLevel="0" collapsed="false">
      <c r="A32" s="196"/>
      <c r="B32" s="196"/>
      <c r="C32" s="196"/>
      <c r="D32" s="196"/>
      <c r="E32" s="196"/>
      <c r="F32" s="196"/>
      <c r="G32" s="196"/>
      <c r="H32" s="196"/>
      <c r="I32" s="196"/>
    </row>
    <row r="33" customFormat="false" ht="12.75" hidden="false" customHeight="false" outlineLevel="0" collapsed="false">
      <c r="A33" s="196"/>
      <c r="B33" s="196"/>
      <c r="C33" s="196"/>
      <c r="D33" s="196"/>
      <c r="E33" s="196"/>
      <c r="F33" s="196"/>
      <c r="G33" s="196"/>
      <c r="H33" s="196"/>
      <c r="I33" s="196"/>
    </row>
    <row r="34" customFormat="false" ht="12.75" hidden="false" customHeight="false" outlineLevel="0" collapsed="false">
      <c r="A34" s="196"/>
      <c r="B34" s="203" t="s">
        <v>133</v>
      </c>
      <c r="C34" s="196"/>
      <c r="D34" s="196"/>
      <c r="E34" s="196"/>
      <c r="F34" s="196"/>
      <c r="G34" s="196"/>
      <c r="H34" s="196"/>
      <c r="I34" s="196"/>
    </row>
    <row r="35" customFormat="false" ht="6" hidden="false" customHeight="true" outlineLevel="0" collapsed="false">
      <c r="A35" s="196"/>
      <c r="B35" s="196"/>
      <c r="C35" s="196"/>
      <c r="D35" s="196"/>
      <c r="E35" s="196"/>
      <c r="F35" s="196"/>
      <c r="G35" s="196"/>
      <c r="H35" s="196"/>
      <c r="I35" s="196"/>
    </row>
    <row r="36" customFormat="false" ht="12.75" hidden="false" customHeight="false" outlineLevel="0" collapsed="false">
      <c r="A36" s="196"/>
      <c r="B36" s="196" t="s">
        <v>300</v>
      </c>
      <c r="C36" s="201" t="n">
        <v>0</v>
      </c>
      <c r="D36" s="201" t="n">
        <v>0</v>
      </c>
      <c r="E36" s="201" t="n">
        <v>0</v>
      </c>
      <c r="F36" s="201" t="n">
        <v>0</v>
      </c>
      <c r="G36" s="201" t="n">
        <f aca="false">SUM(C36:F36)</f>
        <v>0</v>
      </c>
      <c r="H36" s="196" t="s">
        <v>315</v>
      </c>
      <c r="I36" s="196"/>
    </row>
    <row r="37" customFormat="false" ht="13.5" hidden="false" customHeight="true" outlineLevel="0" collapsed="false">
      <c r="A37" s="196"/>
      <c r="B37" s="196" t="s">
        <v>313</v>
      </c>
      <c r="C37" s="201" t="n">
        <v>0</v>
      </c>
      <c r="D37" s="201" t="n">
        <v>0</v>
      </c>
      <c r="E37" s="201" t="n">
        <v>0</v>
      </c>
      <c r="F37" s="201" t="n">
        <v>0</v>
      </c>
      <c r="G37" s="201" t="n">
        <f aca="false">SUM(C37:F37)</f>
        <v>0</v>
      </c>
      <c r="H37" s="196" t="s">
        <v>315</v>
      </c>
      <c r="I37" s="196"/>
    </row>
    <row r="38" customFormat="false" ht="12.75" hidden="false" customHeight="false" outlineLevel="0" collapsed="false">
      <c r="A38" s="196"/>
      <c r="B38" s="196" t="s">
        <v>302</v>
      </c>
      <c r="C38" s="201" t="n">
        <v>0</v>
      </c>
      <c r="D38" s="201" t="n">
        <v>0</v>
      </c>
      <c r="E38" s="201" t="n">
        <v>0</v>
      </c>
      <c r="F38" s="201" t="n">
        <v>0</v>
      </c>
      <c r="G38" s="201" t="n">
        <f aca="false">SUM(C38:F38)</f>
        <v>0</v>
      </c>
      <c r="H38" s="196" t="s">
        <v>315</v>
      </c>
      <c r="I38" s="196"/>
    </row>
    <row r="39" customFormat="false" ht="13.5" hidden="false" customHeight="true" outlineLevel="0" collapsed="false">
      <c r="A39" s="196"/>
      <c r="B39" s="196" t="s">
        <v>317</v>
      </c>
      <c r="C39" s="201" t="n">
        <v>0</v>
      </c>
      <c r="D39" s="201" t="n">
        <v>0</v>
      </c>
      <c r="E39" s="201" t="n">
        <v>0</v>
      </c>
      <c r="F39" s="201" t="n">
        <v>0</v>
      </c>
      <c r="G39" s="201" t="n">
        <f aca="false">SUM(C39:F39)</f>
        <v>0</v>
      </c>
      <c r="H39" s="196" t="s">
        <v>315</v>
      </c>
      <c r="I39" s="196"/>
    </row>
    <row r="40" customFormat="false" ht="12.75" hidden="false" customHeight="false" outlineLevel="0" collapsed="false">
      <c r="A40" s="196"/>
      <c r="B40" s="196" t="s">
        <v>303</v>
      </c>
      <c r="C40" s="201" t="n">
        <v>0</v>
      </c>
      <c r="D40" s="201" t="n">
        <v>0</v>
      </c>
      <c r="E40" s="201" t="n">
        <v>0</v>
      </c>
      <c r="F40" s="201" t="n">
        <v>0</v>
      </c>
      <c r="G40" s="201" t="n">
        <f aca="false">SUM(C40:F40)</f>
        <v>0</v>
      </c>
      <c r="H40" s="196" t="s">
        <v>315</v>
      </c>
      <c r="I40" s="196"/>
    </row>
    <row r="41" customFormat="false" ht="12.75" hidden="false" customHeight="false" outlineLevel="0" collapsed="false">
      <c r="A41" s="196"/>
      <c r="B41" s="196" t="s">
        <v>304</v>
      </c>
      <c r="C41" s="201" t="n">
        <v>0</v>
      </c>
      <c r="D41" s="201" t="n">
        <v>0</v>
      </c>
      <c r="E41" s="201" t="n">
        <v>0</v>
      </c>
      <c r="F41" s="201" t="n">
        <v>0</v>
      </c>
      <c r="G41" s="201" t="n">
        <f aca="false">SUM(C41:F41)</f>
        <v>0</v>
      </c>
      <c r="H41" s="196" t="s">
        <v>315</v>
      </c>
      <c r="I41" s="196"/>
    </row>
    <row r="42" customFormat="false" ht="12.75" hidden="false" customHeight="false" outlineLevel="0" collapsed="false">
      <c r="A42" s="196"/>
      <c r="B42" s="196" t="s">
        <v>305</v>
      </c>
      <c r="C42" s="201" t="n">
        <v>0</v>
      </c>
      <c r="D42" s="201" t="n">
        <v>0</v>
      </c>
      <c r="E42" s="201" t="n">
        <v>0</v>
      </c>
      <c r="F42" s="201" t="n">
        <v>0</v>
      </c>
      <c r="G42" s="201" t="n">
        <f aca="false">SUM(C42:F42)</f>
        <v>0</v>
      </c>
      <c r="H42" s="196" t="s">
        <v>315</v>
      </c>
      <c r="I42" s="196"/>
    </row>
    <row r="43" customFormat="false" ht="12.75" hidden="false" customHeight="false" outlineLevel="0" collapsed="false">
      <c r="A43" s="196"/>
      <c r="B43" s="196" t="s">
        <v>308</v>
      </c>
      <c r="C43" s="201" t="n">
        <v>0</v>
      </c>
      <c r="D43" s="201" t="n">
        <v>0</v>
      </c>
      <c r="E43" s="201" t="n">
        <v>0</v>
      </c>
      <c r="F43" s="201" t="n">
        <v>0</v>
      </c>
      <c r="G43" s="201" t="n">
        <f aca="false">SUM(C43:F43)</f>
        <v>0</v>
      </c>
      <c r="H43" s="196" t="s">
        <v>315</v>
      </c>
      <c r="I43" s="196"/>
    </row>
    <row r="44" customFormat="false" ht="12.75" hidden="false" customHeight="false" outlineLevel="0" collapsed="false">
      <c r="A44" s="196"/>
      <c r="B44" s="196" t="s">
        <v>314</v>
      </c>
      <c r="C44" s="201" t="n">
        <v>0</v>
      </c>
      <c r="D44" s="201" t="n">
        <v>0</v>
      </c>
      <c r="E44" s="201" t="n">
        <v>0</v>
      </c>
      <c r="F44" s="201" t="n">
        <v>0</v>
      </c>
      <c r="G44" s="201" t="n">
        <f aca="false">SUM(C44:F44)</f>
        <v>0</v>
      </c>
      <c r="H44" s="196" t="s">
        <v>315</v>
      </c>
      <c r="I44" s="196"/>
    </row>
    <row r="45" customFormat="false" ht="12.75" hidden="false" customHeight="false" outlineLevel="0" collapsed="false">
      <c r="A45" s="196"/>
      <c r="B45" s="196" t="s">
        <v>311</v>
      </c>
      <c r="C45" s="201" t="n">
        <v>0</v>
      </c>
      <c r="D45" s="201" t="n">
        <v>0</v>
      </c>
      <c r="E45" s="201" t="n">
        <v>0</v>
      </c>
      <c r="F45" s="201" t="n">
        <v>0</v>
      </c>
      <c r="G45" s="201" t="n">
        <f aca="false">SUM(C45:F45)</f>
        <v>0</v>
      </c>
      <c r="H45" s="196" t="s">
        <v>315</v>
      </c>
      <c r="I45" s="196"/>
    </row>
    <row r="46" customFormat="false" ht="12.75" hidden="false" customHeight="false" outlineLevel="0" collapsed="false">
      <c r="A46" s="196"/>
      <c r="B46" s="196" t="s">
        <v>318</v>
      </c>
      <c r="C46" s="201" t="n">
        <v>0</v>
      </c>
      <c r="D46" s="201" t="n">
        <v>0</v>
      </c>
      <c r="E46" s="201" t="n">
        <v>0</v>
      </c>
      <c r="F46" s="201" t="n">
        <v>0</v>
      </c>
      <c r="G46" s="201" t="n">
        <f aca="false">SUM(C46:F46)</f>
        <v>0</v>
      </c>
      <c r="H46" s="196" t="s">
        <v>315</v>
      </c>
      <c r="I46" s="196"/>
    </row>
    <row r="47" customFormat="false" ht="12.75" hidden="false" customHeight="false" outlineLevel="0" collapsed="false">
      <c r="A47" s="196"/>
      <c r="B47" s="196" t="s">
        <v>319</v>
      </c>
      <c r="C47" s="201" t="n">
        <v>0</v>
      </c>
      <c r="D47" s="201" t="n">
        <v>0</v>
      </c>
      <c r="E47" s="201" t="n">
        <v>0</v>
      </c>
      <c r="F47" s="201" t="n">
        <v>0</v>
      </c>
      <c r="G47" s="201" t="n">
        <f aca="false">SUM(C47:F47)</f>
        <v>0</v>
      </c>
      <c r="H47" s="196" t="s">
        <v>315</v>
      </c>
      <c r="I47" s="196"/>
    </row>
    <row r="48" customFormat="false" ht="12.75" hidden="false" customHeight="false" outlineLevel="0" collapsed="false">
      <c r="A48" s="196"/>
      <c r="B48" s="196" t="s">
        <v>309</v>
      </c>
      <c r="C48" s="201" t="n">
        <v>0</v>
      </c>
      <c r="D48" s="201" t="n">
        <v>0</v>
      </c>
      <c r="E48" s="201" t="n">
        <v>0</v>
      </c>
      <c r="F48" s="201" t="n">
        <v>0</v>
      </c>
      <c r="G48" s="201" t="n">
        <f aca="false">SUM(C48:F48)</f>
        <v>0</v>
      </c>
      <c r="H48" s="196" t="s">
        <v>315</v>
      </c>
      <c r="I48" s="196"/>
    </row>
    <row r="49" customFormat="false" ht="12.75" hidden="false" customHeight="false" outlineLevel="0" collapsed="false">
      <c r="A49" s="196"/>
      <c r="B49" s="196" t="s">
        <v>282</v>
      </c>
      <c r="C49" s="201" t="n">
        <v>0</v>
      </c>
      <c r="D49" s="201" t="n">
        <v>0</v>
      </c>
      <c r="E49" s="201" t="n">
        <v>0</v>
      </c>
      <c r="F49" s="201" t="n">
        <v>0</v>
      </c>
      <c r="G49" s="201" t="n">
        <f aca="false">SUM(C49:F49)</f>
        <v>0</v>
      </c>
      <c r="H49" s="196" t="s">
        <v>315</v>
      </c>
      <c r="I49" s="196"/>
    </row>
    <row r="50" customFormat="false" ht="12.75" hidden="false" customHeight="false" outlineLevel="0" collapsed="false">
      <c r="A50" s="196"/>
      <c r="B50" s="196" t="s">
        <v>312</v>
      </c>
      <c r="C50" s="201" t="n">
        <v>0</v>
      </c>
      <c r="D50" s="201" t="n">
        <v>0</v>
      </c>
      <c r="E50" s="201" t="n">
        <v>0</v>
      </c>
      <c r="F50" s="201" t="n">
        <v>0</v>
      </c>
      <c r="G50" s="201" t="n">
        <f aca="false">SUM(C50:F50)</f>
        <v>0</v>
      </c>
      <c r="H50" s="196" t="s">
        <v>315</v>
      </c>
      <c r="I50" s="196"/>
    </row>
    <row r="51" customFormat="false" ht="12.75" hidden="false" customHeight="false" outlineLevel="0" collapsed="false">
      <c r="A51" s="196"/>
      <c r="B51" s="196"/>
      <c r="C51" s="196"/>
      <c r="D51" s="196"/>
      <c r="E51" s="196"/>
      <c r="F51" s="196"/>
      <c r="G51" s="196"/>
      <c r="H51" s="196"/>
      <c r="I51" s="196"/>
    </row>
    <row r="52" customFormat="false" ht="12.75" hidden="false" customHeight="false" outlineLevel="0" collapsed="false">
      <c r="A52" s="206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7" width="2.66"/>
    <col collapsed="false" customWidth="true" hidden="false" outlineLevel="0" max="2" min="2" style="207" width="25.99"/>
    <col collapsed="false" customWidth="true" hidden="false" outlineLevel="0" max="3" min="3" style="207" width="11.32"/>
    <col collapsed="false" customWidth="true" hidden="false" outlineLevel="0" max="4" min="4" style="208" width="13.49"/>
    <col collapsed="false" customWidth="true" hidden="false" outlineLevel="0" max="5" min="5" style="209" width="12.66"/>
    <col collapsed="false" customWidth="true" hidden="false" outlineLevel="0" max="6" min="6" style="210" width="4.15"/>
    <col collapsed="false" customWidth="true" hidden="false" outlineLevel="0" max="7" min="7" style="211" width="2.66"/>
    <col collapsed="false" customWidth="false" hidden="false" outlineLevel="0" max="12" min="8" style="207" width="9.15"/>
    <col collapsed="false" customWidth="true" hidden="false" outlineLevel="0" max="13" min="13" style="207" width="15.15"/>
    <col collapsed="false" customWidth="false" hidden="false" outlineLevel="0" max="257" min="14" style="207" width="9.15"/>
  </cols>
  <sheetData>
    <row r="1" customFormat="false" ht="12.75" hidden="false" customHeight="false" outlineLevel="0" collapsed="false">
      <c r="A1" s="212"/>
      <c r="B1" s="212"/>
      <c r="C1" s="212"/>
      <c r="D1" s="213"/>
      <c r="E1" s="214"/>
      <c r="F1" s="215"/>
      <c r="G1" s="212"/>
    </row>
    <row r="2" customFormat="false" ht="18" hidden="false" customHeight="true" outlineLevel="0" collapsed="false">
      <c r="A2" s="212"/>
      <c r="B2" s="216" t="s">
        <v>320</v>
      </c>
      <c r="C2" s="217" t="str">
        <f aca="false">Admin!L2</f>
        <v>2026-27</v>
      </c>
      <c r="D2" s="218" t="s">
        <v>321</v>
      </c>
      <c r="E2" s="218"/>
      <c r="F2" s="218"/>
      <c r="G2" s="219"/>
    </row>
    <row r="3" customFormat="false" ht="18.75" hidden="false" customHeight="true" outlineLevel="0" collapsed="false">
      <c r="A3" s="212"/>
      <c r="B3" s="220"/>
      <c r="C3" s="220"/>
      <c r="D3" s="218"/>
      <c r="E3" s="218"/>
      <c r="F3" s="218"/>
      <c r="G3" s="219"/>
    </row>
    <row r="4" customFormat="false" ht="12.75" hidden="false" customHeight="false" outlineLevel="0" collapsed="false">
      <c r="A4" s="212"/>
      <c r="B4" s="221"/>
      <c r="C4" s="221"/>
      <c r="D4" s="222"/>
      <c r="E4" s="214"/>
      <c r="F4" s="215"/>
      <c r="G4" s="219"/>
    </row>
    <row r="5" customFormat="false" ht="12.75" hidden="false" customHeight="false" outlineLevel="0" collapsed="false">
      <c r="A5" s="212"/>
      <c r="B5" s="223" t="s">
        <v>322</v>
      </c>
      <c r="C5" s="223"/>
      <c r="D5" s="223"/>
      <c r="E5" s="224" t="n">
        <f aca="false">'SE Full'!O210</f>
        <v>121513.016666666</v>
      </c>
      <c r="F5" s="215"/>
      <c r="G5" s="219"/>
      <c r="M5" s="225"/>
    </row>
    <row r="6" customFormat="false" ht="12.75" hidden="false" customHeight="false" outlineLevel="0" collapsed="false">
      <c r="A6" s="212"/>
      <c r="B6" s="221" t="s">
        <v>323</v>
      </c>
      <c r="C6" s="221" t="str">
        <f aca="false">C2</f>
        <v>2026-27</v>
      </c>
      <c r="D6" s="226"/>
      <c r="E6" s="219" t="n">
        <f aca="false">IF(E5&lt;=0,0,MAX(0,Admin!N$4-MAX(0,E5-Admin!N$5)/2))</f>
        <v>1813.49166666687</v>
      </c>
      <c r="F6" s="215"/>
      <c r="G6" s="219"/>
      <c r="M6" s="225"/>
    </row>
    <row r="7" customFormat="false" ht="12.75" hidden="false" customHeight="false" outlineLevel="0" collapsed="false">
      <c r="A7" s="212"/>
      <c r="B7" s="223" t="s">
        <v>324</v>
      </c>
      <c r="C7" s="223"/>
      <c r="D7" s="223"/>
      <c r="E7" s="224" t="n">
        <f aca="false">IF((E5&gt;E6),(E5-E6),0)</f>
        <v>119699.524999999</v>
      </c>
      <c r="F7" s="215"/>
      <c r="G7" s="219"/>
      <c r="M7" s="225"/>
    </row>
    <row r="8" customFormat="false" ht="12.75" hidden="false" customHeight="false" outlineLevel="0" collapsed="false">
      <c r="A8" s="212"/>
      <c r="B8" s="221" t="s">
        <v>325</v>
      </c>
      <c r="C8" s="221" t="n">
        <f aca="false">Admin!N$11</f>
        <v>0</v>
      </c>
      <c r="D8" s="227" t="n">
        <f aca="false">Admin!N$6</f>
        <v>0.2</v>
      </c>
      <c r="E8" s="214" t="n">
        <f aca="false">IF((E7&gt;0),(IF((E7&lt;C9),E7*D8,C9*D8)),0)</f>
        <v>7540</v>
      </c>
      <c r="F8" s="215"/>
      <c r="G8" s="219"/>
      <c r="H8" s="228"/>
      <c r="M8" s="225"/>
    </row>
    <row r="9" customFormat="false" ht="12.75" hidden="false" customHeight="false" outlineLevel="0" collapsed="false">
      <c r="A9" s="212"/>
      <c r="B9" s="221" t="s">
        <v>326</v>
      </c>
      <c r="C9" s="221" t="n">
        <f aca="false">Admin!M$11</f>
        <v>37700</v>
      </c>
      <c r="D9" s="227" t="n">
        <f aca="false">Admin!N$7</f>
        <v>0.4</v>
      </c>
      <c r="E9" s="214" t="n">
        <f aca="false">IF(E7&gt;C9,(MIN(E7,C10)-C9)*D9,0)</f>
        <v>32799.8099999998</v>
      </c>
      <c r="F9" s="215"/>
      <c r="G9" s="219"/>
      <c r="M9" s="225"/>
    </row>
    <row r="10" customFormat="false" ht="12.75" hidden="false" customHeight="false" outlineLevel="0" collapsed="false">
      <c r="A10" s="212"/>
      <c r="B10" s="221" t="s">
        <v>327</v>
      </c>
      <c r="C10" s="221" t="n">
        <f aca="false">Admin!N$13</f>
        <v>125140</v>
      </c>
      <c r="D10" s="227" t="n">
        <f aca="false">Admin!N$8</f>
        <v>0.45</v>
      </c>
      <c r="E10" s="214" t="n">
        <f aca="false">IF(E7&gt;C10,(E7-C10)*D10,0)</f>
        <v>0</v>
      </c>
      <c r="F10" s="215"/>
      <c r="G10" s="219"/>
      <c r="M10" s="225"/>
    </row>
    <row r="11" customFormat="false" ht="12.75" hidden="false" customHeight="false" outlineLevel="0" collapsed="false">
      <c r="A11" s="212"/>
      <c r="B11" s="229" t="s">
        <v>328</v>
      </c>
      <c r="C11" s="230"/>
      <c r="D11" s="231"/>
      <c r="E11" s="232" t="n">
        <f aca="false">SUM(E8:E10)</f>
        <v>40339.8099999998</v>
      </c>
      <c r="F11" s="233"/>
      <c r="G11" s="234"/>
      <c r="M11" s="225"/>
    </row>
    <row r="12" customFormat="false" ht="12.75" hidden="false" customHeight="false" outlineLevel="0" collapsed="false">
      <c r="A12" s="212"/>
      <c r="B12" s="221" t="s">
        <v>329</v>
      </c>
      <c r="C12" s="221"/>
      <c r="D12" s="235"/>
      <c r="E12" s="214" t="n">
        <f aca="false">-[2]Mar!$X$1</f>
        <v>-0</v>
      </c>
      <c r="F12" s="233"/>
      <c r="G12" s="234"/>
      <c r="M12" s="225"/>
    </row>
    <row r="13" customFormat="false" ht="12.75" hidden="false" customHeight="false" outlineLevel="0" collapsed="false">
      <c r="A13" s="212"/>
      <c r="B13" s="236" t="s">
        <v>330</v>
      </c>
      <c r="C13" s="237" t="n">
        <f aca="false">Admin!B21</f>
        <v>46783</v>
      </c>
      <c r="D13" s="237"/>
      <c r="E13" s="214"/>
      <c r="F13" s="233"/>
      <c r="G13" s="234"/>
      <c r="M13" s="225"/>
    </row>
    <row r="14" customFormat="false" ht="12.75" hidden="false" customHeight="false" outlineLevel="0" collapsed="false">
      <c r="A14" s="212"/>
      <c r="B14" s="221"/>
      <c r="C14" s="221"/>
      <c r="D14" s="238"/>
      <c r="E14" s="239"/>
      <c r="F14" s="215"/>
      <c r="G14" s="234"/>
      <c r="M14" s="225"/>
    </row>
    <row r="15" customFormat="false" ht="12.75" hidden="false" customHeight="false" outlineLevel="0" collapsed="false">
      <c r="A15" s="212"/>
      <c r="B15" s="240" t="s">
        <v>331</v>
      </c>
      <c r="C15" s="240"/>
      <c r="D15" s="227" t="n">
        <f aca="false">Admin!L20</f>
        <v>0.06</v>
      </c>
      <c r="E15" s="241" t="n">
        <f aca="false">IF(E5&gt;Admin!N20,IF(E5&lt;Admin!N$23,(E5-Admin!N20)*D15,(Admin!N$23-Admin!N20)*D15),0)</f>
        <v>2262</v>
      </c>
      <c r="F15" s="215"/>
      <c r="G15" s="234"/>
      <c r="M15" s="225"/>
    </row>
    <row r="16" customFormat="false" ht="12.75" hidden="false" customHeight="false" outlineLevel="0" collapsed="false">
      <c r="A16" s="212"/>
      <c r="B16" s="240" t="s">
        <v>332</v>
      </c>
      <c r="C16" s="240"/>
      <c r="D16" s="227" t="n">
        <f aca="false">Admin!L23</f>
        <v>0.02</v>
      </c>
      <c r="E16" s="241" t="n">
        <f aca="false">IF((E5&gt;Admin!N$23),((E5-Admin!N$23)*D16),0)</f>
        <v>1424.86033333333</v>
      </c>
      <c r="F16" s="215"/>
      <c r="G16" s="234"/>
      <c r="M16" s="225"/>
    </row>
    <row r="17" customFormat="false" ht="12.75" hidden="false" customHeight="false" outlineLevel="0" collapsed="false">
      <c r="A17" s="212"/>
      <c r="B17" s="221"/>
      <c r="C17" s="221"/>
      <c r="D17" s="238"/>
      <c r="E17" s="239"/>
      <c r="F17" s="215"/>
      <c r="G17" s="234"/>
      <c r="M17" s="225"/>
    </row>
    <row r="18" customFormat="false" ht="12.75" hidden="false" customHeight="false" outlineLevel="0" collapsed="false">
      <c r="A18" s="212"/>
      <c r="B18" s="242" t="s">
        <v>333</v>
      </c>
      <c r="C18" s="242"/>
      <c r="D18" s="238"/>
      <c r="E18" s="232" t="n">
        <f aca="false">SUM(E11:E17)</f>
        <v>44026.6703333331</v>
      </c>
      <c r="F18" s="215"/>
      <c r="G18" s="219"/>
      <c r="M18" s="225"/>
    </row>
    <row r="19" customFormat="false" ht="12.75" hidden="false" customHeight="false" outlineLevel="0" collapsed="false">
      <c r="A19" s="212"/>
      <c r="B19" s="243"/>
      <c r="C19" s="243"/>
      <c r="D19" s="238"/>
      <c r="E19" s="239"/>
      <c r="F19" s="215"/>
      <c r="G19" s="219"/>
    </row>
    <row r="20" customFormat="false" ht="12.75" hidden="false" customHeight="false" outlineLevel="0" collapsed="false">
      <c r="A20" s="212"/>
      <c r="B20" s="243"/>
      <c r="C20" s="243"/>
      <c r="D20" s="238"/>
      <c r="E20" s="239"/>
      <c r="F20" s="215"/>
      <c r="G20" s="219"/>
    </row>
    <row r="21" customFormat="false" ht="18" hidden="false" customHeight="true" outlineLevel="0" collapsed="false">
      <c r="A21" s="212"/>
      <c r="B21" s="229" t="s">
        <v>334</v>
      </c>
      <c r="C21" s="244"/>
      <c r="D21" s="245" t="s">
        <v>335</v>
      </c>
      <c r="E21" s="245"/>
      <c r="F21" s="245"/>
      <c r="G21" s="212"/>
    </row>
    <row r="22" customFormat="false" ht="12.75" hidden="false" customHeight="true" outlineLevel="0" collapsed="false">
      <c r="A22" s="212"/>
      <c r="B22" s="221"/>
      <c r="C22" s="221"/>
      <c r="D22" s="238"/>
      <c r="E22" s="239"/>
      <c r="F22" s="215"/>
      <c r="G22" s="234"/>
    </row>
    <row r="23" s="250" customFormat="true" ht="12.75" hidden="false" customHeight="true" outlineLevel="0" collapsed="false">
      <c r="A23" s="246"/>
      <c r="B23" s="221"/>
      <c r="C23" s="221"/>
      <c r="D23" s="247" t="s">
        <v>336</v>
      </c>
      <c r="E23" s="248" t="s">
        <v>337</v>
      </c>
      <c r="F23" s="249"/>
      <c r="G23" s="219"/>
    </row>
    <row r="24" s="250" customFormat="true" ht="12.75" hidden="false" customHeight="false" outlineLevel="0" collapsed="false">
      <c r="A24" s="246"/>
      <c r="B24" s="221"/>
      <c r="C24" s="221"/>
      <c r="D24" s="247"/>
      <c r="E24" s="247"/>
      <c r="F24" s="249"/>
      <c r="G24" s="219"/>
    </row>
    <row r="25" customFormat="false" ht="12.75" hidden="false" customHeight="false" outlineLevel="0" collapsed="false">
      <c r="A25" s="212"/>
      <c r="B25" s="221" t="s">
        <v>338</v>
      </c>
      <c r="C25" s="251" t="str">
        <f aca="false">Admin!B24</f>
        <v>2027-28</v>
      </c>
      <c r="D25" s="252" t="s">
        <v>339</v>
      </c>
      <c r="E25" s="241" t="n">
        <f aca="false">E18</f>
        <v>44026.6703333331</v>
      </c>
      <c r="F25" s="215"/>
      <c r="G25" s="219"/>
    </row>
    <row r="26" customFormat="false" ht="12.75" hidden="false" customHeight="false" outlineLevel="0" collapsed="false">
      <c r="A26" s="212"/>
      <c r="B26" s="221" t="s">
        <v>340</v>
      </c>
      <c r="C26" s="221"/>
      <c r="D26" s="253" t="n">
        <f aca="false">Admin!B21</f>
        <v>46783</v>
      </c>
      <c r="E26" s="224" t="n">
        <f aca="false">E25/2</f>
        <v>22013.3351666665</v>
      </c>
      <c r="F26" s="215"/>
      <c r="G26" s="219"/>
    </row>
    <row r="27" customFormat="false" ht="12.75" hidden="false" customHeight="false" outlineLevel="0" collapsed="false">
      <c r="A27" s="212"/>
      <c r="B27" s="221" t="s">
        <v>340</v>
      </c>
      <c r="C27" s="221"/>
      <c r="D27" s="253" t="n">
        <f aca="false">Admin!B22</f>
        <v>46965</v>
      </c>
      <c r="E27" s="224" t="n">
        <f aca="false">E25/2</f>
        <v>22013.3351666665</v>
      </c>
      <c r="F27" s="215"/>
      <c r="G27" s="219"/>
    </row>
    <row r="28" customFormat="false" ht="12.75" hidden="false" customHeight="false" outlineLevel="0" collapsed="false">
      <c r="A28" s="212"/>
      <c r="B28" s="212"/>
      <c r="C28" s="212"/>
      <c r="D28" s="238"/>
      <c r="E28" s="214"/>
      <c r="F28" s="215"/>
      <c r="G28" s="219"/>
    </row>
    <row r="29" customFormat="false" ht="12.75" hidden="false" customHeight="false" outlineLevel="0" collapsed="false">
      <c r="A29" s="212"/>
      <c r="B29" s="254" t="s">
        <v>341</v>
      </c>
      <c r="C29" s="255"/>
      <c r="D29" s="238"/>
      <c r="E29" s="214"/>
      <c r="F29" s="215"/>
      <c r="G29" s="219"/>
    </row>
    <row r="30" customFormat="false" ht="12.75" hidden="false" customHeight="false" outlineLevel="0" collapsed="false">
      <c r="A30" s="212"/>
      <c r="B30" s="256" t="s">
        <v>342</v>
      </c>
      <c r="C30" s="256"/>
      <c r="D30" s="212"/>
      <c r="E30" s="257"/>
      <c r="F30" s="215"/>
      <c r="G30" s="258"/>
    </row>
    <row r="31" customFormat="false" ht="12.75" hidden="false" customHeight="false" outlineLevel="0" collapsed="false">
      <c r="A31" s="212"/>
      <c r="B31" s="259" t="s">
        <v>343</v>
      </c>
      <c r="C31" s="259"/>
      <c r="D31" s="260"/>
      <c r="E31" s="257"/>
      <c r="F31" s="215"/>
      <c r="G31" s="258"/>
    </row>
    <row r="32" customFormat="false" ht="12.75" hidden="false" customHeight="false" outlineLevel="0" collapsed="false">
      <c r="A32" s="212"/>
      <c r="B32" s="261" t="s">
        <v>344</v>
      </c>
      <c r="C32" s="259"/>
      <c r="D32" s="260"/>
      <c r="E32" s="257"/>
      <c r="F32" s="215"/>
      <c r="G32" s="258"/>
    </row>
    <row r="33" customFormat="false" ht="12.75" hidden="false" customHeight="false" outlineLevel="0" collapsed="false">
      <c r="A33" s="212"/>
      <c r="B33" s="255" t="s">
        <v>345</v>
      </c>
      <c r="C33" s="255"/>
      <c r="D33" s="260"/>
      <c r="E33" s="262"/>
      <c r="F33" s="215"/>
      <c r="G33" s="258"/>
    </row>
    <row r="34" customFormat="false" ht="12.75" hidden="false" customHeight="false" outlineLevel="0" collapsed="false">
      <c r="A34" s="212"/>
      <c r="B34" s="255" t="s">
        <v>346</v>
      </c>
      <c r="C34" s="255"/>
      <c r="D34" s="260"/>
      <c r="E34" s="262"/>
      <c r="F34" s="215"/>
      <c r="G34" s="258"/>
    </row>
    <row r="35" customFormat="false" ht="12.75" hidden="false" customHeight="false" outlineLevel="0" collapsed="false">
      <c r="A35" s="212"/>
      <c r="B35" s="255" t="s">
        <v>347</v>
      </c>
      <c r="C35" s="255"/>
      <c r="D35" s="260"/>
      <c r="E35" s="262"/>
      <c r="F35" s="215"/>
      <c r="G35" s="258"/>
    </row>
    <row r="36" customFormat="false" ht="12.75" hidden="false" customHeight="false" outlineLevel="0" collapsed="false">
      <c r="A36" s="212"/>
      <c r="B36" s="212"/>
      <c r="C36" s="212"/>
      <c r="D36" s="260"/>
      <c r="E36" s="262"/>
      <c r="F36" s="215"/>
      <c r="G36" s="258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false" hidden="false" outlineLevel="0" max="2" min="2" style="263" width="9.15"/>
    <col collapsed="false" customWidth="true" hidden="false" outlineLevel="0" max="9" min="3" style="264" width="10.66"/>
    <col collapsed="false" customWidth="true" hidden="false" outlineLevel="0" max="10" min="10" style="155" width="1.66"/>
    <col collapsed="false" customWidth="true" hidden="false" outlineLevel="0" max="11" min="11" style="155" width="36.82"/>
    <col collapsed="false" customWidth="true" hidden="false" outlineLevel="0" max="12" min="12" style="155" width="1.66"/>
    <col collapsed="false" customWidth="false" hidden="false" outlineLevel="0" max="257" min="13" style="155" width="9.15"/>
  </cols>
  <sheetData>
    <row r="1" customFormat="false" ht="7.5" hidden="false" customHeight="true" outlineLevel="0" collapsed="false">
      <c r="A1" s="265"/>
      <c r="B1" s="266"/>
      <c r="C1" s="267"/>
      <c r="D1" s="267"/>
      <c r="E1" s="267"/>
      <c r="F1" s="267"/>
      <c r="G1" s="267"/>
      <c r="H1" s="267"/>
      <c r="I1" s="267"/>
      <c r="J1" s="158"/>
      <c r="K1" s="158"/>
      <c r="L1" s="160"/>
    </row>
    <row r="2" s="273" customFormat="true" ht="43.25" hidden="false" customHeight="false" outlineLevel="0" collapsed="false">
      <c r="A2" s="268"/>
      <c r="B2" s="269" t="s">
        <v>348</v>
      </c>
      <c r="C2" s="270" t="s">
        <v>349</v>
      </c>
      <c r="D2" s="270" t="s">
        <v>350</v>
      </c>
      <c r="E2" s="270" t="s">
        <v>351</v>
      </c>
      <c r="F2" s="270" t="s">
        <v>352</v>
      </c>
      <c r="G2" s="270" t="s">
        <v>353</v>
      </c>
      <c r="H2" s="270" t="s">
        <v>354</v>
      </c>
      <c r="I2" s="270" t="s">
        <v>355</v>
      </c>
      <c r="J2" s="271"/>
      <c r="K2" s="269" t="s">
        <v>356</v>
      </c>
      <c r="L2" s="272"/>
    </row>
    <row r="3" s="273" customFormat="true" ht="15" hidden="false" customHeight="true" outlineLevel="0" collapsed="false">
      <c r="A3" s="268"/>
      <c r="B3" s="274" t="s">
        <v>357</v>
      </c>
      <c r="C3" s="274"/>
      <c r="D3" s="275"/>
      <c r="E3" s="275"/>
      <c r="F3" s="275"/>
      <c r="G3" s="275"/>
      <c r="H3" s="275"/>
      <c r="I3" s="275"/>
      <c r="J3" s="271"/>
      <c r="K3" s="276"/>
      <c r="L3" s="272"/>
    </row>
    <row r="4" customFormat="false" ht="12" hidden="false" customHeight="true" outlineLevel="0" collapsed="false">
      <c r="A4" s="277"/>
      <c r="B4" s="278" t="n">
        <f aca="false">Admin!B5</f>
        <v>46142</v>
      </c>
      <c r="C4" s="264" t="n">
        <f aca="false">[6]Apr!$M$1</f>
        <v>6748</v>
      </c>
      <c r="D4" s="264" t="n">
        <f aca="false">[6]Apr!$N$1</f>
        <v>800</v>
      </c>
      <c r="E4" s="264" t="n">
        <f aca="false">[6]Apr!$O$1</f>
        <v>296</v>
      </c>
      <c r="F4" s="264" t="n">
        <f aca="false">[6]Apr!$P$1+[6]Apr!$Q$1</f>
        <v>0</v>
      </c>
      <c r="G4" s="264" t="n">
        <f aca="false">C4-SUM(D4:F4)</f>
        <v>5652</v>
      </c>
      <c r="H4" s="264" t="n">
        <f aca="false">[6]Apr!$T$1</f>
        <v>577.2</v>
      </c>
      <c r="I4" s="264" t="n">
        <f aca="false">[6]Apr!$G$1</f>
        <v>0</v>
      </c>
      <c r="J4" s="159"/>
      <c r="K4" s="279" t="s">
        <v>358</v>
      </c>
      <c r="L4" s="165"/>
    </row>
    <row r="5" customFormat="false" ht="12" hidden="false" customHeight="true" outlineLevel="0" collapsed="false">
      <c r="A5" s="277"/>
      <c r="B5" s="278" t="n">
        <f aca="false">Admin!B6</f>
        <v>46173</v>
      </c>
      <c r="C5" s="264" t="n">
        <f aca="false">[6]May!$M$1</f>
        <v>6748</v>
      </c>
      <c r="D5" s="264" t="n">
        <f aca="false">[6]May!$N$1</f>
        <v>800</v>
      </c>
      <c r="E5" s="264" t="n">
        <f aca="false">[6]May!$O$1</f>
        <v>296</v>
      </c>
      <c r="F5" s="264" t="n">
        <f aca="false">[6]May!$P$1+[6]May!$Q$1</f>
        <v>0</v>
      </c>
      <c r="G5" s="264" t="n">
        <f aca="false">C5-SUM(D5:F5)</f>
        <v>5652</v>
      </c>
      <c r="H5" s="264" t="n">
        <f aca="false">[6]May!$T$1</f>
        <v>577.2</v>
      </c>
      <c r="I5" s="264" t="n">
        <f aca="false">[6]May!$G$1</f>
        <v>0</v>
      </c>
      <c r="J5" s="159"/>
      <c r="K5" s="279"/>
      <c r="L5" s="165"/>
    </row>
    <row r="6" customFormat="false" ht="12" hidden="false" customHeight="false" outlineLevel="0" collapsed="false">
      <c r="A6" s="277"/>
      <c r="B6" s="278" t="n">
        <f aca="false">Admin!B7</f>
        <v>46203</v>
      </c>
      <c r="C6" s="264" t="n">
        <f aca="false">[6]Jun!$M$1</f>
        <v>6748</v>
      </c>
      <c r="D6" s="264" t="n">
        <f aca="false">[6]Jun!$N$1</f>
        <v>800</v>
      </c>
      <c r="E6" s="264" t="n">
        <f aca="false">[6]Jun!$O$1</f>
        <v>296</v>
      </c>
      <c r="F6" s="264" t="n">
        <f aca="false">[6]Jun!$P$1+[6]Jun!$Q$1</f>
        <v>0</v>
      </c>
      <c r="G6" s="264" t="n">
        <f aca="false">C6-SUM(D6:F6)</f>
        <v>5652</v>
      </c>
      <c r="H6" s="264" t="n">
        <f aca="false">[6]Jun!$T$1</f>
        <v>577.2</v>
      </c>
      <c r="I6" s="264" t="n">
        <f aca="false">[6]Jun!$G$1</f>
        <v>0</v>
      </c>
      <c r="J6" s="159"/>
      <c r="K6" s="279"/>
      <c r="L6" s="165"/>
    </row>
    <row r="7" customFormat="false" ht="12" hidden="false" customHeight="false" outlineLevel="0" collapsed="false">
      <c r="A7" s="277"/>
      <c r="B7" s="278" t="n">
        <f aca="false">Admin!B8</f>
        <v>46234</v>
      </c>
      <c r="C7" s="264" t="n">
        <f aca="false">[6]Jul!$M$1</f>
        <v>6748</v>
      </c>
      <c r="D7" s="264" t="n">
        <f aca="false">[6]Jul!$N$1</f>
        <v>800</v>
      </c>
      <c r="E7" s="264" t="n">
        <f aca="false">[6]Jul!$O$1</f>
        <v>296</v>
      </c>
      <c r="F7" s="264" t="n">
        <f aca="false">[6]Jul!$P$1+[6]Jul!$Q$1</f>
        <v>0</v>
      </c>
      <c r="G7" s="264" t="n">
        <f aca="false">C7-SUM(D7:F7)</f>
        <v>5652</v>
      </c>
      <c r="H7" s="264" t="n">
        <f aca="false">[6]Jul!$T$1</f>
        <v>577.2</v>
      </c>
      <c r="I7" s="264" t="n">
        <f aca="false">[6]Jul!$G$1</f>
        <v>0</v>
      </c>
      <c r="J7" s="159"/>
      <c r="K7" s="279"/>
      <c r="L7" s="165"/>
    </row>
    <row r="8" customFormat="false" ht="12" hidden="false" customHeight="true" outlineLevel="0" collapsed="false">
      <c r="A8" s="277"/>
      <c r="B8" s="278" t="n">
        <f aca="false">Admin!B9</f>
        <v>46265</v>
      </c>
      <c r="C8" s="264" t="n">
        <f aca="false">[6]Aug!$M$1</f>
        <v>6748</v>
      </c>
      <c r="D8" s="264" t="n">
        <f aca="false">[6]Aug!$N$1</f>
        <v>800</v>
      </c>
      <c r="E8" s="264" t="n">
        <f aca="false">[6]Aug!$O$1</f>
        <v>296</v>
      </c>
      <c r="F8" s="264" t="n">
        <f aca="false">[6]Aug!$P$1+[6]Aug!$Q$1</f>
        <v>0</v>
      </c>
      <c r="G8" s="264" t="n">
        <f aca="false">C8-SUM(D8:F8)</f>
        <v>5652</v>
      </c>
      <c r="H8" s="264" t="n">
        <f aca="false">[6]Aug!$T$1</f>
        <v>577.2</v>
      </c>
      <c r="I8" s="264" t="n">
        <f aca="false">[6]Aug!$G$1</f>
        <v>0</v>
      </c>
      <c r="J8" s="159"/>
      <c r="K8" s="279" t="s">
        <v>359</v>
      </c>
      <c r="L8" s="165"/>
    </row>
    <row r="9" customFormat="false" ht="12" hidden="false" customHeight="true" outlineLevel="0" collapsed="false">
      <c r="A9" s="277"/>
      <c r="B9" s="278" t="n">
        <f aca="false">Admin!B10</f>
        <v>46295</v>
      </c>
      <c r="C9" s="264" t="n">
        <f aca="false">[6]Sep!$M$1</f>
        <v>6748</v>
      </c>
      <c r="D9" s="264" t="n">
        <f aca="false">[6]Sep!$N$1</f>
        <v>800</v>
      </c>
      <c r="E9" s="264" t="n">
        <f aca="false">[6]Sep!$O$1</f>
        <v>296</v>
      </c>
      <c r="F9" s="264" t="n">
        <f aca="false">[6]Sep!$P$1+[6]Sep!$Q$1</f>
        <v>0</v>
      </c>
      <c r="G9" s="264" t="n">
        <f aca="false">C9-SUM(D9:F9)</f>
        <v>5652</v>
      </c>
      <c r="H9" s="264" t="n">
        <f aca="false">[6]Sep!$T$1</f>
        <v>577.2</v>
      </c>
      <c r="I9" s="264" t="n">
        <f aca="false">[6]Sep!$G$1</f>
        <v>0</v>
      </c>
      <c r="J9" s="159"/>
      <c r="K9" s="279"/>
      <c r="L9" s="165"/>
    </row>
    <row r="10" customFormat="false" ht="12" hidden="false" customHeight="true" outlineLevel="0" collapsed="false">
      <c r="A10" s="277"/>
      <c r="B10" s="278" t="n">
        <f aca="false">Admin!B11</f>
        <v>46326</v>
      </c>
      <c r="C10" s="264" t="n">
        <f aca="false">[6]Oct!$M$1</f>
        <v>6748</v>
      </c>
      <c r="D10" s="264" t="n">
        <f aca="false">[6]Oct!$N$1</f>
        <v>800</v>
      </c>
      <c r="E10" s="264" t="n">
        <f aca="false">[6]Oct!$O$1</f>
        <v>296</v>
      </c>
      <c r="F10" s="264" t="n">
        <f aca="false">[6]Oct!$P$1+[6]Oct!$Q$1</f>
        <v>0</v>
      </c>
      <c r="G10" s="264" t="n">
        <f aca="false">C10-SUM(D10:F10)</f>
        <v>5652</v>
      </c>
      <c r="H10" s="264" t="n">
        <f aca="false">[6]Oct!$T$1</f>
        <v>577.2</v>
      </c>
      <c r="I10" s="264" t="n">
        <f aca="false">[6]Oct!$G$1</f>
        <v>0</v>
      </c>
      <c r="J10" s="159"/>
      <c r="K10" s="279"/>
      <c r="L10" s="165"/>
    </row>
    <row r="11" customFormat="false" ht="12" hidden="false" customHeight="true" outlineLevel="0" collapsed="false">
      <c r="A11" s="277"/>
      <c r="B11" s="278" t="n">
        <f aca="false">Admin!B12</f>
        <v>46356</v>
      </c>
      <c r="C11" s="264" t="n">
        <f aca="false">[6]Nov!$M$1</f>
        <v>6748</v>
      </c>
      <c r="D11" s="264" t="n">
        <f aca="false">[6]Nov!$N$1</f>
        <v>800</v>
      </c>
      <c r="E11" s="264" t="n">
        <f aca="false">[6]Nov!$O$1</f>
        <v>296</v>
      </c>
      <c r="F11" s="264" t="n">
        <f aca="false">[6]Nov!$P$1+[6]Nov!$Q$1</f>
        <v>0</v>
      </c>
      <c r="G11" s="264" t="n">
        <f aca="false">C11-SUM(D11:F11)</f>
        <v>5652</v>
      </c>
      <c r="H11" s="264" t="n">
        <f aca="false">[6]Nov!$T$1</f>
        <v>577.2</v>
      </c>
      <c r="I11" s="264" t="n">
        <f aca="false">[6]Nov!$G$1</f>
        <v>0</v>
      </c>
      <c r="J11" s="159"/>
      <c r="K11" s="279"/>
      <c r="L11" s="165"/>
    </row>
    <row r="12" customFormat="false" ht="12" hidden="false" customHeight="true" outlineLevel="0" collapsed="false">
      <c r="A12" s="277"/>
      <c r="B12" s="278" t="n">
        <f aca="false">Admin!B13</f>
        <v>46387</v>
      </c>
      <c r="C12" s="264" t="n">
        <f aca="false">[6]Dec!$M$1</f>
        <v>6748</v>
      </c>
      <c r="D12" s="264" t="n">
        <f aca="false">[6]Dec!$N$1</f>
        <v>800</v>
      </c>
      <c r="E12" s="264" t="n">
        <f aca="false">[6]Dec!$O$1</f>
        <v>296</v>
      </c>
      <c r="F12" s="264" t="n">
        <f aca="false">[6]Dec!$P$1+[6]Dec!$Q$1</f>
        <v>0</v>
      </c>
      <c r="G12" s="264" t="n">
        <f aca="false">C12-SUM(D12:F12)</f>
        <v>5652</v>
      </c>
      <c r="H12" s="264" t="n">
        <f aca="false">[6]Dec!$T$1</f>
        <v>577.2</v>
      </c>
      <c r="I12" s="264" t="n">
        <f aca="false">[6]Dec!$G$1</f>
        <v>0</v>
      </c>
      <c r="J12" s="159"/>
      <c r="K12" s="279"/>
      <c r="L12" s="165"/>
    </row>
    <row r="13" customFormat="false" ht="12" hidden="false" customHeight="false" outlineLevel="0" collapsed="false">
      <c r="A13" s="277"/>
      <c r="B13" s="278" t="n">
        <f aca="false">Admin!B14</f>
        <v>46418</v>
      </c>
      <c r="C13" s="264" t="n">
        <f aca="false">[6]Jan!$M$1</f>
        <v>6748</v>
      </c>
      <c r="D13" s="264" t="n">
        <f aca="false">[6]Jan!$N$1</f>
        <v>800</v>
      </c>
      <c r="E13" s="264" t="n">
        <f aca="false">[6]Jan!$O$1</f>
        <v>296</v>
      </c>
      <c r="F13" s="264" t="n">
        <f aca="false">[6]Jan!$P$1+[6]Jan!$Q$1</f>
        <v>0</v>
      </c>
      <c r="G13" s="264" t="n">
        <f aca="false">C13-SUM(D13:F13)</f>
        <v>5652</v>
      </c>
      <c r="H13" s="264" t="n">
        <f aca="false">[6]Jan!$T$1</f>
        <v>577.2</v>
      </c>
      <c r="I13" s="264" t="n">
        <f aca="false">[6]Jan!$G$1</f>
        <v>0</v>
      </c>
      <c r="J13" s="159"/>
      <c r="K13" s="279"/>
      <c r="L13" s="165"/>
    </row>
    <row r="14" customFormat="false" ht="12" hidden="false" customHeight="false" outlineLevel="0" collapsed="false">
      <c r="A14" s="277"/>
      <c r="B14" s="278" t="n">
        <f aca="false">Admin!B15</f>
        <v>46446</v>
      </c>
      <c r="C14" s="264" t="n">
        <f aca="false">[6]Feb!$M$1</f>
        <v>6748</v>
      </c>
      <c r="D14" s="264" t="n">
        <f aca="false">[6]Feb!$N$1</f>
        <v>800</v>
      </c>
      <c r="E14" s="264" t="n">
        <f aca="false">[6]Feb!$O$1</f>
        <v>296</v>
      </c>
      <c r="F14" s="264" t="n">
        <f aca="false">[6]Feb!$P$1+[6]Feb!$Q$1</f>
        <v>0</v>
      </c>
      <c r="G14" s="264" t="n">
        <f aca="false">C14-SUM(D14:F14)</f>
        <v>5652</v>
      </c>
      <c r="H14" s="264" t="n">
        <f aca="false">[6]Feb!$T$1</f>
        <v>577.2</v>
      </c>
      <c r="I14" s="264" t="n">
        <f aca="false">[6]Feb!$G$1</f>
        <v>0</v>
      </c>
      <c r="J14" s="159"/>
      <c r="K14" s="279"/>
      <c r="L14" s="165"/>
    </row>
    <row r="15" customFormat="false" ht="12" hidden="false" customHeight="false" outlineLevel="0" collapsed="false">
      <c r="A15" s="277"/>
      <c r="B15" s="278" t="n">
        <f aca="false">Admin!B16</f>
        <v>46477</v>
      </c>
      <c r="C15" s="264" t="n">
        <f aca="false">[6]Mar!$M$1</f>
        <v>6748</v>
      </c>
      <c r="D15" s="264" t="n">
        <f aca="false">[6]Mar!$N$1</f>
        <v>800</v>
      </c>
      <c r="E15" s="264" t="n">
        <f aca="false">[6]Mar!$O$1</f>
        <v>296</v>
      </c>
      <c r="F15" s="264" t="n">
        <f aca="false">[6]Mar!$P$1+[6]Mar!$Q$1</f>
        <v>0</v>
      </c>
      <c r="G15" s="264" t="n">
        <f aca="false">C15-SUM(D15:F15)</f>
        <v>5652</v>
      </c>
      <c r="H15" s="264" t="n">
        <f aca="false">[6]Mar!$T$1</f>
        <v>577.2</v>
      </c>
      <c r="I15" s="264" t="n">
        <f aca="false">[6]Mar!$G$1</f>
        <v>0</v>
      </c>
      <c r="J15" s="159"/>
      <c r="K15" s="159"/>
      <c r="L15" s="165"/>
    </row>
    <row r="16" customFormat="false" ht="12" hidden="false" customHeight="false" outlineLevel="0" collapsed="false">
      <c r="A16" s="280"/>
      <c r="B16" s="281"/>
      <c r="C16" s="282"/>
      <c r="D16" s="282"/>
      <c r="E16" s="282"/>
      <c r="F16" s="282"/>
      <c r="G16" s="282"/>
      <c r="H16" s="282"/>
      <c r="I16" s="282"/>
      <c r="J16" s="194"/>
      <c r="K16" s="194"/>
      <c r="L16" s="187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5"/>
    <col collapsed="false" customWidth="true" hidden="false" outlineLevel="0" max="2" min="2" style="283" width="10.66"/>
    <col collapsed="false" customWidth="true" hidden="false" outlineLevel="0" max="3" min="3" style="283" width="0.82"/>
    <col collapsed="false" customWidth="true" hidden="false" outlineLevel="0" max="4" min="4" style="172" width="8.66"/>
    <col collapsed="false" customWidth="true" hidden="false" outlineLevel="0" max="5" min="5" style="172" width="0.82"/>
    <col collapsed="false" customWidth="true" hidden="false" outlineLevel="0" max="6" min="6" style="172" width="8.66"/>
    <col collapsed="false" customWidth="true" hidden="false" outlineLevel="0" max="7" min="7" style="172" width="0.82"/>
    <col collapsed="false" customWidth="true" hidden="false" outlineLevel="0" max="8" min="8" style="284" width="7.66"/>
    <col collapsed="false" customWidth="true" hidden="false" outlineLevel="0" max="9" min="9" style="172" width="0.82"/>
    <col collapsed="false" customWidth="true" hidden="false" outlineLevel="0" max="10" min="10" style="172" width="7.99"/>
    <col collapsed="false" customWidth="true" hidden="false" outlineLevel="0" max="11" min="11" style="172" width="0.82"/>
    <col collapsed="false" customWidth="true" hidden="false" outlineLevel="0" max="12" min="12" style="172" width="7.66"/>
    <col collapsed="false" customWidth="true" hidden="false" outlineLevel="0" max="13" min="13" style="172" width="0.82"/>
    <col collapsed="false" customWidth="true" hidden="false" outlineLevel="0" max="14" min="14" style="285" width="7.66"/>
    <col collapsed="false" customWidth="true" hidden="false" outlineLevel="0" max="15" min="15" style="172" width="0.82"/>
    <col collapsed="false" customWidth="true" hidden="false" outlineLevel="0" max="16" min="16" style="172" width="7.99"/>
    <col collapsed="false" customWidth="true" hidden="false" outlineLevel="0" max="17" min="17" style="172" width="0.82"/>
    <col collapsed="false" customWidth="true" hidden="false" outlineLevel="0" max="18" min="18" style="173" width="7.66"/>
    <col collapsed="false" customWidth="true" hidden="false" outlineLevel="0" max="19" min="19" style="172" width="0.82"/>
    <col collapsed="false" customWidth="true" hidden="false" outlineLevel="0" max="20" min="20" style="285" width="7.66"/>
    <col collapsed="false" customWidth="true" hidden="false" outlineLevel="0" max="21" min="21" style="172" width="0.82"/>
    <col collapsed="false" customWidth="true" hidden="false" outlineLevel="0" max="22" min="22" style="172" width="7.99"/>
    <col collapsed="false" customWidth="true" hidden="false" outlineLevel="0" max="23" min="23" style="172" width="0.82"/>
    <col collapsed="false" customWidth="true" hidden="false" outlineLevel="0" max="24" min="24" style="173" width="7.66"/>
    <col collapsed="false" customWidth="true" hidden="false" outlineLevel="0" max="25" min="25" style="172" width="0.82"/>
    <col collapsed="false" customWidth="true" hidden="false" outlineLevel="0" max="26" min="26" style="172" width="8.99"/>
    <col collapsed="false" customWidth="true" hidden="false" outlineLevel="0" max="27" min="27" style="172" width="0.82"/>
    <col collapsed="false" customWidth="true" hidden="false" outlineLevel="0" max="28" min="28" style="172" width="10.66"/>
    <col collapsed="false" customWidth="true" hidden="false" outlineLevel="0" max="29" min="29" style="155" width="1.66"/>
    <col collapsed="false" customWidth="true" hidden="false" outlineLevel="0" max="33" min="30" style="286" width="9.66"/>
    <col collapsed="false" customWidth="true" hidden="false" outlineLevel="0" max="34" min="34" style="155" width="2.66"/>
    <col collapsed="false" customWidth="false" hidden="false" outlineLevel="0" max="257" min="35" style="155" width="9.15"/>
  </cols>
  <sheetData>
    <row r="1" customFormat="false" ht="12" hidden="false" customHeight="true" outlineLevel="0" collapsed="false">
      <c r="A1" s="265"/>
      <c r="B1" s="287"/>
      <c r="C1" s="287"/>
      <c r="D1" s="288"/>
      <c r="E1" s="288"/>
      <c r="F1" s="288"/>
      <c r="G1" s="288"/>
      <c r="H1" s="289" t="s">
        <v>360</v>
      </c>
      <c r="I1" s="289"/>
      <c r="J1" s="289"/>
      <c r="K1" s="289"/>
      <c r="L1" s="289"/>
      <c r="M1" s="288"/>
      <c r="N1" s="289" t="s">
        <v>360</v>
      </c>
      <c r="O1" s="289"/>
      <c r="P1" s="289"/>
      <c r="Q1" s="289"/>
      <c r="R1" s="289"/>
      <c r="S1" s="288"/>
      <c r="T1" s="289" t="s">
        <v>360</v>
      </c>
      <c r="U1" s="289"/>
      <c r="V1" s="289"/>
      <c r="W1" s="289"/>
      <c r="X1" s="289"/>
      <c r="Y1" s="290"/>
      <c r="Z1" s="288"/>
      <c r="AA1" s="288"/>
      <c r="AB1" s="288"/>
      <c r="AC1" s="160"/>
      <c r="AD1" s="291"/>
      <c r="AE1" s="292"/>
      <c r="AF1" s="292"/>
      <c r="AG1" s="292"/>
      <c r="AH1" s="160"/>
    </row>
    <row r="2" s="303" customFormat="true" ht="32.8" hidden="false" customHeight="true" outlineLevel="0" collapsed="false">
      <c r="A2" s="293"/>
      <c r="B2" s="294" t="s">
        <v>361</v>
      </c>
      <c r="C2" s="295"/>
      <c r="D2" s="296" t="s">
        <v>362</v>
      </c>
      <c r="E2" s="297"/>
      <c r="F2" s="296" t="s">
        <v>363</v>
      </c>
      <c r="G2" s="297"/>
      <c r="H2" s="298" t="s">
        <v>364</v>
      </c>
      <c r="I2" s="297"/>
      <c r="J2" s="296" t="s">
        <v>365</v>
      </c>
      <c r="K2" s="297"/>
      <c r="L2" s="296" t="s">
        <v>366</v>
      </c>
      <c r="M2" s="297"/>
      <c r="N2" s="298" t="s">
        <v>367</v>
      </c>
      <c r="O2" s="297"/>
      <c r="P2" s="296" t="s">
        <v>368</v>
      </c>
      <c r="Q2" s="297"/>
      <c r="R2" s="296" t="s">
        <v>366</v>
      </c>
      <c r="S2" s="297"/>
      <c r="T2" s="298" t="s">
        <v>369</v>
      </c>
      <c r="U2" s="297"/>
      <c r="V2" s="296" t="s">
        <v>370</v>
      </c>
      <c r="W2" s="297"/>
      <c r="X2" s="299" t="s">
        <v>366</v>
      </c>
      <c r="Y2" s="300"/>
      <c r="Z2" s="296" t="s">
        <v>371</v>
      </c>
      <c r="AA2" s="297"/>
      <c r="AB2" s="296" t="s">
        <v>372</v>
      </c>
      <c r="AC2" s="301"/>
      <c r="AD2" s="302" t="s">
        <v>373</v>
      </c>
      <c r="AE2" s="302"/>
      <c r="AF2" s="302"/>
      <c r="AG2" s="302"/>
      <c r="AH2" s="301"/>
    </row>
    <row r="3" customFormat="false" ht="12" hidden="false" customHeight="true" outlineLevel="0" collapsed="false">
      <c r="A3" s="277"/>
      <c r="B3" s="304"/>
      <c r="C3" s="304"/>
      <c r="D3" s="305"/>
      <c r="E3" s="305"/>
      <c r="F3" s="306"/>
      <c r="G3" s="306"/>
      <c r="H3" s="307"/>
      <c r="I3" s="306"/>
      <c r="J3" s="306"/>
      <c r="K3" s="306"/>
      <c r="L3" s="308"/>
      <c r="M3" s="306"/>
      <c r="N3" s="307"/>
      <c r="O3" s="306"/>
      <c r="P3" s="306"/>
      <c r="Q3" s="306"/>
      <c r="R3" s="308"/>
      <c r="S3" s="306"/>
      <c r="T3" s="307"/>
      <c r="U3" s="306"/>
      <c r="V3" s="306"/>
      <c r="W3" s="306"/>
      <c r="X3" s="306"/>
      <c r="Y3" s="309"/>
      <c r="Z3" s="306"/>
      <c r="AA3" s="306"/>
      <c r="AB3" s="306"/>
      <c r="AC3" s="165"/>
      <c r="AD3" s="310" t="s">
        <v>374</v>
      </c>
      <c r="AE3" s="310"/>
      <c r="AF3" s="310"/>
      <c r="AG3" s="310"/>
      <c r="AH3" s="165"/>
    </row>
    <row r="4" customFormat="false" ht="12" hidden="false" customHeight="true" outlineLevel="0" collapsed="false">
      <c r="A4" s="277"/>
      <c r="B4" s="311" t="s">
        <v>375</v>
      </c>
      <c r="C4" s="311"/>
      <c r="D4" s="311"/>
      <c r="E4" s="311"/>
      <c r="F4" s="311"/>
      <c r="G4" s="306"/>
      <c r="H4" s="312" t="n">
        <v>0</v>
      </c>
      <c r="I4" s="306"/>
      <c r="J4" s="306"/>
      <c r="K4" s="306"/>
      <c r="L4" s="308"/>
      <c r="M4" s="306"/>
      <c r="N4" s="312" t="n">
        <v>0</v>
      </c>
      <c r="O4" s="306"/>
      <c r="P4" s="306"/>
      <c r="Q4" s="306"/>
      <c r="R4" s="308"/>
      <c r="S4" s="306"/>
      <c r="T4" s="312" t="n">
        <v>0</v>
      </c>
      <c r="U4" s="306"/>
      <c r="V4" s="306"/>
      <c r="W4" s="306"/>
      <c r="X4" s="306"/>
      <c r="Y4" s="309"/>
      <c r="Z4" s="306"/>
      <c r="AA4" s="306"/>
      <c r="AB4" s="306"/>
      <c r="AC4" s="165"/>
      <c r="AD4" s="310"/>
      <c r="AE4" s="310"/>
      <c r="AF4" s="310"/>
      <c r="AG4" s="310"/>
      <c r="AH4" s="165"/>
    </row>
    <row r="5" customFormat="false" ht="12" hidden="false" customHeight="false" outlineLevel="0" collapsed="false">
      <c r="A5" s="277"/>
      <c r="B5" s="313"/>
      <c r="C5" s="313"/>
      <c r="D5" s="178"/>
      <c r="E5" s="178"/>
      <c r="F5" s="178"/>
      <c r="G5" s="178"/>
      <c r="H5" s="314"/>
      <c r="I5" s="178"/>
      <c r="J5" s="178"/>
      <c r="K5" s="178"/>
      <c r="L5" s="180"/>
      <c r="M5" s="178"/>
      <c r="N5" s="314"/>
      <c r="O5" s="178"/>
      <c r="P5" s="178"/>
      <c r="Q5" s="178"/>
      <c r="R5" s="180"/>
      <c r="S5" s="178"/>
      <c r="T5" s="314"/>
      <c r="U5" s="178"/>
      <c r="V5" s="178"/>
      <c r="W5" s="178"/>
      <c r="X5" s="178"/>
      <c r="Y5" s="315"/>
      <c r="Z5" s="178"/>
      <c r="AA5" s="178"/>
      <c r="AB5" s="178"/>
      <c r="AC5" s="165"/>
      <c r="AD5" s="310"/>
      <c r="AE5" s="310"/>
      <c r="AF5" s="310"/>
      <c r="AG5" s="310"/>
      <c r="AH5" s="165"/>
    </row>
    <row r="6" customFormat="false" ht="12" hidden="false" customHeight="false" outlineLevel="0" collapsed="false">
      <c r="A6" s="277"/>
      <c r="B6" s="316" t="n">
        <f aca="false">Admin!B4</f>
        <v>46118</v>
      </c>
      <c r="C6" s="317"/>
      <c r="D6" s="192" t="n">
        <f aca="false">AB6</f>
        <v>10000</v>
      </c>
      <c r="E6" s="178"/>
      <c r="F6" s="178"/>
      <c r="G6" s="178"/>
      <c r="H6" s="314"/>
      <c r="I6" s="178"/>
      <c r="J6" s="178"/>
      <c r="K6" s="178"/>
      <c r="L6" s="180"/>
      <c r="M6" s="178"/>
      <c r="N6" s="314"/>
      <c r="O6" s="178"/>
      <c r="P6" s="178"/>
      <c r="Q6" s="178"/>
      <c r="R6" s="180"/>
      <c r="S6" s="178"/>
      <c r="T6" s="314"/>
      <c r="U6" s="178"/>
      <c r="V6" s="178"/>
      <c r="W6" s="178"/>
      <c r="X6" s="178"/>
      <c r="Y6" s="315"/>
      <c r="Z6" s="178"/>
      <c r="AA6" s="178"/>
      <c r="AB6" s="171" t="n">
        <v>10000</v>
      </c>
      <c r="AC6" s="165"/>
      <c r="AD6" s="310"/>
      <c r="AE6" s="310"/>
      <c r="AF6" s="310"/>
      <c r="AG6" s="310"/>
      <c r="AH6" s="165"/>
    </row>
    <row r="7" customFormat="false" ht="12" hidden="false" customHeight="false" outlineLevel="0" collapsed="false">
      <c r="A7" s="277"/>
      <c r="B7" s="317"/>
      <c r="C7" s="317"/>
      <c r="D7" s="178"/>
      <c r="E7" s="178"/>
      <c r="F7" s="178"/>
      <c r="G7" s="178"/>
      <c r="H7" s="314"/>
      <c r="I7" s="178"/>
      <c r="J7" s="178"/>
      <c r="K7" s="178"/>
      <c r="L7" s="180"/>
      <c r="M7" s="178"/>
      <c r="N7" s="314"/>
      <c r="O7" s="178"/>
      <c r="P7" s="178"/>
      <c r="Q7" s="178"/>
      <c r="R7" s="180"/>
      <c r="S7" s="178"/>
      <c r="T7" s="314"/>
      <c r="U7" s="178"/>
      <c r="V7" s="178"/>
      <c r="W7" s="178"/>
      <c r="X7" s="178"/>
      <c r="Y7" s="315"/>
      <c r="Z7" s="178"/>
      <c r="AA7" s="178"/>
      <c r="AB7" s="178"/>
      <c r="AC7" s="165"/>
      <c r="AD7" s="310"/>
      <c r="AE7" s="310"/>
      <c r="AF7" s="310"/>
      <c r="AG7" s="310"/>
      <c r="AH7" s="165"/>
    </row>
    <row r="8" customFormat="false" ht="12" hidden="false" customHeight="false" outlineLevel="0" collapsed="false">
      <c r="A8" s="277"/>
      <c r="B8" s="316" t="n">
        <f aca="false">Admin!B5</f>
        <v>46142</v>
      </c>
      <c r="C8" s="317"/>
      <c r="D8" s="192" t="n">
        <f aca="false">D6+F8-L8-R8-X8+Z6</f>
        <v>10000</v>
      </c>
      <c r="E8" s="178"/>
      <c r="F8" s="178" t="n">
        <f aca="false">IF((H$4+N$4+T$4)=0,0,[3]Apr!$P$1)</f>
        <v>0</v>
      </c>
      <c r="G8" s="178"/>
      <c r="H8" s="318" t="n">
        <f aca="false">H4</f>
        <v>0</v>
      </c>
      <c r="I8" s="178"/>
      <c r="J8" s="178" t="n">
        <f aca="false">[2]Apr!$P$1</f>
        <v>25333.3333333333</v>
      </c>
      <c r="K8" s="178"/>
      <c r="L8" s="180" t="n">
        <f aca="false">J8*H8</f>
        <v>0</v>
      </c>
      <c r="M8" s="178"/>
      <c r="N8" s="318" t="n">
        <f aca="false">N4</f>
        <v>0</v>
      </c>
      <c r="O8" s="178"/>
      <c r="P8" s="178" t="n">
        <f aca="false">[2]Apr!$Q$1</f>
        <v>1800</v>
      </c>
      <c r="Q8" s="178"/>
      <c r="R8" s="180" t="n">
        <f aca="false">P8*N8</f>
        <v>0</v>
      </c>
      <c r="S8" s="178"/>
      <c r="T8" s="318" t="n">
        <f aca="false">T4</f>
        <v>0</v>
      </c>
      <c r="U8" s="178"/>
      <c r="V8" s="178" t="n">
        <f aca="false">[2]Apr!$R$1</f>
        <v>0</v>
      </c>
      <c r="W8" s="178"/>
      <c r="X8" s="178" t="n">
        <f aca="false">V8*T8</f>
        <v>0</v>
      </c>
      <c r="Y8" s="315"/>
      <c r="Z8" s="178" t="n">
        <f aca="false">IF(AB8&lt;&gt;D8,AB8-D8,0)</f>
        <v>0</v>
      </c>
      <c r="AA8" s="178"/>
      <c r="AB8" s="171" t="n">
        <f aca="false">AB6+F8-L8-R8-X8</f>
        <v>10000</v>
      </c>
      <c r="AC8" s="165"/>
      <c r="AD8" s="310"/>
      <c r="AE8" s="310"/>
      <c r="AF8" s="310"/>
      <c r="AG8" s="310"/>
      <c r="AH8" s="165"/>
    </row>
    <row r="9" customFormat="false" ht="12" hidden="false" customHeight="false" outlineLevel="0" collapsed="false">
      <c r="A9" s="277"/>
      <c r="B9" s="317"/>
      <c r="C9" s="317"/>
      <c r="D9" s="178"/>
      <c r="E9" s="178"/>
      <c r="F9" s="178"/>
      <c r="G9" s="178"/>
      <c r="H9" s="314"/>
      <c r="I9" s="178"/>
      <c r="J9" s="178"/>
      <c r="K9" s="178"/>
      <c r="L9" s="180"/>
      <c r="M9" s="178"/>
      <c r="N9" s="314"/>
      <c r="O9" s="178"/>
      <c r="P9" s="178"/>
      <c r="Q9" s="178"/>
      <c r="R9" s="180"/>
      <c r="S9" s="178"/>
      <c r="T9" s="314"/>
      <c r="U9" s="178"/>
      <c r="V9" s="178"/>
      <c r="W9" s="178"/>
      <c r="X9" s="178"/>
      <c r="Y9" s="315"/>
      <c r="Z9" s="178"/>
      <c r="AA9" s="178"/>
      <c r="AB9" s="178"/>
      <c r="AC9" s="165"/>
      <c r="AD9" s="310"/>
      <c r="AE9" s="310"/>
      <c r="AF9" s="310"/>
      <c r="AG9" s="310"/>
      <c r="AH9" s="165"/>
    </row>
    <row r="10" customFormat="false" ht="12.65" hidden="false" customHeight="false" outlineLevel="0" collapsed="false">
      <c r="A10" s="277"/>
      <c r="B10" s="316" t="n">
        <f aca="false">Admin!B6</f>
        <v>46173</v>
      </c>
      <c r="C10" s="317"/>
      <c r="D10" s="192" t="n">
        <f aca="false">D8+F10-L10-R10-X10+Z8</f>
        <v>10000</v>
      </c>
      <c r="E10" s="178"/>
      <c r="F10" s="178" t="n">
        <f aca="false">IF((H$4+N$4+T$4)=0,0,[3]May!$P$1)</f>
        <v>0</v>
      </c>
      <c r="G10" s="178"/>
      <c r="H10" s="318" t="n">
        <f aca="false">H8</f>
        <v>0</v>
      </c>
      <c r="I10" s="178"/>
      <c r="J10" s="178" t="n">
        <f aca="false">[2]May!$P$1</f>
        <v>25633.3333333333</v>
      </c>
      <c r="K10" s="178"/>
      <c r="L10" s="180" t="n">
        <f aca="false">J10*H10</f>
        <v>0</v>
      </c>
      <c r="M10" s="178"/>
      <c r="N10" s="318" t="n">
        <f aca="false">N8</f>
        <v>0</v>
      </c>
      <c r="O10" s="178"/>
      <c r="P10" s="178" t="n">
        <f aca="false">[2]May!$Q$1</f>
        <v>800</v>
      </c>
      <c r="Q10" s="178"/>
      <c r="R10" s="180" t="n">
        <f aca="false">P10*N10</f>
        <v>0</v>
      </c>
      <c r="S10" s="178"/>
      <c r="T10" s="318" t="n">
        <f aca="false">T8</f>
        <v>0</v>
      </c>
      <c r="U10" s="178"/>
      <c r="V10" s="178" t="n">
        <f aca="false">[2]May!$R$1</f>
        <v>1000</v>
      </c>
      <c r="W10" s="178"/>
      <c r="X10" s="178" t="n">
        <f aca="false">V10*T10</f>
        <v>0</v>
      </c>
      <c r="Y10" s="315"/>
      <c r="Z10" s="178" t="n">
        <f aca="false">IF(AB10&lt;&gt;D10,AB10-D10,0)</f>
        <v>0</v>
      </c>
      <c r="AA10" s="178"/>
      <c r="AB10" s="171" t="n">
        <f aca="false">AB8+F10-L10-R10-X10</f>
        <v>10000</v>
      </c>
      <c r="AC10" s="165"/>
      <c r="AD10" s="319"/>
      <c r="AE10" s="320"/>
      <c r="AF10" s="320"/>
      <c r="AG10" s="320"/>
      <c r="AH10" s="165"/>
    </row>
    <row r="11" customFormat="false" ht="12" hidden="false" customHeight="true" outlineLevel="0" collapsed="false">
      <c r="A11" s="277"/>
      <c r="B11" s="317"/>
      <c r="C11" s="317"/>
      <c r="D11" s="178"/>
      <c r="E11" s="178"/>
      <c r="F11" s="178"/>
      <c r="G11" s="178"/>
      <c r="H11" s="314"/>
      <c r="I11" s="178"/>
      <c r="J11" s="178"/>
      <c r="K11" s="178"/>
      <c r="L11" s="180"/>
      <c r="M11" s="178"/>
      <c r="N11" s="314"/>
      <c r="O11" s="178"/>
      <c r="P11" s="178"/>
      <c r="Q11" s="178"/>
      <c r="R11" s="180"/>
      <c r="S11" s="178"/>
      <c r="T11" s="314"/>
      <c r="U11" s="178"/>
      <c r="V11" s="178"/>
      <c r="W11" s="178"/>
      <c r="X11" s="178"/>
      <c r="Y11" s="315"/>
      <c r="Z11" s="178"/>
      <c r="AA11" s="178"/>
      <c r="AB11" s="178"/>
      <c r="AC11" s="165"/>
      <c r="AD11" s="310" t="s">
        <v>376</v>
      </c>
      <c r="AE11" s="310"/>
      <c r="AF11" s="310"/>
      <c r="AG11" s="310"/>
      <c r="AH11" s="165"/>
    </row>
    <row r="12" customFormat="false" ht="12" hidden="false" customHeight="false" outlineLevel="0" collapsed="false">
      <c r="A12" s="277"/>
      <c r="B12" s="316" t="n">
        <f aca="false">Admin!B7</f>
        <v>46203</v>
      </c>
      <c r="C12" s="317"/>
      <c r="D12" s="192" t="n">
        <f aca="false">D10+F12-L12-R12-X12+Z10</f>
        <v>10000</v>
      </c>
      <c r="E12" s="178"/>
      <c r="F12" s="178" t="n">
        <f aca="false">IF((H$4+N$4+T$4)=0,0,[3]Jun!$P$1)</f>
        <v>0</v>
      </c>
      <c r="G12" s="178"/>
      <c r="H12" s="318" t="n">
        <f aca="false">H10</f>
        <v>0</v>
      </c>
      <c r="I12" s="178"/>
      <c r="J12" s="178" t="n">
        <f aca="false">[2]Jun!$P$1</f>
        <v>26533.3333333333</v>
      </c>
      <c r="K12" s="178"/>
      <c r="L12" s="180" t="n">
        <f aca="false">J12*H12</f>
        <v>0</v>
      </c>
      <c r="M12" s="178"/>
      <c r="N12" s="318" t="n">
        <f aca="false">N10</f>
        <v>0</v>
      </c>
      <c r="O12" s="178"/>
      <c r="P12" s="178" t="n">
        <f aca="false">[2]Jun!$Q$1</f>
        <v>800</v>
      </c>
      <c r="Q12" s="178"/>
      <c r="R12" s="180" t="n">
        <f aca="false">P12*N12</f>
        <v>0</v>
      </c>
      <c r="S12" s="178"/>
      <c r="T12" s="318" t="n">
        <f aca="false">T10</f>
        <v>0</v>
      </c>
      <c r="U12" s="178"/>
      <c r="V12" s="178" t="n">
        <f aca="false">[2]Jun!$R$1</f>
        <v>2000</v>
      </c>
      <c r="W12" s="178"/>
      <c r="X12" s="178" t="n">
        <f aca="false">V12*T12</f>
        <v>0</v>
      </c>
      <c r="Y12" s="315"/>
      <c r="Z12" s="178" t="n">
        <f aca="false">IF(AB12&lt;&gt;D12,AB12-D12,0)</f>
        <v>0</v>
      </c>
      <c r="AA12" s="178"/>
      <c r="AB12" s="171" t="n">
        <f aca="false">AB10+F12-L12-R12-X12</f>
        <v>10000</v>
      </c>
      <c r="AC12" s="165"/>
      <c r="AD12" s="310"/>
      <c r="AE12" s="310"/>
      <c r="AF12" s="310"/>
      <c r="AG12" s="310"/>
      <c r="AH12" s="165"/>
    </row>
    <row r="13" customFormat="false" ht="12" hidden="false" customHeight="false" outlineLevel="0" collapsed="false">
      <c r="A13" s="277"/>
      <c r="B13" s="317"/>
      <c r="C13" s="317"/>
      <c r="D13" s="178"/>
      <c r="E13" s="178"/>
      <c r="F13" s="178"/>
      <c r="G13" s="178"/>
      <c r="H13" s="314"/>
      <c r="I13" s="178"/>
      <c r="J13" s="178"/>
      <c r="K13" s="178"/>
      <c r="L13" s="180"/>
      <c r="M13" s="178"/>
      <c r="N13" s="314"/>
      <c r="O13" s="178"/>
      <c r="P13" s="178"/>
      <c r="Q13" s="178"/>
      <c r="R13" s="180"/>
      <c r="S13" s="178"/>
      <c r="T13" s="314"/>
      <c r="U13" s="178"/>
      <c r="V13" s="178"/>
      <c r="W13" s="178"/>
      <c r="X13" s="178"/>
      <c r="Y13" s="315"/>
      <c r="Z13" s="178"/>
      <c r="AA13" s="178"/>
      <c r="AB13" s="178"/>
      <c r="AC13" s="165"/>
      <c r="AD13" s="310"/>
      <c r="AE13" s="310"/>
      <c r="AF13" s="310"/>
      <c r="AG13" s="310"/>
      <c r="AH13" s="165"/>
    </row>
    <row r="14" customFormat="false" ht="12" hidden="false" customHeight="true" outlineLevel="0" collapsed="false">
      <c r="A14" s="277"/>
      <c r="B14" s="316" t="n">
        <f aca="false">Admin!B8</f>
        <v>46234</v>
      </c>
      <c r="C14" s="317"/>
      <c r="D14" s="192" t="n">
        <f aca="false">D12+F14-L14-R14-X14+Z12</f>
        <v>10000</v>
      </c>
      <c r="E14" s="178"/>
      <c r="F14" s="178" t="n">
        <f aca="false">IF((H$4+N$4+T$4)=0,0,[3]Jul!$P$1)</f>
        <v>0</v>
      </c>
      <c r="G14" s="178"/>
      <c r="H14" s="318" t="n">
        <f aca="false">H12</f>
        <v>0</v>
      </c>
      <c r="I14" s="178"/>
      <c r="J14" s="178" t="n">
        <f aca="false">[2]Jul!$P$1</f>
        <v>25633.3333333333</v>
      </c>
      <c r="K14" s="178"/>
      <c r="L14" s="180" t="n">
        <f aca="false">J14*H14</f>
        <v>0</v>
      </c>
      <c r="M14" s="178"/>
      <c r="N14" s="318" t="n">
        <f aca="false">N12</f>
        <v>0</v>
      </c>
      <c r="O14" s="178"/>
      <c r="P14" s="178" t="n">
        <f aca="false">[2]Jul!$Q$1</f>
        <v>1800</v>
      </c>
      <c r="Q14" s="178"/>
      <c r="R14" s="180" t="n">
        <f aca="false">P14*N14</f>
        <v>0</v>
      </c>
      <c r="S14" s="178"/>
      <c r="T14" s="318" t="n">
        <f aca="false">T12</f>
        <v>0</v>
      </c>
      <c r="U14" s="178"/>
      <c r="V14" s="178" t="n">
        <f aca="false">[2]Jul!$R$1</f>
        <v>0</v>
      </c>
      <c r="W14" s="178"/>
      <c r="X14" s="178" t="n">
        <f aca="false">V14*T14</f>
        <v>0</v>
      </c>
      <c r="Y14" s="315"/>
      <c r="Z14" s="178" t="n">
        <f aca="false">IF(AB14&lt;&gt;D14,AB14-D14,0)</f>
        <v>0</v>
      </c>
      <c r="AA14" s="178"/>
      <c r="AB14" s="171" t="n">
        <f aca="false">AB12+F14-L14-R14-X14</f>
        <v>10000</v>
      </c>
      <c r="AC14" s="165"/>
      <c r="AD14" s="321"/>
      <c r="AE14" s="322"/>
      <c r="AF14" s="322"/>
      <c r="AG14" s="322"/>
      <c r="AH14" s="165"/>
    </row>
    <row r="15" customFormat="false" ht="12" hidden="false" customHeight="true" outlineLevel="0" collapsed="false">
      <c r="A15" s="277"/>
      <c r="B15" s="317"/>
      <c r="C15" s="317"/>
      <c r="D15" s="178"/>
      <c r="E15" s="178"/>
      <c r="F15" s="178"/>
      <c r="G15" s="178"/>
      <c r="H15" s="314"/>
      <c r="I15" s="178"/>
      <c r="J15" s="178"/>
      <c r="K15" s="178"/>
      <c r="L15" s="180"/>
      <c r="M15" s="178"/>
      <c r="N15" s="314"/>
      <c r="O15" s="178"/>
      <c r="P15" s="178"/>
      <c r="Q15" s="178"/>
      <c r="R15" s="180"/>
      <c r="S15" s="178"/>
      <c r="T15" s="314"/>
      <c r="U15" s="178"/>
      <c r="V15" s="178"/>
      <c r="W15" s="178"/>
      <c r="X15" s="178"/>
      <c r="Y15" s="315"/>
      <c r="Z15" s="178"/>
      <c r="AA15" s="178"/>
      <c r="AB15" s="178"/>
      <c r="AC15" s="165"/>
      <c r="AD15" s="310" t="s">
        <v>377</v>
      </c>
      <c r="AE15" s="310"/>
      <c r="AF15" s="310"/>
      <c r="AG15" s="310"/>
      <c r="AH15" s="165"/>
    </row>
    <row r="16" customFormat="false" ht="12" hidden="false" customHeight="true" outlineLevel="0" collapsed="false">
      <c r="A16" s="277"/>
      <c r="B16" s="316" t="n">
        <f aca="false">Admin!B9</f>
        <v>46265</v>
      </c>
      <c r="C16" s="317"/>
      <c r="D16" s="192" t="n">
        <f aca="false">D14+F16-L16-R16-X16+Z14</f>
        <v>10000</v>
      </c>
      <c r="E16" s="178"/>
      <c r="F16" s="178" t="n">
        <f aca="false">IF((H$4+N$4+T$4)=0,0,[3]Aug!$P$1)</f>
        <v>0</v>
      </c>
      <c r="G16" s="178"/>
      <c r="H16" s="318" t="n">
        <f aca="false">H14</f>
        <v>0</v>
      </c>
      <c r="I16" s="178"/>
      <c r="J16" s="178" t="n">
        <f aca="false">[2]Aug!$P$1</f>
        <v>27133.3333333333</v>
      </c>
      <c r="K16" s="178"/>
      <c r="L16" s="180" t="n">
        <f aca="false">J16*H16</f>
        <v>0</v>
      </c>
      <c r="M16" s="178"/>
      <c r="N16" s="318" t="n">
        <f aca="false">N14</f>
        <v>0</v>
      </c>
      <c r="O16" s="178"/>
      <c r="P16" s="178" t="n">
        <f aca="false">[2]Aug!$Q$1</f>
        <v>800</v>
      </c>
      <c r="Q16" s="178"/>
      <c r="R16" s="180" t="n">
        <f aca="false">P16*N16</f>
        <v>0</v>
      </c>
      <c r="S16" s="178"/>
      <c r="T16" s="318" t="n">
        <f aca="false">T14</f>
        <v>0</v>
      </c>
      <c r="U16" s="178"/>
      <c r="V16" s="178" t="n">
        <f aca="false">[2]Aug!$R$1</f>
        <v>0</v>
      </c>
      <c r="W16" s="178"/>
      <c r="X16" s="178" t="n">
        <f aca="false">V16*T16</f>
        <v>0</v>
      </c>
      <c r="Y16" s="315"/>
      <c r="Z16" s="178" t="n">
        <f aca="false">IF(AB16&lt;&gt;D16,AB16-D16,0)</f>
        <v>0</v>
      </c>
      <c r="AA16" s="178"/>
      <c r="AB16" s="171" t="n">
        <f aca="false">AB14+F16-L16-R16-X16</f>
        <v>10000</v>
      </c>
      <c r="AC16" s="165"/>
      <c r="AD16" s="310"/>
      <c r="AE16" s="310"/>
      <c r="AF16" s="310"/>
      <c r="AG16" s="310"/>
      <c r="AH16" s="165"/>
    </row>
    <row r="17" customFormat="false" ht="12" hidden="false" customHeight="true" outlineLevel="0" collapsed="false">
      <c r="A17" s="277"/>
      <c r="B17" s="317"/>
      <c r="C17" s="317"/>
      <c r="D17" s="178"/>
      <c r="E17" s="178"/>
      <c r="F17" s="178"/>
      <c r="G17" s="178"/>
      <c r="H17" s="314"/>
      <c r="I17" s="178"/>
      <c r="J17" s="178"/>
      <c r="K17" s="178"/>
      <c r="L17" s="180"/>
      <c r="M17" s="178"/>
      <c r="N17" s="314"/>
      <c r="O17" s="178"/>
      <c r="P17" s="178"/>
      <c r="Q17" s="178"/>
      <c r="R17" s="180"/>
      <c r="S17" s="178"/>
      <c r="T17" s="314"/>
      <c r="U17" s="178"/>
      <c r="V17" s="178"/>
      <c r="W17" s="178"/>
      <c r="X17" s="178"/>
      <c r="Y17" s="315"/>
      <c r="Z17" s="178"/>
      <c r="AA17" s="178"/>
      <c r="AB17" s="178"/>
      <c r="AC17" s="165"/>
      <c r="AD17" s="310"/>
      <c r="AE17" s="310"/>
      <c r="AF17" s="310"/>
      <c r="AG17" s="310"/>
      <c r="AH17" s="165"/>
    </row>
    <row r="18" customFormat="false" ht="12" hidden="false" customHeight="true" outlineLevel="0" collapsed="false">
      <c r="A18" s="277"/>
      <c r="B18" s="316" t="n">
        <f aca="false">Admin!B10</f>
        <v>46295</v>
      </c>
      <c r="C18" s="317"/>
      <c r="D18" s="192" t="n">
        <f aca="false">D16+F18-L18-R18-X18+Z16</f>
        <v>10000</v>
      </c>
      <c r="E18" s="178"/>
      <c r="F18" s="178" t="n">
        <f aca="false">IF((H$4+N$4+T$4)=0,0,[3]Sep!$P$1)</f>
        <v>0</v>
      </c>
      <c r="G18" s="178"/>
      <c r="H18" s="318" t="n">
        <f aca="false">H16</f>
        <v>0</v>
      </c>
      <c r="I18" s="178"/>
      <c r="J18" s="178" t="n">
        <f aca="false">[2]Sep!$P$1</f>
        <v>25033.3333333333</v>
      </c>
      <c r="K18" s="178"/>
      <c r="L18" s="180" t="n">
        <f aca="false">J18*H18</f>
        <v>0</v>
      </c>
      <c r="M18" s="178"/>
      <c r="N18" s="318" t="n">
        <f aca="false">N16</f>
        <v>0</v>
      </c>
      <c r="O18" s="178"/>
      <c r="P18" s="178" t="n">
        <f aca="false">[2]Sep!$Q$1</f>
        <v>800</v>
      </c>
      <c r="Q18" s="178"/>
      <c r="R18" s="180" t="n">
        <f aca="false">P18*N18</f>
        <v>0</v>
      </c>
      <c r="S18" s="178"/>
      <c r="T18" s="318" t="n">
        <f aca="false">T16</f>
        <v>0</v>
      </c>
      <c r="U18" s="178"/>
      <c r="V18" s="178" t="n">
        <f aca="false">[2]Sep!$R$1</f>
        <v>1800</v>
      </c>
      <c r="W18" s="178"/>
      <c r="X18" s="178" t="n">
        <f aca="false">V18*T18</f>
        <v>0</v>
      </c>
      <c r="Y18" s="315"/>
      <c r="Z18" s="178" t="n">
        <f aca="false">IF(AB18&lt;&gt;D18,AB18-D18,0)</f>
        <v>0</v>
      </c>
      <c r="AA18" s="178"/>
      <c r="AB18" s="171" t="n">
        <f aca="false">AB16+F18-L18-R18-X18</f>
        <v>10000</v>
      </c>
      <c r="AC18" s="165"/>
      <c r="AD18" s="321"/>
      <c r="AE18" s="322"/>
      <c r="AF18" s="322"/>
      <c r="AG18" s="322"/>
      <c r="AH18" s="165"/>
    </row>
    <row r="19" customFormat="false" ht="12" hidden="false" customHeight="true" outlineLevel="0" collapsed="false">
      <c r="A19" s="277"/>
      <c r="B19" s="317"/>
      <c r="C19" s="317"/>
      <c r="D19" s="178"/>
      <c r="E19" s="178"/>
      <c r="F19" s="178"/>
      <c r="G19" s="178"/>
      <c r="H19" s="314"/>
      <c r="I19" s="178"/>
      <c r="J19" s="178"/>
      <c r="K19" s="178"/>
      <c r="L19" s="180"/>
      <c r="M19" s="178"/>
      <c r="N19" s="314"/>
      <c r="O19" s="178"/>
      <c r="P19" s="178"/>
      <c r="Q19" s="178"/>
      <c r="R19" s="180"/>
      <c r="S19" s="178"/>
      <c r="T19" s="314"/>
      <c r="U19" s="178"/>
      <c r="V19" s="178"/>
      <c r="W19" s="178"/>
      <c r="X19" s="178"/>
      <c r="Y19" s="315"/>
      <c r="Z19" s="178"/>
      <c r="AA19" s="178"/>
      <c r="AB19" s="178"/>
      <c r="AC19" s="165"/>
      <c r="AD19" s="310" t="s">
        <v>378</v>
      </c>
      <c r="AE19" s="310"/>
      <c r="AF19" s="310"/>
      <c r="AG19" s="310"/>
      <c r="AH19" s="165"/>
    </row>
    <row r="20" customFormat="false" ht="12" hidden="false" customHeight="true" outlineLevel="0" collapsed="false">
      <c r="A20" s="277"/>
      <c r="B20" s="316" t="n">
        <f aca="false">Admin!B11</f>
        <v>46326</v>
      </c>
      <c r="C20" s="317"/>
      <c r="D20" s="192" t="n">
        <f aca="false">D18+F20-L20-R20-X20+Z18</f>
        <v>10000</v>
      </c>
      <c r="E20" s="178"/>
      <c r="F20" s="178" t="n">
        <f aca="false">IF((H$4+N$4+T$4)=0,0,[3]Oct!$P$1)</f>
        <v>0</v>
      </c>
      <c r="G20" s="178"/>
      <c r="H20" s="318" t="n">
        <f aca="false">H18</f>
        <v>0</v>
      </c>
      <c r="I20" s="178"/>
      <c r="J20" s="178" t="n">
        <f aca="false">[2]Oct!$P$1</f>
        <v>27133.3333333333</v>
      </c>
      <c r="K20" s="178"/>
      <c r="L20" s="180" t="n">
        <f aca="false">J20*H20</f>
        <v>0</v>
      </c>
      <c r="M20" s="178"/>
      <c r="N20" s="318" t="n">
        <f aca="false">N18</f>
        <v>0</v>
      </c>
      <c r="O20" s="178"/>
      <c r="P20" s="178" t="n">
        <f aca="false">[2]Oct!$Q$1</f>
        <v>1800</v>
      </c>
      <c r="Q20" s="178"/>
      <c r="R20" s="180" t="n">
        <f aca="false">P20*N20</f>
        <v>0</v>
      </c>
      <c r="S20" s="178"/>
      <c r="T20" s="318" t="n">
        <f aca="false">T18</f>
        <v>0</v>
      </c>
      <c r="U20" s="178"/>
      <c r="V20" s="178" t="n">
        <f aca="false">[2]Oct!$R$1</f>
        <v>0</v>
      </c>
      <c r="W20" s="178"/>
      <c r="X20" s="178" t="n">
        <f aca="false">V20*T20</f>
        <v>0</v>
      </c>
      <c r="Y20" s="315"/>
      <c r="Z20" s="178" t="n">
        <f aca="false">IF(AB20&lt;&gt;D20,AB20-D20,0)</f>
        <v>0</v>
      </c>
      <c r="AA20" s="178"/>
      <c r="AB20" s="171" t="n">
        <f aca="false">AB18+F20-L20-R20-X20</f>
        <v>10000</v>
      </c>
      <c r="AC20" s="165"/>
      <c r="AD20" s="310"/>
      <c r="AE20" s="310"/>
      <c r="AF20" s="310"/>
      <c r="AG20" s="310"/>
      <c r="AH20" s="165"/>
    </row>
    <row r="21" customFormat="false" ht="12" hidden="false" customHeight="true" outlineLevel="0" collapsed="false">
      <c r="A21" s="277"/>
      <c r="B21" s="317"/>
      <c r="C21" s="317"/>
      <c r="D21" s="178"/>
      <c r="E21" s="178"/>
      <c r="F21" s="178"/>
      <c r="G21" s="178"/>
      <c r="H21" s="314"/>
      <c r="I21" s="178"/>
      <c r="J21" s="178"/>
      <c r="K21" s="178"/>
      <c r="L21" s="180"/>
      <c r="M21" s="178"/>
      <c r="N21" s="314"/>
      <c r="O21" s="178"/>
      <c r="P21" s="178"/>
      <c r="Q21" s="178"/>
      <c r="R21" s="180"/>
      <c r="S21" s="178"/>
      <c r="T21" s="314"/>
      <c r="U21" s="178"/>
      <c r="V21" s="178"/>
      <c r="W21" s="178"/>
      <c r="X21" s="178"/>
      <c r="Y21" s="315"/>
      <c r="Z21" s="178"/>
      <c r="AA21" s="178"/>
      <c r="AB21" s="178"/>
      <c r="AC21" s="165"/>
      <c r="AD21" s="310"/>
      <c r="AE21" s="310"/>
      <c r="AF21" s="310"/>
      <c r="AG21" s="310"/>
      <c r="AH21" s="165"/>
    </row>
    <row r="22" customFormat="false" ht="12" hidden="false" customHeight="true" outlineLevel="0" collapsed="false">
      <c r="A22" s="277"/>
      <c r="B22" s="316" t="n">
        <f aca="false">Admin!B12</f>
        <v>46356</v>
      </c>
      <c r="C22" s="317"/>
      <c r="D22" s="192" t="n">
        <f aca="false">D20+F22-L22-R22-X22+Z20</f>
        <v>10000</v>
      </c>
      <c r="E22" s="178"/>
      <c r="F22" s="178" t="n">
        <f aca="false">IF((H$4+N$4+T$4)=0,0,[3]Nov!$P$1)</f>
        <v>0</v>
      </c>
      <c r="G22" s="178"/>
      <c r="H22" s="318" t="n">
        <f aca="false">H20</f>
        <v>0</v>
      </c>
      <c r="I22" s="178"/>
      <c r="J22" s="178" t="n">
        <f aca="false">[2]Nov!$P$1</f>
        <v>25633.3333333333</v>
      </c>
      <c r="K22" s="178"/>
      <c r="L22" s="180" t="n">
        <f aca="false">J22*H22</f>
        <v>0</v>
      </c>
      <c r="M22" s="178"/>
      <c r="N22" s="318" t="n">
        <f aca="false">N20</f>
        <v>0</v>
      </c>
      <c r="O22" s="178"/>
      <c r="P22" s="178" t="n">
        <f aca="false">[2]Nov!$Q$1</f>
        <v>800</v>
      </c>
      <c r="Q22" s="178"/>
      <c r="R22" s="180" t="n">
        <f aca="false">P22*N22</f>
        <v>0</v>
      </c>
      <c r="S22" s="178"/>
      <c r="T22" s="318" t="n">
        <f aca="false">T20</f>
        <v>0</v>
      </c>
      <c r="U22" s="178"/>
      <c r="V22" s="178" t="n">
        <f aca="false">[2]Nov!$R$1</f>
        <v>3000</v>
      </c>
      <c r="W22" s="178"/>
      <c r="X22" s="178" t="n">
        <f aca="false">V22*T22</f>
        <v>0</v>
      </c>
      <c r="Y22" s="315"/>
      <c r="Z22" s="178" t="n">
        <f aca="false">IF(AB22&lt;&gt;D22,AB22-D22,0)</f>
        <v>0</v>
      </c>
      <c r="AA22" s="178"/>
      <c r="AB22" s="171" t="n">
        <f aca="false">AB20+F22-L22-R22-X22</f>
        <v>10000</v>
      </c>
      <c r="AC22" s="165"/>
      <c r="AD22" s="321"/>
      <c r="AE22" s="322"/>
      <c r="AF22" s="322"/>
      <c r="AG22" s="322"/>
      <c r="AH22" s="165"/>
    </row>
    <row r="23" customFormat="false" ht="12" hidden="false" customHeight="true" outlineLevel="0" collapsed="false">
      <c r="A23" s="277"/>
      <c r="B23" s="317"/>
      <c r="C23" s="317"/>
      <c r="D23" s="178"/>
      <c r="E23" s="178"/>
      <c r="F23" s="178"/>
      <c r="G23" s="178"/>
      <c r="H23" s="314"/>
      <c r="I23" s="178"/>
      <c r="J23" s="178"/>
      <c r="K23" s="178"/>
      <c r="L23" s="180"/>
      <c r="M23" s="178"/>
      <c r="N23" s="314"/>
      <c r="O23" s="178"/>
      <c r="P23" s="178"/>
      <c r="Q23" s="178"/>
      <c r="R23" s="180"/>
      <c r="S23" s="178"/>
      <c r="T23" s="314"/>
      <c r="U23" s="178"/>
      <c r="V23" s="178"/>
      <c r="W23" s="178"/>
      <c r="X23" s="178"/>
      <c r="Y23" s="315"/>
      <c r="Z23" s="178"/>
      <c r="AA23" s="178"/>
      <c r="AB23" s="178"/>
      <c r="AC23" s="165"/>
      <c r="AD23" s="310" t="s">
        <v>379</v>
      </c>
      <c r="AE23" s="310"/>
      <c r="AF23" s="310"/>
      <c r="AG23" s="310"/>
      <c r="AH23" s="165"/>
    </row>
    <row r="24" customFormat="false" ht="12" hidden="false" customHeight="false" outlineLevel="0" collapsed="false">
      <c r="A24" s="277"/>
      <c r="B24" s="316" t="n">
        <f aca="false">Admin!B13</f>
        <v>46387</v>
      </c>
      <c r="C24" s="317"/>
      <c r="D24" s="192" t="n">
        <f aca="false">D22+F24-L24-R24-X24+Z22</f>
        <v>10000</v>
      </c>
      <c r="E24" s="178"/>
      <c r="F24" s="178" t="n">
        <f aca="false">IF((H$4+N$4+T$4)=0,0,[3]Dec!$P$1)</f>
        <v>0</v>
      </c>
      <c r="G24" s="178"/>
      <c r="H24" s="318" t="n">
        <f aca="false">H22</f>
        <v>0</v>
      </c>
      <c r="I24" s="178"/>
      <c r="J24" s="178" t="n">
        <f aca="false">[2]Dec!$P$1</f>
        <v>26533.3333333333</v>
      </c>
      <c r="K24" s="178"/>
      <c r="L24" s="180" t="n">
        <f aca="false">J24*H24</f>
        <v>0</v>
      </c>
      <c r="M24" s="178"/>
      <c r="N24" s="318" t="n">
        <f aca="false">N22</f>
        <v>0</v>
      </c>
      <c r="O24" s="178"/>
      <c r="P24" s="178" t="n">
        <f aca="false">[2]Dec!$Q$1</f>
        <v>800</v>
      </c>
      <c r="Q24" s="178"/>
      <c r="R24" s="180" t="n">
        <f aca="false">P24*N24</f>
        <v>0</v>
      </c>
      <c r="S24" s="178"/>
      <c r="T24" s="318" t="n">
        <f aca="false">T22</f>
        <v>0</v>
      </c>
      <c r="U24" s="178"/>
      <c r="V24" s="178" t="n">
        <f aca="false">[2]Dec!$R$1</f>
        <v>0</v>
      </c>
      <c r="W24" s="178"/>
      <c r="X24" s="178" t="n">
        <f aca="false">V24*T24</f>
        <v>0</v>
      </c>
      <c r="Y24" s="315"/>
      <c r="Z24" s="178" t="n">
        <f aca="false">IF(AB24&lt;&gt;D24,AB24-D24,0)</f>
        <v>0</v>
      </c>
      <c r="AA24" s="178"/>
      <c r="AB24" s="171" t="n">
        <f aca="false">AB22+F24-L24-R24-X24</f>
        <v>10000</v>
      </c>
      <c r="AC24" s="165"/>
      <c r="AD24" s="310"/>
      <c r="AE24" s="310"/>
      <c r="AF24" s="310"/>
      <c r="AG24" s="310"/>
      <c r="AH24" s="165"/>
    </row>
    <row r="25" customFormat="false" ht="12" hidden="false" customHeight="false" outlineLevel="0" collapsed="false">
      <c r="A25" s="277"/>
      <c r="B25" s="317"/>
      <c r="C25" s="317"/>
      <c r="D25" s="178"/>
      <c r="E25" s="178"/>
      <c r="F25" s="178"/>
      <c r="G25" s="178"/>
      <c r="H25" s="314"/>
      <c r="I25" s="178"/>
      <c r="J25" s="178"/>
      <c r="K25" s="178"/>
      <c r="L25" s="180"/>
      <c r="M25" s="178"/>
      <c r="N25" s="314"/>
      <c r="O25" s="178"/>
      <c r="P25" s="178"/>
      <c r="Q25" s="178"/>
      <c r="R25" s="180"/>
      <c r="S25" s="178"/>
      <c r="T25" s="314"/>
      <c r="U25" s="178"/>
      <c r="V25" s="178"/>
      <c r="W25" s="178"/>
      <c r="X25" s="178"/>
      <c r="Y25" s="315"/>
      <c r="Z25" s="178"/>
      <c r="AA25" s="178"/>
      <c r="AB25" s="178"/>
      <c r="AC25" s="165"/>
      <c r="AD25" s="310"/>
      <c r="AE25" s="310"/>
      <c r="AF25" s="310"/>
      <c r="AG25" s="310"/>
      <c r="AH25" s="165"/>
    </row>
    <row r="26" customFormat="false" ht="12" hidden="false" customHeight="false" outlineLevel="0" collapsed="false">
      <c r="A26" s="277"/>
      <c r="B26" s="316" t="n">
        <f aca="false">Admin!B14</f>
        <v>46418</v>
      </c>
      <c r="C26" s="317"/>
      <c r="D26" s="192" t="n">
        <f aca="false">D24+F26-L26-R26-X26+Z24</f>
        <v>10000</v>
      </c>
      <c r="E26" s="178"/>
      <c r="F26" s="178" t="n">
        <f aca="false">IF((H$4+N$4+T$4)=0,0,[3]Jan!$P$1)</f>
        <v>0</v>
      </c>
      <c r="G26" s="178"/>
      <c r="H26" s="318" t="n">
        <f aca="false">H24</f>
        <v>0</v>
      </c>
      <c r="I26" s="178"/>
      <c r="J26" s="178" t="n">
        <f aca="false">[2]Jan!$P$1</f>
        <v>25633.3333333333</v>
      </c>
      <c r="K26" s="178"/>
      <c r="L26" s="180" t="n">
        <f aca="false">J26*H26</f>
        <v>0</v>
      </c>
      <c r="M26" s="178"/>
      <c r="N26" s="318" t="n">
        <f aca="false">N24</f>
        <v>0</v>
      </c>
      <c r="O26" s="178"/>
      <c r="P26" s="178" t="n">
        <f aca="false">[2]Jan!$Q$1</f>
        <v>1800</v>
      </c>
      <c r="Q26" s="178"/>
      <c r="R26" s="180" t="n">
        <f aca="false">P26*N26</f>
        <v>0</v>
      </c>
      <c r="S26" s="178"/>
      <c r="T26" s="318" t="n">
        <f aca="false">T24</f>
        <v>0</v>
      </c>
      <c r="U26" s="178"/>
      <c r="V26" s="178" t="n">
        <f aca="false">[2]Jan!$R$1</f>
        <v>1000</v>
      </c>
      <c r="W26" s="178"/>
      <c r="X26" s="178" t="n">
        <f aca="false">V26*T26</f>
        <v>0</v>
      </c>
      <c r="Y26" s="315"/>
      <c r="Z26" s="178" t="n">
        <f aca="false">IF(AB26&lt;&gt;D26,AB26-D26,0)</f>
        <v>0</v>
      </c>
      <c r="AA26" s="178"/>
      <c r="AB26" s="171" t="n">
        <f aca="false">AB24+F26-L26-R26-X26</f>
        <v>10000</v>
      </c>
      <c r="AC26" s="165"/>
      <c r="AD26" s="310"/>
      <c r="AE26" s="310"/>
      <c r="AF26" s="310"/>
      <c r="AG26" s="310"/>
      <c r="AH26" s="165"/>
    </row>
    <row r="27" customFormat="false" ht="12" hidden="false" customHeight="false" outlineLevel="0" collapsed="false">
      <c r="A27" s="277"/>
      <c r="B27" s="317"/>
      <c r="C27" s="317"/>
      <c r="D27" s="178"/>
      <c r="E27" s="178"/>
      <c r="F27" s="178"/>
      <c r="G27" s="178"/>
      <c r="H27" s="314"/>
      <c r="I27" s="178"/>
      <c r="J27" s="178"/>
      <c r="K27" s="178"/>
      <c r="L27" s="180"/>
      <c r="M27" s="178"/>
      <c r="N27" s="314"/>
      <c r="O27" s="178"/>
      <c r="P27" s="178"/>
      <c r="Q27" s="178"/>
      <c r="R27" s="180"/>
      <c r="S27" s="178"/>
      <c r="T27" s="314"/>
      <c r="U27" s="178"/>
      <c r="V27" s="178"/>
      <c r="W27" s="178"/>
      <c r="X27" s="178"/>
      <c r="Y27" s="315"/>
      <c r="Z27" s="178"/>
      <c r="AA27" s="178"/>
      <c r="AB27" s="178"/>
      <c r="AC27" s="165"/>
      <c r="AD27" s="321"/>
      <c r="AE27" s="322"/>
      <c r="AF27" s="322"/>
      <c r="AG27" s="322"/>
      <c r="AH27" s="165"/>
    </row>
    <row r="28" customFormat="false" ht="12" hidden="false" customHeight="true" outlineLevel="0" collapsed="false">
      <c r="A28" s="277"/>
      <c r="B28" s="316" t="n">
        <f aca="false">Admin!B15</f>
        <v>46446</v>
      </c>
      <c r="C28" s="317"/>
      <c r="D28" s="192" t="n">
        <f aca="false">D26+F28-L28-R28-X28+Z26</f>
        <v>10000</v>
      </c>
      <c r="E28" s="178"/>
      <c r="F28" s="178" t="n">
        <f aca="false">IF((H$4+N$4+T$4)=0,0,[3]OpeningCreditors!$P$1)</f>
        <v>0</v>
      </c>
      <c r="G28" s="178"/>
      <c r="H28" s="318" t="n">
        <f aca="false">H26</f>
        <v>0</v>
      </c>
      <c r="I28" s="178"/>
      <c r="J28" s="178" t="n">
        <f aca="false">[2]Feb!$P$1</f>
        <v>26333.3333333333</v>
      </c>
      <c r="K28" s="178"/>
      <c r="L28" s="180" t="n">
        <f aca="false">J28*H28</f>
        <v>0</v>
      </c>
      <c r="M28" s="178"/>
      <c r="N28" s="318" t="n">
        <f aca="false">N26</f>
        <v>0</v>
      </c>
      <c r="O28" s="178"/>
      <c r="P28" s="178" t="n">
        <f aca="false">[2]Feb!$Q$1</f>
        <v>800</v>
      </c>
      <c r="Q28" s="178"/>
      <c r="R28" s="180" t="n">
        <f aca="false">P28*N28</f>
        <v>0</v>
      </c>
      <c r="S28" s="178"/>
      <c r="T28" s="318" t="n">
        <f aca="false">T26</f>
        <v>0</v>
      </c>
      <c r="U28" s="178"/>
      <c r="V28" s="178" t="n">
        <f aca="false">[2]Feb!$R$1</f>
        <v>1500</v>
      </c>
      <c r="W28" s="178"/>
      <c r="X28" s="178" t="n">
        <f aca="false">V28*T28</f>
        <v>0</v>
      </c>
      <c r="Y28" s="315"/>
      <c r="Z28" s="178" t="n">
        <f aca="false">IF(AB28&lt;&gt;D28,AB28-D28,0)</f>
        <v>0</v>
      </c>
      <c r="AA28" s="178"/>
      <c r="AB28" s="171" t="n">
        <f aca="false">AB26+F28-L28-R28-X28</f>
        <v>10000</v>
      </c>
      <c r="AC28" s="165"/>
      <c r="AD28" s="310" t="s">
        <v>380</v>
      </c>
      <c r="AE28" s="310"/>
      <c r="AF28" s="310"/>
      <c r="AG28" s="310"/>
      <c r="AH28" s="165"/>
    </row>
    <row r="29" customFormat="false" ht="12" hidden="false" customHeight="false" outlineLevel="0" collapsed="false">
      <c r="A29" s="277"/>
      <c r="B29" s="317"/>
      <c r="C29" s="317"/>
      <c r="D29" s="178"/>
      <c r="E29" s="178"/>
      <c r="F29" s="178"/>
      <c r="G29" s="178"/>
      <c r="H29" s="314"/>
      <c r="I29" s="178"/>
      <c r="J29" s="178"/>
      <c r="K29" s="178"/>
      <c r="L29" s="180"/>
      <c r="M29" s="178"/>
      <c r="N29" s="314"/>
      <c r="O29" s="178"/>
      <c r="P29" s="178"/>
      <c r="Q29" s="178"/>
      <c r="R29" s="180"/>
      <c r="S29" s="178"/>
      <c r="T29" s="314"/>
      <c r="U29" s="178"/>
      <c r="V29" s="178"/>
      <c r="W29" s="178"/>
      <c r="X29" s="178"/>
      <c r="Y29" s="315"/>
      <c r="Z29" s="178"/>
      <c r="AA29" s="178"/>
      <c r="AB29" s="178"/>
      <c r="AC29" s="165"/>
      <c r="AD29" s="310"/>
      <c r="AE29" s="310"/>
      <c r="AF29" s="310"/>
      <c r="AG29" s="310"/>
      <c r="AH29" s="165"/>
    </row>
    <row r="30" customFormat="false" ht="12" hidden="false" customHeight="false" outlineLevel="0" collapsed="false">
      <c r="A30" s="277"/>
      <c r="B30" s="316" t="n">
        <f aca="false">Admin!B17</f>
        <v>46482</v>
      </c>
      <c r="C30" s="317"/>
      <c r="D30" s="192" t="n">
        <f aca="false">D28+F30-L30-R30-X30+Z28</f>
        <v>10000</v>
      </c>
      <c r="E30" s="178"/>
      <c r="F30" s="178" t="n">
        <f aca="false">IF((H$4+N$4+T$4)=0,0,[3]Mar!$P$1)</f>
        <v>0</v>
      </c>
      <c r="G30" s="178"/>
      <c r="H30" s="318" t="n">
        <f aca="false">H28</f>
        <v>0</v>
      </c>
      <c r="I30" s="178"/>
      <c r="J30" s="178" t="n">
        <f aca="false">[2]Mar!$P$1</f>
        <v>25033.3333333333</v>
      </c>
      <c r="K30" s="178"/>
      <c r="L30" s="180" t="n">
        <f aca="false">J30*H30</f>
        <v>0</v>
      </c>
      <c r="M30" s="178"/>
      <c r="N30" s="318" t="n">
        <f aca="false">N28</f>
        <v>0</v>
      </c>
      <c r="O30" s="178"/>
      <c r="P30" s="178" t="n">
        <f aca="false">[2]Mar!$Q$1</f>
        <v>800</v>
      </c>
      <c r="Q30" s="178"/>
      <c r="R30" s="180" t="n">
        <f aca="false">P30*N30</f>
        <v>0</v>
      </c>
      <c r="S30" s="178"/>
      <c r="T30" s="318" t="n">
        <f aca="false">T28</f>
        <v>0</v>
      </c>
      <c r="U30" s="178"/>
      <c r="V30" s="178" t="n">
        <f aca="false">[2]Mar!$R$1</f>
        <v>0</v>
      </c>
      <c r="W30" s="178"/>
      <c r="X30" s="178" t="n">
        <f aca="false">V30*T30</f>
        <v>0</v>
      </c>
      <c r="Y30" s="315"/>
      <c r="Z30" s="178" t="n">
        <f aca="false">IF(AB30&lt;&gt;D30,AB30-D30,0)</f>
        <v>-4000</v>
      </c>
      <c r="AA30" s="178"/>
      <c r="AB30" s="171" t="n">
        <v>6000</v>
      </c>
      <c r="AC30" s="165"/>
      <c r="AD30" s="310"/>
      <c r="AE30" s="310"/>
      <c r="AF30" s="310"/>
      <c r="AG30" s="310"/>
      <c r="AH30" s="165"/>
    </row>
    <row r="31" customFormat="false" ht="12" hidden="false" customHeight="false" outlineLevel="0" collapsed="false">
      <c r="A31" s="280"/>
      <c r="B31" s="323"/>
      <c r="C31" s="323"/>
      <c r="D31" s="186"/>
      <c r="E31" s="186"/>
      <c r="F31" s="186"/>
      <c r="G31" s="186"/>
      <c r="H31" s="324"/>
      <c r="I31" s="186"/>
      <c r="J31" s="186"/>
      <c r="K31" s="186"/>
      <c r="L31" s="325"/>
      <c r="M31" s="186"/>
      <c r="N31" s="324"/>
      <c r="O31" s="186"/>
      <c r="P31" s="186"/>
      <c r="Q31" s="186"/>
      <c r="R31" s="325"/>
      <c r="S31" s="186"/>
      <c r="T31" s="324"/>
      <c r="U31" s="186"/>
      <c r="V31" s="186"/>
      <c r="W31" s="186"/>
      <c r="X31" s="186"/>
      <c r="Y31" s="326"/>
      <c r="Z31" s="186"/>
      <c r="AA31" s="186"/>
      <c r="AB31" s="186"/>
      <c r="AC31" s="187"/>
      <c r="AD31" s="327"/>
      <c r="AE31" s="328"/>
      <c r="AF31" s="328"/>
      <c r="AG31" s="328"/>
      <c r="AH31" s="187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true" hidden="false" outlineLevel="0" max="2" min="2" style="155" width="19.66"/>
    <col collapsed="false" customWidth="false" hidden="false" outlineLevel="0" max="3" min="3" style="155" width="9.15"/>
    <col collapsed="false" customWidth="true" hidden="false" outlineLevel="0" max="14" min="4" style="155" width="8.99"/>
    <col collapsed="false" customWidth="true" hidden="false" outlineLevel="0" max="15" min="15" style="155" width="9.82"/>
    <col collapsed="false" customWidth="true" hidden="false" outlineLevel="0" max="16" min="16" style="155" width="1.66"/>
    <col collapsed="false" customWidth="false" hidden="false" outlineLevel="0" max="257" min="17" style="155" width="9.15"/>
  </cols>
  <sheetData>
    <row r="1" customFormat="false" ht="6" hidden="false" customHeight="true" outlineLevel="0" collapsed="false">
      <c r="A1" s="159"/>
      <c r="B1" s="329"/>
      <c r="C1" s="330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</row>
    <row r="2" customFormat="false" ht="12" hidden="false" customHeight="true" outlineLevel="0" collapsed="false">
      <c r="A2" s="159"/>
      <c r="B2" s="331" t="s">
        <v>381</v>
      </c>
      <c r="C2" s="162" t="s">
        <v>255</v>
      </c>
      <c r="D2" s="163" t="n">
        <f aca="false">Admin!B5</f>
        <v>46142</v>
      </c>
      <c r="E2" s="164" t="n">
        <f aca="false">Admin!B6</f>
        <v>46173</v>
      </c>
      <c r="F2" s="164" t="n">
        <f aca="false">Admin!B7</f>
        <v>46203</v>
      </c>
      <c r="G2" s="164" t="n">
        <f aca="false">Admin!B8</f>
        <v>46234</v>
      </c>
      <c r="H2" s="164" t="n">
        <f aca="false">Admin!B9</f>
        <v>46265</v>
      </c>
      <c r="I2" s="164" t="n">
        <f aca="false">Admin!B10</f>
        <v>46295</v>
      </c>
      <c r="J2" s="164" t="n">
        <f aca="false">Admin!B11</f>
        <v>46326</v>
      </c>
      <c r="K2" s="164" t="n">
        <f aca="false">Admin!B12</f>
        <v>46356</v>
      </c>
      <c r="L2" s="164" t="n">
        <f aca="false">Admin!B13</f>
        <v>46387</v>
      </c>
      <c r="M2" s="164" t="n">
        <f aca="false">Admin!B14</f>
        <v>46418</v>
      </c>
      <c r="N2" s="164" t="n">
        <f aca="false">Admin!B15</f>
        <v>46446</v>
      </c>
      <c r="O2" s="164" t="n">
        <f aca="false">Admin!B16</f>
        <v>46477</v>
      </c>
      <c r="P2" s="159"/>
    </row>
    <row r="3" customFormat="false" ht="12" hidden="false" customHeight="true" outlineLevel="0" collapsed="false">
      <c r="A3" s="159"/>
      <c r="B3" s="331"/>
      <c r="C3" s="166" t="n">
        <f aca="false">Admin!B$17</f>
        <v>46482</v>
      </c>
      <c r="D3" s="163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59"/>
    </row>
    <row r="4" customFormat="false" ht="12" hidden="false" customHeight="false" outlineLevel="0" collapsed="false">
      <c r="A4" s="159"/>
      <c r="B4" s="331"/>
      <c r="C4" s="332" t="s">
        <v>33</v>
      </c>
      <c r="D4" s="167" t="s">
        <v>33</v>
      </c>
      <c r="E4" s="167" t="s">
        <v>33</v>
      </c>
      <c r="F4" s="167" t="s">
        <v>33</v>
      </c>
      <c r="G4" s="167" t="s">
        <v>33</v>
      </c>
      <c r="H4" s="167" t="s">
        <v>33</v>
      </c>
      <c r="I4" s="167" t="s">
        <v>33</v>
      </c>
      <c r="J4" s="167" t="s">
        <v>33</v>
      </c>
      <c r="K4" s="167" t="s">
        <v>33</v>
      </c>
      <c r="L4" s="167" t="s">
        <v>33</v>
      </c>
      <c r="M4" s="167" t="s">
        <v>33</v>
      </c>
      <c r="N4" s="169" t="s">
        <v>33</v>
      </c>
      <c r="O4" s="167" t="s">
        <v>33</v>
      </c>
      <c r="P4" s="159"/>
    </row>
    <row r="5" s="177" customFormat="true" ht="12" hidden="false" customHeight="false" outlineLevel="0" collapsed="false">
      <c r="A5" s="179"/>
      <c r="B5" s="333" t="s">
        <v>260</v>
      </c>
      <c r="C5" s="171" t="n">
        <f aca="false">SUM(D5:O5)</f>
        <v>339200</v>
      </c>
      <c r="D5" s="171" t="n">
        <f aca="false">'Profit &amp; Loss Account'!C9</f>
        <v>27833.3333333333</v>
      </c>
      <c r="E5" s="171" t="n">
        <f aca="false">'Profit &amp; Loss Account'!D9</f>
        <v>27433.3333333333</v>
      </c>
      <c r="F5" s="171" t="n">
        <f aca="false">'Profit &amp; Loss Account'!E9</f>
        <v>29333.3333333333</v>
      </c>
      <c r="G5" s="171" t="n">
        <f aca="false">'Profit &amp; Loss Account'!F9</f>
        <v>28133.3333333333</v>
      </c>
      <c r="H5" s="171" t="n">
        <f aca="false">'Profit &amp; Loss Account'!G9</f>
        <v>27933.3333333333</v>
      </c>
      <c r="I5" s="171" t="n">
        <f aca="false">'Profit &amp; Loss Account'!H9</f>
        <v>28133.3333333333</v>
      </c>
      <c r="J5" s="171" t="n">
        <f aca="false">'Profit &amp; Loss Account'!I9</f>
        <v>29633.3333333333</v>
      </c>
      <c r="K5" s="171" t="n">
        <f aca="false">'Profit &amp; Loss Account'!J9</f>
        <v>29433.3333333333</v>
      </c>
      <c r="L5" s="171" t="n">
        <f aca="false">'Profit &amp; Loss Account'!K9</f>
        <v>27333.3333333333</v>
      </c>
      <c r="M5" s="171" t="n">
        <f aca="false">'Profit &amp; Loss Account'!L9</f>
        <v>29533.3333333333</v>
      </c>
      <c r="N5" s="171" t="n">
        <f aca="false">'Profit &amp; Loss Account'!M9</f>
        <v>28633.3333333333</v>
      </c>
      <c r="O5" s="171" t="n">
        <f aca="false">'Profit &amp; Loss Account'!N9</f>
        <v>25833.3333333333</v>
      </c>
      <c r="P5" s="179"/>
    </row>
    <row r="6" s="177" customFormat="true" ht="6" hidden="false" customHeight="true" outlineLevel="0" collapsed="false">
      <c r="A6" s="179"/>
      <c r="B6" s="334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9"/>
    </row>
    <row r="7" customFormat="false" ht="12" hidden="false" customHeight="false" outlineLevel="0" collapsed="false">
      <c r="A7" s="159"/>
      <c r="B7" s="335" t="s">
        <v>382</v>
      </c>
      <c r="C7" s="171" t="n">
        <f aca="false">SUM(D7:O7)</f>
        <v>2083.33333333333</v>
      </c>
      <c r="D7" s="172" t="n">
        <f aca="false">'Profit &amp; Loss Account'!C11</f>
        <v>0</v>
      </c>
      <c r="E7" s="172" t="n">
        <f aca="false">'Profit &amp; Loss Account'!D11</f>
        <v>0</v>
      </c>
      <c r="F7" s="172" t="n">
        <f aca="false">'Profit &amp; Loss Account'!E11</f>
        <v>0</v>
      </c>
      <c r="G7" s="172" t="n">
        <f aca="false">'Profit &amp; Loss Account'!F11</f>
        <v>0</v>
      </c>
      <c r="H7" s="172" t="n">
        <f aca="false">'Profit &amp; Loss Account'!G11</f>
        <v>2083.33333333333</v>
      </c>
      <c r="I7" s="172" t="n">
        <f aca="false">'Profit &amp; Loss Account'!H11</f>
        <v>0</v>
      </c>
      <c r="J7" s="172" t="n">
        <f aca="false">'Profit &amp; Loss Account'!I11</f>
        <v>0</v>
      </c>
      <c r="K7" s="172" t="n">
        <f aca="false">'Profit &amp; Loss Account'!J11</f>
        <v>0</v>
      </c>
      <c r="L7" s="172" t="n">
        <f aca="false">'Profit &amp; Loss Account'!K11</f>
        <v>0</v>
      </c>
      <c r="M7" s="172" t="n">
        <f aca="false">'Profit &amp; Loss Account'!L11</f>
        <v>0</v>
      </c>
      <c r="N7" s="172" t="n">
        <f aca="false">'Profit &amp; Loss Account'!M11</f>
        <v>0</v>
      </c>
      <c r="O7" s="172" t="n">
        <f aca="false">'Profit &amp; Loss Account'!N11</f>
        <v>0</v>
      </c>
      <c r="P7" s="159"/>
    </row>
    <row r="8" customFormat="false" ht="6" hidden="false" customHeight="true" outlineLevel="0" collapsed="false">
      <c r="A8" s="159"/>
      <c r="B8" s="335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59"/>
    </row>
    <row r="9" s="177" customFormat="true" ht="12" hidden="false" customHeight="false" outlineLevel="0" collapsed="false">
      <c r="A9" s="179"/>
      <c r="B9" s="334" t="s">
        <v>266</v>
      </c>
      <c r="C9" s="171" t="n">
        <f aca="false">SUM(D9:O9)</f>
        <v>20136.6666666667</v>
      </c>
      <c r="D9" s="171" t="n">
        <f aca="false">'Profit &amp; Loss Account'!C17</f>
        <v>737.5</v>
      </c>
      <c r="E9" s="171" t="n">
        <f aca="false">'Profit &amp; Loss Account'!D17</f>
        <v>1007.5</v>
      </c>
      <c r="F9" s="171" t="n">
        <f aca="false">'Profit &amp; Loss Account'!E17</f>
        <v>4704.16666666667</v>
      </c>
      <c r="G9" s="171" t="n">
        <f aca="false">'Profit &amp; Loss Account'!F17</f>
        <v>1207.5</v>
      </c>
      <c r="H9" s="171" t="n">
        <f aca="false">'Profit &amp; Loss Account'!G17</f>
        <v>687.5</v>
      </c>
      <c r="I9" s="171" t="n">
        <f aca="false">'Profit &amp; Loss Account'!H17</f>
        <v>707.5</v>
      </c>
      <c r="J9" s="171" t="n">
        <f aca="false">'Profit &amp; Loss Account'!I17</f>
        <v>637.5</v>
      </c>
      <c r="K9" s="171" t="n">
        <f aca="false">'Profit &amp; Loss Account'!J17</f>
        <v>3407.5</v>
      </c>
      <c r="L9" s="171" t="n">
        <f aca="false">'Profit &amp; Loss Account'!K17</f>
        <v>637.5</v>
      </c>
      <c r="M9" s="171" t="n">
        <f aca="false">'Profit &amp; Loss Account'!L17</f>
        <v>857.5</v>
      </c>
      <c r="N9" s="171" t="n">
        <f aca="false">'Profit &amp; Loss Account'!M17</f>
        <v>1087.5</v>
      </c>
      <c r="O9" s="171" t="n">
        <f aca="false">'Profit &amp; Loss Account'!N17</f>
        <v>4457.5</v>
      </c>
      <c r="P9" s="179"/>
    </row>
    <row r="10" s="177" customFormat="true" ht="6" hidden="false" customHeight="true" outlineLevel="0" collapsed="false">
      <c r="A10" s="179"/>
      <c r="B10" s="334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9"/>
    </row>
    <row r="11" s="177" customFormat="true" ht="12" hidden="false" customHeight="false" outlineLevel="0" collapsed="false">
      <c r="A11" s="179"/>
      <c r="B11" s="333" t="s">
        <v>267</v>
      </c>
      <c r="C11" s="171" t="n">
        <f aca="false">SUM(D11:O11)</f>
        <v>321146.666666666</v>
      </c>
      <c r="D11" s="171" t="n">
        <f aca="false">D5+D7-D9</f>
        <v>27095.8333333333</v>
      </c>
      <c r="E11" s="171" t="n">
        <f aca="false">E5+E7-E9</f>
        <v>26425.8333333333</v>
      </c>
      <c r="F11" s="171" t="n">
        <f aca="false">F5+F7-F9</f>
        <v>24629.1666666666</v>
      </c>
      <c r="G11" s="171" t="n">
        <f aca="false">G5+G7-G9</f>
        <v>26925.8333333333</v>
      </c>
      <c r="H11" s="171" t="n">
        <f aca="false">H5+H7-H9</f>
        <v>29329.1666666666</v>
      </c>
      <c r="I11" s="171" t="n">
        <f aca="false">I5+I7-I9</f>
        <v>27425.8333333333</v>
      </c>
      <c r="J11" s="171" t="n">
        <f aca="false">J5+J7-J9</f>
        <v>28995.8333333333</v>
      </c>
      <c r="K11" s="171" t="n">
        <f aca="false">K5+K7-K9</f>
        <v>26025.8333333333</v>
      </c>
      <c r="L11" s="171" t="n">
        <f aca="false">L5+L7-L9</f>
        <v>26695.8333333333</v>
      </c>
      <c r="M11" s="171" t="n">
        <f aca="false">M5+M7-M9</f>
        <v>28675.8333333333</v>
      </c>
      <c r="N11" s="171" t="n">
        <f aca="false">N5+N7-N9</f>
        <v>27545.8333333333</v>
      </c>
      <c r="O11" s="171" t="n">
        <f aca="false">O5+O7-O9</f>
        <v>21375.8333333333</v>
      </c>
      <c r="P11" s="179"/>
    </row>
    <row r="12" s="177" customFormat="true" ht="6" hidden="false" customHeight="true" outlineLevel="0" collapsed="false">
      <c r="A12" s="179"/>
      <c r="B12" s="335"/>
      <c r="C12" s="178"/>
      <c r="D12" s="182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79"/>
    </row>
    <row r="13" customFormat="false" ht="12" hidden="false" customHeight="false" outlineLevel="0" collapsed="false">
      <c r="A13" s="159"/>
      <c r="B13" s="334" t="s">
        <v>383</v>
      </c>
      <c r="C13" s="171" t="n">
        <f aca="false">SUM(D13:O13)</f>
        <v>149373.65</v>
      </c>
      <c r="D13" s="171" t="n">
        <f aca="false">'Profit &amp; Loss Account'!C35</f>
        <v>12012.7833333333</v>
      </c>
      <c r="E13" s="171" t="n">
        <f aca="false">'Profit &amp; Loss Account'!D35</f>
        <v>11323.5333333333</v>
      </c>
      <c r="F13" s="171" t="n">
        <f aca="false">'Profit &amp; Loss Account'!E35</f>
        <v>13592.8666666667</v>
      </c>
      <c r="G13" s="171" t="n">
        <f aca="false">'Profit &amp; Loss Account'!F35</f>
        <v>13829.7833333333</v>
      </c>
      <c r="H13" s="171" t="n">
        <f aca="false">'Profit &amp; Loss Account'!G35</f>
        <v>11474.45</v>
      </c>
      <c r="I13" s="171" t="n">
        <f aca="false">'Profit &amp; Loss Account'!H35</f>
        <v>13242.8666666667</v>
      </c>
      <c r="J13" s="171" t="n">
        <f aca="false">'Profit &amp; Loss Account'!I35</f>
        <v>13692.2833333333</v>
      </c>
      <c r="K13" s="171" t="n">
        <f aca="false">'Profit &amp; Loss Account'!J35</f>
        <v>10880.5333333333</v>
      </c>
      <c r="L13" s="171" t="n">
        <f aca="false">'Profit &amp; Loss Account'!K35</f>
        <v>15898.5333333333</v>
      </c>
      <c r="M13" s="171" t="n">
        <f aca="false">'Profit &amp; Loss Account'!L35</f>
        <v>11392.7833333333</v>
      </c>
      <c r="N13" s="171" t="n">
        <f aca="false">'Profit &amp; Loss Account'!M35</f>
        <v>11066.0333333333</v>
      </c>
      <c r="O13" s="171" t="n">
        <f aca="false">'Profit &amp; Loss Account'!N35</f>
        <v>10967.2</v>
      </c>
      <c r="P13" s="159"/>
    </row>
    <row r="14" customFormat="false" ht="6" hidden="false" customHeight="true" outlineLevel="0" collapsed="false">
      <c r="A14" s="159"/>
      <c r="B14" s="334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59"/>
    </row>
    <row r="15" customFormat="false" ht="12" hidden="false" customHeight="false" outlineLevel="0" collapsed="false">
      <c r="A15" s="159"/>
      <c r="B15" s="333" t="s">
        <v>283</v>
      </c>
      <c r="C15" s="171" t="n">
        <f aca="false">SUM(D15:O15)</f>
        <v>171773.016666666</v>
      </c>
      <c r="D15" s="171" t="n">
        <f aca="false">D11-D13</f>
        <v>15083.05</v>
      </c>
      <c r="E15" s="171" t="n">
        <f aca="false">E11-E13</f>
        <v>15102.3</v>
      </c>
      <c r="F15" s="171" t="n">
        <f aca="false">F11-F13</f>
        <v>11036.3</v>
      </c>
      <c r="G15" s="171" t="n">
        <f aca="false">G11-G13</f>
        <v>13096.05</v>
      </c>
      <c r="H15" s="171" t="n">
        <f aca="false">H11-H13</f>
        <v>17854.7166666666</v>
      </c>
      <c r="I15" s="171" t="n">
        <f aca="false">I11-I13</f>
        <v>14182.9666666666</v>
      </c>
      <c r="J15" s="171" t="n">
        <f aca="false">J11-J13</f>
        <v>15303.55</v>
      </c>
      <c r="K15" s="171" t="n">
        <f aca="false">K11-K13</f>
        <v>15145.3</v>
      </c>
      <c r="L15" s="171" t="n">
        <f aca="false">L11-L13</f>
        <v>10797.3</v>
      </c>
      <c r="M15" s="171" t="n">
        <f aca="false">M11-M13</f>
        <v>17283.05</v>
      </c>
      <c r="N15" s="171" t="n">
        <f aca="false">N11-N13</f>
        <v>16479.8</v>
      </c>
      <c r="O15" s="171" t="n">
        <f aca="false">O11-O13</f>
        <v>10408.6333333333</v>
      </c>
      <c r="P15" s="159"/>
    </row>
    <row r="16" customFormat="false" ht="12" hidden="false" customHeight="false" outlineLevel="0" collapsed="false">
      <c r="A16" s="159"/>
      <c r="B16" s="335" t="s">
        <v>284</v>
      </c>
      <c r="C16" s="171" t="n">
        <f aca="false">SUM(D16:O16)</f>
        <v>0</v>
      </c>
      <c r="D16" s="172" t="n">
        <f aca="false">'Profit &amp; Loss Account'!C38</f>
        <v>0</v>
      </c>
      <c r="E16" s="172" t="n">
        <f aca="false">'Profit &amp; Loss Account'!D38</f>
        <v>0</v>
      </c>
      <c r="F16" s="172" t="n">
        <f aca="false">'Profit &amp; Loss Account'!E38</f>
        <v>0</v>
      </c>
      <c r="G16" s="172" t="n">
        <f aca="false">'Profit &amp; Loss Account'!F38</f>
        <v>0</v>
      </c>
      <c r="H16" s="172" t="n">
        <f aca="false">'Profit &amp; Loss Account'!G38</f>
        <v>0</v>
      </c>
      <c r="I16" s="172" t="n">
        <f aca="false">'Profit &amp; Loss Account'!H38</f>
        <v>0</v>
      </c>
      <c r="J16" s="172" t="n">
        <f aca="false">'Profit &amp; Loss Account'!I38</f>
        <v>0</v>
      </c>
      <c r="K16" s="172" t="n">
        <f aca="false">'Profit &amp; Loss Account'!J38</f>
        <v>0</v>
      </c>
      <c r="L16" s="172" t="n">
        <f aca="false">'Profit &amp; Loss Account'!K38</f>
        <v>0</v>
      </c>
      <c r="M16" s="172" t="n">
        <f aca="false">'Profit &amp; Loss Account'!L38</f>
        <v>0</v>
      </c>
      <c r="N16" s="172" t="n">
        <f aca="false">'Profit &amp; Loss Account'!M38</f>
        <v>0</v>
      </c>
      <c r="O16" s="172" t="n">
        <f aca="false">'Profit &amp; Loss Account'!N38</f>
        <v>0</v>
      </c>
      <c r="P16" s="159"/>
    </row>
    <row r="17" customFormat="false" ht="12" hidden="false" customHeight="false" outlineLevel="0" collapsed="false">
      <c r="A17" s="159"/>
      <c r="B17" s="336" t="s">
        <v>285</v>
      </c>
      <c r="C17" s="171" t="n">
        <f aca="false">SUM(D17:O17)</f>
        <v>171773.016666666</v>
      </c>
      <c r="D17" s="171" t="n">
        <f aca="false">D15+D16</f>
        <v>15083.05</v>
      </c>
      <c r="E17" s="171" t="n">
        <f aca="false">E15+E16</f>
        <v>15102.3</v>
      </c>
      <c r="F17" s="171" t="n">
        <f aca="false">F15+F16</f>
        <v>11036.3</v>
      </c>
      <c r="G17" s="171" t="n">
        <f aca="false">G15+G16</f>
        <v>13096.05</v>
      </c>
      <c r="H17" s="171" t="n">
        <f aca="false">H15+H16</f>
        <v>17854.7166666666</v>
      </c>
      <c r="I17" s="171" t="n">
        <f aca="false">I15+I16</f>
        <v>14182.9666666666</v>
      </c>
      <c r="J17" s="171" t="n">
        <f aca="false">J15+J16</f>
        <v>15303.55</v>
      </c>
      <c r="K17" s="171" t="n">
        <f aca="false">K15+K16</f>
        <v>15145.3</v>
      </c>
      <c r="L17" s="171" t="n">
        <f aca="false">L15+L16</f>
        <v>10797.3</v>
      </c>
      <c r="M17" s="171" t="n">
        <f aca="false">M15+M16</f>
        <v>17283.05</v>
      </c>
      <c r="N17" s="171" t="n">
        <f aca="false">N15+N16</f>
        <v>16479.8</v>
      </c>
      <c r="O17" s="171" t="n">
        <f aca="false">O15+O16</f>
        <v>10408.6333333333</v>
      </c>
      <c r="P17" s="159"/>
    </row>
    <row r="18" customFormat="false" ht="12" hidden="false" customHeight="false" outlineLevel="0" collapsed="false">
      <c r="A18" s="159"/>
      <c r="B18" s="159"/>
      <c r="C18" s="337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</row>
    <row r="19" customFormat="false" ht="12" hidden="false" customHeight="true" outlineLevel="0" collapsed="false">
      <c r="A19" s="159"/>
      <c r="B19" s="338" t="s">
        <v>384</v>
      </c>
      <c r="C19" s="162" t="s">
        <v>255</v>
      </c>
      <c r="D19" s="163" t="n">
        <f aca="false">D2</f>
        <v>46142</v>
      </c>
      <c r="E19" s="163" t="n">
        <f aca="false">E2</f>
        <v>46173</v>
      </c>
      <c r="F19" s="163" t="n">
        <f aca="false">F2</f>
        <v>46203</v>
      </c>
      <c r="G19" s="163" t="n">
        <f aca="false">G2</f>
        <v>46234</v>
      </c>
      <c r="H19" s="163" t="n">
        <f aca="false">H2</f>
        <v>46265</v>
      </c>
      <c r="I19" s="163" t="n">
        <f aca="false">I2</f>
        <v>46295</v>
      </c>
      <c r="J19" s="163" t="n">
        <f aca="false">J2</f>
        <v>46326</v>
      </c>
      <c r="K19" s="163" t="n">
        <f aca="false">K2</f>
        <v>46356</v>
      </c>
      <c r="L19" s="163" t="n">
        <f aca="false">L2</f>
        <v>46387</v>
      </c>
      <c r="M19" s="163" t="n">
        <f aca="false">M2</f>
        <v>46418</v>
      </c>
      <c r="N19" s="163" t="n">
        <f aca="false">N2</f>
        <v>46446</v>
      </c>
      <c r="O19" s="163" t="n">
        <f aca="false">O2</f>
        <v>46477</v>
      </c>
      <c r="P19" s="159"/>
    </row>
    <row r="20" customFormat="false" ht="12" hidden="false" customHeight="true" outlineLevel="0" collapsed="false">
      <c r="A20" s="159"/>
      <c r="B20" s="338"/>
      <c r="C20" s="166" t="n">
        <f aca="false">Admin!B$17</f>
        <v>46482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59"/>
    </row>
    <row r="21" customFormat="false" ht="12" hidden="false" customHeight="false" outlineLevel="0" collapsed="false">
      <c r="A21" s="159"/>
      <c r="B21" s="338"/>
      <c r="C21" s="168" t="n">
        <f aca="false">SUM(D21:O21)</f>
        <v>12</v>
      </c>
      <c r="D21" s="167" t="n">
        <f aca="false">IF(D5&gt;0,1," ")</f>
        <v>1</v>
      </c>
      <c r="E21" s="167" t="n">
        <f aca="false">IF(E5&gt;0,1," ")</f>
        <v>1</v>
      </c>
      <c r="F21" s="167" t="n">
        <f aca="false">IF(F5&gt;0,1," ")</f>
        <v>1</v>
      </c>
      <c r="G21" s="167" t="n">
        <f aca="false">IF(G5&gt;0,1," ")</f>
        <v>1</v>
      </c>
      <c r="H21" s="167" t="n">
        <f aca="false">IF(H5&gt;0,1," ")</f>
        <v>1</v>
      </c>
      <c r="I21" s="167" t="n">
        <f aca="false">IF(I5&gt;0,1," ")</f>
        <v>1</v>
      </c>
      <c r="J21" s="167" t="n">
        <f aca="false">IF(J5&gt;0,1," ")</f>
        <v>1</v>
      </c>
      <c r="K21" s="167" t="n">
        <f aca="false">IF(K5&gt;0,1," ")</f>
        <v>1</v>
      </c>
      <c r="L21" s="167" t="n">
        <f aca="false">IF(L5&gt;0,1," ")</f>
        <v>1</v>
      </c>
      <c r="M21" s="167" t="n">
        <f aca="false">IF(M5&gt;0,1," ")</f>
        <v>1</v>
      </c>
      <c r="N21" s="167" t="n">
        <f aca="false">IF(N5&gt;0,1," ")</f>
        <v>1</v>
      </c>
      <c r="O21" s="167" t="n">
        <f aca="false">IF(O5&gt;0,1," ")</f>
        <v>1</v>
      </c>
      <c r="P21" s="159"/>
    </row>
    <row r="22" s="177" customFormat="true" ht="12" hidden="false" customHeight="false" outlineLevel="0" collapsed="false">
      <c r="A22" s="179"/>
      <c r="B22" s="333" t="s">
        <v>260</v>
      </c>
      <c r="C22" s="171" t="n">
        <f aca="false">SUM(D22:O22)</f>
        <v>339200</v>
      </c>
      <c r="D22" s="171" t="n">
        <f aca="false">IF(C5&gt;0,IF(D5&gt;0,D5,C5/C21),0)</f>
        <v>27833.3333333333</v>
      </c>
      <c r="E22" s="171" t="n">
        <f aca="false">IF(C5&gt;0,IF(E5&gt;0,E5,C5/C21),0)</f>
        <v>27433.3333333333</v>
      </c>
      <c r="F22" s="171" t="n">
        <f aca="false">IF(C5&gt;0,IF(F5&gt;0,F5,C5/C21),0)</f>
        <v>29333.3333333333</v>
      </c>
      <c r="G22" s="171" t="n">
        <f aca="false">IF(C5&gt;0,IF(G5&gt;0,G5,C5/C21),0)</f>
        <v>28133.3333333333</v>
      </c>
      <c r="H22" s="171" t="n">
        <f aca="false">IF(C5&gt;0,IF(H5&gt;0,H5,C5/C21),0)</f>
        <v>27933.3333333333</v>
      </c>
      <c r="I22" s="171" t="n">
        <f aca="false">IF(C5&gt;0,IF(I5&gt;0,I5,C5/C21),0)</f>
        <v>28133.3333333333</v>
      </c>
      <c r="J22" s="171" t="n">
        <f aca="false">IF(C5&gt;0,IF(J5&gt;0,J5,C5/C21),0)</f>
        <v>29633.3333333333</v>
      </c>
      <c r="K22" s="171" t="n">
        <f aca="false">IF(C5&gt;0,IF(K5&gt;0,K5,C5/C21),0)</f>
        <v>29433.3333333333</v>
      </c>
      <c r="L22" s="171" t="n">
        <f aca="false">IF(C5&gt;0,IF(L5&gt;0,L5,C5/C21),0)</f>
        <v>27333.3333333333</v>
      </c>
      <c r="M22" s="171" t="n">
        <f aca="false">IF(C5&gt;0,IF(M5&gt;0,M5,C5/C21),0)</f>
        <v>29533.3333333333</v>
      </c>
      <c r="N22" s="171" t="n">
        <f aca="false">IF(C5&gt;0,IF(N5&gt;0,N5,C5/C21),0)</f>
        <v>28633.3333333333</v>
      </c>
      <c r="O22" s="171" t="n">
        <f aca="false">IF(C5&gt;0,IF(O5&gt;0,O5,C5/C21),0)</f>
        <v>25833.3333333333</v>
      </c>
      <c r="P22" s="179"/>
    </row>
    <row r="23" s="177" customFormat="true" ht="6" hidden="false" customHeight="true" outlineLevel="0" collapsed="false">
      <c r="A23" s="179"/>
      <c r="B23" s="334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9"/>
    </row>
    <row r="24" customFormat="false" ht="12" hidden="false" customHeight="false" outlineLevel="0" collapsed="false">
      <c r="A24" s="159"/>
      <c r="B24" s="335" t="s">
        <v>382</v>
      </c>
      <c r="C24" s="171" t="n">
        <f aca="false">SUM(D24:O24)</f>
        <v>2083.33333333333</v>
      </c>
      <c r="D24" s="172" t="n">
        <f aca="false">D7</f>
        <v>0</v>
      </c>
      <c r="E24" s="172" t="n">
        <f aca="false">E7</f>
        <v>0</v>
      </c>
      <c r="F24" s="172" t="n">
        <f aca="false">F7</f>
        <v>0</v>
      </c>
      <c r="G24" s="172" t="n">
        <f aca="false">G7</f>
        <v>0</v>
      </c>
      <c r="H24" s="172" t="n">
        <f aca="false">H7</f>
        <v>2083.33333333333</v>
      </c>
      <c r="I24" s="172" t="n">
        <f aca="false">I7</f>
        <v>0</v>
      </c>
      <c r="J24" s="172" t="n">
        <f aca="false">J7</f>
        <v>0</v>
      </c>
      <c r="K24" s="172" t="n">
        <f aca="false">K7</f>
        <v>0</v>
      </c>
      <c r="L24" s="172" t="n">
        <f aca="false">L7</f>
        <v>0</v>
      </c>
      <c r="M24" s="172" t="n">
        <f aca="false">M7</f>
        <v>0</v>
      </c>
      <c r="N24" s="172" t="n">
        <f aca="false">N7</f>
        <v>0</v>
      </c>
      <c r="O24" s="172" t="n">
        <f aca="false">O7</f>
        <v>0</v>
      </c>
      <c r="P24" s="159"/>
    </row>
    <row r="25" customFormat="false" ht="6" hidden="false" customHeight="true" outlineLevel="0" collapsed="false">
      <c r="A25" s="159"/>
      <c r="B25" s="335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59"/>
    </row>
    <row r="26" s="177" customFormat="true" ht="12" hidden="false" customHeight="false" outlineLevel="0" collapsed="false">
      <c r="A26" s="179"/>
      <c r="B26" s="334" t="s">
        <v>266</v>
      </c>
      <c r="C26" s="171" t="n">
        <f aca="false">SUM(D26:O26)</f>
        <v>20136.6666666667</v>
      </c>
      <c r="D26" s="171" t="n">
        <f aca="false">IF(C5&gt;0,IF(D5&gt;0,D9,C9/C21),0)</f>
        <v>737.5</v>
      </c>
      <c r="E26" s="171" t="n">
        <f aca="false">IF(C5&gt;0,IF(E5&gt;0,E9,C9/C21),0)</f>
        <v>1007.5</v>
      </c>
      <c r="F26" s="171" t="n">
        <f aca="false">IF(C5&gt;0,IF(F5&gt;0,F9,C9/C21),0)</f>
        <v>4704.16666666667</v>
      </c>
      <c r="G26" s="171" t="n">
        <f aca="false">IF(C5&gt;0,IF(G5&gt;0,G9,C9/C21),0)</f>
        <v>1207.5</v>
      </c>
      <c r="H26" s="171" t="n">
        <f aca="false">IF(C5&gt;0,IF(H5&gt;0,H9,C9/C21),0)</f>
        <v>687.5</v>
      </c>
      <c r="I26" s="171" t="n">
        <f aca="false">IF(C5&gt;0,IF(I5&gt;0,I9,C9/C21),0)</f>
        <v>707.5</v>
      </c>
      <c r="J26" s="171" t="n">
        <f aca="false">IF(C5&gt;0,IF(J5&gt;0,J9,C9/C21),0)</f>
        <v>637.5</v>
      </c>
      <c r="K26" s="171" t="n">
        <f aca="false">IF(C5&gt;0,IF(K5&gt;0,K9,C9/C21),0)</f>
        <v>3407.5</v>
      </c>
      <c r="L26" s="171" t="n">
        <f aca="false">IF(C5&gt;0,IF(L5&gt;0,L9,C9/C21),0)</f>
        <v>637.5</v>
      </c>
      <c r="M26" s="171" t="n">
        <f aca="false">IF(C5&gt;0,IF(M5&gt;0,M9,C9/C21),0)</f>
        <v>857.5</v>
      </c>
      <c r="N26" s="171" t="n">
        <f aca="false">IF(C5&gt;0,IF(N5&gt;0,N9,C9/C21),0)</f>
        <v>1087.5</v>
      </c>
      <c r="O26" s="171" t="n">
        <f aca="false">IF(C5&gt;0,IF(O5&gt;0,O9,C9/C21),0)</f>
        <v>4457.5</v>
      </c>
      <c r="P26" s="179"/>
    </row>
    <row r="27" s="177" customFormat="true" ht="7.5" hidden="false" customHeight="true" outlineLevel="0" collapsed="false">
      <c r="A27" s="179"/>
      <c r="B27" s="334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9"/>
    </row>
    <row r="28" s="177" customFormat="true" ht="12" hidden="false" customHeight="false" outlineLevel="0" collapsed="false">
      <c r="A28" s="179"/>
      <c r="B28" s="333" t="s">
        <v>267</v>
      </c>
      <c r="C28" s="171" t="n">
        <f aca="false">SUM(D28:O28)</f>
        <v>321146.666666666</v>
      </c>
      <c r="D28" s="171" t="n">
        <f aca="false">D22+D24-D26</f>
        <v>27095.8333333333</v>
      </c>
      <c r="E28" s="171" t="n">
        <f aca="false">E22+E24-E26</f>
        <v>26425.8333333333</v>
      </c>
      <c r="F28" s="171" t="n">
        <f aca="false">F22+F24-F26</f>
        <v>24629.1666666666</v>
      </c>
      <c r="G28" s="171" t="n">
        <f aca="false">G22+G24-G26</f>
        <v>26925.8333333333</v>
      </c>
      <c r="H28" s="171" t="n">
        <f aca="false">H22+H24-H26</f>
        <v>29329.1666666666</v>
      </c>
      <c r="I28" s="171" t="n">
        <f aca="false">I22+I24-I26</f>
        <v>27425.8333333333</v>
      </c>
      <c r="J28" s="171" t="n">
        <f aca="false">J22+J24-J26</f>
        <v>28995.8333333333</v>
      </c>
      <c r="K28" s="171" t="n">
        <f aca="false">K22+K24-K26</f>
        <v>26025.8333333333</v>
      </c>
      <c r="L28" s="171" t="n">
        <f aca="false">L22+L24-L26</f>
        <v>26695.8333333333</v>
      </c>
      <c r="M28" s="171" t="n">
        <f aca="false">M22+M24-M26</f>
        <v>28675.8333333333</v>
      </c>
      <c r="N28" s="171" t="n">
        <f aca="false">N22+N24-N26</f>
        <v>27545.8333333333</v>
      </c>
      <c r="O28" s="171" t="n">
        <f aca="false">O22+O24-O26</f>
        <v>21375.8333333333</v>
      </c>
      <c r="P28" s="179"/>
    </row>
    <row r="29" s="177" customFormat="true" ht="6" hidden="false" customHeight="true" outlineLevel="0" collapsed="false">
      <c r="A29" s="179"/>
      <c r="B29" s="335"/>
      <c r="C29" s="178"/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  <c r="P29" s="179"/>
    </row>
    <row r="30" customFormat="false" ht="12" hidden="false" customHeight="false" outlineLevel="0" collapsed="false">
      <c r="A30" s="159"/>
      <c r="B30" s="334" t="s">
        <v>383</v>
      </c>
      <c r="C30" s="171" t="n">
        <f aca="false">SUM(D30:O30)</f>
        <v>149373.65</v>
      </c>
      <c r="D30" s="171" t="n">
        <f aca="false">IF(C5&gt;0,IF(D5&gt;0,D13,C13/C21),0)</f>
        <v>12012.7833333333</v>
      </c>
      <c r="E30" s="171" t="n">
        <f aca="false">IF(C5&gt;0,IF(E5&gt;0,E13,C13/C21),0)</f>
        <v>11323.5333333333</v>
      </c>
      <c r="F30" s="171" t="n">
        <f aca="false">IF(C5&gt;0,IF(F5&gt;0,F13,C13/C21),0)</f>
        <v>13592.8666666667</v>
      </c>
      <c r="G30" s="171" t="n">
        <f aca="false">IF(C5&gt;0,IF(G5&gt;0,G13,C13/C21),0)</f>
        <v>13829.7833333333</v>
      </c>
      <c r="H30" s="171" t="n">
        <f aca="false">IF(C5&gt;0,IF(H5&gt;0,H13,C13/C21),0)</f>
        <v>11474.45</v>
      </c>
      <c r="I30" s="171" t="n">
        <f aca="false">IF(C5&gt;0,IF(I5&gt;0,I13,C13/C21),0)</f>
        <v>13242.8666666667</v>
      </c>
      <c r="J30" s="171" t="n">
        <f aca="false">IF(C5&gt;0,IF(J5&gt;0,J13,C13/C21),0)</f>
        <v>13692.2833333333</v>
      </c>
      <c r="K30" s="171" t="n">
        <f aca="false">IF(C5&gt;0,IF(K5&gt;0,K13,C13/C21),0)</f>
        <v>10880.5333333333</v>
      </c>
      <c r="L30" s="171" t="n">
        <f aca="false">IF(C5&gt;0,IF(L5&gt;0,L13,C13/C21),0)</f>
        <v>15898.5333333333</v>
      </c>
      <c r="M30" s="171" t="n">
        <f aca="false">IF(C5&gt;0,IF(M5&gt;0,M13,C13/C21),0)</f>
        <v>11392.7833333333</v>
      </c>
      <c r="N30" s="171" t="n">
        <f aca="false">IF(C5&gt;0,IF(N5&gt;0,N13,C13/C21),0)</f>
        <v>11066.0333333333</v>
      </c>
      <c r="O30" s="171" t="n">
        <f aca="false">IF(C5&gt;0,IF(O5&gt;0,O13,C13/C21),0)</f>
        <v>10967.2</v>
      </c>
      <c r="P30" s="159"/>
    </row>
    <row r="31" customFormat="false" ht="6" hidden="false" customHeight="true" outlineLevel="0" collapsed="false">
      <c r="A31" s="159"/>
      <c r="B31" s="334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59"/>
    </row>
    <row r="32" customFormat="false" ht="12" hidden="false" customHeight="false" outlineLevel="0" collapsed="false">
      <c r="A32" s="159"/>
      <c r="B32" s="333" t="s">
        <v>283</v>
      </c>
      <c r="C32" s="171" t="n">
        <f aca="false">SUM(D32:O32)</f>
        <v>171773.016666666</v>
      </c>
      <c r="D32" s="171" t="n">
        <f aca="false">D28-D30</f>
        <v>15083.05</v>
      </c>
      <c r="E32" s="171" t="n">
        <f aca="false">E28-E30</f>
        <v>15102.3</v>
      </c>
      <c r="F32" s="171" t="n">
        <f aca="false">F28-F30</f>
        <v>11036.3</v>
      </c>
      <c r="G32" s="171" t="n">
        <f aca="false">G28-G30</f>
        <v>13096.05</v>
      </c>
      <c r="H32" s="171" t="n">
        <f aca="false">H28-H30</f>
        <v>17854.7166666666</v>
      </c>
      <c r="I32" s="171" t="n">
        <f aca="false">I28-I30</f>
        <v>14182.9666666666</v>
      </c>
      <c r="J32" s="171" t="n">
        <f aca="false">J28-J30</f>
        <v>15303.55</v>
      </c>
      <c r="K32" s="171" t="n">
        <f aca="false">K28-K30</f>
        <v>15145.3</v>
      </c>
      <c r="L32" s="171" t="n">
        <f aca="false">L28-L30</f>
        <v>10797.3</v>
      </c>
      <c r="M32" s="171" t="n">
        <f aca="false">M28-M30</f>
        <v>17283.05</v>
      </c>
      <c r="N32" s="171" t="n">
        <f aca="false">N28-N30</f>
        <v>16479.8</v>
      </c>
      <c r="O32" s="171" t="n">
        <f aca="false">O28-O30</f>
        <v>10408.6333333333</v>
      </c>
      <c r="P32" s="159"/>
    </row>
    <row r="33" customFormat="false" ht="12" hidden="false" customHeight="false" outlineLevel="0" collapsed="false">
      <c r="A33" s="159"/>
      <c r="B33" s="335" t="s">
        <v>284</v>
      </c>
      <c r="C33" s="171" t="n">
        <f aca="false">SUM(D33:O33)</f>
        <v>0</v>
      </c>
      <c r="D33" s="172" t="n">
        <f aca="false">D16</f>
        <v>0</v>
      </c>
      <c r="E33" s="172" t="n">
        <f aca="false">E16</f>
        <v>0</v>
      </c>
      <c r="F33" s="172" t="n">
        <f aca="false">F16</f>
        <v>0</v>
      </c>
      <c r="G33" s="172" t="n">
        <f aca="false">G16</f>
        <v>0</v>
      </c>
      <c r="H33" s="172" t="n">
        <f aca="false">H16</f>
        <v>0</v>
      </c>
      <c r="I33" s="172" t="n">
        <f aca="false">I16</f>
        <v>0</v>
      </c>
      <c r="J33" s="172" t="n">
        <f aca="false">J16</f>
        <v>0</v>
      </c>
      <c r="K33" s="172" t="n">
        <f aca="false">K16</f>
        <v>0</v>
      </c>
      <c r="L33" s="172" t="n">
        <f aca="false">L16</f>
        <v>0</v>
      </c>
      <c r="M33" s="172" t="n">
        <f aca="false">M16</f>
        <v>0</v>
      </c>
      <c r="N33" s="172" t="n">
        <f aca="false">N16</f>
        <v>0</v>
      </c>
      <c r="O33" s="172" t="n">
        <f aca="false">O16</f>
        <v>0</v>
      </c>
      <c r="P33" s="159"/>
    </row>
    <row r="34" customFormat="false" ht="12" hidden="false" customHeight="false" outlineLevel="0" collapsed="false">
      <c r="A34" s="159"/>
      <c r="B34" s="336" t="s">
        <v>285</v>
      </c>
      <c r="C34" s="171" t="n">
        <f aca="false">SUM(D34:O34)</f>
        <v>171773.016666666</v>
      </c>
      <c r="D34" s="171" t="n">
        <f aca="false">D32+D33</f>
        <v>15083.05</v>
      </c>
      <c r="E34" s="171" t="n">
        <f aca="false">E32+E33</f>
        <v>15102.3</v>
      </c>
      <c r="F34" s="171" t="n">
        <f aca="false">F32+F33</f>
        <v>11036.3</v>
      </c>
      <c r="G34" s="171" t="n">
        <f aca="false">G32+G33</f>
        <v>13096.05</v>
      </c>
      <c r="H34" s="171" t="n">
        <f aca="false">H32+H33</f>
        <v>17854.7166666666</v>
      </c>
      <c r="I34" s="171" t="n">
        <f aca="false">I32+I33</f>
        <v>14182.9666666666</v>
      </c>
      <c r="J34" s="171" t="n">
        <f aca="false">J32+J33</f>
        <v>15303.55</v>
      </c>
      <c r="K34" s="171" t="n">
        <f aca="false">K32+K33</f>
        <v>15145.3</v>
      </c>
      <c r="L34" s="171" t="n">
        <f aca="false">L32+L33</f>
        <v>10797.3</v>
      </c>
      <c r="M34" s="171" t="n">
        <f aca="false">M32+M33</f>
        <v>17283.05</v>
      </c>
      <c r="N34" s="171" t="n">
        <f aca="false">N32+N33</f>
        <v>16479.8</v>
      </c>
      <c r="O34" s="171" t="n">
        <f aca="false">O32+O33</f>
        <v>10408.6333333333</v>
      </c>
      <c r="P34" s="159"/>
    </row>
    <row r="35" customFormat="false" ht="6" hidden="false" customHeight="true" outlineLevel="0" collapsed="false">
      <c r="A35" s="159"/>
      <c r="B35" s="333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59"/>
    </row>
    <row r="36" customFormat="false" ht="12" hidden="false" customHeight="true" outlineLevel="0" collapsed="false">
      <c r="A36" s="159"/>
      <c r="B36" s="339" t="s">
        <v>385</v>
      </c>
      <c r="C36" s="33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</row>
    <row r="37" customFormat="false" ht="12" hidden="false" customHeight="false" outlineLevel="0" collapsed="false">
      <c r="A37" s="159"/>
      <c r="B37" s="170" t="s">
        <v>386</v>
      </c>
      <c r="C37" s="340" t="n">
        <f aca="false">'Profit &amp; Loss Account'!B33+'Profit &amp; Loss Account'!B34</f>
        <v>13912</v>
      </c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</row>
    <row r="38" customFormat="false" ht="12" hidden="false" customHeight="false" outlineLevel="0" collapsed="false">
      <c r="A38" s="159"/>
      <c r="B38" s="170" t="s">
        <v>387</v>
      </c>
      <c r="C38" s="340" t="n">
        <f aca="false">[1]Schedule!$Q$1+[1]Schedule!$R$1+[1]Schedule!$Y$1-[1]Schedule!$Z$1</f>
        <v>64000</v>
      </c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</row>
    <row r="39" customFormat="false" ht="12" hidden="false" customHeight="false" outlineLevel="0" collapsed="false">
      <c r="A39" s="159"/>
      <c r="B39" s="170" t="s">
        <v>388</v>
      </c>
      <c r="C39" s="340" t="n">
        <f aca="false">C34+C37-C38</f>
        <v>121685.016666666</v>
      </c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</row>
    <row r="40" customFormat="false" ht="12" hidden="false" customHeight="false" outlineLevel="0" collapsed="false">
      <c r="A40" s="159"/>
      <c r="B40" s="183" t="s">
        <v>389</v>
      </c>
      <c r="C40" s="340" t="n">
        <f aca="false">IF(C39&lt;=0,0,MAX(0,Admin!N$4-MAX(0,C39-Admin!N$5)/2))</f>
        <v>1727.49166666687</v>
      </c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</row>
    <row r="41" customFormat="false" ht="12" hidden="false" customHeight="false" outlineLevel="0" collapsed="false">
      <c r="A41" s="159"/>
      <c r="B41" s="183" t="s">
        <v>390</v>
      </c>
      <c r="C41" s="340" t="n">
        <f aca="false">IF((C39&gt;C40),(C39-C40),0)</f>
        <v>119957.524999999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</row>
    <row r="42" customFormat="false" ht="12" hidden="false" customHeight="false" outlineLevel="0" collapsed="false">
      <c r="A42" s="159"/>
      <c r="B42" s="183" t="s">
        <v>391</v>
      </c>
      <c r="C42" s="340" t="n">
        <f aca="false">IF((C41&gt;0),(IF((C41&lt;Admin!M$11),C41*Admin!N$6,Admin!M$11*Admin!N$6)),0)</f>
        <v>7540</v>
      </c>
      <c r="D42" s="341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</row>
    <row r="43" customFormat="false" ht="12" hidden="false" customHeight="false" outlineLevel="0" collapsed="false">
      <c r="A43" s="159"/>
      <c r="B43" s="183" t="s">
        <v>392</v>
      </c>
      <c r="C43" s="340" t="n">
        <f aca="false">IF(C41&gt;Admin!M$11,(MIN(C41,Admin!N$13)-Admin!M$11)*Admin!N$7,0)</f>
        <v>32903.0099999998</v>
      </c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</row>
    <row r="44" customFormat="false" ht="12" hidden="false" customHeight="false" outlineLevel="0" collapsed="false">
      <c r="A44" s="159"/>
      <c r="B44" s="183" t="s">
        <v>393</v>
      </c>
      <c r="C44" s="340" t="n">
        <f aca="false">IF(C41&gt;Admin!N$13,(C41-Admin!N$13)*Admin!N$8,0)</f>
        <v>0</v>
      </c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</row>
    <row r="45" customFormat="false" ht="12" hidden="false" customHeight="false" outlineLevel="0" collapsed="false">
      <c r="A45" s="159"/>
      <c r="B45" s="183" t="s">
        <v>394</v>
      </c>
      <c r="C45" s="340" t="n">
        <f aca="false">IF(C39&gt;Admin!N$20,IF(C39&lt;Admin!N$23,(C39-Admin!N$20)*Admin!L$20,(Admin!N$23-Admin!N$20)*Admin!L$20),0)+IF(C39&gt;Admin!N$23,(C39-Admin!N$23)*Admin!L$23,0)</f>
        <v>3690.30033333333</v>
      </c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customFormat="false" ht="12" hidden="false" customHeight="false" outlineLevel="0" collapsed="false">
      <c r="A46" s="159"/>
      <c r="B46" s="183" t="s">
        <v>395</v>
      </c>
      <c r="C46" s="342" t="n">
        <f aca="false">C42+C43+C44+C45</f>
        <v>44133.3103333331</v>
      </c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</row>
    <row r="47" customFormat="false" ht="12" hidden="false" customHeight="false" outlineLevel="0" collapsed="false">
      <c r="A47" s="159"/>
      <c r="B47" s="280"/>
      <c r="C47" s="187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3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4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5" t="s">
        <v>396</v>
      </c>
      <c r="C1" s="63"/>
      <c r="D1" s="346"/>
      <c r="E1" s="346"/>
      <c r="F1" s="346"/>
      <c r="G1" s="347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8" t="n">
        <v>46081</v>
      </c>
      <c r="C2" s="63"/>
      <c r="D2" s="349" t="s">
        <v>397</v>
      </c>
      <c r="E2" s="349"/>
      <c r="F2" s="349"/>
      <c r="G2" s="350" t="str">
        <f aca="false">B23</f>
        <v>2026-27</v>
      </c>
      <c r="H2" s="63"/>
      <c r="I2" s="63"/>
      <c r="J2" s="351" t="s">
        <v>398</v>
      </c>
      <c r="K2" s="351"/>
      <c r="L2" s="352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8" t="n">
        <v>46112</v>
      </c>
      <c r="C3" s="63"/>
      <c r="D3" s="63"/>
      <c r="E3" s="63"/>
      <c r="F3" s="63"/>
      <c r="G3" s="353"/>
      <c r="H3" s="63"/>
      <c r="I3" s="63"/>
      <c r="J3" s="354"/>
      <c r="K3" s="354"/>
      <c r="L3" s="347"/>
      <c r="M3" s="63"/>
      <c r="N3" s="63"/>
      <c r="O3" s="63"/>
    </row>
    <row r="4" customFormat="false" ht="12" hidden="false" customHeight="true" outlineLevel="0" collapsed="false">
      <c r="A4" s="63"/>
      <c r="B4" s="355" t="n">
        <v>46118</v>
      </c>
      <c r="C4" s="63"/>
      <c r="D4" s="356" t="s">
        <v>84</v>
      </c>
      <c r="E4" s="356"/>
      <c r="F4" s="356"/>
      <c r="G4" s="357" t="n">
        <v>1</v>
      </c>
      <c r="H4" s="63"/>
      <c r="I4" s="356" t="s">
        <v>399</v>
      </c>
      <c r="J4" s="356"/>
      <c r="K4" s="356"/>
      <c r="L4" s="356"/>
      <c r="M4" s="356"/>
      <c r="N4" s="358" t="n">
        <v>12570</v>
      </c>
      <c r="O4" s="353" t="s">
        <v>33</v>
      </c>
    </row>
    <row r="5" customFormat="false" ht="12" hidden="false" customHeight="true" outlineLevel="0" collapsed="false">
      <c r="A5" s="63"/>
      <c r="B5" s="348" t="n">
        <v>46142</v>
      </c>
      <c r="C5" s="63"/>
      <c r="D5" s="356" t="s">
        <v>400</v>
      </c>
      <c r="E5" s="356"/>
      <c r="F5" s="356"/>
      <c r="G5" s="357" t="n">
        <v>0.14</v>
      </c>
      <c r="H5" s="63"/>
      <c r="I5" s="356" t="s">
        <v>401</v>
      </c>
      <c r="J5" s="356"/>
      <c r="K5" s="356"/>
      <c r="L5" s="356"/>
      <c r="M5" s="356"/>
      <c r="N5" s="359" t="n">
        <v>100000</v>
      </c>
      <c r="O5" s="353" t="s">
        <v>33</v>
      </c>
    </row>
    <row r="6" customFormat="false" ht="12" hidden="false" customHeight="true" outlineLevel="0" collapsed="false">
      <c r="A6" s="63"/>
      <c r="B6" s="348" t="n">
        <v>46173</v>
      </c>
      <c r="C6" s="63"/>
      <c r="D6" s="63"/>
      <c r="E6" s="63"/>
      <c r="F6" s="63"/>
      <c r="G6" s="353"/>
      <c r="H6" s="63"/>
      <c r="I6" s="356" t="s">
        <v>402</v>
      </c>
      <c r="J6" s="356"/>
      <c r="K6" s="356"/>
      <c r="L6" s="356"/>
      <c r="M6" s="356"/>
      <c r="N6" s="357" t="n">
        <v>0.2</v>
      </c>
      <c r="O6" s="353" t="s">
        <v>403</v>
      </c>
    </row>
    <row r="7" customFormat="false" ht="12" hidden="false" customHeight="true" outlineLevel="0" collapsed="false">
      <c r="A7" s="63"/>
      <c r="B7" s="348" t="n">
        <v>46203</v>
      </c>
      <c r="C7" s="63"/>
      <c r="D7" s="356" t="s">
        <v>404</v>
      </c>
      <c r="E7" s="356"/>
      <c r="F7" s="356"/>
      <c r="G7" s="353"/>
      <c r="H7" s="63"/>
      <c r="I7" s="356" t="s">
        <v>405</v>
      </c>
      <c r="J7" s="356"/>
      <c r="K7" s="356"/>
      <c r="L7" s="356"/>
      <c r="M7" s="356"/>
      <c r="N7" s="357" t="n">
        <v>0.4</v>
      </c>
      <c r="O7" s="353" t="s">
        <v>403</v>
      </c>
    </row>
    <row r="8" customFormat="false" ht="12" hidden="false" customHeight="true" outlineLevel="0" collapsed="false">
      <c r="A8" s="63"/>
      <c r="B8" s="348" t="n">
        <v>46234</v>
      </c>
      <c r="C8" s="63"/>
      <c r="D8" s="63"/>
      <c r="E8" s="359"/>
      <c r="F8" s="63"/>
      <c r="G8" s="359"/>
      <c r="H8" s="63"/>
      <c r="I8" s="356" t="s">
        <v>406</v>
      </c>
      <c r="J8" s="356"/>
      <c r="K8" s="356"/>
      <c r="L8" s="356"/>
      <c r="M8" s="356"/>
      <c r="N8" s="357" t="n">
        <v>0.45</v>
      </c>
      <c r="O8" s="353" t="s">
        <v>403</v>
      </c>
    </row>
    <row r="9" customFormat="false" ht="12" hidden="false" customHeight="true" outlineLevel="0" collapsed="false">
      <c r="A9" s="63"/>
      <c r="B9" s="348" t="n">
        <v>46265</v>
      </c>
      <c r="C9" s="63"/>
      <c r="D9" s="63"/>
      <c r="E9" s="353"/>
      <c r="F9" s="63"/>
      <c r="G9" s="353"/>
      <c r="H9" s="63"/>
      <c r="I9" s="356" t="s">
        <v>407</v>
      </c>
      <c r="J9" s="356"/>
      <c r="K9" s="356"/>
      <c r="L9" s="360" t="s">
        <v>408</v>
      </c>
      <c r="M9" s="360" t="s">
        <v>409</v>
      </c>
      <c r="N9" s="361" t="s">
        <v>410</v>
      </c>
      <c r="O9" s="353"/>
    </row>
    <row r="10" customFormat="false" ht="12" hidden="false" customHeight="true" outlineLevel="0" collapsed="false">
      <c r="A10" s="63"/>
      <c r="B10" s="348" t="n">
        <v>46295</v>
      </c>
      <c r="C10" s="63"/>
      <c r="D10" s="63"/>
      <c r="E10" s="353"/>
      <c r="F10" s="63"/>
      <c r="G10" s="353"/>
      <c r="H10" s="63"/>
      <c r="I10" s="63"/>
      <c r="J10" s="63"/>
      <c r="K10" s="63"/>
      <c r="L10" s="63"/>
      <c r="M10" s="63"/>
      <c r="N10" s="353"/>
      <c r="O10" s="353"/>
    </row>
    <row r="11" customFormat="false" ht="12" hidden="false" customHeight="true" outlineLevel="0" collapsed="false">
      <c r="A11" s="63"/>
      <c r="B11" s="348" t="n">
        <v>46326</v>
      </c>
      <c r="C11" s="63"/>
      <c r="D11" s="349" t="s">
        <v>411</v>
      </c>
      <c r="E11" s="349"/>
      <c r="F11" s="349"/>
      <c r="G11" s="353" t="s">
        <v>403</v>
      </c>
      <c r="H11" s="63"/>
      <c r="I11" s="63" t="s">
        <v>412</v>
      </c>
      <c r="J11" s="63"/>
      <c r="K11" s="362" t="n">
        <v>0.2</v>
      </c>
      <c r="L11" s="353" t="n">
        <f aca="false">N11</f>
        <v>0</v>
      </c>
      <c r="M11" s="353" t="n">
        <v>37700</v>
      </c>
      <c r="N11" s="359" t="n">
        <v>0</v>
      </c>
      <c r="O11" s="353"/>
    </row>
    <row r="12" customFormat="false" ht="12" hidden="false" customHeight="true" outlineLevel="0" collapsed="false">
      <c r="A12" s="63"/>
      <c r="B12" s="348" t="n">
        <v>46356</v>
      </c>
      <c r="C12" s="63"/>
      <c r="D12" s="63"/>
      <c r="E12" s="63"/>
      <c r="F12" s="63"/>
      <c r="G12" s="353"/>
      <c r="H12" s="63"/>
      <c r="I12" s="63" t="s">
        <v>413</v>
      </c>
      <c r="J12" s="63"/>
      <c r="K12" s="362" t="n">
        <v>0.4</v>
      </c>
      <c r="L12" s="353" t="n">
        <v>37701</v>
      </c>
      <c r="M12" s="63"/>
      <c r="N12" s="359" t="n">
        <v>37701</v>
      </c>
      <c r="O12" s="353"/>
    </row>
    <row r="13" customFormat="false" ht="12" hidden="false" customHeight="true" outlineLevel="0" collapsed="false">
      <c r="A13" s="63"/>
      <c r="B13" s="348" t="n">
        <v>46387</v>
      </c>
      <c r="C13" s="63"/>
      <c r="D13" s="356" t="s">
        <v>414</v>
      </c>
      <c r="E13" s="356"/>
      <c r="F13" s="356"/>
      <c r="G13" s="357" t="n">
        <v>0</v>
      </c>
      <c r="H13" s="63"/>
      <c r="I13" s="63" t="s">
        <v>415</v>
      </c>
      <c r="J13" s="63"/>
      <c r="K13" s="362" t="n">
        <v>0.45</v>
      </c>
      <c r="L13" s="353" t="n">
        <v>125141</v>
      </c>
      <c r="M13" s="63"/>
      <c r="N13" s="359" t="n">
        <v>125140</v>
      </c>
      <c r="O13" s="63"/>
    </row>
    <row r="14" customFormat="false" ht="12" hidden="false" customHeight="true" outlineLevel="0" collapsed="false">
      <c r="A14" s="63"/>
      <c r="B14" s="348" t="n">
        <v>46418</v>
      </c>
      <c r="C14" s="63"/>
      <c r="D14" s="356" t="s">
        <v>416</v>
      </c>
      <c r="E14" s="356"/>
      <c r="F14" s="356"/>
      <c r="G14" s="357" t="n">
        <v>0.1</v>
      </c>
      <c r="H14" s="63"/>
      <c r="I14" s="349" t="s">
        <v>417</v>
      </c>
      <c r="J14" s="349"/>
      <c r="K14" s="349"/>
      <c r="L14" s="352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8" t="n">
        <v>46446</v>
      </c>
      <c r="C15" s="63"/>
      <c r="D15" s="356" t="s">
        <v>418</v>
      </c>
      <c r="E15" s="356"/>
      <c r="F15" s="356"/>
      <c r="G15" s="357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8" t="n">
        <v>46477</v>
      </c>
      <c r="C16" s="63"/>
      <c r="D16" s="356" t="s">
        <v>419</v>
      </c>
      <c r="E16" s="356"/>
      <c r="F16" s="356"/>
      <c r="G16" s="357" t="n">
        <v>0.33</v>
      </c>
      <c r="H16" s="63"/>
      <c r="I16" s="356" t="s">
        <v>420</v>
      </c>
      <c r="J16" s="356"/>
      <c r="K16" s="356"/>
      <c r="L16" s="363" t="n">
        <v>3.65</v>
      </c>
      <c r="M16" s="63" t="s">
        <v>421</v>
      </c>
      <c r="N16" s="359" t="n">
        <v>7105</v>
      </c>
      <c r="O16" s="353" t="s">
        <v>33</v>
      </c>
    </row>
    <row r="17" customFormat="false" ht="12" hidden="false" customHeight="true" outlineLevel="0" collapsed="false">
      <c r="A17" s="63"/>
      <c r="B17" s="355" t="n">
        <v>46482</v>
      </c>
      <c r="C17" s="63"/>
      <c r="D17" s="356" t="s">
        <v>422</v>
      </c>
      <c r="E17" s="356"/>
      <c r="F17" s="356"/>
      <c r="G17" s="357" t="n">
        <v>0.25</v>
      </c>
      <c r="H17" s="63"/>
      <c r="I17" s="63"/>
      <c r="J17" s="63"/>
      <c r="K17" s="63"/>
      <c r="L17" s="364"/>
      <c r="M17" s="63"/>
      <c r="N17" s="63"/>
      <c r="O17" s="63"/>
    </row>
    <row r="18" customFormat="false" ht="12" hidden="false" customHeight="true" outlineLevel="0" collapsed="false">
      <c r="A18" s="63"/>
      <c r="B18" s="348" t="n">
        <v>46507</v>
      </c>
      <c r="C18" s="63"/>
      <c r="D18" s="63"/>
      <c r="E18" s="63"/>
      <c r="F18" s="63"/>
      <c r="G18" s="353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8" t="n">
        <v>46538</v>
      </c>
      <c r="C19" s="63"/>
      <c r="D19" s="349" t="s">
        <v>423</v>
      </c>
      <c r="E19" s="349"/>
      <c r="F19" s="353" t="s">
        <v>424</v>
      </c>
      <c r="G19" s="353" t="s">
        <v>425</v>
      </c>
      <c r="H19" s="63"/>
      <c r="I19" s="365" t="s">
        <v>426</v>
      </c>
      <c r="J19" s="365"/>
      <c r="K19" s="365"/>
      <c r="L19" s="63"/>
      <c r="M19" s="366" t="s">
        <v>427</v>
      </c>
      <c r="N19" s="63"/>
      <c r="O19" s="63"/>
    </row>
    <row r="20" customFormat="false" ht="12" hidden="false" customHeight="true" outlineLevel="0" collapsed="false">
      <c r="A20" s="63"/>
      <c r="B20" s="348" t="n">
        <v>46568</v>
      </c>
      <c r="C20" s="63"/>
      <c r="D20" s="347"/>
      <c r="E20" s="347"/>
      <c r="F20" s="353"/>
      <c r="G20" s="353"/>
      <c r="H20" s="63"/>
      <c r="I20" s="365"/>
      <c r="J20" s="365"/>
      <c r="K20" s="365"/>
      <c r="L20" s="367" t="n">
        <v>0.06</v>
      </c>
      <c r="M20" s="366"/>
      <c r="N20" s="359" t="n">
        <v>12570</v>
      </c>
      <c r="O20" s="353" t="s">
        <v>33</v>
      </c>
    </row>
    <row r="21" customFormat="false" ht="12" hidden="false" customHeight="true" outlineLevel="0" collapsed="false">
      <c r="A21" s="63"/>
      <c r="B21" s="348" t="n">
        <v>46783</v>
      </c>
      <c r="C21" s="63"/>
      <c r="D21" s="356" t="s">
        <v>428</v>
      </c>
      <c r="E21" s="356"/>
      <c r="F21" s="359" t="n">
        <v>10000</v>
      </c>
      <c r="G21" s="363" t="n">
        <v>0.45</v>
      </c>
      <c r="H21" s="63"/>
      <c r="I21" s="368"/>
      <c r="J21" s="368"/>
      <c r="K21" s="368"/>
      <c r="L21" s="362"/>
      <c r="M21" s="63"/>
      <c r="N21" s="63"/>
      <c r="O21" s="63"/>
    </row>
    <row r="22" customFormat="false" ht="12" hidden="false" customHeight="true" outlineLevel="0" collapsed="false">
      <c r="A22" s="63"/>
      <c r="B22" s="348" t="n">
        <v>46965</v>
      </c>
      <c r="C22" s="63"/>
      <c r="D22" s="63" t="s">
        <v>429</v>
      </c>
      <c r="E22" s="63"/>
      <c r="F22" s="359" t="n">
        <v>10001</v>
      </c>
      <c r="G22" s="363" t="n">
        <v>0.25</v>
      </c>
      <c r="H22" s="63"/>
      <c r="I22" s="365" t="s">
        <v>430</v>
      </c>
      <c r="J22" s="365"/>
      <c r="K22" s="365"/>
      <c r="L22" s="63"/>
      <c r="M22" s="366" t="s">
        <v>431</v>
      </c>
      <c r="N22" s="63"/>
      <c r="O22" s="63"/>
    </row>
    <row r="23" customFormat="false" ht="12" hidden="false" customHeight="true" outlineLevel="0" collapsed="false">
      <c r="A23" s="63"/>
      <c r="B23" s="355" t="s">
        <v>432</v>
      </c>
      <c r="C23" s="63"/>
      <c r="D23" s="63"/>
      <c r="E23" s="63"/>
      <c r="F23" s="353"/>
      <c r="G23" s="364"/>
      <c r="H23" s="63"/>
      <c r="I23" s="365"/>
      <c r="J23" s="365"/>
      <c r="K23" s="365"/>
      <c r="L23" s="367" t="n">
        <v>0.02</v>
      </c>
      <c r="M23" s="366"/>
      <c r="N23" s="359" t="n">
        <v>50270</v>
      </c>
      <c r="O23" s="353" t="s">
        <v>33</v>
      </c>
    </row>
    <row r="24" customFormat="false" ht="12" hidden="false" customHeight="true" outlineLevel="0" collapsed="false">
      <c r="A24" s="63"/>
      <c r="B24" s="355" t="s">
        <v>433</v>
      </c>
      <c r="C24" s="63"/>
      <c r="D24" s="349" t="s">
        <v>423</v>
      </c>
      <c r="E24" s="349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8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9"/>
      <c r="C26" s="63"/>
      <c r="D26" s="356" t="s">
        <v>434</v>
      </c>
      <c r="E26" s="356"/>
      <c r="F26" s="359" t="n">
        <v>90000</v>
      </c>
      <c r="G26" s="353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9"/>
      <c r="C27" s="63"/>
      <c r="D27" s="63" t="s">
        <v>435</v>
      </c>
      <c r="E27" s="63"/>
      <c r="F27" s="357" t="n">
        <v>0.2</v>
      </c>
      <c r="G27" s="353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9"/>
      <c r="C28" s="63"/>
      <c r="D28" s="63"/>
      <c r="E28" s="63"/>
      <c r="F28" s="63"/>
      <c r="G28" s="353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