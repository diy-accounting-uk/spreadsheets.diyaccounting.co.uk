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<sst xmlns="http://schemas.openxmlformats.org/spreadsheetml/2006/main" count="820" uniqueCount="440">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</sst>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11740</v>
          </cell>
        </row>
        <row r="1">
          <cell r="Q1">
            <v>32500</v>
          </cell>
          <cell r="R1">
            <v>3000</v>
          </cell>
          <cell r="S1">
            <v>21000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38">
          <cell r="R38">
            <v>3000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501.875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555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545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486.875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501.875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590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505.625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537.5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511.25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531.875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496.25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568.75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208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11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12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13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14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15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16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17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18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19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20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21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22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23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24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25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26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27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28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26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18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13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Account'!B9&gt;30000,'Profit &amp; Loss Account'!B17," ")</f>
        <v>16136.6666666667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Account'!B9&gt;30000,'Profit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Account'!B9&gt;30000,'Profit &amp; Loss Account'!B25+'Profit &amp; Loss Account'!B26," ")</f>
        <v>7881.875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Account'!B9&gt;30000,'Profit &amp; Loss Account'!B30+'Profit &amp; Loss Account'!B31," ")</f>
        <v>800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Account'!B9&gt;30000,'Profit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Account'!B9&gt;30000,'Profit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Account'!B9&gt;30000,'Profit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Account'!B9&gt;30000,'Profit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Account'!B9&gt;30000,'Profit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148567.941666667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190632.058333333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32500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146632.058333333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148715.391666666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107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108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109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110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111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112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115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116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117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118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119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120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121" t="s">
        <v>121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6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7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8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11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12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13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14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15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16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17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18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19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20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21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22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23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24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25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26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27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122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28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29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26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123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124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125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126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127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128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129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130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131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132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61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9470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133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134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7881.875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135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67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136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137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138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800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139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140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11912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11740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141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142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143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160307.941666667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11740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74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75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144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145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178892.058333333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146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147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148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149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150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151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32500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 t="n">
        <f aca="false">IF(([1]Schedule!$R$1+[1]Schedule!$S$1)&lt;1000,[1]Schedule!$S$1,0)</f>
        <v>0</v>
      </c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152</v>
      </c>
      <c r="D141" s="64"/>
      <c r="E141" s="64"/>
      <c r="F141" s="64"/>
      <c r="G141" s="131" t="n">
        <f aca="false">Admin!G5</f>
        <v>0.14</v>
      </c>
      <c r="H141" s="131"/>
      <c r="I141" s="64" t="s">
        <v>153</v>
      </c>
      <c r="J141" s="64"/>
      <c r="K141" s="64"/>
      <c r="L141" s="75" t="n">
        <v>55</v>
      </c>
      <c r="M141" s="63"/>
      <c r="N141" s="64" t="s">
        <v>154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155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156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[1]Schedule!$R$1-D152</f>
        <v>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[1]Schedule!$Y$1</f>
        <v>8500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157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158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159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D139+D144+D147+D152+D156+D160+O139+O144</f>
        <v>44000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160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161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f aca="false">SUM([1]Schedule!$R$38:$R$42)+SUM([1]Schedule!$R$91:$R$95)</f>
        <v>3000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162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163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/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164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165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166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167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168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169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170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171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172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173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115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174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O149+D179</f>
        <v>44000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175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176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177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178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O122+O154+O160+D169</f>
        <v>11740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146632.058333333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179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180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181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182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183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184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185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186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187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188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189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190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191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192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193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194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195</v>
      </c>
      <c r="O192" s="63"/>
      <c r="P192" s="63"/>
      <c r="Q192" s="138" t="str">
        <f aca="false">Admin!G2</f>
        <v>2026-27</v>
      </c>
      <c r="R192" s="64" t="s">
        <v>196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197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198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199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146632.058333333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200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201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193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202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203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33</v>
      </c>
      <c r="D201" s="98"/>
      <c r="E201" s="98"/>
      <c r="F201" s="98"/>
      <c r="G201" s="99" t="s">
        <v>34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207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33</v>
      </c>
      <c r="D206" s="98"/>
      <c r="E206" s="98"/>
      <c r="F206" s="98"/>
      <c r="G206" s="99" t="s">
        <v>34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208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209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210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211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212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148715.391666666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213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214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215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216</v>
      </c>
      <c r="D216" s="64"/>
      <c r="E216" s="64"/>
      <c r="F216" s="146" t="str">
        <f aca="false">Admin!G2</f>
        <v>2026-27</v>
      </c>
      <c r="G216" s="64" t="s">
        <v>217</v>
      </c>
      <c r="H216" s="64"/>
      <c r="I216" s="64"/>
      <c r="J216" s="63"/>
      <c r="K216" s="64"/>
      <c r="L216" s="75" t="n">
        <v>78</v>
      </c>
      <c r="M216" s="63"/>
      <c r="N216" s="64" t="s">
        <v>218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219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O179+E197-D201+D210+P190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220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116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108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118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221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117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222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223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224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225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226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227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228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229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230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231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232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233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234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235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236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237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238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193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239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240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241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193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242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243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193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244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245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246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247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193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248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249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250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251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252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253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254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255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111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256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257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258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259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260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261</v>
      </c>
      <c r="B2" s="161" t="s">
        <v>262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263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264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265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266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267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268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269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270</v>
      </c>
      <c r="B14" s="170" t="n">
        <f aca="false">SUM(C14:N14)</f>
        <v>5450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250</v>
      </c>
      <c r="O14" s="164"/>
    </row>
    <row r="15" customFormat="false" ht="12" hidden="false" customHeight="false" outlineLevel="0" collapsed="false">
      <c r="A15" s="169" t="s">
        <v>271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272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s="176" customFormat="true" ht="12" hidden="false" customHeight="false" outlineLevel="0" collapsed="false">
      <c r="A17" s="173" t="s">
        <v>273</v>
      </c>
      <c r="B17" s="170" t="n">
        <f aca="false">SUM(B14:B16)</f>
        <v>16136.6666666667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457.5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274</v>
      </c>
      <c r="B19" s="170" t="n">
        <f aca="false">B9+B11-B17</f>
        <v>325146.666666666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25375.8333333333</v>
      </c>
      <c r="O19" s="175"/>
    </row>
    <row r="20" s="176" customFormat="true" ht="10.5" hidden="false" customHeight="true" outlineLevel="0" collapsed="false">
      <c r="A20" s="180" t="s">
        <v>275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276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277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278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279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280</v>
      </c>
      <c r="B25" s="170" t="n">
        <f aca="false">SUM(C25:N25)</f>
        <v>6331.875</v>
      </c>
      <c r="C25" s="171" t="n">
        <f aca="false">[3]Apr!$W$1</f>
        <v>501.875</v>
      </c>
      <c r="D25" s="171" t="n">
        <f aca="false">[3]May!$W$1</f>
        <v>555</v>
      </c>
      <c r="E25" s="172" t="n">
        <f aca="false">[3]Jun!$W$1</f>
        <v>545</v>
      </c>
      <c r="F25" s="171" t="n">
        <f aca="false">[3]Jul!$W$1</f>
        <v>486.875</v>
      </c>
      <c r="G25" s="171" t="n">
        <f aca="false">[3]Aug!$W$1</f>
        <v>501.875</v>
      </c>
      <c r="H25" s="172" t="n">
        <f aca="false">[3]Sep!$W$1</f>
        <v>590</v>
      </c>
      <c r="I25" s="171" t="n">
        <f aca="false">[3]Oct!$W$1</f>
        <v>505.625</v>
      </c>
      <c r="J25" s="171" t="n">
        <f aca="false">[3]Nov!$W$1</f>
        <v>537.5</v>
      </c>
      <c r="K25" s="172" t="n">
        <f aca="false">[3]Dec!$W$1</f>
        <v>511.25</v>
      </c>
      <c r="L25" s="171" t="n">
        <f aca="false">[3]Jan!$W$1</f>
        <v>531.875</v>
      </c>
      <c r="M25" s="171" t="n">
        <f aca="false">[3]Feb!$W$1</f>
        <v>496.25</v>
      </c>
      <c r="N25" s="171" t="n">
        <f aca="false">[3]Mar!$W$1</f>
        <v>568.75</v>
      </c>
      <c r="O25" s="164"/>
    </row>
    <row r="26" customFormat="false" ht="12" hidden="false" customHeight="false" outlineLevel="0" collapsed="false">
      <c r="A26" s="182" t="s">
        <v>281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282</v>
      </c>
      <c r="B27" s="170" t="n">
        <f aca="false">SUM(C27:N27)</f>
        <v>3800</v>
      </c>
      <c r="C27" s="171" t="n">
        <f aca="false">[3]Apr!$Y$1</f>
        <v>0</v>
      </c>
      <c r="D27" s="171" t="n">
        <f aca="false">[3]May!$Y$1</f>
        <v>500</v>
      </c>
      <c r="E27" s="172" t="n">
        <f aca="false">[3]Jun!$Y$1</f>
        <v>0</v>
      </c>
      <c r="F27" s="171" t="n">
        <f aca="false">[3]Jul!$Y$1</f>
        <v>400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2500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400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283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284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285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286</v>
      </c>
      <c r="B31" s="170" t="n">
        <f aca="false">SUM(C31:N31)</f>
        <v>800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208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287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288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289</v>
      </c>
      <c r="B34" s="170" t="n">
        <f aca="false">SUM(C34:N34)</f>
        <v>11740</v>
      </c>
      <c r="C34" s="171" t="n">
        <f aca="false">([1]Schedule!$I$1)/12</f>
        <v>978.333333333333</v>
      </c>
      <c r="D34" s="171" t="n">
        <f aca="false">([1]Schedule!$I$1)/12</f>
        <v>978.333333333333</v>
      </c>
      <c r="E34" s="172" t="n">
        <f aca="false">([1]Schedule!$I$1)/12</f>
        <v>978.333333333333</v>
      </c>
      <c r="F34" s="171" t="n">
        <f aca="false">([1]Schedule!$I$1)/12</f>
        <v>978.333333333333</v>
      </c>
      <c r="G34" s="171" t="n">
        <f aca="false">([1]Schedule!$I$1)/12</f>
        <v>978.333333333333</v>
      </c>
      <c r="H34" s="172" t="n">
        <f aca="false">([1]Schedule!$I$1)/12</f>
        <v>978.333333333333</v>
      </c>
      <c r="I34" s="171" t="n">
        <f aca="false">([1]Schedule!$I$1)/12</f>
        <v>978.333333333333</v>
      </c>
      <c r="J34" s="171" t="n">
        <f aca="false">([1]Schedule!$I$1)/12</f>
        <v>978.333333333333</v>
      </c>
      <c r="K34" s="172" t="n">
        <f aca="false">([1]Schedule!$I$1)/12</f>
        <v>978.333333333333</v>
      </c>
      <c r="L34" s="171" t="n">
        <f aca="false">([1]Schedule!$I$1)/12</f>
        <v>978.333333333333</v>
      </c>
      <c r="M34" s="171" t="n">
        <f aca="false">([1]Schedule!$I$1)/12</f>
        <v>978.333333333333</v>
      </c>
      <c r="N34" s="171" t="n">
        <f aca="false">([1]Schedule!$I$1)/12</f>
        <v>978.333333333333</v>
      </c>
      <c r="O34" s="164"/>
    </row>
    <row r="35" customFormat="false" ht="12" hidden="false" customHeight="false" outlineLevel="0" collapsed="false">
      <c r="A35" s="173" t="s">
        <v>275</v>
      </c>
      <c r="B35" s="170" t="n">
        <f aca="false">SUM(B21:B34)</f>
        <v>144171.275</v>
      </c>
      <c r="C35" s="170" t="n">
        <f aca="false">SUM(C21:C34)</f>
        <v>11839.7416666667</v>
      </c>
      <c r="D35" s="170" t="n">
        <f aca="false">SUM(D21:D34)</f>
        <v>11147.8666666667</v>
      </c>
      <c r="E35" s="170" t="n">
        <f aca="false">SUM(E21:E34)</f>
        <v>11411.2</v>
      </c>
      <c r="F35" s="174" t="n">
        <f aca="false">SUM(F21:F34)</f>
        <v>13659.7416666667</v>
      </c>
      <c r="G35" s="170" t="n">
        <f aca="false">SUM(G21:G34)</f>
        <v>11301.4083333333</v>
      </c>
      <c r="H35" s="170" t="n">
        <f aca="false">SUM(H21:H34)</f>
        <v>11964.2</v>
      </c>
      <c r="I35" s="174" t="n">
        <f aca="false">SUM(I21:I34)</f>
        <v>13518.4916666667</v>
      </c>
      <c r="J35" s="170" t="n">
        <f aca="false">SUM(J21:J34)</f>
        <v>10700.3666666667</v>
      </c>
      <c r="K35" s="170" t="n">
        <f aca="false">SUM(K21:K34)</f>
        <v>15723.6166666667</v>
      </c>
      <c r="L35" s="174" t="n">
        <f aca="false">SUM(L21:L34)</f>
        <v>11219.7416666667</v>
      </c>
      <c r="M35" s="170" t="n">
        <f aca="false">SUM(M21:M34)</f>
        <v>10894.1166666667</v>
      </c>
      <c r="N35" s="170" t="n">
        <f aca="false">SUM(N21:N34)</f>
        <v>10790.7833333333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290</v>
      </c>
      <c r="B37" s="170" t="n">
        <f aca="false">B19-B35</f>
        <v>180975.391666666</v>
      </c>
      <c r="C37" s="170" t="n">
        <f aca="false">C19-C35</f>
        <v>15256.0916666666</v>
      </c>
      <c r="D37" s="170" t="n">
        <f aca="false">D19-D35</f>
        <v>15277.9666666666</v>
      </c>
      <c r="E37" s="170" t="n">
        <f aca="false">E19-E35</f>
        <v>13217.9666666666</v>
      </c>
      <c r="F37" s="174" t="n">
        <f aca="false">F19-F35</f>
        <v>13266.0916666666</v>
      </c>
      <c r="G37" s="170" t="n">
        <f aca="false">G19-G35</f>
        <v>18027.7583333333</v>
      </c>
      <c r="H37" s="170" t="n">
        <f aca="false">H19-H35</f>
        <v>15461.6333333333</v>
      </c>
      <c r="I37" s="174" t="n">
        <f aca="false">I19-I35</f>
        <v>15477.3416666666</v>
      </c>
      <c r="J37" s="170" t="n">
        <f aca="false">J19-J35</f>
        <v>15325.4666666666</v>
      </c>
      <c r="K37" s="170" t="n">
        <f aca="false">K19-K35</f>
        <v>10972.2166666666</v>
      </c>
      <c r="L37" s="174" t="n">
        <f aca="false">L19-L35</f>
        <v>17456.0916666666</v>
      </c>
      <c r="M37" s="170" t="n">
        <f aca="false">M19-M35</f>
        <v>16651.7166666666</v>
      </c>
      <c r="N37" s="170" t="n">
        <f aca="false">N19-N35</f>
        <v>14585.05</v>
      </c>
      <c r="O37" s="164"/>
    </row>
    <row r="38" customFormat="false" ht="12" hidden="false" customHeight="false" outlineLevel="0" collapsed="false">
      <c r="A38" s="169" t="s">
        <v>291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292</v>
      </c>
      <c r="B39" s="170" t="n">
        <f aca="false">B37+B38</f>
        <v>180975.391666666</v>
      </c>
      <c r="C39" s="170" t="n">
        <f aca="false">C37+C38</f>
        <v>15256.0916666666</v>
      </c>
      <c r="D39" s="170" t="n">
        <f aca="false">D37+D38</f>
        <v>15277.9666666666</v>
      </c>
      <c r="E39" s="170" t="n">
        <f aca="false">E37+E38</f>
        <v>13217.9666666666</v>
      </c>
      <c r="F39" s="174" t="n">
        <f aca="false">F37+F38</f>
        <v>13266.0916666666</v>
      </c>
      <c r="G39" s="170" t="n">
        <f aca="false">G37+G38</f>
        <v>18027.7583333333</v>
      </c>
      <c r="H39" s="170" t="n">
        <f aca="false">H37+H38</f>
        <v>15461.6333333333</v>
      </c>
      <c r="I39" s="174" t="n">
        <f aca="false">I37+I38</f>
        <v>15477.3416666666</v>
      </c>
      <c r="J39" s="170" t="n">
        <f aca="false">J37+J38</f>
        <v>15325.4666666666</v>
      </c>
      <c r="K39" s="170" t="n">
        <f aca="false">K37+K38</f>
        <v>10972.2166666666</v>
      </c>
      <c r="L39" s="174" t="n">
        <f aca="false">L37+L38</f>
        <v>17456.0916666666</v>
      </c>
      <c r="M39" s="170" t="n">
        <f aca="false">M37+M38</f>
        <v>16651.7166666666</v>
      </c>
      <c r="N39" s="170" t="n">
        <f aca="false">N37+N38</f>
        <v>14585.05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293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294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295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296</v>
      </c>
      <c r="B44" s="177" t="n">
        <f aca="false">SUM(C44:N44)</f>
        <v>51221.1444999998</v>
      </c>
      <c r="C44" s="177" t="n">
        <f aca="false">IF(C9&gt;0,'Profit Forecast'!C$46/12,0)</f>
        <v>4268.42870833332</v>
      </c>
      <c r="D44" s="177" t="n">
        <f aca="false">IF(D9&gt;0,'Profit Forecast'!C$46/12,0)</f>
        <v>4268.42870833332</v>
      </c>
      <c r="E44" s="177" t="n">
        <f aca="false">IF(E9&gt;0,'Profit Forecast'!C$46/12,0)</f>
        <v>4268.42870833332</v>
      </c>
      <c r="F44" s="177" t="n">
        <f aca="false">IF(F9&gt;0,'Profit Forecast'!C$46/12,0)</f>
        <v>4268.42870833332</v>
      </c>
      <c r="G44" s="177" t="n">
        <f aca="false">IF(G9&gt;0,'Profit Forecast'!C$46/12,0)</f>
        <v>4268.42870833332</v>
      </c>
      <c r="H44" s="177" t="n">
        <f aca="false">IF(H9&gt;0,'Profit Forecast'!C$46/12,0)</f>
        <v>4268.42870833332</v>
      </c>
      <c r="I44" s="177" t="n">
        <f aca="false">IF(I9&gt;0,'Profit Forecast'!C$46/12,0)</f>
        <v>4268.42870833332</v>
      </c>
      <c r="J44" s="177" t="n">
        <f aca="false">IF(J9&gt;0,'Profit Forecast'!C$46/12,0)</f>
        <v>4268.42870833332</v>
      </c>
      <c r="K44" s="177" t="n">
        <f aca="false">IF(K9&gt;0,'Profit Forecast'!C$46/12,0)</f>
        <v>4268.42870833332</v>
      </c>
      <c r="L44" s="177" t="n">
        <f aca="false">IF(L9&gt;0,'Profit Forecast'!C$46/12,0)</f>
        <v>4268.42870833332</v>
      </c>
      <c r="M44" s="177" t="n">
        <f aca="false">IF(M9&gt;0,'Profit Forecast'!C$46/12,0)</f>
        <v>4268.42870833332</v>
      </c>
      <c r="N44" s="177" t="n">
        <f aca="false">IF(N9&gt;0,'Profit Forecast'!C$46/12,0)</f>
        <v>4268.42870833332</v>
      </c>
      <c r="O44" s="164"/>
    </row>
    <row r="45" customFormat="false" ht="12" hidden="false" customHeight="false" outlineLevel="0" collapsed="false">
      <c r="A45" s="188" t="s">
        <v>297</v>
      </c>
      <c r="B45" s="189" t="n">
        <f aca="false">SUM(C45:N45)</f>
        <v>102754.247166666</v>
      </c>
      <c r="C45" s="190" t="n">
        <f aca="false">C39-C42-C44</f>
        <v>9987.66295833332</v>
      </c>
      <c r="D45" s="191" t="n">
        <f aca="false">D39-D42-D44</f>
        <v>10009.5379583333</v>
      </c>
      <c r="E45" s="191" t="n">
        <f aca="false">E39-E42-E44</f>
        <v>7949.53795833331</v>
      </c>
      <c r="F45" s="191" t="n">
        <f aca="false">F39-F42-F44</f>
        <v>4997.66295833331</v>
      </c>
      <c r="G45" s="191" t="n">
        <f aca="false">G39-G42-G44</f>
        <v>12759.329625</v>
      </c>
      <c r="H45" s="191" t="n">
        <f aca="false">H39-H42-H44</f>
        <v>10193.204625</v>
      </c>
      <c r="I45" s="191" t="n">
        <f aca="false">I39-I42-I44</f>
        <v>7208.91295833331</v>
      </c>
      <c r="J45" s="191" t="n">
        <f aca="false">J39-J42-J44</f>
        <v>10057.0379583333</v>
      </c>
      <c r="K45" s="191" t="n">
        <f aca="false">K39-K42-K44</f>
        <v>5703.78795833331</v>
      </c>
      <c r="L45" s="191" t="n">
        <f aca="false">L39-L42-L44</f>
        <v>9187.66295833331</v>
      </c>
      <c r="M45" s="191" t="n">
        <f aca="false">M39-M42-M44</f>
        <v>11383.2879583333</v>
      </c>
      <c r="N45" s="191" t="n">
        <f aca="false">N39-N42-N44</f>
        <v>3316.62129166665</v>
      </c>
      <c r="O45" s="164"/>
    </row>
    <row r="46" customFormat="false" ht="12" hidden="false" customHeight="false" outlineLevel="0" collapsed="false">
      <c r="A46" s="182" t="s">
        <v>245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298</v>
      </c>
      <c r="C2" s="197" t="s">
        <v>299</v>
      </c>
      <c r="D2" s="197" t="s">
        <v>300</v>
      </c>
      <c r="E2" s="197" t="s">
        <v>301</v>
      </c>
      <c r="F2" s="197" t="s">
        <v>302</v>
      </c>
      <c r="G2" s="197" t="s">
        <v>303</v>
      </c>
      <c r="H2" s="197" t="s">
        <v>304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305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306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307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2402.5</v>
      </c>
      <c r="G7" s="200" t="n">
        <f aca="false">SUM(C7:F7)</f>
        <v>9470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308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309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310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311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312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313</v>
      </c>
      <c r="C16" s="200" t="n">
        <f aca="false">SUM('Profit &amp; Loss Account'!C31:E31)</f>
        <v>275</v>
      </c>
      <c r="D16" s="200" t="n">
        <f aca="false">SUM('Profit &amp; Loss Account'!F31:H31)</f>
        <v>208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800</v>
      </c>
      <c r="H16" s="195"/>
      <c r="I16" s="195"/>
    </row>
    <row r="17" customFormat="false" ht="12.75" hidden="false" customHeight="false" outlineLevel="0" collapsed="false">
      <c r="A17" s="195"/>
      <c r="B17" s="195" t="s">
        <v>314</v>
      </c>
      <c r="C17" s="200" t="n">
        <f aca="false">SUM('Profit &amp; Loss Account'!C25:E26)</f>
        <v>2031.875</v>
      </c>
      <c r="D17" s="200" t="n">
        <f aca="false">SUM('Profit &amp; Loss Account'!F25:H26)</f>
        <v>1848.75</v>
      </c>
      <c r="E17" s="200" t="n">
        <f aca="false">SUM('Profit &amp; Loss Account'!I25:K26)</f>
        <v>1944.375</v>
      </c>
      <c r="F17" s="200" t="n">
        <f aca="false">SUM('Profit &amp; Loss Account'!L25:N26)</f>
        <v>2056.875</v>
      </c>
      <c r="G17" s="200" t="n">
        <f aca="false">SUM(C17:F17)</f>
        <v>7881.875</v>
      </c>
      <c r="H17" s="195"/>
      <c r="I17" s="195"/>
    </row>
    <row r="18" customFormat="false" ht="12.75" hidden="false" customHeight="false" outlineLevel="0" collapsed="false">
      <c r="A18" s="195"/>
      <c r="B18" s="195" t="s">
        <v>315</v>
      </c>
      <c r="C18" s="200" t="n">
        <f aca="false">SUM('Profit &amp; Loss Account'!C27:E27)</f>
        <v>500</v>
      </c>
      <c r="D18" s="200" t="n">
        <f aca="false">SUM('Profit &amp; Loss Account'!F27:H27)</f>
        <v>400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3800</v>
      </c>
      <c r="H18" s="195"/>
      <c r="I18" s="195"/>
    </row>
    <row r="19" customFormat="false" ht="12.75" hidden="false" customHeight="false" outlineLevel="0" collapsed="false">
      <c r="A19" s="195"/>
      <c r="B19" s="195" t="s">
        <v>316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317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318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319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320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321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322</v>
      </c>
      <c r="I25" s="195"/>
    </row>
    <row r="26" customFormat="false" ht="13.5" hidden="false" customHeight="true" outlineLevel="0" collapsed="false">
      <c r="A26" s="195"/>
      <c r="B26" s="195" t="s">
        <v>289</v>
      </c>
      <c r="C26" s="200" t="n">
        <f aca="false">SUM('Profit &amp; Loss Account'!C33:E34)</f>
        <v>2978</v>
      </c>
      <c r="D26" s="200" t="n">
        <f aca="false">SUM('Profit &amp; Loss Account'!F33:H34)</f>
        <v>2978</v>
      </c>
      <c r="E26" s="200" t="n">
        <f aca="false">SUM('Profit &amp; Loss Account'!I33:K34)</f>
        <v>2978</v>
      </c>
      <c r="F26" s="200" t="n">
        <f aca="false">SUM('Profit &amp; Loss Account'!L33:N34)</f>
        <v>2978</v>
      </c>
      <c r="G26" s="200" t="n">
        <f aca="false">SUM(C26:F26)</f>
        <v>11912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323</v>
      </c>
      <c r="C29" s="203" t="n">
        <f aca="false">SUM(C7,C12,C13,C14,C15,C16,C17,C18,C19,C20,C21,C22,C24,C25,C26)</f>
        <v>40847.975</v>
      </c>
      <c r="D29" s="203" t="n">
        <f aca="false">SUM(D7,D12,D13,D14,D15,D16,D17,D18,D19,D20,D21,D22,D24,D25,D26)</f>
        <v>39527.85</v>
      </c>
      <c r="E29" s="203" t="n">
        <f aca="false">SUM(E7,E12,E13,E14,E15,E16,E17,E18,E19,E20,E21,E22,E24,E25,E26)</f>
        <v>44624.975</v>
      </c>
      <c r="F29" s="203" t="n">
        <f aca="false">SUM(F7,F12,F13,F14,F15,F16,F17,F18,F19,F20,F21,F22,F24,F25,F26)</f>
        <v>35307.1416666667</v>
      </c>
      <c r="G29" s="203" t="n">
        <f aca="false">SUM(G7,G12,G13,G14,G15,G16,G17,G18,G19,G20,G21,G22,G24,G25,G26)</f>
        <v>160307.941666667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128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307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322</v>
      </c>
      <c r="I36" s="195"/>
    </row>
    <row r="37" customFormat="false" ht="13.5" hidden="false" customHeight="true" outlineLevel="0" collapsed="false">
      <c r="A37" s="195"/>
      <c r="B37" s="195" t="s">
        <v>320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322</v>
      </c>
      <c r="I37" s="195"/>
    </row>
    <row r="38" customFormat="false" ht="12.75" hidden="false" customHeight="false" outlineLevel="0" collapsed="false">
      <c r="A38" s="195"/>
      <c r="B38" s="195" t="s">
        <v>309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322</v>
      </c>
      <c r="I38" s="195"/>
    </row>
    <row r="39" customFormat="false" ht="13.5" hidden="false" customHeight="true" outlineLevel="0" collapsed="false">
      <c r="A39" s="195"/>
      <c r="B39" s="195" t="s">
        <v>324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322</v>
      </c>
      <c r="I39" s="195"/>
    </row>
    <row r="40" customFormat="false" ht="12.75" hidden="false" customHeight="false" outlineLevel="0" collapsed="false">
      <c r="A40" s="195"/>
      <c r="B40" s="195" t="s">
        <v>310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322</v>
      </c>
      <c r="I40" s="195"/>
    </row>
    <row r="41" customFormat="false" ht="12.75" hidden="false" customHeight="false" outlineLevel="0" collapsed="false">
      <c r="A41" s="195"/>
      <c r="B41" s="195" t="s">
        <v>311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322</v>
      </c>
      <c r="I41" s="195"/>
    </row>
    <row r="42" customFormat="false" ht="12.75" hidden="false" customHeight="false" outlineLevel="0" collapsed="false">
      <c r="A42" s="195"/>
      <c r="B42" s="195" t="s">
        <v>312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322</v>
      </c>
      <c r="I42" s="195"/>
    </row>
    <row r="43" customFormat="false" ht="12.75" hidden="false" customHeight="false" outlineLevel="0" collapsed="false">
      <c r="A43" s="195"/>
      <c r="B43" s="195" t="s">
        <v>315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322</v>
      </c>
      <c r="I43" s="195"/>
    </row>
    <row r="44" customFormat="false" ht="12.75" hidden="false" customHeight="false" outlineLevel="0" collapsed="false">
      <c r="A44" s="195"/>
      <c r="B44" s="195" t="s">
        <v>321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322</v>
      </c>
      <c r="I44" s="195"/>
    </row>
    <row r="45" customFormat="false" ht="12.75" hidden="false" customHeight="false" outlineLevel="0" collapsed="false">
      <c r="A45" s="195"/>
      <c r="B45" s="195" t="s">
        <v>318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322</v>
      </c>
      <c r="I45" s="195"/>
    </row>
    <row r="46" customFormat="false" ht="12.75" hidden="false" customHeight="false" outlineLevel="0" collapsed="false">
      <c r="A46" s="195"/>
      <c r="B46" s="195" t="s">
        <v>325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322</v>
      </c>
      <c r="I46" s="195"/>
    </row>
    <row r="47" customFormat="false" ht="12.75" hidden="false" customHeight="false" outlineLevel="0" collapsed="false">
      <c r="A47" s="195"/>
      <c r="B47" s="195" t="s">
        <v>326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322</v>
      </c>
      <c r="I47" s="195"/>
    </row>
    <row r="48" customFormat="false" ht="12.75" hidden="false" customHeight="false" outlineLevel="0" collapsed="false">
      <c r="A48" s="195"/>
      <c r="B48" s="195" t="s">
        <v>316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322</v>
      </c>
      <c r="I48" s="195"/>
    </row>
    <row r="49" customFormat="false" ht="12.75" hidden="false" customHeight="false" outlineLevel="0" collapsed="false">
      <c r="A49" s="195"/>
      <c r="B49" s="195" t="s">
        <v>289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319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322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327</v>
      </c>
      <c r="C2" s="216" t="str">
        <f aca="false">Admin!L2</f>
        <v>2026-27</v>
      </c>
      <c r="D2" s="217" t="s">
        <v>328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329</v>
      </c>
      <c r="C5" s="222"/>
      <c r="D5" s="222"/>
      <c r="E5" s="223" t="n">
        <f aca="false">'SE Full'!O210</f>
        <v>148715.391666666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330</v>
      </c>
      <c r="C6" s="220" t="str">
        <f aca="false">C2</f>
        <v>2026-27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331</v>
      </c>
      <c r="C7" s="222"/>
      <c r="D7" s="222"/>
      <c r="E7" s="223" t="n">
        <f aca="false">IF((E5&gt;E6),(E5-E6),0)</f>
        <v>136145.391666666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332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7540.2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333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39377.7566666665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334</v>
      </c>
      <c r="C10" s="229"/>
      <c r="D10" s="230"/>
      <c r="E10" s="231" t="n">
        <f aca="false">SUM(E8:E9)</f>
        <v>46917.9566666665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335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336</v>
      </c>
      <c r="C13" s="236" t="n">
        <f aca="false">Admin!B21</f>
        <v>46783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337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338</v>
      </c>
      <c r="C16" s="239"/>
      <c r="D16" s="226" t="n">
        <f aca="false">Admin!L23</f>
        <v>0.02</v>
      </c>
      <c r="E16" s="240" t="n">
        <f aca="false">IF((E5&gt;Admin!N$23),((E5-Admin!N$23)*D16),0)</f>
        <v>1968.90783333333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339</v>
      </c>
      <c r="C18" s="241"/>
      <c r="D18" s="237"/>
      <c r="E18" s="231" t="n">
        <f aca="false">SUM(E10:E17)</f>
        <v>51148.8644999998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340</v>
      </c>
      <c r="C21" s="243"/>
      <c r="D21" s="244" t="s">
        <v>341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342</v>
      </c>
      <c r="E23" s="247" t="s">
        <v>343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344</v>
      </c>
      <c r="C25" s="250" t="str">
        <f aca="false">Admin!B24</f>
        <v>2027-28</v>
      </c>
      <c r="D25" s="251" t="s">
        <v>345</v>
      </c>
      <c r="E25" s="240" t="n">
        <f aca="false">E18</f>
        <v>51148.8644999998</v>
      </c>
      <c r="F25" s="214"/>
      <c r="G25" s="218"/>
    </row>
    <row r="26" customFormat="false" ht="12.75" hidden="false" customHeight="false" outlineLevel="0" collapsed="false">
      <c r="A26" s="211"/>
      <c r="B26" s="220" t="s">
        <v>346</v>
      </c>
      <c r="C26" s="220"/>
      <c r="D26" s="252" t="n">
        <f aca="false">Admin!B21</f>
        <v>46783</v>
      </c>
      <c r="E26" s="223" t="n">
        <f aca="false">E25/2</f>
        <v>25574.4322499999</v>
      </c>
      <c r="F26" s="214"/>
      <c r="G26" s="218"/>
    </row>
    <row r="27" customFormat="false" ht="12.75" hidden="false" customHeight="false" outlineLevel="0" collapsed="false">
      <c r="A27" s="211"/>
      <c r="B27" s="220" t="s">
        <v>346</v>
      </c>
      <c r="C27" s="220"/>
      <c r="D27" s="252" t="n">
        <f aca="false">Admin!B22</f>
        <v>46965</v>
      </c>
      <c r="E27" s="223" t="n">
        <f aca="false">E25/2</f>
        <v>25574.4322499999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347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348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349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350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351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352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353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354</v>
      </c>
      <c r="C2" s="269" t="s">
        <v>355</v>
      </c>
      <c r="D2" s="269" t="s">
        <v>356</v>
      </c>
      <c r="E2" s="269" t="s">
        <v>357</v>
      </c>
      <c r="F2" s="269" t="s">
        <v>358</v>
      </c>
      <c r="G2" s="269" t="s">
        <v>359</v>
      </c>
      <c r="H2" s="269" t="s">
        <v>360</v>
      </c>
      <c r="I2" s="269" t="s">
        <v>361</v>
      </c>
      <c r="J2" s="270"/>
      <c r="K2" s="268" t="s">
        <v>362</v>
      </c>
      <c r="L2" s="271"/>
    </row>
    <row r="3" s="272" customFormat="true" ht="15" hidden="false" customHeight="true" outlineLevel="0" collapsed="false">
      <c r="A3" s="267"/>
      <c r="B3" s="273" t="s">
        <v>363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364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365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366</v>
      </c>
      <c r="I1" s="288"/>
      <c r="J1" s="288"/>
      <c r="K1" s="288"/>
      <c r="L1" s="288"/>
      <c r="M1" s="287"/>
      <c r="N1" s="288" t="s">
        <v>366</v>
      </c>
      <c r="O1" s="288"/>
      <c r="P1" s="288"/>
      <c r="Q1" s="288"/>
      <c r="R1" s="288"/>
      <c r="S1" s="287"/>
      <c r="T1" s="288" t="s">
        <v>366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367</v>
      </c>
      <c r="C2" s="294"/>
      <c r="D2" s="295" t="s">
        <v>368</v>
      </c>
      <c r="E2" s="296"/>
      <c r="F2" s="295" t="s">
        <v>369</v>
      </c>
      <c r="G2" s="296"/>
      <c r="H2" s="297" t="s">
        <v>370</v>
      </c>
      <c r="I2" s="296"/>
      <c r="J2" s="295" t="s">
        <v>371</v>
      </c>
      <c r="K2" s="296"/>
      <c r="L2" s="295" t="s">
        <v>372</v>
      </c>
      <c r="M2" s="296"/>
      <c r="N2" s="297" t="s">
        <v>373</v>
      </c>
      <c r="O2" s="296"/>
      <c r="P2" s="295" t="s">
        <v>374</v>
      </c>
      <c r="Q2" s="296"/>
      <c r="R2" s="295" t="s">
        <v>372</v>
      </c>
      <c r="S2" s="296"/>
      <c r="T2" s="297" t="s">
        <v>375</v>
      </c>
      <c r="U2" s="296"/>
      <c r="V2" s="295" t="s">
        <v>376</v>
      </c>
      <c r="W2" s="296"/>
      <c r="X2" s="298" t="s">
        <v>372</v>
      </c>
      <c r="Y2" s="299"/>
      <c r="Z2" s="295" t="s">
        <v>377</v>
      </c>
      <c r="AA2" s="296"/>
      <c r="AB2" s="295" t="s">
        <v>378</v>
      </c>
      <c r="AC2" s="300"/>
      <c r="AD2" s="301" t="s">
        <v>379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380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381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382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383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384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385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386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387</v>
      </c>
      <c r="C2" s="161" t="s">
        <v>262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s="176" customFormat="true" ht="12" hidden="false" customHeight="false" outlineLevel="0" collapsed="false">
      <c r="A5" s="178"/>
      <c r="B5" s="332" t="s">
        <v>267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388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273</v>
      </c>
      <c r="C9" s="170" t="n">
        <f aca="false">SUM(D9:O9)</f>
        <v>16136.6666666667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457.5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274</v>
      </c>
      <c r="C11" s="170" t="n">
        <f aca="false">SUM(D11:O11)</f>
        <v>325146.666666666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25375.8333333333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389</v>
      </c>
      <c r="C13" s="170" t="n">
        <f aca="false">SUM(D13:O13)</f>
        <v>144171.275</v>
      </c>
      <c r="D13" s="170" t="n">
        <f aca="false">'Profit &amp; Loss Account'!C35</f>
        <v>11839.7416666667</v>
      </c>
      <c r="E13" s="170" t="n">
        <f aca="false">'Profit &amp; Loss Account'!D35</f>
        <v>11147.8666666667</v>
      </c>
      <c r="F13" s="170" t="n">
        <f aca="false">'Profit &amp; Loss Account'!E35</f>
        <v>11411.2</v>
      </c>
      <c r="G13" s="170" t="n">
        <f aca="false">'Profit &amp; Loss Account'!F35</f>
        <v>13659.7416666667</v>
      </c>
      <c r="H13" s="170" t="n">
        <f aca="false">'Profit &amp; Loss Account'!G35</f>
        <v>11301.4083333333</v>
      </c>
      <c r="I13" s="170" t="n">
        <f aca="false">'Profit &amp; Loss Account'!H35</f>
        <v>11964.2</v>
      </c>
      <c r="J13" s="170" t="n">
        <f aca="false">'Profit &amp; Loss Account'!I35</f>
        <v>13518.4916666667</v>
      </c>
      <c r="K13" s="170" t="n">
        <f aca="false">'Profit &amp; Loss Account'!J35</f>
        <v>10700.3666666667</v>
      </c>
      <c r="L13" s="170" t="n">
        <f aca="false">'Profit &amp; Loss Account'!K35</f>
        <v>15723.6166666667</v>
      </c>
      <c r="M13" s="170" t="n">
        <f aca="false">'Profit &amp; Loss Account'!L35</f>
        <v>11219.7416666667</v>
      </c>
      <c r="N13" s="170" t="n">
        <f aca="false">'Profit &amp; Loss Account'!M35</f>
        <v>10894.1166666667</v>
      </c>
      <c r="O13" s="170" t="n">
        <f aca="false">'Profit &amp; Loss Account'!N35</f>
        <v>10790.7833333333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290</v>
      </c>
      <c r="C15" s="170" t="n">
        <f aca="false">SUM(D15:O15)</f>
        <v>180975.391666666</v>
      </c>
      <c r="D15" s="170" t="n">
        <f aca="false">D11-D13</f>
        <v>15256.0916666666</v>
      </c>
      <c r="E15" s="170" t="n">
        <f aca="false">E11-E13</f>
        <v>15277.9666666666</v>
      </c>
      <c r="F15" s="170" t="n">
        <f aca="false">F11-F13</f>
        <v>13217.9666666666</v>
      </c>
      <c r="G15" s="170" t="n">
        <f aca="false">G11-G13</f>
        <v>13266.0916666666</v>
      </c>
      <c r="H15" s="170" t="n">
        <f aca="false">H11-H13</f>
        <v>18027.7583333333</v>
      </c>
      <c r="I15" s="170" t="n">
        <f aca="false">I11-I13</f>
        <v>15461.6333333333</v>
      </c>
      <c r="J15" s="170" t="n">
        <f aca="false">J11-J13</f>
        <v>15477.3416666666</v>
      </c>
      <c r="K15" s="170" t="n">
        <f aca="false">K11-K13</f>
        <v>15325.4666666666</v>
      </c>
      <c r="L15" s="170" t="n">
        <f aca="false">L11-L13</f>
        <v>10972.2166666666</v>
      </c>
      <c r="M15" s="170" t="n">
        <f aca="false">M11-M13</f>
        <v>17456.0916666666</v>
      </c>
      <c r="N15" s="170" t="n">
        <f aca="false">N11-N13</f>
        <v>16651.7166666666</v>
      </c>
      <c r="O15" s="170" t="n">
        <f aca="false">O11-O13</f>
        <v>14585.05</v>
      </c>
      <c r="P15" s="158"/>
    </row>
    <row r="16" customFormat="false" ht="12" hidden="false" customHeight="false" outlineLevel="0" collapsed="false">
      <c r="A16" s="158"/>
      <c r="B16" s="334" t="s">
        <v>291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292</v>
      </c>
      <c r="C17" s="170" t="n">
        <f aca="false">SUM(D17:O17)</f>
        <v>180975.391666666</v>
      </c>
      <c r="D17" s="170" t="n">
        <f aca="false">D15+D16</f>
        <v>15256.0916666666</v>
      </c>
      <c r="E17" s="170" t="n">
        <f aca="false">E15+E16</f>
        <v>15277.9666666666</v>
      </c>
      <c r="F17" s="170" t="n">
        <f aca="false">F15+F16</f>
        <v>13217.9666666666</v>
      </c>
      <c r="G17" s="170" t="n">
        <f aca="false">G15+G16</f>
        <v>13266.0916666666</v>
      </c>
      <c r="H17" s="170" t="n">
        <f aca="false">H15+H16</f>
        <v>18027.7583333333</v>
      </c>
      <c r="I17" s="170" t="n">
        <f aca="false">I15+I16</f>
        <v>15461.6333333333</v>
      </c>
      <c r="J17" s="170" t="n">
        <f aca="false">J15+J16</f>
        <v>15477.3416666666</v>
      </c>
      <c r="K17" s="170" t="n">
        <f aca="false">K15+K16</f>
        <v>15325.4666666666</v>
      </c>
      <c r="L17" s="170" t="n">
        <f aca="false">L15+L16</f>
        <v>10972.2166666666</v>
      </c>
      <c r="M17" s="170" t="n">
        <f aca="false">M15+M16</f>
        <v>17456.0916666666</v>
      </c>
      <c r="N17" s="170" t="n">
        <f aca="false">N15+N16</f>
        <v>16651.7166666666</v>
      </c>
      <c r="O17" s="170" t="n">
        <f aca="false">O15+O16</f>
        <v>14585.05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390</v>
      </c>
      <c r="C19" s="161" t="s">
        <v>262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267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388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273</v>
      </c>
      <c r="C26" s="170" t="n">
        <f aca="false">SUM(D26:O26)</f>
        <v>16136.6666666667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457.5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274</v>
      </c>
      <c r="C28" s="170" t="n">
        <f aca="false">SUM(D28:O28)</f>
        <v>325146.666666666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25375.8333333333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389</v>
      </c>
      <c r="C30" s="170" t="n">
        <f aca="false">SUM(D30:O30)</f>
        <v>144171.275</v>
      </c>
      <c r="D30" s="170" t="n">
        <f aca="false">IF(C5&gt;0,IF(D5&gt;0,D13,C13/C21),0)</f>
        <v>11839.7416666667</v>
      </c>
      <c r="E30" s="170" t="n">
        <f aca="false">IF(C5&gt;0,IF(E5&gt;0,E13,C13/C21),0)</f>
        <v>11147.8666666667</v>
      </c>
      <c r="F30" s="170" t="n">
        <f aca="false">IF(C5&gt;0,IF(F5&gt;0,F13,C13/C21),0)</f>
        <v>11411.2</v>
      </c>
      <c r="G30" s="170" t="n">
        <f aca="false">IF(C5&gt;0,IF(G5&gt;0,G13,C13/C21),0)</f>
        <v>13659.7416666667</v>
      </c>
      <c r="H30" s="170" t="n">
        <f aca="false">IF(C5&gt;0,IF(H5&gt;0,H13,C13/C21),0)</f>
        <v>11301.4083333333</v>
      </c>
      <c r="I30" s="170" t="n">
        <f aca="false">IF(C5&gt;0,IF(I5&gt;0,I13,C13/C21),0)</f>
        <v>11964.2</v>
      </c>
      <c r="J30" s="170" t="n">
        <f aca="false">IF(C5&gt;0,IF(J5&gt;0,J13,C13/C21),0)</f>
        <v>13518.4916666667</v>
      </c>
      <c r="K30" s="170" t="n">
        <f aca="false">IF(C5&gt;0,IF(K5&gt;0,K13,C13/C21),0)</f>
        <v>10700.3666666667</v>
      </c>
      <c r="L30" s="170" t="n">
        <f aca="false">IF(C5&gt;0,IF(L5&gt;0,L13,C13/C21),0)</f>
        <v>15723.6166666667</v>
      </c>
      <c r="M30" s="170" t="n">
        <f aca="false">IF(C5&gt;0,IF(M5&gt;0,M13,C13/C21),0)</f>
        <v>11219.7416666667</v>
      </c>
      <c r="N30" s="170" t="n">
        <f aca="false">IF(C5&gt;0,IF(N5&gt;0,N13,C13/C21),0)</f>
        <v>10894.1166666667</v>
      </c>
      <c r="O30" s="170" t="n">
        <f aca="false">IF(C5&gt;0,IF(O5&gt;0,O13,C13/C21),0)</f>
        <v>10790.7833333333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290</v>
      </c>
      <c r="C32" s="170" t="n">
        <f aca="false">SUM(D32:O32)</f>
        <v>180975.391666666</v>
      </c>
      <c r="D32" s="170" t="n">
        <f aca="false">D28-D30</f>
        <v>15256.0916666666</v>
      </c>
      <c r="E32" s="170" t="n">
        <f aca="false">E28-E30</f>
        <v>15277.9666666666</v>
      </c>
      <c r="F32" s="170" t="n">
        <f aca="false">F28-F30</f>
        <v>13217.9666666666</v>
      </c>
      <c r="G32" s="170" t="n">
        <f aca="false">G28-G30</f>
        <v>13266.0916666666</v>
      </c>
      <c r="H32" s="170" t="n">
        <f aca="false">H28-H30</f>
        <v>18027.7583333333</v>
      </c>
      <c r="I32" s="170" t="n">
        <f aca="false">I28-I30</f>
        <v>15461.6333333333</v>
      </c>
      <c r="J32" s="170" t="n">
        <f aca="false">J28-J30</f>
        <v>15477.3416666666</v>
      </c>
      <c r="K32" s="170" t="n">
        <f aca="false">K28-K30</f>
        <v>15325.4666666666</v>
      </c>
      <c r="L32" s="170" t="n">
        <f aca="false">L28-L30</f>
        <v>10972.2166666666</v>
      </c>
      <c r="M32" s="170" t="n">
        <f aca="false">M28-M30</f>
        <v>17456.0916666666</v>
      </c>
      <c r="N32" s="170" t="n">
        <f aca="false">N28-N30</f>
        <v>16651.7166666666</v>
      </c>
      <c r="O32" s="170" t="n">
        <f aca="false">O28-O30</f>
        <v>14585.05</v>
      </c>
      <c r="P32" s="158"/>
    </row>
    <row r="33" customFormat="false" ht="12" hidden="false" customHeight="false" outlineLevel="0" collapsed="false">
      <c r="A33" s="158"/>
      <c r="B33" s="334" t="s">
        <v>291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292</v>
      </c>
      <c r="C34" s="170" t="n">
        <f aca="false">SUM(D34:O34)</f>
        <v>180975.391666666</v>
      </c>
      <c r="D34" s="170" t="n">
        <f aca="false">D32+D33</f>
        <v>15256.0916666666</v>
      </c>
      <c r="E34" s="170" t="n">
        <f aca="false">E32+E33</f>
        <v>15277.9666666666</v>
      </c>
      <c r="F34" s="170" t="n">
        <f aca="false">F32+F33</f>
        <v>13217.9666666666</v>
      </c>
      <c r="G34" s="170" t="n">
        <f aca="false">G32+G33</f>
        <v>13266.0916666666</v>
      </c>
      <c r="H34" s="170" t="n">
        <f aca="false">H32+H33</f>
        <v>18027.7583333333</v>
      </c>
      <c r="I34" s="170" t="n">
        <f aca="false">I32+I33</f>
        <v>15461.6333333333</v>
      </c>
      <c r="J34" s="170" t="n">
        <f aca="false">J32+J33</f>
        <v>15477.3416666666</v>
      </c>
      <c r="K34" s="170" t="n">
        <f aca="false">K32+K33</f>
        <v>15325.4666666666</v>
      </c>
      <c r="L34" s="170" t="n">
        <f aca="false">L32+L33</f>
        <v>10972.2166666666</v>
      </c>
      <c r="M34" s="170" t="n">
        <f aca="false">M32+M33</f>
        <v>17456.0916666666</v>
      </c>
      <c r="N34" s="170" t="n">
        <f aca="false">N32+N33</f>
        <v>16651.7166666666</v>
      </c>
      <c r="O34" s="170" t="n">
        <f aca="false">O32+O33</f>
        <v>14585.05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391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392</v>
      </c>
      <c r="C37" s="339" t="n">
        <f aca="false">'Profit &amp; Loss Account'!B33+'Profit &amp; Loss Account'!B34</f>
        <v>11912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393</v>
      </c>
      <c r="C38" s="339" t="n">
        <f aca="false">[1]Schedule!$Q$1+[1]Schedule!$R$1+[1]Schedule!$Y$1-[1]Schedule!$Z$1</f>
        <v>44000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394</v>
      </c>
      <c r="C39" s="339" t="n">
        <f aca="false">C34+C37-C38</f>
        <v>148887.391666666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395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396</v>
      </c>
      <c r="C41" s="339" t="n">
        <f aca="false">IF((C39&gt;C40),(C39-C40),0)</f>
        <v>136317.391666666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397</v>
      </c>
      <c r="C42" s="339" t="n">
        <f aca="false">IF((C41&gt;0),(IF((C41&lt;Admin!N$12),C41*Admin!N$6,Admin!N$12*Admin!N$6)),0)</f>
        <v>7540.2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398</v>
      </c>
      <c r="C43" s="339" t="n">
        <f aca="false">IF((C41&gt;Admin!N$12),((C41-Admin!N$12)*Admin!N$7),0)</f>
        <v>39446.5566666665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399</v>
      </c>
      <c r="C44" s="339" t="n">
        <f aca="false">IF((C41&gt;0),IF(C41&gt;Admin!N12,Admin!N12*Admin!L20+(C41-Admin!N12)*Admin!L23,C41*Admin!L$20),0)</f>
        <v>4234.38783333333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400</v>
      </c>
      <c r="C46" s="341" t="n">
        <f aca="false">C42+C43+C44</f>
        <v>51221.1444999998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401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402</v>
      </c>
      <c r="E2" s="348"/>
      <c r="F2" s="348"/>
      <c r="G2" s="349" t="str">
        <f aca="false">B23</f>
        <v>2026-27</v>
      </c>
      <c r="H2" s="63"/>
      <c r="I2" s="63"/>
      <c r="J2" s="350" t="s">
        <v>403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82</v>
      </c>
      <c r="E4" s="355"/>
      <c r="F4" s="355"/>
      <c r="G4" s="356" t="n">
        <v>1</v>
      </c>
      <c r="H4" s="63"/>
      <c r="I4" s="355" t="s">
        <v>404</v>
      </c>
      <c r="J4" s="355"/>
      <c r="K4" s="355"/>
      <c r="L4" s="355"/>
      <c r="M4" s="355"/>
      <c r="N4" s="357" t="n">
        <v>12570</v>
      </c>
      <c r="O4" s="352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405</v>
      </c>
      <c r="E5" s="355"/>
      <c r="F5" s="355"/>
      <c r="G5" s="356" t="n">
        <v>0.14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406</v>
      </c>
      <c r="J6" s="355"/>
      <c r="K6" s="355"/>
      <c r="L6" s="355"/>
      <c r="M6" s="355"/>
      <c r="N6" s="356" t="n">
        <v>0.2</v>
      </c>
      <c r="O6" s="352" t="s">
        <v>407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408</v>
      </c>
      <c r="E7" s="355"/>
      <c r="F7" s="355"/>
      <c r="G7" s="352"/>
      <c r="H7" s="63"/>
      <c r="I7" s="355" t="s">
        <v>409</v>
      </c>
      <c r="J7" s="355"/>
      <c r="K7" s="355"/>
      <c r="L7" s="355"/>
      <c r="M7" s="355"/>
      <c r="N7" s="356" t="n">
        <v>0.4</v>
      </c>
      <c r="O7" s="352" t="s">
        <v>407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410</v>
      </c>
      <c r="E8" s="358" t="n">
        <v>12000</v>
      </c>
      <c r="F8" s="63" t="s">
        <v>411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412</v>
      </c>
      <c r="J9" s="355"/>
      <c r="K9" s="355"/>
      <c r="L9" s="359" t="s">
        <v>413</v>
      </c>
      <c r="M9" s="359" t="s">
        <v>414</v>
      </c>
      <c r="N9" s="360" t="s">
        <v>415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416</v>
      </c>
      <c r="E11" s="348"/>
      <c r="F11" s="348"/>
      <c r="G11" s="352" t="s">
        <v>407</v>
      </c>
      <c r="H11" s="63"/>
      <c r="I11" s="63" t="s">
        <v>417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418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419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420</v>
      </c>
      <c r="E14" s="355"/>
      <c r="F14" s="355"/>
      <c r="G14" s="356" t="n">
        <v>0.1</v>
      </c>
      <c r="H14" s="63"/>
      <c r="I14" s="348" t="s">
        <v>421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422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423</v>
      </c>
      <c r="E16" s="355"/>
      <c r="F16" s="355"/>
      <c r="G16" s="356" t="n">
        <v>0.33</v>
      </c>
      <c r="H16" s="63"/>
      <c r="I16" s="355" t="s">
        <v>424</v>
      </c>
      <c r="J16" s="355"/>
      <c r="K16" s="355"/>
      <c r="L16" s="362" t="n">
        <v>0</v>
      </c>
      <c r="M16" s="63" t="s">
        <v>425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426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427</v>
      </c>
      <c r="E19" s="348"/>
      <c r="F19" s="352" t="s">
        <v>428</v>
      </c>
      <c r="G19" s="352" t="s">
        <v>429</v>
      </c>
      <c r="H19" s="63"/>
      <c r="I19" s="364" t="s">
        <v>430</v>
      </c>
      <c r="J19" s="364"/>
      <c r="K19" s="364"/>
      <c r="L19" s="63"/>
      <c r="M19" s="365" t="s">
        <v>431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432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433</v>
      </c>
      <c r="E22" s="63"/>
      <c r="F22" s="358" t="n">
        <v>10001</v>
      </c>
      <c r="G22" s="362" t="n">
        <v>0.25</v>
      </c>
      <c r="H22" s="63"/>
      <c r="I22" s="364" t="s">
        <v>434</v>
      </c>
      <c r="J22" s="364"/>
      <c r="K22" s="364"/>
      <c r="L22" s="63"/>
      <c r="M22" s="365" t="s">
        <v>435</v>
      </c>
      <c r="N22" s="63"/>
      <c r="O22" s="63"/>
    </row>
    <row r="23" customFormat="false" ht="12" hidden="false" customHeight="true" outlineLevel="0" collapsed="false">
      <c r="A23" s="63"/>
      <c r="B23" s="354" t="s">
        <v>436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33</v>
      </c>
    </row>
    <row r="24" customFormat="false" ht="12" hidden="false" customHeight="true" outlineLevel="0" collapsed="false">
      <c r="A24" s="63"/>
      <c r="B24" s="354" t="s">
        <v>437</v>
      </c>
      <c r="C24" s="63"/>
      <c r="D24" s="348" t="s">
        <v>427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438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439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