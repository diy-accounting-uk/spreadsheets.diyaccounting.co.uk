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<sst xmlns="http://schemas.openxmlformats.org/spreadsheetml/2006/main" count="800" uniqueCount="440">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</sst>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20865</v>
          </cell>
        </row>
        <row r="1">
          <cell r="Q1">
            <v>52500</v>
          </cell>
          <cell r="R1">
            <v>4144</v>
          </cell>
          <cell r="S1">
            <v>36316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  <row r="1">
          <cell r="AE1">
            <v>784</v>
          </cell>
          <cell r="AF1">
            <v>0</v>
          </cell>
          <cell r="AG1">
            <v>7216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12824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IF(([1]Schedule!$R$1+[1]Schedule!$S$1-[1]Schedule!$AE$1-[1]Schedule!$AF$1-[1]Schedule!$AG$1)&lt;1000,[1]Schedule!$S$1-[1]Schedule!$AG$1,0)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127785.475166666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129868.8085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21037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20865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176926.983333333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30196.4585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162273.016666666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84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1" t="n">
        <f aca="false">Admin!G5</f>
        <v>0.14</v>
      </c>
      <c r="H141" s="131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4144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IF(([1]Schedule!$R$1+[1]Schedule!$S$1-[1]Schedule!$AE$1-[1]Schedule!$AF$1-[1]Schedule!$AG$1)&lt;1000,[1]Schedule!$S$1-[1]Schedule!$AG$1,0)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163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69624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v>2500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v>1800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69974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30836.4585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123135.475166666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190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196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MAX(0,O174-O179+N(D197)+D210+N(O190))</f>
        <v>123225.475166666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196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4"/>
      <c r="E201" s="134"/>
      <c r="F201" s="134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125308.8085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6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MAX(0,O179-O174-N(D197)-D210-N(O190))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214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245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254</v>
      </c>
      <c r="B2" s="161" t="s">
        <v>255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256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257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258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259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260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261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262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263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264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265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266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267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268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269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270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271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272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273</v>
      </c>
      <c r="B25" s="170" t="n">
        <f aca="false">SUM(C25:N25)</f>
        <v>6434.25</v>
      </c>
      <c r="C25" s="171" t="n">
        <f aca="false">[3]Apr!$W$1</f>
        <v>508.25</v>
      </c>
      <c r="D25" s="171" t="n">
        <f aca="false">[3]May!$W$1</f>
        <v>564</v>
      </c>
      <c r="E25" s="172" t="n">
        <f aca="false">[3]Jun!$W$1</f>
        <v>560</v>
      </c>
      <c r="F25" s="171" t="n">
        <f aca="false">[3]Jul!$W$1</f>
        <v>490.25</v>
      </c>
      <c r="G25" s="171" t="n">
        <f aca="false">[3]Aug!$W$1</f>
        <v>508.25</v>
      </c>
      <c r="H25" s="172" t="n">
        <f aca="false">[3]Sep!$W$1</f>
        <v>602</v>
      </c>
      <c r="I25" s="171" t="n">
        <f aca="false">[3]Oct!$W$1</f>
        <v>512.75</v>
      </c>
      <c r="J25" s="171" t="n">
        <f aca="false">[3]Nov!$W$1</f>
        <v>551</v>
      </c>
      <c r="K25" s="172" t="n">
        <f aca="false">[3]Dec!$W$1</f>
        <v>519.5</v>
      </c>
      <c r="L25" s="171" t="n">
        <f aca="false">[3]Jan!$W$1</f>
        <v>538.25</v>
      </c>
      <c r="M25" s="171" t="n">
        <f aca="false">[3]Feb!$W$1</f>
        <v>501.5</v>
      </c>
      <c r="N25" s="171" t="n">
        <f aca="false">[3]Mar!$W$1</f>
        <v>578.5</v>
      </c>
      <c r="O25" s="164"/>
    </row>
    <row r="26" customFormat="false" ht="12" hidden="false" customHeight="false" outlineLevel="0" collapsed="false">
      <c r="A26" s="182" t="s">
        <v>274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275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276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277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278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279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280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281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282</v>
      </c>
      <c r="B34" s="170" t="n">
        <f aca="false">SUM(C34:N34)</f>
        <v>20865</v>
      </c>
      <c r="C34" s="171" t="n">
        <f aca="false">([1]Schedule!$I$1)/12</f>
        <v>1738.75</v>
      </c>
      <c r="D34" s="171" t="n">
        <f aca="false">([1]Schedule!$I$1)/12</f>
        <v>1738.75</v>
      </c>
      <c r="E34" s="172" t="n">
        <f aca="false">([1]Schedule!$I$1)/12</f>
        <v>1738.75</v>
      </c>
      <c r="F34" s="171" t="n">
        <f aca="false">([1]Schedule!$I$1)/12</f>
        <v>1738.75</v>
      </c>
      <c r="G34" s="171" t="n">
        <f aca="false">([1]Schedule!$I$1)/12</f>
        <v>1738.75</v>
      </c>
      <c r="H34" s="172" t="n">
        <f aca="false">([1]Schedule!$I$1)/12</f>
        <v>1738.75</v>
      </c>
      <c r="I34" s="171" t="n">
        <f aca="false">([1]Schedule!$I$1)/12</f>
        <v>1738.75</v>
      </c>
      <c r="J34" s="171" t="n">
        <f aca="false">([1]Schedule!$I$1)/12</f>
        <v>1738.75</v>
      </c>
      <c r="K34" s="172" t="n">
        <f aca="false">([1]Schedule!$I$1)/12</f>
        <v>1738.75</v>
      </c>
      <c r="L34" s="171" t="n">
        <f aca="false">([1]Schedule!$I$1)/12</f>
        <v>1738.75</v>
      </c>
      <c r="M34" s="171" t="n">
        <f aca="false">([1]Schedule!$I$1)/12</f>
        <v>1738.75</v>
      </c>
      <c r="N34" s="171" t="n">
        <f aca="false">([1]Schedule!$I$1)/12</f>
        <v>1738.75</v>
      </c>
      <c r="O34" s="164"/>
    </row>
    <row r="35" customFormat="false" ht="12" hidden="false" customHeight="false" outlineLevel="0" collapsed="false">
      <c r="A35" s="173" t="s">
        <v>268</v>
      </c>
      <c r="B35" s="170" t="n">
        <f aca="false">SUM(B21:B34)</f>
        <v>156790.316666667</v>
      </c>
      <c r="C35" s="170" t="n">
        <f aca="false">SUM(C21:C34)</f>
        <v>12606.5333333333</v>
      </c>
      <c r="D35" s="170" t="n">
        <f aca="false">SUM(D21:D34)</f>
        <v>11917.2833333333</v>
      </c>
      <c r="E35" s="170" t="n">
        <f aca="false">SUM(E21:E34)</f>
        <v>14186.6166666667</v>
      </c>
      <c r="F35" s="174" t="n">
        <f aca="false">SUM(F21:F34)</f>
        <v>14423.5333333333</v>
      </c>
      <c r="G35" s="170" t="n">
        <f aca="false">SUM(G21:G34)</f>
        <v>12359.8666666667</v>
      </c>
      <c r="H35" s="170" t="n">
        <f aca="false">SUM(H21:H34)</f>
        <v>13836.6166666667</v>
      </c>
      <c r="I35" s="174" t="n">
        <f aca="false">SUM(I21:I34)</f>
        <v>14286.0333333333</v>
      </c>
      <c r="J35" s="170" t="n">
        <f aca="false">SUM(J21:J34)</f>
        <v>11474.2833333333</v>
      </c>
      <c r="K35" s="170" t="n">
        <f aca="false">SUM(K21:K34)</f>
        <v>16492.2833333333</v>
      </c>
      <c r="L35" s="174" t="n">
        <f aca="false">SUM(L21:L34)</f>
        <v>11986.5333333333</v>
      </c>
      <c r="M35" s="170" t="n">
        <f aca="false">SUM(M21:M34)</f>
        <v>11659.7833333333</v>
      </c>
      <c r="N35" s="170" t="n">
        <f aca="false">SUM(N21:N34)</f>
        <v>11560.95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283</v>
      </c>
      <c r="B37" s="170" t="n">
        <f aca="false">B19-B35</f>
        <v>164356.35</v>
      </c>
      <c r="C37" s="170" t="n">
        <f aca="false">C19-C35</f>
        <v>14489.3</v>
      </c>
      <c r="D37" s="170" t="n">
        <f aca="false">D19-D35</f>
        <v>14508.55</v>
      </c>
      <c r="E37" s="170" t="n">
        <f aca="false">E19-E35</f>
        <v>10442.55</v>
      </c>
      <c r="F37" s="174" t="n">
        <f aca="false">F19-F35</f>
        <v>12502.3</v>
      </c>
      <c r="G37" s="170" t="n">
        <f aca="false">G19-G35</f>
        <v>16969.3</v>
      </c>
      <c r="H37" s="170" t="n">
        <f aca="false">H19-H35</f>
        <v>13589.2166666666</v>
      </c>
      <c r="I37" s="174" t="n">
        <f aca="false">I19-I35</f>
        <v>14709.8</v>
      </c>
      <c r="J37" s="170" t="n">
        <f aca="false">J19-J35</f>
        <v>14551.55</v>
      </c>
      <c r="K37" s="170" t="n">
        <f aca="false">K19-K35</f>
        <v>10203.55</v>
      </c>
      <c r="L37" s="174" t="n">
        <f aca="false">L19-L35</f>
        <v>16689.3</v>
      </c>
      <c r="M37" s="170" t="n">
        <f aca="false">M19-M35</f>
        <v>15886.05</v>
      </c>
      <c r="N37" s="170" t="n">
        <f aca="false">N19-N35</f>
        <v>9814.8833333333</v>
      </c>
      <c r="O37" s="164"/>
    </row>
    <row r="38" customFormat="false" ht="12" hidden="false" customHeight="false" outlineLevel="0" collapsed="false">
      <c r="A38" s="169" t="s">
        <v>284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285</v>
      </c>
      <c r="B39" s="170" t="n">
        <f aca="false">B37+B38</f>
        <v>164356.35</v>
      </c>
      <c r="C39" s="170" t="n">
        <f aca="false">C37+C38</f>
        <v>14489.3</v>
      </c>
      <c r="D39" s="170" t="n">
        <f aca="false">D37+D38</f>
        <v>14508.55</v>
      </c>
      <c r="E39" s="170" t="n">
        <f aca="false">E37+E38</f>
        <v>10442.55</v>
      </c>
      <c r="F39" s="174" t="n">
        <f aca="false">F37+F38</f>
        <v>12502.3</v>
      </c>
      <c r="G39" s="170" t="n">
        <f aca="false">G37+G38</f>
        <v>16969.3</v>
      </c>
      <c r="H39" s="170" t="n">
        <f aca="false">H37+H38</f>
        <v>13589.2166666666</v>
      </c>
      <c r="I39" s="174" t="n">
        <f aca="false">I37+I38</f>
        <v>14709.8</v>
      </c>
      <c r="J39" s="170" t="n">
        <f aca="false">J37+J38</f>
        <v>14551.55</v>
      </c>
      <c r="K39" s="170" t="n">
        <f aca="false">K37+K38</f>
        <v>10203.55</v>
      </c>
      <c r="L39" s="174" t="n">
        <f aca="false">L37+L38</f>
        <v>16689.3</v>
      </c>
      <c r="M39" s="170" t="n">
        <f aca="false">M37+M38</f>
        <v>15886.05</v>
      </c>
      <c r="N39" s="170" t="n">
        <f aca="false">N37+N38</f>
        <v>9814.8833333333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286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287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288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289</v>
      </c>
      <c r="B44" s="177" t="n">
        <f aca="false">SUM(C44:N44)</f>
        <v>43131.5969999998</v>
      </c>
      <c r="C44" s="177" t="n">
        <f aca="false">IF(C9&gt;0,'Profit Forecast'!C$46/12,0)</f>
        <v>3594.29974999998</v>
      </c>
      <c r="D44" s="177" t="n">
        <f aca="false">IF(D9&gt;0,'Profit Forecast'!C$46/12,0)</f>
        <v>3594.29974999998</v>
      </c>
      <c r="E44" s="177" t="n">
        <f aca="false">IF(E9&gt;0,'Profit Forecast'!C$46/12,0)</f>
        <v>3594.29974999998</v>
      </c>
      <c r="F44" s="177" t="n">
        <f aca="false">IF(F9&gt;0,'Profit Forecast'!C$46/12,0)</f>
        <v>3594.29974999998</v>
      </c>
      <c r="G44" s="177" t="n">
        <f aca="false">IF(G9&gt;0,'Profit Forecast'!C$46/12,0)</f>
        <v>3594.29974999998</v>
      </c>
      <c r="H44" s="177" t="n">
        <f aca="false">IF(H9&gt;0,'Profit Forecast'!C$46/12,0)</f>
        <v>3594.29974999998</v>
      </c>
      <c r="I44" s="177" t="n">
        <f aca="false">IF(I9&gt;0,'Profit Forecast'!C$46/12,0)</f>
        <v>3594.29974999998</v>
      </c>
      <c r="J44" s="177" t="n">
        <f aca="false">IF(J9&gt;0,'Profit Forecast'!C$46/12,0)</f>
        <v>3594.29974999998</v>
      </c>
      <c r="K44" s="177" t="n">
        <f aca="false">IF(K9&gt;0,'Profit Forecast'!C$46/12,0)</f>
        <v>3594.29974999998</v>
      </c>
      <c r="L44" s="177" t="n">
        <f aca="false">IF(L9&gt;0,'Profit Forecast'!C$46/12,0)</f>
        <v>3594.29974999998</v>
      </c>
      <c r="M44" s="177" t="n">
        <f aca="false">IF(M9&gt;0,'Profit Forecast'!C$46/12,0)</f>
        <v>3594.29974999998</v>
      </c>
      <c r="N44" s="177" t="n">
        <f aca="false">IF(N9&gt;0,'Profit Forecast'!C$46/12,0)</f>
        <v>3594.29974999998</v>
      </c>
      <c r="O44" s="164"/>
    </row>
    <row r="45" customFormat="false" ht="12" hidden="false" customHeight="false" outlineLevel="0" collapsed="false">
      <c r="A45" s="188" t="s">
        <v>290</v>
      </c>
      <c r="B45" s="189" t="n">
        <f aca="false">SUM(C45:N45)</f>
        <v>94224.7529999998</v>
      </c>
      <c r="C45" s="190" t="n">
        <f aca="false">C39-C42-C44</f>
        <v>9895.00024999999</v>
      </c>
      <c r="D45" s="191" t="n">
        <f aca="false">D39-D42-D44</f>
        <v>9914.25024999999</v>
      </c>
      <c r="E45" s="191" t="n">
        <f aca="false">E39-E42-E44</f>
        <v>5848.25024999998</v>
      </c>
      <c r="F45" s="191" t="n">
        <f aca="false">F39-F42-F44</f>
        <v>4908.00024999999</v>
      </c>
      <c r="G45" s="191" t="n">
        <f aca="false">G39-G42-G44</f>
        <v>12375.00025</v>
      </c>
      <c r="H45" s="191" t="n">
        <f aca="false">H39-H42-H44</f>
        <v>8994.91691666666</v>
      </c>
      <c r="I45" s="191" t="n">
        <f aca="false">I39-I42-I44</f>
        <v>7115.50024999999</v>
      </c>
      <c r="J45" s="191" t="n">
        <f aca="false">J39-J42-J44</f>
        <v>9957.25024999999</v>
      </c>
      <c r="K45" s="191" t="n">
        <f aca="false">K39-K42-K44</f>
        <v>5609.25024999998</v>
      </c>
      <c r="L45" s="191" t="n">
        <f aca="false">L39-L42-L44</f>
        <v>9095.00024999999</v>
      </c>
      <c r="M45" s="191" t="n">
        <f aca="false">M39-M42-M44</f>
        <v>11291.75025</v>
      </c>
      <c r="N45" s="191" t="n">
        <f aca="false">N39-N42-N44</f>
        <v>-779.416416666681</v>
      </c>
      <c r="O45" s="164"/>
    </row>
    <row r="46" customFormat="false" ht="12" hidden="false" customHeight="false" outlineLevel="0" collapsed="false">
      <c r="A46" s="182" t="s">
        <v>239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291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292</v>
      </c>
      <c r="C2" s="197" t="s">
        <v>293</v>
      </c>
      <c r="D2" s="197" t="s">
        <v>294</v>
      </c>
      <c r="E2" s="197" t="s">
        <v>295</v>
      </c>
      <c r="F2" s="197" t="s">
        <v>296</v>
      </c>
      <c r="G2" s="197" t="s">
        <v>297</v>
      </c>
      <c r="H2" s="197" t="s">
        <v>298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299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300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301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302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303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304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305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306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307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308</v>
      </c>
      <c r="C17" s="200" t="n">
        <f aca="false">SUM('Profit &amp; Loss Account'!C25:E26)</f>
        <v>2062.25</v>
      </c>
      <c r="D17" s="200" t="n">
        <f aca="false">SUM('Profit &amp; Loss Account'!F25:H26)</f>
        <v>1870.5</v>
      </c>
      <c r="E17" s="200" t="n">
        <f aca="false">SUM('Profit &amp; Loss Account'!I25:K26)</f>
        <v>1973.25</v>
      </c>
      <c r="F17" s="200" t="n">
        <f aca="false">SUM('Profit &amp; Loss Account'!L25:N26)</f>
        <v>2078.25</v>
      </c>
      <c r="G17" s="200" t="n">
        <f aca="false">SUM(C17:F17)</f>
        <v>7984.25</v>
      </c>
      <c r="H17" s="195"/>
      <c r="I17" s="195"/>
    </row>
    <row r="18" customFormat="false" ht="12.75" hidden="false" customHeight="false" outlineLevel="0" collapsed="false">
      <c r="A18" s="195"/>
      <c r="B18" s="195" t="s">
        <v>309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310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311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312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313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314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315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282</v>
      </c>
      <c r="C26" s="200" t="n">
        <f aca="false">SUM('Profit &amp; Loss Account'!C33:E34)</f>
        <v>5259.25</v>
      </c>
      <c r="D26" s="200" t="n">
        <f aca="false">SUM('Profit &amp; Loss Account'!F33:H34)</f>
        <v>5259.25</v>
      </c>
      <c r="E26" s="200" t="n">
        <f aca="false">SUM('Profit &amp; Loss Account'!I33:K34)</f>
        <v>5259.25</v>
      </c>
      <c r="F26" s="200" t="n">
        <f aca="false">SUM('Profit &amp; Loss Account'!L33:N34)</f>
        <v>5259.25</v>
      </c>
      <c r="G26" s="200" t="n">
        <f aca="false">SUM(C26:F26)</f>
        <v>21037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316</v>
      </c>
      <c r="C29" s="203" t="n">
        <f aca="false">SUM(C7,C12,C13,C14,C15,C16,C17,C18,C19,C20,C21,C22,C24,C26)</f>
        <v>45159.6</v>
      </c>
      <c r="D29" s="203" t="n">
        <f aca="false">SUM(D7,D12,D13,D14,D15,D16,D17,D18,D19,D20,D21,D22,D24,D26)</f>
        <v>43222.5166666667</v>
      </c>
      <c r="E29" s="203" t="n">
        <f aca="false">SUM(E7,E12,E13,E14,E15,E16,E17,E18,E19,E20,E21,E22,E24,E26)</f>
        <v>46935.1</v>
      </c>
      <c r="F29" s="203" t="n">
        <f aca="false">SUM(F7,F12,F13,F14,F15,F16,F17,F18,F19,F20,F21,F22,F24,F26)</f>
        <v>41609.7666666667</v>
      </c>
      <c r="G29" s="203" t="n">
        <f aca="false">SUM(G7,G12,G13,G14,G15,G16,G17,G18,G19,G20,G21,G22,G24,G26)</f>
        <v>176926.983333333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133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301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317</v>
      </c>
      <c r="I36" s="195" t="n">
        <v>0.02</v>
      </c>
    </row>
    <row r="37" customFormat="false" ht="13.5" hidden="false" customHeight="true" outlineLevel="0" collapsed="false">
      <c r="A37" s="195"/>
      <c r="B37" s="195" t="s">
        <v>314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317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303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317</v>
      </c>
      <c r="I38" s="195" t="n">
        <v>0.04</v>
      </c>
    </row>
    <row r="39" customFormat="false" ht="13.5" hidden="false" customHeight="true" outlineLevel="0" collapsed="false">
      <c r="A39" s="195"/>
      <c r="B39" s="195" t="s">
        <v>318</v>
      </c>
      <c r="C39" s="200" t="n">
        <f aca="false">C17*$I$39</f>
        <v>515.5625</v>
      </c>
      <c r="D39" s="200" t="n">
        <f aca="false">D17*$I$39</f>
        <v>467.625</v>
      </c>
      <c r="E39" s="200" t="n">
        <f aca="false">E17*$I$39</f>
        <v>493.3125</v>
      </c>
      <c r="F39" s="200" t="n">
        <f aca="false">F17*$I$39</f>
        <v>519.5625</v>
      </c>
      <c r="G39" s="200" t="n">
        <f aca="false">SUM(C39:F39)</f>
        <v>1996.0625</v>
      </c>
      <c r="H39" s="195" t="s">
        <v>317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304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317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305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317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306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317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309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317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315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319</v>
      </c>
      <c r="I44" s="195"/>
    </row>
    <row r="45" customFormat="false" ht="12.75" hidden="false" customHeight="false" outlineLevel="0" collapsed="false">
      <c r="A45" s="195"/>
      <c r="B45" s="195" t="s">
        <v>312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317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320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317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321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317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310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317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282</v>
      </c>
      <c r="C49" s="200" t="n">
        <f aca="false">SUM('Profit &amp; Loss Account'!C34:E34)</f>
        <v>5216.25</v>
      </c>
      <c r="D49" s="200" t="n">
        <f aca="false">SUM('Profit &amp; Loss Account'!F34:H34)</f>
        <v>5216.25</v>
      </c>
      <c r="E49" s="200" t="n">
        <f aca="false">SUM('Profit &amp; Loss Account'!I34:K34)</f>
        <v>5216.25</v>
      </c>
      <c r="F49" s="200" t="n">
        <f aca="false">SUM('Profit &amp; Loss Account'!L34:N34)</f>
        <v>5216.25</v>
      </c>
      <c r="G49" s="200" t="n">
        <f aca="false">SUM(C49:F49)</f>
        <v>20865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313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317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323</v>
      </c>
      <c r="C2" s="216" t="str">
        <f aca="false">Admin!L2</f>
        <v>2026-27</v>
      </c>
      <c r="D2" s="217" t="s">
        <v>324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325</v>
      </c>
      <c r="C5" s="222"/>
      <c r="D5" s="222"/>
      <c r="E5" s="223" t="n">
        <f aca="false">'SE Full'!O210</f>
        <v>125308.8085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326</v>
      </c>
      <c r="C6" s="220" t="str">
        <f aca="false">C2</f>
        <v>2026-27</v>
      </c>
      <c r="D6" s="225"/>
      <c r="E6" s="218" t="n">
        <f aca="false">IF(E5&lt;=0,0,MAX(0,Admin!N$4-MAX(0,E5-Admin!N$5)/2))</f>
        <v>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327</v>
      </c>
      <c r="C7" s="222"/>
      <c r="D7" s="222"/>
      <c r="E7" s="223" t="n">
        <f aca="false">IF((E5&gt;E6),(E5-E6),0)</f>
        <v>125308.8085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328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329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34976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330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75.9638249998163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331</v>
      </c>
      <c r="C11" s="229"/>
      <c r="D11" s="230"/>
      <c r="E11" s="231" t="n">
        <f aca="false">SUM(E8:E10)</f>
        <v>42591.9638249998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332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333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334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335</v>
      </c>
      <c r="C16" s="239"/>
      <c r="D16" s="226" t="n">
        <f aca="false">Admin!L23</f>
        <v>0.02</v>
      </c>
      <c r="E16" s="240" t="n">
        <f aca="false">IF((E5&gt;Admin!N$23),((E5-Admin!N$23)*D16),0)</f>
        <v>1500.77616999999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336</v>
      </c>
      <c r="C18" s="241"/>
      <c r="D18" s="237"/>
      <c r="E18" s="231" t="n">
        <f aca="false">SUM(E11:E17)</f>
        <v>46354.7399949998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337</v>
      </c>
      <c r="C21" s="243"/>
      <c r="D21" s="244" t="s">
        <v>338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339</v>
      </c>
      <c r="E23" s="247" t="s">
        <v>340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341</v>
      </c>
      <c r="C25" s="250" t="str">
        <f aca="false">Admin!B24</f>
        <v>2027-28</v>
      </c>
      <c r="D25" s="251" t="s">
        <v>342</v>
      </c>
      <c r="E25" s="240" t="n">
        <f aca="false">E18</f>
        <v>46354.7399949998</v>
      </c>
      <c r="F25" s="214"/>
      <c r="G25" s="218"/>
    </row>
    <row r="26" customFormat="false" ht="12.75" hidden="false" customHeight="false" outlineLevel="0" collapsed="false">
      <c r="A26" s="211"/>
      <c r="B26" s="220" t="s">
        <v>343</v>
      </c>
      <c r="C26" s="220"/>
      <c r="D26" s="252" t="n">
        <f aca="false">Admin!B21</f>
        <v>46783</v>
      </c>
      <c r="E26" s="223" t="n">
        <f aca="false">E25/2</f>
        <v>23177.3699974999</v>
      </c>
      <c r="F26" s="214"/>
      <c r="G26" s="218"/>
    </row>
    <row r="27" customFormat="false" ht="12.75" hidden="false" customHeight="false" outlineLevel="0" collapsed="false">
      <c r="A27" s="211"/>
      <c r="B27" s="220" t="s">
        <v>343</v>
      </c>
      <c r="C27" s="220"/>
      <c r="D27" s="252" t="n">
        <f aca="false">Admin!B22</f>
        <v>46965</v>
      </c>
      <c r="E27" s="223" t="n">
        <f aca="false">E25/2</f>
        <v>23177.3699974999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344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345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346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347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348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349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350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351</v>
      </c>
      <c r="C2" s="269" t="s">
        <v>352</v>
      </c>
      <c r="D2" s="269" t="s">
        <v>353</v>
      </c>
      <c r="E2" s="269" t="s">
        <v>354</v>
      </c>
      <c r="F2" s="269" t="s">
        <v>355</v>
      </c>
      <c r="G2" s="269" t="s">
        <v>356</v>
      </c>
      <c r="H2" s="269" t="s">
        <v>357</v>
      </c>
      <c r="I2" s="269" t="s">
        <v>358</v>
      </c>
      <c r="J2" s="270"/>
      <c r="K2" s="268" t="s">
        <v>359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360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361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362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363</v>
      </c>
      <c r="I1" s="288"/>
      <c r="J1" s="288"/>
      <c r="K1" s="288"/>
      <c r="L1" s="288"/>
      <c r="M1" s="287"/>
      <c r="N1" s="288" t="s">
        <v>363</v>
      </c>
      <c r="O1" s="288"/>
      <c r="P1" s="288"/>
      <c r="Q1" s="288"/>
      <c r="R1" s="288"/>
      <c r="S1" s="287"/>
      <c r="T1" s="288" t="s">
        <v>363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364</v>
      </c>
      <c r="C2" s="294"/>
      <c r="D2" s="295" t="s">
        <v>365</v>
      </c>
      <c r="E2" s="296"/>
      <c r="F2" s="295" t="s">
        <v>366</v>
      </c>
      <c r="G2" s="296"/>
      <c r="H2" s="297" t="s">
        <v>367</v>
      </c>
      <c r="I2" s="296"/>
      <c r="J2" s="295" t="s">
        <v>368</v>
      </c>
      <c r="K2" s="296"/>
      <c r="L2" s="295" t="s">
        <v>369</v>
      </c>
      <c r="M2" s="296"/>
      <c r="N2" s="297" t="s">
        <v>370</v>
      </c>
      <c r="O2" s="296"/>
      <c r="P2" s="295" t="s">
        <v>371</v>
      </c>
      <c r="Q2" s="296"/>
      <c r="R2" s="295" t="s">
        <v>369</v>
      </c>
      <c r="S2" s="296"/>
      <c r="T2" s="297" t="s">
        <v>372</v>
      </c>
      <c r="U2" s="296"/>
      <c r="V2" s="295" t="s">
        <v>373</v>
      </c>
      <c r="W2" s="296"/>
      <c r="X2" s="298" t="s">
        <v>369</v>
      </c>
      <c r="Y2" s="299"/>
      <c r="Z2" s="295" t="s">
        <v>374</v>
      </c>
      <c r="AA2" s="296"/>
      <c r="AB2" s="295" t="s">
        <v>375</v>
      </c>
      <c r="AC2" s="300"/>
      <c r="AD2" s="301" t="s">
        <v>376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377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378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379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380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381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382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383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384</v>
      </c>
      <c r="C2" s="161" t="s">
        <v>255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260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385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266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267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386</v>
      </c>
      <c r="C13" s="170" t="n">
        <f aca="false">SUM(D13:O13)</f>
        <v>156790.316666667</v>
      </c>
      <c r="D13" s="170" t="n">
        <f aca="false">'Profit &amp; Loss Account'!C35</f>
        <v>12606.5333333333</v>
      </c>
      <c r="E13" s="170" t="n">
        <f aca="false">'Profit &amp; Loss Account'!D35</f>
        <v>11917.2833333333</v>
      </c>
      <c r="F13" s="170" t="n">
        <f aca="false">'Profit &amp; Loss Account'!E35</f>
        <v>14186.6166666667</v>
      </c>
      <c r="G13" s="170" t="n">
        <f aca="false">'Profit &amp; Loss Account'!F35</f>
        <v>14423.5333333333</v>
      </c>
      <c r="H13" s="170" t="n">
        <f aca="false">'Profit &amp; Loss Account'!G35</f>
        <v>12359.8666666667</v>
      </c>
      <c r="I13" s="170" t="n">
        <f aca="false">'Profit &amp; Loss Account'!H35</f>
        <v>13836.6166666667</v>
      </c>
      <c r="J13" s="170" t="n">
        <f aca="false">'Profit &amp; Loss Account'!I35</f>
        <v>14286.0333333333</v>
      </c>
      <c r="K13" s="170" t="n">
        <f aca="false">'Profit &amp; Loss Account'!J35</f>
        <v>11474.2833333333</v>
      </c>
      <c r="L13" s="170" t="n">
        <f aca="false">'Profit &amp; Loss Account'!K35</f>
        <v>16492.2833333333</v>
      </c>
      <c r="M13" s="170" t="n">
        <f aca="false">'Profit &amp; Loss Account'!L35</f>
        <v>11986.5333333333</v>
      </c>
      <c r="N13" s="170" t="n">
        <f aca="false">'Profit &amp; Loss Account'!M35</f>
        <v>11659.7833333333</v>
      </c>
      <c r="O13" s="170" t="n">
        <f aca="false">'Profit &amp; Loss Account'!N35</f>
        <v>11560.95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283</v>
      </c>
      <c r="C15" s="170" t="n">
        <f aca="false">SUM(D15:O15)</f>
        <v>164356.35</v>
      </c>
      <c r="D15" s="170" t="n">
        <f aca="false">D11-D13</f>
        <v>14489.3</v>
      </c>
      <c r="E15" s="170" t="n">
        <f aca="false">E11-E13</f>
        <v>14508.55</v>
      </c>
      <c r="F15" s="170" t="n">
        <f aca="false">F11-F13</f>
        <v>10442.55</v>
      </c>
      <c r="G15" s="170" t="n">
        <f aca="false">G11-G13</f>
        <v>12502.3</v>
      </c>
      <c r="H15" s="170" t="n">
        <f aca="false">H11-H13</f>
        <v>16969.3</v>
      </c>
      <c r="I15" s="170" t="n">
        <f aca="false">I11-I13</f>
        <v>13589.2166666666</v>
      </c>
      <c r="J15" s="170" t="n">
        <f aca="false">J11-J13</f>
        <v>14709.8</v>
      </c>
      <c r="K15" s="170" t="n">
        <f aca="false">K11-K13</f>
        <v>14551.55</v>
      </c>
      <c r="L15" s="170" t="n">
        <f aca="false">L11-L13</f>
        <v>10203.55</v>
      </c>
      <c r="M15" s="170" t="n">
        <f aca="false">M11-M13</f>
        <v>16689.3</v>
      </c>
      <c r="N15" s="170" t="n">
        <f aca="false">N11-N13</f>
        <v>15886.05</v>
      </c>
      <c r="O15" s="170" t="n">
        <f aca="false">O11-O13</f>
        <v>9814.8833333333</v>
      </c>
      <c r="P15" s="158"/>
    </row>
    <row r="16" customFormat="false" ht="12" hidden="false" customHeight="false" outlineLevel="0" collapsed="false">
      <c r="A16" s="158"/>
      <c r="B16" s="334" t="s">
        <v>284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285</v>
      </c>
      <c r="C17" s="170" t="n">
        <f aca="false">SUM(D17:O17)</f>
        <v>164356.35</v>
      </c>
      <c r="D17" s="170" t="n">
        <f aca="false">D15+D16</f>
        <v>14489.3</v>
      </c>
      <c r="E17" s="170" t="n">
        <f aca="false">E15+E16</f>
        <v>14508.55</v>
      </c>
      <c r="F17" s="170" t="n">
        <f aca="false">F15+F16</f>
        <v>10442.55</v>
      </c>
      <c r="G17" s="170" t="n">
        <f aca="false">G15+G16</f>
        <v>12502.3</v>
      </c>
      <c r="H17" s="170" t="n">
        <f aca="false">H15+H16</f>
        <v>16969.3</v>
      </c>
      <c r="I17" s="170" t="n">
        <f aca="false">I15+I16</f>
        <v>13589.2166666666</v>
      </c>
      <c r="J17" s="170" t="n">
        <f aca="false">J15+J16</f>
        <v>14709.8</v>
      </c>
      <c r="K17" s="170" t="n">
        <f aca="false">K15+K16</f>
        <v>14551.55</v>
      </c>
      <c r="L17" s="170" t="n">
        <f aca="false">L15+L16</f>
        <v>10203.55</v>
      </c>
      <c r="M17" s="170" t="n">
        <f aca="false">M15+M16</f>
        <v>16689.3</v>
      </c>
      <c r="N17" s="170" t="n">
        <f aca="false">N15+N16</f>
        <v>15886.05</v>
      </c>
      <c r="O17" s="170" t="n">
        <f aca="false">O15+O16</f>
        <v>9814.8833333333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387</v>
      </c>
      <c r="C19" s="161" t="s">
        <v>255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260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385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266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267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386</v>
      </c>
      <c r="C30" s="170" t="n">
        <f aca="false">SUM(D30:O30)</f>
        <v>156790.316666667</v>
      </c>
      <c r="D30" s="170" t="n">
        <f aca="false">IF(C5&gt;0,IF(D5&gt;0,D13,C13/C21),0)</f>
        <v>12606.5333333333</v>
      </c>
      <c r="E30" s="170" t="n">
        <f aca="false">IF(C5&gt;0,IF(E5&gt;0,E13,C13/C21),0)</f>
        <v>11917.2833333333</v>
      </c>
      <c r="F30" s="170" t="n">
        <f aca="false">IF(C5&gt;0,IF(F5&gt;0,F13,C13/C21),0)</f>
        <v>14186.6166666667</v>
      </c>
      <c r="G30" s="170" t="n">
        <f aca="false">IF(C5&gt;0,IF(G5&gt;0,G13,C13/C21),0)</f>
        <v>14423.5333333333</v>
      </c>
      <c r="H30" s="170" t="n">
        <f aca="false">IF(C5&gt;0,IF(H5&gt;0,H13,C13/C21),0)</f>
        <v>12359.8666666667</v>
      </c>
      <c r="I30" s="170" t="n">
        <f aca="false">IF(C5&gt;0,IF(I5&gt;0,I13,C13/C21),0)</f>
        <v>13836.6166666667</v>
      </c>
      <c r="J30" s="170" t="n">
        <f aca="false">IF(C5&gt;0,IF(J5&gt;0,J13,C13/C21),0)</f>
        <v>14286.0333333333</v>
      </c>
      <c r="K30" s="170" t="n">
        <f aca="false">IF(C5&gt;0,IF(K5&gt;0,K13,C13/C21),0)</f>
        <v>11474.2833333333</v>
      </c>
      <c r="L30" s="170" t="n">
        <f aca="false">IF(C5&gt;0,IF(L5&gt;0,L13,C13/C21),0)</f>
        <v>16492.2833333333</v>
      </c>
      <c r="M30" s="170" t="n">
        <f aca="false">IF(C5&gt;0,IF(M5&gt;0,M13,C13/C21),0)</f>
        <v>11986.5333333333</v>
      </c>
      <c r="N30" s="170" t="n">
        <f aca="false">IF(C5&gt;0,IF(N5&gt;0,N13,C13/C21),0)</f>
        <v>11659.7833333333</v>
      </c>
      <c r="O30" s="170" t="n">
        <f aca="false">IF(C5&gt;0,IF(O5&gt;0,O13,C13/C21),0)</f>
        <v>11560.95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283</v>
      </c>
      <c r="C32" s="170" t="n">
        <f aca="false">SUM(D32:O32)</f>
        <v>164356.35</v>
      </c>
      <c r="D32" s="170" t="n">
        <f aca="false">D28-D30</f>
        <v>14489.3</v>
      </c>
      <c r="E32" s="170" t="n">
        <f aca="false">E28-E30</f>
        <v>14508.55</v>
      </c>
      <c r="F32" s="170" t="n">
        <f aca="false">F28-F30</f>
        <v>10442.55</v>
      </c>
      <c r="G32" s="170" t="n">
        <f aca="false">G28-G30</f>
        <v>12502.3</v>
      </c>
      <c r="H32" s="170" t="n">
        <f aca="false">H28-H30</f>
        <v>16969.3</v>
      </c>
      <c r="I32" s="170" t="n">
        <f aca="false">I28-I30</f>
        <v>13589.2166666666</v>
      </c>
      <c r="J32" s="170" t="n">
        <f aca="false">J28-J30</f>
        <v>14709.8</v>
      </c>
      <c r="K32" s="170" t="n">
        <f aca="false">K28-K30</f>
        <v>14551.55</v>
      </c>
      <c r="L32" s="170" t="n">
        <f aca="false">L28-L30</f>
        <v>10203.55</v>
      </c>
      <c r="M32" s="170" t="n">
        <f aca="false">M28-M30</f>
        <v>16689.3</v>
      </c>
      <c r="N32" s="170" t="n">
        <f aca="false">N28-N30</f>
        <v>15886.05</v>
      </c>
      <c r="O32" s="170" t="n">
        <f aca="false">O28-O30</f>
        <v>9814.8833333333</v>
      </c>
      <c r="P32" s="158"/>
    </row>
    <row r="33" customFormat="false" ht="12" hidden="false" customHeight="false" outlineLevel="0" collapsed="false">
      <c r="A33" s="158"/>
      <c r="B33" s="334" t="s">
        <v>284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285</v>
      </c>
      <c r="C34" s="170" t="n">
        <f aca="false">SUM(D34:O34)</f>
        <v>164356.35</v>
      </c>
      <c r="D34" s="170" t="n">
        <f aca="false">D32+D33</f>
        <v>14489.3</v>
      </c>
      <c r="E34" s="170" t="n">
        <f aca="false">E32+E33</f>
        <v>14508.55</v>
      </c>
      <c r="F34" s="170" t="n">
        <f aca="false">F32+F33</f>
        <v>10442.55</v>
      </c>
      <c r="G34" s="170" t="n">
        <f aca="false">G32+G33</f>
        <v>12502.3</v>
      </c>
      <c r="H34" s="170" t="n">
        <f aca="false">H32+H33</f>
        <v>16969.3</v>
      </c>
      <c r="I34" s="170" t="n">
        <f aca="false">I32+I33</f>
        <v>13589.2166666666</v>
      </c>
      <c r="J34" s="170" t="n">
        <f aca="false">J32+J33</f>
        <v>14709.8</v>
      </c>
      <c r="K34" s="170" t="n">
        <f aca="false">K32+K33</f>
        <v>14551.55</v>
      </c>
      <c r="L34" s="170" t="n">
        <f aca="false">L32+L33</f>
        <v>10203.55</v>
      </c>
      <c r="M34" s="170" t="n">
        <f aca="false">M32+M33</f>
        <v>16689.3</v>
      </c>
      <c r="N34" s="170" t="n">
        <f aca="false">N32+N33</f>
        <v>15886.05</v>
      </c>
      <c r="O34" s="170" t="n">
        <f aca="false">O32+O33</f>
        <v>9814.8833333333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388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389</v>
      </c>
      <c r="C37" s="339" t="n">
        <f aca="false">'Profit &amp; Loss Account'!B33+'Profit &amp; Loss Account'!B34</f>
        <v>21037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390</v>
      </c>
      <c r="C38" s="339" t="n">
        <f aca="false">[1]Schedule!$Q$1+[1]Schedule!$R$1+[1]Schedule!$AC$1+[1]Schedule!$Y$1-[1]Schedule!$Z$1</f>
        <v>65324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391</v>
      </c>
      <c r="C39" s="339" t="n">
        <f aca="false">C34+C37-C38</f>
        <v>120069.35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392</v>
      </c>
      <c r="C40" s="339" t="n">
        <f aca="false">IF(C39&lt;=0,0,MAX(0,Admin!N$4-MAX(0,C39-Admin!N$5)/2))</f>
        <v>2535.3250000002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393</v>
      </c>
      <c r="C41" s="339" t="n">
        <f aca="false">IF((C39&gt;C40),(C39-C40),0)</f>
        <v>117534.024999999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394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395</v>
      </c>
      <c r="C43" s="339" t="n">
        <f aca="false">IF(C41&gt;Admin!M$11,(MIN(C41,Admin!N$13)-Admin!M$11)*Admin!N$7,0)</f>
        <v>31933.6099999998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396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397</v>
      </c>
      <c r="C45" s="339" t="n">
        <f aca="false">IF(C39&gt;Admin!N$20,IF(C39&lt;Admin!N$23,(C39-Admin!N$20)*Admin!L$20,(Admin!N$23-Admin!N$20)*Admin!L$20),0)+IF(C39&gt;Admin!N$23,(C39-Admin!N$23)*Admin!L$23,0)</f>
        <v>3657.98699999999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398</v>
      </c>
      <c r="C46" s="341" t="n">
        <f aca="false">C42+C43+C44+C45</f>
        <v>43131.5969999998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399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400</v>
      </c>
      <c r="E2" s="348"/>
      <c r="F2" s="348"/>
      <c r="G2" s="349" t="str">
        <f aca="false">B23</f>
        <v>2026-27</v>
      </c>
      <c r="H2" s="63"/>
      <c r="I2" s="63"/>
      <c r="J2" s="350" t="s">
        <v>401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84</v>
      </c>
      <c r="E4" s="354"/>
      <c r="F4" s="354"/>
      <c r="G4" s="355" t="n">
        <v>1</v>
      </c>
      <c r="H4" s="63"/>
      <c r="I4" s="354" t="s">
        <v>402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403</v>
      </c>
      <c r="E5" s="354"/>
      <c r="F5" s="354"/>
      <c r="G5" s="355" t="n">
        <v>0.14</v>
      </c>
      <c r="H5" s="63"/>
      <c r="I5" s="354" t="s">
        <v>404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405</v>
      </c>
      <c r="E6" s="63"/>
      <c r="F6" s="63"/>
      <c r="G6" s="355" t="n">
        <v>0.06</v>
      </c>
      <c r="H6" s="63"/>
      <c r="I6" s="354" t="s">
        <v>406</v>
      </c>
      <c r="J6" s="354"/>
      <c r="K6" s="354"/>
      <c r="L6" s="354"/>
      <c r="M6" s="354"/>
      <c r="N6" s="355" t="n">
        <v>0.2</v>
      </c>
      <c r="O6" s="351" t="s">
        <v>407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408</v>
      </c>
      <c r="E7" s="354"/>
      <c r="F7" s="354"/>
      <c r="G7" s="351"/>
      <c r="H7" s="63"/>
      <c r="I7" s="354" t="s">
        <v>409</v>
      </c>
      <c r="J7" s="354"/>
      <c r="K7" s="354"/>
      <c r="L7" s="354"/>
      <c r="M7" s="354"/>
      <c r="N7" s="355" t="n">
        <v>0.4</v>
      </c>
      <c r="O7" s="351" t="s">
        <v>407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410</v>
      </c>
      <c r="J8" s="354"/>
      <c r="K8" s="354"/>
      <c r="L8" s="354"/>
      <c r="M8" s="354"/>
      <c r="N8" s="355" t="n">
        <v>0.45</v>
      </c>
      <c r="O8" s="351" t="s">
        <v>407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1"/>
      <c r="F9" s="63"/>
      <c r="G9" s="351"/>
      <c r="H9" s="63"/>
      <c r="I9" s="354" t="s">
        <v>411</v>
      </c>
      <c r="J9" s="354"/>
      <c r="K9" s="354"/>
      <c r="L9" s="358" t="s">
        <v>412</v>
      </c>
      <c r="M9" s="358" t="s">
        <v>413</v>
      </c>
      <c r="N9" s="359" t="s">
        <v>414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1"/>
      <c r="F10" s="63"/>
      <c r="G10" s="351"/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1" t="s">
        <v>407</v>
      </c>
      <c r="H11" s="63"/>
      <c r="I11" s="63" t="s">
        <v>416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417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418</v>
      </c>
      <c r="E13" s="354"/>
      <c r="F13" s="354"/>
      <c r="G13" s="355" t="n">
        <v>0</v>
      </c>
      <c r="H13" s="63"/>
      <c r="I13" s="63" t="s">
        <v>419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420</v>
      </c>
      <c r="E14" s="354"/>
      <c r="F14" s="354"/>
      <c r="G14" s="355" t="n">
        <v>0.1</v>
      </c>
      <c r="H14" s="63"/>
      <c r="I14" s="348" t="s">
        <v>421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422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423</v>
      </c>
      <c r="E16" s="354"/>
      <c r="F16" s="354"/>
      <c r="G16" s="355" t="n">
        <v>0.33</v>
      </c>
      <c r="H16" s="63"/>
      <c r="I16" s="354" t="s">
        <v>424</v>
      </c>
      <c r="J16" s="354"/>
      <c r="K16" s="354"/>
      <c r="L16" s="361" t="n">
        <v>3.65</v>
      </c>
      <c r="M16" s="63" t="s">
        <v>425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426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427</v>
      </c>
      <c r="E19" s="348"/>
      <c r="F19" s="351" t="s">
        <v>428</v>
      </c>
      <c r="G19" s="351" t="s">
        <v>429</v>
      </c>
      <c r="H19" s="63"/>
      <c r="I19" s="363" t="s">
        <v>430</v>
      </c>
      <c r="J19" s="363"/>
      <c r="K19" s="363"/>
      <c r="L19" s="63"/>
      <c r="M19" s="364" t="s">
        <v>431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432</v>
      </c>
      <c r="E21" s="354"/>
      <c r="F21" s="357" t="n">
        <v>10000</v>
      </c>
      <c r="G21" s="361" t="n">
        <v>0.45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433</v>
      </c>
      <c r="E22" s="63"/>
      <c r="F22" s="357" t="n">
        <v>10001</v>
      </c>
      <c r="G22" s="361" t="n">
        <v>0.25</v>
      </c>
      <c r="H22" s="63"/>
      <c r="I22" s="363" t="s">
        <v>434</v>
      </c>
      <c r="J22" s="363"/>
      <c r="K22" s="363"/>
      <c r="L22" s="63"/>
      <c r="M22" s="364" t="s">
        <v>435</v>
      </c>
      <c r="N22" s="63"/>
      <c r="O22" s="63"/>
    </row>
    <row r="23" customFormat="false" ht="12" hidden="false" customHeight="true" outlineLevel="0" collapsed="false">
      <c r="A23" s="63"/>
      <c r="B23" s="353" t="s">
        <v>436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437</v>
      </c>
      <c r="C24" s="63"/>
      <c r="D24" s="348" t="s">
        <v>427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438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439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